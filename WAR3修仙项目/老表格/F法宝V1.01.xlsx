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FabaoForge" sheetId="1" r:id="rId1"/>
    <sheet name="FabaoLevel" sheetId="2" r:id="rId2"/>
    <sheet name="Sheet1" sheetId="3" r:id="rId3"/>
  </sheets>
  <externalReferences>
    <externalReference r:id="rId4"/>
    <externalReference r:id="rId5"/>
  </externalReferences>
  <definedNames>
    <definedName name="技能类型">[1]名称表!#REF!</definedName>
    <definedName name="特效绑定位置">[2]名称表!#REF!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<sst xmlns="http://schemas.openxmlformats.org/spreadsheetml/2006/main" count="1102" uniqueCount="125">
  <si>
    <t>法宝打造ID</t>
  </si>
  <si>
    <t>名称</t>
  </si>
  <si>
    <t>品类</t>
  </si>
  <si>
    <t>品质</t>
  </si>
  <si>
    <t>升品材料1</t>
  </si>
  <si>
    <t>材料1数量</t>
  </si>
  <si>
    <t>升品材料2</t>
  </si>
  <si>
    <t>材料2数量</t>
  </si>
  <si>
    <t>升品材料3</t>
  </si>
  <si>
    <t>材料3数量</t>
  </si>
  <si>
    <t>胚子品类</t>
  </si>
  <si>
    <t>胚子品质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</si>
  <si>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</si>
  <si>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</si>
  <si>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</si>
  <si>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</si>
  <si>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</si>
  <si>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</si>
  <si>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</si>
  <si>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</si>
  <si>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</si>
  <si>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</si>
  <si>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</si>
  <si>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</si>
  <si>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属性名7</t>
  </si>
  <si>
    <t>属性值7</t>
  </si>
  <si>
    <t>属性名8</t>
  </si>
  <si>
    <t>属性值8</t>
  </si>
  <si>
    <t>模型ID</t>
  </si>
  <si>
    <t>图标ID</t>
  </si>
  <si>
    <t>ID</t>
  </si>
  <si>
    <t>Name</t>
  </si>
  <si>
    <t>Kind</t>
  </si>
  <si>
    <t>Quality</t>
  </si>
  <si>
    <t>Mat1ID</t>
  </si>
  <si>
    <t>Mat1Count</t>
  </si>
  <si>
    <t>Mat2ID</t>
  </si>
  <si>
    <t>Mat2Count</t>
  </si>
  <si>
    <t>Mat3ID</t>
  </si>
  <si>
    <t>Mat3Count</t>
  </si>
  <si>
    <t>BaseKind</t>
  </si>
  <si>
    <t>BaseQuality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</si>
  <si>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</si>
  <si>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</si>
  <si>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</si>
  <si>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</si>
  <si>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</si>
  <si>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</si>
  <si>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</si>
  <si>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</si>
  <si>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</si>
  <si>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</si>
  <si>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</si>
  <si>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</si>
  <si>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Prop7Name</t>
  </si>
  <si>
    <t>Prop7Value</t>
  </si>
  <si>
    <t>Prop8Name</t>
  </si>
  <si>
    <t>Prop8Value</t>
  </si>
  <si>
    <t>ModelID</t>
  </si>
  <si>
    <t>IconID</t>
  </si>
  <si>
    <t>苍月灵鲲</t>
  </si>
  <si>
    <t>白</t>
  </si>
  <si>
    <t>攻击下限</t>
  </si>
  <si>
    <t>攻击上限</t>
  </si>
  <si>
    <t>魔法下限</t>
  </si>
  <si>
    <t>魔法上限</t>
  </si>
  <si>
    <t>道术下限</t>
  </si>
  <si>
    <t>道术上限</t>
  </si>
  <si>
    <t>xiaofeizhu</t>
  </si>
  <si>
    <t>绿</t>
  </si>
  <si>
    <t>紫</t>
  </si>
  <si>
    <t>橙</t>
  </si>
  <si>
    <t>红</t>
  </si>
  <si>
    <t>血煞飞剑</t>
  </si>
  <si>
    <t>xiaofeilv</t>
  </si>
  <si>
    <t>法宝ID</t>
  </si>
  <si>
    <t>等级</t>
  </si>
  <si>
    <t>总经验</t>
  </si>
  <si>
    <t>法宝类型</t>
  </si>
  <si>
    <t>攻击继承比例</t>
  </si>
  <si>
    <t>道术继承比例</t>
  </si>
  <si>
    <t>魔法继承比例</t>
  </si>
  <si>
    <t>存在时间</t>
  </si>
  <si>
    <t>技能1</t>
  </si>
  <si>
    <t>技能2</t>
  </si>
  <si>
    <t>词条1</t>
  </si>
  <si>
    <t>词条2</t>
  </si>
  <si>
    <t>Level</t>
  </si>
  <si>
    <t>NeedTotalExp</t>
  </si>
  <si>
    <t>AtkType</t>
  </si>
  <si>
    <t>AtkInheritRate</t>
  </si>
  <si>
    <t>DaoInheritRate</t>
  </si>
  <si>
    <t>MagicInheritRate</t>
  </si>
  <si>
    <t>Time</t>
  </si>
  <si>
    <t>Skill1</t>
  </si>
  <si>
    <t>Skill2</t>
  </si>
  <si>
    <t>Affix1</t>
  </si>
  <si>
    <t>Affix2</t>
  </si>
  <si>
    <t>远程</t>
  </si>
  <si>
    <t>近战</t>
  </si>
  <si>
    <t>小飞猪</t>
  </si>
  <si>
    <t>法宝ID，唯一，和法宝品类，品质，等级都挂钩。</t>
  </si>
  <si>
    <t>法宝的名字</t>
  </si>
  <si>
    <t>品类相同配置的都是一类法宝</t>
  </si>
  <si>
    <t>这里需要注意，每个品质刚打造出来/升级后直接就是1级，所以这个地方是和打造升品那个表格直接相关的，比如从绿色X级升级到紫色品质后，按照当前总经验重新计算当前等级。如果没有经验或者经验不足升级，升级后就是1级</t>
  </si>
  <si>
    <t>不同品质的法宝可能等级上限不同，配置了多少级就有多少级，这个等级配置可能变动</t>
  </si>
  <si>
    <t>保存当前法宝拥有的总经验，达到满级后，还会存储一部分经验，存储的这部分经验在品质改变后，用来重新计算等级</t>
  </si>
  <si>
    <t>近战/远程法宝，决定法宝攻击的时候是飞到目标旁边还是原地释放技能</t>
  </si>
  <si>
    <t>这里配置的属性是当前等级法宝自己的属性，用于自己计算伤害用。不同品质不同等级只读取自己当前的属性</t>
  </si>
  <si>
    <t>计算玩家当前对应的数值，按照万分比给法宝，上限和下限都算，比如玩家攻击为下限100上限150，继承比例填写1000也就是10%那么法宝会额外获得攻击下限10上限15</t>
  </si>
  <si>
    <t>道术和攻击一样</t>
  </si>
  <si>
    <t>魔法和攻击一样</t>
  </si>
  <si>
    <t>这里配置技能ID直接读取技能表</t>
  </si>
  <si>
    <t>这里读取词条表，跟技能表一样，配置了就是有，没有配置就是没有</t>
  </si>
  <si>
    <t>属性值</t>
  </si>
  <si>
    <t>下一行为每个配置的对应说明</t>
  </si>
  <si>
    <t>法宝打造ID，ID唯一，但是没有任何实际作用</t>
  </si>
  <si>
    <t>品类代表是啥法宝，比如是葫芦A，那么品类就都一样不管等级和品质。一般来说，锁定葫芦这个法宝和对应的品质需要2个配置项，一个是品类一个是品质</t>
  </si>
  <si>
    <t>填物品ID，这里只有最低级的是打造，从无到有，后面的都是升品质，从低到高</t>
  </si>
  <si>
    <t>数量整数</t>
  </si>
  <si>
    <t>如果是打造，则不填，如果是升级品质，需要填本品类也就是葫芦A</t>
  </si>
  <si>
    <t>如果是打造，则不填，如果是升级品质，需要填本品类更低一个品质，加上前面的材料，共同决定从低品质升级到高品质需要的材料</t>
  </si>
  <si>
    <t>这里配置激活该法宝后获得的属性，这个属性是加给玩家角色的。也就是激活图鉴以后获得的属性，一个法宝只取当前品质的属性。</t>
  </si>
  <si>
    <t>配置模型ID</t>
  </si>
  <si>
    <t>配置图标ID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</si>
</sst>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5BD42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5" borderId="6">
      <alignment vertical="center"/>
    </xf>
    <xf numFmtId="0" fontId="13" fillId="6" borderId="7">
      <alignment vertical="center"/>
    </xf>
    <xf numFmtId="0" fontId="14" fillId="6" borderId="6">
      <alignment vertical="center"/>
    </xf>
    <xf numFmtId="0" fontId="15" fillId="7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3" fillId="0" borderId="0" xfId="0" applyNumberFormat="1" applyFont="1" applyFill="1" applyAlignment="1"/>
    <xf numFmtId="0" fontId="0" fillId="0" borderId="0" xfId="0">
      <alignment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CC9900"/>
      </font>
      <fill>
        <patternFill patternType="none"/>
      </fill>
    </dxf>
    <dxf>
      <font>
        <color rgb="FFFF0000"/>
      </font>
    </dxf>
    <dxf>
      <font>
        <color theme="9" tint="-0.249947"/>
      </font>
    </dxf>
    <dxf>
      <font>
        <color rgb="FF7030A0"/>
      </font>
    </dxf>
    <dxf>
      <font>
        <color rgb="FF00B0F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V1.0&#65288;&#21407;1.41&#65289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AppData\Roaming\kingsoft\office6\backup\&#25216;&#33021;&#34920;1.5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workbookViewId="0">
      <selection activeCell="E19" sqref="E19"/>
    </sheetView>
  </sheetViews>
  <sheetFormatPr defaultColWidth="9" defaultRowHeight="14"/>
  <cols>
    <col min="1" max="2" width="12" customWidth="1"/>
    <col min="5" max="10" width="10.181818181818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s="1" t="s">
        <v>42</v>
      </c>
      <c r="N2" s="2" t="s">
        <v>43</v>
      </c>
      <c r="O2" s="1" t="s">
        <v>44</v>
      </c>
      <c r="P2" s="2" t="s">
        <v>45</v>
      </c>
      <c r="Q2" s="1" t="s">
        <v>46</v>
      </c>
      <c r="R2" s="2" t="s">
        <v>47</v>
      </c>
      <c r="S2" s="1" t="s">
        <v>48</v>
      </c>
      <c r="T2" s="2" t="s">
        <v>49</v>
      </c>
      <c r="U2" s="1" t="s">
        <v>50</v>
      </c>
      <c r="V2" s="2" t="s">
        <v>51</v>
      </c>
      <c r="W2" s="1" t="s">
        <v>52</v>
      </c>
      <c r="X2" s="2" t="s">
        <v>53</v>
      </c>
      <c r="Y2" s="1" t="s">
        <v>54</v>
      </c>
      <c r="Z2" s="2" t="s">
        <v>55</v>
      </c>
      <c r="AA2" s="1" t="s">
        <v>56</v>
      </c>
      <c r="AB2" s="2" t="s">
        <v>57</v>
      </c>
      <c r="AC2" t="s">
        <v>58</v>
      </c>
      <c r="AD2" t="s">
        <v>59</v>
      </c>
    </row>
    <row r="3" spans="1:30">
      <c r="A3">
        <v>1</v>
      </c>
      <c r="B3" t="s">
        <v>60</v>
      </c>
      <c r="C3">
        <v>1</v>
      </c>
      <c r="D3" t="s">
        <v>61</v>
      </c>
      <c r="E3">
        <v>30070010</v>
      </c>
      <c r="F3">
        <v>1</v>
      </c>
      <c r="G3">
        <v>30070011</v>
      </c>
      <c r="H3">
        <v>1</v>
      </c>
      <c r="M3" s="6" t="s">
        <v>62</v>
      </c>
      <c r="N3" s="6">
        <v>1</v>
      </c>
      <c r="O3" s="6" t="s">
        <v>63</v>
      </c>
      <c r="P3" s="6">
        <v>1</v>
      </c>
      <c r="Q3" s="6" t="s">
        <v>64</v>
      </c>
      <c r="R3" s="6">
        <v>1</v>
      </c>
      <c r="S3" s="6" t="s">
        <v>65</v>
      </c>
      <c r="T3" s="6">
        <v>1</v>
      </c>
      <c r="U3" s="6" t="s">
        <v>66</v>
      </c>
      <c r="V3" s="6">
        <v>1</v>
      </c>
      <c r="W3" s="6" t="s">
        <v>67</v>
      </c>
      <c r="X3" s="6">
        <v>1</v>
      </c>
      <c r="AC3" t="s">
        <v>68</v>
      </c>
    </row>
    <row r="4" spans="1:30">
      <c r="A4">
        <v>2</v>
      </c>
      <c r="B4" t="s">
        <v>60</v>
      </c>
      <c r="C4">
        <v>1</v>
      </c>
      <c r="D4" t="s">
        <v>69</v>
      </c>
      <c r="E4">
        <v>30070010</v>
      </c>
      <c r="F4">
        <v>1</v>
      </c>
      <c r="G4">
        <v>30070011</v>
      </c>
      <c r="H4">
        <v>1</v>
      </c>
      <c r="I4">
        <v>30070012</v>
      </c>
      <c r="J4">
        <v>1</v>
      </c>
      <c r="K4">
        <v>1</v>
      </c>
      <c r="L4" t="s">
        <v>61</v>
      </c>
      <c r="M4" s="6" t="s">
        <v>62</v>
      </c>
      <c r="N4" s="6">
        <v>2</v>
      </c>
      <c r="O4" s="6" t="s">
        <v>63</v>
      </c>
      <c r="P4" s="6">
        <v>2</v>
      </c>
      <c r="Q4" s="6" t="s">
        <v>64</v>
      </c>
      <c r="R4" s="6">
        <v>2</v>
      </c>
      <c r="S4" s="6" t="s">
        <v>65</v>
      </c>
      <c r="T4" s="6">
        <v>2</v>
      </c>
      <c r="U4" s="6" t="s">
        <v>66</v>
      </c>
      <c r="V4" s="6">
        <v>2</v>
      </c>
      <c r="W4" s="6" t="s">
        <v>67</v>
      </c>
      <c r="X4" s="6">
        <v>2</v>
      </c>
      <c r="AC4" t="s">
        <v>68</v>
      </c>
    </row>
    <row r="5" spans="1:30">
      <c r="A5">
        <v>3</v>
      </c>
      <c r="B5" t="s">
        <v>60</v>
      </c>
      <c r="C5">
        <v>1</v>
      </c>
      <c r="D5" t="s">
        <v>70</v>
      </c>
      <c r="E5">
        <v>30070010</v>
      </c>
      <c r="F5">
        <v>2</v>
      </c>
      <c r="G5">
        <v>30070011</v>
      </c>
      <c r="H5">
        <v>2</v>
      </c>
      <c r="I5">
        <v>30070012</v>
      </c>
      <c r="J5">
        <v>2</v>
      </c>
      <c r="K5">
        <v>1</v>
      </c>
      <c r="L5" t="s">
        <v>69</v>
      </c>
      <c r="M5" s="6" t="s">
        <v>62</v>
      </c>
      <c r="N5" s="6">
        <v>3</v>
      </c>
      <c r="O5" s="6" t="s">
        <v>63</v>
      </c>
      <c r="P5" s="6">
        <v>3</v>
      </c>
      <c r="Q5" s="6" t="s">
        <v>64</v>
      </c>
      <c r="R5" s="6">
        <v>3</v>
      </c>
      <c r="S5" s="6" t="s">
        <v>65</v>
      </c>
      <c r="T5" s="6">
        <v>3</v>
      </c>
      <c r="U5" s="6" t="s">
        <v>66</v>
      </c>
      <c r="V5" s="6">
        <v>3</v>
      </c>
      <c r="W5" s="6" t="s">
        <v>67</v>
      </c>
      <c r="X5" s="6">
        <v>3</v>
      </c>
      <c r="AC5" t="s">
        <v>68</v>
      </c>
    </row>
    <row r="6" customFormat="1" spans="1:30">
      <c r="A6">
        <v>4</v>
      </c>
      <c r="B6" t="s">
        <v>60</v>
      </c>
      <c r="C6">
        <v>1</v>
      </c>
      <c r="D6" t="s">
        <v>71</v>
      </c>
      <c r="E6">
        <v>30070010</v>
      </c>
      <c r="F6">
        <v>2</v>
      </c>
      <c r="G6">
        <v>30070011</v>
      </c>
      <c r="H6">
        <v>2</v>
      </c>
      <c r="I6">
        <v>30070012</v>
      </c>
      <c r="J6">
        <v>2</v>
      </c>
      <c r="K6">
        <v>1</v>
      </c>
      <c r="L6" t="s">
        <v>70</v>
      </c>
      <c r="M6" s="6" t="s">
        <v>62</v>
      </c>
      <c r="N6" s="6">
        <v>3</v>
      </c>
      <c r="O6" s="6" t="s">
        <v>63</v>
      </c>
      <c r="P6" s="6">
        <v>3</v>
      </c>
      <c r="Q6" s="6" t="s">
        <v>64</v>
      </c>
      <c r="R6" s="6">
        <v>3</v>
      </c>
      <c r="S6" s="6" t="s">
        <v>65</v>
      </c>
      <c r="T6" s="6">
        <v>3</v>
      </c>
      <c r="U6" s="6" t="s">
        <v>66</v>
      </c>
      <c r="V6" s="6">
        <v>3</v>
      </c>
      <c r="W6" s="6" t="s">
        <v>67</v>
      </c>
      <c r="X6" s="6">
        <v>3</v>
      </c>
      <c r="AC6" t="s">
        <v>68</v>
      </c>
    </row>
    <row r="7" customFormat="1" spans="1:30">
      <c r="A7">
        <v>5</v>
      </c>
      <c r="B7" t="s">
        <v>60</v>
      </c>
      <c r="C7">
        <v>1</v>
      </c>
      <c r="D7" t="s">
        <v>72</v>
      </c>
      <c r="E7">
        <v>30070010</v>
      </c>
      <c r="F7">
        <v>2</v>
      </c>
      <c r="G7">
        <v>30070011</v>
      </c>
      <c r="H7">
        <v>2</v>
      </c>
      <c r="I7">
        <v>30070012</v>
      </c>
      <c r="J7">
        <v>2</v>
      </c>
      <c r="K7">
        <v>1</v>
      </c>
      <c r="L7" t="s">
        <v>71</v>
      </c>
      <c r="M7" s="6" t="s">
        <v>62</v>
      </c>
      <c r="N7" s="6">
        <v>3</v>
      </c>
      <c r="O7" s="6" t="s">
        <v>63</v>
      </c>
      <c r="P7" s="6">
        <v>3</v>
      </c>
      <c r="Q7" s="6" t="s">
        <v>64</v>
      </c>
      <c r="R7" s="6">
        <v>3</v>
      </c>
      <c r="S7" s="6" t="s">
        <v>65</v>
      </c>
      <c r="T7" s="6">
        <v>3</v>
      </c>
      <c r="U7" s="6" t="s">
        <v>66</v>
      </c>
      <c r="V7" s="6">
        <v>3</v>
      </c>
      <c r="W7" s="6" t="s">
        <v>67</v>
      </c>
      <c r="X7" s="6">
        <v>3</v>
      </c>
      <c r="AC7" t="s">
        <v>68</v>
      </c>
    </row>
    <row r="8" customFormat="1" spans="1:30">
      <c r="A8">
        <v>6</v>
      </c>
      <c r="B8" s="8" t="s">
        <v>73</v>
      </c>
      <c r="C8">
        <v>2</v>
      </c>
      <c r="D8" t="s">
        <v>61</v>
      </c>
      <c r="E8">
        <v>34040002</v>
      </c>
      <c r="F8">
        <v>1</v>
      </c>
      <c r="G8">
        <v>34040003</v>
      </c>
      <c r="H8">
        <v>1</v>
      </c>
      <c r="M8" s="6" t="s">
        <v>62</v>
      </c>
      <c r="N8" s="6">
        <v>1</v>
      </c>
      <c r="O8" s="6" t="s">
        <v>63</v>
      </c>
      <c r="P8" s="6">
        <v>1</v>
      </c>
      <c r="Q8" s="6" t="s">
        <v>64</v>
      </c>
      <c r="R8" s="6">
        <v>1</v>
      </c>
      <c r="S8" s="6" t="s">
        <v>65</v>
      </c>
      <c r="T8" s="6">
        <v>1</v>
      </c>
      <c r="U8" s="6" t="s">
        <v>66</v>
      </c>
      <c r="V8" s="6">
        <v>1</v>
      </c>
      <c r="W8" s="6" t="s">
        <v>67</v>
      </c>
      <c r="X8" s="6">
        <v>1</v>
      </c>
      <c r="AC8" t="s">
        <v>74</v>
      </c>
    </row>
    <row r="9" customFormat="1" spans="1:30">
      <c r="A9">
        <v>7</v>
      </c>
      <c r="B9" s="8" t="s">
        <v>73</v>
      </c>
      <c r="C9">
        <v>2</v>
      </c>
      <c r="D9" t="s">
        <v>69</v>
      </c>
      <c r="E9">
        <v>34040002</v>
      </c>
      <c r="F9">
        <v>1</v>
      </c>
      <c r="G9">
        <v>34040003</v>
      </c>
      <c r="H9">
        <v>1</v>
      </c>
      <c r="I9">
        <v>34040004</v>
      </c>
      <c r="J9">
        <v>1</v>
      </c>
      <c r="K9">
        <v>2</v>
      </c>
      <c r="L9" t="s">
        <v>61</v>
      </c>
      <c r="M9" s="6" t="s">
        <v>62</v>
      </c>
      <c r="N9" s="6">
        <v>2</v>
      </c>
      <c r="O9" s="6" t="s">
        <v>63</v>
      </c>
      <c r="P9" s="6">
        <v>2</v>
      </c>
      <c r="Q9" s="6" t="s">
        <v>64</v>
      </c>
      <c r="R9" s="6">
        <v>2</v>
      </c>
      <c r="S9" s="6" t="s">
        <v>65</v>
      </c>
      <c r="T9" s="6">
        <v>2</v>
      </c>
      <c r="U9" s="6" t="s">
        <v>66</v>
      </c>
      <c r="V9" s="6">
        <v>2</v>
      </c>
      <c r="W9" s="6" t="s">
        <v>67</v>
      </c>
      <c r="X9" s="6">
        <v>2</v>
      </c>
      <c r="AC9" t="s">
        <v>74</v>
      </c>
    </row>
    <row r="10" customFormat="1" spans="1:30">
      <c r="A10">
        <v>8</v>
      </c>
      <c r="B10" s="8" t="s">
        <v>73</v>
      </c>
      <c r="C10">
        <v>2</v>
      </c>
      <c r="D10" t="s">
        <v>70</v>
      </c>
      <c r="E10">
        <v>34040002</v>
      </c>
      <c r="F10">
        <v>2</v>
      </c>
      <c r="G10">
        <v>34040003</v>
      </c>
      <c r="H10">
        <v>2</v>
      </c>
      <c r="I10">
        <v>34040004</v>
      </c>
      <c r="J10">
        <v>2</v>
      </c>
      <c r="K10">
        <v>2</v>
      </c>
      <c r="L10" t="s">
        <v>69</v>
      </c>
      <c r="M10" s="6" t="s">
        <v>62</v>
      </c>
      <c r="N10" s="6">
        <v>3</v>
      </c>
      <c r="O10" s="6" t="s">
        <v>63</v>
      </c>
      <c r="P10" s="6">
        <v>3</v>
      </c>
      <c r="Q10" s="6" t="s">
        <v>64</v>
      </c>
      <c r="R10" s="6">
        <v>3</v>
      </c>
      <c r="S10" s="6" t="s">
        <v>65</v>
      </c>
      <c r="T10" s="6">
        <v>3</v>
      </c>
      <c r="U10" s="6" t="s">
        <v>66</v>
      </c>
      <c r="V10" s="6">
        <v>3</v>
      </c>
      <c r="W10" s="6" t="s">
        <v>67</v>
      </c>
      <c r="X10" s="6">
        <v>3</v>
      </c>
      <c r="AC10" t="s">
        <v>74</v>
      </c>
    </row>
    <row r="11" customFormat="1" spans="1:30">
      <c r="A11">
        <v>9</v>
      </c>
      <c r="B11" s="8" t="s">
        <v>73</v>
      </c>
      <c r="C11">
        <v>2</v>
      </c>
      <c r="D11" t="s">
        <v>71</v>
      </c>
      <c r="E11">
        <v>34040002</v>
      </c>
      <c r="F11">
        <v>2</v>
      </c>
      <c r="G11">
        <v>34040003</v>
      </c>
      <c r="H11">
        <v>2</v>
      </c>
      <c r="I11">
        <v>34040004</v>
      </c>
      <c r="J11">
        <v>2</v>
      </c>
      <c r="K11">
        <v>2</v>
      </c>
      <c r="L11" t="s">
        <v>70</v>
      </c>
      <c r="M11" s="6" t="s">
        <v>62</v>
      </c>
      <c r="N11" s="6">
        <v>3</v>
      </c>
      <c r="O11" s="6" t="s">
        <v>63</v>
      </c>
      <c r="P11" s="6">
        <v>3</v>
      </c>
      <c r="Q11" s="6" t="s">
        <v>64</v>
      </c>
      <c r="R11" s="6">
        <v>3</v>
      </c>
      <c r="S11" s="6" t="s">
        <v>65</v>
      </c>
      <c r="T11" s="6">
        <v>3</v>
      </c>
      <c r="U11" s="6" t="s">
        <v>66</v>
      </c>
      <c r="V11" s="6">
        <v>3</v>
      </c>
      <c r="W11" s="6" t="s">
        <v>67</v>
      </c>
      <c r="X11" s="6">
        <v>3</v>
      </c>
      <c r="AC11" t="s">
        <v>74</v>
      </c>
    </row>
    <row r="12" customFormat="1" spans="1:30">
      <c r="A12">
        <v>10</v>
      </c>
      <c r="B12" s="8" t="s">
        <v>73</v>
      </c>
      <c r="C12">
        <v>2</v>
      </c>
      <c r="D12" t="s">
        <v>72</v>
      </c>
      <c r="E12">
        <v>34040002</v>
      </c>
      <c r="F12">
        <v>2</v>
      </c>
      <c r="G12">
        <v>34040003</v>
      </c>
      <c r="H12">
        <v>2</v>
      </c>
      <c r="I12">
        <v>34040004</v>
      </c>
      <c r="J12">
        <v>2</v>
      </c>
      <c r="K12">
        <v>2</v>
      </c>
      <c r="L12" t="s">
        <v>71</v>
      </c>
      <c r="M12" s="6" t="s">
        <v>62</v>
      </c>
      <c r="N12" s="6">
        <v>3</v>
      </c>
      <c r="O12" s="6" t="s">
        <v>63</v>
      </c>
      <c r="P12" s="6">
        <v>3</v>
      </c>
      <c r="Q12" s="6" t="s">
        <v>64</v>
      </c>
      <c r="R12" s="6">
        <v>3</v>
      </c>
      <c r="S12" s="6" t="s">
        <v>65</v>
      </c>
      <c r="T12" s="6">
        <v>3</v>
      </c>
      <c r="U12" s="6" t="s">
        <v>66</v>
      </c>
      <c r="V12" s="6">
        <v>3</v>
      </c>
      <c r="W12" s="6" t="s">
        <v>67</v>
      </c>
      <c r="X12" s="6">
        <v>3</v>
      </c>
      <c r="AC12" t="s">
        <v>74</v>
      </c>
    </row>
    <row r="19" spans="13:24"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</sheetData>
  <conditionalFormatting sqref="M1">
    <cfRule type="expression" dxfId="0" priority="51">
      <formula>AND(#REF!="金色",$AE1="")</formula>
    </cfRule>
    <cfRule type="expression" dxfId="1" priority="52">
      <formula>AND(#REF!="红色",$AE1="")</formula>
    </cfRule>
    <cfRule type="expression" dxfId="2" priority="53">
      <formula>AND(#REF!="橙色",$AE1="")</formula>
    </cfRule>
    <cfRule type="expression" dxfId="3" priority="54">
      <formula>AND(#REF!="紫色",$AE1="")</formula>
    </cfRule>
    <cfRule type="expression" dxfId="4" priority="55">
      <formula>AND(#REF!="蓝色",$AE1="")</formula>
    </cfRule>
  </conditionalFormatting>
  <conditionalFormatting sqref="N1:O1">
    <cfRule type="expression" dxfId="0" priority="46">
      <formula>AND(#REF!="金色",$AE1="")</formula>
    </cfRule>
    <cfRule type="expression" dxfId="1" priority="47">
      <formula>AND(#REF!="红色",$AE1="")</formula>
    </cfRule>
    <cfRule type="expression" dxfId="2" priority="48">
      <formula>AND(#REF!="橙色",$AE1="")</formula>
    </cfRule>
    <cfRule type="expression" dxfId="3" priority="49">
      <formula>AND(#REF!="紫色",$AE1="")</formula>
    </cfRule>
    <cfRule type="expression" dxfId="4" priority="50">
      <formula>AND(#REF!="蓝色",$AE1="")</formula>
    </cfRule>
  </conditionalFormatting>
  <conditionalFormatting sqref="P1:Q1">
    <cfRule type="expression" dxfId="0" priority="36">
      <formula>AND(#REF!="金色",$AE1="")</formula>
    </cfRule>
    <cfRule type="expression" dxfId="1" priority="37">
      <formula>AND(#REF!="红色",$AE1="")</formula>
    </cfRule>
    <cfRule type="expression" dxfId="2" priority="38">
      <formula>AND(#REF!="橙色",$AE1="")</formula>
    </cfRule>
    <cfRule type="expression" dxfId="3" priority="39">
      <formula>AND(#REF!="紫色",$AE1="")</formula>
    </cfRule>
    <cfRule type="expression" dxfId="4" priority="40">
      <formula>AND(#REF!="蓝色",$AE1="")</formula>
    </cfRule>
  </conditionalFormatting>
  <conditionalFormatting sqref="R1">
    <cfRule type="expression" dxfId="0" priority="31">
      <formula>AND(#REF!="金色",$AE1="")</formula>
    </cfRule>
    <cfRule type="expression" dxfId="1" priority="32">
      <formula>AND(#REF!="红色",$AE1="")</formula>
    </cfRule>
    <cfRule type="expression" dxfId="2" priority="33">
      <formula>AND(#REF!="橙色",$AE1="")</formula>
    </cfRule>
    <cfRule type="expression" dxfId="3" priority="34">
      <formula>AND(#REF!="紫色",$AE1="")</formula>
    </cfRule>
    <cfRule type="expression" dxfId="4" priority="35">
      <formula>AND(#REF!="蓝色",$AE1="")</formula>
    </cfRule>
  </conditionalFormatting>
  <conditionalFormatting sqref="M2">
    <cfRule type="expression" dxfId="0" priority="61">
      <formula>AND(#REF!="金色",$AE3="")</formula>
    </cfRule>
    <cfRule type="expression" dxfId="1" priority="62">
      <formula>AND(#REF!="红色",$AE3="")</formula>
    </cfRule>
    <cfRule type="expression" dxfId="2" priority="63">
      <formula>AND(#REF!="橙色",$AE3="")</formula>
    </cfRule>
    <cfRule type="expression" dxfId="3" priority="64">
      <formula>AND(#REF!="紫色",$AE3="")</formula>
    </cfRule>
    <cfRule type="expression" dxfId="4" priority="65">
      <formula>AND(#REF!="蓝色",$AE3="")</formula>
    </cfRule>
  </conditionalFormatting>
  <conditionalFormatting sqref="N2:O2">
    <cfRule type="expression" dxfId="0" priority="76">
      <formula>AND(#REF!="金色",$AE3="")</formula>
    </cfRule>
    <cfRule type="expression" dxfId="1" priority="77">
      <formula>AND(#REF!="红色",$AE3="")</formula>
    </cfRule>
    <cfRule type="expression" dxfId="2" priority="78">
      <formula>AND(#REF!="橙色",$AE3="")</formula>
    </cfRule>
    <cfRule type="expression" dxfId="3" priority="79">
      <formula>AND(#REF!="紫色",$AE3="")</formula>
    </cfRule>
    <cfRule type="expression" dxfId="4" priority="80">
      <formula>AND(#REF!="蓝色",$AE3="")</formula>
    </cfRule>
  </conditionalFormatting>
  <conditionalFormatting sqref="P2:Q2">
    <cfRule type="expression" dxfId="0" priority="81">
      <formula>AND(#REF!="金色",$AE3="")</formula>
    </cfRule>
    <cfRule type="expression" dxfId="1" priority="82">
      <formula>AND(#REF!="红色",$AE3="")</formula>
    </cfRule>
    <cfRule type="expression" dxfId="2" priority="83">
      <formula>AND(#REF!="橙色",$AE3="")</formula>
    </cfRule>
    <cfRule type="expression" dxfId="3" priority="84">
      <formula>AND(#REF!="紫色",$AE3="")</formula>
    </cfRule>
    <cfRule type="expression" dxfId="4" priority="85">
      <formula>AND(#REF!="蓝色",$AE3="")</formula>
    </cfRule>
  </conditionalFormatting>
  <conditionalFormatting sqref="R2">
    <cfRule type="expression" dxfId="0" priority="66">
      <formula>AND(#REF!="金色",$AE3="")</formula>
    </cfRule>
    <cfRule type="expression" dxfId="1" priority="67">
      <formula>AND(#REF!="红色",$AE3="")</formula>
    </cfRule>
    <cfRule type="expression" dxfId="2" priority="68">
      <formula>AND(#REF!="橙色",$AE3="")</formula>
    </cfRule>
    <cfRule type="expression" dxfId="3" priority="69">
      <formula>AND(#REF!="紫色",$AE3="")</formula>
    </cfRule>
    <cfRule type="expression" dxfId="4" priority="70">
      <formula>AND(#REF!="蓝色",$AE3="")</formula>
    </cfRule>
  </conditionalFormatting>
  <conditionalFormatting sqref="S1:T1 W1:X1 AA1:AB1">
    <cfRule type="expression" dxfId="0" priority="56">
      <formula>AND(#REF!="金色",$AE1="")</formula>
    </cfRule>
    <cfRule type="expression" dxfId="1" priority="57">
      <formula>AND(#REF!="红色",$AE1="")</formula>
    </cfRule>
    <cfRule type="expression" dxfId="2" priority="58">
      <formula>AND(#REF!="橙色",$AE1="")</formula>
    </cfRule>
    <cfRule type="expression" dxfId="3" priority="59">
      <formula>AND(#REF!="紫色",$AE1="")</formula>
    </cfRule>
    <cfRule type="expression" dxfId="4" priority="60">
      <formula>AND(#REF!="蓝色",$AE1="")</formula>
    </cfRule>
  </conditionalFormatting>
  <conditionalFormatting sqref="U1 Y1">
    <cfRule type="expression" dxfId="0" priority="41">
      <formula>AND(#REF!="金色",$AE1="")</formula>
    </cfRule>
    <cfRule type="expression" dxfId="1" priority="42">
      <formula>AND(#REF!="红色",$AE1="")</formula>
    </cfRule>
    <cfRule type="expression" dxfId="2" priority="43">
      <formula>AND(#REF!="橙色",$AE1="")</formula>
    </cfRule>
    <cfRule type="expression" dxfId="3" priority="44">
      <formula>AND(#REF!="紫色",$AE1="")</formula>
    </cfRule>
    <cfRule type="expression" dxfId="4" priority="45">
      <formula>AND(#REF!="蓝色",$AE1="")</formula>
    </cfRule>
  </conditionalFormatting>
  <conditionalFormatting sqref="S2:T2 W2:X2 AA2:AB2">
    <cfRule type="expression" dxfId="0" priority="86">
      <formula>AND(#REF!="金色",$AE3="")</formula>
    </cfRule>
    <cfRule type="expression" dxfId="1" priority="87">
      <formula>AND(#REF!="红色",$AE3="")</formula>
    </cfRule>
    <cfRule type="expression" dxfId="2" priority="88">
      <formula>AND(#REF!="橙色",$AE3="")</formula>
    </cfRule>
    <cfRule type="expression" dxfId="3" priority="89">
      <formula>AND(#REF!="紫色",$AE3="")</formula>
    </cfRule>
    <cfRule type="expression" dxfId="4" priority="90">
      <formula>AND(#REF!="蓝色",$AE3="")</formula>
    </cfRule>
  </conditionalFormatting>
  <conditionalFormatting sqref="U2 Y2">
    <cfRule type="expression" dxfId="0" priority="71">
      <formula>AND(#REF!="金色",$AE3="")</formula>
    </cfRule>
    <cfRule type="expression" dxfId="1" priority="72">
      <formula>AND(#REF!="红色",$AE3="")</formula>
    </cfRule>
    <cfRule type="expression" dxfId="2" priority="73">
      <formula>AND(#REF!="橙色",$AE3="")</formula>
    </cfRule>
    <cfRule type="expression" dxfId="3" priority="74">
      <formula>AND(#REF!="紫色",$AE3="")</formula>
    </cfRule>
    <cfRule type="expression" dxfId="4" priority="75">
      <formula>AND(#REF!="蓝色",$AE3="")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2"/>
  <sheetViews>
    <sheetView tabSelected="1" workbookViewId="0">
      <selection activeCell="B7" sqref="B7:B8"/>
    </sheetView>
  </sheetViews>
  <sheetFormatPr defaultColWidth="9" defaultRowHeight="14"/>
  <cols>
    <col min="28" max="28" width="12.1818181818182" customWidth="1"/>
    <col min="29" max="29" width="13.3636363636364" customWidth="1"/>
  </cols>
  <sheetData>
    <row r="1" ht="16.5" spans="1:33">
      <c r="A1" t="s">
        <v>75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78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1" t="s">
        <v>22</v>
      </c>
      <c r="S1" s="2" t="s">
        <v>23</v>
      </c>
      <c r="T1" s="1" t="s">
        <v>24</v>
      </c>
      <c r="U1" s="2" t="s">
        <v>25</v>
      </c>
      <c r="V1" s="1" t="s">
        <v>26</v>
      </c>
      <c r="W1" s="2" t="s">
        <v>27</v>
      </c>
      <c r="X1" s="3" t="s">
        <v>79</v>
      </c>
      <c r="Y1" s="3" t="s">
        <v>80</v>
      </c>
      <c r="Z1" s="3" t="s">
        <v>81</v>
      </c>
      <c r="AA1" s="3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28</v>
      </c>
      <c r="AG1" t="s">
        <v>29</v>
      </c>
    </row>
    <row r="2" ht="16.5" spans="1:33">
      <c r="A2" t="s">
        <v>30</v>
      </c>
      <c r="B2" t="s">
        <v>31</v>
      </c>
      <c r="C2" t="s">
        <v>32</v>
      </c>
      <c r="D2" t="s">
        <v>33</v>
      </c>
      <c r="E2" t="s">
        <v>87</v>
      </c>
      <c r="F2" t="s">
        <v>88</v>
      </c>
      <c r="G2" t="s">
        <v>89</v>
      </c>
      <c r="H2" s="1" t="s">
        <v>42</v>
      </c>
      <c r="I2" s="2" t="s">
        <v>43</v>
      </c>
      <c r="J2" s="1" t="s">
        <v>44</v>
      </c>
      <c r="K2" s="2" t="s">
        <v>45</v>
      </c>
      <c r="L2" s="1" t="s">
        <v>46</v>
      </c>
      <c r="M2" s="2" t="s">
        <v>47</v>
      </c>
      <c r="N2" s="1" t="s">
        <v>48</v>
      </c>
      <c r="O2" s="2" t="s">
        <v>49</v>
      </c>
      <c r="P2" s="1" t="s">
        <v>50</v>
      </c>
      <c r="Q2" s="2" t="s">
        <v>51</v>
      </c>
      <c r="R2" s="1" t="s">
        <v>52</v>
      </c>
      <c r="S2" s="2" t="s">
        <v>53</v>
      </c>
      <c r="T2" s="1" t="s">
        <v>54</v>
      </c>
      <c r="U2" s="2" t="s">
        <v>55</v>
      </c>
      <c r="V2" s="1" t="s">
        <v>56</v>
      </c>
      <c r="W2" s="2" t="s">
        <v>57</v>
      </c>
      <c r="X2" s="3" t="s">
        <v>90</v>
      </c>
      <c r="Y2" s="3" t="s">
        <v>91</v>
      </c>
      <c r="Z2" s="3" t="s">
        <v>92</v>
      </c>
      <c r="AA2" s="3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58</v>
      </c>
      <c r="AG2" t="s">
        <v>59</v>
      </c>
    </row>
    <row r="3" ht="14.5" spans="1:33">
      <c r="A3">
        <v>1</v>
      </c>
      <c r="B3" t="s">
        <v>60</v>
      </c>
      <c r="C3">
        <v>1</v>
      </c>
      <c r="D3" t="s">
        <v>61</v>
      </c>
      <c r="E3">
        <v>1</v>
      </c>
      <c r="F3">
        <v>50</v>
      </c>
      <c r="G3" t="s">
        <v>98</v>
      </c>
      <c r="H3" s="6" t="s">
        <v>62</v>
      </c>
      <c r="I3" s="6">
        <v>1</v>
      </c>
      <c r="J3" s="6" t="s">
        <v>63</v>
      </c>
      <c r="K3" s="6">
        <v>1</v>
      </c>
      <c r="L3" s="6" t="s">
        <v>64</v>
      </c>
      <c r="M3" s="6">
        <v>1</v>
      </c>
      <c r="N3" s="6" t="s">
        <v>65</v>
      </c>
      <c r="O3" s="6">
        <v>1</v>
      </c>
      <c r="P3" s="6" t="s">
        <v>66</v>
      </c>
      <c r="Q3" s="6">
        <v>1</v>
      </c>
      <c r="R3" s="6" t="s">
        <v>67</v>
      </c>
      <c r="S3" s="6">
        <v>1</v>
      </c>
      <c r="X3">
        <v>1000</v>
      </c>
      <c r="Y3">
        <v>1000</v>
      </c>
      <c r="Z3">
        <v>1000</v>
      </c>
      <c r="AB3" s="7">
        <v>10370001</v>
      </c>
      <c r="AC3" s="7"/>
      <c r="AD3">
        <v>13002</v>
      </c>
      <c r="AF3" t="s">
        <v>68</v>
      </c>
    </row>
    <row r="4" ht="14.5" spans="1:33">
      <c r="A4">
        <v>2</v>
      </c>
      <c r="B4" t="s">
        <v>60</v>
      </c>
      <c r="C4">
        <v>1</v>
      </c>
      <c r="D4" t="s">
        <v>61</v>
      </c>
      <c r="E4">
        <v>2</v>
      </c>
      <c r="F4">
        <f>F3+F3</f>
        <v>100</v>
      </c>
      <c r="G4" t="s">
        <v>98</v>
      </c>
      <c r="H4" s="6" t="s">
        <v>62</v>
      </c>
      <c r="I4" s="6">
        <v>2</v>
      </c>
      <c r="J4" s="6" t="s">
        <v>63</v>
      </c>
      <c r="K4" s="6">
        <v>2</v>
      </c>
      <c r="L4" s="6" t="s">
        <v>64</v>
      </c>
      <c r="M4" s="6">
        <v>2</v>
      </c>
      <c r="N4" s="6" t="s">
        <v>65</v>
      </c>
      <c r="O4" s="6">
        <v>2</v>
      </c>
      <c r="P4" s="6" t="s">
        <v>66</v>
      </c>
      <c r="Q4" s="6">
        <v>2</v>
      </c>
      <c r="R4" s="6" t="s">
        <v>67</v>
      </c>
      <c r="S4" s="6">
        <v>2</v>
      </c>
      <c r="X4">
        <f>X3+100</f>
        <v>1100</v>
      </c>
      <c r="Y4">
        <f t="shared" ref="Y4:Y33" si="0">Y3+100</f>
        <v>1100</v>
      </c>
      <c r="Z4">
        <f t="shared" ref="Z4:Z33" si="1">Z3+100</f>
        <v>1100</v>
      </c>
      <c r="AB4" s="7">
        <v>10370001</v>
      </c>
      <c r="AC4" s="7"/>
      <c r="AD4">
        <v>13002</v>
      </c>
      <c r="AF4" t="s">
        <v>68</v>
      </c>
    </row>
    <row r="5" ht="14.5" spans="1:33">
      <c r="A5">
        <v>3</v>
      </c>
      <c r="B5" t="s">
        <v>60</v>
      </c>
      <c r="C5">
        <v>1</v>
      </c>
      <c r="D5" t="s">
        <v>61</v>
      </c>
      <c r="E5">
        <v>3</v>
      </c>
      <c r="F5">
        <f t="shared" ref="F5:F19" si="2">F4+F4</f>
        <v>200</v>
      </c>
      <c r="G5" t="s">
        <v>98</v>
      </c>
      <c r="H5" s="6" t="s">
        <v>62</v>
      </c>
      <c r="I5" s="6">
        <v>3</v>
      </c>
      <c r="J5" s="6" t="s">
        <v>63</v>
      </c>
      <c r="K5" s="6">
        <v>3</v>
      </c>
      <c r="L5" s="6" t="s">
        <v>64</v>
      </c>
      <c r="M5" s="6">
        <v>3</v>
      </c>
      <c r="N5" s="6" t="s">
        <v>65</v>
      </c>
      <c r="O5" s="6">
        <v>3</v>
      </c>
      <c r="P5" s="6" t="s">
        <v>66</v>
      </c>
      <c r="Q5" s="6">
        <v>3</v>
      </c>
      <c r="R5" s="6" t="s">
        <v>67</v>
      </c>
      <c r="S5" s="6">
        <v>3</v>
      </c>
      <c r="X5">
        <f t="shared" ref="X5:X33" si="3">X4+100</f>
        <v>1200</v>
      </c>
      <c r="Y5">
        <f t="shared" si="0"/>
        <v>1200</v>
      </c>
      <c r="Z5">
        <f t="shared" si="1"/>
        <v>1200</v>
      </c>
      <c r="AB5" s="7">
        <v>10370001</v>
      </c>
      <c r="AC5" s="7"/>
      <c r="AD5">
        <v>13002</v>
      </c>
      <c r="AF5" t="s">
        <v>68</v>
      </c>
    </row>
    <row r="6" ht="14.5" spans="1:33">
      <c r="A6">
        <v>4</v>
      </c>
      <c r="B6" t="s">
        <v>60</v>
      </c>
      <c r="C6">
        <v>1</v>
      </c>
      <c r="D6" t="s">
        <v>61</v>
      </c>
      <c r="E6">
        <v>4</v>
      </c>
      <c r="F6">
        <f t="shared" si="2"/>
        <v>400</v>
      </c>
      <c r="G6" t="s">
        <v>98</v>
      </c>
      <c r="H6" s="6" t="s">
        <v>62</v>
      </c>
      <c r="I6" s="6">
        <v>4</v>
      </c>
      <c r="J6" s="6" t="s">
        <v>63</v>
      </c>
      <c r="K6" s="6">
        <v>4</v>
      </c>
      <c r="L6" s="6" t="s">
        <v>64</v>
      </c>
      <c r="M6" s="6">
        <v>4</v>
      </c>
      <c r="N6" s="6" t="s">
        <v>65</v>
      </c>
      <c r="O6" s="6">
        <v>4</v>
      </c>
      <c r="P6" s="6" t="s">
        <v>66</v>
      </c>
      <c r="Q6" s="6">
        <v>4</v>
      </c>
      <c r="R6" s="6" t="s">
        <v>67</v>
      </c>
      <c r="S6" s="6">
        <v>4</v>
      </c>
      <c r="X6">
        <f t="shared" si="3"/>
        <v>1300</v>
      </c>
      <c r="Y6">
        <f t="shared" si="0"/>
        <v>1300</v>
      </c>
      <c r="Z6">
        <f t="shared" si="1"/>
        <v>1300</v>
      </c>
      <c r="AB6" s="7">
        <v>10370001</v>
      </c>
      <c r="AC6" s="7"/>
      <c r="AD6">
        <v>13002</v>
      </c>
      <c r="AF6" t="s">
        <v>68</v>
      </c>
    </row>
    <row r="7" ht="14.5" spans="1:33">
      <c r="A7">
        <v>5</v>
      </c>
      <c r="B7" t="s">
        <v>60</v>
      </c>
      <c r="C7">
        <v>1</v>
      </c>
      <c r="D7" t="s">
        <v>61</v>
      </c>
      <c r="E7">
        <v>5</v>
      </c>
      <c r="F7">
        <f t="shared" si="2"/>
        <v>800</v>
      </c>
      <c r="G7" t="s">
        <v>98</v>
      </c>
      <c r="H7" s="6" t="s">
        <v>62</v>
      </c>
      <c r="I7" s="6">
        <v>5</v>
      </c>
      <c r="J7" s="6" t="s">
        <v>63</v>
      </c>
      <c r="K7" s="6">
        <v>5</v>
      </c>
      <c r="L7" s="6" t="s">
        <v>64</v>
      </c>
      <c r="M7" s="6">
        <v>5</v>
      </c>
      <c r="N7" s="6" t="s">
        <v>65</v>
      </c>
      <c r="O7" s="6">
        <v>5</v>
      </c>
      <c r="P7" s="6" t="s">
        <v>66</v>
      </c>
      <c r="Q7" s="6">
        <v>5</v>
      </c>
      <c r="R7" s="6" t="s">
        <v>67</v>
      </c>
      <c r="S7" s="6">
        <v>5</v>
      </c>
      <c r="X7">
        <f t="shared" si="3"/>
        <v>1400</v>
      </c>
      <c r="Y7">
        <f t="shared" si="0"/>
        <v>1400</v>
      </c>
      <c r="Z7">
        <f t="shared" si="1"/>
        <v>1400</v>
      </c>
      <c r="AB7" s="7">
        <v>10370001</v>
      </c>
      <c r="AC7" s="7"/>
      <c r="AD7">
        <v>13002</v>
      </c>
      <c r="AF7" t="s">
        <v>68</v>
      </c>
    </row>
    <row r="8" ht="14.5" spans="1:33">
      <c r="A8">
        <v>6</v>
      </c>
      <c r="B8" t="s">
        <v>60</v>
      </c>
      <c r="C8">
        <v>1</v>
      </c>
      <c r="D8" t="s">
        <v>69</v>
      </c>
      <c r="E8">
        <v>1</v>
      </c>
      <c r="F8">
        <v>100</v>
      </c>
      <c r="G8" t="s">
        <v>98</v>
      </c>
      <c r="H8" s="6" t="s">
        <v>62</v>
      </c>
      <c r="I8" s="6">
        <v>6</v>
      </c>
      <c r="J8" s="6" t="s">
        <v>63</v>
      </c>
      <c r="K8" s="6">
        <v>6</v>
      </c>
      <c r="L8" s="6" t="s">
        <v>64</v>
      </c>
      <c r="M8" s="6">
        <v>6</v>
      </c>
      <c r="N8" s="6" t="s">
        <v>65</v>
      </c>
      <c r="O8" s="6">
        <v>6</v>
      </c>
      <c r="P8" s="6" t="s">
        <v>66</v>
      </c>
      <c r="Q8" s="6">
        <v>6</v>
      </c>
      <c r="R8" s="6" t="s">
        <v>67</v>
      </c>
      <c r="S8" s="6">
        <v>6</v>
      </c>
      <c r="X8">
        <f t="shared" si="3"/>
        <v>1500</v>
      </c>
      <c r="Y8">
        <f t="shared" si="0"/>
        <v>1500</v>
      </c>
      <c r="Z8">
        <f t="shared" si="1"/>
        <v>1500</v>
      </c>
      <c r="AB8" s="7">
        <v>10370001</v>
      </c>
      <c r="AC8" s="7"/>
      <c r="AD8">
        <v>13002</v>
      </c>
      <c r="AF8" t="s">
        <v>68</v>
      </c>
    </row>
    <row r="9" ht="14.5" spans="1:33">
      <c r="A9">
        <v>7</v>
      </c>
      <c r="B9" t="s">
        <v>60</v>
      </c>
      <c r="C9">
        <v>1</v>
      </c>
      <c r="D9" t="s">
        <v>69</v>
      </c>
      <c r="E9">
        <v>2</v>
      </c>
      <c r="F9">
        <f t="shared" si="2"/>
        <v>200</v>
      </c>
      <c r="G9" t="s">
        <v>98</v>
      </c>
      <c r="H9" s="6" t="s">
        <v>62</v>
      </c>
      <c r="I9" s="6">
        <v>7</v>
      </c>
      <c r="J9" s="6" t="s">
        <v>63</v>
      </c>
      <c r="K9" s="6">
        <v>7</v>
      </c>
      <c r="L9" s="6" t="s">
        <v>64</v>
      </c>
      <c r="M9" s="6">
        <v>7</v>
      </c>
      <c r="N9" s="6" t="s">
        <v>65</v>
      </c>
      <c r="O9" s="6">
        <v>7</v>
      </c>
      <c r="P9" s="6" t="s">
        <v>66</v>
      </c>
      <c r="Q9" s="6">
        <v>7</v>
      </c>
      <c r="R9" s="6" t="s">
        <v>67</v>
      </c>
      <c r="S9" s="6">
        <v>7</v>
      </c>
      <c r="X9">
        <f t="shared" si="3"/>
        <v>1600</v>
      </c>
      <c r="Y9">
        <f t="shared" si="0"/>
        <v>1600</v>
      </c>
      <c r="Z9">
        <f t="shared" si="1"/>
        <v>1600</v>
      </c>
      <c r="AB9" s="7">
        <v>10370001</v>
      </c>
      <c r="AC9" s="7"/>
      <c r="AD9">
        <v>13002</v>
      </c>
      <c r="AF9" t="s">
        <v>68</v>
      </c>
    </row>
    <row r="10" ht="14.5" spans="1:33">
      <c r="A10">
        <v>8</v>
      </c>
      <c r="B10" t="s">
        <v>60</v>
      </c>
      <c r="C10">
        <v>1</v>
      </c>
      <c r="D10" t="s">
        <v>69</v>
      </c>
      <c r="E10">
        <v>3</v>
      </c>
      <c r="F10">
        <f t="shared" si="2"/>
        <v>400</v>
      </c>
      <c r="G10" t="s">
        <v>98</v>
      </c>
      <c r="H10" s="6" t="s">
        <v>62</v>
      </c>
      <c r="I10" s="6">
        <v>8</v>
      </c>
      <c r="J10" s="6" t="s">
        <v>63</v>
      </c>
      <c r="K10" s="6">
        <v>8</v>
      </c>
      <c r="L10" s="6" t="s">
        <v>64</v>
      </c>
      <c r="M10" s="6">
        <v>8</v>
      </c>
      <c r="N10" s="6" t="s">
        <v>65</v>
      </c>
      <c r="O10" s="6">
        <v>8</v>
      </c>
      <c r="P10" s="6" t="s">
        <v>66</v>
      </c>
      <c r="Q10" s="6">
        <v>8</v>
      </c>
      <c r="R10" s="6" t="s">
        <v>67</v>
      </c>
      <c r="S10" s="6">
        <v>8</v>
      </c>
      <c r="X10">
        <f t="shared" si="3"/>
        <v>1700</v>
      </c>
      <c r="Y10">
        <f t="shared" si="0"/>
        <v>1700</v>
      </c>
      <c r="Z10">
        <f t="shared" si="1"/>
        <v>1700</v>
      </c>
      <c r="AB10" s="7">
        <v>10370001</v>
      </c>
      <c r="AC10" s="7"/>
      <c r="AD10">
        <v>13002</v>
      </c>
      <c r="AF10" t="s">
        <v>68</v>
      </c>
    </row>
    <row r="11" ht="14.5" spans="1:33">
      <c r="A11">
        <v>9</v>
      </c>
      <c r="B11" t="s">
        <v>60</v>
      </c>
      <c r="C11">
        <v>1</v>
      </c>
      <c r="D11" t="s">
        <v>69</v>
      </c>
      <c r="E11">
        <v>4</v>
      </c>
      <c r="F11">
        <f t="shared" si="2"/>
        <v>800</v>
      </c>
      <c r="G11" t="s">
        <v>98</v>
      </c>
      <c r="H11" s="6" t="s">
        <v>62</v>
      </c>
      <c r="I11" s="6">
        <v>9</v>
      </c>
      <c r="J11" s="6" t="s">
        <v>63</v>
      </c>
      <c r="K11" s="6">
        <v>9</v>
      </c>
      <c r="L11" s="6" t="s">
        <v>64</v>
      </c>
      <c r="M11" s="6">
        <v>9</v>
      </c>
      <c r="N11" s="6" t="s">
        <v>65</v>
      </c>
      <c r="O11" s="6">
        <v>9</v>
      </c>
      <c r="P11" s="6" t="s">
        <v>66</v>
      </c>
      <c r="Q11" s="6">
        <v>9</v>
      </c>
      <c r="R11" s="6" t="s">
        <v>67</v>
      </c>
      <c r="S11" s="6">
        <v>9</v>
      </c>
      <c r="X11">
        <f t="shared" si="3"/>
        <v>1800</v>
      </c>
      <c r="Y11">
        <f t="shared" si="0"/>
        <v>1800</v>
      </c>
      <c r="Z11">
        <f t="shared" si="1"/>
        <v>1800</v>
      </c>
      <c r="AB11" s="7">
        <v>10370001</v>
      </c>
      <c r="AC11" s="7"/>
      <c r="AD11">
        <v>13002</v>
      </c>
      <c r="AF11" t="s">
        <v>68</v>
      </c>
    </row>
    <row r="12" ht="14.5" spans="1:33">
      <c r="A12">
        <v>10</v>
      </c>
      <c r="B12" t="s">
        <v>60</v>
      </c>
      <c r="C12">
        <v>1</v>
      </c>
      <c r="D12" t="s">
        <v>69</v>
      </c>
      <c r="E12">
        <v>5</v>
      </c>
      <c r="F12">
        <f t="shared" si="2"/>
        <v>1600</v>
      </c>
      <c r="G12" t="s">
        <v>98</v>
      </c>
      <c r="H12" s="6" t="s">
        <v>62</v>
      </c>
      <c r="I12" s="6">
        <v>10</v>
      </c>
      <c r="J12" s="6" t="s">
        <v>63</v>
      </c>
      <c r="K12" s="6">
        <v>10</v>
      </c>
      <c r="L12" s="6" t="s">
        <v>64</v>
      </c>
      <c r="M12" s="6">
        <v>10</v>
      </c>
      <c r="N12" s="6" t="s">
        <v>65</v>
      </c>
      <c r="O12" s="6">
        <v>10</v>
      </c>
      <c r="P12" s="6" t="s">
        <v>66</v>
      </c>
      <c r="Q12" s="6">
        <v>10</v>
      </c>
      <c r="R12" s="6" t="s">
        <v>67</v>
      </c>
      <c r="S12" s="6">
        <v>10</v>
      </c>
      <c r="X12">
        <f t="shared" si="3"/>
        <v>1900</v>
      </c>
      <c r="Y12">
        <f t="shared" si="0"/>
        <v>1900</v>
      </c>
      <c r="Z12">
        <f t="shared" si="1"/>
        <v>1900</v>
      </c>
      <c r="AB12" s="7">
        <v>10370001</v>
      </c>
      <c r="AC12" s="7"/>
      <c r="AD12">
        <v>13002</v>
      </c>
      <c r="AF12" t="s">
        <v>68</v>
      </c>
    </row>
    <row r="13" ht="14.5" spans="1:33">
      <c r="A13">
        <v>11</v>
      </c>
      <c r="B13" t="s">
        <v>60</v>
      </c>
      <c r="C13">
        <v>1</v>
      </c>
      <c r="D13" t="s">
        <v>70</v>
      </c>
      <c r="E13">
        <v>1</v>
      </c>
      <c r="F13">
        <v>200</v>
      </c>
      <c r="G13" t="s">
        <v>98</v>
      </c>
      <c r="H13" s="6" t="s">
        <v>62</v>
      </c>
      <c r="I13" s="6">
        <v>11</v>
      </c>
      <c r="J13" s="6" t="s">
        <v>63</v>
      </c>
      <c r="K13" s="6">
        <v>11</v>
      </c>
      <c r="L13" s="6" t="s">
        <v>64</v>
      </c>
      <c r="M13" s="6">
        <v>11</v>
      </c>
      <c r="N13" s="6" t="s">
        <v>65</v>
      </c>
      <c r="O13" s="6">
        <v>11</v>
      </c>
      <c r="P13" s="6" t="s">
        <v>66</v>
      </c>
      <c r="Q13" s="6">
        <v>11</v>
      </c>
      <c r="R13" s="6" t="s">
        <v>67</v>
      </c>
      <c r="S13" s="6">
        <v>11</v>
      </c>
      <c r="X13">
        <f t="shared" si="3"/>
        <v>2000</v>
      </c>
      <c r="Y13">
        <f t="shared" si="0"/>
        <v>2000</v>
      </c>
      <c r="Z13">
        <f t="shared" si="1"/>
        <v>2000</v>
      </c>
      <c r="AB13" s="7">
        <v>10370001</v>
      </c>
      <c r="AC13" s="7"/>
      <c r="AD13">
        <v>13002</v>
      </c>
      <c r="AF13" t="s">
        <v>68</v>
      </c>
    </row>
    <row r="14" ht="14.5" spans="1:33">
      <c r="A14">
        <v>12</v>
      </c>
      <c r="B14" t="s">
        <v>60</v>
      </c>
      <c r="C14">
        <v>1</v>
      </c>
      <c r="D14" t="s">
        <v>70</v>
      </c>
      <c r="E14">
        <v>2</v>
      </c>
      <c r="F14">
        <f t="shared" si="2"/>
        <v>400</v>
      </c>
      <c r="G14" t="s">
        <v>98</v>
      </c>
      <c r="H14" s="6" t="s">
        <v>62</v>
      </c>
      <c r="I14" s="6">
        <v>12</v>
      </c>
      <c r="J14" s="6" t="s">
        <v>63</v>
      </c>
      <c r="K14" s="6">
        <v>12</v>
      </c>
      <c r="L14" s="6" t="s">
        <v>64</v>
      </c>
      <c r="M14" s="6">
        <v>12</v>
      </c>
      <c r="N14" s="6" t="s">
        <v>65</v>
      </c>
      <c r="O14" s="6">
        <v>12</v>
      </c>
      <c r="P14" s="6" t="s">
        <v>66</v>
      </c>
      <c r="Q14" s="6">
        <v>12</v>
      </c>
      <c r="R14" s="6" t="s">
        <v>67</v>
      </c>
      <c r="S14" s="6">
        <v>12</v>
      </c>
      <c r="X14">
        <f t="shared" si="3"/>
        <v>2100</v>
      </c>
      <c r="Y14">
        <f t="shared" si="0"/>
        <v>2100</v>
      </c>
      <c r="Z14">
        <f t="shared" si="1"/>
        <v>2100</v>
      </c>
      <c r="AB14" s="7">
        <v>10370001</v>
      </c>
      <c r="AC14" s="7"/>
      <c r="AD14">
        <v>13002</v>
      </c>
      <c r="AF14" t="s">
        <v>68</v>
      </c>
    </row>
    <row r="15" ht="14.5" spans="1:33">
      <c r="A15">
        <v>13</v>
      </c>
      <c r="B15" t="s">
        <v>60</v>
      </c>
      <c r="C15">
        <v>1</v>
      </c>
      <c r="D15" t="s">
        <v>70</v>
      </c>
      <c r="E15">
        <v>3</v>
      </c>
      <c r="F15">
        <f t="shared" si="2"/>
        <v>800</v>
      </c>
      <c r="G15" t="s">
        <v>98</v>
      </c>
      <c r="H15" s="6" t="s">
        <v>62</v>
      </c>
      <c r="I15" s="6">
        <v>13</v>
      </c>
      <c r="J15" s="6" t="s">
        <v>63</v>
      </c>
      <c r="K15" s="6">
        <v>13</v>
      </c>
      <c r="L15" s="6" t="s">
        <v>64</v>
      </c>
      <c r="M15" s="6">
        <v>13</v>
      </c>
      <c r="N15" s="6" t="s">
        <v>65</v>
      </c>
      <c r="O15" s="6">
        <v>13</v>
      </c>
      <c r="P15" s="6" t="s">
        <v>66</v>
      </c>
      <c r="Q15" s="6">
        <v>13</v>
      </c>
      <c r="R15" s="6" t="s">
        <v>67</v>
      </c>
      <c r="S15" s="6">
        <v>13</v>
      </c>
      <c r="X15">
        <f t="shared" si="3"/>
        <v>2200</v>
      </c>
      <c r="Y15">
        <f t="shared" si="0"/>
        <v>2200</v>
      </c>
      <c r="Z15">
        <f t="shared" si="1"/>
        <v>2200</v>
      </c>
      <c r="AB15" s="7">
        <v>10370001</v>
      </c>
      <c r="AC15" s="7"/>
      <c r="AD15">
        <v>13002</v>
      </c>
      <c r="AF15" t="s">
        <v>68</v>
      </c>
    </row>
    <row r="16" ht="14.5" spans="1:33">
      <c r="A16">
        <v>14</v>
      </c>
      <c r="B16" t="s">
        <v>60</v>
      </c>
      <c r="C16">
        <v>1</v>
      </c>
      <c r="D16" t="s">
        <v>70</v>
      </c>
      <c r="E16">
        <v>4</v>
      </c>
      <c r="F16">
        <f t="shared" si="2"/>
        <v>1600</v>
      </c>
      <c r="G16" t="s">
        <v>98</v>
      </c>
      <c r="H16" s="6" t="s">
        <v>62</v>
      </c>
      <c r="I16" s="6">
        <v>14</v>
      </c>
      <c r="J16" s="6" t="s">
        <v>63</v>
      </c>
      <c r="K16" s="6">
        <v>14</v>
      </c>
      <c r="L16" s="6" t="s">
        <v>64</v>
      </c>
      <c r="M16" s="6">
        <v>14</v>
      </c>
      <c r="N16" s="6" t="s">
        <v>65</v>
      </c>
      <c r="O16" s="6">
        <v>14</v>
      </c>
      <c r="P16" s="6" t="s">
        <v>66</v>
      </c>
      <c r="Q16" s="6">
        <v>14</v>
      </c>
      <c r="R16" s="6" t="s">
        <v>67</v>
      </c>
      <c r="S16" s="6">
        <v>14</v>
      </c>
      <c r="X16">
        <f t="shared" si="3"/>
        <v>2300</v>
      </c>
      <c r="Y16">
        <f t="shared" si="0"/>
        <v>2300</v>
      </c>
      <c r="Z16">
        <f t="shared" si="1"/>
        <v>2300</v>
      </c>
      <c r="AB16" s="7">
        <v>10370001</v>
      </c>
      <c r="AC16" s="7"/>
      <c r="AD16">
        <v>13002</v>
      </c>
      <c r="AF16" t="s">
        <v>68</v>
      </c>
    </row>
    <row r="17" ht="14.5" spans="1:32">
      <c r="A17">
        <v>15</v>
      </c>
      <c r="B17" t="s">
        <v>60</v>
      </c>
      <c r="C17">
        <v>1</v>
      </c>
      <c r="D17" t="s">
        <v>70</v>
      </c>
      <c r="E17">
        <v>5</v>
      </c>
      <c r="F17">
        <f t="shared" si="2"/>
        <v>3200</v>
      </c>
      <c r="G17" t="s">
        <v>98</v>
      </c>
      <c r="H17" s="6" t="s">
        <v>62</v>
      </c>
      <c r="I17" s="6">
        <v>15</v>
      </c>
      <c r="J17" s="6" t="s">
        <v>63</v>
      </c>
      <c r="K17" s="6">
        <v>15</v>
      </c>
      <c r="L17" s="6" t="s">
        <v>64</v>
      </c>
      <c r="M17" s="6">
        <v>15</v>
      </c>
      <c r="N17" s="6" t="s">
        <v>65</v>
      </c>
      <c r="O17" s="6">
        <v>15</v>
      </c>
      <c r="P17" s="6" t="s">
        <v>66</v>
      </c>
      <c r="Q17" s="6">
        <v>15</v>
      </c>
      <c r="R17" s="6" t="s">
        <v>67</v>
      </c>
      <c r="S17" s="6">
        <v>15</v>
      </c>
      <c r="X17">
        <f t="shared" si="3"/>
        <v>2400</v>
      </c>
      <c r="Y17">
        <f t="shared" si="0"/>
        <v>2400</v>
      </c>
      <c r="Z17">
        <f t="shared" si="1"/>
        <v>2400</v>
      </c>
      <c r="AB17" s="7">
        <v>10370001</v>
      </c>
      <c r="AC17" s="7"/>
      <c r="AD17">
        <v>13002</v>
      </c>
      <c r="AF17" t="s">
        <v>68</v>
      </c>
    </row>
    <row r="18" ht="14.5" spans="1:32">
      <c r="A18">
        <v>16</v>
      </c>
      <c r="B18" t="s">
        <v>60</v>
      </c>
      <c r="C18">
        <v>1</v>
      </c>
      <c r="D18" t="s">
        <v>70</v>
      </c>
      <c r="E18">
        <v>6</v>
      </c>
      <c r="F18">
        <f t="shared" si="2"/>
        <v>6400</v>
      </c>
      <c r="G18" t="s">
        <v>98</v>
      </c>
      <c r="H18" s="6" t="s">
        <v>62</v>
      </c>
      <c r="I18" s="6">
        <v>16</v>
      </c>
      <c r="J18" s="6" t="s">
        <v>63</v>
      </c>
      <c r="K18" s="6">
        <v>16</v>
      </c>
      <c r="L18" s="6" t="s">
        <v>64</v>
      </c>
      <c r="M18" s="6">
        <v>16</v>
      </c>
      <c r="N18" s="6" t="s">
        <v>65</v>
      </c>
      <c r="O18" s="6">
        <v>16</v>
      </c>
      <c r="P18" s="6" t="s">
        <v>66</v>
      </c>
      <c r="Q18" s="6">
        <v>16</v>
      </c>
      <c r="R18" s="6" t="s">
        <v>67</v>
      </c>
      <c r="S18" s="6">
        <v>16</v>
      </c>
      <c r="X18">
        <f t="shared" si="3"/>
        <v>2500</v>
      </c>
      <c r="Y18">
        <f t="shared" si="0"/>
        <v>2500</v>
      </c>
      <c r="Z18">
        <f t="shared" si="1"/>
        <v>2500</v>
      </c>
      <c r="AB18" s="7">
        <v>10370001</v>
      </c>
      <c r="AC18" s="7"/>
      <c r="AD18">
        <v>13002</v>
      </c>
      <c r="AF18" t="s">
        <v>68</v>
      </c>
    </row>
    <row r="19" ht="14.5" spans="1:32">
      <c r="A19">
        <v>17</v>
      </c>
      <c r="B19" t="s">
        <v>60</v>
      </c>
      <c r="C19">
        <v>1</v>
      </c>
      <c r="D19" t="s">
        <v>70</v>
      </c>
      <c r="E19">
        <v>7</v>
      </c>
      <c r="F19">
        <f t="shared" si="2"/>
        <v>12800</v>
      </c>
      <c r="G19" t="s">
        <v>98</v>
      </c>
      <c r="H19" s="6" t="s">
        <v>62</v>
      </c>
      <c r="I19" s="6">
        <v>17</v>
      </c>
      <c r="J19" s="6" t="s">
        <v>63</v>
      </c>
      <c r="K19" s="6">
        <v>17</v>
      </c>
      <c r="L19" s="6" t="s">
        <v>64</v>
      </c>
      <c r="M19" s="6">
        <v>17</v>
      </c>
      <c r="N19" s="6" t="s">
        <v>65</v>
      </c>
      <c r="O19" s="6">
        <v>17</v>
      </c>
      <c r="P19" s="6" t="s">
        <v>66</v>
      </c>
      <c r="Q19" s="6">
        <v>17</v>
      </c>
      <c r="R19" s="6" t="s">
        <v>67</v>
      </c>
      <c r="S19" s="6">
        <v>17</v>
      </c>
      <c r="X19">
        <f t="shared" si="3"/>
        <v>2600</v>
      </c>
      <c r="Y19">
        <f t="shared" si="0"/>
        <v>2600</v>
      </c>
      <c r="Z19">
        <f t="shared" si="1"/>
        <v>2600</v>
      </c>
      <c r="AB19" s="7">
        <v>10370001</v>
      </c>
      <c r="AC19" s="7"/>
      <c r="AD19">
        <v>13002</v>
      </c>
      <c r="AF19" t="s">
        <v>68</v>
      </c>
    </row>
    <row r="20" ht="14.5" spans="1:32">
      <c r="A20">
        <v>18</v>
      </c>
      <c r="B20" t="s">
        <v>60</v>
      </c>
      <c r="C20">
        <v>1</v>
      </c>
      <c r="D20" t="s">
        <v>71</v>
      </c>
      <c r="E20">
        <v>1</v>
      </c>
      <c r="F20">
        <v>300</v>
      </c>
      <c r="G20" t="s">
        <v>98</v>
      </c>
      <c r="H20" s="6" t="s">
        <v>62</v>
      </c>
      <c r="I20" s="6">
        <v>11</v>
      </c>
      <c r="J20" s="6" t="s">
        <v>63</v>
      </c>
      <c r="K20" s="6">
        <v>11</v>
      </c>
      <c r="L20" s="6" t="s">
        <v>64</v>
      </c>
      <c r="M20" s="6">
        <v>11</v>
      </c>
      <c r="N20" s="6" t="s">
        <v>65</v>
      </c>
      <c r="O20" s="6">
        <v>11</v>
      </c>
      <c r="P20" s="6" t="s">
        <v>66</v>
      </c>
      <c r="Q20" s="6">
        <v>11</v>
      </c>
      <c r="R20" s="6" t="s">
        <v>67</v>
      </c>
      <c r="S20" s="6">
        <v>11</v>
      </c>
      <c r="X20">
        <f t="shared" si="3"/>
        <v>2700</v>
      </c>
      <c r="Y20">
        <f t="shared" si="0"/>
        <v>2700</v>
      </c>
      <c r="Z20">
        <f t="shared" si="1"/>
        <v>2700</v>
      </c>
      <c r="AB20" s="7">
        <v>10370001</v>
      </c>
      <c r="AC20" s="7"/>
      <c r="AD20">
        <v>13002</v>
      </c>
      <c r="AF20" t="s">
        <v>68</v>
      </c>
    </row>
    <row r="21" ht="14.5" spans="1:32">
      <c r="A21">
        <v>19</v>
      </c>
      <c r="B21" t="s">
        <v>60</v>
      </c>
      <c r="C21">
        <v>1</v>
      </c>
      <c r="D21" t="s">
        <v>71</v>
      </c>
      <c r="E21">
        <v>2</v>
      </c>
      <c r="F21">
        <f t="shared" ref="F21:F26" si="4">F20+F20</f>
        <v>600</v>
      </c>
      <c r="G21" t="s">
        <v>98</v>
      </c>
      <c r="H21" s="6" t="s">
        <v>62</v>
      </c>
      <c r="I21" s="6">
        <v>12</v>
      </c>
      <c r="J21" s="6" t="s">
        <v>63</v>
      </c>
      <c r="K21" s="6">
        <v>12</v>
      </c>
      <c r="L21" s="6" t="s">
        <v>64</v>
      </c>
      <c r="M21" s="6">
        <v>12</v>
      </c>
      <c r="N21" s="6" t="s">
        <v>65</v>
      </c>
      <c r="O21" s="6">
        <v>12</v>
      </c>
      <c r="P21" s="6" t="s">
        <v>66</v>
      </c>
      <c r="Q21" s="6">
        <v>12</v>
      </c>
      <c r="R21" s="6" t="s">
        <v>67</v>
      </c>
      <c r="S21" s="6">
        <v>12</v>
      </c>
      <c r="X21">
        <f t="shared" si="3"/>
        <v>2800</v>
      </c>
      <c r="Y21">
        <f t="shared" si="0"/>
        <v>2800</v>
      </c>
      <c r="Z21">
        <f t="shared" si="1"/>
        <v>2800</v>
      </c>
      <c r="AB21" s="7">
        <v>10370001</v>
      </c>
      <c r="AC21" s="7"/>
      <c r="AD21">
        <v>13002</v>
      </c>
      <c r="AF21" t="s">
        <v>68</v>
      </c>
    </row>
    <row r="22" ht="14.5" spans="1:32">
      <c r="A22">
        <v>20</v>
      </c>
      <c r="B22" t="s">
        <v>60</v>
      </c>
      <c r="C22">
        <v>1</v>
      </c>
      <c r="D22" t="s">
        <v>71</v>
      </c>
      <c r="E22">
        <v>3</v>
      </c>
      <c r="F22">
        <f t="shared" si="4"/>
        <v>1200</v>
      </c>
      <c r="G22" t="s">
        <v>98</v>
      </c>
      <c r="H22" s="6" t="s">
        <v>62</v>
      </c>
      <c r="I22" s="6">
        <v>13</v>
      </c>
      <c r="J22" s="6" t="s">
        <v>63</v>
      </c>
      <c r="K22" s="6">
        <v>13</v>
      </c>
      <c r="L22" s="6" t="s">
        <v>64</v>
      </c>
      <c r="M22" s="6">
        <v>13</v>
      </c>
      <c r="N22" s="6" t="s">
        <v>65</v>
      </c>
      <c r="O22" s="6">
        <v>13</v>
      </c>
      <c r="P22" s="6" t="s">
        <v>66</v>
      </c>
      <c r="Q22" s="6">
        <v>13</v>
      </c>
      <c r="R22" s="6" t="s">
        <v>67</v>
      </c>
      <c r="S22" s="6">
        <v>13</v>
      </c>
      <c r="X22">
        <f t="shared" si="3"/>
        <v>2900</v>
      </c>
      <c r="Y22">
        <f t="shared" si="0"/>
        <v>2900</v>
      </c>
      <c r="Z22">
        <f t="shared" si="1"/>
        <v>2900</v>
      </c>
      <c r="AB22" s="7">
        <v>10370001</v>
      </c>
      <c r="AC22" s="7"/>
      <c r="AD22">
        <v>13002</v>
      </c>
      <c r="AF22" t="s">
        <v>68</v>
      </c>
    </row>
    <row r="23" ht="14.5" spans="1:32">
      <c r="A23">
        <v>21</v>
      </c>
      <c r="B23" t="s">
        <v>60</v>
      </c>
      <c r="C23">
        <v>1</v>
      </c>
      <c r="D23" t="s">
        <v>71</v>
      </c>
      <c r="E23">
        <v>4</v>
      </c>
      <c r="F23">
        <f t="shared" si="4"/>
        <v>2400</v>
      </c>
      <c r="G23" t="s">
        <v>98</v>
      </c>
      <c r="H23" s="6" t="s">
        <v>62</v>
      </c>
      <c r="I23" s="6">
        <v>14</v>
      </c>
      <c r="J23" s="6" t="s">
        <v>63</v>
      </c>
      <c r="K23" s="6">
        <v>14</v>
      </c>
      <c r="L23" s="6" t="s">
        <v>64</v>
      </c>
      <c r="M23" s="6">
        <v>14</v>
      </c>
      <c r="N23" s="6" t="s">
        <v>65</v>
      </c>
      <c r="O23" s="6">
        <v>14</v>
      </c>
      <c r="P23" s="6" t="s">
        <v>66</v>
      </c>
      <c r="Q23" s="6">
        <v>14</v>
      </c>
      <c r="R23" s="6" t="s">
        <v>67</v>
      </c>
      <c r="S23" s="6">
        <v>14</v>
      </c>
      <c r="X23">
        <f t="shared" si="3"/>
        <v>3000</v>
      </c>
      <c r="Y23">
        <f t="shared" si="0"/>
        <v>3000</v>
      </c>
      <c r="Z23">
        <f t="shared" si="1"/>
        <v>3000</v>
      </c>
      <c r="AB23" s="7">
        <v>10370001</v>
      </c>
      <c r="AC23" s="7"/>
      <c r="AD23">
        <v>13002</v>
      </c>
      <c r="AF23" t="s">
        <v>68</v>
      </c>
    </row>
    <row r="24" ht="14.5" spans="1:32">
      <c r="A24">
        <v>22</v>
      </c>
      <c r="B24" t="s">
        <v>60</v>
      </c>
      <c r="C24">
        <v>1</v>
      </c>
      <c r="D24" t="s">
        <v>71</v>
      </c>
      <c r="E24">
        <v>5</v>
      </c>
      <c r="F24">
        <f t="shared" si="4"/>
        <v>4800</v>
      </c>
      <c r="G24" t="s">
        <v>98</v>
      </c>
      <c r="H24" s="6" t="s">
        <v>62</v>
      </c>
      <c r="I24" s="6">
        <v>15</v>
      </c>
      <c r="J24" s="6" t="s">
        <v>63</v>
      </c>
      <c r="K24" s="6">
        <v>15</v>
      </c>
      <c r="L24" s="6" t="s">
        <v>64</v>
      </c>
      <c r="M24" s="6">
        <v>15</v>
      </c>
      <c r="N24" s="6" t="s">
        <v>65</v>
      </c>
      <c r="O24" s="6">
        <v>15</v>
      </c>
      <c r="P24" s="6" t="s">
        <v>66</v>
      </c>
      <c r="Q24" s="6">
        <v>15</v>
      </c>
      <c r="R24" s="6" t="s">
        <v>67</v>
      </c>
      <c r="S24" s="6">
        <v>15</v>
      </c>
      <c r="X24">
        <f t="shared" si="3"/>
        <v>3100</v>
      </c>
      <c r="Y24">
        <f t="shared" si="0"/>
        <v>3100</v>
      </c>
      <c r="Z24">
        <f t="shared" si="1"/>
        <v>3100</v>
      </c>
      <c r="AB24" s="7">
        <v>10370001</v>
      </c>
      <c r="AC24" s="7"/>
      <c r="AD24">
        <v>13002</v>
      </c>
      <c r="AF24" t="s">
        <v>68</v>
      </c>
    </row>
    <row r="25" ht="14.5" spans="1:32">
      <c r="A25">
        <v>23</v>
      </c>
      <c r="B25" t="s">
        <v>60</v>
      </c>
      <c r="C25">
        <v>1</v>
      </c>
      <c r="D25" t="s">
        <v>71</v>
      </c>
      <c r="E25">
        <v>6</v>
      </c>
      <c r="F25">
        <f t="shared" si="4"/>
        <v>9600</v>
      </c>
      <c r="G25" t="s">
        <v>98</v>
      </c>
      <c r="H25" s="6" t="s">
        <v>62</v>
      </c>
      <c r="I25" s="6">
        <v>16</v>
      </c>
      <c r="J25" s="6" t="s">
        <v>63</v>
      </c>
      <c r="K25" s="6">
        <v>16</v>
      </c>
      <c r="L25" s="6" t="s">
        <v>64</v>
      </c>
      <c r="M25" s="6">
        <v>16</v>
      </c>
      <c r="N25" s="6" t="s">
        <v>65</v>
      </c>
      <c r="O25" s="6">
        <v>16</v>
      </c>
      <c r="P25" s="6" t="s">
        <v>66</v>
      </c>
      <c r="Q25" s="6">
        <v>16</v>
      </c>
      <c r="R25" s="6" t="s">
        <v>67</v>
      </c>
      <c r="S25" s="6">
        <v>16</v>
      </c>
      <c r="X25">
        <f t="shared" si="3"/>
        <v>3200</v>
      </c>
      <c r="Y25">
        <f t="shared" si="0"/>
        <v>3200</v>
      </c>
      <c r="Z25">
        <f t="shared" si="1"/>
        <v>3200</v>
      </c>
      <c r="AB25" s="7">
        <v>10370001</v>
      </c>
      <c r="AC25" s="7"/>
      <c r="AD25">
        <v>13002</v>
      </c>
      <c r="AF25" t="s">
        <v>68</v>
      </c>
    </row>
    <row r="26" ht="14.5" spans="1:32">
      <c r="A26">
        <v>24</v>
      </c>
      <c r="B26" t="s">
        <v>60</v>
      </c>
      <c r="C26">
        <v>1</v>
      </c>
      <c r="D26" t="s">
        <v>71</v>
      </c>
      <c r="E26">
        <v>7</v>
      </c>
      <c r="F26">
        <f t="shared" si="4"/>
        <v>19200</v>
      </c>
      <c r="G26" t="s">
        <v>98</v>
      </c>
      <c r="H26" s="6" t="s">
        <v>62</v>
      </c>
      <c r="I26" s="6">
        <v>17</v>
      </c>
      <c r="J26" s="6" t="s">
        <v>63</v>
      </c>
      <c r="K26" s="6">
        <v>17</v>
      </c>
      <c r="L26" s="6" t="s">
        <v>64</v>
      </c>
      <c r="M26" s="6">
        <v>17</v>
      </c>
      <c r="N26" s="6" t="s">
        <v>65</v>
      </c>
      <c r="O26" s="6">
        <v>17</v>
      </c>
      <c r="P26" s="6" t="s">
        <v>66</v>
      </c>
      <c r="Q26" s="6">
        <v>17</v>
      </c>
      <c r="R26" s="6" t="s">
        <v>67</v>
      </c>
      <c r="S26" s="6">
        <v>17</v>
      </c>
      <c r="X26">
        <f t="shared" si="3"/>
        <v>3300</v>
      </c>
      <c r="Y26">
        <f t="shared" si="0"/>
        <v>3300</v>
      </c>
      <c r="Z26">
        <f t="shared" si="1"/>
        <v>3300</v>
      </c>
      <c r="AB26" s="7">
        <v>10370001</v>
      </c>
      <c r="AC26" s="7"/>
      <c r="AD26">
        <v>13002</v>
      </c>
      <c r="AF26" t="s">
        <v>68</v>
      </c>
    </row>
    <row r="27" ht="14.5" spans="1:32">
      <c r="A27">
        <v>25</v>
      </c>
      <c r="B27" t="s">
        <v>60</v>
      </c>
      <c r="C27">
        <v>1</v>
      </c>
      <c r="D27" t="s">
        <v>72</v>
      </c>
      <c r="E27">
        <v>1</v>
      </c>
      <c r="F27">
        <v>400</v>
      </c>
      <c r="G27" t="s">
        <v>98</v>
      </c>
      <c r="H27" s="6" t="s">
        <v>62</v>
      </c>
      <c r="I27" s="6">
        <v>11</v>
      </c>
      <c r="J27" s="6" t="s">
        <v>63</v>
      </c>
      <c r="K27" s="6">
        <v>11</v>
      </c>
      <c r="L27" s="6" t="s">
        <v>64</v>
      </c>
      <c r="M27" s="6">
        <v>11</v>
      </c>
      <c r="N27" s="6" t="s">
        <v>65</v>
      </c>
      <c r="O27" s="6">
        <v>11</v>
      </c>
      <c r="P27" s="6" t="s">
        <v>66</v>
      </c>
      <c r="Q27" s="6">
        <v>11</v>
      </c>
      <c r="R27" s="6" t="s">
        <v>67</v>
      </c>
      <c r="S27" s="6">
        <v>11</v>
      </c>
      <c r="X27">
        <f t="shared" si="3"/>
        <v>3400</v>
      </c>
      <c r="Y27">
        <f t="shared" si="0"/>
        <v>3400</v>
      </c>
      <c r="Z27">
        <f t="shared" si="1"/>
        <v>3400</v>
      </c>
      <c r="AB27" s="7">
        <v>10370001</v>
      </c>
      <c r="AC27" s="7"/>
      <c r="AD27">
        <v>13002</v>
      </c>
      <c r="AF27" t="s">
        <v>68</v>
      </c>
    </row>
    <row r="28" ht="14.5" spans="1:32">
      <c r="A28">
        <v>26</v>
      </c>
      <c r="B28" t="s">
        <v>60</v>
      </c>
      <c r="C28">
        <v>1</v>
      </c>
      <c r="D28" t="s">
        <v>72</v>
      </c>
      <c r="E28">
        <v>2</v>
      </c>
      <c r="F28">
        <f t="shared" ref="F28:F33" si="5">F27+F27</f>
        <v>800</v>
      </c>
      <c r="G28" t="s">
        <v>98</v>
      </c>
      <c r="H28" s="6" t="s">
        <v>62</v>
      </c>
      <c r="I28" s="6">
        <v>12</v>
      </c>
      <c r="J28" s="6" t="s">
        <v>63</v>
      </c>
      <c r="K28" s="6">
        <v>12</v>
      </c>
      <c r="L28" s="6" t="s">
        <v>64</v>
      </c>
      <c r="M28" s="6">
        <v>12</v>
      </c>
      <c r="N28" s="6" t="s">
        <v>65</v>
      </c>
      <c r="O28" s="6">
        <v>12</v>
      </c>
      <c r="P28" s="6" t="s">
        <v>66</v>
      </c>
      <c r="Q28" s="6">
        <v>12</v>
      </c>
      <c r="R28" s="6" t="s">
        <v>67</v>
      </c>
      <c r="S28" s="6">
        <v>12</v>
      </c>
      <c r="X28">
        <f t="shared" si="3"/>
        <v>3500</v>
      </c>
      <c r="Y28">
        <f t="shared" si="0"/>
        <v>3500</v>
      </c>
      <c r="Z28">
        <f t="shared" si="1"/>
        <v>3500</v>
      </c>
      <c r="AB28" s="7">
        <v>10370001</v>
      </c>
      <c r="AC28" s="7"/>
      <c r="AD28">
        <v>13002</v>
      </c>
      <c r="AF28" t="s">
        <v>68</v>
      </c>
    </row>
    <row r="29" ht="14.5" spans="1:32">
      <c r="A29">
        <v>27</v>
      </c>
      <c r="B29" t="s">
        <v>60</v>
      </c>
      <c r="C29">
        <v>1</v>
      </c>
      <c r="D29" t="s">
        <v>72</v>
      </c>
      <c r="E29">
        <v>3</v>
      </c>
      <c r="F29">
        <f t="shared" si="5"/>
        <v>1600</v>
      </c>
      <c r="G29" t="s">
        <v>98</v>
      </c>
      <c r="H29" s="6" t="s">
        <v>62</v>
      </c>
      <c r="I29" s="6">
        <v>13</v>
      </c>
      <c r="J29" s="6" t="s">
        <v>63</v>
      </c>
      <c r="K29" s="6">
        <v>13</v>
      </c>
      <c r="L29" s="6" t="s">
        <v>64</v>
      </c>
      <c r="M29" s="6">
        <v>13</v>
      </c>
      <c r="N29" s="6" t="s">
        <v>65</v>
      </c>
      <c r="O29" s="6">
        <v>13</v>
      </c>
      <c r="P29" s="6" t="s">
        <v>66</v>
      </c>
      <c r="Q29" s="6">
        <v>13</v>
      </c>
      <c r="R29" s="6" t="s">
        <v>67</v>
      </c>
      <c r="S29" s="6">
        <v>13</v>
      </c>
      <c r="X29">
        <f t="shared" si="3"/>
        <v>3600</v>
      </c>
      <c r="Y29">
        <f t="shared" si="0"/>
        <v>3600</v>
      </c>
      <c r="Z29">
        <f t="shared" si="1"/>
        <v>3600</v>
      </c>
      <c r="AB29" s="7">
        <v>10370001</v>
      </c>
      <c r="AC29" s="7"/>
      <c r="AD29">
        <v>13002</v>
      </c>
      <c r="AF29" t="s">
        <v>68</v>
      </c>
    </row>
    <row r="30" ht="14.5" spans="1:32">
      <c r="A30">
        <v>28</v>
      </c>
      <c r="B30" t="s">
        <v>60</v>
      </c>
      <c r="C30">
        <v>1</v>
      </c>
      <c r="D30" t="s">
        <v>72</v>
      </c>
      <c r="E30">
        <v>4</v>
      </c>
      <c r="F30">
        <f t="shared" si="5"/>
        <v>3200</v>
      </c>
      <c r="G30" t="s">
        <v>98</v>
      </c>
      <c r="H30" s="6" t="s">
        <v>62</v>
      </c>
      <c r="I30" s="6">
        <v>14</v>
      </c>
      <c r="J30" s="6" t="s">
        <v>63</v>
      </c>
      <c r="K30" s="6">
        <v>14</v>
      </c>
      <c r="L30" s="6" t="s">
        <v>64</v>
      </c>
      <c r="M30" s="6">
        <v>14</v>
      </c>
      <c r="N30" s="6" t="s">
        <v>65</v>
      </c>
      <c r="O30" s="6">
        <v>14</v>
      </c>
      <c r="P30" s="6" t="s">
        <v>66</v>
      </c>
      <c r="Q30" s="6">
        <v>14</v>
      </c>
      <c r="R30" s="6" t="s">
        <v>67</v>
      </c>
      <c r="S30" s="6">
        <v>14</v>
      </c>
      <c r="X30">
        <f t="shared" si="3"/>
        <v>3700</v>
      </c>
      <c r="Y30">
        <f t="shared" si="0"/>
        <v>3700</v>
      </c>
      <c r="Z30">
        <f t="shared" si="1"/>
        <v>3700</v>
      </c>
      <c r="AB30" s="7">
        <v>10370001</v>
      </c>
      <c r="AC30" s="7"/>
      <c r="AD30">
        <v>13002</v>
      </c>
      <c r="AF30" t="s">
        <v>68</v>
      </c>
    </row>
    <row r="31" ht="14.5" spans="1:32">
      <c r="A31">
        <v>29</v>
      </c>
      <c r="B31" t="s">
        <v>60</v>
      </c>
      <c r="C31">
        <v>1</v>
      </c>
      <c r="D31" t="s">
        <v>72</v>
      </c>
      <c r="E31">
        <v>5</v>
      </c>
      <c r="F31">
        <f t="shared" si="5"/>
        <v>6400</v>
      </c>
      <c r="G31" t="s">
        <v>98</v>
      </c>
      <c r="H31" s="6" t="s">
        <v>62</v>
      </c>
      <c r="I31" s="6">
        <v>15</v>
      </c>
      <c r="J31" s="6" t="s">
        <v>63</v>
      </c>
      <c r="K31" s="6">
        <v>15</v>
      </c>
      <c r="L31" s="6" t="s">
        <v>64</v>
      </c>
      <c r="M31" s="6">
        <v>15</v>
      </c>
      <c r="N31" s="6" t="s">
        <v>65</v>
      </c>
      <c r="O31" s="6">
        <v>15</v>
      </c>
      <c r="P31" s="6" t="s">
        <v>66</v>
      </c>
      <c r="Q31" s="6">
        <v>15</v>
      </c>
      <c r="R31" s="6" t="s">
        <v>67</v>
      </c>
      <c r="S31" s="6">
        <v>15</v>
      </c>
      <c r="X31">
        <f t="shared" si="3"/>
        <v>3800</v>
      </c>
      <c r="Y31">
        <f t="shared" si="0"/>
        <v>3800</v>
      </c>
      <c r="Z31">
        <f t="shared" si="1"/>
        <v>3800</v>
      </c>
      <c r="AB31" s="7">
        <v>10370001</v>
      </c>
      <c r="AC31" s="7"/>
      <c r="AD31">
        <v>13002</v>
      </c>
      <c r="AF31" t="s">
        <v>68</v>
      </c>
    </row>
    <row r="32" ht="14.5" spans="1:32">
      <c r="A32">
        <v>30</v>
      </c>
      <c r="B32" t="s">
        <v>60</v>
      </c>
      <c r="C32">
        <v>1</v>
      </c>
      <c r="D32" t="s">
        <v>72</v>
      </c>
      <c r="E32">
        <v>6</v>
      </c>
      <c r="F32">
        <f t="shared" si="5"/>
        <v>12800</v>
      </c>
      <c r="G32" t="s">
        <v>98</v>
      </c>
      <c r="H32" s="6" t="s">
        <v>62</v>
      </c>
      <c r="I32" s="6">
        <v>16</v>
      </c>
      <c r="J32" s="6" t="s">
        <v>63</v>
      </c>
      <c r="K32" s="6">
        <v>16</v>
      </c>
      <c r="L32" s="6" t="s">
        <v>64</v>
      </c>
      <c r="M32" s="6">
        <v>16</v>
      </c>
      <c r="N32" s="6" t="s">
        <v>65</v>
      </c>
      <c r="O32" s="6">
        <v>16</v>
      </c>
      <c r="P32" s="6" t="s">
        <v>66</v>
      </c>
      <c r="Q32" s="6">
        <v>16</v>
      </c>
      <c r="R32" s="6" t="s">
        <v>67</v>
      </c>
      <c r="S32" s="6">
        <v>16</v>
      </c>
      <c r="X32">
        <f t="shared" si="3"/>
        <v>3900</v>
      </c>
      <c r="Y32">
        <f t="shared" si="0"/>
        <v>3900</v>
      </c>
      <c r="Z32">
        <f t="shared" si="1"/>
        <v>3900</v>
      </c>
      <c r="AB32" s="7">
        <v>10370001</v>
      </c>
      <c r="AC32" s="7"/>
      <c r="AD32">
        <v>13002</v>
      </c>
      <c r="AF32" t="s">
        <v>68</v>
      </c>
    </row>
    <row r="33" ht="14.5" spans="1:32">
      <c r="A33">
        <v>31</v>
      </c>
      <c r="B33" t="s">
        <v>60</v>
      </c>
      <c r="C33">
        <v>1</v>
      </c>
      <c r="D33" t="s">
        <v>72</v>
      </c>
      <c r="E33">
        <v>7</v>
      </c>
      <c r="F33">
        <f t="shared" si="5"/>
        <v>25600</v>
      </c>
      <c r="G33" t="s">
        <v>98</v>
      </c>
      <c r="H33" s="6" t="s">
        <v>62</v>
      </c>
      <c r="I33" s="6">
        <v>17</v>
      </c>
      <c r="J33" s="6" t="s">
        <v>63</v>
      </c>
      <c r="K33" s="6">
        <v>17</v>
      </c>
      <c r="L33" s="6" t="s">
        <v>64</v>
      </c>
      <c r="M33" s="6">
        <v>17</v>
      </c>
      <c r="N33" s="6" t="s">
        <v>65</v>
      </c>
      <c r="O33" s="6">
        <v>17</v>
      </c>
      <c r="P33" s="6" t="s">
        <v>66</v>
      </c>
      <c r="Q33" s="6">
        <v>17</v>
      </c>
      <c r="R33" s="6" t="s">
        <v>67</v>
      </c>
      <c r="S33" s="6">
        <v>17</v>
      </c>
      <c r="X33">
        <f t="shared" si="3"/>
        <v>4000</v>
      </c>
      <c r="Y33">
        <f t="shared" si="0"/>
        <v>4000</v>
      </c>
      <c r="Z33">
        <f t="shared" si="1"/>
        <v>4000</v>
      </c>
      <c r="AB33" s="7">
        <v>10370001</v>
      </c>
      <c r="AC33" s="7"/>
      <c r="AD33">
        <v>13002</v>
      </c>
      <c r="AF33" t="s">
        <v>68</v>
      </c>
    </row>
    <row r="34" ht="14.5" spans="1:32">
      <c r="A34">
        <v>32</v>
      </c>
      <c r="B34" s="8" t="s">
        <v>73</v>
      </c>
      <c r="C34">
        <v>2</v>
      </c>
      <c r="D34" t="s">
        <v>61</v>
      </c>
      <c r="E34">
        <v>1</v>
      </c>
      <c r="F34">
        <v>50</v>
      </c>
      <c r="G34" t="s">
        <v>98</v>
      </c>
      <c r="H34" s="6" t="s">
        <v>62</v>
      </c>
      <c r="I34" s="6">
        <v>1</v>
      </c>
      <c r="J34" s="6" t="s">
        <v>63</v>
      </c>
      <c r="K34" s="6">
        <v>1</v>
      </c>
      <c r="L34" s="6" t="s">
        <v>64</v>
      </c>
      <c r="M34" s="6">
        <v>1</v>
      </c>
      <c r="N34" s="6" t="s">
        <v>65</v>
      </c>
      <c r="O34" s="6">
        <v>1</v>
      </c>
      <c r="P34" s="6" t="s">
        <v>66</v>
      </c>
      <c r="Q34" s="6">
        <v>1</v>
      </c>
      <c r="R34" s="6" t="s">
        <v>67</v>
      </c>
      <c r="S34" s="6">
        <v>1</v>
      </c>
      <c r="X34">
        <v>1000</v>
      </c>
      <c r="Y34">
        <v>1000</v>
      </c>
      <c r="Z34">
        <v>1000</v>
      </c>
      <c r="AB34" s="7">
        <v>10030001</v>
      </c>
      <c r="AC34" s="7"/>
      <c r="AD34" s="9">
        <v>10001</v>
      </c>
      <c r="AF34" t="s">
        <v>74</v>
      </c>
    </row>
    <row r="35" ht="14.5" spans="1:32">
      <c r="A35">
        <v>33</v>
      </c>
      <c r="B35" s="8" t="s">
        <v>73</v>
      </c>
      <c r="C35">
        <v>2</v>
      </c>
      <c r="D35" t="s">
        <v>61</v>
      </c>
      <c r="E35">
        <v>2</v>
      </c>
      <c r="F35">
        <f t="shared" ref="F35:F38" si="6">F34+F34</f>
        <v>100</v>
      </c>
      <c r="G35" t="s">
        <v>98</v>
      </c>
      <c r="H35" s="6" t="s">
        <v>62</v>
      </c>
      <c r="I35" s="6">
        <v>2</v>
      </c>
      <c r="J35" s="6" t="s">
        <v>63</v>
      </c>
      <c r="K35" s="6">
        <v>2</v>
      </c>
      <c r="L35" s="6" t="s">
        <v>64</v>
      </c>
      <c r="M35" s="6">
        <v>2</v>
      </c>
      <c r="N35" s="6" t="s">
        <v>65</v>
      </c>
      <c r="O35" s="6">
        <v>2</v>
      </c>
      <c r="P35" s="6" t="s">
        <v>66</v>
      </c>
      <c r="Q35" s="6">
        <v>2</v>
      </c>
      <c r="R35" s="6" t="s">
        <v>67</v>
      </c>
      <c r="S35" s="6">
        <v>2</v>
      </c>
      <c r="X35">
        <f t="shared" ref="X35:Z35" si="7">X34+100</f>
        <v>1100</v>
      </c>
      <c r="Y35">
        <f t="shared" si="7"/>
        <v>1100</v>
      </c>
      <c r="Z35">
        <f t="shared" si="7"/>
        <v>1100</v>
      </c>
      <c r="AB35" s="7">
        <v>10030001</v>
      </c>
      <c r="AC35" s="7"/>
      <c r="AD35" s="9">
        <v>10001</v>
      </c>
      <c r="AF35" t="s">
        <v>74</v>
      </c>
    </row>
    <row r="36" ht="14.5" spans="1:32">
      <c r="A36">
        <v>34</v>
      </c>
      <c r="B36" s="8" t="s">
        <v>73</v>
      </c>
      <c r="C36">
        <v>2</v>
      </c>
      <c r="D36" t="s">
        <v>61</v>
      </c>
      <c r="E36">
        <v>3</v>
      </c>
      <c r="F36">
        <f t="shared" si="6"/>
        <v>200</v>
      </c>
      <c r="G36" t="s">
        <v>98</v>
      </c>
      <c r="H36" s="6" t="s">
        <v>62</v>
      </c>
      <c r="I36" s="6">
        <v>3</v>
      </c>
      <c r="J36" s="6" t="s">
        <v>63</v>
      </c>
      <c r="K36" s="6">
        <v>3</v>
      </c>
      <c r="L36" s="6" t="s">
        <v>64</v>
      </c>
      <c r="M36" s="6">
        <v>3</v>
      </c>
      <c r="N36" s="6" t="s">
        <v>65</v>
      </c>
      <c r="O36" s="6">
        <v>3</v>
      </c>
      <c r="P36" s="6" t="s">
        <v>66</v>
      </c>
      <c r="Q36" s="6">
        <v>3</v>
      </c>
      <c r="R36" s="6" t="s">
        <v>67</v>
      </c>
      <c r="S36" s="6">
        <v>3</v>
      </c>
      <c r="X36">
        <f t="shared" ref="X36:Z36" si="8">X35+100</f>
        <v>1200</v>
      </c>
      <c r="Y36">
        <f t="shared" si="8"/>
        <v>1200</v>
      </c>
      <c r="Z36">
        <f t="shared" si="8"/>
        <v>1200</v>
      </c>
      <c r="AB36" s="7">
        <v>10030001</v>
      </c>
      <c r="AC36" s="7"/>
      <c r="AD36" s="9">
        <v>10001</v>
      </c>
      <c r="AF36" t="s">
        <v>74</v>
      </c>
    </row>
    <row r="37" ht="14.5" spans="1:32">
      <c r="A37">
        <v>35</v>
      </c>
      <c r="B37" s="8" t="s">
        <v>73</v>
      </c>
      <c r="C37">
        <v>2</v>
      </c>
      <c r="D37" t="s">
        <v>61</v>
      </c>
      <c r="E37">
        <v>4</v>
      </c>
      <c r="F37">
        <f t="shared" si="6"/>
        <v>400</v>
      </c>
      <c r="G37" t="s">
        <v>98</v>
      </c>
      <c r="H37" s="6" t="s">
        <v>62</v>
      </c>
      <c r="I37" s="6">
        <v>4</v>
      </c>
      <c r="J37" s="6" t="s">
        <v>63</v>
      </c>
      <c r="K37" s="6">
        <v>4</v>
      </c>
      <c r="L37" s="6" t="s">
        <v>64</v>
      </c>
      <c r="M37" s="6">
        <v>4</v>
      </c>
      <c r="N37" s="6" t="s">
        <v>65</v>
      </c>
      <c r="O37" s="6">
        <v>4</v>
      </c>
      <c r="P37" s="6" t="s">
        <v>66</v>
      </c>
      <c r="Q37" s="6">
        <v>4</v>
      </c>
      <c r="R37" s="6" t="s">
        <v>67</v>
      </c>
      <c r="S37" s="6">
        <v>4</v>
      </c>
      <c r="X37">
        <f t="shared" ref="X37:Z37" si="9">X36+100</f>
        <v>1300</v>
      </c>
      <c r="Y37">
        <f t="shared" si="9"/>
        <v>1300</v>
      </c>
      <c r="Z37">
        <f t="shared" si="9"/>
        <v>1300</v>
      </c>
      <c r="AB37" s="7">
        <v>10030001</v>
      </c>
      <c r="AC37" s="7"/>
      <c r="AD37" s="9">
        <v>10001</v>
      </c>
      <c r="AF37" t="s">
        <v>74</v>
      </c>
    </row>
    <row r="38" ht="14.5" spans="1:32">
      <c r="A38">
        <v>36</v>
      </c>
      <c r="B38" s="8" t="s">
        <v>73</v>
      </c>
      <c r="C38">
        <v>2</v>
      </c>
      <c r="D38" t="s">
        <v>61</v>
      </c>
      <c r="E38">
        <v>5</v>
      </c>
      <c r="F38">
        <f t="shared" si="6"/>
        <v>800</v>
      </c>
      <c r="G38" t="s">
        <v>98</v>
      </c>
      <c r="H38" s="6" t="s">
        <v>62</v>
      </c>
      <c r="I38" s="6">
        <v>5</v>
      </c>
      <c r="J38" s="6" t="s">
        <v>63</v>
      </c>
      <c r="K38" s="6">
        <v>5</v>
      </c>
      <c r="L38" s="6" t="s">
        <v>64</v>
      </c>
      <c r="M38" s="6">
        <v>5</v>
      </c>
      <c r="N38" s="6" t="s">
        <v>65</v>
      </c>
      <c r="O38" s="6">
        <v>5</v>
      </c>
      <c r="P38" s="6" t="s">
        <v>66</v>
      </c>
      <c r="Q38" s="6">
        <v>5</v>
      </c>
      <c r="R38" s="6" t="s">
        <v>67</v>
      </c>
      <c r="S38" s="6">
        <v>5</v>
      </c>
      <c r="X38">
        <f t="shared" ref="X38:Z38" si="10">X37+100</f>
        <v>1400</v>
      </c>
      <c r="Y38">
        <f t="shared" si="10"/>
        <v>1400</v>
      </c>
      <c r="Z38">
        <f t="shared" si="10"/>
        <v>1400</v>
      </c>
      <c r="AB38" s="7">
        <v>10030001</v>
      </c>
      <c r="AC38" s="7"/>
      <c r="AD38" s="9">
        <v>10001</v>
      </c>
      <c r="AF38" t="s">
        <v>74</v>
      </c>
    </row>
    <row r="39" ht="14.5" spans="1:32">
      <c r="A39">
        <v>37</v>
      </c>
      <c r="B39" s="8" t="s">
        <v>73</v>
      </c>
      <c r="C39">
        <v>2</v>
      </c>
      <c r="D39" t="s">
        <v>69</v>
      </c>
      <c r="E39">
        <v>1</v>
      </c>
      <c r="F39">
        <v>100</v>
      </c>
      <c r="G39" t="s">
        <v>98</v>
      </c>
      <c r="H39" s="6" t="s">
        <v>62</v>
      </c>
      <c r="I39" s="6">
        <v>6</v>
      </c>
      <c r="J39" s="6" t="s">
        <v>63</v>
      </c>
      <c r="K39" s="6">
        <v>6</v>
      </c>
      <c r="L39" s="6" t="s">
        <v>64</v>
      </c>
      <c r="M39" s="6">
        <v>6</v>
      </c>
      <c r="N39" s="6" t="s">
        <v>65</v>
      </c>
      <c r="O39" s="6">
        <v>6</v>
      </c>
      <c r="P39" s="6" t="s">
        <v>66</v>
      </c>
      <c r="Q39" s="6">
        <v>6</v>
      </c>
      <c r="R39" s="6" t="s">
        <v>67</v>
      </c>
      <c r="S39" s="6">
        <v>6</v>
      </c>
      <c r="X39">
        <f t="shared" ref="X39:Z39" si="11">X38+100</f>
        <v>1500</v>
      </c>
      <c r="Y39">
        <f t="shared" si="11"/>
        <v>1500</v>
      </c>
      <c r="Z39">
        <f t="shared" si="11"/>
        <v>1500</v>
      </c>
      <c r="AB39" s="7">
        <v>10030001</v>
      </c>
      <c r="AC39" s="7"/>
      <c r="AD39" s="9">
        <v>10001</v>
      </c>
      <c r="AF39" t="s">
        <v>74</v>
      </c>
    </row>
    <row r="40" ht="14.5" spans="1:32">
      <c r="A40">
        <v>38</v>
      </c>
      <c r="B40" s="8" t="s">
        <v>73</v>
      </c>
      <c r="C40">
        <v>2</v>
      </c>
      <c r="D40" t="s">
        <v>69</v>
      </c>
      <c r="E40">
        <v>2</v>
      </c>
      <c r="F40">
        <f t="shared" ref="F40:F43" si="12">F39+F39</f>
        <v>200</v>
      </c>
      <c r="G40" t="s">
        <v>98</v>
      </c>
      <c r="H40" s="6" t="s">
        <v>62</v>
      </c>
      <c r="I40" s="6">
        <v>7</v>
      </c>
      <c r="J40" s="6" t="s">
        <v>63</v>
      </c>
      <c r="K40" s="6">
        <v>7</v>
      </c>
      <c r="L40" s="6" t="s">
        <v>64</v>
      </c>
      <c r="M40" s="6">
        <v>7</v>
      </c>
      <c r="N40" s="6" t="s">
        <v>65</v>
      </c>
      <c r="O40" s="6">
        <v>7</v>
      </c>
      <c r="P40" s="6" t="s">
        <v>66</v>
      </c>
      <c r="Q40" s="6">
        <v>7</v>
      </c>
      <c r="R40" s="6" t="s">
        <v>67</v>
      </c>
      <c r="S40" s="6">
        <v>7</v>
      </c>
      <c r="X40">
        <f t="shared" ref="X40:Z40" si="13">X39+100</f>
        <v>1600</v>
      </c>
      <c r="Y40">
        <f t="shared" si="13"/>
        <v>1600</v>
      </c>
      <c r="Z40">
        <f t="shared" si="13"/>
        <v>1600</v>
      </c>
      <c r="AB40" s="7">
        <v>10030001</v>
      </c>
      <c r="AC40" s="7"/>
      <c r="AD40" s="9">
        <v>10001</v>
      </c>
      <c r="AF40" t="s">
        <v>74</v>
      </c>
    </row>
    <row r="41" ht="14.5" spans="1:32">
      <c r="A41">
        <v>39</v>
      </c>
      <c r="B41" s="8" t="s">
        <v>73</v>
      </c>
      <c r="C41">
        <v>2</v>
      </c>
      <c r="D41" t="s">
        <v>69</v>
      </c>
      <c r="E41">
        <v>3</v>
      </c>
      <c r="F41">
        <f t="shared" si="12"/>
        <v>400</v>
      </c>
      <c r="G41" t="s">
        <v>98</v>
      </c>
      <c r="H41" s="6" t="s">
        <v>62</v>
      </c>
      <c r="I41" s="6">
        <v>8</v>
      </c>
      <c r="J41" s="6" t="s">
        <v>63</v>
      </c>
      <c r="K41" s="6">
        <v>8</v>
      </c>
      <c r="L41" s="6" t="s">
        <v>64</v>
      </c>
      <c r="M41" s="6">
        <v>8</v>
      </c>
      <c r="N41" s="6" t="s">
        <v>65</v>
      </c>
      <c r="O41" s="6">
        <v>8</v>
      </c>
      <c r="P41" s="6" t="s">
        <v>66</v>
      </c>
      <c r="Q41" s="6">
        <v>8</v>
      </c>
      <c r="R41" s="6" t="s">
        <v>67</v>
      </c>
      <c r="S41" s="6">
        <v>8</v>
      </c>
      <c r="X41">
        <f t="shared" ref="X41:Z41" si="14">X40+100</f>
        <v>1700</v>
      </c>
      <c r="Y41">
        <f t="shared" si="14"/>
        <v>1700</v>
      </c>
      <c r="Z41">
        <f t="shared" si="14"/>
        <v>1700</v>
      </c>
      <c r="AB41" s="7">
        <v>10030001</v>
      </c>
      <c r="AC41" s="7"/>
      <c r="AD41" s="9">
        <v>10001</v>
      </c>
      <c r="AF41" t="s">
        <v>74</v>
      </c>
    </row>
    <row r="42" ht="14.5" spans="1:32">
      <c r="A42">
        <v>40</v>
      </c>
      <c r="B42" s="8" t="s">
        <v>73</v>
      </c>
      <c r="C42">
        <v>2</v>
      </c>
      <c r="D42" t="s">
        <v>69</v>
      </c>
      <c r="E42">
        <v>4</v>
      </c>
      <c r="F42">
        <f t="shared" si="12"/>
        <v>800</v>
      </c>
      <c r="G42" t="s">
        <v>98</v>
      </c>
      <c r="H42" s="6" t="s">
        <v>62</v>
      </c>
      <c r="I42" s="6">
        <v>9</v>
      </c>
      <c r="J42" s="6" t="s">
        <v>63</v>
      </c>
      <c r="K42" s="6">
        <v>9</v>
      </c>
      <c r="L42" s="6" t="s">
        <v>64</v>
      </c>
      <c r="M42" s="6">
        <v>9</v>
      </c>
      <c r="N42" s="6" t="s">
        <v>65</v>
      </c>
      <c r="O42" s="6">
        <v>9</v>
      </c>
      <c r="P42" s="6" t="s">
        <v>66</v>
      </c>
      <c r="Q42" s="6">
        <v>9</v>
      </c>
      <c r="R42" s="6" t="s">
        <v>67</v>
      </c>
      <c r="S42" s="6">
        <v>9</v>
      </c>
      <c r="X42">
        <f t="shared" ref="X42:Z42" si="15">X41+100</f>
        <v>1800</v>
      </c>
      <c r="Y42">
        <f t="shared" si="15"/>
        <v>1800</v>
      </c>
      <c r="Z42">
        <f t="shared" si="15"/>
        <v>1800</v>
      </c>
      <c r="AB42" s="7">
        <v>10030001</v>
      </c>
      <c r="AC42" s="7"/>
      <c r="AD42" s="9">
        <v>10001</v>
      </c>
      <c r="AF42" t="s">
        <v>74</v>
      </c>
    </row>
    <row r="43" ht="14.5" spans="1:32">
      <c r="A43">
        <v>41</v>
      </c>
      <c r="B43" s="8" t="s">
        <v>73</v>
      </c>
      <c r="C43">
        <v>2</v>
      </c>
      <c r="D43" t="s">
        <v>69</v>
      </c>
      <c r="E43">
        <v>5</v>
      </c>
      <c r="F43">
        <f t="shared" si="12"/>
        <v>1600</v>
      </c>
      <c r="G43" t="s">
        <v>98</v>
      </c>
      <c r="H43" s="6" t="s">
        <v>62</v>
      </c>
      <c r="I43" s="6">
        <v>10</v>
      </c>
      <c r="J43" s="6" t="s">
        <v>63</v>
      </c>
      <c r="K43" s="6">
        <v>10</v>
      </c>
      <c r="L43" s="6" t="s">
        <v>64</v>
      </c>
      <c r="M43" s="6">
        <v>10</v>
      </c>
      <c r="N43" s="6" t="s">
        <v>65</v>
      </c>
      <c r="O43" s="6">
        <v>10</v>
      </c>
      <c r="P43" s="6" t="s">
        <v>66</v>
      </c>
      <c r="Q43" s="6">
        <v>10</v>
      </c>
      <c r="R43" s="6" t="s">
        <v>67</v>
      </c>
      <c r="S43" s="6">
        <v>10</v>
      </c>
      <c r="X43">
        <f t="shared" ref="X43:Z43" si="16">X42+100</f>
        <v>1900</v>
      </c>
      <c r="Y43">
        <f t="shared" si="16"/>
        <v>1900</v>
      </c>
      <c r="Z43">
        <f t="shared" si="16"/>
        <v>1900</v>
      </c>
      <c r="AB43" s="7">
        <v>10030001</v>
      </c>
      <c r="AC43" s="7"/>
      <c r="AD43" s="9">
        <v>10001</v>
      </c>
      <c r="AF43" t="s">
        <v>74</v>
      </c>
    </row>
    <row r="44" ht="14.5" spans="1:32">
      <c r="A44">
        <v>42</v>
      </c>
      <c r="B44" s="8" t="s">
        <v>73</v>
      </c>
      <c r="C44">
        <v>2</v>
      </c>
      <c r="D44" t="s">
        <v>70</v>
      </c>
      <c r="E44">
        <v>1</v>
      </c>
      <c r="F44">
        <v>200</v>
      </c>
      <c r="G44" t="s">
        <v>98</v>
      </c>
      <c r="H44" s="6" t="s">
        <v>62</v>
      </c>
      <c r="I44" s="6">
        <v>11</v>
      </c>
      <c r="J44" s="6" t="s">
        <v>63</v>
      </c>
      <c r="K44" s="6">
        <v>11</v>
      </c>
      <c r="L44" s="6" t="s">
        <v>64</v>
      </c>
      <c r="M44" s="6">
        <v>11</v>
      </c>
      <c r="N44" s="6" t="s">
        <v>65</v>
      </c>
      <c r="O44" s="6">
        <v>11</v>
      </c>
      <c r="P44" s="6" t="s">
        <v>66</v>
      </c>
      <c r="Q44" s="6">
        <v>11</v>
      </c>
      <c r="R44" s="6" t="s">
        <v>67</v>
      </c>
      <c r="S44" s="6">
        <v>11</v>
      </c>
      <c r="X44">
        <f t="shared" ref="X44:Z44" si="17">X43+100</f>
        <v>2000</v>
      </c>
      <c r="Y44">
        <f t="shared" si="17"/>
        <v>2000</v>
      </c>
      <c r="Z44">
        <f t="shared" si="17"/>
        <v>2000</v>
      </c>
      <c r="AB44" s="7">
        <v>10030001</v>
      </c>
      <c r="AC44" s="7"/>
      <c r="AD44" s="9">
        <v>10001</v>
      </c>
      <c r="AF44" t="s">
        <v>74</v>
      </c>
    </row>
    <row r="45" ht="14.5" spans="1:32">
      <c r="A45">
        <v>43</v>
      </c>
      <c r="B45" s="8" t="s">
        <v>73</v>
      </c>
      <c r="C45">
        <v>2</v>
      </c>
      <c r="D45" t="s">
        <v>70</v>
      </c>
      <c r="E45">
        <v>2</v>
      </c>
      <c r="F45">
        <f t="shared" ref="F45:F50" si="18">F44+F44</f>
        <v>400</v>
      </c>
      <c r="G45" t="s">
        <v>98</v>
      </c>
      <c r="H45" s="6" t="s">
        <v>62</v>
      </c>
      <c r="I45" s="6">
        <v>12</v>
      </c>
      <c r="J45" s="6" t="s">
        <v>63</v>
      </c>
      <c r="K45" s="6">
        <v>12</v>
      </c>
      <c r="L45" s="6" t="s">
        <v>64</v>
      </c>
      <c r="M45" s="6">
        <v>12</v>
      </c>
      <c r="N45" s="6" t="s">
        <v>65</v>
      </c>
      <c r="O45" s="6">
        <v>12</v>
      </c>
      <c r="P45" s="6" t="s">
        <v>66</v>
      </c>
      <c r="Q45" s="6">
        <v>12</v>
      </c>
      <c r="R45" s="6" t="s">
        <v>67</v>
      </c>
      <c r="S45" s="6">
        <v>12</v>
      </c>
      <c r="X45">
        <f t="shared" ref="X45:Z45" si="19">X44+100</f>
        <v>2100</v>
      </c>
      <c r="Y45">
        <f t="shared" si="19"/>
        <v>2100</v>
      </c>
      <c r="Z45">
        <f t="shared" si="19"/>
        <v>2100</v>
      </c>
      <c r="AB45" s="7">
        <v>10030001</v>
      </c>
      <c r="AC45" s="7"/>
      <c r="AD45" s="9">
        <v>10001</v>
      </c>
      <c r="AF45" t="s">
        <v>74</v>
      </c>
    </row>
    <row r="46" ht="14.5" spans="1:32">
      <c r="A46">
        <v>44</v>
      </c>
      <c r="B46" s="8" t="s">
        <v>73</v>
      </c>
      <c r="C46">
        <v>2</v>
      </c>
      <c r="D46" t="s">
        <v>70</v>
      </c>
      <c r="E46">
        <v>3</v>
      </c>
      <c r="F46">
        <f t="shared" si="18"/>
        <v>800</v>
      </c>
      <c r="G46" t="s">
        <v>98</v>
      </c>
      <c r="H46" s="6" t="s">
        <v>62</v>
      </c>
      <c r="I46" s="6">
        <v>13</v>
      </c>
      <c r="J46" s="6" t="s">
        <v>63</v>
      </c>
      <c r="K46" s="6">
        <v>13</v>
      </c>
      <c r="L46" s="6" t="s">
        <v>64</v>
      </c>
      <c r="M46" s="6">
        <v>13</v>
      </c>
      <c r="N46" s="6" t="s">
        <v>65</v>
      </c>
      <c r="O46" s="6">
        <v>13</v>
      </c>
      <c r="P46" s="6" t="s">
        <v>66</v>
      </c>
      <c r="Q46" s="6">
        <v>13</v>
      </c>
      <c r="R46" s="6" t="s">
        <v>67</v>
      </c>
      <c r="S46" s="6">
        <v>13</v>
      </c>
      <c r="X46">
        <f t="shared" ref="X46:Z46" si="20">X45+100</f>
        <v>2200</v>
      </c>
      <c r="Y46">
        <f t="shared" si="20"/>
        <v>2200</v>
      </c>
      <c r="Z46">
        <f t="shared" si="20"/>
        <v>2200</v>
      </c>
      <c r="AB46" s="7">
        <v>10030001</v>
      </c>
      <c r="AC46" s="7"/>
      <c r="AD46" s="9">
        <v>10001</v>
      </c>
      <c r="AF46" t="s">
        <v>74</v>
      </c>
    </row>
    <row r="47" ht="14.5" spans="1:32">
      <c r="A47">
        <v>45</v>
      </c>
      <c r="B47" s="8" t="s">
        <v>73</v>
      </c>
      <c r="C47">
        <v>2</v>
      </c>
      <c r="D47" t="s">
        <v>70</v>
      </c>
      <c r="E47">
        <v>4</v>
      </c>
      <c r="F47">
        <f t="shared" si="18"/>
        <v>1600</v>
      </c>
      <c r="G47" t="s">
        <v>98</v>
      </c>
      <c r="H47" s="6" t="s">
        <v>62</v>
      </c>
      <c r="I47" s="6">
        <v>14</v>
      </c>
      <c r="J47" s="6" t="s">
        <v>63</v>
      </c>
      <c r="K47" s="6">
        <v>14</v>
      </c>
      <c r="L47" s="6" t="s">
        <v>64</v>
      </c>
      <c r="M47" s="6">
        <v>14</v>
      </c>
      <c r="N47" s="6" t="s">
        <v>65</v>
      </c>
      <c r="O47" s="6">
        <v>14</v>
      </c>
      <c r="P47" s="6" t="s">
        <v>66</v>
      </c>
      <c r="Q47" s="6">
        <v>14</v>
      </c>
      <c r="R47" s="6" t="s">
        <v>67</v>
      </c>
      <c r="S47" s="6">
        <v>14</v>
      </c>
      <c r="X47">
        <f t="shared" ref="X47:Z47" si="21">X46+100</f>
        <v>2300</v>
      </c>
      <c r="Y47">
        <f t="shared" si="21"/>
        <v>2300</v>
      </c>
      <c r="Z47">
        <f t="shared" si="21"/>
        <v>2300</v>
      </c>
      <c r="AB47" s="7">
        <v>10030001</v>
      </c>
      <c r="AC47" s="7"/>
      <c r="AD47" s="9">
        <v>10001</v>
      </c>
      <c r="AF47" t="s">
        <v>74</v>
      </c>
    </row>
    <row r="48" ht="14.5" spans="1:32">
      <c r="A48">
        <v>46</v>
      </c>
      <c r="B48" s="8" t="s">
        <v>73</v>
      </c>
      <c r="C48">
        <v>2</v>
      </c>
      <c r="D48" t="s">
        <v>70</v>
      </c>
      <c r="E48">
        <v>5</v>
      </c>
      <c r="F48">
        <f t="shared" si="18"/>
        <v>3200</v>
      </c>
      <c r="G48" t="s">
        <v>98</v>
      </c>
      <c r="H48" s="6" t="s">
        <v>62</v>
      </c>
      <c r="I48" s="6">
        <v>15</v>
      </c>
      <c r="J48" s="6" t="s">
        <v>63</v>
      </c>
      <c r="K48" s="6">
        <v>15</v>
      </c>
      <c r="L48" s="6" t="s">
        <v>64</v>
      </c>
      <c r="M48" s="6">
        <v>15</v>
      </c>
      <c r="N48" s="6" t="s">
        <v>65</v>
      </c>
      <c r="O48" s="6">
        <v>15</v>
      </c>
      <c r="P48" s="6" t="s">
        <v>66</v>
      </c>
      <c r="Q48" s="6">
        <v>15</v>
      </c>
      <c r="R48" s="6" t="s">
        <v>67</v>
      </c>
      <c r="S48" s="6">
        <v>15</v>
      </c>
      <c r="X48">
        <f t="shared" ref="X48:Z48" si="22">X47+100</f>
        <v>2400</v>
      </c>
      <c r="Y48">
        <f t="shared" si="22"/>
        <v>2400</v>
      </c>
      <c r="Z48">
        <f t="shared" si="22"/>
        <v>2400</v>
      </c>
      <c r="AB48" s="7">
        <v>10030001</v>
      </c>
      <c r="AC48" s="7"/>
      <c r="AD48" s="9">
        <v>10001</v>
      </c>
      <c r="AF48" t="s">
        <v>74</v>
      </c>
    </row>
    <row r="49" ht="14.5" spans="1:32">
      <c r="A49">
        <v>47</v>
      </c>
      <c r="B49" s="8" t="s">
        <v>73</v>
      </c>
      <c r="C49">
        <v>2</v>
      </c>
      <c r="D49" t="s">
        <v>70</v>
      </c>
      <c r="E49">
        <v>6</v>
      </c>
      <c r="F49">
        <f t="shared" si="18"/>
        <v>6400</v>
      </c>
      <c r="G49" t="s">
        <v>98</v>
      </c>
      <c r="H49" s="6" t="s">
        <v>62</v>
      </c>
      <c r="I49" s="6">
        <v>16</v>
      </c>
      <c r="J49" s="6" t="s">
        <v>63</v>
      </c>
      <c r="K49" s="6">
        <v>16</v>
      </c>
      <c r="L49" s="6" t="s">
        <v>64</v>
      </c>
      <c r="M49" s="6">
        <v>16</v>
      </c>
      <c r="N49" s="6" t="s">
        <v>65</v>
      </c>
      <c r="O49" s="6">
        <v>16</v>
      </c>
      <c r="P49" s="6" t="s">
        <v>66</v>
      </c>
      <c r="Q49" s="6">
        <v>16</v>
      </c>
      <c r="R49" s="6" t="s">
        <v>67</v>
      </c>
      <c r="S49" s="6">
        <v>16</v>
      </c>
      <c r="X49">
        <f t="shared" ref="X49:Z49" si="23">X48+100</f>
        <v>2500</v>
      </c>
      <c r="Y49">
        <f t="shared" si="23"/>
        <v>2500</v>
      </c>
      <c r="Z49">
        <f t="shared" si="23"/>
        <v>2500</v>
      </c>
      <c r="AB49" s="7">
        <v>10030001</v>
      </c>
      <c r="AC49" s="7"/>
      <c r="AD49" s="9">
        <v>10001</v>
      </c>
      <c r="AF49" t="s">
        <v>74</v>
      </c>
    </row>
    <row r="50" ht="14.5" spans="1:32">
      <c r="A50">
        <v>48</v>
      </c>
      <c r="B50" s="8" t="s">
        <v>73</v>
      </c>
      <c r="C50">
        <v>2</v>
      </c>
      <c r="D50" t="s">
        <v>70</v>
      </c>
      <c r="E50">
        <v>7</v>
      </c>
      <c r="F50">
        <f t="shared" si="18"/>
        <v>12800</v>
      </c>
      <c r="G50" t="s">
        <v>98</v>
      </c>
      <c r="H50" s="6" t="s">
        <v>62</v>
      </c>
      <c r="I50" s="6">
        <v>17</v>
      </c>
      <c r="J50" s="6" t="s">
        <v>63</v>
      </c>
      <c r="K50" s="6">
        <v>17</v>
      </c>
      <c r="L50" s="6" t="s">
        <v>64</v>
      </c>
      <c r="M50" s="6">
        <v>17</v>
      </c>
      <c r="N50" s="6" t="s">
        <v>65</v>
      </c>
      <c r="O50" s="6">
        <v>17</v>
      </c>
      <c r="P50" s="6" t="s">
        <v>66</v>
      </c>
      <c r="Q50" s="6">
        <v>17</v>
      </c>
      <c r="R50" s="6" t="s">
        <v>67</v>
      </c>
      <c r="S50" s="6">
        <v>17</v>
      </c>
      <c r="X50">
        <f t="shared" ref="X50:Z50" si="24">X49+100</f>
        <v>2600</v>
      </c>
      <c r="Y50">
        <f t="shared" si="24"/>
        <v>2600</v>
      </c>
      <c r="Z50">
        <f t="shared" si="24"/>
        <v>2600</v>
      </c>
      <c r="AB50" s="7">
        <v>10030001</v>
      </c>
      <c r="AC50" s="7"/>
      <c r="AD50" s="9">
        <v>10001</v>
      </c>
      <c r="AF50" t="s">
        <v>74</v>
      </c>
    </row>
    <row r="51" ht="14.5" spans="1:32">
      <c r="A51">
        <v>49</v>
      </c>
      <c r="B51" s="8" t="s">
        <v>73</v>
      </c>
      <c r="C51">
        <v>2</v>
      </c>
      <c r="D51" t="s">
        <v>71</v>
      </c>
      <c r="E51">
        <v>1</v>
      </c>
      <c r="F51">
        <v>300</v>
      </c>
      <c r="G51" t="s">
        <v>98</v>
      </c>
      <c r="H51" s="6" t="s">
        <v>62</v>
      </c>
      <c r="I51" s="6">
        <v>11</v>
      </c>
      <c r="J51" s="6" t="s">
        <v>63</v>
      </c>
      <c r="K51" s="6">
        <v>11</v>
      </c>
      <c r="L51" s="6" t="s">
        <v>64</v>
      </c>
      <c r="M51" s="6">
        <v>11</v>
      </c>
      <c r="N51" s="6" t="s">
        <v>65</v>
      </c>
      <c r="O51" s="6">
        <v>11</v>
      </c>
      <c r="P51" s="6" t="s">
        <v>66</v>
      </c>
      <c r="Q51" s="6">
        <v>11</v>
      </c>
      <c r="R51" s="6" t="s">
        <v>67</v>
      </c>
      <c r="S51" s="6">
        <v>11</v>
      </c>
      <c r="X51">
        <f t="shared" ref="X51:Z51" si="25">X50+100</f>
        <v>2700</v>
      </c>
      <c r="Y51">
        <f t="shared" si="25"/>
        <v>2700</v>
      </c>
      <c r="Z51">
        <f t="shared" si="25"/>
        <v>2700</v>
      </c>
      <c r="AB51" s="7">
        <v>10030001</v>
      </c>
      <c r="AC51" s="7"/>
      <c r="AD51" s="9">
        <v>10001</v>
      </c>
      <c r="AF51" t="s">
        <v>74</v>
      </c>
    </row>
    <row r="52" ht="14.5" spans="1:32">
      <c r="A52">
        <v>50</v>
      </c>
      <c r="B52" s="8" t="s">
        <v>73</v>
      </c>
      <c r="C52">
        <v>2</v>
      </c>
      <c r="D52" t="s">
        <v>71</v>
      </c>
      <c r="E52">
        <v>2</v>
      </c>
      <c r="F52">
        <f t="shared" ref="F52:F57" si="26">F51+F51</f>
        <v>600</v>
      </c>
      <c r="G52" t="s">
        <v>98</v>
      </c>
      <c r="H52" s="6" t="s">
        <v>62</v>
      </c>
      <c r="I52" s="6">
        <v>12</v>
      </c>
      <c r="J52" s="6" t="s">
        <v>63</v>
      </c>
      <c r="K52" s="6">
        <v>12</v>
      </c>
      <c r="L52" s="6" t="s">
        <v>64</v>
      </c>
      <c r="M52" s="6">
        <v>12</v>
      </c>
      <c r="N52" s="6" t="s">
        <v>65</v>
      </c>
      <c r="O52" s="6">
        <v>12</v>
      </c>
      <c r="P52" s="6" t="s">
        <v>66</v>
      </c>
      <c r="Q52" s="6">
        <v>12</v>
      </c>
      <c r="R52" s="6" t="s">
        <v>67</v>
      </c>
      <c r="S52" s="6">
        <v>12</v>
      </c>
      <c r="X52">
        <f t="shared" ref="X52:Z52" si="27">X51+100</f>
        <v>2800</v>
      </c>
      <c r="Y52">
        <f t="shared" si="27"/>
        <v>2800</v>
      </c>
      <c r="Z52">
        <f t="shared" si="27"/>
        <v>2800</v>
      </c>
      <c r="AB52" s="7">
        <v>10030001</v>
      </c>
      <c r="AC52" s="7"/>
      <c r="AD52" s="9">
        <v>10001</v>
      </c>
      <c r="AF52" t="s">
        <v>74</v>
      </c>
    </row>
    <row r="53" ht="14.5" spans="1:32">
      <c r="A53">
        <v>51</v>
      </c>
      <c r="B53" s="8" t="s">
        <v>73</v>
      </c>
      <c r="C53">
        <v>2</v>
      </c>
      <c r="D53" t="s">
        <v>71</v>
      </c>
      <c r="E53">
        <v>3</v>
      </c>
      <c r="F53">
        <f t="shared" si="26"/>
        <v>1200</v>
      </c>
      <c r="G53" t="s">
        <v>98</v>
      </c>
      <c r="H53" s="6" t="s">
        <v>62</v>
      </c>
      <c r="I53" s="6">
        <v>13</v>
      </c>
      <c r="J53" s="6" t="s">
        <v>63</v>
      </c>
      <c r="K53" s="6">
        <v>13</v>
      </c>
      <c r="L53" s="6" t="s">
        <v>64</v>
      </c>
      <c r="M53" s="6">
        <v>13</v>
      </c>
      <c r="N53" s="6" t="s">
        <v>65</v>
      </c>
      <c r="O53" s="6">
        <v>13</v>
      </c>
      <c r="P53" s="6" t="s">
        <v>66</v>
      </c>
      <c r="Q53" s="6">
        <v>13</v>
      </c>
      <c r="R53" s="6" t="s">
        <v>67</v>
      </c>
      <c r="S53" s="6">
        <v>13</v>
      </c>
      <c r="X53">
        <f t="shared" ref="X53:Z53" si="28">X52+100</f>
        <v>2900</v>
      </c>
      <c r="Y53">
        <f t="shared" si="28"/>
        <v>2900</v>
      </c>
      <c r="Z53">
        <f t="shared" si="28"/>
        <v>2900</v>
      </c>
      <c r="AB53" s="7">
        <v>10030001</v>
      </c>
      <c r="AC53" s="7"/>
      <c r="AD53" s="9">
        <v>10001</v>
      </c>
      <c r="AF53" t="s">
        <v>74</v>
      </c>
    </row>
    <row r="54" ht="14.5" spans="1:32">
      <c r="A54">
        <v>52</v>
      </c>
      <c r="B54" s="8" t="s">
        <v>73</v>
      </c>
      <c r="C54">
        <v>2</v>
      </c>
      <c r="D54" t="s">
        <v>71</v>
      </c>
      <c r="E54">
        <v>4</v>
      </c>
      <c r="F54">
        <f t="shared" si="26"/>
        <v>2400</v>
      </c>
      <c r="G54" t="s">
        <v>98</v>
      </c>
      <c r="H54" s="6" t="s">
        <v>62</v>
      </c>
      <c r="I54" s="6">
        <v>14</v>
      </c>
      <c r="J54" s="6" t="s">
        <v>63</v>
      </c>
      <c r="K54" s="6">
        <v>14</v>
      </c>
      <c r="L54" s="6" t="s">
        <v>64</v>
      </c>
      <c r="M54" s="6">
        <v>14</v>
      </c>
      <c r="N54" s="6" t="s">
        <v>65</v>
      </c>
      <c r="O54" s="6">
        <v>14</v>
      </c>
      <c r="P54" s="6" t="s">
        <v>66</v>
      </c>
      <c r="Q54" s="6">
        <v>14</v>
      </c>
      <c r="R54" s="6" t="s">
        <v>67</v>
      </c>
      <c r="S54" s="6">
        <v>14</v>
      </c>
      <c r="X54">
        <f t="shared" ref="X54:Z54" si="29">X53+100</f>
        <v>3000</v>
      </c>
      <c r="Y54">
        <f t="shared" si="29"/>
        <v>3000</v>
      </c>
      <c r="Z54">
        <f t="shared" si="29"/>
        <v>3000</v>
      </c>
      <c r="AB54" s="7">
        <v>10030001</v>
      </c>
      <c r="AC54" s="7"/>
      <c r="AD54" s="9">
        <v>10001</v>
      </c>
      <c r="AF54" t="s">
        <v>74</v>
      </c>
    </row>
    <row r="55" ht="14.5" spans="1:32">
      <c r="A55">
        <v>53</v>
      </c>
      <c r="B55" s="8" t="s">
        <v>73</v>
      </c>
      <c r="C55">
        <v>2</v>
      </c>
      <c r="D55" t="s">
        <v>71</v>
      </c>
      <c r="E55">
        <v>5</v>
      </c>
      <c r="F55">
        <f t="shared" si="26"/>
        <v>4800</v>
      </c>
      <c r="G55" t="s">
        <v>98</v>
      </c>
      <c r="H55" s="6" t="s">
        <v>62</v>
      </c>
      <c r="I55" s="6">
        <v>15</v>
      </c>
      <c r="J55" s="6" t="s">
        <v>63</v>
      </c>
      <c r="K55" s="6">
        <v>15</v>
      </c>
      <c r="L55" s="6" t="s">
        <v>64</v>
      </c>
      <c r="M55" s="6">
        <v>15</v>
      </c>
      <c r="N55" s="6" t="s">
        <v>65</v>
      </c>
      <c r="O55" s="6">
        <v>15</v>
      </c>
      <c r="P55" s="6" t="s">
        <v>66</v>
      </c>
      <c r="Q55" s="6">
        <v>15</v>
      </c>
      <c r="R55" s="6" t="s">
        <v>67</v>
      </c>
      <c r="S55" s="6">
        <v>15</v>
      </c>
      <c r="X55">
        <f t="shared" ref="X55:Z55" si="30">X54+100</f>
        <v>3100</v>
      </c>
      <c r="Y55">
        <f t="shared" si="30"/>
        <v>3100</v>
      </c>
      <c r="Z55">
        <f t="shared" si="30"/>
        <v>3100</v>
      </c>
      <c r="AB55" s="7">
        <v>10030001</v>
      </c>
      <c r="AC55" s="7"/>
      <c r="AD55" s="9">
        <v>10001</v>
      </c>
      <c r="AF55" t="s">
        <v>74</v>
      </c>
    </row>
    <row r="56" ht="14.5" spans="1:32">
      <c r="A56">
        <v>54</v>
      </c>
      <c r="B56" s="8" t="s">
        <v>73</v>
      </c>
      <c r="C56">
        <v>2</v>
      </c>
      <c r="D56" t="s">
        <v>71</v>
      </c>
      <c r="E56">
        <v>6</v>
      </c>
      <c r="F56">
        <f t="shared" si="26"/>
        <v>9600</v>
      </c>
      <c r="G56" t="s">
        <v>98</v>
      </c>
      <c r="H56" s="6" t="s">
        <v>62</v>
      </c>
      <c r="I56" s="6">
        <v>16</v>
      </c>
      <c r="J56" s="6" t="s">
        <v>63</v>
      </c>
      <c r="K56" s="6">
        <v>16</v>
      </c>
      <c r="L56" s="6" t="s">
        <v>64</v>
      </c>
      <c r="M56" s="6">
        <v>16</v>
      </c>
      <c r="N56" s="6" t="s">
        <v>65</v>
      </c>
      <c r="O56" s="6">
        <v>16</v>
      </c>
      <c r="P56" s="6" t="s">
        <v>66</v>
      </c>
      <c r="Q56" s="6">
        <v>16</v>
      </c>
      <c r="R56" s="6" t="s">
        <v>67</v>
      </c>
      <c r="S56" s="6">
        <v>16</v>
      </c>
      <c r="X56">
        <f t="shared" ref="X56:Z56" si="31">X55+100</f>
        <v>3200</v>
      </c>
      <c r="Y56">
        <f t="shared" si="31"/>
        <v>3200</v>
      </c>
      <c r="Z56">
        <f t="shared" si="31"/>
        <v>3200</v>
      </c>
      <c r="AB56" s="7">
        <v>10030001</v>
      </c>
      <c r="AC56" s="7"/>
      <c r="AD56" s="9">
        <v>10001</v>
      </c>
      <c r="AF56" t="s">
        <v>74</v>
      </c>
    </row>
    <row r="57" ht="14.5" spans="1:32">
      <c r="A57">
        <v>55</v>
      </c>
      <c r="B57" s="8" t="s">
        <v>73</v>
      </c>
      <c r="C57">
        <v>2</v>
      </c>
      <c r="D57" t="s">
        <v>71</v>
      </c>
      <c r="E57">
        <v>7</v>
      </c>
      <c r="F57">
        <f t="shared" si="26"/>
        <v>19200</v>
      </c>
      <c r="G57" t="s">
        <v>98</v>
      </c>
      <c r="H57" s="6" t="s">
        <v>62</v>
      </c>
      <c r="I57" s="6">
        <v>17</v>
      </c>
      <c r="J57" s="6" t="s">
        <v>63</v>
      </c>
      <c r="K57" s="6">
        <v>17</v>
      </c>
      <c r="L57" s="6" t="s">
        <v>64</v>
      </c>
      <c r="M57" s="6">
        <v>17</v>
      </c>
      <c r="N57" s="6" t="s">
        <v>65</v>
      </c>
      <c r="O57" s="6">
        <v>17</v>
      </c>
      <c r="P57" s="6" t="s">
        <v>66</v>
      </c>
      <c r="Q57" s="6">
        <v>17</v>
      </c>
      <c r="R57" s="6" t="s">
        <v>67</v>
      </c>
      <c r="S57" s="6">
        <v>17</v>
      </c>
      <c r="X57">
        <f t="shared" ref="X57:Z57" si="32">X56+100</f>
        <v>3300</v>
      </c>
      <c r="Y57">
        <f t="shared" si="32"/>
        <v>3300</v>
      </c>
      <c r="Z57">
        <f t="shared" si="32"/>
        <v>3300</v>
      </c>
      <c r="AB57" s="7">
        <v>10030001</v>
      </c>
      <c r="AC57" s="7"/>
      <c r="AD57" s="9">
        <v>10001</v>
      </c>
      <c r="AF57" t="s">
        <v>74</v>
      </c>
    </row>
    <row r="58" ht="14.5" spans="1:32">
      <c r="A58">
        <v>56</v>
      </c>
      <c r="B58" s="8" t="s">
        <v>73</v>
      </c>
      <c r="C58">
        <v>2</v>
      </c>
      <c r="D58" t="s">
        <v>72</v>
      </c>
      <c r="E58">
        <v>1</v>
      </c>
      <c r="F58">
        <v>400</v>
      </c>
      <c r="G58" t="s">
        <v>98</v>
      </c>
      <c r="H58" s="6" t="s">
        <v>62</v>
      </c>
      <c r="I58" s="6">
        <v>11</v>
      </c>
      <c r="J58" s="6" t="s">
        <v>63</v>
      </c>
      <c r="K58" s="6">
        <v>11</v>
      </c>
      <c r="L58" s="6" t="s">
        <v>64</v>
      </c>
      <c r="M58" s="6">
        <v>11</v>
      </c>
      <c r="N58" s="6" t="s">
        <v>65</v>
      </c>
      <c r="O58" s="6">
        <v>11</v>
      </c>
      <c r="P58" s="6" t="s">
        <v>66</v>
      </c>
      <c r="Q58" s="6">
        <v>11</v>
      </c>
      <c r="R58" s="6" t="s">
        <v>67</v>
      </c>
      <c r="S58" s="6">
        <v>11</v>
      </c>
      <c r="X58">
        <f t="shared" ref="X58:Z58" si="33">X57+100</f>
        <v>3400</v>
      </c>
      <c r="Y58">
        <f t="shared" si="33"/>
        <v>3400</v>
      </c>
      <c r="Z58">
        <f t="shared" si="33"/>
        <v>3400</v>
      </c>
      <c r="AB58" s="7">
        <v>10030001</v>
      </c>
      <c r="AC58" s="7"/>
      <c r="AD58" s="9">
        <v>10001</v>
      </c>
      <c r="AF58" t="s">
        <v>74</v>
      </c>
    </row>
    <row r="59" ht="14.5" spans="1:32">
      <c r="A59">
        <v>57</v>
      </c>
      <c r="B59" s="8" t="s">
        <v>73</v>
      </c>
      <c r="C59">
        <v>2</v>
      </c>
      <c r="D59" t="s">
        <v>72</v>
      </c>
      <c r="E59">
        <v>2</v>
      </c>
      <c r="F59">
        <f t="shared" ref="F59:F64" si="34">F58+F58</f>
        <v>800</v>
      </c>
      <c r="G59" t="s">
        <v>98</v>
      </c>
      <c r="H59" s="6" t="s">
        <v>62</v>
      </c>
      <c r="I59" s="6">
        <v>12</v>
      </c>
      <c r="J59" s="6" t="s">
        <v>63</v>
      </c>
      <c r="K59" s="6">
        <v>12</v>
      </c>
      <c r="L59" s="6" t="s">
        <v>64</v>
      </c>
      <c r="M59" s="6">
        <v>12</v>
      </c>
      <c r="N59" s="6" t="s">
        <v>65</v>
      </c>
      <c r="O59" s="6">
        <v>12</v>
      </c>
      <c r="P59" s="6" t="s">
        <v>66</v>
      </c>
      <c r="Q59" s="6">
        <v>12</v>
      </c>
      <c r="R59" s="6" t="s">
        <v>67</v>
      </c>
      <c r="S59" s="6">
        <v>12</v>
      </c>
      <c r="X59">
        <f t="shared" ref="X59:Z59" si="35">X58+100</f>
        <v>3500</v>
      </c>
      <c r="Y59">
        <f t="shared" si="35"/>
        <v>3500</v>
      </c>
      <c r="Z59">
        <f t="shared" si="35"/>
        <v>3500</v>
      </c>
      <c r="AB59" s="7">
        <v>10030001</v>
      </c>
      <c r="AC59" s="7"/>
      <c r="AD59" s="9">
        <v>10001</v>
      </c>
      <c r="AF59" t="s">
        <v>74</v>
      </c>
    </row>
    <row r="60" ht="14.5" spans="1:32">
      <c r="A60">
        <v>58</v>
      </c>
      <c r="B60" s="8" t="s">
        <v>73</v>
      </c>
      <c r="C60">
        <v>2</v>
      </c>
      <c r="D60" t="s">
        <v>72</v>
      </c>
      <c r="E60">
        <v>3</v>
      </c>
      <c r="F60">
        <f t="shared" si="34"/>
        <v>1600</v>
      </c>
      <c r="G60" t="s">
        <v>98</v>
      </c>
      <c r="H60" s="6" t="s">
        <v>62</v>
      </c>
      <c r="I60" s="6">
        <v>13</v>
      </c>
      <c r="J60" s="6" t="s">
        <v>63</v>
      </c>
      <c r="K60" s="6">
        <v>13</v>
      </c>
      <c r="L60" s="6" t="s">
        <v>64</v>
      </c>
      <c r="M60" s="6">
        <v>13</v>
      </c>
      <c r="N60" s="6" t="s">
        <v>65</v>
      </c>
      <c r="O60" s="6">
        <v>13</v>
      </c>
      <c r="P60" s="6" t="s">
        <v>66</v>
      </c>
      <c r="Q60" s="6">
        <v>13</v>
      </c>
      <c r="R60" s="6" t="s">
        <v>67</v>
      </c>
      <c r="S60" s="6">
        <v>13</v>
      </c>
      <c r="X60">
        <f t="shared" ref="X60:Z60" si="36">X59+100</f>
        <v>3600</v>
      </c>
      <c r="Y60">
        <f t="shared" si="36"/>
        <v>3600</v>
      </c>
      <c r="Z60">
        <f t="shared" si="36"/>
        <v>3600</v>
      </c>
      <c r="AB60" s="7">
        <v>10030001</v>
      </c>
      <c r="AC60" s="7"/>
      <c r="AD60" s="9">
        <v>10001</v>
      </c>
      <c r="AF60" t="s">
        <v>74</v>
      </c>
    </row>
    <row r="61" ht="14.5" spans="1:32">
      <c r="A61">
        <v>59</v>
      </c>
      <c r="B61" s="8" t="s">
        <v>73</v>
      </c>
      <c r="C61">
        <v>2</v>
      </c>
      <c r="D61" t="s">
        <v>72</v>
      </c>
      <c r="E61">
        <v>4</v>
      </c>
      <c r="F61">
        <f t="shared" si="34"/>
        <v>3200</v>
      </c>
      <c r="G61" t="s">
        <v>98</v>
      </c>
      <c r="H61" s="6" t="s">
        <v>62</v>
      </c>
      <c r="I61" s="6">
        <v>14</v>
      </c>
      <c r="J61" s="6" t="s">
        <v>63</v>
      </c>
      <c r="K61" s="6">
        <v>14</v>
      </c>
      <c r="L61" s="6" t="s">
        <v>64</v>
      </c>
      <c r="M61" s="6">
        <v>14</v>
      </c>
      <c r="N61" s="6" t="s">
        <v>65</v>
      </c>
      <c r="O61" s="6">
        <v>14</v>
      </c>
      <c r="P61" s="6" t="s">
        <v>66</v>
      </c>
      <c r="Q61" s="6">
        <v>14</v>
      </c>
      <c r="R61" s="6" t="s">
        <v>67</v>
      </c>
      <c r="S61" s="6">
        <v>14</v>
      </c>
      <c r="X61">
        <f t="shared" ref="X61:Z61" si="37">X60+100</f>
        <v>3700</v>
      </c>
      <c r="Y61">
        <f t="shared" si="37"/>
        <v>3700</v>
      </c>
      <c r="Z61">
        <f t="shared" si="37"/>
        <v>3700</v>
      </c>
      <c r="AB61" s="7">
        <v>10030001</v>
      </c>
      <c r="AC61" s="7"/>
      <c r="AD61" s="9">
        <v>10001</v>
      </c>
      <c r="AF61" t="s">
        <v>74</v>
      </c>
    </row>
    <row r="62" ht="14.5" spans="1:32">
      <c r="A62">
        <v>60</v>
      </c>
      <c r="B62" s="8" t="s">
        <v>73</v>
      </c>
      <c r="C62">
        <v>2</v>
      </c>
      <c r="D62" t="s">
        <v>72</v>
      </c>
      <c r="E62">
        <v>5</v>
      </c>
      <c r="F62">
        <f t="shared" si="34"/>
        <v>6400</v>
      </c>
      <c r="G62" t="s">
        <v>98</v>
      </c>
      <c r="H62" s="6" t="s">
        <v>62</v>
      </c>
      <c r="I62" s="6">
        <v>15</v>
      </c>
      <c r="J62" s="6" t="s">
        <v>63</v>
      </c>
      <c r="K62" s="6">
        <v>15</v>
      </c>
      <c r="L62" s="6" t="s">
        <v>64</v>
      </c>
      <c r="M62" s="6">
        <v>15</v>
      </c>
      <c r="N62" s="6" t="s">
        <v>65</v>
      </c>
      <c r="O62" s="6">
        <v>15</v>
      </c>
      <c r="P62" s="6" t="s">
        <v>66</v>
      </c>
      <c r="Q62" s="6">
        <v>15</v>
      </c>
      <c r="R62" s="6" t="s">
        <v>67</v>
      </c>
      <c r="S62" s="6">
        <v>15</v>
      </c>
      <c r="X62">
        <f t="shared" ref="X62:Z62" si="38">X61+100</f>
        <v>3800</v>
      </c>
      <c r="Y62">
        <f t="shared" si="38"/>
        <v>3800</v>
      </c>
      <c r="Z62">
        <f t="shared" si="38"/>
        <v>3800</v>
      </c>
      <c r="AB62" s="7">
        <v>10030001</v>
      </c>
      <c r="AC62" s="7"/>
      <c r="AD62" s="9">
        <v>10001</v>
      </c>
      <c r="AF62" t="s">
        <v>74</v>
      </c>
    </row>
    <row r="63" ht="14.5" spans="1:32">
      <c r="A63">
        <v>61</v>
      </c>
      <c r="B63" s="8" t="s">
        <v>73</v>
      </c>
      <c r="C63">
        <v>2</v>
      </c>
      <c r="D63" t="s">
        <v>72</v>
      </c>
      <c r="E63">
        <v>6</v>
      </c>
      <c r="F63">
        <f t="shared" si="34"/>
        <v>12800</v>
      </c>
      <c r="G63" t="s">
        <v>98</v>
      </c>
      <c r="H63" s="6" t="s">
        <v>62</v>
      </c>
      <c r="I63" s="6">
        <v>16</v>
      </c>
      <c r="J63" s="6" t="s">
        <v>63</v>
      </c>
      <c r="K63" s="6">
        <v>16</v>
      </c>
      <c r="L63" s="6" t="s">
        <v>64</v>
      </c>
      <c r="M63" s="6">
        <v>16</v>
      </c>
      <c r="N63" s="6" t="s">
        <v>65</v>
      </c>
      <c r="O63" s="6">
        <v>16</v>
      </c>
      <c r="P63" s="6" t="s">
        <v>66</v>
      </c>
      <c r="Q63" s="6">
        <v>16</v>
      </c>
      <c r="R63" s="6" t="s">
        <v>67</v>
      </c>
      <c r="S63" s="6">
        <v>16</v>
      </c>
      <c r="X63">
        <f t="shared" ref="X63:Z63" si="39">X62+100</f>
        <v>3900</v>
      </c>
      <c r="Y63">
        <f t="shared" si="39"/>
        <v>3900</v>
      </c>
      <c r="Z63">
        <f t="shared" si="39"/>
        <v>3900</v>
      </c>
      <c r="AB63" s="7">
        <v>10030001</v>
      </c>
      <c r="AC63" s="7"/>
      <c r="AD63" s="9">
        <v>10001</v>
      </c>
      <c r="AF63" t="s">
        <v>74</v>
      </c>
    </row>
    <row r="64" ht="14.5" spans="1:32">
      <c r="A64">
        <v>62</v>
      </c>
      <c r="B64" s="8" t="s">
        <v>73</v>
      </c>
      <c r="C64">
        <v>2</v>
      </c>
      <c r="D64" t="s">
        <v>72</v>
      </c>
      <c r="E64">
        <v>7</v>
      </c>
      <c r="F64">
        <f t="shared" si="34"/>
        <v>25600</v>
      </c>
      <c r="G64" t="s">
        <v>98</v>
      </c>
      <c r="H64" s="6" t="s">
        <v>62</v>
      </c>
      <c r="I64" s="6">
        <v>17</v>
      </c>
      <c r="J64" s="6" t="s">
        <v>63</v>
      </c>
      <c r="K64" s="6">
        <v>17</v>
      </c>
      <c r="L64" s="6" t="s">
        <v>64</v>
      </c>
      <c r="M64" s="6">
        <v>17</v>
      </c>
      <c r="N64" s="6" t="s">
        <v>65</v>
      </c>
      <c r="O64" s="6">
        <v>17</v>
      </c>
      <c r="P64" s="6" t="s">
        <v>66</v>
      </c>
      <c r="Q64" s="6">
        <v>17</v>
      </c>
      <c r="R64" s="6" t="s">
        <v>67</v>
      </c>
      <c r="S64" s="6">
        <v>17</v>
      </c>
      <c r="X64">
        <f t="shared" ref="X64:Z64" si="40">X63+100</f>
        <v>4000</v>
      </c>
      <c r="Y64">
        <f t="shared" si="40"/>
        <v>4000</v>
      </c>
      <c r="Z64">
        <f t="shared" si="40"/>
        <v>4000</v>
      </c>
      <c r="AB64" s="7">
        <v>10030001</v>
      </c>
      <c r="AC64" s="7"/>
      <c r="AD64" s="9">
        <v>10001</v>
      </c>
      <c r="AF64" t="s">
        <v>74</v>
      </c>
    </row>
    <row r="65" ht="14.5" spans="1:32">
      <c r="A65">
        <v>200</v>
      </c>
      <c r="B65" t="s">
        <v>60</v>
      </c>
      <c r="C65">
        <v>3</v>
      </c>
      <c r="D65" t="s">
        <v>61</v>
      </c>
      <c r="E65">
        <v>1</v>
      </c>
      <c r="F65">
        <v>50</v>
      </c>
      <c r="G65" t="s">
        <v>99</v>
      </c>
      <c r="H65" s="6" t="s">
        <v>62</v>
      </c>
      <c r="I65" s="6">
        <v>1</v>
      </c>
      <c r="J65" s="6" t="s">
        <v>63</v>
      </c>
      <c r="K65" s="6">
        <v>1</v>
      </c>
      <c r="L65" s="6" t="s">
        <v>64</v>
      </c>
      <c r="M65" s="6">
        <v>1</v>
      </c>
      <c r="N65" s="6" t="s">
        <v>65</v>
      </c>
      <c r="O65" s="6">
        <v>1</v>
      </c>
      <c r="P65" s="6" t="s">
        <v>66</v>
      </c>
      <c r="Q65" s="6">
        <v>1</v>
      </c>
      <c r="R65" s="6" t="s">
        <v>67</v>
      </c>
      <c r="S65" s="6">
        <v>1</v>
      </c>
      <c r="X65">
        <v>1000</v>
      </c>
      <c r="Y65">
        <v>1000</v>
      </c>
      <c r="Z65">
        <v>1000</v>
      </c>
      <c r="AA65">
        <v>600</v>
      </c>
      <c r="AB65" s="7">
        <v>10030001</v>
      </c>
      <c r="AC65" s="7"/>
      <c r="AD65" s="9">
        <v>10001</v>
      </c>
      <c r="AF65" t="s">
        <v>74</v>
      </c>
    </row>
    <row r="66" ht="14.5" spans="1:32">
      <c r="A66">
        <v>201</v>
      </c>
      <c r="B66" t="s">
        <v>60</v>
      </c>
      <c r="C66">
        <v>3</v>
      </c>
      <c r="D66" t="s">
        <v>61</v>
      </c>
      <c r="E66">
        <v>2</v>
      </c>
      <c r="F66">
        <f>F65+F65</f>
        <v>100</v>
      </c>
      <c r="G66" t="s">
        <v>99</v>
      </c>
      <c r="H66" s="6" t="s">
        <v>62</v>
      </c>
      <c r="I66" s="6">
        <v>2</v>
      </c>
      <c r="J66" s="6" t="s">
        <v>63</v>
      </c>
      <c r="K66" s="6">
        <v>2</v>
      </c>
      <c r="L66" s="6" t="s">
        <v>64</v>
      </c>
      <c r="M66" s="6">
        <v>2</v>
      </c>
      <c r="N66" s="6" t="s">
        <v>65</v>
      </c>
      <c r="O66" s="6">
        <v>2</v>
      </c>
      <c r="P66" s="6" t="s">
        <v>66</v>
      </c>
      <c r="Q66" s="6">
        <v>2</v>
      </c>
      <c r="R66" s="6" t="s">
        <v>67</v>
      </c>
      <c r="S66" s="6">
        <v>2</v>
      </c>
      <c r="X66">
        <f t="shared" ref="X66:Z66" si="41">X65+100</f>
        <v>1100</v>
      </c>
      <c r="Y66">
        <f t="shared" si="41"/>
        <v>1100</v>
      </c>
      <c r="Z66">
        <f t="shared" si="41"/>
        <v>1100</v>
      </c>
      <c r="AA66">
        <v>600</v>
      </c>
      <c r="AB66" s="7">
        <v>10030001</v>
      </c>
      <c r="AC66" s="7"/>
      <c r="AD66" s="9">
        <v>10001</v>
      </c>
      <c r="AF66" t="s">
        <v>74</v>
      </c>
    </row>
    <row r="67" ht="14.5" spans="1:32">
      <c r="A67">
        <v>202</v>
      </c>
      <c r="B67" t="s">
        <v>60</v>
      </c>
      <c r="C67">
        <v>3</v>
      </c>
      <c r="D67" t="s">
        <v>61</v>
      </c>
      <c r="E67">
        <v>3</v>
      </c>
      <c r="F67">
        <f t="shared" ref="F67:F72" si="42">F66+F66</f>
        <v>200</v>
      </c>
      <c r="G67" t="s">
        <v>99</v>
      </c>
      <c r="H67" s="6" t="s">
        <v>62</v>
      </c>
      <c r="I67" s="6">
        <v>3</v>
      </c>
      <c r="J67" s="6" t="s">
        <v>63</v>
      </c>
      <c r="K67" s="6">
        <v>3</v>
      </c>
      <c r="L67" s="6" t="s">
        <v>64</v>
      </c>
      <c r="M67" s="6">
        <v>3</v>
      </c>
      <c r="N67" s="6" t="s">
        <v>65</v>
      </c>
      <c r="O67" s="6">
        <v>3</v>
      </c>
      <c r="P67" s="6" t="s">
        <v>66</v>
      </c>
      <c r="Q67" s="6">
        <v>3</v>
      </c>
      <c r="R67" s="6" t="s">
        <v>67</v>
      </c>
      <c r="S67" s="6">
        <v>3</v>
      </c>
      <c r="X67">
        <f t="shared" ref="X67:X72" si="43">X66+100</f>
        <v>1200</v>
      </c>
      <c r="Y67">
        <f t="shared" ref="X67:Z67" si="44">Y66+100</f>
        <v>1200</v>
      </c>
      <c r="Z67">
        <f t="shared" si="44"/>
        <v>1200</v>
      </c>
      <c r="AA67">
        <v>600</v>
      </c>
      <c r="AB67" s="7">
        <v>10030001</v>
      </c>
      <c r="AC67" s="7"/>
      <c r="AD67" s="9">
        <v>10001</v>
      </c>
      <c r="AF67" t="s">
        <v>74</v>
      </c>
    </row>
    <row r="68" ht="14.5" spans="1:32">
      <c r="A68">
        <v>203</v>
      </c>
      <c r="B68" t="s">
        <v>60</v>
      </c>
      <c r="C68">
        <v>3</v>
      </c>
      <c r="D68" t="s">
        <v>69</v>
      </c>
      <c r="E68">
        <v>1</v>
      </c>
      <c r="F68">
        <v>100</v>
      </c>
      <c r="G68" t="s">
        <v>99</v>
      </c>
      <c r="H68" s="6" t="s">
        <v>62</v>
      </c>
      <c r="I68" s="6">
        <v>6</v>
      </c>
      <c r="J68" s="6" t="s">
        <v>63</v>
      </c>
      <c r="K68" s="6">
        <v>6</v>
      </c>
      <c r="L68" s="6" t="s">
        <v>64</v>
      </c>
      <c r="M68" s="6">
        <v>6</v>
      </c>
      <c r="N68" s="6" t="s">
        <v>65</v>
      </c>
      <c r="O68" s="6">
        <v>6</v>
      </c>
      <c r="P68" s="6" t="s">
        <v>66</v>
      </c>
      <c r="Q68" s="6">
        <v>6</v>
      </c>
      <c r="R68" s="6" t="s">
        <v>67</v>
      </c>
      <c r="S68" s="6">
        <v>6</v>
      </c>
      <c r="X68">
        <f t="shared" si="43"/>
        <v>1300</v>
      </c>
      <c r="Y68">
        <f>Y67+100</f>
        <v>1300</v>
      </c>
      <c r="Z68">
        <f>Z67+100</f>
        <v>1300</v>
      </c>
      <c r="AA68">
        <v>600</v>
      </c>
      <c r="AB68" s="7">
        <v>10030001</v>
      </c>
      <c r="AC68" s="7"/>
      <c r="AD68" s="9">
        <v>10001</v>
      </c>
      <c r="AF68" t="s">
        <v>74</v>
      </c>
    </row>
    <row r="69" ht="14.5" spans="1:32">
      <c r="A69">
        <v>204</v>
      </c>
      <c r="B69" t="s">
        <v>60</v>
      </c>
      <c r="C69">
        <v>3</v>
      </c>
      <c r="D69" t="s">
        <v>69</v>
      </c>
      <c r="E69">
        <v>2</v>
      </c>
      <c r="F69">
        <f t="shared" si="42"/>
        <v>200</v>
      </c>
      <c r="G69" t="s">
        <v>99</v>
      </c>
      <c r="H69" s="6" t="s">
        <v>62</v>
      </c>
      <c r="I69" s="6">
        <v>7</v>
      </c>
      <c r="J69" s="6" t="s">
        <v>63</v>
      </c>
      <c r="K69" s="6">
        <v>7</v>
      </c>
      <c r="L69" s="6" t="s">
        <v>64</v>
      </c>
      <c r="M69" s="6">
        <v>7</v>
      </c>
      <c r="N69" s="6" t="s">
        <v>65</v>
      </c>
      <c r="O69" s="6">
        <v>7</v>
      </c>
      <c r="P69" s="6" t="s">
        <v>66</v>
      </c>
      <c r="Q69" s="6">
        <v>7</v>
      </c>
      <c r="R69" s="6" t="s">
        <v>67</v>
      </c>
      <c r="S69" s="6">
        <v>7</v>
      </c>
      <c r="X69">
        <f t="shared" si="43"/>
        <v>1400</v>
      </c>
      <c r="Y69">
        <f>Y68+100</f>
        <v>1400</v>
      </c>
      <c r="Z69">
        <f>Z68+100</f>
        <v>1400</v>
      </c>
      <c r="AA69">
        <v>600</v>
      </c>
      <c r="AB69" s="7">
        <v>10030001</v>
      </c>
      <c r="AC69" s="7"/>
      <c r="AD69" s="9">
        <v>10001</v>
      </c>
      <c r="AF69" t="s">
        <v>74</v>
      </c>
    </row>
    <row r="70" ht="14.5" spans="1:32">
      <c r="A70">
        <v>205</v>
      </c>
      <c r="B70" t="s">
        <v>60</v>
      </c>
      <c r="C70">
        <v>3</v>
      </c>
      <c r="D70" t="s">
        <v>70</v>
      </c>
      <c r="E70">
        <v>1</v>
      </c>
      <c r="F70">
        <v>200</v>
      </c>
      <c r="G70" t="s">
        <v>99</v>
      </c>
      <c r="H70" s="6" t="s">
        <v>62</v>
      </c>
      <c r="I70" s="6">
        <v>11</v>
      </c>
      <c r="J70" s="6" t="s">
        <v>63</v>
      </c>
      <c r="K70" s="6">
        <v>11</v>
      </c>
      <c r="L70" s="6" t="s">
        <v>64</v>
      </c>
      <c r="M70" s="6">
        <v>11</v>
      </c>
      <c r="N70" s="6" t="s">
        <v>65</v>
      </c>
      <c r="O70" s="6">
        <v>11</v>
      </c>
      <c r="P70" s="6" t="s">
        <v>66</v>
      </c>
      <c r="Q70" s="6">
        <v>11</v>
      </c>
      <c r="R70" s="6" t="s">
        <v>67</v>
      </c>
      <c r="S70" s="6">
        <v>11</v>
      </c>
      <c r="X70">
        <f t="shared" si="43"/>
        <v>1500</v>
      </c>
      <c r="Y70">
        <f>Y69+100</f>
        <v>1500</v>
      </c>
      <c r="Z70">
        <f>Z69+100</f>
        <v>1500</v>
      </c>
      <c r="AA70">
        <v>600</v>
      </c>
      <c r="AB70" s="7">
        <v>10030001</v>
      </c>
      <c r="AC70" s="7"/>
      <c r="AD70" s="9">
        <v>10001</v>
      </c>
      <c r="AF70" t="s">
        <v>74</v>
      </c>
    </row>
    <row r="71" ht="14.5" spans="1:32">
      <c r="A71">
        <v>206</v>
      </c>
      <c r="B71" t="s">
        <v>60</v>
      </c>
      <c r="C71">
        <v>3</v>
      </c>
      <c r="D71" t="s">
        <v>70</v>
      </c>
      <c r="E71">
        <v>2</v>
      </c>
      <c r="F71">
        <f t="shared" si="42"/>
        <v>400</v>
      </c>
      <c r="G71" t="s">
        <v>99</v>
      </c>
      <c r="H71" s="6" t="s">
        <v>62</v>
      </c>
      <c r="I71" s="6">
        <v>12</v>
      </c>
      <c r="J71" s="6" t="s">
        <v>63</v>
      </c>
      <c r="K71" s="6">
        <v>12</v>
      </c>
      <c r="L71" s="6" t="s">
        <v>64</v>
      </c>
      <c r="M71" s="6">
        <v>12</v>
      </c>
      <c r="N71" s="6" t="s">
        <v>65</v>
      </c>
      <c r="O71" s="6">
        <v>12</v>
      </c>
      <c r="P71" s="6" t="s">
        <v>66</v>
      </c>
      <c r="Q71" s="6">
        <v>12</v>
      </c>
      <c r="R71" s="6" t="s">
        <v>67</v>
      </c>
      <c r="S71" s="6">
        <v>12</v>
      </c>
      <c r="X71">
        <f t="shared" si="43"/>
        <v>1600</v>
      </c>
      <c r="Y71">
        <f>Y70+100</f>
        <v>1600</v>
      </c>
      <c r="Z71">
        <f>Z70+100</f>
        <v>1600</v>
      </c>
      <c r="AA71">
        <v>600</v>
      </c>
      <c r="AB71" s="7">
        <v>10030001</v>
      </c>
      <c r="AC71" s="7"/>
      <c r="AD71" s="9">
        <v>10001</v>
      </c>
      <c r="AF71" t="s">
        <v>74</v>
      </c>
    </row>
    <row r="72" ht="14.5" spans="1:32">
      <c r="A72">
        <v>207</v>
      </c>
      <c r="B72" t="s">
        <v>60</v>
      </c>
      <c r="C72">
        <v>4</v>
      </c>
      <c r="D72" t="s">
        <v>70</v>
      </c>
      <c r="E72">
        <v>1</v>
      </c>
      <c r="F72">
        <f t="shared" si="42"/>
        <v>800</v>
      </c>
      <c r="G72" t="s">
        <v>99</v>
      </c>
      <c r="H72" s="6" t="s">
        <v>62</v>
      </c>
      <c r="I72" s="6">
        <v>12</v>
      </c>
      <c r="J72" s="6" t="s">
        <v>63</v>
      </c>
      <c r="K72" s="6">
        <v>12</v>
      </c>
      <c r="L72" s="6" t="s">
        <v>64</v>
      </c>
      <c r="M72" s="6">
        <v>12</v>
      </c>
      <c r="N72" s="6" t="s">
        <v>65</v>
      </c>
      <c r="O72" s="6">
        <v>12</v>
      </c>
      <c r="P72" s="6" t="s">
        <v>66</v>
      </c>
      <c r="Q72" s="6">
        <v>12</v>
      </c>
      <c r="R72" s="6" t="s">
        <v>67</v>
      </c>
      <c r="S72" s="6">
        <v>12</v>
      </c>
      <c r="X72">
        <f t="shared" si="43"/>
        <v>1700</v>
      </c>
      <c r="Y72">
        <f>Y71+100</f>
        <v>1700</v>
      </c>
      <c r="Z72">
        <f>Z71+100</f>
        <v>1700</v>
      </c>
      <c r="AA72">
        <v>600</v>
      </c>
      <c r="AB72" s="7">
        <v>10030001</v>
      </c>
      <c r="AC72" s="7"/>
      <c r="AD72" s="9">
        <v>10001</v>
      </c>
      <c r="AF72" t="s">
        <v>74</v>
      </c>
    </row>
  </sheetData>
  <conditionalFormatting sqref="H1">
    <cfRule type="expression" dxfId="0" priority="21">
      <formula>AND(#REF!="金色",$AE1="")</formula>
    </cfRule>
    <cfRule type="expression" dxfId="1" priority="22">
      <formula>AND(#REF!="红色",$AE1="")</formula>
    </cfRule>
    <cfRule type="expression" dxfId="2" priority="23">
      <formula>AND(#REF!="橙色",$AE1="")</formula>
    </cfRule>
    <cfRule type="expression" dxfId="3" priority="24">
      <formula>AND(#REF!="紫色",$AE1="")</formula>
    </cfRule>
    <cfRule type="expression" dxfId="4" priority="25">
      <formula>AND(#REF!="蓝色",$AE1="")</formula>
    </cfRule>
  </conditionalFormatting>
  <conditionalFormatting sqref="I1:J1">
    <cfRule type="expression" dxfId="0" priority="16">
      <formula>AND(#REF!="金色",$AE1="")</formula>
    </cfRule>
    <cfRule type="expression" dxfId="1" priority="17">
      <formula>AND(#REF!="红色",$AE1="")</formula>
    </cfRule>
    <cfRule type="expression" dxfId="2" priority="18">
      <formula>AND(#REF!="橙色",$AE1="")</formula>
    </cfRule>
    <cfRule type="expression" dxfId="3" priority="19">
      <formula>AND(#REF!="紫色",$AE1="")</formula>
    </cfRule>
    <cfRule type="expression" dxfId="4" priority="20">
      <formula>AND(#REF!="蓝色",$AE1="")</formula>
    </cfRule>
  </conditionalFormatting>
  <conditionalFormatting sqref="K1:L1">
    <cfRule type="expression" dxfId="0" priority="6">
      <formula>AND(#REF!="金色",$AE1="")</formula>
    </cfRule>
    <cfRule type="expression" dxfId="1" priority="7">
      <formula>AND(#REF!="红色",$AE1="")</formula>
    </cfRule>
    <cfRule type="expression" dxfId="2" priority="8">
      <formula>AND(#REF!="橙色",$AE1="")</formula>
    </cfRule>
    <cfRule type="expression" dxfId="3" priority="9">
      <formula>AND(#REF!="紫色",$AE1="")</formula>
    </cfRule>
    <cfRule type="expression" dxfId="4" priority="10">
      <formula>AND(#REF!="蓝色",$AE1="")</formula>
    </cfRule>
  </conditionalFormatting>
  <conditionalFormatting sqref="M1">
    <cfRule type="expression" dxfId="0" priority="1">
      <formula>AND(#REF!="金色",$AE1="")</formula>
    </cfRule>
    <cfRule type="expression" dxfId="1" priority="2">
      <formula>AND(#REF!="红色",$AE1="")</formula>
    </cfRule>
    <cfRule type="expression" dxfId="2" priority="3">
      <formula>AND(#REF!="橙色",$AE1="")</formula>
    </cfRule>
    <cfRule type="expression" dxfId="3" priority="4">
      <formula>AND(#REF!="紫色",$AE1="")</formula>
    </cfRule>
    <cfRule type="expression" dxfId="4" priority="5">
      <formula>AND(#REF!="蓝色",$AE1="")</formula>
    </cfRule>
  </conditionalFormatting>
  <conditionalFormatting sqref="H2">
    <cfRule type="expression" dxfId="0" priority="31">
      <formula>AND(#REF!="金色",$AE3="")</formula>
    </cfRule>
    <cfRule type="expression" dxfId="1" priority="32">
      <formula>AND(#REF!="红色",$AE3="")</formula>
    </cfRule>
    <cfRule type="expression" dxfId="2" priority="33">
      <formula>AND(#REF!="橙色",$AE3="")</formula>
    </cfRule>
    <cfRule type="expression" dxfId="3" priority="34">
      <formula>AND(#REF!="紫色",$AE3="")</formula>
    </cfRule>
    <cfRule type="expression" dxfId="4" priority="35">
      <formula>AND(#REF!="蓝色",$AE3="")</formula>
    </cfRule>
  </conditionalFormatting>
  <conditionalFormatting sqref="I2:J2">
    <cfRule type="expression" dxfId="0" priority="46">
      <formula>AND(#REF!="金色",$AE3="")</formula>
    </cfRule>
    <cfRule type="expression" dxfId="1" priority="47">
      <formula>AND(#REF!="红色",$AE3="")</formula>
    </cfRule>
    <cfRule type="expression" dxfId="2" priority="48">
      <formula>AND(#REF!="橙色",$AE3="")</formula>
    </cfRule>
    <cfRule type="expression" dxfId="3" priority="49">
      <formula>AND(#REF!="紫色",$AE3="")</formula>
    </cfRule>
    <cfRule type="expression" dxfId="4" priority="50">
      <formula>AND(#REF!="蓝色",$AE3="")</formula>
    </cfRule>
  </conditionalFormatting>
  <conditionalFormatting sqref="K2:L2">
    <cfRule type="expression" dxfId="0" priority="51">
      <formula>AND(#REF!="金色",$AE3="")</formula>
    </cfRule>
    <cfRule type="expression" dxfId="1" priority="52">
      <formula>AND(#REF!="红色",$AE3="")</formula>
    </cfRule>
    <cfRule type="expression" dxfId="2" priority="53">
      <formula>AND(#REF!="橙色",$AE3="")</formula>
    </cfRule>
    <cfRule type="expression" dxfId="3" priority="54">
      <formula>AND(#REF!="紫色",$AE3="")</formula>
    </cfRule>
    <cfRule type="expression" dxfId="4" priority="55">
      <formula>AND(#REF!="蓝色",$AE3="")</formula>
    </cfRule>
  </conditionalFormatting>
  <conditionalFormatting sqref="M2">
    <cfRule type="expression" dxfId="0" priority="36">
      <formula>AND(#REF!="金色",$AE3="")</formula>
    </cfRule>
    <cfRule type="expression" dxfId="1" priority="37">
      <formula>AND(#REF!="红色",$AE3="")</formula>
    </cfRule>
    <cfRule type="expression" dxfId="2" priority="38">
      <formula>AND(#REF!="橙色",$AE3="")</formula>
    </cfRule>
    <cfRule type="expression" dxfId="3" priority="39">
      <formula>AND(#REF!="紫色",$AE3="")</formula>
    </cfRule>
    <cfRule type="expression" dxfId="4" priority="40">
      <formula>AND(#REF!="蓝色",$AE3="")</formula>
    </cfRule>
  </conditionalFormatting>
  <conditionalFormatting sqref="N1:O1 R1:S1 V1:W1">
    <cfRule type="expression" dxfId="0" priority="26">
      <formula>AND(#REF!="金色",$AE1="")</formula>
    </cfRule>
    <cfRule type="expression" dxfId="1" priority="27">
      <formula>AND(#REF!="红色",$AE1="")</formula>
    </cfRule>
    <cfRule type="expression" dxfId="2" priority="28">
      <formula>AND(#REF!="橙色",$AE1="")</formula>
    </cfRule>
    <cfRule type="expression" dxfId="3" priority="29">
      <formula>AND(#REF!="紫色",$AE1="")</formula>
    </cfRule>
    <cfRule type="expression" dxfId="4" priority="30">
      <formula>AND(#REF!="蓝色",$AE1="")</formula>
    </cfRule>
  </conditionalFormatting>
  <conditionalFormatting sqref="P1 T1">
    <cfRule type="expression" dxfId="0" priority="11">
      <formula>AND(#REF!="金色",$AE1="")</formula>
    </cfRule>
    <cfRule type="expression" dxfId="1" priority="12">
      <formula>AND(#REF!="红色",$AE1="")</formula>
    </cfRule>
    <cfRule type="expression" dxfId="2" priority="13">
      <formula>AND(#REF!="橙色",$AE1="")</formula>
    </cfRule>
    <cfRule type="expression" dxfId="3" priority="14">
      <formula>AND(#REF!="紫色",$AE1="")</formula>
    </cfRule>
    <cfRule type="expression" dxfId="4" priority="15">
      <formula>AND(#REF!="蓝色",$AE1="")</formula>
    </cfRule>
  </conditionalFormatting>
  <conditionalFormatting sqref="N2:O2 R2:S2 V2:W2">
    <cfRule type="expression" dxfId="0" priority="56">
      <formula>AND(#REF!="金色",$AE3="")</formula>
    </cfRule>
    <cfRule type="expression" dxfId="1" priority="57">
      <formula>AND(#REF!="红色",$AE3="")</formula>
    </cfRule>
    <cfRule type="expression" dxfId="2" priority="58">
      <formula>AND(#REF!="橙色",$AE3="")</formula>
    </cfRule>
    <cfRule type="expression" dxfId="3" priority="59">
      <formula>AND(#REF!="紫色",$AE3="")</formula>
    </cfRule>
    <cfRule type="expression" dxfId="4" priority="60">
      <formula>AND(#REF!="蓝色",$AE3="")</formula>
    </cfRule>
  </conditionalFormatting>
  <conditionalFormatting sqref="P2 T2">
    <cfRule type="expression" dxfId="0" priority="41">
      <formula>AND(#REF!="金色",$AE3="")</formula>
    </cfRule>
    <cfRule type="expression" dxfId="1" priority="42">
      <formula>AND(#REF!="红色",$AE3="")</formula>
    </cfRule>
    <cfRule type="expression" dxfId="2" priority="43">
      <formula>AND(#REF!="橙色",$AE3="")</formula>
    </cfRule>
    <cfRule type="expression" dxfId="3" priority="44">
      <formula>AND(#REF!="紫色",$AE3="")</formula>
    </cfRule>
    <cfRule type="expression" dxfId="4" priority="45">
      <formula>AND(#REF!="蓝色",$AE3="")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workbookViewId="0">
      <selection activeCell="A34" sqref="A34:AA46"/>
    </sheetView>
  </sheetViews>
  <sheetFormatPr defaultColWidth="8.72727272727273" defaultRowHeight="14"/>
  <sheetData>
    <row r="1" ht="16.5" spans="1:26">
      <c r="A1" t="s">
        <v>75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78</v>
      </c>
      <c r="H1" s="1" t="s">
        <v>12</v>
      </c>
      <c r="I1" s="2" t="s">
        <v>13</v>
      </c>
      <c r="J1" s="1" t="s">
        <v>14</v>
      </c>
      <c r="K1" s="2" t="s">
        <v>15</v>
      </c>
      <c r="L1" s="1" t="s">
        <v>16</v>
      </c>
      <c r="M1" s="2" t="s">
        <v>17</v>
      </c>
      <c r="N1" s="1" t="s">
        <v>18</v>
      </c>
      <c r="O1" s="2" t="s">
        <v>19</v>
      </c>
      <c r="P1" s="1" t="s">
        <v>20</v>
      </c>
      <c r="Q1" s="2" t="s">
        <v>21</v>
      </c>
      <c r="R1" s="3" t="s">
        <v>79</v>
      </c>
      <c r="S1" s="3" t="s">
        <v>80</v>
      </c>
      <c r="T1" s="3" t="s">
        <v>81</v>
      </c>
      <c r="U1" t="s">
        <v>83</v>
      </c>
      <c r="V1" t="s">
        <v>84</v>
      </c>
      <c r="W1" t="s">
        <v>85</v>
      </c>
      <c r="X1" t="s">
        <v>86</v>
      </c>
      <c r="Y1" t="s">
        <v>28</v>
      </c>
      <c r="Z1" t="s">
        <v>29</v>
      </c>
    </row>
    <row r="2" ht="16.5" spans="1:26">
      <c r="A2" t="s">
        <v>30</v>
      </c>
      <c r="B2" t="s">
        <v>31</v>
      </c>
      <c r="C2" t="s">
        <v>32</v>
      </c>
      <c r="D2" t="s">
        <v>33</v>
      </c>
      <c r="E2" t="s">
        <v>87</v>
      </c>
      <c r="F2" t="s">
        <v>88</v>
      </c>
      <c r="G2" t="s">
        <v>89</v>
      </c>
      <c r="H2" s="4" t="s">
        <v>42</v>
      </c>
      <c r="I2" s="5" t="s">
        <v>43</v>
      </c>
      <c r="J2" s="4" t="s">
        <v>44</v>
      </c>
      <c r="K2" s="5" t="s">
        <v>45</v>
      </c>
      <c r="L2" s="4" t="s">
        <v>46</v>
      </c>
      <c r="M2" s="5" t="s">
        <v>47</v>
      </c>
      <c r="N2" s="4" t="s">
        <v>48</v>
      </c>
      <c r="O2" s="5" t="s">
        <v>49</v>
      </c>
      <c r="P2" s="4" t="s">
        <v>50</v>
      </c>
      <c r="Q2" s="5" t="s">
        <v>51</v>
      </c>
      <c r="R2" s="3" t="s">
        <v>90</v>
      </c>
      <c r="S2" s="3" t="s">
        <v>91</v>
      </c>
      <c r="T2" s="3" t="s">
        <v>92</v>
      </c>
      <c r="U2" t="s">
        <v>94</v>
      </c>
      <c r="V2" t="s">
        <v>95</v>
      </c>
      <c r="W2" t="s">
        <v>96</v>
      </c>
      <c r="X2" t="s">
        <v>97</v>
      </c>
      <c r="Y2" t="s">
        <v>58</v>
      </c>
      <c r="Z2" t="s">
        <v>59</v>
      </c>
    </row>
    <row r="3" spans="1:26">
      <c r="A3">
        <v>1</v>
      </c>
      <c r="B3" t="s">
        <v>100</v>
      </c>
      <c r="C3">
        <v>1</v>
      </c>
      <c r="D3" t="s">
        <v>61</v>
      </c>
      <c r="E3">
        <v>1</v>
      </c>
      <c r="F3">
        <v>500</v>
      </c>
      <c r="G3" t="s">
        <v>99</v>
      </c>
    </row>
    <row r="4" spans="1:26">
      <c r="A4">
        <v>2</v>
      </c>
      <c r="B4" t="s">
        <v>100</v>
      </c>
      <c r="C4">
        <v>1</v>
      </c>
      <c r="D4" t="s">
        <v>61</v>
      </c>
      <c r="E4">
        <v>2</v>
      </c>
      <c r="F4">
        <f t="shared" ref="F4:F7" si="0">F3+500</f>
        <v>1000</v>
      </c>
      <c r="G4" t="s">
        <v>99</v>
      </c>
    </row>
    <row r="5" spans="1:26">
      <c r="A5">
        <v>3</v>
      </c>
      <c r="B5" t="s">
        <v>100</v>
      </c>
      <c r="C5">
        <v>1</v>
      </c>
      <c r="D5" t="s">
        <v>61</v>
      </c>
      <c r="E5">
        <v>3</v>
      </c>
      <c r="F5">
        <f t="shared" si="0"/>
        <v>1500</v>
      </c>
      <c r="G5" t="s">
        <v>99</v>
      </c>
    </row>
    <row r="6" spans="1:26">
      <c r="A6">
        <v>4</v>
      </c>
      <c r="B6" t="s">
        <v>100</v>
      </c>
      <c r="C6">
        <v>1</v>
      </c>
      <c r="D6" t="s">
        <v>61</v>
      </c>
      <c r="E6">
        <v>4</v>
      </c>
      <c r="F6">
        <f t="shared" si="0"/>
        <v>2000</v>
      </c>
      <c r="G6" t="s">
        <v>99</v>
      </c>
    </row>
    <row r="7" spans="1:26">
      <c r="A7">
        <v>5</v>
      </c>
      <c r="B7" t="s">
        <v>100</v>
      </c>
      <c r="C7">
        <v>1</v>
      </c>
      <c r="D7" t="s">
        <v>61</v>
      </c>
      <c r="E7">
        <v>5</v>
      </c>
      <c r="F7">
        <f t="shared" si="0"/>
        <v>2500</v>
      </c>
      <c r="G7" t="s">
        <v>99</v>
      </c>
    </row>
    <row r="8" spans="1:26">
      <c r="A8">
        <v>6</v>
      </c>
      <c r="B8" t="s">
        <v>100</v>
      </c>
      <c r="C8">
        <v>1</v>
      </c>
      <c r="D8" t="s">
        <v>69</v>
      </c>
      <c r="E8">
        <v>1</v>
      </c>
      <c r="F8">
        <v>1000</v>
      </c>
      <c r="G8" t="s">
        <v>99</v>
      </c>
    </row>
    <row r="9" spans="1:26">
      <c r="A9">
        <v>7</v>
      </c>
      <c r="B9" t="s">
        <v>100</v>
      </c>
      <c r="C9">
        <v>1</v>
      </c>
      <c r="D9" t="s">
        <v>69</v>
      </c>
      <c r="E9">
        <v>2</v>
      </c>
      <c r="F9">
        <f t="shared" ref="F9:F12" si="1">F8*2</f>
        <v>2000</v>
      </c>
      <c r="G9" t="s">
        <v>99</v>
      </c>
    </row>
    <row r="10" spans="1:26">
      <c r="A10">
        <v>8</v>
      </c>
      <c r="B10" t="s">
        <v>100</v>
      </c>
      <c r="C10">
        <v>1</v>
      </c>
      <c r="D10" t="s">
        <v>69</v>
      </c>
      <c r="E10">
        <v>3</v>
      </c>
      <c r="F10">
        <f t="shared" si="1"/>
        <v>4000</v>
      </c>
      <c r="G10" t="s">
        <v>99</v>
      </c>
    </row>
    <row r="11" spans="1:26">
      <c r="A11">
        <v>9</v>
      </c>
      <c r="B11" t="s">
        <v>100</v>
      </c>
      <c r="C11">
        <v>1</v>
      </c>
      <c r="D11" t="s">
        <v>69</v>
      </c>
      <c r="E11">
        <v>4</v>
      </c>
      <c r="F11">
        <f t="shared" si="1"/>
        <v>8000</v>
      </c>
      <c r="G11" t="s">
        <v>99</v>
      </c>
    </row>
    <row r="12" spans="1:26">
      <c r="A12">
        <v>10</v>
      </c>
      <c r="B12" t="s">
        <v>100</v>
      </c>
      <c r="C12">
        <v>1</v>
      </c>
      <c r="D12" t="s">
        <v>69</v>
      </c>
      <c r="E12">
        <v>5</v>
      </c>
      <c r="F12">
        <f t="shared" si="1"/>
        <v>16000</v>
      </c>
      <c r="G12" t="s">
        <v>99</v>
      </c>
    </row>
    <row r="13" spans="1:26">
      <c r="A13">
        <v>11</v>
      </c>
      <c r="B13" t="s">
        <v>100</v>
      </c>
      <c r="C13">
        <v>1</v>
      </c>
      <c r="D13" t="s">
        <v>70</v>
      </c>
      <c r="E13">
        <v>1</v>
      </c>
      <c r="F13">
        <v>5000</v>
      </c>
      <c r="G13" t="s">
        <v>99</v>
      </c>
    </row>
    <row r="14" spans="1:26">
      <c r="A14">
        <v>12</v>
      </c>
      <c r="B14" t="s">
        <v>100</v>
      </c>
      <c r="C14">
        <v>1</v>
      </c>
      <c r="D14" t="s">
        <v>70</v>
      </c>
      <c r="E14">
        <v>2</v>
      </c>
      <c r="F14">
        <f t="shared" ref="F14:F19" si="2">F13*2</f>
        <v>10000</v>
      </c>
      <c r="G14" t="s">
        <v>99</v>
      </c>
    </row>
    <row r="15" spans="1:26">
      <c r="A15">
        <v>13</v>
      </c>
      <c r="B15" t="s">
        <v>100</v>
      </c>
      <c r="C15">
        <v>1</v>
      </c>
      <c r="D15" t="s">
        <v>70</v>
      </c>
      <c r="E15">
        <v>3</v>
      </c>
      <c r="F15">
        <f t="shared" si="2"/>
        <v>20000</v>
      </c>
      <c r="G15" t="s">
        <v>99</v>
      </c>
    </row>
    <row r="16" spans="1:26">
      <c r="A16">
        <v>14</v>
      </c>
      <c r="B16" t="s">
        <v>100</v>
      </c>
      <c r="C16">
        <v>1</v>
      </c>
      <c r="D16" t="s">
        <v>70</v>
      </c>
      <c r="E16">
        <v>4</v>
      </c>
      <c r="F16">
        <f t="shared" si="2"/>
        <v>40000</v>
      </c>
      <c r="G16" t="s">
        <v>99</v>
      </c>
    </row>
    <row r="17" spans="1:23">
      <c r="A17">
        <v>15</v>
      </c>
      <c r="B17" t="s">
        <v>100</v>
      </c>
      <c r="C17">
        <v>1</v>
      </c>
      <c r="D17" t="s">
        <v>70</v>
      </c>
      <c r="E17">
        <v>5</v>
      </c>
      <c r="F17">
        <f t="shared" si="2"/>
        <v>80000</v>
      </c>
      <c r="G17" t="s">
        <v>99</v>
      </c>
    </row>
    <row r="18" spans="1:23">
      <c r="A18">
        <v>16</v>
      </c>
      <c r="B18" t="s">
        <v>100</v>
      </c>
      <c r="C18">
        <v>1</v>
      </c>
      <c r="D18" t="s">
        <v>70</v>
      </c>
      <c r="E18">
        <v>6</v>
      </c>
      <c r="F18">
        <f t="shared" si="2"/>
        <v>160000</v>
      </c>
      <c r="G18" t="s">
        <v>99</v>
      </c>
    </row>
    <row r="19" spans="1:23">
      <c r="A19">
        <v>17</v>
      </c>
      <c r="B19" t="s">
        <v>100</v>
      </c>
      <c r="C19">
        <v>1</v>
      </c>
      <c r="D19" t="s">
        <v>70</v>
      </c>
      <c r="E19">
        <v>7</v>
      </c>
      <c r="F19">
        <f t="shared" si="2"/>
        <v>320000</v>
      </c>
      <c r="G19" t="s">
        <v>99</v>
      </c>
    </row>
    <row r="22" spans="1:23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107</v>
      </c>
      <c r="H22" t="s">
        <v>108</v>
      </c>
      <c r="R22" t="s">
        <v>109</v>
      </c>
      <c r="S22" t="s">
        <v>110</v>
      </c>
      <c r="T22" t="s">
        <v>111</v>
      </c>
      <c r="U22" t="s">
        <v>112</v>
      </c>
      <c r="W22" t="s">
        <v>113</v>
      </c>
    </row>
    <row r="34" spans="1:23">
      <c r="A34" t="s">
        <v>0</v>
      </c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L34" s="1" t="s">
        <v>12</v>
      </c>
      <c r="M34" s="2" t="s">
        <v>114</v>
      </c>
      <c r="N34" s="1" t="s">
        <v>14</v>
      </c>
      <c r="O34" s="2" t="s">
        <v>114</v>
      </c>
      <c r="P34" s="1" t="s">
        <v>16</v>
      </c>
      <c r="Q34" s="2" t="s">
        <v>114</v>
      </c>
      <c r="R34" s="1" t="s">
        <v>18</v>
      </c>
      <c r="S34" s="2" t="s">
        <v>114</v>
      </c>
      <c r="T34" s="1" t="s">
        <v>20</v>
      </c>
      <c r="U34" s="2" t="s">
        <v>114</v>
      </c>
      <c r="V34" t="s">
        <v>28</v>
      </c>
      <c r="W34" t="s">
        <v>29</v>
      </c>
    </row>
    <row r="35" spans="1:23">
      <c r="A35" t="s">
        <v>30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s="1" t="s">
        <v>42</v>
      </c>
      <c r="M35" s="2" t="s">
        <v>43</v>
      </c>
      <c r="N35" s="1" t="s">
        <v>44</v>
      </c>
      <c r="O35" s="2" t="s">
        <v>45</v>
      </c>
      <c r="P35" s="1" t="s">
        <v>46</v>
      </c>
      <c r="Q35" s="2" t="s">
        <v>47</v>
      </c>
      <c r="R35" s="1" t="s">
        <v>48</v>
      </c>
      <c r="S35" s="2" t="s">
        <v>49</v>
      </c>
      <c r="T35" s="1" t="s">
        <v>50</v>
      </c>
      <c r="U35" s="2" t="s">
        <v>51</v>
      </c>
      <c r="V35" t="s">
        <v>58</v>
      </c>
      <c r="W35" t="s">
        <v>59</v>
      </c>
    </row>
    <row r="36" spans="1:23">
      <c r="A36">
        <v>1</v>
      </c>
      <c r="B36">
        <v>1</v>
      </c>
      <c r="C36" t="s">
        <v>61</v>
      </c>
    </row>
    <row r="37" spans="1:23">
      <c r="A37">
        <v>2</v>
      </c>
      <c r="B37">
        <v>1</v>
      </c>
      <c r="C37" t="s">
        <v>69</v>
      </c>
      <c r="J37">
        <v>1</v>
      </c>
      <c r="K37" t="s">
        <v>61</v>
      </c>
    </row>
    <row r="38" spans="1:23">
      <c r="A38">
        <v>3</v>
      </c>
      <c r="B38">
        <v>1</v>
      </c>
      <c r="C38" t="s">
        <v>70</v>
      </c>
      <c r="J38">
        <v>1</v>
      </c>
      <c r="K38" t="s">
        <v>69</v>
      </c>
    </row>
    <row r="40" spans="1:23">
      <c r="A40" t="s">
        <v>115</v>
      </c>
    </row>
    <row r="41" spans="1:23">
      <c r="A41" t="s">
        <v>116</v>
      </c>
      <c r="B41" t="s">
        <v>117</v>
      </c>
      <c r="C41" t="s">
        <v>3</v>
      </c>
      <c r="D41" t="s">
        <v>118</v>
      </c>
      <c r="E41" t="s">
        <v>119</v>
      </c>
      <c r="J41" t="s">
        <v>120</v>
      </c>
      <c r="K41" t="s">
        <v>121</v>
      </c>
      <c r="L41" t="s">
        <v>122</v>
      </c>
      <c r="V41" t="s">
        <v>123</v>
      </c>
      <c r="W41" t="s">
        <v>124</v>
      </c>
    </row>
  </sheetData>
  <conditionalFormatting sqref="K1:L1">
    <cfRule type="expression" dxfId="4" priority="70">
      <formula>AND($AE1="蓝色",$AF1="")</formula>
    </cfRule>
    <cfRule type="expression" dxfId="3" priority="69">
      <formula>AND($AE1="紫色",$AF1="")</formula>
    </cfRule>
    <cfRule type="expression" dxfId="2" priority="68">
      <formula>AND($AE1="橙色",$AF1="")</formula>
    </cfRule>
    <cfRule type="expression" dxfId="1" priority="67">
      <formula>AND($AE1="红色",$AF1="")</formula>
    </cfRule>
    <cfRule type="expression" dxfId="0" priority="66">
      <formula>AND($AE1="金色",$AF1="")</formula>
    </cfRule>
  </conditionalFormatting>
  <conditionalFormatting sqref="M1">
    <cfRule type="expression" dxfId="4" priority="65">
      <formula>AND($AE1="蓝色",$AF1="")</formula>
    </cfRule>
    <cfRule type="expression" dxfId="3" priority="64">
      <formula>AND($AE1="紫色",$AF1="")</formula>
    </cfRule>
    <cfRule type="expression" dxfId="2" priority="63">
      <formula>AND($AE1="橙色",$AF1="")</formula>
    </cfRule>
    <cfRule type="expression" dxfId="1" priority="62">
      <formula>AND($AE1="红色",$AF1="")</formula>
    </cfRule>
    <cfRule type="expression" dxfId="0" priority="61">
      <formula>AND($AE1="金色",$AF1="")</formula>
    </cfRule>
  </conditionalFormatting>
  <conditionalFormatting sqref="N1:O1">
    <cfRule type="expression" dxfId="4" priority="90">
      <formula>AND($AE1="蓝色",$AF1="")</formula>
    </cfRule>
    <cfRule type="expression" dxfId="3" priority="89">
      <formula>AND($AE1="紫色",$AF1="")</formula>
    </cfRule>
    <cfRule type="expression" dxfId="2" priority="88">
      <formula>AND($AE1="橙色",$AF1="")</formula>
    </cfRule>
    <cfRule type="expression" dxfId="1" priority="87">
      <formula>AND($AE1="红色",$AF1="")</formula>
    </cfRule>
    <cfRule type="expression" dxfId="0" priority="86">
      <formula>AND($AE1="金色",$AF1="")</formula>
    </cfRule>
  </conditionalFormatting>
  <conditionalFormatting sqref="P1">
    <cfRule type="expression" dxfId="4" priority="75">
      <formula>AND($AE1="蓝色",$AF1="")</formula>
    </cfRule>
    <cfRule type="expression" dxfId="3" priority="74">
      <formula>AND($AE1="紫色",$AF1="")</formula>
    </cfRule>
    <cfRule type="expression" dxfId="2" priority="73">
      <formula>AND($AE1="橙色",$AF1="")</formula>
    </cfRule>
    <cfRule type="expression" dxfId="1" priority="72">
      <formula>AND($AE1="红色",$AF1="")</formula>
    </cfRule>
    <cfRule type="expression" dxfId="0" priority="71">
      <formula>AND($AE1="金色",$AF1="")</formula>
    </cfRule>
  </conditionalFormatting>
  <conditionalFormatting sqref="L34">
    <cfRule type="expression" dxfId="4" priority="25">
      <formula>AND($AE34="蓝色",$AF34="")</formula>
    </cfRule>
    <cfRule type="expression" dxfId="3" priority="24">
      <formula>AND($AE34="紫色",$AF34="")</formula>
    </cfRule>
    <cfRule type="expression" dxfId="2" priority="23">
      <formula>AND($AE34="橙色",$AF34="")</formula>
    </cfRule>
    <cfRule type="expression" dxfId="1" priority="22">
      <formula>AND($AE34="红色",$AF34="")</formula>
    </cfRule>
    <cfRule type="expression" dxfId="0" priority="21">
      <formula>AND($AE34="金色",$AF34="")</formula>
    </cfRule>
  </conditionalFormatting>
  <conditionalFormatting sqref="M34:N34">
    <cfRule type="expression" dxfId="4" priority="20">
      <formula>AND($AE34="蓝色",$AF34="")</formula>
    </cfRule>
    <cfRule type="expression" dxfId="3" priority="19">
      <formula>AND($AE34="紫色",$AF34="")</formula>
    </cfRule>
    <cfRule type="expression" dxfId="2" priority="18">
      <formula>AND($AE34="橙色",$AF34="")</formula>
    </cfRule>
    <cfRule type="expression" dxfId="1" priority="17">
      <formula>AND($AE34="红色",$AF34="")</formula>
    </cfRule>
    <cfRule type="expression" dxfId="0" priority="16">
      <formula>AND($AE34="金色",$AF34="")</formula>
    </cfRule>
  </conditionalFormatting>
  <conditionalFormatting sqref="O34:P34">
    <cfRule type="expression" dxfId="4" priority="10">
      <formula>AND($AE34="蓝色",$AF34="")</formula>
    </cfRule>
    <cfRule type="expression" dxfId="3" priority="9">
      <formula>AND($AE34="紫色",$AF34="")</formula>
    </cfRule>
    <cfRule type="expression" dxfId="2" priority="8">
      <formula>AND($AE34="橙色",$AF34="")</formula>
    </cfRule>
    <cfRule type="expression" dxfId="1" priority="7">
      <formula>AND($AE34="红色",$AF34="")</formula>
    </cfRule>
    <cfRule type="expression" dxfId="0" priority="6">
      <formula>AND($AE34="金色",$AF34="")</formula>
    </cfRule>
  </conditionalFormatting>
  <conditionalFormatting sqref="Q34">
    <cfRule type="expression" dxfId="4" priority="5">
      <formula>AND($AE34="蓝色",$AF34="")</formula>
    </cfRule>
    <cfRule type="expression" dxfId="3" priority="4">
      <formula>AND($AE34="紫色",$AF34="")</formula>
    </cfRule>
    <cfRule type="expression" dxfId="2" priority="3">
      <formula>AND($AE34="橙色",$AF34="")</formula>
    </cfRule>
    <cfRule type="expression" dxfId="1" priority="2">
      <formula>AND($AE34="红色",$AF34="")</formula>
    </cfRule>
    <cfRule type="expression" dxfId="0" priority="1">
      <formula>AND($AE34="金色",$AF34="")</formula>
    </cfRule>
  </conditionalFormatting>
  <conditionalFormatting sqref="R34:S34">
    <cfRule type="expression" dxfId="4" priority="30">
      <formula>AND($AE34="蓝色",$AF34="")</formula>
    </cfRule>
    <cfRule type="expression" dxfId="3" priority="29">
      <formula>AND($AE34="紫色",$AF34="")</formula>
    </cfRule>
    <cfRule type="expression" dxfId="2" priority="28">
      <formula>AND($AE34="橙色",$AF34="")</formula>
    </cfRule>
    <cfRule type="expression" dxfId="1" priority="27">
      <formula>AND($AE34="红色",$AF34="")</formula>
    </cfRule>
    <cfRule type="expression" dxfId="0" priority="26">
      <formula>AND($AE34="金色",$AF34="")</formula>
    </cfRule>
  </conditionalFormatting>
  <conditionalFormatting sqref="T34">
    <cfRule type="expression" dxfId="4" priority="15">
      <formula>AND($AE34="蓝色",$AF34="")</formula>
    </cfRule>
    <cfRule type="expression" dxfId="3" priority="14">
      <formula>AND($AE34="紫色",$AF34="")</formula>
    </cfRule>
    <cfRule type="expression" dxfId="2" priority="13">
      <formula>AND($AE34="橙色",$AF34="")</formula>
    </cfRule>
    <cfRule type="expression" dxfId="1" priority="12">
      <formula>AND($AE34="红色",$AF34="")</formula>
    </cfRule>
    <cfRule type="expression" dxfId="0" priority="11">
      <formula>AND($AE34="金色",$AF34="")</formula>
    </cfRule>
  </conditionalFormatting>
  <conditionalFormatting sqref="L35">
    <cfRule type="expression" dxfId="4" priority="35">
      <formula>AND($AE36="蓝色",$AF36="")</formula>
    </cfRule>
    <cfRule type="expression" dxfId="3" priority="34">
      <formula>AND($AE36="紫色",$AF36="")</formula>
    </cfRule>
    <cfRule type="expression" dxfId="2" priority="33">
      <formula>AND($AE36="橙色",$AF36="")</formula>
    </cfRule>
    <cfRule type="expression" dxfId="1" priority="32">
      <formula>AND($AE36="红色",$AF36="")</formula>
    </cfRule>
    <cfRule type="expression" dxfId="0" priority="31">
      <formula>AND($AE36="金色",$AF36="")</formula>
    </cfRule>
  </conditionalFormatting>
  <conditionalFormatting sqref="M35:N35">
    <cfRule type="expression" dxfId="4" priority="50">
      <formula>AND($AE36="蓝色",$AF36="")</formula>
    </cfRule>
    <cfRule type="expression" dxfId="3" priority="49">
      <formula>AND($AE36="紫色",$AF36="")</formula>
    </cfRule>
    <cfRule type="expression" dxfId="2" priority="48">
      <formula>AND($AE36="橙色",$AF36="")</formula>
    </cfRule>
    <cfRule type="expression" dxfId="1" priority="47">
      <formula>AND($AE36="红色",$AF36="")</formula>
    </cfRule>
    <cfRule type="expression" dxfId="0" priority="46">
      <formula>AND($AE36="金色",$AF36="")</formula>
    </cfRule>
  </conditionalFormatting>
  <conditionalFormatting sqref="O35:P35">
    <cfRule type="expression" dxfId="4" priority="55">
      <formula>AND($AE36="蓝色",$AF36="")</formula>
    </cfRule>
    <cfRule type="expression" dxfId="3" priority="54">
      <formula>AND($AE36="紫色",$AF36="")</formula>
    </cfRule>
    <cfRule type="expression" dxfId="2" priority="53">
      <formula>AND($AE36="橙色",$AF36="")</formula>
    </cfRule>
    <cfRule type="expression" dxfId="1" priority="52">
      <formula>AND($AE36="红色",$AF36="")</formula>
    </cfRule>
    <cfRule type="expression" dxfId="0" priority="51">
      <formula>AND($AE36="金色",$AF36="")</formula>
    </cfRule>
  </conditionalFormatting>
  <conditionalFormatting sqref="Q35">
    <cfRule type="expression" dxfId="4" priority="40">
      <formula>AND($AE36="蓝色",$AF36="")</formula>
    </cfRule>
    <cfRule type="expression" dxfId="3" priority="39">
      <formula>AND($AE36="紫色",$AF36="")</formula>
    </cfRule>
    <cfRule type="expression" dxfId="2" priority="38">
      <formula>AND($AE36="橙色",$AF36="")</formula>
    </cfRule>
    <cfRule type="expression" dxfId="1" priority="37">
      <formula>AND($AE36="红色",$AF36="")</formula>
    </cfRule>
    <cfRule type="expression" dxfId="0" priority="36">
      <formula>AND($AE36="金色",$AF36="")</formula>
    </cfRule>
  </conditionalFormatting>
  <conditionalFormatting sqref="R35:S35">
    <cfRule type="expression" dxfId="4" priority="60">
      <formula>AND($AE36="蓝色",$AF36="")</formula>
    </cfRule>
    <cfRule type="expression" dxfId="3" priority="59">
      <formula>AND($AE36="紫色",$AF36="")</formula>
    </cfRule>
    <cfRule type="expression" dxfId="2" priority="58">
      <formula>AND($AE36="橙色",$AF36="")</formula>
    </cfRule>
    <cfRule type="expression" dxfId="1" priority="57">
      <formula>AND($AE36="红色",$AF36="")</formula>
    </cfRule>
    <cfRule type="expression" dxfId="0" priority="56">
      <formula>AND($AE36="金色",$AF36="")</formula>
    </cfRule>
  </conditionalFormatting>
  <conditionalFormatting sqref="T35">
    <cfRule type="expression" dxfId="4" priority="45">
      <formula>AND($AE36="蓝色",$AF36="")</formula>
    </cfRule>
    <cfRule type="expression" dxfId="3" priority="44">
      <formula>AND($AE36="紫色",$AF36="")</formula>
    </cfRule>
    <cfRule type="expression" dxfId="2" priority="43">
      <formula>AND($AE36="橙色",$AF36="")</formula>
    </cfRule>
    <cfRule type="expression" dxfId="1" priority="42">
      <formula>AND($AE36="红色",$AF36="")</formula>
    </cfRule>
    <cfRule type="expression" dxfId="0" priority="41">
      <formula>AND($AE36="金色",$AF36="")</formula>
    </cfRule>
  </conditionalFormatting>
  <conditionalFormatting sqref="H1:H2 J2 L2 N2 P2">
    <cfRule type="expression" dxfId="4" priority="85">
      <formula>AND($AE1="蓝色",$AF1="")</formula>
    </cfRule>
    <cfRule type="expression" dxfId="3" priority="84">
      <formula>AND($AE1="紫色",$AF1="")</formula>
    </cfRule>
    <cfRule type="expression" dxfId="2" priority="83">
      <formula>AND($AE1="橙色",$AF1="")</formula>
    </cfRule>
    <cfRule type="expression" dxfId="1" priority="82">
      <formula>AND($AE1="红色",$AF1="")</formula>
    </cfRule>
    <cfRule type="expression" dxfId="0" priority="81">
      <formula>AND($AE1="金色",$AF1="")</formula>
    </cfRule>
  </conditionalFormatting>
  <conditionalFormatting sqref="I1:J1 I2:K2 M2 O2 Q2">
    <cfRule type="expression" dxfId="4" priority="80">
      <formula>AND($AE1="蓝色",$AF1="")</formula>
    </cfRule>
    <cfRule type="expression" dxfId="3" priority="79">
      <formula>AND($AE1="紫色",$AF1="")</formula>
    </cfRule>
    <cfRule type="expression" dxfId="2" priority="78">
      <formula>AND($AE1="橙色",$AF1="")</formula>
    </cfRule>
    <cfRule type="expression" dxfId="1" priority="77">
      <formula>AND($AE1="红色",$AF1="")</formula>
    </cfRule>
    <cfRule type="expression" dxfId="0" priority="76">
      <formula>AND($AE1="金色",$AF1="")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FabaoForge</vt:lpstr>
      <vt:lpstr>FabaoLevel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2023-05-12T11:15:00Z</dcterms:created>
  <dcterms:modified xsi:type="dcterms:W3CDTF">2026-04-22T02:54:05Z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852315B53D4A4430852DF427A1C27F1C_12</vt:lpwstr>
  </property>
  <property fmtid="{D5CDD505-2E9C-101B-9397-08002B2CF9AE}" pid="4" name="CalculationRule">
    <vt:i4>0</vt:i4>
  </property>
</Properties>
</file>