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Height="17680"/>
  </bookViews>
  <sheets>
    <sheet name="ConfigAttrZhanshi" sheetId="1" r:id="rId1"/>
    <sheet name="ConfigAttrFashi" sheetId="5" r:id="rId2"/>
    <sheet name="ConfigAttrDaoshi" sheetId="6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<sst xmlns="http://schemas.openxmlformats.org/spreadsheetml/2006/main" count="1614" uniqueCount="38">
  <si>
    <t>0等级</t>
  </si>
  <si>
    <t>属性名1</t>
  </si>
  <si>
    <t>属性值1</t>
  </si>
  <si>
    <t>属性名2</t>
  </si>
  <si>
    <t>属性值2</t>
  </si>
  <si>
    <t>属性名3</t>
  </si>
  <si>
    <t>属性值3</t>
  </si>
  <si>
    <t>属性名4</t>
  </si>
  <si>
    <t>属性值4</t>
  </si>
  <si>
    <t>属性名5</t>
  </si>
  <si>
    <t>属性值5</t>
  </si>
  <si>
    <t>属性名6</t>
  </si>
  <si>
    <t>属性值6</t>
  </si>
  <si>
    <t>0角色升级所需经验</t>
  </si>
  <si>
    <t>Level</t>
  </si>
  <si>
    <t>Prop1Name</t>
  </si>
  <si>
    <t>Prop1Value</t>
  </si>
  <si>
    <t>Prop2Name</t>
  </si>
  <si>
    <t>Prop2Value</t>
  </si>
  <si>
    <t>Prop3Name</t>
  </si>
  <si>
    <t>Prop3Value</t>
  </si>
  <si>
    <t>Prop4Name</t>
  </si>
  <si>
    <t>Prop4Value</t>
  </si>
  <si>
    <t>Prop5Name</t>
  </si>
  <si>
    <t>Prop5Value</t>
  </si>
  <si>
    <t>Prop6Name</t>
  </si>
  <si>
    <t>Prop6Value</t>
  </si>
  <si>
    <t>ExpLevelUp</t>
  </si>
  <si>
    <t>生命值</t>
  </si>
  <si>
    <t>魔法值</t>
  </si>
  <si>
    <t>敏捷</t>
  </si>
  <si>
    <t>准确</t>
  </si>
  <si>
    <t>攻击下限</t>
  </si>
  <si>
    <t>攻击上限</t>
  </si>
  <si>
    <t>魔法下限</t>
  </si>
  <si>
    <t>魔法上限</t>
  </si>
  <si>
    <t>道术下限</t>
  </si>
  <si>
    <t>道术上限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</si>
</sst>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  <numFmt numFmtId="177" formatCode="#,##0_);[Red]\(#,##0\)"/>
    <numFmt numFmtId="178" formatCode="#,##0_ "/>
  </numFmts>
  <fonts count="26">
    <font>
      <sz val="11"/>
      <color theme="1"/>
      <name val="等线"/>
      <charset val="134"/>
      <scheme val="minor"/>
    </font>
    <font>
      <sz val="9"/>
      <color theme="1"/>
      <name val="微软雅黑"/>
      <charset val="134"/>
    </font>
    <font>
      <sz val="9"/>
      <color rgb="FF000000"/>
      <name val="微软雅黑"/>
      <charset val="134"/>
    </font>
    <font>
      <sz val="11"/>
      <color indexed="8"/>
      <name val="宋体"/>
      <charset val="134"/>
    </font>
    <font>
      <sz val="11"/>
      <color rgb="FF222222"/>
      <name val="Carlito"/>
      <charset val="134"/>
    </font>
    <font>
      <sz val="11"/>
      <color rgb="FF000000"/>
      <name val="宋体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name val="Carlito"/>
      <charset val="134"/>
    </font>
  </fonts>
  <fills count="3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6" borderId="5" applyNumberFormat="0" applyAlignment="0" applyProtection="0">
      <alignment vertical="center"/>
    </xf>
    <xf numFmtId="0" fontId="17" fillId="7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5" fillId="0" borderId="0"/>
  </cellStyleXfs>
  <cellXfs count="13">
    <xf numFmtId="0" fontId="0" fillId="0" borderId="0" xfId="0"/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176" fontId="2" fillId="2" borderId="1" xfId="0" applyNumberFormat="1" applyFont="1" applyFill="1" applyBorder="1" applyAlignment="1">
      <alignment horizontal="center" vertical="center"/>
    </xf>
    <xf numFmtId="177" fontId="1" fillId="2" borderId="0" xfId="0" applyNumberFormat="1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178" fontId="1" fillId="0" borderId="0" xfId="0" applyNumberFormat="1" applyFont="1" applyFill="1" applyAlignment="1">
      <alignment horizontal="center"/>
    </xf>
    <xf numFmtId="0" fontId="3" fillId="0" borderId="0" xfId="0" applyFont="1" applyFill="1" applyAlignment="1">
      <alignment vertical="center"/>
    </xf>
    <xf numFmtId="178" fontId="1" fillId="0" borderId="0" xfId="0" applyNumberFormat="1" applyFont="1" applyAlignment="1">
      <alignment horizontal="center"/>
    </xf>
    <xf numFmtId="0" fontId="4" fillId="0" borderId="0" xfId="49" applyNumberFormat="1" applyFont="1" applyFill="1" applyBorder="1" applyAlignment="1">
      <alignment vertical="center"/>
    </xf>
    <xf numFmtId="0" fontId="1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right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87"/>
  <sheetViews>
    <sheetView tabSelected="1" workbookViewId="0">
      <selection activeCell="Q25" sqref="Q25"/>
    </sheetView>
  </sheetViews>
  <sheetFormatPr defaultColWidth="9" defaultRowHeight="13"/>
  <cols>
    <col min="1" max="1" width="5.5" style="1" customWidth="1"/>
    <col min="2" max="9" width="10" style="1" customWidth="1"/>
    <col min="10" max="10" width="7.5" style="1" customWidth="1"/>
    <col min="11" max="13" width="7.375" style="1" customWidth="1"/>
    <col min="14" max="14" width="15.6666666666667" style="1" customWidth="1"/>
    <col min="15" max="16384" width="9" style="1"/>
  </cols>
  <sheetData>
    <row r="1" spans="1:16">
      <c r="A1" s="2" t="s">
        <v>0</v>
      </c>
      <c r="B1" s="3" t="s">
        <v>1</v>
      </c>
      <c r="C1" s="4" t="s">
        <v>2</v>
      </c>
      <c r="D1" s="3" t="s">
        <v>3</v>
      </c>
      <c r="E1" s="4" t="s">
        <v>4</v>
      </c>
      <c r="F1" s="3" t="s">
        <v>5</v>
      </c>
      <c r="G1" s="4" t="s">
        <v>6</v>
      </c>
      <c r="H1" s="3" t="s">
        <v>7</v>
      </c>
      <c r="I1" s="4" t="s">
        <v>8</v>
      </c>
      <c r="J1" s="3" t="s">
        <v>9</v>
      </c>
      <c r="K1" s="4" t="s">
        <v>10</v>
      </c>
      <c r="L1" s="3" t="s">
        <v>11</v>
      </c>
      <c r="M1" s="4" t="s">
        <v>12</v>
      </c>
      <c r="N1" s="5" t="s">
        <v>13</v>
      </c>
    </row>
    <row r="2" spans="1:16">
      <c r="A2" s="2" t="s">
        <v>14</v>
      </c>
      <c r="B2" s="3" t="s">
        <v>15</v>
      </c>
      <c r="C2" s="4" t="s">
        <v>16</v>
      </c>
      <c r="D2" s="3" t="s">
        <v>17</v>
      </c>
      <c r="E2" s="4" t="s">
        <v>18</v>
      </c>
      <c r="F2" s="3" t="s">
        <v>19</v>
      </c>
      <c r="G2" s="4" t="s">
        <v>20</v>
      </c>
      <c r="H2" s="3" t="s">
        <v>21</v>
      </c>
      <c r="I2" s="4" t="s">
        <v>22</v>
      </c>
      <c r="J2" s="3" t="s">
        <v>23</v>
      </c>
      <c r="K2" s="4" t="s">
        <v>24</v>
      </c>
      <c r="L2" s="3" t="s">
        <v>25</v>
      </c>
      <c r="M2" s="4" t="s">
        <v>26</v>
      </c>
      <c r="N2" s="5" t="s">
        <v>27</v>
      </c>
    </row>
    <row r="3" ht="14" spans="1:16">
      <c r="A3" s="1">
        <v>1</v>
      </c>
      <c r="B3" s="6" t="s">
        <v>28</v>
      </c>
      <c r="C3" s="6">
        <v>60</v>
      </c>
      <c r="D3" s="7" t="s">
        <v>29</v>
      </c>
      <c r="E3" s="7">
        <f>ROUND(C3*2/3,0)</f>
        <v>40</v>
      </c>
      <c r="F3" s="7" t="s">
        <v>30</v>
      </c>
      <c r="G3" s="7"/>
      <c r="H3" s="7" t="s">
        <v>31</v>
      </c>
      <c r="I3" s="7"/>
      <c r="J3" s="8" t="s">
        <v>32</v>
      </c>
      <c r="K3" s="8">
        <v>0</v>
      </c>
      <c r="L3" s="8" t="s">
        <v>33</v>
      </c>
      <c r="M3" s="9"/>
      <c r="N3" s="10">
        <v>10</v>
      </c>
    </row>
    <row r="4" ht="14" spans="1:16">
      <c r="A4" s="1">
        <v>2</v>
      </c>
      <c r="B4" s="6" t="s">
        <v>28</v>
      </c>
      <c r="C4" s="6">
        <v>6</v>
      </c>
      <c r="D4" s="7" t="s">
        <v>29</v>
      </c>
      <c r="E4" s="7">
        <f t="shared" ref="E4:E35" si="0">ROUND(C4*2/3,0)</f>
        <v>4</v>
      </c>
      <c r="F4" s="7" t="s">
        <v>30</v>
      </c>
      <c r="G4" s="7"/>
      <c r="H4" s="7" t="s">
        <v>31</v>
      </c>
      <c r="I4" s="7"/>
      <c r="J4" s="8" t="s">
        <v>32</v>
      </c>
      <c r="K4" s="8">
        <v>0</v>
      </c>
      <c r="L4" s="8" t="s">
        <v>33</v>
      </c>
      <c r="M4" s="9"/>
      <c r="N4" s="10">
        <v>15</v>
      </c>
      <c r="P4" s="12"/>
    </row>
    <row r="5" ht="14" spans="1:16">
      <c r="A5" s="1">
        <v>3</v>
      </c>
      <c r="B5" s="6" t="s">
        <v>28</v>
      </c>
      <c r="C5" s="6">
        <v>6</v>
      </c>
      <c r="D5" s="7" t="s">
        <v>29</v>
      </c>
      <c r="E5" s="7">
        <f t="shared" si="0"/>
        <v>4</v>
      </c>
      <c r="F5" s="7" t="s">
        <v>30</v>
      </c>
      <c r="G5" s="7"/>
      <c r="H5" s="7" t="s">
        <v>31</v>
      </c>
      <c r="I5" s="7"/>
      <c r="J5" s="8" t="s">
        <v>32</v>
      </c>
      <c r="K5" s="8">
        <v>0</v>
      </c>
      <c r="L5" s="8" t="s">
        <v>33</v>
      </c>
      <c r="M5" s="9"/>
      <c r="N5" s="10">
        <v>25</v>
      </c>
      <c r="P5" s="12"/>
    </row>
    <row r="6" ht="14" spans="1:16">
      <c r="A6" s="1">
        <v>4</v>
      </c>
      <c r="B6" s="6" t="s">
        <v>28</v>
      </c>
      <c r="C6" s="6">
        <v>6</v>
      </c>
      <c r="D6" s="7" t="s">
        <v>29</v>
      </c>
      <c r="E6" s="7">
        <f t="shared" si="0"/>
        <v>4</v>
      </c>
      <c r="F6" s="7" t="s">
        <v>30</v>
      </c>
      <c r="G6" s="7"/>
      <c r="H6" s="7" t="s">
        <v>31</v>
      </c>
      <c r="I6" s="7"/>
      <c r="J6" s="8" t="s">
        <v>32</v>
      </c>
      <c r="K6" s="8">
        <v>0</v>
      </c>
      <c r="L6" s="8" t="s">
        <v>33</v>
      </c>
      <c r="M6" s="9"/>
      <c r="N6" s="10">
        <v>35</v>
      </c>
      <c r="P6" s="12"/>
    </row>
    <row r="7" ht="14" spans="1:16">
      <c r="A7" s="1">
        <v>5</v>
      </c>
      <c r="B7" s="6" t="s">
        <v>28</v>
      </c>
      <c r="C7" s="6">
        <v>6</v>
      </c>
      <c r="D7" s="7" t="s">
        <v>29</v>
      </c>
      <c r="E7" s="7">
        <f t="shared" si="0"/>
        <v>4</v>
      </c>
      <c r="F7" s="7" t="s">
        <v>30</v>
      </c>
      <c r="G7" s="7"/>
      <c r="H7" s="7" t="s">
        <v>31</v>
      </c>
      <c r="I7" s="7"/>
      <c r="J7" s="8" t="s">
        <v>32</v>
      </c>
      <c r="K7" s="8">
        <v>0</v>
      </c>
      <c r="L7" s="8" t="s">
        <v>33</v>
      </c>
      <c r="M7" s="9">
        <v>1</v>
      </c>
      <c r="N7" s="10">
        <v>50</v>
      </c>
      <c r="P7" s="12"/>
    </row>
    <row r="8" ht="14" spans="1:16">
      <c r="A8" s="1">
        <v>6</v>
      </c>
      <c r="B8" s="6" t="s">
        <v>28</v>
      </c>
      <c r="C8" s="6">
        <v>6</v>
      </c>
      <c r="D8" s="7" t="s">
        <v>29</v>
      </c>
      <c r="E8" s="7">
        <f t="shared" si="0"/>
        <v>4</v>
      </c>
      <c r="F8" s="7" t="s">
        <v>30</v>
      </c>
      <c r="G8" s="7"/>
      <c r="H8" s="7" t="s">
        <v>31</v>
      </c>
      <c r="I8" s="7"/>
      <c r="J8" s="8" t="s">
        <v>32</v>
      </c>
      <c r="K8" s="8">
        <v>0</v>
      </c>
      <c r="L8" s="8" t="s">
        <v>33</v>
      </c>
      <c r="M8" s="9"/>
      <c r="N8" s="10">
        <v>70</v>
      </c>
      <c r="P8" s="12"/>
    </row>
    <row r="9" ht="14" spans="1:16">
      <c r="A9" s="1">
        <v>7</v>
      </c>
      <c r="B9" s="6" t="s">
        <v>28</v>
      </c>
      <c r="C9" s="6">
        <v>6</v>
      </c>
      <c r="D9" s="7" t="s">
        <v>29</v>
      </c>
      <c r="E9" s="7">
        <f t="shared" si="0"/>
        <v>4</v>
      </c>
      <c r="F9" s="7" t="s">
        <v>30</v>
      </c>
      <c r="G9" s="7"/>
      <c r="H9" s="7" t="s">
        <v>31</v>
      </c>
      <c r="I9" s="7"/>
      <c r="J9" s="8" t="s">
        <v>32</v>
      </c>
      <c r="K9" s="8">
        <v>0</v>
      </c>
      <c r="L9" s="8" t="s">
        <v>33</v>
      </c>
      <c r="M9" s="9"/>
      <c r="N9" s="10">
        <v>95</v>
      </c>
    </row>
    <row r="10" ht="14" spans="1:16">
      <c r="A10" s="1">
        <v>8</v>
      </c>
      <c r="B10" s="6" t="s">
        <v>28</v>
      </c>
      <c r="C10" s="6">
        <v>6</v>
      </c>
      <c r="D10" s="7" t="s">
        <v>29</v>
      </c>
      <c r="E10" s="7">
        <f t="shared" si="0"/>
        <v>4</v>
      </c>
      <c r="F10" s="7" t="s">
        <v>30</v>
      </c>
      <c r="G10" s="7"/>
      <c r="H10" s="7" t="s">
        <v>31</v>
      </c>
      <c r="I10" s="7"/>
      <c r="J10" s="8" t="s">
        <v>32</v>
      </c>
      <c r="K10" s="8">
        <v>0</v>
      </c>
      <c r="L10" s="8" t="s">
        <v>33</v>
      </c>
      <c r="M10" s="9"/>
      <c r="N10" s="10">
        <v>125</v>
      </c>
    </row>
    <row r="11" ht="14" spans="1:16">
      <c r="A11" s="1">
        <v>9</v>
      </c>
      <c r="B11" s="6" t="s">
        <v>28</v>
      </c>
      <c r="C11" s="6">
        <v>6</v>
      </c>
      <c r="D11" s="7" t="s">
        <v>29</v>
      </c>
      <c r="E11" s="7">
        <f t="shared" si="0"/>
        <v>4</v>
      </c>
      <c r="F11" s="7" t="s">
        <v>30</v>
      </c>
      <c r="G11" s="7"/>
      <c r="H11" s="7" t="s">
        <v>31</v>
      </c>
      <c r="I11" s="7"/>
      <c r="J11" s="8" t="s">
        <v>32</v>
      </c>
      <c r="K11" s="8">
        <v>0</v>
      </c>
      <c r="L11" s="8" t="s">
        <v>33</v>
      </c>
      <c r="M11" s="9"/>
      <c r="N11" s="10">
        <v>160</v>
      </c>
    </row>
    <row r="12" ht="14" spans="1:16">
      <c r="A12" s="1">
        <v>10</v>
      </c>
      <c r="B12" s="6" t="s">
        <v>28</v>
      </c>
      <c r="C12" s="6">
        <v>6</v>
      </c>
      <c r="D12" s="7" t="s">
        <v>29</v>
      </c>
      <c r="E12" s="7">
        <f t="shared" si="0"/>
        <v>4</v>
      </c>
      <c r="F12" s="7" t="s">
        <v>30</v>
      </c>
      <c r="G12" s="7"/>
      <c r="H12" s="7" t="s">
        <v>31</v>
      </c>
      <c r="I12" s="7"/>
      <c r="J12" s="8" t="s">
        <v>32</v>
      </c>
      <c r="K12" s="8">
        <v>0</v>
      </c>
      <c r="L12" s="8" t="s">
        <v>33</v>
      </c>
      <c r="M12" s="9">
        <v>1</v>
      </c>
      <c r="N12" s="10">
        <v>210</v>
      </c>
    </row>
    <row r="13" ht="14" spans="1:16">
      <c r="A13" s="1">
        <v>11</v>
      </c>
      <c r="B13" s="6" t="s">
        <v>28</v>
      </c>
      <c r="C13" s="6">
        <v>8</v>
      </c>
      <c r="D13" s="7" t="s">
        <v>29</v>
      </c>
      <c r="E13" s="7">
        <f t="shared" si="0"/>
        <v>5</v>
      </c>
      <c r="F13" s="7" t="s">
        <v>30</v>
      </c>
      <c r="G13" s="7"/>
      <c r="H13" s="7" t="s">
        <v>31</v>
      </c>
      <c r="I13" s="7"/>
      <c r="J13" s="8" t="s">
        <v>32</v>
      </c>
      <c r="K13" s="8">
        <v>0</v>
      </c>
      <c r="L13" s="8" t="s">
        <v>33</v>
      </c>
      <c r="M13" s="9"/>
      <c r="N13" s="10">
        <v>270</v>
      </c>
    </row>
    <row r="14" ht="14" spans="1:16">
      <c r="A14" s="1">
        <v>12</v>
      </c>
      <c r="B14" s="6" t="s">
        <v>28</v>
      </c>
      <c r="C14" s="6">
        <v>8</v>
      </c>
      <c r="D14" s="7" t="s">
        <v>29</v>
      </c>
      <c r="E14" s="7">
        <f t="shared" si="0"/>
        <v>5</v>
      </c>
      <c r="F14" s="7" t="s">
        <v>30</v>
      </c>
      <c r="G14" s="7"/>
      <c r="H14" s="7" t="s">
        <v>31</v>
      </c>
      <c r="I14" s="7"/>
      <c r="J14" s="8" t="s">
        <v>32</v>
      </c>
      <c r="K14" s="8">
        <v>0</v>
      </c>
      <c r="L14" s="8" t="s">
        <v>33</v>
      </c>
      <c r="M14" s="9"/>
      <c r="N14" s="10">
        <v>340</v>
      </c>
    </row>
    <row r="15" ht="14" spans="1:16">
      <c r="A15" s="1">
        <v>13</v>
      </c>
      <c r="B15" s="6" t="s">
        <v>28</v>
      </c>
      <c r="C15" s="6">
        <v>8</v>
      </c>
      <c r="D15" s="7" t="s">
        <v>29</v>
      </c>
      <c r="E15" s="7">
        <f t="shared" si="0"/>
        <v>5</v>
      </c>
      <c r="F15" s="7" t="s">
        <v>30</v>
      </c>
      <c r="G15" s="7"/>
      <c r="H15" s="7" t="s">
        <v>31</v>
      </c>
      <c r="I15" s="7"/>
      <c r="J15" s="8" t="s">
        <v>32</v>
      </c>
      <c r="K15" s="8">
        <v>0</v>
      </c>
      <c r="L15" s="8" t="s">
        <v>33</v>
      </c>
      <c r="M15" s="9"/>
      <c r="N15" s="10">
        <v>420</v>
      </c>
    </row>
    <row r="16" ht="14" spans="1:16">
      <c r="A16" s="1">
        <v>14</v>
      </c>
      <c r="B16" s="6" t="s">
        <v>28</v>
      </c>
      <c r="C16" s="6">
        <v>8</v>
      </c>
      <c r="D16" s="7" t="s">
        <v>29</v>
      </c>
      <c r="E16" s="7">
        <f t="shared" si="0"/>
        <v>5</v>
      </c>
      <c r="F16" s="7" t="s">
        <v>30</v>
      </c>
      <c r="G16" s="7"/>
      <c r="H16" s="7" t="s">
        <v>31</v>
      </c>
      <c r="I16" s="7"/>
      <c r="J16" s="8" t="s">
        <v>32</v>
      </c>
      <c r="K16" s="8">
        <v>0</v>
      </c>
      <c r="L16" s="8" t="s">
        <v>33</v>
      </c>
      <c r="M16" s="9"/>
      <c r="N16" s="10">
        <v>520</v>
      </c>
    </row>
    <row r="17" ht="14" spans="1:14">
      <c r="A17" s="1">
        <v>15</v>
      </c>
      <c r="B17" s="6" t="s">
        <v>28</v>
      </c>
      <c r="C17" s="6">
        <v>8</v>
      </c>
      <c r="D17" s="7" t="s">
        <v>29</v>
      </c>
      <c r="E17" s="7">
        <f t="shared" si="0"/>
        <v>5</v>
      </c>
      <c r="F17" s="7" t="s">
        <v>30</v>
      </c>
      <c r="G17" s="7"/>
      <c r="H17" s="7" t="s">
        <v>31</v>
      </c>
      <c r="I17" s="7"/>
      <c r="J17" s="8" t="s">
        <v>32</v>
      </c>
      <c r="K17" s="8">
        <v>0</v>
      </c>
      <c r="L17" s="8" t="s">
        <v>33</v>
      </c>
      <c r="M17" s="9"/>
      <c r="N17" s="10">
        <v>640</v>
      </c>
    </row>
    <row r="18" ht="14" spans="1:14">
      <c r="A18" s="1">
        <v>16</v>
      </c>
      <c r="B18" s="6" t="s">
        <v>28</v>
      </c>
      <c r="C18" s="6">
        <v>8</v>
      </c>
      <c r="D18" s="7" t="s">
        <v>29</v>
      </c>
      <c r="E18" s="7">
        <f t="shared" si="0"/>
        <v>5</v>
      </c>
      <c r="F18" s="7" t="s">
        <v>30</v>
      </c>
      <c r="G18" s="7"/>
      <c r="H18" s="7" t="s">
        <v>31</v>
      </c>
      <c r="I18" s="7"/>
      <c r="J18" s="8" t="s">
        <v>32</v>
      </c>
      <c r="K18" s="8">
        <v>0</v>
      </c>
      <c r="L18" s="8" t="s">
        <v>33</v>
      </c>
      <c r="M18" s="9"/>
      <c r="N18" s="10">
        <v>780</v>
      </c>
    </row>
    <row r="19" ht="14" spans="1:14">
      <c r="A19" s="1">
        <v>17</v>
      </c>
      <c r="B19" s="6" t="s">
        <v>28</v>
      </c>
      <c r="C19" s="6">
        <v>8</v>
      </c>
      <c r="D19" s="7" t="s">
        <v>29</v>
      </c>
      <c r="E19" s="7">
        <f t="shared" si="0"/>
        <v>5</v>
      </c>
      <c r="F19" s="7" t="s">
        <v>30</v>
      </c>
      <c r="G19" s="7"/>
      <c r="H19" s="7" t="s">
        <v>31</v>
      </c>
      <c r="I19" s="7"/>
      <c r="J19" s="8" t="s">
        <v>32</v>
      </c>
      <c r="K19" s="8">
        <v>0</v>
      </c>
      <c r="L19" s="8" t="s">
        <v>33</v>
      </c>
      <c r="M19" s="9"/>
      <c r="N19" s="10">
        <v>950</v>
      </c>
    </row>
    <row r="20" ht="14" spans="1:14">
      <c r="A20" s="1">
        <v>18</v>
      </c>
      <c r="B20" s="6" t="s">
        <v>28</v>
      </c>
      <c r="C20" s="6">
        <v>8</v>
      </c>
      <c r="D20" s="7" t="s">
        <v>29</v>
      </c>
      <c r="E20" s="7">
        <f t="shared" si="0"/>
        <v>5</v>
      </c>
      <c r="F20" s="7" t="s">
        <v>30</v>
      </c>
      <c r="G20" s="7"/>
      <c r="H20" s="7" t="s">
        <v>31</v>
      </c>
      <c r="I20" s="7"/>
      <c r="J20" s="8" t="s">
        <v>32</v>
      </c>
      <c r="K20" s="8">
        <v>0</v>
      </c>
      <c r="L20" s="8" t="s">
        <v>33</v>
      </c>
      <c r="M20" s="9"/>
      <c r="N20" s="10">
        <v>1150</v>
      </c>
    </row>
    <row r="21" ht="14" spans="1:14">
      <c r="A21" s="1">
        <v>19</v>
      </c>
      <c r="B21" s="6" t="s">
        <v>28</v>
      </c>
      <c r="C21" s="6">
        <v>8</v>
      </c>
      <c r="D21" s="7" t="s">
        <v>29</v>
      </c>
      <c r="E21" s="7">
        <f t="shared" si="0"/>
        <v>5</v>
      </c>
      <c r="F21" s="7" t="s">
        <v>30</v>
      </c>
      <c r="G21" s="7"/>
      <c r="H21" s="7" t="s">
        <v>31</v>
      </c>
      <c r="I21" s="7"/>
      <c r="J21" s="8" t="s">
        <v>32</v>
      </c>
      <c r="K21" s="8">
        <v>0</v>
      </c>
      <c r="L21" s="8" t="s">
        <v>33</v>
      </c>
      <c r="M21" s="9"/>
      <c r="N21" s="10">
        <v>1380</v>
      </c>
    </row>
    <row r="22" ht="14" spans="1:14">
      <c r="A22" s="1">
        <v>20</v>
      </c>
      <c r="B22" s="6" t="s">
        <v>28</v>
      </c>
      <c r="C22" s="6">
        <v>8</v>
      </c>
      <c r="D22" s="7" t="s">
        <v>29</v>
      </c>
      <c r="E22" s="7">
        <f t="shared" si="0"/>
        <v>5</v>
      </c>
      <c r="F22" s="7" t="s">
        <v>30</v>
      </c>
      <c r="G22" s="7"/>
      <c r="H22" s="7" t="s">
        <v>31</v>
      </c>
      <c r="I22" s="7"/>
      <c r="J22" s="8" t="s">
        <v>32</v>
      </c>
      <c r="K22" s="8">
        <v>0</v>
      </c>
      <c r="L22" s="8" t="s">
        <v>33</v>
      </c>
      <c r="M22" s="9">
        <v>2</v>
      </c>
      <c r="N22" s="10">
        <v>1650</v>
      </c>
    </row>
    <row r="23" ht="14" spans="1:14">
      <c r="A23" s="1">
        <v>21</v>
      </c>
      <c r="B23" s="6" t="s">
        <v>28</v>
      </c>
      <c r="C23" s="6">
        <v>10</v>
      </c>
      <c r="D23" s="7" t="s">
        <v>29</v>
      </c>
      <c r="E23" s="7">
        <f t="shared" si="0"/>
        <v>7</v>
      </c>
      <c r="F23" s="7" t="s">
        <v>30</v>
      </c>
      <c r="G23" s="7"/>
      <c r="H23" s="7" t="s">
        <v>31</v>
      </c>
      <c r="I23" s="7"/>
      <c r="J23" s="8" t="s">
        <v>32</v>
      </c>
      <c r="K23" s="8">
        <v>0</v>
      </c>
      <c r="L23" s="8" t="s">
        <v>33</v>
      </c>
      <c r="M23" s="9"/>
      <c r="N23" s="10">
        <v>1950</v>
      </c>
    </row>
    <row r="24" ht="14" spans="1:14">
      <c r="A24" s="1">
        <v>22</v>
      </c>
      <c r="B24" s="6" t="s">
        <v>28</v>
      </c>
      <c r="C24" s="6">
        <v>10</v>
      </c>
      <c r="D24" s="7" t="s">
        <v>29</v>
      </c>
      <c r="E24" s="7">
        <f t="shared" si="0"/>
        <v>7</v>
      </c>
      <c r="F24" s="7" t="s">
        <v>30</v>
      </c>
      <c r="G24" s="7"/>
      <c r="H24" s="7" t="s">
        <v>31</v>
      </c>
      <c r="I24" s="7"/>
      <c r="J24" s="8" t="s">
        <v>32</v>
      </c>
      <c r="K24" s="8">
        <v>0</v>
      </c>
      <c r="L24" s="8" t="s">
        <v>33</v>
      </c>
      <c r="M24" s="9"/>
      <c r="N24" s="10">
        <v>2300</v>
      </c>
    </row>
    <row r="25" ht="14" spans="1:14">
      <c r="A25" s="1">
        <v>23</v>
      </c>
      <c r="B25" s="6" t="s">
        <v>28</v>
      </c>
      <c r="C25" s="6">
        <v>10</v>
      </c>
      <c r="D25" s="7" t="s">
        <v>29</v>
      </c>
      <c r="E25" s="7">
        <f t="shared" si="0"/>
        <v>7</v>
      </c>
      <c r="F25" s="7" t="s">
        <v>30</v>
      </c>
      <c r="G25" s="7"/>
      <c r="H25" s="7" t="s">
        <v>31</v>
      </c>
      <c r="I25" s="7"/>
      <c r="J25" s="8" t="s">
        <v>32</v>
      </c>
      <c r="K25" s="8">
        <v>0</v>
      </c>
      <c r="L25" s="8" t="s">
        <v>33</v>
      </c>
      <c r="M25" s="9"/>
      <c r="N25" s="10">
        <v>2700</v>
      </c>
    </row>
    <row r="26" ht="14" spans="1:14">
      <c r="A26" s="1">
        <v>24</v>
      </c>
      <c r="B26" s="6" t="s">
        <v>28</v>
      </c>
      <c r="C26" s="6">
        <v>10</v>
      </c>
      <c r="D26" s="7" t="s">
        <v>29</v>
      </c>
      <c r="E26" s="7">
        <f t="shared" si="0"/>
        <v>7</v>
      </c>
      <c r="F26" s="7" t="s">
        <v>30</v>
      </c>
      <c r="G26" s="7"/>
      <c r="H26" s="7" t="s">
        <v>31</v>
      </c>
      <c r="I26" s="7"/>
      <c r="J26" s="8" t="s">
        <v>32</v>
      </c>
      <c r="K26" s="8">
        <v>0</v>
      </c>
      <c r="L26" s="8" t="s">
        <v>33</v>
      </c>
      <c r="M26" s="9"/>
      <c r="N26" s="10">
        <v>3150</v>
      </c>
    </row>
    <row r="27" ht="14" spans="1:14">
      <c r="A27" s="1">
        <v>25</v>
      </c>
      <c r="B27" s="6" t="s">
        <v>28</v>
      </c>
      <c r="C27" s="6">
        <v>10</v>
      </c>
      <c r="D27" s="7" t="s">
        <v>29</v>
      </c>
      <c r="E27" s="7">
        <f t="shared" si="0"/>
        <v>7</v>
      </c>
      <c r="F27" s="7" t="s">
        <v>30</v>
      </c>
      <c r="G27" s="7"/>
      <c r="H27" s="7" t="s">
        <v>31</v>
      </c>
      <c r="I27" s="7"/>
      <c r="J27" s="8" t="s">
        <v>32</v>
      </c>
      <c r="K27" s="8">
        <v>0</v>
      </c>
      <c r="L27" s="8" t="s">
        <v>33</v>
      </c>
      <c r="M27" s="9">
        <v>2</v>
      </c>
      <c r="N27" s="10">
        <v>3650</v>
      </c>
    </row>
    <row r="28" ht="14" spans="1:14">
      <c r="A28" s="1">
        <v>26</v>
      </c>
      <c r="B28" s="6" t="s">
        <v>28</v>
      </c>
      <c r="C28" s="6">
        <v>10</v>
      </c>
      <c r="D28" s="7" t="s">
        <v>29</v>
      </c>
      <c r="E28" s="7">
        <f t="shared" si="0"/>
        <v>7</v>
      </c>
      <c r="F28" s="7" t="s">
        <v>30</v>
      </c>
      <c r="G28" s="7"/>
      <c r="H28" s="7" t="s">
        <v>31</v>
      </c>
      <c r="I28" s="7"/>
      <c r="J28" s="8" t="s">
        <v>32</v>
      </c>
      <c r="K28" s="8">
        <v>0</v>
      </c>
      <c r="L28" s="8" t="s">
        <v>33</v>
      </c>
      <c r="M28" s="9"/>
      <c r="N28" s="10">
        <v>4200</v>
      </c>
    </row>
    <row r="29" ht="14" spans="1:14">
      <c r="A29" s="1">
        <v>27</v>
      </c>
      <c r="B29" s="6" t="s">
        <v>28</v>
      </c>
      <c r="C29" s="6">
        <v>10</v>
      </c>
      <c r="D29" s="7" t="s">
        <v>29</v>
      </c>
      <c r="E29" s="7">
        <f t="shared" si="0"/>
        <v>7</v>
      </c>
      <c r="F29" s="7" t="s">
        <v>30</v>
      </c>
      <c r="G29" s="7"/>
      <c r="H29" s="7" t="s">
        <v>31</v>
      </c>
      <c r="I29" s="7"/>
      <c r="J29" s="8" t="s">
        <v>32</v>
      </c>
      <c r="K29" s="8">
        <v>0</v>
      </c>
      <c r="L29" s="8" t="s">
        <v>33</v>
      </c>
      <c r="M29" s="9"/>
      <c r="N29" s="10">
        <v>4800</v>
      </c>
    </row>
    <row r="30" ht="14" spans="1:14">
      <c r="A30" s="1">
        <v>28</v>
      </c>
      <c r="B30" s="6" t="s">
        <v>28</v>
      </c>
      <c r="C30" s="6">
        <v>10</v>
      </c>
      <c r="D30" s="7" t="s">
        <v>29</v>
      </c>
      <c r="E30" s="7">
        <f t="shared" si="0"/>
        <v>7</v>
      </c>
      <c r="F30" s="7" t="s">
        <v>30</v>
      </c>
      <c r="G30" s="7"/>
      <c r="H30" s="7" t="s">
        <v>31</v>
      </c>
      <c r="I30" s="7"/>
      <c r="J30" s="8" t="s">
        <v>32</v>
      </c>
      <c r="K30" s="8">
        <v>0</v>
      </c>
      <c r="L30" s="8" t="s">
        <v>33</v>
      </c>
      <c r="M30" s="9"/>
      <c r="N30" s="10">
        <v>5450</v>
      </c>
    </row>
    <row r="31" ht="14" spans="1:14">
      <c r="A31" s="1">
        <v>29</v>
      </c>
      <c r="B31" s="6" t="s">
        <v>28</v>
      </c>
      <c r="C31" s="6">
        <v>10</v>
      </c>
      <c r="D31" s="7" t="s">
        <v>29</v>
      </c>
      <c r="E31" s="7">
        <f t="shared" si="0"/>
        <v>7</v>
      </c>
      <c r="F31" s="7" t="s">
        <v>30</v>
      </c>
      <c r="G31" s="7"/>
      <c r="H31" s="7" t="s">
        <v>31</v>
      </c>
      <c r="I31" s="7"/>
      <c r="J31" s="8" t="s">
        <v>32</v>
      </c>
      <c r="K31" s="8">
        <v>0</v>
      </c>
      <c r="L31" s="8" t="s">
        <v>33</v>
      </c>
      <c r="M31" s="9"/>
      <c r="N31" s="10">
        <v>6150</v>
      </c>
    </row>
    <row r="32" ht="14" spans="1:14">
      <c r="A32" s="1">
        <v>30</v>
      </c>
      <c r="B32" s="6" t="s">
        <v>28</v>
      </c>
      <c r="C32" s="6">
        <v>10</v>
      </c>
      <c r="D32" s="7" t="s">
        <v>29</v>
      </c>
      <c r="E32" s="7">
        <f t="shared" si="0"/>
        <v>7</v>
      </c>
      <c r="F32" s="7" t="s">
        <v>30</v>
      </c>
      <c r="G32" s="7"/>
      <c r="H32" s="7" t="s">
        <v>31</v>
      </c>
      <c r="I32" s="7"/>
      <c r="J32" s="8" t="s">
        <v>32</v>
      </c>
      <c r="K32" s="8">
        <v>0</v>
      </c>
      <c r="L32" s="8" t="s">
        <v>33</v>
      </c>
      <c r="M32" s="9">
        <v>2</v>
      </c>
      <c r="N32" s="10">
        <v>7200</v>
      </c>
    </row>
    <row r="33" ht="14" spans="1:14">
      <c r="A33" s="1">
        <v>31</v>
      </c>
      <c r="B33" s="6" t="s">
        <v>28</v>
      </c>
      <c r="C33" s="6">
        <v>16</v>
      </c>
      <c r="D33" s="7" t="s">
        <v>29</v>
      </c>
      <c r="E33" s="7">
        <f t="shared" si="0"/>
        <v>11</v>
      </c>
      <c r="F33" s="7" t="s">
        <v>30</v>
      </c>
      <c r="G33" s="7"/>
      <c r="H33" s="7" t="s">
        <v>31</v>
      </c>
      <c r="I33" s="7"/>
      <c r="J33" s="8" t="s">
        <v>32</v>
      </c>
      <c r="K33" s="8">
        <v>0</v>
      </c>
      <c r="L33" s="8" t="s">
        <v>33</v>
      </c>
      <c r="M33" s="9"/>
      <c r="N33" s="10">
        <v>8500</v>
      </c>
    </row>
    <row r="34" ht="14" spans="1:14">
      <c r="A34" s="1">
        <v>32</v>
      </c>
      <c r="B34" s="6" t="s">
        <v>28</v>
      </c>
      <c r="C34" s="6">
        <v>16</v>
      </c>
      <c r="D34" s="7" t="s">
        <v>29</v>
      </c>
      <c r="E34" s="7">
        <f t="shared" si="0"/>
        <v>11</v>
      </c>
      <c r="F34" s="7" t="s">
        <v>30</v>
      </c>
      <c r="G34" s="7"/>
      <c r="H34" s="7" t="s">
        <v>31</v>
      </c>
      <c r="I34" s="7"/>
      <c r="J34" s="8" t="s">
        <v>32</v>
      </c>
      <c r="K34" s="8">
        <v>0</v>
      </c>
      <c r="L34" s="8" t="s">
        <v>33</v>
      </c>
      <c r="M34" s="9"/>
      <c r="N34" s="10">
        <v>10000</v>
      </c>
    </row>
    <row r="35" ht="14" spans="1:14">
      <c r="A35" s="1">
        <v>33</v>
      </c>
      <c r="B35" s="6" t="s">
        <v>28</v>
      </c>
      <c r="C35" s="6">
        <v>16</v>
      </c>
      <c r="D35" s="7" t="s">
        <v>29</v>
      </c>
      <c r="E35" s="7">
        <f t="shared" si="0"/>
        <v>11</v>
      </c>
      <c r="F35" s="7" t="s">
        <v>30</v>
      </c>
      <c r="G35" s="7"/>
      <c r="H35" s="7" t="s">
        <v>31</v>
      </c>
      <c r="I35" s="7"/>
      <c r="J35" s="8" t="s">
        <v>32</v>
      </c>
      <c r="K35" s="8">
        <v>0</v>
      </c>
      <c r="L35" s="8" t="s">
        <v>33</v>
      </c>
      <c r="M35" s="9"/>
      <c r="N35" s="10">
        <v>11800</v>
      </c>
    </row>
    <row r="36" ht="14" spans="1:14">
      <c r="A36" s="1">
        <v>34</v>
      </c>
      <c r="B36" s="6" t="s">
        <v>28</v>
      </c>
      <c r="C36" s="6">
        <v>16</v>
      </c>
      <c r="D36" s="7" t="s">
        <v>29</v>
      </c>
      <c r="E36" s="7">
        <f t="shared" ref="E36:E67" si="1">ROUND(C36*2/3,0)</f>
        <v>11</v>
      </c>
      <c r="F36" s="7" t="s">
        <v>30</v>
      </c>
      <c r="G36" s="7"/>
      <c r="H36" s="7" t="s">
        <v>31</v>
      </c>
      <c r="I36" s="7"/>
      <c r="J36" s="8" t="s">
        <v>32</v>
      </c>
      <c r="K36" s="8">
        <v>0</v>
      </c>
      <c r="L36" s="8" t="s">
        <v>33</v>
      </c>
      <c r="M36" s="9"/>
      <c r="N36" s="10">
        <v>13800</v>
      </c>
    </row>
    <row r="37" ht="14" spans="1:14">
      <c r="A37" s="1">
        <v>35</v>
      </c>
      <c r="B37" s="6" t="s">
        <v>28</v>
      </c>
      <c r="C37" s="6">
        <v>16</v>
      </c>
      <c r="D37" s="7" t="s">
        <v>29</v>
      </c>
      <c r="E37" s="7">
        <f t="shared" si="1"/>
        <v>11</v>
      </c>
      <c r="F37" s="7" t="s">
        <v>30</v>
      </c>
      <c r="G37" s="7"/>
      <c r="H37" s="7" t="s">
        <v>31</v>
      </c>
      <c r="I37" s="7"/>
      <c r="J37" s="8" t="s">
        <v>32</v>
      </c>
      <c r="K37" s="8">
        <v>0</v>
      </c>
      <c r="L37" s="8" t="s">
        <v>33</v>
      </c>
      <c r="M37" s="9">
        <v>2</v>
      </c>
      <c r="N37" s="10">
        <v>16200</v>
      </c>
    </row>
    <row r="38" ht="14" spans="1:14">
      <c r="A38" s="1">
        <v>36</v>
      </c>
      <c r="B38" s="6" t="s">
        <v>28</v>
      </c>
      <c r="C38" s="6">
        <v>16</v>
      </c>
      <c r="D38" s="7" t="s">
        <v>29</v>
      </c>
      <c r="E38" s="7">
        <f t="shared" si="1"/>
        <v>11</v>
      </c>
      <c r="F38" s="7" t="s">
        <v>30</v>
      </c>
      <c r="G38" s="7"/>
      <c r="H38" s="7" t="s">
        <v>31</v>
      </c>
      <c r="I38" s="7"/>
      <c r="J38" s="8" t="s">
        <v>32</v>
      </c>
      <c r="K38" s="8">
        <v>0</v>
      </c>
      <c r="L38" s="8" t="s">
        <v>33</v>
      </c>
      <c r="M38" s="9"/>
      <c r="N38" s="10">
        <v>19000</v>
      </c>
    </row>
    <row r="39" ht="14" spans="1:14">
      <c r="A39" s="1">
        <v>37</v>
      </c>
      <c r="B39" s="6" t="s">
        <v>28</v>
      </c>
      <c r="C39" s="6">
        <v>16</v>
      </c>
      <c r="D39" s="7" t="s">
        <v>29</v>
      </c>
      <c r="E39" s="7">
        <f t="shared" si="1"/>
        <v>11</v>
      </c>
      <c r="F39" s="7" t="s">
        <v>30</v>
      </c>
      <c r="G39" s="7"/>
      <c r="H39" s="7" t="s">
        <v>31</v>
      </c>
      <c r="I39" s="7"/>
      <c r="J39" s="8" t="s">
        <v>32</v>
      </c>
      <c r="K39" s="8">
        <v>0</v>
      </c>
      <c r="L39" s="8" t="s">
        <v>33</v>
      </c>
      <c r="M39" s="9"/>
      <c r="N39" s="10">
        <v>22200</v>
      </c>
    </row>
    <row r="40" ht="14" spans="1:14">
      <c r="A40" s="1">
        <v>38</v>
      </c>
      <c r="B40" s="6" t="s">
        <v>28</v>
      </c>
      <c r="C40" s="6">
        <v>16</v>
      </c>
      <c r="D40" s="7" t="s">
        <v>29</v>
      </c>
      <c r="E40" s="7">
        <f t="shared" si="1"/>
        <v>11</v>
      </c>
      <c r="F40" s="7" t="s">
        <v>30</v>
      </c>
      <c r="G40" s="7"/>
      <c r="H40" s="7" t="s">
        <v>31</v>
      </c>
      <c r="I40" s="7"/>
      <c r="J40" s="8" t="s">
        <v>32</v>
      </c>
      <c r="K40" s="8">
        <v>0</v>
      </c>
      <c r="L40" s="8" t="s">
        <v>33</v>
      </c>
      <c r="M40" s="9"/>
      <c r="N40" s="10">
        <v>26000</v>
      </c>
    </row>
    <row r="41" ht="14" spans="1:14">
      <c r="A41" s="1">
        <v>39</v>
      </c>
      <c r="B41" s="6" t="s">
        <v>28</v>
      </c>
      <c r="C41" s="6">
        <v>16</v>
      </c>
      <c r="D41" s="7" t="s">
        <v>29</v>
      </c>
      <c r="E41" s="7">
        <f t="shared" si="1"/>
        <v>11</v>
      </c>
      <c r="F41" s="7" t="s">
        <v>30</v>
      </c>
      <c r="G41" s="7"/>
      <c r="H41" s="7" t="s">
        <v>31</v>
      </c>
      <c r="I41" s="7"/>
      <c r="J41" s="8" t="s">
        <v>32</v>
      </c>
      <c r="K41" s="8">
        <v>0</v>
      </c>
      <c r="L41" s="8" t="s">
        <v>33</v>
      </c>
      <c r="M41" s="9"/>
      <c r="N41" s="10">
        <v>30500</v>
      </c>
    </row>
    <row r="42" ht="14" spans="1:14">
      <c r="A42" s="1">
        <v>40</v>
      </c>
      <c r="B42" s="6" t="s">
        <v>28</v>
      </c>
      <c r="C42" s="6">
        <v>16</v>
      </c>
      <c r="D42" s="7" t="s">
        <v>29</v>
      </c>
      <c r="E42" s="7">
        <f t="shared" si="1"/>
        <v>11</v>
      </c>
      <c r="F42" s="7" t="s">
        <v>30</v>
      </c>
      <c r="G42" s="7"/>
      <c r="H42" s="7" t="s">
        <v>31</v>
      </c>
      <c r="I42" s="7"/>
      <c r="J42" s="8" t="s">
        <v>32</v>
      </c>
      <c r="K42" s="8">
        <v>0</v>
      </c>
      <c r="L42" s="8" t="s">
        <v>33</v>
      </c>
      <c r="M42" s="9">
        <v>3</v>
      </c>
      <c r="N42" s="10">
        <v>36000</v>
      </c>
    </row>
    <row r="43" ht="14" spans="1:14">
      <c r="A43" s="1">
        <v>41</v>
      </c>
      <c r="B43" s="6" t="s">
        <v>28</v>
      </c>
      <c r="C43" s="6">
        <v>24</v>
      </c>
      <c r="D43" s="7" t="s">
        <v>29</v>
      </c>
      <c r="E43" s="7">
        <f t="shared" si="1"/>
        <v>16</v>
      </c>
      <c r="F43" s="7" t="s">
        <v>30</v>
      </c>
      <c r="G43" s="7"/>
      <c r="H43" s="7" t="s">
        <v>31</v>
      </c>
      <c r="I43" s="7"/>
      <c r="J43" s="8" t="s">
        <v>32</v>
      </c>
      <c r="K43" s="8">
        <v>0</v>
      </c>
      <c r="L43" s="8" t="s">
        <v>33</v>
      </c>
      <c r="M43" s="9"/>
      <c r="N43" s="10">
        <v>42000</v>
      </c>
    </row>
    <row r="44" ht="14" spans="1:14">
      <c r="A44" s="1">
        <v>42</v>
      </c>
      <c r="B44" s="6" t="s">
        <v>28</v>
      </c>
      <c r="C44" s="6">
        <v>24</v>
      </c>
      <c r="D44" s="7" t="s">
        <v>29</v>
      </c>
      <c r="E44" s="7">
        <f t="shared" si="1"/>
        <v>16</v>
      </c>
      <c r="F44" s="7" t="s">
        <v>30</v>
      </c>
      <c r="G44" s="7"/>
      <c r="H44" s="7" t="s">
        <v>31</v>
      </c>
      <c r="I44" s="7"/>
      <c r="J44" s="8" t="s">
        <v>32</v>
      </c>
      <c r="K44" s="8">
        <v>0</v>
      </c>
      <c r="L44" s="8" t="s">
        <v>33</v>
      </c>
      <c r="M44" s="9"/>
      <c r="N44" s="10">
        <v>49000</v>
      </c>
    </row>
    <row r="45" ht="14" spans="1:14">
      <c r="A45" s="1">
        <v>43</v>
      </c>
      <c r="B45" s="6" t="s">
        <v>28</v>
      </c>
      <c r="C45" s="6">
        <v>24</v>
      </c>
      <c r="D45" s="7" t="s">
        <v>29</v>
      </c>
      <c r="E45" s="7">
        <f t="shared" si="1"/>
        <v>16</v>
      </c>
      <c r="F45" s="7" t="s">
        <v>30</v>
      </c>
      <c r="G45" s="7"/>
      <c r="H45" s="7" t="s">
        <v>31</v>
      </c>
      <c r="I45" s="7"/>
      <c r="J45" s="8" t="s">
        <v>32</v>
      </c>
      <c r="K45" s="8">
        <v>0</v>
      </c>
      <c r="L45" s="8" t="s">
        <v>33</v>
      </c>
      <c r="M45" s="9"/>
      <c r="N45" s="10">
        <v>57000</v>
      </c>
    </row>
    <row r="46" ht="14" spans="1:14">
      <c r="A46" s="1">
        <v>44</v>
      </c>
      <c r="B46" s="6" t="s">
        <v>28</v>
      </c>
      <c r="C46" s="6">
        <v>24</v>
      </c>
      <c r="D46" s="7" t="s">
        <v>29</v>
      </c>
      <c r="E46" s="7">
        <f t="shared" si="1"/>
        <v>16</v>
      </c>
      <c r="F46" s="7" t="s">
        <v>30</v>
      </c>
      <c r="G46" s="7"/>
      <c r="H46" s="7" t="s">
        <v>31</v>
      </c>
      <c r="I46" s="7"/>
      <c r="J46" s="8" t="s">
        <v>32</v>
      </c>
      <c r="K46" s="8">
        <v>0</v>
      </c>
      <c r="L46" s="8" t="s">
        <v>33</v>
      </c>
      <c r="M46" s="9"/>
      <c r="N46" s="10">
        <v>66500</v>
      </c>
    </row>
    <row r="47" ht="14" spans="1:14">
      <c r="A47" s="1">
        <v>45</v>
      </c>
      <c r="B47" s="6" t="s">
        <v>28</v>
      </c>
      <c r="C47" s="6">
        <v>24</v>
      </c>
      <c r="D47" s="7" t="s">
        <v>29</v>
      </c>
      <c r="E47" s="7">
        <f t="shared" si="1"/>
        <v>16</v>
      </c>
      <c r="F47" s="7" t="s">
        <v>30</v>
      </c>
      <c r="G47" s="7"/>
      <c r="H47" s="7" t="s">
        <v>31</v>
      </c>
      <c r="I47" s="7"/>
      <c r="J47" s="8" t="s">
        <v>32</v>
      </c>
      <c r="K47" s="8">
        <v>0</v>
      </c>
      <c r="L47" s="8" t="s">
        <v>33</v>
      </c>
      <c r="M47" s="9">
        <v>3</v>
      </c>
      <c r="N47" s="10">
        <v>77500</v>
      </c>
    </row>
    <row r="48" ht="14" spans="1:14">
      <c r="A48" s="1">
        <v>46</v>
      </c>
      <c r="B48" s="6" t="s">
        <v>28</v>
      </c>
      <c r="C48" s="6">
        <v>24</v>
      </c>
      <c r="D48" s="7" t="s">
        <v>29</v>
      </c>
      <c r="E48" s="7">
        <f t="shared" si="1"/>
        <v>16</v>
      </c>
      <c r="F48" s="7" t="s">
        <v>30</v>
      </c>
      <c r="G48" s="7"/>
      <c r="H48" s="7" t="s">
        <v>31</v>
      </c>
      <c r="I48" s="7"/>
      <c r="J48" s="8" t="s">
        <v>32</v>
      </c>
      <c r="K48" s="8">
        <v>0</v>
      </c>
      <c r="L48" s="8" t="s">
        <v>33</v>
      </c>
      <c r="M48" s="9"/>
      <c r="N48" s="10">
        <v>90000</v>
      </c>
    </row>
    <row r="49" ht="14" spans="1:14">
      <c r="A49" s="1">
        <v>47</v>
      </c>
      <c r="B49" s="6" t="s">
        <v>28</v>
      </c>
      <c r="C49" s="6">
        <v>24</v>
      </c>
      <c r="D49" s="7" t="s">
        <v>29</v>
      </c>
      <c r="E49" s="7">
        <f t="shared" si="1"/>
        <v>16</v>
      </c>
      <c r="F49" s="7" t="s">
        <v>30</v>
      </c>
      <c r="G49" s="7"/>
      <c r="H49" s="7" t="s">
        <v>31</v>
      </c>
      <c r="I49" s="7"/>
      <c r="J49" s="8" t="s">
        <v>32</v>
      </c>
      <c r="K49" s="8">
        <v>0</v>
      </c>
      <c r="L49" s="8" t="s">
        <v>33</v>
      </c>
      <c r="M49" s="9"/>
      <c r="N49" s="10">
        <v>104000</v>
      </c>
    </row>
    <row r="50" ht="14" spans="1:14">
      <c r="A50" s="1">
        <v>48</v>
      </c>
      <c r="B50" s="6" t="s">
        <v>28</v>
      </c>
      <c r="C50" s="6">
        <v>24</v>
      </c>
      <c r="D50" s="7" t="s">
        <v>29</v>
      </c>
      <c r="E50" s="7">
        <f t="shared" si="1"/>
        <v>16</v>
      </c>
      <c r="F50" s="7" t="s">
        <v>30</v>
      </c>
      <c r="G50" s="7"/>
      <c r="H50" s="7" t="s">
        <v>31</v>
      </c>
      <c r="I50" s="7"/>
      <c r="J50" s="8" t="s">
        <v>32</v>
      </c>
      <c r="K50" s="8">
        <v>0</v>
      </c>
      <c r="L50" s="8" t="s">
        <v>33</v>
      </c>
      <c r="M50" s="9"/>
      <c r="N50" s="10">
        <v>120000</v>
      </c>
    </row>
    <row r="51" ht="14" spans="1:14">
      <c r="A51" s="1">
        <v>49</v>
      </c>
      <c r="B51" s="6" t="s">
        <v>28</v>
      </c>
      <c r="C51" s="6">
        <v>24</v>
      </c>
      <c r="D51" s="7" t="s">
        <v>29</v>
      </c>
      <c r="E51" s="7">
        <f t="shared" si="1"/>
        <v>16</v>
      </c>
      <c r="F51" s="7" t="s">
        <v>30</v>
      </c>
      <c r="G51" s="7"/>
      <c r="H51" s="7" t="s">
        <v>31</v>
      </c>
      <c r="I51" s="7"/>
      <c r="J51" s="8" t="s">
        <v>32</v>
      </c>
      <c r="K51" s="8">
        <v>0</v>
      </c>
      <c r="L51" s="8" t="s">
        <v>33</v>
      </c>
      <c r="M51" s="9"/>
      <c r="N51" s="10">
        <v>138000</v>
      </c>
    </row>
    <row r="52" ht="14" spans="1:14">
      <c r="A52" s="1">
        <v>50</v>
      </c>
      <c r="B52" s="6" t="s">
        <v>28</v>
      </c>
      <c r="C52" s="6">
        <v>24</v>
      </c>
      <c r="D52" s="7" t="s">
        <v>29</v>
      </c>
      <c r="E52" s="7">
        <f t="shared" si="1"/>
        <v>16</v>
      </c>
      <c r="F52" s="7" t="s">
        <v>30</v>
      </c>
      <c r="G52" s="7"/>
      <c r="H52" s="7" t="s">
        <v>31</v>
      </c>
      <c r="I52" s="7"/>
      <c r="J52" s="8" t="s">
        <v>32</v>
      </c>
      <c r="K52" s="8">
        <v>0</v>
      </c>
      <c r="L52" s="8" t="s">
        <v>33</v>
      </c>
      <c r="M52" s="9">
        <v>3</v>
      </c>
      <c r="N52" s="10">
        <v>158000</v>
      </c>
    </row>
    <row r="53" ht="14" spans="1:14">
      <c r="A53" s="1">
        <v>51</v>
      </c>
      <c r="B53" s="6" t="s">
        <v>28</v>
      </c>
      <c r="C53" s="6">
        <v>40</v>
      </c>
      <c r="D53" s="7" t="s">
        <v>29</v>
      </c>
      <c r="E53" s="7">
        <f t="shared" si="1"/>
        <v>27</v>
      </c>
      <c r="F53" s="7" t="s">
        <v>30</v>
      </c>
      <c r="G53" s="7"/>
      <c r="H53" s="7" t="s">
        <v>31</v>
      </c>
      <c r="I53" s="7"/>
      <c r="J53" s="8" t="s">
        <v>32</v>
      </c>
      <c r="K53" s="8">
        <v>0</v>
      </c>
      <c r="L53" s="8" t="s">
        <v>33</v>
      </c>
      <c r="M53" s="9"/>
      <c r="N53" s="10">
        <v>180000</v>
      </c>
    </row>
    <row r="54" ht="14" spans="1:14">
      <c r="A54" s="1">
        <v>52</v>
      </c>
      <c r="B54" s="6" t="s">
        <v>28</v>
      </c>
      <c r="C54" s="6">
        <v>40</v>
      </c>
      <c r="D54" s="7" t="s">
        <v>29</v>
      </c>
      <c r="E54" s="7">
        <f t="shared" si="1"/>
        <v>27</v>
      </c>
      <c r="F54" s="7" t="s">
        <v>30</v>
      </c>
      <c r="G54" s="7"/>
      <c r="H54" s="7" t="s">
        <v>31</v>
      </c>
      <c r="I54" s="7"/>
      <c r="J54" s="8" t="s">
        <v>32</v>
      </c>
      <c r="K54" s="8">
        <v>0</v>
      </c>
      <c r="L54" s="8" t="s">
        <v>33</v>
      </c>
      <c r="M54" s="9"/>
      <c r="N54" s="10">
        <v>205000</v>
      </c>
    </row>
    <row r="55" ht="14" spans="1:14">
      <c r="A55" s="1">
        <v>53</v>
      </c>
      <c r="B55" s="6" t="s">
        <v>28</v>
      </c>
      <c r="C55" s="6">
        <v>40</v>
      </c>
      <c r="D55" s="7" t="s">
        <v>29</v>
      </c>
      <c r="E55" s="7">
        <f t="shared" si="1"/>
        <v>27</v>
      </c>
      <c r="F55" s="7" t="s">
        <v>30</v>
      </c>
      <c r="G55" s="7"/>
      <c r="H55" s="7" t="s">
        <v>31</v>
      </c>
      <c r="I55" s="7"/>
      <c r="J55" s="8" t="s">
        <v>32</v>
      </c>
      <c r="K55" s="8">
        <v>0</v>
      </c>
      <c r="L55" s="8" t="s">
        <v>33</v>
      </c>
      <c r="M55" s="9"/>
      <c r="N55" s="10">
        <v>233000</v>
      </c>
    </row>
    <row r="56" ht="14" spans="1:14">
      <c r="A56" s="1">
        <v>54</v>
      </c>
      <c r="B56" s="6" t="s">
        <v>28</v>
      </c>
      <c r="C56" s="6">
        <v>40</v>
      </c>
      <c r="D56" s="7" t="s">
        <v>29</v>
      </c>
      <c r="E56" s="7">
        <f t="shared" si="1"/>
        <v>27</v>
      </c>
      <c r="F56" s="7" t="s">
        <v>30</v>
      </c>
      <c r="G56" s="7"/>
      <c r="H56" s="7" t="s">
        <v>31</v>
      </c>
      <c r="I56" s="7"/>
      <c r="J56" s="8" t="s">
        <v>32</v>
      </c>
      <c r="K56" s="8">
        <v>0</v>
      </c>
      <c r="L56" s="8" t="s">
        <v>33</v>
      </c>
      <c r="M56" s="9"/>
      <c r="N56" s="10">
        <v>265000</v>
      </c>
    </row>
    <row r="57" ht="14" spans="1:14">
      <c r="A57" s="1">
        <v>55</v>
      </c>
      <c r="B57" s="6" t="s">
        <v>28</v>
      </c>
      <c r="C57" s="6">
        <v>40</v>
      </c>
      <c r="D57" s="7" t="s">
        <v>29</v>
      </c>
      <c r="E57" s="7">
        <f t="shared" si="1"/>
        <v>27</v>
      </c>
      <c r="F57" s="7" t="s">
        <v>30</v>
      </c>
      <c r="G57" s="7"/>
      <c r="H57" s="7" t="s">
        <v>31</v>
      </c>
      <c r="I57" s="7"/>
      <c r="J57" s="8" t="s">
        <v>32</v>
      </c>
      <c r="K57" s="8">
        <v>0</v>
      </c>
      <c r="L57" s="8" t="s">
        <v>33</v>
      </c>
      <c r="M57" s="9"/>
      <c r="N57" s="10">
        <v>300000</v>
      </c>
    </row>
    <row r="58" ht="14" spans="1:14">
      <c r="A58" s="1">
        <v>56</v>
      </c>
      <c r="B58" s="6" t="s">
        <v>28</v>
      </c>
      <c r="C58" s="6">
        <v>40</v>
      </c>
      <c r="D58" s="7" t="s">
        <v>29</v>
      </c>
      <c r="E58" s="7">
        <f t="shared" si="1"/>
        <v>27</v>
      </c>
      <c r="F58" s="7" t="s">
        <v>30</v>
      </c>
      <c r="G58" s="7"/>
      <c r="H58" s="7" t="s">
        <v>31</v>
      </c>
      <c r="I58" s="7"/>
      <c r="J58" s="8" t="s">
        <v>32</v>
      </c>
      <c r="K58" s="8">
        <v>0</v>
      </c>
      <c r="L58" s="8" t="s">
        <v>33</v>
      </c>
      <c r="M58" s="9"/>
      <c r="N58" s="10">
        <v>340000</v>
      </c>
    </row>
    <row r="59" ht="14" spans="1:14">
      <c r="A59" s="1">
        <v>57</v>
      </c>
      <c r="B59" s="6" t="s">
        <v>28</v>
      </c>
      <c r="C59" s="6">
        <v>40</v>
      </c>
      <c r="D59" s="7" t="s">
        <v>29</v>
      </c>
      <c r="E59" s="7">
        <f t="shared" si="1"/>
        <v>27</v>
      </c>
      <c r="F59" s="7" t="s">
        <v>30</v>
      </c>
      <c r="G59" s="7"/>
      <c r="H59" s="7" t="s">
        <v>31</v>
      </c>
      <c r="I59" s="7"/>
      <c r="J59" s="8" t="s">
        <v>32</v>
      </c>
      <c r="K59" s="8">
        <v>0</v>
      </c>
      <c r="L59" s="8" t="s">
        <v>33</v>
      </c>
      <c r="M59" s="9"/>
      <c r="N59" s="10">
        <v>385000</v>
      </c>
    </row>
    <row r="60" ht="14" spans="1:14">
      <c r="A60" s="1">
        <v>58</v>
      </c>
      <c r="B60" s="6" t="s">
        <v>28</v>
      </c>
      <c r="C60" s="6">
        <v>40</v>
      </c>
      <c r="D60" s="7" t="s">
        <v>29</v>
      </c>
      <c r="E60" s="7">
        <f t="shared" si="1"/>
        <v>27</v>
      </c>
      <c r="F60" s="7" t="s">
        <v>30</v>
      </c>
      <c r="G60" s="7"/>
      <c r="H60" s="7" t="s">
        <v>31</v>
      </c>
      <c r="I60" s="7"/>
      <c r="J60" s="8" t="s">
        <v>32</v>
      </c>
      <c r="K60" s="8">
        <v>0</v>
      </c>
      <c r="L60" s="8" t="s">
        <v>33</v>
      </c>
      <c r="M60" s="9"/>
      <c r="N60" s="10">
        <v>435000</v>
      </c>
    </row>
    <row r="61" ht="14" spans="1:14">
      <c r="A61" s="1">
        <v>59</v>
      </c>
      <c r="B61" s="6" t="s">
        <v>28</v>
      </c>
      <c r="C61" s="6">
        <v>40</v>
      </c>
      <c r="D61" s="7" t="s">
        <v>29</v>
      </c>
      <c r="E61" s="7">
        <f t="shared" si="1"/>
        <v>27</v>
      </c>
      <c r="F61" s="7" t="s">
        <v>30</v>
      </c>
      <c r="G61" s="7"/>
      <c r="H61" s="7" t="s">
        <v>31</v>
      </c>
      <c r="I61" s="7"/>
      <c r="J61" s="8" t="s">
        <v>32</v>
      </c>
      <c r="K61" s="8">
        <v>0</v>
      </c>
      <c r="L61" s="8" t="s">
        <v>33</v>
      </c>
      <c r="M61" s="9"/>
      <c r="N61" s="10">
        <v>490000</v>
      </c>
    </row>
    <row r="62" ht="14" spans="1:14">
      <c r="A62" s="1">
        <v>60</v>
      </c>
      <c r="B62" s="6" t="s">
        <v>28</v>
      </c>
      <c r="C62" s="6">
        <v>40</v>
      </c>
      <c r="D62" s="7" t="s">
        <v>29</v>
      </c>
      <c r="E62" s="7">
        <f t="shared" si="1"/>
        <v>27</v>
      </c>
      <c r="F62" s="7" t="s">
        <v>30</v>
      </c>
      <c r="G62" s="7"/>
      <c r="H62" s="7" t="s">
        <v>31</v>
      </c>
      <c r="I62" s="7"/>
      <c r="J62" s="8" t="s">
        <v>32</v>
      </c>
      <c r="K62" s="8">
        <v>0</v>
      </c>
      <c r="L62" s="8" t="s">
        <v>33</v>
      </c>
      <c r="M62" s="9"/>
      <c r="N62" s="10">
        <v>550000</v>
      </c>
    </row>
    <row r="63" ht="14" spans="1:14">
      <c r="A63" s="1">
        <v>61</v>
      </c>
      <c r="B63" s="6" t="s">
        <v>28</v>
      </c>
      <c r="C63" s="6">
        <v>60</v>
      </c>
      <c r="D63" s="7" t="s">
        <v>29</v>
      </c>
      <c r="E63" s="7">
        <f t="shared" si="1"/>
        <v>40</v>
      </c>
      <c r="F63" s="7" t="s">
        <v>30</v>
      </c>
      <c r="G63" s="7"/>
      <c r="H63" s="7" t="s">
        <v>31</v>
      </c>
      <c r="I63" s="7"/>
      <c r="J63" s="8" t="s">
        <v>32</v>
      </c>
      <c r="K63" s="8">
        <v>0</v>
      </c>
      <c r="L63" s="8" t="s">
        <v>33</v>
      </c>
      <c r="M63" s="9"/>
      <c r="N63" s="11">
        <v>720000</v>
      </c>
    </row>
    <row r="64" ht="14" spans="1:14">
      <c r="A64" s="1">
        <v>62</v>
      </c>
      <c r="B64" s="6" t="s">
        <v>28</v>
      </c>
      <c r="C64" s="6">
        <v>60</v>
      </c>
      <c r="D64" s="7" t="s">
        <v>29</v>
      </c>
      <c r="E64" s="7">
        <f t="shared" si="1"/>
        <v>40</v>
      </c>
      <c r="F64" s="7" t="s">
        <v>30</v>
      </c>
      <c r="G64" s="7"/>
      <c r="H64" s="7" t="s">
        <v>31</v>
      </c>
      <c r="I64" s="7"/>
      <c r="J64" s="8" t="s">
        <v>32</v>
      </c>
      <c r="K64" s="8">
        <v>0</v>
      </c>
      <c r="L64" s="8" t="s">
        <v>33</v>
      </c>
      <c r="M64" s="9"/>
      <c r="N64" s="11">
        <v>720000</v>
      </c>
    </row>
    <row r="65" ht="14" spans="1:14">
      <c r="A65" s="1">
        <v>63</v>
      </c>
      <c r="B65" s="6" t="s">
        <v>28</v>
      </c>
      <c r="C65" s="6">
        <v>60</v>
      </c>
      <c r="D65" s="7" t="s">
        <v>29</v>
      </c>
      <c r="E65" s="7">
        <f t="shared" si="1"/>
        <v>40</v>
      </c>
      <c r="F65" s="7" t="s">
        <v>30</v>
      </c>
      <c r="G65" s="7"/>
      <c r="H65" s="7" t="s">
        <v>31</v>
      </c>
      <c r="I65" s="7"/>
      <c r="J65" s="8" t="s">
        <v>32</v>
      </c>
      <c r="K65" s="8">
        <v>0</v>
      </c>
      <c r="L65" s="8" t="s">
        <v>33</v>
      </c>
      <c r="M65" s="9"/>
      <c r="N65" s="11">
        <v>720000</v>
      </c>
    </row>
    <row r="66" ht="14" spans="1:14">
      <c r="A66" s="1">
        <v>64</v>
      </c>
      <c r="B66" s="6" t="s">
        <v>28</v>
      </c>
      <c r="C66" s="6">
        <v>60</v>
      </c>
      <c r="D66" s="7" t="s">
        <v>29</v>
      </c>
      <c r="E66" s="7">
        <f t="shared" si="1"/>
        <v>40</v>
      </c>
      <c r="F66" s="7" t="s">
        <v>30</v>
      </c>
      <c r="G66" s="7"/>
      <c r="H66" s="7" t="s">
        <v>31</v>
      </c>
      <c r="I66" s="7"/>
      <c r="J66" s="8" t="s">
        <v>32</v>
      </c>
      <c r="K66" s="8">
        <v>0</v>
      </c>
      <c r="L66" s="8" t="s">
        <v>33</v>
      </c>
      <c r="M66" s="9"/>
      <c r="N66" s="11">
        <v>720000</v>
      </c>
    </row>
    <row r="67" ht="14" spans="1:14">
      <c r="A67" s="1">
        <v>65</v>
      </c>
      <c r="B67" s="6" t="s">
        <v>28</v>
      </c>
      <c r="C67" s="6">
        <v>60</v>
      </c>
      <c r="D67" s="7" t="s">
        <v>29</v>
      </c>
      <c r="E67" s="7">
        <f t="shared" si="1"/>
        <v>40</v>
      </c>
      <c r="F67" s="7" t="s">
        <v>30</v>
      </c>
      <c r="G67" s="7"/>
      <c r="H67" s="7" t="s">
        <v>31</v>
      </c>
      <c r="I67" s="7"/>
      <c r="J67" s="8" t="s">
        <v>32</v>
      </c>
      <c r="K67" s="8">
        <v>0</v>
      </c>
      <c r="L67" s="8" t="s">
        <v>33</v>
      </c>
      <c r="M67" s="9"/>
      <c r="N67" s="11">
        <v>720000</v>
      </c>
    </row>
    <row r="68" ht="14" spans="1:14">
      <c r="A68" s="1">
        <v>66</v>
      </c>
      <c r="B68" s="6" t="s">
        <v>28</v>
      </c>
      <c r="C68" s="6">
        <v>60</v>
      </c>
      <c r="D68" s="7" t="s">
        <v>29</v>
      </c>
      <c r="E68" s="7">
        <f t="shared" ref="E68:E87" si="2">ROUND(C68*2/3,0)</f>
        <v>40</v>
      </c>
      <c r="F68" s="7" t="s">
        <v>30</v>
      </c>
      <c r="G68" s="7"/>
      <c r="H68" s="7" t="s">
        <v>31</v>
      </c>
      <c r="I68" s="7"/>
      <c r="J68" s="8" t="s">
        <v>32</v>
      </c>
      <c r="K68" s="8">
        <v>0</v>
      </c>
      <c r="L68" s="8" t="s">
        <v>33</v>
      </c>
      <c r="M68" s="9"/>
      <c r="N68" s="11">
        <v>720000</v>
      </c>
    </row>
    <row r="69" ht="14" spans="1:14">
      <c r="A69" s="1">
        <v>67</v>
      </c>
      <c r="B69" s="6" t="s">
        <v>28</v>
      </c>
      <c r="C69" s="6">
        <v>60</v>
      </c>
      <c r="D69" s="7" t="s">
        <v>29</v>
      </c>
      <c r="E69" s="7">
        <f t="shared" si="2"/>
        <v>40</v>
      </c>
      <c r="F69" s="7" t="s">
        <v>30</v>
      </c>
      <c r="G69" s="7"/>
      <c r="H69" s="7" t="s">
        <v>31</v>
      </c>
      <c r="I69" s="7"/>
      <c r="J69" s="8" t="s">
        <v>32</v>
      </c>
      <c r="K69" s="8">
        <v>0</v>
      </c>
      <c r="L69" s="8" t="s">
        <v>33</v>
      </c>
      <c r="M69" s="9"/>
      <c r="N69" s="11">
        <v>720000</v>
      </c>
    </row>
    <row r="70" ht="14" spans="1:14">
      <c r="A70" s="1">
        <v>68</v>
      </c>
      <c r="B70" s="6" t="s">
        <v>28</v>
      </c>
      <c r="C70" s="6">
        <v>60</v>
      </c>
      <c r="D70" s="7" t="s">
        <v>29</v>
      </c>
      <c r="E70" s="7">
        <f t="shared" si="2"/>
        <v>40</v>
      </c>
      <c r="F70" s="7" t="s">
        <v>30</v>
      </c>
      <c r="G70" s="7"/>
      <c r="H70" s="7" t="s">
        <v>31</v>
      </c>
      <c r="I70" s="7"/>
      <c r="J70" s="8" t="s">
        <v>32</v>
      </c>
      <c r="K70" s="8">
        <v>0</v>
      </c>
      <c r="L70" s="8" t="s">
        <v>33</v>
      </c>
      <c r="M70" s="9"/>
      <c r="N70" s="11">
        <v>720000</v>
      </c>
    </row>
    <row r="71" ht="14" spans="1:14">
      <c r="A71" s="1">
        <v>69</v>
      </c>
      <c r="B71" s="6" t="s">
        <v>28</v>
      </c>
      <c r="C71" s="6">
        <v>60</v>
      </c>
      <c r="D71" s="7" t="s">
        <v>29</v>
      </c>
      <c r="E71" s="7">
        <f t="shared" si="2"/>
        <v>40</v>
      </c>
      <c r="F71" s="7" t="s">
        <v>30</v>
      </c>
      <c r="G71" s="7"/>
      <c r="H71" s="7" t="s">
        <v>31</v>
      </c>
      <c r="I71" s="7"/>
      <c r="J71" s="8" t="s">
        <v>32</v>
      </c>
      <c r="K71" s="8">
        <v>0</v>
      </c>
      <c r="L71" s="8" t="s">
        <v>33</v>
      </c>
      <c r="M71" s="9"/>
      <c r="N71" s="11">
        <v>720000</v>
      </c>
    </row>
    <row r="72" ht="14" spans="1:14">
      <c r="A72" s="1">
        <v>70</v>
      </c>
      <c r="B72" s="6" t="s">
        <v>28</v>
      </c>
      <c r="C72" s="6">
        <v>60</v>
      </c>
      <c r="D72" s="7" t="s">
        <v>29</v>
      </c>
      <c r="E72" s="7">
        <f t="shared" si="2"/>
        <v>40</v>
      </c>
      <c r="F72" s="7" t="s">
        <v>30</v>
      </c>
      <c r="G72" s="7"/>
      <c r="H72" s="7" t="s">
        <v>31</v>
      </c>
      <c r="I72" s="7"/>
      <c r="J72" s="8" t="s">
        <v>32</v>
      </c>
      <c r="K72" s="8">
        <v>0</v>
      </c>
      <c r="L72" s="8" t="s">
        <v>33</v>
      </c>
      <c r="M72" s="9"/>
      <c r="N72" s="11">
        <v>720000</v>
      </c>
    </row>
    <row r="73" ht="14" spans="1:14">
      <c r="A73" s="1">
        <v>71</v>
      </c>
      <c r="B73" s="6" t="s">
        <v>28</v>
      </c>
      <c r="C73" s="6">
        <v>80</v>
      </c>
      <c r="D73" s="7" t="s">
        <v>29</v>
      </c>
      <c r="E73" s="7">
        <f t="shared" si="2"/>
        <v>53</v>
      </c>
      <c r="F73" s="7" t="s">
        <v>30</v>
      </c>
      <c r="G73" s="7"/>
      <c r="H73" s="7" t="s">
        <v>31</v>
      </c>
      <c r="I73" s="7"/>
      <c r="J73" s="8" t="s">
        <v>32</v>
      </c>
      <c r="K73" s="8">
        <v>0</v>
      </c>
      <c r="L73" s="8" t="s">
        <v>33</v>
      </c>
      <c r="M73" s="9"/>
      <c r="N73" s="11">
        <v>720000</v>
      </c>
    </row>
    <row r="74" ht="14" spans="1:14">
      <c r="A74" s="1">
        <v>72</v>
      </c>
      <c r="B74" s="6" t="s">
        <v>28</v>
      </c>
      <c r="C74" s="6">
        <v>80</v>
      </c>
      <c r="D74" s="7" t="s">
        <v>29</v>
      </c>
      <c r="E74" s="7">
        <f t="shared" si="2"/>
        <v>53</v>
      </c>
      <c r="F74" s="7" t="s">
        <v>30</v>
      </c>
      <c r="G74" s="7"/>
      <c r="H74" s="7" t="s">
        <v>31</v>
      </c>
      <c r="I74" s="7"/>
      <c r="J74" s="8" t="s">
        <v>32</v>
      </c>
      <c r="K74" s="8">
        <v>0</v>
      </c>
      <c r="L74" s="8" t="s">
        <v>33</v>
      </c>
      <c r="M74" s="9"/>
      <c r="N74" s="11">
        <v>720000</v>
      </c>
    </row>
    <row r="75" ht="14" spans="1:14">
      <c r="A75" s="1">
        <v>73</v>
      </c>
      <c r="B75" s="6" t="s">
        <v>28</v>
      </c>
      <c r="C75" s="6">
        <v>80</v>
      </c>
      <c r="D75" s="7" t="s">
        <v>29</v>
      </c>
      <c r="E75" s="7">
        <f t="shared" si="2"/>
        <v>53</v>
      </c>
      <c r="F75" s="7" t="s">
        <v>30</v>
      </c>
      <c r="G75" s="7"/>
      <c r="H75" s="7" t="s">
        <v>31</v>
      </c>
      <c r="I75" s="7"/>
      <c r="J75" s="8" t="s">
        <v>32</v>
      </c>
      <c r="K75" s="8">
        <v>0</v>
      </c>
      <c r="L75" s="8" t="s">
        <v>33</v>
      </c>
      <c r="M75" s="9"/>
      <c r="N75" s="11">
        <v>720000</v>
      </c>
    </row>
    <row r="76" ht="14" spans="1:14">
      <c r="A76" s="1">
        <v>74</v>
      </c>
      <c r="B76" s="6" t="s">
        <v>28</v>
      </c>
      <c r="C76" s="6">
        <v>80</v>
      </c>
      <c r="D76" s="7" t="s">
        <v>29</v>
      </c>
      <c r="E76" s="7">
        <f t="shared" si="2"/>
        <v>53</v>
      </c>
      <c r="F76" s="7" t="s">
        <v>30</v>
      </c>
      <c r="G76" s="7"/>
      <c r="H76" s="7" t="s">
        <v>31</v>
      </c>
      <c r="I76" s="7"/>
      <c r="J76" s="8" t="s">
        <v>32</v>
      </c>
      <c r="K76" s="8">
        <v>0</v>
      </c>
      <c r="L76" s="8" t="s">
        <v>33</v>
      </c>
      <c r="M76" s="9"/>
      <c r="N76" s="11">
        <v>720000</v>
      </c>
    </row>
    <row r="77" ht="14" spans="1:14">
      <c r="A77" s="1">
        <v>75</v>
      </c>
      <c r="B77" s="6" t="s">
        <v>28</v>
      </c>
      <c r="C77" s="6">
        <v>80</v>
      </c>
      <c r="D77" s="7" t="s">
        <v>29</v>
      </c>
      <c r="E77" s="7">
        <f t="shared" si="2"/>
        <v>53</v>
      </c>
      <c r="F77" s="7" t="s">
        <v>30</v>
      </c>
      <c r="G77" s="7"/>
      <c r="H77" s="7" t="s">
        <v>31</v>
      </c>
      <c r="I77" s="7"/>
      <c r="J77" s="8" t="s">
        <v>32</v>
      </c>
      <c r="K77" s="8">
        <v>0</v>
      </c>
      <c r="L77" s="8" t="s">
        <v>33</v>
      </c>
      <c r="M77" s="9"/>
      <c r="N77" s="11">
        <v>720000</v>
      </c>
    </row>
    <row r="78" ht="14" spans="1:14">
      <c r="A78" s="1">
        <v>76</v>
      </c>
      <c r="B78" s="6" t="s">
        <v>28</v>
      </c>
      <c r="C78" s="6">
        <v>80</v>
      </c>
      <c r="D78" s="7" t="s">
        <v>29</v>
      </c>
      <c r="E78" s="7">
        <f t="shared" si="2"/>
        <v>53</v>
      </c>
      <c r="F78" s="7" t="s">
        <v>30</v>
      </c>
      <c r="G78" s="7"/>
      <c r="H78" s="7" t="s">
        <v>31</v>
      </c>
      <c r="I78" s="7"/>
      <c r="J78" s="8" t="s">
        <v>32</v>
      </c>
      <c r="K78" s="8">
        <v>0</v>
      </c>
      <c r="L78" s="8" t="s">
        <v>33</v>
      </c>
      <c r="M78" s="9"/>
      <c r="N78" s="11">
        <v>720000</v>
      </c>
    </row>
    <row r="79" ht="14" spans="1:14">
      <c r="A79" s="1">
        <v>77</v>
      </c>
      <c r="B79" s="6" t="s">
        <v>28</v>
      </c>
      <c r="C79" s="6">
        <v>80</v>
      </c>
      <c r="D79" s="7" t="s">
        <v>29</v>
      </c>
      <c r="E79" s="7">
        <f t="shared" si="2"/>
        <v>53</v>
      </c>
      <c r="F79" s="7" t="s">
        <v>30</v>
      </c>
      <c r="G79" s="7"/>
      <c r="H79" s="7" t="s">
        <v>31</v>
      </c>
      <c r="I79" s="7"/>
      <c r="J79" s="8" t="s">
        <v>32</v>
      </c>
      <c r="K79" s="8">
        <v>0</v>
      </c>
      <c r="L79" s="8" t="s">
        <v>33</v>
      </c>
      <c r="M79" s="9"/>
      <c r="N79" s="11">
        <v>720000</v>
      </c>
    </row>
    <row r="80" ht="14" spans="1:14">
      <c r="A80" s="1">
        <v>78</v>
      </c>
      <c r="B80" s="6" t="s">
        <v>28</v>
      </c>
      <c r="C80" s="6">
        <v>80</v>
      </c>
      <c r="D80" s="7" t="s">
        <v>29</v>
      </c>
      <c r="E80" s="7">
        <f t="shared" si="2"/>
        <v>53</v>
      </c>
      <c r="F80" s="7" t="s">
        <v>30</v>
      </c>
      <c r="G80" s="7"/>
      <c r="H80" s="7" t="s">
        <v>31</v>
      </c>
      <c r="I80" s="7"/>
      <c r="J80" s="8" t="s">
        <v>32</v>
      </c>
      <c r="K80" s="8">
        <v>0</v>
      </c>
      <c r="L80" s="8" t="s">
        <v>33</v>
      </c>
      <c r="M80" s="9"/>
      <c r="N80" s="11">
        <v>720000</v>
      </c>
    </row>
    <row r="81" ht="14" spans="1:14">
      <c r="A81" s="1">
        <v>79</v>
      </c>
      <c r="B81" s="6" t="s">
        <v>28</v>
      </c>
      <c r="C81" s="6">
        <v>80</v>
      </c>
      <c r="D81" s="7" t="s">
        <v>29</v>
      </c>
      <c r="E81" s="7">
        <f t="shared" si="2"/>
        <v>53</v>
      </c>
      <c r="F81" s="7" t="s">
        <v>30</v>
      </c>
      <c r="G81" s="7"/>
      <c r="H81" s="7" t="s">
        <v>31</v>
      </c>
      <c r="I81" s="7"/>
      <c r="J81" s="8" t="s">
        <v>32</v>
      </c>
      <c r="K81" s="8">
        <v>0</v>
      </c>
      <c r="L81" s="8" t="s">
        <v>33</v>
      </c>
      <c r="M81" s="9"/>
      <c r="N81" s="11">
        <v>720000</v>
      </c>
    </row>
    <row r="82" ht="14" spans="1:14">
      <c r="A82" s="1">
        <v>80</v>
      </c>
      <c r="B82" s="6" t="s">
        <v>28</v>
      </c>
      <c r="C82" s="6">
        <v>80</v>
      </c>
      <c r="D82" s="7" t="s">
        <v>29</v>
      </c>
      <c r="E82" s="7">
        <f t="shared" si="2"/>
        <v>53</v>
      </c>
      <c r="F82" s="7" t="s">
        <v>30</v>
      </c>
      <c r="G82" s="7"/>
      <c r="H82" s="7" t="s">
        <v>31</v>
      </c>
      <c r="I82" s="7"/>
      <c r="J82" s="8" t="s">
        <v>32</v>
      </c>
      <c r="K82" s="8">
        <v>0</v>
      </c>
      <c r="L82" s="8" t="s">
        <v>33</v>
      </c>
      <c r="M82" s="9"/>
      <c r="N82" s="11">
        <v>720000</v>
      </c>
    </row>
    <row r="83" ht="14" spans="1:14">
      <c r="A83" s="1">
        <v>81</v>
      </c>
      <c r="B83" s="6" t="s">
        <v>28</v>
      </c>
      <c r="C83" s="6">
        <v>80</v>
      </c>
      <c r="D83" s="7" t="s">
        <v>29</v>
      </c>
      <c r="E83" s="7">
        <f t="shared" si="2"/>
        <v>53</v>
      </c>
      <c r="F83" s="7" t="s">
        <v>30</v>
      </c>
      <c r="G83" s="7"/>
      <c r="H83" s="7" t="s">
        <v>31</v>
      </c>
      <c r="I83" s="7"/>
      <c r="J83" s="8" t="s">
        <v>32</v>
      </c>
      <c r="K83" s="8">
        <v>0</v>
      </c>
      <c r="L83" s="8" t="s">
        <v>33</v>
      </c>
      <c r="M83" s="9"/>
      <c r="N83" s="11">
        <v>720000</v>
      </c>
    </row>
    <row r="84" ht="14" spans="1:14">
      <c r="A84" s="1">
        <v>82</v>
      </c>
      <c r="B84" s="6" t="s">
        <v>28</v>
      </c>
      <c r="C84" s="6">
        <v>80</v>
      </c>
      <c r="D84" s="7" t="s">
        <v>29</v>
      </c>
      <c r="E84" s="7">
        <f t="shared" si="2"/>
        <v>53</v>
      </c>
      <c r="F84" s="7" t="s">
        <v>30</v>
      </c>
      <c r="G84" s="7"/>
      <c r="H84" s="7" t="s">
        <v>31</v>
      </c>
      <c r="I84" s="7"/>
      <c r="J84" s="8" t="s">
        <v>32</v>
      </c>
      <c r="K84" s="8">
        <v>0</v>
      </c>
      <c r="L84" s="8" t="s">
        <v>33</v>
      </c>
      <c r="M84" s="9"/>
      <c r="N84" s="11">
        <v>720000</v>
      </c>
    </row>
    <row r="85" ht="14" spans="1:14">
      <c r="A85" s="1">
        <v>83</v>
      </c>
      <c r="B85" s="6" t="s">
        <v>28</v>
      </c>
      <c r="C85" s="6">
        <v>80</v>
      </c>
      <c r="D85" s="7" t="s">
        <v>29</v>
      </c>
      <c r="E85" s="7">
        <f t="shared" si="2"/>
        <v>53</v>
      </c>
      <c r="F85" s="7" t="s">
        <v>30</v>
      </c>
      <c r="G85" s="7"/>
      <c r="H85" s="7" t="s">
        <v>31</v>
      </c>
      <c r="I85" s="7"/>
      <c r="J85" s="8" t="s">
        <v>32</v>
      </c>
      <c r="K85" s="8">
        <v>0</v>
      </c>
      <c r="L85" s="8" t="s">
        <v>33</v>
      </c>
      <c r="M85" s="9"/>
      <c r="N85" s="11">
        <v>720000</v>
      </c>
    </row>
    <row r="86" ht="14" spans="1:14">
      <c r="A86" s="1">
        <v>84</v>
      </c>
      <c r="B86" s="6" t="s">
        <v>28</v>
      </c>
      <c r="C86" s="6">
        <v>80</v>
      </c>
      <c r="D86" s="7" t="s">
        <v>29</v>
      </c>
      <c r="E86" s="7">
        <f t="shared" si="2"/>
        <v>53</v>
      </c>
      <c r="F86" s="7" t="s">
        <v>30</v>
      </c>
      <c r="G86" s="7"/>
      <c r="H86" s="7" t="s">
        <v>31</v>
      </c>
      <c r="I86" s="7"/>
      <c r="J86" s="8" t="s">
        <v>32</v>
      </c>
      <c r="K86" s="8">
        <v>0</v>
      </c>
      <c r="L86" s="8" t="s">
        <v>33</v>
      </c>
      <c r="M86" s="9"/>
      <c r="N86" s="11">
        <v>720000</v>
      </c>
    </row>
    <row r="87" ht="14" spans="1:14">
      <c r="A87" s="1">
        <v>85</v>
      </c>
      <c r="B87" s="6" t="s">
        <v>28</v>
      </c>
      <c r="C87" s="6">
        <v>80</v>
      </c>
      <c r="D87" s="7" t="s">
        <v>29</v>
      </c>
      <c r="E87" s="7">
        <f t="shared" si="2"/>
        <v>53</v>
      </c>
      <c r="F87" s="7" t="s">
        <v>30</v>
      </c>
      <c r="G87" s="7"/>
      <c r="H87" s="7" t="s">
        <v>31</v>
      </c>
      <c r="I87" s="7"/>
      <c r="J87" s="8" t="s">
        <v>32</v>
      </c>
      <c r="K87" s="8">
        <v>0</v>
      </c>
      <c r="L87" s="8" t="s">
        <v>33</v>
      </c>
      <c r="M87" s="9"/>
      <c r="N87" s="11">
        <v>720000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87"/>
  <sheetViews>
    <sheetView workbookViewId="0">
      <selection activeCell="O1" sqref="O$1:O$1048576"/>
    </sheetView>
  </sheetViews>
  <sheetFormatPr defaultColWidth="9" defaultRowHeight="13"/>
  <cols>
    <col min="1" max="1" width="5.5" style="1" customWidth="1"/>
    <col min="2" max="9" width="10" style="1" customWidth="1"/>
    <col min="10" max="10" width="7.5" style="1" customWidth="1"/>
    <col min="11" max="13" width="7.375" style="1" customWidth="1"/>
    <col min="14" max="16384" width="9" style="1"/>
  </cols>
  <sheetData>
    <row r="1" s="1" customFormat="1" spans="1:15">
      <c r="A1" s="2" t="s">
        <v>0</v>
      </c>
      <c r="B1" s="3" t="s">
        <v>1</v>
      </c>
      <c r="C1" s="4" t="s">
        <v>2</v>
      </c>
      <c r="D1" s="3" t="s">
        <v>3</v>
      </c>
      <c r="E1" s="4" t="s">
        <v>4</v>
      </c>
      <c r="F1" s="3" t="s">
        <v>5</v>
      </c>
      <c r="G1" s="4" t="s">
        <v>6</v>
      </c>
      <c r="H1" s="3" t="s">
        <v>7</v>
      </c>
      <c r="I1" s="4" t="s">
        <v>8</v>
      </c>
      <c r="J1" s="3" t="s">
        <v>9</v>
      </c>
      <c r="K1" s="4" t="s">
        <v>10</v>
      </c>
      <c r="L1" s="3" t="s">
        <v>11</v>
      </c>
      <c r="M1" s="4" t="s">
        <v>12</v>
      </c>
      <c r="N1" s="5" t="s">
        <v>13</v>
      </c>
      <c r="O1" s="5"/>
    </row>
    <row r="2" s="1" customFormat="1" spans="1:15">
      <c r="A2" s="2" t="s">
        <v>14</v>
      </c>
      <c r="B2" s="3" t="s">
        <v>15</v>
      </c>
      <c r="C2" s="4" t="s">
        <v>16</v>
      </c>
      <c r="D2" s="3" t="s">
        <v>17</v>
      </c>
      <c r="E2" s="4" t="s">
        <v>18</v>
      </c>
      <c r="F2" s="3" t="s">
        <v>19</v>
      </c>
      <c r="G2" s="4" t="s">
        <v>20</v>
      </c>
      <c r="H2" s="3" t="s">
        <v>21</v>
      </c>
      <c r="I2" s="4" t="s">
        <v>22</v>
      </c>
      <c r="J2" s="3" t="s">
        <v>23</v>
      </c>
      <c r="K2" s="4" t="s">
        <v>24</v>
      </c>
      <c r="L2" s="3" t="s">
        <v>25</v>
      </c>
      <c r="M2" s="4" t="s">
        <v>26</v>
      </c>
      <c r="N2" s="5" t="s">
        <v>27</v>
      </c>
    </row>
    <row r="3" ht="14" spans="1:15">
      <c r="A3" s="1">
        <v>1</v>
      </c>
      <c r="B3" s="6" t="s">
        <v>28</v>
      </c>
      <c r="C3" s="6">
        <f>ROUND(ConfigAttrZhanshi!C3*2/3,0)</f>
        <v>40</v>
      </c>
      <c r="D3" s="7" t="s">
        <v>29</v>
      </c>
      <c r="E3" s="7">
        <f>C3</f>
        <v>40</v>
      </c>
      <c r="F3" s="7" t="s">
        <v>30</v>
      </c>
      <c r="G3" s="7"/>
      <c r="H3" s="7" t="s">
        <v>31</v>
      </c>
      <c r="I3" s="7"/>
      <c r="J3" s="8" t="s">
        <v>34</v>
      </c>
      <c r="K3" s="8">
        <v>0</v>
      </c>
      <c r="L3" s="8" t="s">
        <v>35</v>
      </c>
      <c r="M3" s="9">
        <f>ROUND(ConfigAttrZhanshi!M3*0.8,0)</f>
        <v>0</v>
      </c>
      <c r="N3" s="10">
        <v>10</v>
      </c>
    </row>
    <row r="4" ht="14" spans="1:15">
      <c r="A4" s="1">
        <v>2</v>
      </c>
      <c r="B4" s="6" t="s">
        <v>28</v>
      </c>
      <c r="C4" s="6">
        <f>ROUND(ConfigAttrZhanshi!C4*2/3,0)</f>
        <v>4</v>
      </c>
      <c r="D4" s="7" t="s">
        <v>29</v>
      </c>
      <c r="E4" s="7">
        <f t="shared" ref="E4:E35" si="0">C4</f>
        <v>4</v>
      </c>
      <c r="F4" s="7" t="s">
        <v>30</v>
      </c>
      <c r="G4" s="7"/>
      <c r="H4" s="7" t="s">
        <v>31</v>
      </c>
      <c r="I4" s="7"/>
      <c r="J4" s="8" t="s">
        <v>34</v>
      </c>
      <c r="K4" s="8">
        <v>0</v>
      </c>
      <c r="L4" s="8" t="s">
        <v>35</v>
      </c>
      <c r="M4" s="9">
        <f>ROUND(ConfigAttrZhanshi!M4*0.8,0)</f>
        <v>0</v>
      </c>
      <c r="N4" s="10">
        <v>15</v>
      </c>
    </row>
    <row r="5" ht="14" spans="1:15">
      <c r="A5" s="1">
        <v>3</v>
      </c>
      <c r="B5" s="6" t="s">
        <v>28</v>
      </c>
      <c r="C5" s="6">
        <f>ROUND(ConfigAttrZhanshi!C5*2/3,0)</f>
        <v>4</v>
      </c>
      <c r="D5" s="7" t="s">
        <v>29</v>
      </c>
      <c r="E5" s="7">
        <f t="shared" si="0"/>
        <v>4</v>
      </c>
      <c r="F5" s="7" t="s">
        <v>30</v>
      </c>
      <c r="G5" s="7"/>
      <c r="H5" s="7" t="s">
        <v>31</v>
      </c>
      <c r="I5" s="7"/>
      <c r="J5" s="8" t="s">
        <v>34</v>
      </c>
      <c r="K5" s="8">
        <v>0</v>
      </c>
      <c r="L5" s="8" t="s">
        <v>35</v>
      </c>
      <c r="M5" s="9">
        <f>ROUND(ConfigAttrZhanshi!M5*0.8,0)</f>
        <v>0</v>
      </c>
      <c r="N5" s="10">
        <v>25</v>
      </c>
    </row>
    <row r="6" ht="14" spans="1:15">
      <c r="A6" s="1">
        <v>4</v>
      </c>
      <c r="B6" s="6" t="s">
        <v>28</v>
      </c>
      <c r="C6" s="6">
        <f>ROUND(ConfigAttrZhanshi!C6*2/3,0)</f>
        <v>4</v>
      </c>
      <c r="D6" s="7" t="s">
        <v>29</v>
      </c>
      <c r="E6" s="7">
        <f t="shared" si="0"/>
        <v>4</v>
      </c>
      <c r="F6" s="7" t="s">
        <v>30</v>
      </c>
      <c r="G6" s="7"/>
      <c r="H6" s="7" t="s">
        <v>31</v>
      </c>
      <c r="I6" s="7"/>
      <c r="J6" s="8" t="s">
        <v>34</v>
      </c>
      <c r="K6" s="8">
        <v>0</v>
      </c>
      <c r="L6" s="8" t="s">
        <v>35</v>
      </c>
      <c r="M6" s="9">
        <f>ROUND(ConfigAttrZhanshi!M6*0.8,0)</f>
        <v>0</v>
      </c>
      <c r="N6" s="10">
        <v>35</v>
      </c>
    </row>
    <row r="7" ht="14" spans="1:15">
      <c r="A7" s="1">
        <v>5</v>
      </c>
      <c r="B7" s="6" t="s">
        <v>28</v>
      </c>
      <c r="C7" s="6">
        <f>ROUND(ConfigAttrZhanshi!C7*2/3,0)</f>
        <v>4</v>
      </c>
      <c r="D7" s="7" t="s">
        <v>29</v>
      </c>
      <c r="E7" s="7">
        <f t="shared" si="0"/>
        <v>4</v>
      </c>
      <c r="F7" s="7" t="s">
        <v>30</v>
      </c>
      <c r="G7" s="7"/>
      <c r="H7" s="7" t="s">
        <v>31</v>
      </c>
      <c r="I7" s="7"/>
      <c r="J7" s="8" t="s">
        <v>34</v>
      </c>
      <c r="K7" s="8">
        <v>0</v>
      </c>
      <c r="L7" s="8" t="s">
        <v>35</v>
      </c>
      <c r="M7" s="9">
        <f>ROUND(ConfigAttrZhanshi!M7*0.8,0)</f>
        <v>1</v>
      </c>
      <c r="N7" s="10">
        <v>50</v>
      </c>
    </row>
    <row r="8" ht="14" spans="1:15">
      <c r="A8" s="1">
        <v>6</v>
      </c>
      <c r="B8" s="6" t="s">
        <v>28</v>
      </c>
      <c r="C8" s="6">
        <f>ROUND(ConfigAttrZhanshi!C8*2/3,0)</f>
        <v>4</v>
      </c>
      <c r="D8" s="7" t="s">
        <v>29</v>
      </c>
      <c r="E8" s="7">
        <f t="shared" si="0"/>
        <v>4</v>
      </c>
      <c r="F8" s="7" t="s">
        <v>30</v>
      </c>
      <c r="G8" s="7"/>
      <c r="H8" s="7" t="s">
        <v>31</v>
      </c>
      <c r="I8" s="7"/>
      <c r="J8" s="8" t="s">
        <v>34</v>
      </c>
      <c r="K8" s="8">
        <v>0</v>
      </c>
      <c r="L8" s="8" t="s">
        <v>35</v>
      </c>
      <c r="M8" s="9">
        <f>ROUND(ConfigAttrZhanshi!M8*0.8,0)</f>
        <v>0</v>
      </c>
      <c r="N8" s="10">
        <v>70</v>
      </c>
    </row>
    <row r="9" ht="14" spans="1:15">
      <c r="A9" s="1">
        <v>7</v>
      </c>
      <c r="B9" s="6" t="s">
        <v>28</v>
      </c>
      <c r="C9" s="6">
        <f>ROUND(ConfigAttrZhanshi!C9*2/3,0)</f>
        <v>4</v>
      </c>
      <c r="D9" s="7" t="s">
        <v>29</v>
      </c>
      <c r="E9" s="7">
        <f t="shared" si="0"/>
        <v>4</v>
      </c>
      <c r="F9" s="7" t="s">
        <v>30</v>
      </c>
      <c r="G9" s="7"/>
      <c r="H9" s="7" t="s">
        <v>31</v>
      </c>
      <c r="I9" s="7"/>
      <c r="J9" s="8" t="s">
        <v>34</v>
      </c>
      <c r="K9" s="8">
        <v>0</v>
      </c>
      <c r="L9" s="8" t="s">
        <v>35</v>
      </c>
      <c r="M9" s="9">
        <f>ROUND(ConfigAttrZhanshi!M9*0.8,0)</f>
        <v>0</v>
      </c>
      <c r="N9" s="10">
        <v>95</v>
      </c>
    </row>
    <row r="10" ht="14" spans="1:15">
      <c r="A10" s="1">
        <v>8</v>
      </c>
      <c r="B10" s="6" t="s">
        <v>28</v>
      </c>
      <c r="C10" s="6">
        <f>ROUND(ConfigAttrZhanshi!C10*2/3,0)</f>
        <v>4</v>
      </c>
      <c r="D10" s="7" t="s">
        <v>29</v>
      </c>
      <c r="E10" s="7">
        <f t="shared" si="0"/>
        <v>4</v>
      </c>
      <c r="F10" s="7" t="s">
        <v>30</v>
      </c>
      <c r="G10" s="7"/>
      <c r="H10" s="7" t="s">
        <v>31</v>
      </c>
      <c r="I10" s="7"/>
      <c r="J10" s="8" t="s">
        <v>34</v>
      </c>
      <c r="K10" s="8">
        <v>0</v>
      </c>
      <c r="L10" s="8" t="s">
        <v>35</v>
      </c>
      <c r="M10" s="9">
        <f>ROUND(ConfigAttrZhanshi!M10*0.8,0)</f>
        <v>0</v>
      </c>
      <c r="N10" s="10">
        <v>125</v>
      </c>
    </row>
    <row r="11" ht="14" spans="1:15">
      <c r="A11" s="1">
        <v>9</v>
      </c>
      <c r="B11" s="6" t="s">
        <v>28</v>
      </c>
      <c r="C11" s="6">
        <f>ROUND(ConfigAttrZhanshi!C11*2/3,0)</f>
        <v>4</v>
      </c>
      <c r="D11" s="7" t="s">
        <v>29</v>
      </c>
      <c r="E11" s="7">
        <f t="shared" si="0"/>
        <v>4</v>
      </c>
      <c r="F11" s="7" t="s">
        <v>30</v>
      </c>
      <c r="G11" s="7"/>
      <c r="H11" s="7" t="s">
        <v>31</v>
      </c>
      <c r="I11" s="7"/>
      <c r="J11" s="8" t="s">
        <v>34</v>
      </c>
      <c r="K11" s="8">
        <v>0</v>
      </c>
      <c r="L11" s="8" t="s">
        <v>35</v>
      </c>
      <c r="M11" s="9">
        <f>ROUND(ConfigAttrZhanshi!M11*0.8,0)</f>
        <v>0</v>
      </c>
      <c r="N11" s="10">
        <v>160</v>
      </c>
    </row>
    <row r="12" ht="14" spans="1:15">
      <c r="A12" s="1">
        <v>10</v>
      </c>
      <c r="B12" s="6" t="s">
        <v>28</v>
      </c>
      <c r="C12" s="6">
        <f>ROUND(ConfigAttrZhanshi!C12*2/3,0)</f>
        <v>4</v>
      </c>
      <c r="D12" s="7" t="s">
        <v>29</v>
      </c>
      <c r="E12" s="7">
        <f t="shared" si="0"/>
        <v>4</v>
      </c>
      <c r="F12" s="7" t="s">
        <v>30</v>
      </c>
      <c r="G12" s="7"/>
      <c r="H12" s="7" t="s">
        <v>31</v>
      </c>
      <c r="I12" s="7"/>
      <c r="J12" s="8" t="s">
        <v>34</v>
      </c>
      <c r="K12" s="8">
        <v>0</v>
      </c>
      <c r="L12" s="8" t="s">
        <v>35</v>
      </c>
      <c r="M12" s="9">
        <f>ROUND(ConfigAttrZhanshi!M12*0.8,0)</f>
        <v>1</v>
      </c>
      <c r="N12" s="10">
        <v>210</v>
      </c>
    </row>
    <row r="13" ht="14" spans="1:15">
      <c r="A13" s="1">
        <v>11</v>
      </c>
      <c r="B13" s="6" t="s">
        <v>28</v>
      </c>
      <c r="C13" s="6">
        <f>ROUND(ConfigAttrZhanshi!C13*2/3,0)</f>
        <v>5</v>
      </c>
      <c r="D13" s="7" t="s">
        <v>29</v>
      </c>
      <c r="E13" s="7">
        <f t="shared" si="0"/>
        <v>5</v>
      </c>
      <c r="F13" s="7" t="s">
        <v>30</v>
      </c>
      <c r="G13" s="7"/>
      <c r="H13" s="7" t="s">
        <v>31</v>
      </c>
      <c r="I13" s="7"/>
      <c r="J13" s="8" t="s">
        <v>34</v>
      </c>
      <c r="K13" s="8">
        <v>0</v>
      </c>
      <c r="L13" s="8" t="s">
        <v>35</v>
      </c>
      <c r="M13" s="9">
        <f>ROUND(ConfigAttrZhanshi!M13*0.8,0)</f>
        <v>0</v>
      </c>
      <c r="N13" s="10">
        <v>270</v>
      </c>
    </row>
    <row r="14" ht="14" spans="1:15">
      <c r="A14" s="1">
        <v>12</v>
      </c>
      <c r="B14" s="6" t="s">
        <v>28</v>
      </c>
      <c r="C14" s="6">
        <f>ROUND(ConfigAttrZhanshi!C14*2/3,0)</f>
        <v>5</v>
      </c>
      <c r="D14" s="7" t="s">
        <v>29</v>
      </c>
      <c r="E14" s="7">
        <f t="shared" si="0"/>
        <v>5</v>
      </c>
      <c r="F14" s="7" t="s">
        <v>30</v>
      </c>
      <c r="G14" s="7"/>
      <c r="H14" s="7" t="s">
        <v>31</v>
      </c>
      <c r="I14" s="7"/>
      <c r="J14" s="8" t="s">
        <v>34</v>
      </c>
      <c r="K14" s="8">
        <v>0</v>
      </c>
      <c r="L14" s="8" t="s">
        <v>35</v>
      </c>
      <c r="M14" s="9">
        <f>ROUND(ConfigAttrZhanshi!M14*0.8,0)</f>
        <v>0</v>
      </c>
      <c r="N14" s="10">
        <v>340</v>
      </c>
    </row>
    <row r="15" ht="14" spans="1:15">
      <c r="A15" s="1">
        <v>13</v>
      </c>
      <c r="B15" s="6" t="s">
        <v>28</v>
      </c>
      <c r="C15" s="6">
        <f>ROUND(ConfigAttrZhanshi!C15*2/3,0)</f>
        <v>5</v>
      </c>
      <c r="D15" s="7" t="s">
        <v>29</v>
      </c>
      <c r="E15" s="7">
        <f t="shared" si="0"/>
        <v>5</v>
      </c>
      <c r="F15" s="7" t="s">
        <v>30</v>
      </c>
      <c r="G15" s="7"/>
      <c r="H15" s="7" t="s">
        <v>31</v>
      </c>
      <c r="I15" s="7"/>
      <c r="J15" s="8" t="s">
        <v>34</v>
      </c>
      <c r="K15" s="8">
        <v>0</v>
      </c>
      <c r="L15" s="8" t="s">
        <v>35</v>
      </c>
      <c r="M15" s="9">
        <f>ROUND(ConfigAttrZhanshi!M15*0.8,0)</f>
        <v>0</v>
      </c>
      <c r="N15" s="10">
        <v>420</v>
      </c>
    </row>
    <row r="16" ht="14" spans="1:15">
      <c r="A16" s="1">
        <v>14</v>
      </c>
      <c r="B16" s="6" t="s">
        <v>28</v>
      </c>
      <c r="C16" s="6">
        <f>ROUND(ConfigAttrZhanshi!C16*2/3,0)</f>
        <v>5</v>
      </c>
      <c r="D16" s="7" t="s">
        <v>29</v>
      </c>
      <c r="E16" s="7">
        <f t="shared" si="0"/>
        <v>5</v>
      </c>
      <c r="F16" s="7" t="s">
        <v>30</v>
      </c>
      <c r="G16" s="7"/>
      <c r="H16" s="7" t="s">
        <v>31</v>
      </c>
      <c r="I16" s="7"/>
      <c r="J16" s="8" t="s">
        <v>34</v>
      </c>
      <c r="K16" s="8">
        <v>0</v>
      </c>
      <c r="L16" s="8" t="s">
        <v>35</v>
      </c>
      <c r="M16" s="9">
        <f>ROUND(ConfigAttrZhanshi!M16*0.8,0)</f>
        <v>0</v>
      </c>
      <c r="N16" s="10">
        <v>520</v>
      </c>
    </row>
    <row r="17" ht="14" spans="1:14">
      <c r="A17" s="1">
        <v>15</v>
      </c>
      <c r="B17" s="6" t="s">
        <v>28</v>
      </c>
      <c r="C17" s="6">
        <f>ROUND(ConfigAttrZhanshi!C17*2/3,0)</f>
        <v>5</v>
      </c>
      <c r="D17" s="7" t="s">
        <v>29</v>
      </c>
      <c r="E17" s="7">
        <f t="shared" si="0"/>
        <v>5</v>
      </c>
      <c r="F17" s="7" t="s">
        <v>30</v>
      </c>
      <c r="G17" s="7"/>
      <c r="H17" s="7" t="s">
        <v>31</v>
      </c>
      <c r="I17" s="7"/>
      <c r="J17" s="8" t="s">
        <v>34</v>
      </c>
      <c r="K17" s="8">
        <v>0</v>
      </c>
      <c r="L17" s="8" t="s">
        <v>35</v>
      </c>
      <c r="M17" s="9">
        <f>ROUND(ConfigAttrZhanshi!M17*0.8,0)</f>
        <v>0</v>
      </c>
      <c r="N17" s="10">
        <v>640</v>
      </c>
    </row>
    <row r="18" ht="14" spans="1:14">
      <c r="A18" s="1">
        <v>16</v>
      </c>
      <c r="B18" s="6" t="s">
        <v>28</v>
      </c>
      <c r="C18" s="6">
        <f>ROUND(ConfigAttrZhanshi!C18*2/3,0)</f>
        <v>5</v>
      </c>
      <c r="D18" s="7" t="s">
        <v>29</v>
      </c>
      <c r="E18" s="7">
        <f t="shared" si="0"/>
        <v>5</v>
      </c>
      <c r="F18" s="7" t="s">
        <v>30</v>
      </c>
      <c r="G18" s="7"/>
      <c r="H18" s="7" t="s">
        <v>31</v>
      </c>
      <c r="I18" s="7"/>
      <c r="J18" s="8" t="s">
        <v>34</v>
      </c>
      <c r="K18" s="8">
        <v>0</v>
      </c>
      <c r="L18" s="8" t="s">
        <v>35</v>
      </c>
      <c r="M18" s="9">
        <f>ROUND(ConfigAttrZhanshi!M18*0.8,0)</f>
        <v>0</v>
      </c>
      <c r="N18" s="10">
        <v>780</v>
      </c>
    </row>
    <row r="19" ht="14" spans="1:14">
      <c r="A19" s="1">
        <v>17</v>
      </c>
      <c r="B19" s="6" t="s">
        <v>28</v>
      </c>
      <c r="C19" s="6">
        <f>ROUND(ConfigAttrZhanshi!C19*2/3,0)</f>
        <v>5</v>
      </c>
      <c r="D19" s="7" t="s">
        <v>29</v>
      </c>
      <c r="E19" s="7">
        <f t="shared" si="0"/>
        <v>5</v>
      </c>
      <c r="F19" s="7" t="s">
        <v>30</v>
      </c>
      <c r="G19" s="7"/>
      <c r="H19" s="7" t="s">
        <v>31</v>
      </c>
      <c r="I19" s="7"/>
      <c r="J19" s="8" t="s">
        <v>34</v>
      </c>
      <c r="K19" s="8">
        <v>0</v>
      </c>
      <c r="L19" s="8" t="s">
        <v>35</v>
      </c>
      <c r="M19" s="9">
        <f>ROUND(ConfigAttrZhanshi!M19*0.8,0)</f>
        <v>0</v>
      </c>
      <c r="N19" s="10">
        <v>950</v>
      </c>
    </row>
    <row r="20" ht="14" spans="1:14">
      <c r="A20" s="1">
        <v>18</v>
      </c>
      <c r="B20" s="6" t="s">
        <v>28</v>
      </c>
      <c r="C20" s="6">
        <f>ROUND(ConfigAttrZhanshi!C20*2/3,0)</f>
        <v>5</v>
      </c>
      <c r="D20" s="7" t="s">
        <v>29</v>
      </c>
      <c r="E20" s="7">
        <f t="shared" si="0"/>
        <v>5</v>
      </c>
      <c r="F20" s="7" t="s">
        <v>30</v>
      </c>
      <c r="G20" s="7"/>
      <c r="H20" s="7" t="s">
        <v>31</v>
      </c>
      <c r="I20" s="7"/>
      <c r="J20" s="8" t="s">
        <v>34</v>
      </c>
      <c r="K20" s="8">
        <v>0</v>
      </c>
      <c r="L20" s="8" t="s">
        <v>35</v>
      </c>
      <c r="M20" s="9">
        <f>ROUND(ConfigAttrZhanshi!M20*0.8,0)</f>
        <v>0</v>
      </c>
      <c r="N20" s="10">
        <v>1150</v>
      </c>
    </row>
    <row r="21" ht="14" spans="1:14">
      <c r="A21" s="1">
        <v>19</v>
      </c>
      <c r="B21" s="6" t="s">
        <v>28</v>
      </c>
      <c r="C21" s="6">
        <f>ROUND(ConfigAttrZhanshi!C21*2/3,0)</f>
        <v>5</v>
      </c>
      <c r="D21" s="7" t="s">
        <v>29</v>
      </c>
      <c r="E21" s="7">
        <f t="shared" si="0"/>
        <v>5</v>
      </c>
      <c r="F21" s="7" t="s">
        <v>30</v>
      </c>
      <c r="G21" s="7"/>
      <c r="H21" s="7" t="s">
        <v>31</v>
      </c>
      <c r="I21" s="7"/>
      <c r="J21" s="8" t="s">
        <v>34</v>
      </c>
      <c r="K21" s="8">
        <v>0</v>
      </c>
      <c r="L21" s="8" t="s">
        <v>35</v>
      </c>
      <c r="M21" s="9">
        <f>ROUND(ConfigAttrZhanshi!M21*0.8,0)</f>
        <v>0</v>
      </c>
      <c r="N21" s="10">
        <v>1380</v>
      </c>
    </row>
    <row r="22" ht="14" spans="1:14">
      <c r="A22" s="1">
        <v>20</v>
      </c>
      <c r="B22" s="6" t="s">
        <v>28</v>
      </c>
      <c r="C22" s="6">
        <f>ROUND(ConfigAttrZhanshi!C22*2/3,0)</f>
        <v>5</v>
      </c>
      <c r="D22" s="7" t="s">
        <v>29</v>
      </c>
      <c r="E22" s="7">
        <f t="shared" si="0"/>
        <v>5</v>
      </c>
      <c r="F22" s="7" t="s">
        <v>30</v>
      </c>
      <c r="G22" s="7"/>
      <c r="H22" s="7" t="s">
        <v>31</v>
      </c>
      <c r="I22" s="7"/>
      <c r="J22" s="8" t="s">
        <v>34</v>
      </c>
      <c r="K22" s="8">
        <v>0</v>
      </c>
      <c r="L22" s="8" t="s">
        <v>35</v>
      </c>
      <c r="M22" s="9">
        <f>ROUND(ConfigAttrZhanshi!M22*0.8,0)</f>
        <v>2</v>
      </c>
      <c r="N22" s="10">
        <v>1650</v>
      </c>
    </row>
    <row r="23" ht="14" spans="1:14">
      <c r="A23" s="1">
        <v>21</v>
      </c>
      <c r="B23" s="6" t="s">
        <v>28</v>
      </c>
      <c r="C23" s="6">
        <f>ROUND(ConfigAttrZhanshi!C23*2/3,0)</f>
        <v>7</v>
      </c>
      <c r="D23" s="7" t="s">
        <v>29</v>
      </c>
      <c r="E23" s="7">
        <f t="shared" si="0"/>
        <v>7</v>
      </c>
      <c r="F23" s="7" t="s">
        <v>30</v>
      </c>
      <c r="G23" s="7"/>
      <c r="H23" s="7" t="s">
        <v>31</v>
      </c>
      <c r="I23" s="7"/>
      <c r="J23" s="8" t="s">
        <v>34</v>
      </c>
      <c r="K23" s="8">
        <v>0</v>
      </c>
      <c r="L23" s="8" t="s">
        <v>35</v>
      </c>
      <c r="M23" s="9">
        <f>ROUND(ConfigAttrZhanshi!M23*0.8,0)</f>
        <v>0</v>
      </c>
      <c r="N23" s="10">
        <v>1950</v>
      </c>
    </row>
    <row r="24" ht="14" spans="1:14">
      <c r="A24" s="1">
        <v>22</v>
      </c>
      <c r="B24" s="6" t="s">
        <v>28</v>
      </c>
      <c r="C24" s="6">
        <f>ROUND(ConfigAttrZhanshi!C24*2/3,0)</f>
        <v>7</v>
      </c>
      <c r="D24" s="7" t="s">
        <v>29</v>
      </c>
      <c r="E24" s="7">
        <f t="shared" si="0"/>
        <v>7</v>
      </c>
      <c r="F24" s="7" t="s">
        <v>30</v>
      </c>
      <c r="G24" s="7"/>
      <c r="H24" s="7" t="s">
        <v>31</v>
      </c>
      <c r="I24" s="7"/>
      <c r="J24" s="8" t="s">
        <v>34</v>
      </c>
      <c r="K24" s="8">
        <v>0</v>
      </c>
      <c r="L24" s="8" t="s">
        <v>35</v>
      </c>
      <c r="M24" s="9">
        <f>ROUND(ConfigAttrZhanshi!M24*0.8,0)</f>
        <v>0</v>
      </c>
      <c r="N24" s="10">
        <v>2300</v>
      </c>
    </row>
    <row r="25" ht="14" spans="1:14">
      <c r="A25" s="1">
        <v>23</v>
      </c>
      <c r="B25" s="6" t="s">
        <v>28</v>
      </c>
      <c r="C25" s="6">
        <f>ROUND(ConfigAttrZhanshi!C25*2/3,0)</f>
        <v>7</v>
      </c>
      <c r="D25" s="7" t="s">
        <v>29</v>
      </c>
      <c r="E25" s="7">
        <f t="shared" si="0"/>
        <v>7</v>
      </c>
      <c r="F25" s="7" t="s">
        <v>30</v>
      </c>
      <c r="G25" s="7"/>
      <c r="H25" s="7" t="s">
        <v>31</v>
      </c>
      <c r="I25" s="7"/>
      <c r="J25" s="8" t="s">
        <v>34</v>
      </c>
      <c r="K25" s="8">
        <v>0</v>
      </c>
      <c r="L25" s="8" t="s">
        <v>35</v>
      </c>
      <c r="M25" s="9">
        <f>ROUND(ConfigAttrZhanshi!M25*0.8,0)</f>
        <v>0</v>
      </c>
      <c r="N25" s="10">
        <v>2700</v>
      </c>
    </row>
    <row r="26" ht="14" spans="1:14">
      <c r="A26" s="1">
        <v>24</v>
      </c>
      <c r="B26" s="6" t="s">
        <v>28</v>
      </c>
      <c r="C26" s="6">
        <f>ROUND(ConfigAttrZhanshi!C26*2/3,0)</f>
        <v>7</v>
      </c>
      <c r="D26" s="7" t="s">
        <v>29</v>
      </c>
      <c r="E26" s="7">
        <f t="shared" si="0"/>
        <v>7</v>
      </c>
      <c r="F26" s="7" t="s">
        <v>30</v>
      </c>
      <c r="G26" s="7"/>
      <c r="H26" s="7" t="s">
        <v>31</v>
      </c>
      <c r="I26" s="7"/>
      <c r="J26" s="8" t="s">
        <v>34</v>
      </c>
      <c r="K26" s="8">
        <v>0</v>
      </c>
      <c r="L26" s="8" t="s">
        <v>35</v>
      </c>
      <c r="M26" s="9">
        <f>ROUND(ConfigAttrZhanshi!M26*0.8,0)</f>
        <v>0</v>
      </c>
      <c r="N26" s="10">
        <v>3150</v>
      </c>
    </row>
    <row r="27" ht="14" spans="1:14">
      <c r="A27" s="1">
        <v>25</v>
      </c>
      <c r="B27" s="6" t="s">
        <v>28</v>
      </c>
      <c r="C27" s="6">
        <f>ROUND(ConfigAttrZhanshi!C27*2/3,0)</f>
        <v>7</v>
      </c>
      <c r="D27" s="7" t="s">
        <v>29</v>
      </c>
      <c r="E27" s="7">
        <f t="shared" si="0"/>
        <v>7</v>
      </c>
      <c r="F27" s="7" t="s">
        <v>30</v>
      </c>
      <c r="G27" s="7"/>
      <c r="H27" s="7" t="s">
        <v>31</v>
      </c>
      <c r="I27" s="7"/>
      <c r="J27" s="8" t="s">
        <v>34</v>
      </c>
      <c r="K27" s="8">
        <v>0</v>
      </c>
      <c r="L27" s="8" t="s">
        <v>35</v>
      </c>
      <c r="M27" s="9">
        <f>ROUND(ConfigAttrZhanshi!M27*0.8,0)</f>
        <v>2</v>
      </c>
      <c r="N27" s="10">
        <v>3650</v>
      </c>
    </row>
    <row r="28" ht="14" spans="1:14">
      <c r="A28" s="1">
        <v>26</v>
      </c>
      <c r="B28" s="6" t="s">
        <v>28</v>
      </c>
      <c r="C28" s="6">
        <f>ROUND(ConfigAttrZhanshi!C28*2/3,0)</f>
        <v>7</v>
      </c>
      <c r="D28" s="7" t="s">
        <v>29</v>
      </c>
      <c r="E28" s="7">
        <f t="shared" si="0"/>
        <v>7</v>
      </c>
      <c r="F28" s="7" t="s">
        <v>30</v>
      </c>
      <c r="G28" s="7"/>
      <c r="H28" s="7" t="s">
        <v>31</v>
      </c>
      <c r="I28" s="7"/>
      <c r="J28" s="8" t="s">
        <v>34</v>
      </c>
      <c r="K28" s="8">
        <v>0</v>
      </c>
      <c r="L28" s="8" t="s">
        <v>35</v>
      </c>
      <c r="M28" s="9">
        <f>ROUND(ConfigAttrZhanshi!M28*0.8,0)</f>
        <v>0</v>
      </c>
      <c r="N28" s="10">
        <v>4200</v>
      </c>
    </row>
    <row r="29" ht="14" spans="1:14">
      <c r="A29" s="1">
        <v>27</v>
      </c>
      <c r="B29" s="6" t="s">
        <v>28</v>
      </c>
      <c r="C29" s="6">
        <f>ROUND(ConfigAttrZhanshi!C29*2/3,0)</f>
        <v>7</v>
      </c>
      <c r="D29" s="7" t="s">
        <v>29</v>
      </c>
      <c r="E29" s="7">
        <f t="shared" si="0"/>
        <v>7</v>
      </c>
      <c r="F29" s="7" t="s">
        <v>30</v>
      </c>
      <c r="G29" s="7"/>
      <c r="H29" s="7" t="s">
        <v>31</v>
      </c>
      <c r="I29" s="7"/>
      <c r="J29" s="8" t="s">
        <v>34</v>
      </c>
      <c r="K29" s="8">
        <v>0</v>
      </c>
      <c r="L29" s="8" t="s">
        <v>35</v>
      </c>
      <c r="M29" s="9">
        <f>ROUND(ConfigAttrZhanshi!M29*0.8,0)</f>
        <v>0</v>
      </c>
      <c r="N29" s="10">
        <v>4800</v>
      </c>
    </row>
    <row r="30" ht="14" spans="1:14">
      <c r="A30" s="1">
        <v>28</v>
      </c>
      <c r="B30" s="6" t="s">
        <v>28</v>
      </c>
      <c r="C30" s="6">
        <f>ROUND(ConfigAttrZhanshi!C30*2/3,0)</f>
        <v>7</v>
      </c>
      <c r="D30" s="7" t="s">
        <v>29</v>
      </c>
      <c r="E30" s="7">
        <f t="shared" si="0"/>
        <v>7</v>
      </c>
      <c r="F30" s="7" t="s">
        <v>30</v>
      </c>
      <c r="G30" s="7"/>
      <c r="H30" s="7" t="s">
        <v>31</v>
      </c>
      <c r="I30" s="7"/>
      <c r="J30" s="8" t="s">
        <v>34</v>
      </c>
      <c r="K30" s="8">
        <v>0</v>
      </c>
      <c r="L30" s="8" t="s">
        <v>35</v>
      </c>
      <c r="M30" s="9">
        <f>ROUND(ConfigAttrZhanshi!M30*0.8,0)</f>
        <v>0</v>
      </c>
      <c r="N30" s="10">
        <v>5450</v>
      </c>
    </row>
    <row r="31" ht="14" spans="1:14">
      <c r="A31" s="1">
        <v>29</v>
      </c>
      <c r="B31" s="6" t="s">
        <v>28</v>
      </c>
      <c r="C31" s="6">
        <f>ROUND(ConfigAttrZhanshi!C31*2/3,0)</f>
        <v>7</v>
      </c>
      <c r="D31" s="7" t="s">
        <v>29</v>
      </c>
      <c r="E31" s="7">
        <f t="shared" si="0"/>
        <v>7</v>
      </c>
      <c r="F31" s="7" t="s">
        <v>30</v>
      </c>
      <c r="G31" s="7"/>
      <c r="H31" s="7" t="s">
        <v>31</v>
      </c>
      <c r="I31" s="7"/>
      <c r="J31" s="8" t="s">
        <v>34</v>
      </c>
      <c r="K31" s="8">
        <v>0</v>
      </c>
      <c r="L31" s="8" t="s">
        <v>35</v>
      </c>
      <c r="M31" s="9">
        <f>ROUND(ConfigAttrZhanshi!M31*0.8,0)</f>
        <v>0</v>
      </c>
      <c r="N31" s="10">
        <v>6150</v>
      </c>
    </row>
    <row r="32" ht="14" spans="1:14">
      <c r="A32" s="1">
        <v>30</v>
      </c>
      <c r="B32" s="6" t="s">
        <v>28</v>
      </c>
      <c r="C32" s="6">
        <f>ROUND(ConfigAttrZhanshi!C32*2/3,0)</f>
        <v>7</v>
      </c>
      <c r="D32" s="7" t="s">
        <v>29</v>
      </c>
      <c r="E32" s="7">
        <f t="shared" si="0"/>
        <v>7</v>
      </c>
      <c r="F32" s="7" t="s">
        <v>30</v>
      </c>
      <c r="G32" s="7"/>
      <c r="H32" s="7" t="s">
        <v>31</v>
      </c>
      <c r="I32" s="7"/>
      <c r="J32" s="8" t="s">
        <v>34</v>
      </c>
      <c r="K32" s="8">
        <v>0</v>
      </c>
      <c r="L32" s="8" t="s">
        <v>35</v>
      </c>
      <c r="M32" s="9">
        <f>ROUND(ConfigAttrZhanshi!M32*0.8,0)</f>
        <v>2</v>
      </c>
      <c r="N32" s="10">
        <v>7200</v>
      </c>
    </row>
    <row r="33" ht="14" spans="1:14">
      <c r="A33" s="1">
        <v>31</v>
      </c>
      <c r="B33" s="6" t="s">
        <v>28</v>
      </c>
      <c r="C33" s="6">
        <f>ROUND(ConfigAttrZhanshi!C33*2/3,0)</f>
        <v>11</v>
      </c>
      <c r="D33" s="7" t="s">
        <v>29</v>
      </c>
      <c r="E33" s="7">
        <f t="shared" si="0"/>
        <v>11</v>
      </c>
      <c r="F33" s="7" t="s">
        <v>30</v>
      </c>
      <c r="G33" s="7"/>
      <c r="H33" s="7" t="s">
        <v>31</v>
      </c>
      <c r="I33" s="7"/>
      <c r="J33" s="8" t="s">
        <v>34</v>
      </c>
      <c r="K33" s="8">
        <v>0</v>
      </c>
      <c r="L33" s="8" t="s">
        <v>35</v>
      </c>
      <c r="M33" s="9">
        <f>ROUND(ConfigAttrZhanshi!M33*0.8,0)</f>
        <v>0</v>
      </c>
      <c r="N33" s="10">
        <v>8500</v>
      </c>
    </row>
    <row r="34" ht="14" spans="1:14">
      <c r="A34" s="1">
        <v>32</v>
      </c>
      <c r="B34" s="6" t="s">
        <v>28</v>
      </c>
      <c r="C34" s="6">
        <f>ROUND(ConfigAttrZhanshi!C34*2/3,0)</f>
        <v>11</v>
      </c>
      <c r="D34" s="7" t="s">
        <v>29</v>
      </c>
      <c r="E34" s="7">
        <f t="shared" si="0"/>
        <v>11</v>
      </c>
      <c r="F34" s="7" t="s">
        <v>30</v>
      </c>
      <c r="G34" s="7"/>
      <c r="H34" s="7" t="s">
        <v>31</v>
      </c>
      <c r="I34" s="7"/>
      <c r="J34" s="8" t="s">
        <v>34</v>
      </c>
      <c r="K34" s="8">
        <v>0</v>
      </c>
      <c r="L34" s="8" t="s">
        <v>35</v>
      </c>
      <c r="M34" s="9">
        <f>ROUND(ConfigAttrZhanshi!M34*0.8,0)</f>
        <v>0</v>
      </c>
      <c r="N34" s="10">
        <v>10000</v>
      </c>
    </row>
    <row r="35" ht="14" spans="1:14">
      <c r="A35" s="1">
        <v>33</v>
      </c>
      <c r="B35" s="6" t="s">
        <v>28</v>
      </c>
      <c r="C35" s="6">
        <f>ROUND(ConfigAttrZhanshi!C35*2/3,0)</f>
        <v>11</v>
      </c>
      <c r="D35" s="7" t="s">
        <v>29</v>
      </c>
      <c r="E35" s="7">
        <f t="shared" si="0"/>
        <v>11</v>
      </c>
      <c r="F35" s="7" t="s">
        <v>30</v>
      </c>
      <c r="G35" s="7"/>
      <c r="H35" s="7" t="s">
        <v>31</v>
      </c>
      <c r="I35" s="7"/>
      <c r="J35" s="8" t="s">
        <v>34</v>
      </c>
      <c r="K35" s="8">
        <v>0</v>
      </c>
      <c r="L35" s="8" t="s">
        <v>35</v>
      </c>
      <c r="M35" s="9">
        <f>ROUND(ConfigAttrZhanshi!M35*0.8,0)</f>
        <v>0</v>
      </c>
      <c r="N35" s="10">
        <v>11800</v>
      </c>
    </row>
    <row r="36" ht="14" spans="1:14">
      <c r="A36" s="1">
        <v>34</v>
      </c>
      <c r="B36" s="6" t="s">
        <v>28</v>
      </c>
      <c r="C36" s="6">
        <f>ROUND(ConfigAttrZhanshi!C36*2/3,0)</f>
        <v>11</v>
      </c>
      <c r="D36" s="7" t="s">
        <v>29</v>
      </c>
      <c r="E36" s="7">
        <f t="shared" ref="E36:E67" si="1">C36</f>
        <v>11</v>
      </c>
      <c r="F36" s="7" t="s">
        <v>30</v>
      </c>
      <c r="G36" s="7"/>
      <c r="H36" s="7" t="s">
        <v>31</v>
      </c>
      <c r="I36" s="7"/>
      <c r="J36" s="8" t="s">
        <v>34</v>
      </c>
      <c r="K36" s="8">
        <v>0</v>
      </c>
      <c r="L36" s="8" t="s">
        <v>35</v>
      </c>
      <c r="M36" s="9">
        <f>ROUND(ConfigAttrZhanshi!M36*0.8,0)</f>
        <v>0</v>
      </c>
      <c r="N36" s="10">
        <v>13800</v>
      </c>
    </row>
    <row r="37" ht="14" spans="1:14">
      <c r="A37" s="1">
        <v>35</v>
      </c>
      <c r="B37" s="6" t="s">
        <v>28</v>
      </c>
      <c r="C37" s="6">
        <f>ROUND(ConfigAttrZhanshi!C37*2/3,0)</f>
        <v>11</v>
      </c>
      <c r="D37" s="7" t="s">
        <v>29</v>
      </c>
      <c r="E37" s="7">
        <f t="shared" si="1"/>
        <v>11</v>
      </c>
      <c r="F37" s="7" t="s">
        <v>30</v>
      </c>
      <c r="G37" s="7"/>
      <c r="H37" s="7" t="s">
        <v>31</v>
      </c>
      <c r="I37" s="7"/>
      <c r="J37" s="8" t="s">
        <v>34</v>
      </c>
      <c r="K37" s="8">
        <v>0</v>
      </c>
      <c r="L37" s="8" t="s">
        <v>35</v>
      </c>
      <c r="M37" s="9">
        <f>ROUND(ConfigAttrZhanshi!M37*0.8,0)</f>
        <v>2</v>
      </c>
      <c r="N37" s="10">
        <v>16200</v>
      </c>
    </row>
    <row r="38" ht="14" spans="1:14">
      <c r="A38" s="1">
        <v>36</v>
      </c>
      <c r="B38" s="6" t="s">
        <v>28</v>
      </c>
      <c r="C38" s="6">
        <f>ROUND(ConfigAttrZhanshi!C38*2/3,0)</f>
        <v>11</v>
      </c>
      <c r="D38" s="7" t="s">
        <v>29</v>
      </c>
      <c r="E38" s="7">
        <f t="shared" si="1"/>
        <v>11</v>
      </c>
      <c r="F38" s="7" t="s">
        <v>30</v>
      </c>
      <c r="G38" s="7"/>
      <c r="H38" s="7" t="s">
        <v>31</v>
      </c>
      <c r="I38" s="7"/>
      <c r="J38" s="8" t="s">
        <v>34</v>
      </c>
      <c r="K38" s="8">
        <v>0</v>
      </c>
      <c r="L38" s="8" t="s">
        <v>35</v>
      </c>
      <c r="M38" s="9">
        <f>ROUND(ConfigAttrZhanshi!M38*0.8,0)</f>
        <v>0</v>
      </c>
      <c r="N38" s="10">
        <v>19000</v>
      </c>
    </row>
    <row r="39" ht="14" spans="1:14">
      <c r="A39" s="1">
        <v>37</v>
      </c>
      <c r="B39" s="6" t="s">
        <v>28</v>
      </c>
      <c r="C39" s="6">
        <f>ROUND(ConfigAttrZhanshi!C39*2/3,0)</f>
        <v>11</v>
      </c>
      <c r="D39" s="7" t="s">
        <v>29</v>
      </c>
      <c r="E39" s="7">
        <f t="shared" si="1"/>
        <v>11</v>
      </c>
      <c r="F39" s="7" t="s">
        <v>30</v>
      </c>
      <c r="G39" s="7"/>
      <c r="H39" s="7" t="s">
        <v>31</v>
      </c>
      <c r="I39" s="7"/>
      <c r="J39" s="8" t="s">
        <v>34</v>
      </c>
      <c r="K39" s="8">
        <v>0</v>
      </c>
      <c r="L39" s="8" t="s">
        <v>35</v>
      </c>
      <c r="M39" s="9">
        <f>ROUND(ConfigAttrZhanshi!M39*0.8,0)</f>
        <v>0</v>
      </c>
      <c r="N39" s="10">
        <v>22200</v>
      </c>
    </row>
    <row r="40" ht="14" spans="1:14">
      <c r="A40" s="1">
        <v>38</v>
      </c>
      <c r="B40" s="6" t="s">
        <v>28</v>
      </c>
      <c r="C40" s="6">
        <f>ROUND(ConfigAttrZhanshi!C40*2/3,0)</f>
        <v>11</v>
      </c>
      <c r="D40" s="7" t="s">
        <v>29</v>
      </c>
      <c r="E40" s="7">
        <f t="shared" si="1"/>
        <v>11</v>
      </c>
      <c r="F40" s="7" t="s">
        <v>30</v>
      </c>
      <c r="G40" s="7"/>
      <c r="H40" s="7" t="s">
        <v>31</v>
      </c>
      <c r="I40" s="7"/>
      <c r="J40" s="8" t="s">
        <v>34</v>
      </c>
      <c r="K40" s="8">
        <v>0</v>
      </c>
      <c r="L40" s="8" t="s">
        <v>35</v>
      </c>
      <c r="M40" s="9">
        <f>ROUND(ConfigAttrZhanshi!M40*0.8,0)</f>
        <v>0</v>
      </c>
      <c r="N40" s="10">
        <v>26000</v>
      </c>
    </row>
    <row r="41" ht="14" spans="1:14">
      <c r="A41" s="1">
        <v>39</v>
      </c>
      <c r="B41" s="6" t="s">
        <v>28</v>
      </c>
      <c r="C41" s="6">
        <f>ROUND(ConfigAttrZhanshi!C41*2/3,0)</f>
        <v>11</v>
      </c>
      <c r="D41" s="7" t="s">
        <v>29</v>
      </c>
      <c r="E41" s="7">
        <f t="shared" si="1"/>
        <v>11</v>
      </c>
      <c r="F41" s="7" t="s">
        <v>30</v>
      </c>
      <c r="G41" s="7"/>
      <c r="H41" s="7" t="s">
        <v>31</v>
      </c>
      <c r="I41" s="7"/>
      <c r="J41" s="8" t="s">
        <v>34</v>
      </c>
      <c r="K41" s="8">
        <v>0</v>
      </c>
      <c r="L41" s="8" t="s">
        <v>35</v>
      </c>
      <c r="M41" s="9">
        <f>ROUND(ConfigAttrZhanshi!M41*0.8,0)</f>
        <v>0</v>
      </c>
      <c r="N41" s="10">
        <v>30500</v>
      </c>
    </row>
    <row r="42" ht="14" spans="1:14">
      <c r="A42" s="1">
        <v>40</v>
      </c>
      <c r="B42" s="6" t="s">
        <v>28</v>
      </c>
      <c r="C42" s="6">
        <f>ROUND(ConfigAttrZhanshi!C42*2/3,0)</f>
        <v>11</v>
      </c>
      <c r="D42" s="7" t="s">
        <v>29</v>
      </c>
      <c r="E42" s="7">
        <f t="shared" si="1"/>
        <v>11</v>
      </c>
      <c r="F42" s="7" t="s">
        <v>30</v>
      </c>
      <c r="G42" s="7"/>
      <c r="H42" s="7" t="s">
        <v>31</v>
      </c>
      <c r="I42" s="7"/>
      <c r="J42" s="8" t="s">
        <v>34</v>
      </c>
      <c r="K42" s="8">
        <v>0</v>
      </c>
      <c r="L42" s="8" t="s">
        <v>35</v>
      </c>
      <c r="M42" s="9">
        <f>ROUND(ConfigAttrZhanshi!M42*0.8,0)</f>
        <v>2</v>
      </c>
      <c r="N42" s="10">
        <v>36000</v>
      </c>
    </row>
    <row r="43" ht="14" spans="1:14">
      <c r="A43" s="1">
        <v>41</v>
      </c>
      <c r="B43" s="6" t="s">
        <v>28</v>
      </c>
      <c r="C43" s="6">
        <f>ROUND(ConfigAttrZhanshi!C43*2/3,0)</f>
        <v>16</v>
      </c>
      <c r="D43" s="7" t="s">
        <v>29</v>
      </c>
      <c r="E43" s="7">
        <f t="shared" si="1"/>
        <v>16</v>
      </c>
      <c r="F43" s="7" t="s">
        <v>30</v>
      </c>
      <c r="G43" s="7"/>
      <c r="H43" s="7" t="s">
        <v>31</v>
      </c>
      <c r="I43" s="7"/>
      <c r="J43" s="8" t="s">
        <v>34</v>
      </c>
      <c r="K43" s="8">
        <v>0</v>
      </c>
      <c r="L43" s="8" t="s">
        <v>35</v>
      </c>
      <c r="M43" s="9">
        <f>ROUND(ConfigAttrZhanshi!M43*0.8,0)</f>
        <v>0</v>
      </c>
      <c r="N43" s="10">
        <v>42000</v>
      </c>
    </row>
    <row r="44" ht="14" spans="1:14">
      <c r="A44" s="1">
        <v>42</v>
      </c>
      <c r="B44" s="6" t="s">
        <v>28</v>
      </c>
      <c r="C44" s="6">
        <f>ROUND(ConfigAttrZhanshi!C44*2/3,0)</f>
        <v>16</v>
      </c>
      <c r="D44" s="7" t="s">
        <v>29</v>
      </c>
      <c r="E44" s="7">
        <f t="shared" si="1"/>
        <v>16</v>
      </c>
      <c r="F44" s="7" t="s">
        <v>30</v>
      </c>
      <c r="G44" s="7"/>
      <c r="H44" s="7" t="s">
        <v>31</v>
      </c>
      <c r="I44" s="7"/>
      <c r="J44" s="8" t="s">
        <v>34</v>
      </c>
      <c r="K44" s="8">
        <v>0</v>
      </c>
      <c r="L44" s="8" t="s">
        <v>35</v>
      </c>
      <c r="M44" s="9">
        <f>ROUND(ConfigAttrZhanshi!M44*0.8,0)</f>
        <v>0</v>
      </c>
      <c r="N44" s="10">
        <v>49000</v>
      </c>
    </row>
    <row r="45" ht="14" spans="1:14">
      <c r="A45" s="1">
        <v>43</v>
      </c>
      <c r="B45" s="6" t="s">
        <v>28</v>
      </c>
      <c r="C45" s="6">
        <f>ROUND(ConfigAttrZhanshi!C45*2/3,0)</f>
        <v>16</v>
      </c>
      <c r="D45" s="7" t="s">
        <v>29</v>
      </c>
      <c r="E45" s="7">
        <f t="shared" si="1"/>
        <v>16</v>
      </c>
      <c r="F45" s="7" t="s">
        <v>30</v>
      </c>
      <c r="G45" s="7"/>
      <c r="H45" s="7" t="s">
        <v>31</v>
      </c>
      <c r="I45" s="7"/>
      <c r="J45" s="8" t="s">
        <v>34</v>
      </c>
      <c r="K45" s="8">
        <v>0</v>
      </c>
      <c r="L45" s="8" t="s">
        <v>35</v>
      </c>
      <c r="M45" s="9">
        <f>ROUND(ConfigAttrZhanshi!M45*0.8,0)</f>
        <v>0</v>
      </c>
      <c r="N45" s="10">
        <v>57000</v>
      </c>
    </row>
    <row r="46" ht="14" spans="1:14">
      <c r="A46" s="1">
        <v>44</v>
      </c>
      <c r="B46" s="6" t="s">
        <v>28</v>
      </c>
      <c r="C46" s="6">
        <f>ROUND(ConfigAttrZhanshi!C46*2/3,0)</f>
        <v>16</v>
      </c>
      <c r="D46" s="7" t="s">
        <v>29</v>
      </c>
      <c r="E46" s="7">
        <f t="shared" si="1"/>
        <v>16</v>
      </c>
      <c r="F46" s="7" t="s">
        <v>30</v>
      </c>
      <c r="G46" s="7"/>
      <c r="H46" s="7" t="s">
        <v>31</v>
      </c>
      <c r="I46" s="7"/>
      <c r="J46" s="8" t="s">
        <v>34</v>
      </c>
      <c r="K46" s="8">
        <v>0</v>
      </c>
      <c r="L46" s="8" t="s">
        <v>35</v>
      </c>
      <c r="M46" s="9">
        <f>ROUND(ConfigAttrZhanshi!M46*0.8,0)</f>
        <v>0</v>
      </c>
      <c r="N46" s="10">
        <v>66500</v>
      </c>
    </row>
    <row r="47" ht="14" spans="1:14">
      <c r="A47" s="1">
        <v>45</v>
      </c>
      <c r="B47" s="6" t="s">
        <v>28</v>
      </c>
      <c r="C47" s="6">
        <f>ROUND(ConfigAttrZhanshi!C47*2/3,0)</f>
        <v>16</v>
      </c>
      <c r="D47" s="7" t="s">
        <v>29</v>
      </c>
      <c r="E47" s="7">
        <f t="shared" si="1"/>
        <v>16</v>
      </c>
      <c r="F47" s="7" t="s">
        <v>30</v>
      </c>
      <c r="G47" s="7"/>
      <c r="H47" s="7" t="s">
        <v>31</v>
      </c>
      <c r="I47" s="7"/>
      <c r="J47" s="8" t="s">
        <v>34</v>
      </c>
      <c r="K47" s="8">
        <v>0</v>
      </c>
      <c r="L47" s="8" t="s">
        <v>35</v>
      </c>
      <c r="M47" s="9">
        <f>ROUND(ConfigAttrZhanshi!M47*0.8,0)</f>
        <v>2</v>
      </c>
      <c r="N47" s="10">
        <v>77500</v>
      </c>
    </row>
    <row r="48" ht="14" spans="1:14">
      <c r="A48" s="1">
        <v>46</v>
      </c>
      <c r="B48" s="6" t="s">
        <v>28</v>
      </c>
      <c r="C48" s="6">
        <f>ROUND(ConfigAttrZhanshi!C48*2/3,0)</f>
        <v>16</v>
      </c>
      <c r="D48" s="7" t="s">
        <v>29</v>
      </c>
      <c r="E48" s="7">
        <f t="shared" si="1"/>
        <v>16</v>
      </c>
      <c r="F48" s="7" t="s">
        <v>30</v>
      </c>
      <c r="G48" s="7"/>
      <c r="H48" s="7" t="s">
        <v>31</v>
      </c>
      <c r="I48" s="7"/>
      <c r="J48" s="8" t="s">
        <v>34</v>
      </c>
      <c r="K48" s="8">
        <v>0</v>
      </c>
      <c r="L48" s="8" t="s">
        <v>35</v>
      </c>
      <c r="M48" s="9">
        <f>ROUND(ConfigAttrZhanshi!M48*0.8,0)</f>
        <v>0</v>
      </c>
      <c r="N48" s="10">
        <v>90000</v>
      </c>
    </row>
    <row r="49" ht="14" spans="1:14">
      <c r="A49" s="1">
        <v>47</v>
      </c>
      <c r="B49" s="6" t="s">
        <v>28</v>
      </c>
      <c r="C49" s="6">
        <f>ROUND(ConfigAttrZhanshi!C49*2/3,0)</f>
        <v>16</v>
      </c>
      <c r="D49" s="7" t="s">
        <v>29</v>
      </c>
      <c r="E49" s="7">
        <f t="shared" si="1"/>
        <v>16</v>
      </c>
      <c r="F49" s="7" t="s">
        <v>30</v>
      </c>
      <c r="G49" s="7"/>
      <c r="H49" s="7" t="s">
        <v>31</v>
      </c>
      <c r="I49" s="7"/>
      <c r="J49" s="8" t="s">
        <v>34</v>
      </c>
      <c r="K49" s="8">
        <v>0</v>
      </c>
      <c r="L49" s="8" t="s">
        <v>35</v>
      </c>
      <c r="M49" s="9">
        <f>ROUND(ConfigAttrZhanshi!M49*0.8,0)</f>
        <v>0</v>
      </c>
      <c r="N49" s="10">
        <v>104000</v>
      </c>
    </row>
    <row r="50" ht="14" spans="1:14">
      <c r="A50" s="1">
        <v>48</v>
      </c>
      <c r="B50" s="6" t="s">
        <v>28</v>
      </c>
      <c r="C50" s="6">
        <f>ROUND(ConfigAttrZhanshi!C50*2/3,0)</f>
        <v>16</v>
      </c>
      <c r="D50" s="7" t="s">
        <v>29</v>
      </c>
      <c r="E50" s="7">
        <f t="shared" si="1"/>
        <v>16</v>
      </c>
      <c r="F50" s="7" t="s">
        <v>30</v>
      </c>
      <c r="G50" s="7"/>
      <c r="H50" s="7" t="s">
        <v>31</v>
      </c>
      <c r="I50" s="7"/>
      <c r="J50" s="8" t="s">
        <v>34</v>
      </c>
      <c r="K50" s="8">
        <v>0</v>
      </c>
      <c r="L50" s="8" t="s">
        <v>35</v>
      </c>
      <c r="M50" s="9">
        <f>ROUND(ConfigAttrZhanshi!M50*0.8,0)</f>
        <v>0</v>
      </c>
      <c r="N50" s="10">
        <v>120000</v>
      </c>
    </row>
    <row r="51" ht="14" spans="1:14">
      <c r="A51" s="1">
        <v>49</v>
      </c>
      <c r="B51" s="6" t="s">
        <v>28</v>
      </c>
      <c r="C51" s="6">
        <f>ROUND(ConfigAttrZhanshi!C51*2/3,0)</f>
        <v>16</v>
      </c>
      <c r="D51" s="7" t="s">
        <v>29</v>
      </c>
      <c r="E51" s="7">
        <f t="shared" si="1"/>
        <v>16</v>
      </c>
      <c r="F51" s="7" t="s">
        <v>30</v>
      </c>
      <c r="G51" s="7"/>
      <c r="H51" s="7" t="s">
        <v>31</v>
      </c>
      <c r="I51" s="7"/>
      <c r="J51" s="8" t="s">
        <v>34</v>
      </c>
      <c r="K51" s="8">
        <v>0</v>
      </c>
      <c r="L51" s="8" t="s">
        <v>35</v>
      </c>
      <c r="M51" s="9">
        <f>ROUND(ConfigAttrZhanshi!M51*0.8,0)</f>
        <v>0</v>
      </c>
      <c r="N51" s="10">
        <v>138000</v>
      </c>
    </row>
    <row r="52" ht="14" spans="1:14">
      <c r="A52" s="1">
        <v>50</v>
      </c>
      <c r="B52" s="6" t="s">
        <v>28</v>
      </c>
      <c r="C52" s="6">
        <f>ROUND(ConfigAttrZhanshi!C52*2/3,0)</f>
        <v>16</v>
      </c>
      <c r="D52" s="7" t="s">
        <v>29</v>
      </c>
      <c r="E52" s="7">
        <f t="shared" si="1"/>
        <v>16</v>
      </c>
      <c r="F52" s="7" t="s">
        <v>30</v>
      </c>
      <c r="G52" s="7"/>
      <c r="H52" s="7" t="s">
        <v>31</v>
      </c>
      <c r="I52" s="7"/>
      <c r="J52" s="8" t="s">
        <v>34</v>
      </c>
      <c r="K52" s="8">
        <v>0</v>
      </c>
      <c r="L52" s="8" t="s">
        <v>35</v>
      </c>
      <c r="M52" s="9">
        <f>ROUND(ConfigAttrZhanshi!M52*0.8,0)</f>
        <v>2</v>
      </c>
      <c r="N52" s="10">
        <v>158000</v>
      </c>
    </row>
    <row r="53" ht="14" spans="1:14">
      <c r="A53" s="1">
        <v>51</v>
      </c>
      <c r="B53" s="6" t="s">
        <v>28</v>
      </c>
      <c r="C53" s="6">
        <f>ROUND(ConfigAttrZhanshi!C53*2/3,0)</f>
        <v>27</v>
      </c>
      <c r="D53" s="7" t="s">
        <v>29</v>
      </c>
      <c r="E53" s="7">
        <f t="shared" si="1"/>
        <v>27</v>
      </c>
      <c r="F53" s="7" t="s">
        <v>30</v>
      </c>
      <c r="G53" s="7"/>
      <c r="H53" s="7" t="s">
        <v>31</v>
      </c>
      <c r="I53" s="7"/>
      <c r="J53" s="8" t="s">
        <v>34</v>
      </c>
      <c r="K53" s="8">
        <v>0</v>
      </c>
      <c r="L53" s="8" t="s">
        <v>35</v>
      </c>
      <c r="M53" s="9">
        <f>ROUND(ConfigAttrZhanshi!M53*0.8,0)</f>
        <v>0</v>
      </c>
      <c r="N53" s="10">
        <v>180000</v>
      </c>
    </row>
    <row r="54" ht="14" spans="1:14">
      <c r="A54" s="1">
        <v>52</v>
      </c>
      <c r="B54" s="6" t="s">
        <v>28</v>
      </c>
      <c r="C54" s="6">
        <f>ROUND(ConfigAttrZhanshi!C54*2/3,0)</f>
        <v>27</v>
      </c>
      <c r="D54" s="7" t="s">
        <v>29</v>
      </c>
      <c r="E54" s="7">
        <f t="shared" si="1"/>
        <v>27</v>
      </c>
      <c r="F54" s="7" t="s">
        <v>30</v>
      </c>
      <c r="G54" s="7"/>
      <c r="H54" s="7" t="s">
        <v>31</v>
      </c>
      <c r="I54" s="7"/>
      <c r="J54" s="8" t="s">
        <v>34</v>
      </c>
      <c r="K54" s="8">
        <v>0</v>
      </c>
      <c r="L54" s="8" t="s">
        <v>35</v>
      </c>
      <c r="M54" s="9">
        <f>ROUND(ConfigAttrZhanshi!M54*0.8,0)</f>
        <v>0</v>
      </c>
      <c r="N54" s="10">
        <v>205000</v>
      </c>
    </row>
    <row r="55" ht="14" spans="1:14">
      <c r="A55" s="1">
        <v>53</v>
      </c>
      <c r="B55" s="6" t="s">
        <v>28</v>
      </c>
      <c r="C55" s="6">
        <f>ROUND(ConfigAttrZhanshi!C55*2/3,0)</f>
        <v>27</v>
      </c>
      <c r="D55" s="7" t="s">
        <v>29</v>
      </c>
      <c r="E55" s="7">
        <f t="shared" si="1"/>
        <v>27</v>
      </c>
      <c r="F55" s="7" t="s">
        <v>30</v>
      </c>
      <c r="G55" s="7"/>
      <c r="H55" s="7" t="s">
        <v>31</v>
      </c>
      <c r="I55" s="7"/>
      <c r="J55" s="8" t="s">
        <v>34</v>
      </c>
      <c r="K55" s="8">
        <v>0</v>
      </c>
      <c r="L55" s="8" t="s">
        <v>35</v>
      </c>
      <c r="M55" s="9">
        <f>ROUND(ConfigAttrZhanshi!M55*0.8,0)</f>
        <v>0</v>
      </c>
      <c r="N55" s="10">
        <v>233000</v>
      </c>
    </row>
    <row r="56" ht="14" spans="1:14">
      <c r="A56" s="1">
        <v>54</v>
      </c>
      <c r="B56" s="6" t="s">
        <v>28</v>
      </c>
      <c r="C56" s="6">
        <f>ROUND(ConfigAttrZhanshi!C56*2/3,0)</f>
        <v>27</v>
      </c>
      <c r="D56" s="7" t="s">
        <v>29</v>
      </c>
      <c r="E56" s="7">
        <f t="shared" si="1"/>
        <v>27</v>
      </c>
      <c r="F56" s="7" t="s">
        <v>30</v>
      </c>
      <c r="G56" s="7"/>
      <c r="H56" s="7" t="s">
        <v>31</v>
      </c>
      <c r="I56" s="7"/>
      <c r="J56" s="8" t="s">
        <v>34</v>
      </c>
      <c r="K56" s="8">
        <v>0</v>
      </c>
      <c r="L56" s="8" t="s">
        <v>35</v>
      </c>
      <c r="M56" s="9">
        <f>ROUND(ConfigAttrZhanshi!M56*0.8,0)</f>
        <v>0</v>
      </c>
      <c r="N56" s="10">
        <v>265000</v>
      </c>
    </row>
    <row r="57" ht="14" spans="1:14">
      <c r="A57" s="1">
        <v>55</v>
      </c>
      <c r="B57" s="6" t="s">
        <v>28</v>
      </c>
      <c r="C57" s="6">
        <f>ROUND(ConfigAttrZhanshi!C57*2/3,0)</f>
        <v>27</v>
      </c>
      <c r="D57" s="7" t="s">
        <v>29</v>
      </c>
      <c r="E57" s="7">
        <f t="shared" si="1"/>
        <v>27</v>
      </c>
      <c r="F57" s="7" t="s">
        <v>30</v>
      </c>
      <c r="G57" s="7"/>
      <c r="H57" s="7" t="s">
        <v>31</v>
      </c>
      <c r="I57" s="7"/>
      <c r="J57" s="8" t="s">
        <v>34</v>
      </c>
      <c r="K57" s="8">
        <v>0</v>
      </c>
      <c r="L57" s="8" t="s">
        <v>35</v>
      </c>
      <c r="M57" s="9">
        <f>ROUND(ConfigAttrZhanshi!M57*0.8,0)</f>
        <v>0</v>
      </c>
      <c r="N57" s="10">
        <v>300000</v>
      </c>
    </row>
    <row r="58" ht="14" spans="1:14">
      <c r="A58" s="1">
        <v>56</v>
      </c>
      <c r="B58" s="6" t="s">
        <v>28</v>
      </c>
      <c r="C58" s="6">
        <f>ROUND(ConfigAttrZhanshi!C58*2/3,0)</f>
        <v>27</v>
      </c>
      <c r="D58" s="7" t="s">
        <v>29</v>
      </c>
      <c r="E58" s="7">
        <f t="shared" si="1"/>
        <v>27</v>
      </c>
      <c r="F58" s="7" t="s">
        <v>30</v>
      </c>
      <c r="G58" s="7"/>
      <c r="H58" s="7" t="s">
        <v>31</v>
      </c>
      <c r="I58" s="7"/>
      <c r="J58" s="8" t="s">
        <v>34</v>
      </c>
      <c r="K58" s="8">
        <v>0</v>
      </c>
      <c r="L58" s="8" t="s">
        <v>35</v>
      </c>
      <c r="M58" s="9">
        <f>ROUND(ConfigAttrZhanshi!M58*0.8,0)</f>
        <v>0</v>
      </c>
      <c r="N58" s="10">
        <v>340000</v>
      </c>
    </row>
    <row r="59" ht="14" spans="1:14">
      <c r="A59" s="1">
        <v>57</v>
      </c>
      <c r="B59" s="6" t="s">
        <v>28</v>
      </c>
      <c r="C59" s="6">
        <f>ROUND(ConfigAttrZhanshi!C59*2/3,0)</f>
        <v>27</v>
      </c>
      <c r="D59" s="7" t="s">
        <v>29</v>
      </c>
      <c r="E59" s="7">
        <f t="shared" si="1"/>
        <v>27</v>
      </c>
      <c r="F59" s="7" t="s">
        <v>30</v>
      </c>
      <c r="G59" s="7"/>
      <c r="H59" s="7" t="s">
        <v>31</v>
      </c>
      <c r="I59" s="7"/>
      <c r="J59" s="8" t="s">
        <v>34</v>
      </c>
      <c r="K59" s="8">
        <v>0</v>
      </c>
      <c r="L59" s="8" t="s">
        <v>35</v>
      </c>
      <c r="M59" s="9">
        <f>ROUND(ConfigAttrZhanshi!M59*0.8,0)</f>
        <v>0</v>
      </c>
      <c r="N59" s="10">
        <v>385000</v>
      </c>
    </row>
    <row r="60" ht="14" spans="1:14">
      <c r="A60" s="1">
        <v>58</v>
      </c>
      <c r="B60" s="6" t="s">
        <v>28</v>
      </c>
      <c r="C60" s="6">
        <f>ROUND(ConfigAttrZhanshi!C60*2/3,0)</f>
        <v>27</v>
      </c>
      <c r="D60" s="7" t="s">
        <v>29</v>
      </c>
      <c r="E60" s="7">
        <f t="shared" si="1"/>
        <v>27</v>
      </c>
      <c r="F60" s="7" t="s">
        <v>30</v>
      </c>
      <c r="G60" s="7"/>
      <c r="H60" s="7" t="s">
        <v>31</v>
      </c>
      <c r="I60" s="7"/>
      <c r="J60" s="8" t="s">
        <v>34</v>
      </c>
      <c r="K60" s="8">
        <v>0</v>
      </c>
      <c r="L60" s="8" t="s">
        <v>35</v>
      </c>
      <c r="M60" s="9">
        <f>ROUND(ConfigAttrZhanshi!M60*0.8,0)</f>
        <v>0</v>
      </c>
      <c r="N60" s="10">
        <v>435000</v>
      </c>
    </row>
    <row r="61" ht="14" spans="1:14">
      <c r="A61" s="1">
        <v>59</v>
      </c>
      <c r="B61" s="6" t="s">
        <v>28</v>
      </c>
      <c r="C61" s="6">
        <f>ROUND(ConfigAttrZhanshi!C61*2/3,0)</f>
        <v>27</v>
      </c>
      <c r="D61" s="7" t="s">
        <v>29</v>
      </c>
      <c r="E61" s="7">
        <f t="shared" si="1"/>
        <v>27</v>
      </c>
      <c r="F61" s="7" t="s">
        <v>30</v>
      </c>
      <c r="G61" s="7"/>
      <c r="H61" s="7" t="s">
        <v>31</v>
      </c>
      <c r="I61" s="7"/>
      <c r="J61" s="8" t="s">
        <v>34</v>
      </c>
      <c r="K61" s="8">
        <v>0</v>
      </c>
      <c r="L61" s="8" t="s">
        <v>35</v>
      </c>
      <c r="M61" s="9">
        <f>ROUND(ConfigAttrZhanshi!M61*0.8,0)</f>
        <v>0</v>
      </c>
      <c r="N61" s="10">
        <v>490000</v>
      </c>
    </row>
    <row r="62" ht="14" spans="1:14">
      <c r="A62" s="1">
        <v>60</v>
      </c>
      <c r="B62" s="6" t="s">
        <v>28</v>
      </c>
      <c r="C62" s="6">
        <f>ROUND(ConfigAttrZhanshi!C62*2/3,0)</f>
        <v>27</v>
      </c>
      <c r="D62" s="7" t="s">
        <v>29</v>
      </c>
      <c r="E62" s="7">
        <f t="shared" si="1"/>
        <v>27</v>
      </c>
      <c r="F62" s="7" t="s">
        <v>30</v>
      </c>
      <c r="G62" s="7"/>
      <c r="H62" s="7" t="s">
        <v>31</v>
      </c>
      <c r="I62" s="7"/>
      <c r="J62" s="8" t="s">
        <v>34</v>
      </c>
      <c r="K62" s="8">
        <v>0</v>
      </c>
      <c r="L62" s="8" t="s">
        <v>35</v>
      </c>
      <c r="M62" s="9">
        <f>ROUND(ConfigAttrZhanshi!M62*0.8,0)</f>
        <v>0</v>
      </c>
      <c r="N62" s="10">
        <v>550000</v>
      </c>
    </row>
    <row r="63" ht="14" spans="1:14">
      <c r="A63" s="1">
        <v>61</v>
      </c>
      <c r="B63" s="6" t="s">
        <v>28</v>
      </c>
      <c r="C63" s="6">
        <f>ROUND(ConfigAttrZhanshi!C63*2/3,0)</f>
        <v>40</v>
      </c>
      <c r="D63" s="7" t="s">
        <v>29</v>
      </c>
      <c r="E63" s="7">
        <f t="shared" si="1"/>
        <v>40</v>
      </c>
      <c r="F63" s="7" t="s">
        <v>30</v>
      </c>
      <c r="G63" s="7"/>
      <c r="H63" s="7" t="s">
        <v>31</v>
      </c>
      <c r="I63" s="7"/>
      <c r="J63" s="8" t="s">
        <v>34</v>
      </c>
      <c r="K63" s="8">
        <v>0</v>
      </c>
      <c r="L63" s="8" t="s">
        <v>35</v>
      </c>
      <c r="M63" s="9">
        <f>ROUND(ConfigAttrZhanshi!M63*0.8,0)</f>
        <v>0</v>
      </c>
      <c r="N63" s="11">
        <v>720000</v>
      </c>
    </row>
    <row r="64" ht="14" spans="1:14">
      <c r="A64" s="1">
        <v>62</v>
      </c>
      <c r="B64" s="6" t="s">
        <v>28</v>
      </c>
      <c r="C64" s="6">
        <f>ROUND(ConfigAttrZhanshi!C64*2/3,0)</f>
        <v>40</v>
      </c>
      <c r="D64" s="7" t="s">
        <v>29</v>
      </c>
      <c r="E64" s="7">
        <f t="shared" si="1"/>
        <v>40</v>
      </c>
      <c r="F64" s="7" t="s">
        <v>30</v>
      </c>
      <c r="G64" s="7"/>
      <c r="H64" s="7" t="s">
        <v>31</v>
      </c>
      <c r="I64" s="7"/>
      <c r="J64" s="8" t="s">
        <v>34</v>
      </c>
      <c r="K64" s="8">
        <v>0</v>
      </c>
      <c r="L64" s="8" t="s">
        <v>35</v>
      </c>
      <c r="M64" s="9">
        <f>ROUND(ConfigAttrZhanshi!M64*0.8,0)</f>
        <v>0</v>
      </c>
      <c r="N64" s="11">
        <v>720000</v>
      </c>
    </row>
    <row r="65" ht="14" spans="1:14">
      <c r="A65" s="1">
        <v>63</v>
      </c>
      <c r="B65" s="6" t="s">
        <v>28</v>
      </c>
      <c r="C65" s="6">
        <f>ROUND(ConfigAttrZhanshi!C65*2/3,0)</f>
        <v>40</v>
      </c>
      <c r="D65" s="7" t="s">
        <v>29</v>
      </c>
      <c r="E65" s="7">
        <f t="shared" si="1"/>
        <v>40</v>
      </c>
      <c r="F65" s="7" t="s">
        <v>30</v>
      </c>
      <c r="G65" s="7"/>
      <c r="H65" s="7" t="s">
        <v>31</v>
      </c>
      <c r="I65" s="7"/>
      <c r="J65" s="8" t="s">
        <v>34</v>
      </c>
      <c r="K65" s="8">
        <v>0</v>
      </c>
      <c r="L65" s="8" t="s">
        <v>35</v>
      </c>
      <c r="M65" s="9">
        <f>ROUND(ConfigAttrZhanshi!M65*0.8,0)</f>
        <v>0</v>
      </c>
      <c r="N65" s="11">
        <v>720000</v>
      </c>
    </row>
    <row r="66" ht="14" spans="1:14">
      <c r="A66" s="1">
        <v>64</v>
      </c>
      <c r="B66" s="6" t="s">
        <v>28</v>
      </c>
      <c r="C66" s="6">
        <f>ROUND(ConfigAttrZhanshi!C66*2/3,0)</f>
        <v>40</v>
      </c>
      <c r="D66" s="7" t="s">
        <v>29</v>
      </c>
      <c r="E66" s="7">
        <f t="shared" si="1"/>
        <v>40</v>
      </c>
      <c r="F66" s="7" t="s">
        <v>30</v>
      </c>
      <c r="G66" s="7"/>
      <c r="H66" s="7" t="s">
        <v>31</v>
      </c>
      <c r="I66" s="7"/>
      <c r="J66" s="8" t="s">
        <v>34</v>
      </c>
      <c r="K66" s="8">
        <v>0</v>
      </c>
      <c r="L66" s="8" t="s">
        <v>35</v>
      </c>
      <c r="M66" s="9">
        <f>ROUND(ConfigAttrZhanshi!M66*0.8,0)</f>
        <v>0</v>
      </c>
      <c r="N66" s="11">
        <v>720000</v>
      </c>
    </row>
    <row r="67" ht="14" spans="1:14">
      <c r="A67" s="1">
        <v>65</v>
      </c>
      <c r="B67" s="6" t="s">
        <v>28</v>
      </c>
      <c r="C67" s="6">
        <f>ROUND(ConfigAttrZhanshi!C67*2/3,0)</f>
        <v>40</v>
      </c>
      <c r="D67" s="7" t="s">
        <v>29</v>
      </c>
      <c r="E67" s="7">
        <f t="shared" si="1"/>
        <v>40</v>
      </c>
      <c r="F67" s="7" t="s">
        <v>30</v>
      </c>
      <c r="G67" s="7"/>
      <c r="H67" s="7" t="s">
        <v>31</v>
      </c>
      <c r="I67" s="7"/>
      <c r="J67" s="8" t="s">
        <v>34</v>
      </c>
      <c r="K67" s="8">
        <v>0</v>
      </c>
      <c r="L67" s="8" t="s">
        <v>35</v>
      </c>
      <c r="M67" s="9">
        <f>ROUND(ConfigAttrZhanshi!M67*0.8,0)</f>
        <v>0</v>
      </c>
      <c r="N67" s="11">
        <v>720000</v>
      </c>
    </row>
    <row r="68" ht="14" spans="1:14">
      <c r="A68" s="1">
        <v>66</v>
      </c>
      <c r="B68" s="6" t="s">
        <v>28</v>
      </c>
      <c r="C68" s="6">
        <f>ROUND(ConfigAttrZhanshi!C68*2/3,0)</f>
        <v>40</v>
      </c>
      <c r="D68" s="7" t="s">
        <v>29</v>
      </c>
      <c r="E68" s="7">
        <f t="shared" ref="E68:E87" si="2">C68</f>
        <v>40</v>
      </c>
      <c r="F68" s="7" t="s">
        <v>30</v>
      </c>
      <c r="G68" s="7"/>
      <c r="H68" s="7" t="s">
        <v>31</v>
      </c>
      <c r="I68" s="7"/>
      <c r="J68" s="8" t="s">
        <v>34</v>
      </c>
      <c r="K68" s="8">
        <v>0</v>
      </c>
      <c r="L68" s="8" t="s">
        <v>35</v>
      </c>
      <c r="M68" s="9">
        <f>ROUND(ConfigAttrZhanshi!M68*0.8,0)</f>
        <v>0</v>
      </c>
      <c r="N68" s="11">
        <v>720000</v>
      </c>
    </row>
    <row r="69" ht="14" spans="1:14">
      <c r="A69" s="1">
        <v>67</v>
      </c>
      <c r="B69" s="6" t="s">
        <v>28</v>
      </c>
      <c r="C69" s="6">
        <f>ROUND(ConfigAttrZhanshi!C69*2/3,0)</f>
        <v>40</v>
      </c>
      <c r="D69" s="7" t="s">
        <v>29</v>
      </c>
      <c r="E69" s="7">
        <f t="shared" si="2"/>
        <v>40</v>
      </c>
      <c r="F69" s="7" t="s">
        <v>30</v>
      </c>
      <c r="G69" s="7"/>
      <c r="H69" s="7" t="s">
        <v>31</v>
      </c>
      <c r="I69" s="7"/>
      <c r="J69" s="8" t="s">
        <v>34</v>
      </c>
      <c r="K69" s="8">
        <v>0</v>
      </c>
      <c r="L69" s="8" t="s">
        <v>35</v>
      </c>
      <c r="M69" s="9">
        <f>ROUND(ConfigAttrZhanshi!M69*0.8,0)</f>
        <v>0</v>
      </c>
      <c r="N69" s="11">
        <v>720000</v>
      </c>
    </row>
    <row r="70" ht="14" spans="1:14">
      <c r="A70" s="1">
        <v>68</v>
      </c>
      <c r="B70" s="6" t="s">
        <v>28</v>
      </c>
      <c r="C70" s="6">
        <f>ROUND(ConfigAttrZhanshi!C70*2/3,0)</f>
        <v>40</v>
      </c>
      <c r="D70" s="7" t="s">
        <v>29</v>
      </c>
      <c r="E70" s="7">
        <f t="shared" si="2"/>
        <v>40</v>
      </c>
      <c r="F70" s="7" t="s">
        <v>30</v>
      </c>
      <c r="G70" s="7"/>
      <c r="H70" s="7" t="s">
        <v>31</v>
      </c>
      <c r="I70" s="7"/>
      <c r="J70" s="8" t="s">
        <v>34</v>
      </c>
      <c r="K70" s="8">
        <v>0</v>
      </c>
      <c r="L70" s="8" t="s">
        <v>35</v>
      </c>
      <c r="M70" s="9">
        <f>ROUND(ConfigAttrZhanshi!M70*0.8,0)</f>
        <v>0</v>
      </c>
      <c r="N70" s="11">
        <v>720000</v>
      </c>
    </row>
    <row r="71" ht="14" spans="1:14">
      <c r="A71" s="1">
        <v>69</v>
      </c>
      <c r="B71" s="6" t="s">
        <v>28</v>
      </c>
      <c r="C71" s="6">
        <f>ROUND(ConfigAttrZhanshi!C71*2/3,0)</f>
        <v>40</v>
      </c>
      <c r="D71" s="7" t="s">
        <v>29</v>
      </c>
      <c r="E71" s="7">
        <f t="shared" si="2"/>
        <v>40</v>
      </c>
      <c r="F71" s="7" t="s">
        <v>30</v>
      </c>
      <c r="G71" s="7"/>
      <c r="H71" s="7" t="s">
        <v>31</v>
      </c>
      <c r="I71" s="7"/>
      <c r="J71" s="8" t="s">
        <v>34</v>
      </c>
      <c r="K71" s="8">
        <v>0</v>
      </c>
      <c r="L71" s="8" t="s">
        <v>35</v>
      </c>
      <c r="M71" s="9">
        <f>ROUND(ConfigAttrZhanshi!M71*0.8,0)</f>
        <v>0</v>
      </c>
      <c r="N71" s="11">
        <v>720000</v>
      </c>
    </row>
    <row r="72" ht="14" spans="1:14">
      <c r="A72" s="1">
        <v>70</v>
      </c>
      <c r="B72" s="6" t="s">
        <v>28</v>
      </c>
      <c r="C72" s="6">
        <f>ROUND(ConfigAttrZhanshi!C72*2/3,0)</f>
        <v>40</v>
      </c>
      <c r="D72" s="7" t="s">
        <v>29</v>
      </c>
      <c r="E72" s="7">
        <f t="shared" si="2"/>
        <v>40</v>
      </c>
      <c r="F72" s="7" t="s">
        <v>30</v>
      </c>
      <c r="G72" s="7"/>
      <c r="H72" s="7" t="s">
        <v>31</v>
      </c>
      <c r="I72" s="7"/>
      <c r="J72" s="8" t="s">
        <v>34</v>
      </c>
      <c r="K72" s="8">
        <v>0</v>
      </c>
      <c r="L72" s="8" t="s">
        <v>35</v>
      </c>
      <c r="M72" s="9">
        <f>ROUND(ConfigAttrZhanshi!M72*0.8,0)</f>
        <v>0</v>
      </c>
      <c r="N72" s="11">
        <v>720000</v>
      </c>
    </row>
    <row r="73" ht="14" spans="1:14">
      <c r="A73" s="1">
        <v>71</v>
      </c>
      <c r="B73" s="6" t="s">
        <v>28</v>
      </c>
      <c r="C73" s="6">
        <f>ROUND(ConfigAttrZhanshi!C73*2/3,0)</f>
        <v>53</v>
      </c>
      <c r="D73" s="7" t="s">
        <v>29</v>
      </c>
      <c r="E73" s="7">
        <f t="shared" si="2"/>
        <v>53</v>
      </c>
      <c r="F73" s="7" t="s">
        <v>30</v>
      </c>
      <c r="G73" s="7"/>
      <c r="H73" s="7" t="s">
        <v>31</v>
      </c>
      <c r="I73" s="7"/>
      <c r="J73" s="8" t="s">
        <v>34</v>
      </c>
      <c r="K73" s="8">
        <v>0</v>
      </c>
      <c r="L73" s="8" t="s">
        <v>35</v>
      </c>
      <c r="M73" s="9">
        <f>ROUND(ConfigAttrZhanshi!M73*0.8,0)</f>
        <v>0</v>
      </c>
      <c r="N73" s="11">
        <v>720000</v>
      </c>
    </row>
    <row r="74" ht="14" spans="1:14">
      <c r="A74" s="1">
        <v>72</v>
      </c>
      <c r="B74" s="6" t="s">
        <v>28</v>
      </c>
      <c r="C74" s="6">
        <f>ROUND(ConfigAttrZhanshi!C74*2/3,0)</f>
        <v>53</v>
      </c>
      <c r="D74" s="7" t="s">
        <v>29</v>
      </c>
      <c r="E74" s="7">
        <f t="shared" si="2"/>
        <v>53</v>
      </c>
      <c r="F74" s="7" t="s">
        <v>30</v>
      </c>
      <c r="G74" s="7"/>
      <c r="H74" s="7" t="s">
        <v>31</v>
      </c>
      <c r="I74" s="7"/>
      <c r="J74" s="8" t="s">
        <v>34</v>
      </c>
      <c r="K74" s="8">
        <v>0</v>
      </c>
      <c r="L74" s="8" t="s">
        <v>35</v>
      </c>
      <c r="M74" s="9">
        <f>ROUND(ConfigAttrZhanshi!M74*0.8,0)</f>
        <v>0</v>
      </c>
      <c r="N74" s="11">
        <v>720000</v>
      </c>
    </row>
    <row r="75" ht="14" spans="1:14">
      <c r="A75" s="1">
        <v>73</v>
      </c>
      <c r="B75" s="6" t="s">
        <v>28</v>
      </c>
      <c r="C75" s="6">
        <f>ROUND(ConfigAttrZhanshi!C75*2/3,0)</f>
        <v>53</v>
      </c>
      <c r="D75" s="7" t="s">
        <v>29</v>
      </c>
      <c r="E75" s="7">
        <f t="shared" si="2"/>
        <v>53</v>
      </c>
      <c r="F75" s="7" t="s">
        <v>30</v>
      </c>
      <c r="G75" s="7"/>
      <c r="H75" s="7" t="s">
        <v>31</v>
      </c>
      <c r="I75" s="7"/>
      <c r="J75" s="8" t="s">
        <v>34</v>
      </c>
      <c r="K75" s="8">
        <v>0</v>
      </c>
      <c r="L75" s="8" t="s">
        <v>35</v>
      </c>
      <c r="M75" s="9">
        <f>ROUND(ConfigAttrZhanshi!M75*0.8,0)</f>
        <v>0</v>
      </c>
      <c r="N75" s="11">
        <v>720000</v>
      </c>
    </row>
    <row r="76" ht="14" spans="1:14">
      <c r="A76" s="1">
        <v>74</v>
      </c>
      <c r="B76" s="6" t="s">
        <v>28</v>
      </c>
      <c r="C76" s="6">
        <f>ROUND(ConfigAttrZhanshi!C76*2/3,0)</f>
        <v>53</v>
      </c>
      <c r="D76" s="7" t="s">
        <v>29</v>
      </c>
      <c r="E76" s="7">
        <f t="shared" si="2"/>
        <v>53</v>
      </c>
      <c r="F76" s="7" t="s">
        <v>30</v>
      </c>
      <c r="G76" s="7"/>
      <c r="H76" s="7" t="s">
        <v>31</v>
      </c>
      <c r="I76" s="7"/>
      <c r="J76" s="8" t="s">
        <v>34</v>
      </c>
      <c r="K76" s="8">
        <v>0</v>
      </c>
      <c r="L76" s="8" t="s">
        <v>35</v>
      </c>
      <c r="M76" s="9">
        <f>ROUND(ConfigAttrZhanshi!M76*0.8,0)</f>
        <v>0</v>
      </c>
      <c r="N76" s="11">
        <v>720000</v>
      </c>
    </row>
    <row r="77" ht="14" spans="1:14">
      <c r="A77" s="1">
        <v>75</v>
      </c>
      <c r="B77" s="6" t="s">
        <v>28</v>
      </c>
      <c r="C77" s="6">
        <f>ROUND(ConfigAttrZhanshi!C77*2/3,0)</f>
        <v>53</v>
      </c>
      <c r="D77" s="7" t="s">
        <v>29</v>
      </c>
      <c r="E77" s="7">
        <f t="shared" si="2"/>
        <v>53</v>
      </c>
      <c r="F77" s="7" t="s">
        <v>30</v>
      </c>
      <c r="G77" s="7"/>
      <c r="H77" s="7" t="s">
        <v>31</v>
      </c>
      <c r="I77" s="7"/>
      <c r="J77" s="8" t="s">
        <v>34</v>
      </c>
      <c r="K77" s="8">
        <v>0</v>
      </c>
      <c r="L77" s="8" t="s">
        <v>35</v>
      </c>
      <c r="M77" s="9">
        <f>ROUND(ConfigAttrZhanshi!M77*0.8,0)</f>
        <v>0</v>
      </c>
      <c r="N77" s="11">
        <v>720000</v>
      </c>
    </row>
    <row r="78" ht="14" spans="1:14">
      <c r="A78" s="1">
        <v>76</v>
      </c>
      <c r="B78" s="6" t="s">
        <v>28</v>
      </c>
      <c r="C78" s="6">
        <f>ROUND(ConfigAttrZhanshi!C78*2/3,0)</f>
        <v>53</v>
      </c>
      <c r="D78" s="7" t="s">
        <v>29</v>
      </c>
      <c r="E78" s="7">
        <f t="shared" si="2"/>
        <v>53</v>
      </c>
      <c r="F78" s="7" t="s">
        <v>30</v>
      </c>
      <c r="G78" s="7"/>
      <c r="H78" s="7" t="s">
        <v>31</v>
      </c>
      <c r="I78" s="7"/>
      <c r="J78" s="8" t="s">
        <v>34</v>
      </c>
      <c r="K78" s="8">
        <v>0</v>
      </c>
      <c r="L78" s="8" t="s">
        <v>35</v>
      </c>
      <c r="M78" s="9">
        <f>ROUND(ConfigAttrZhanshi!M78*0.8,0)</f>
        <v>0</v>
      </c>
      <c r="N78" s="11">
        <v>720000</v>
      </c>
    </row>
    <row r="79" ht="14" spans="1:14">
      <c r="A79" s="1">
        <v>77</v>
      </c>
      <c r="B79" s="6" t="s">
        <v>28</v>
      </c>
      <c r="C79" s="6">
        <f>ROUND(ConfigAttrZhanshi!C79*2/3,0)</f>
        <v>53</v>
      </c>
      <c r="D79" s="7" t="s">
        <v>29</v>
      </c>
      <c r="E79" s="7">
        <f t="shared" si="2"/>
        <v>53</v>
      </c>
      <c r="F79" s="7" t="s">
        <v>30</v>
      </c>
      <c r="G79" s="7"/>
      <c r="H79" s="7" t="s">
        <v>31</v>
      </c>
      <c r="I79" s="7"/>
      <c r="J79" s="8" t="s">
        <v>34</v>
      </c>
      <c r="K79" s="8">
        <v>0</v>
      </c>
      <c r="L79" s="8" t="s">
        <v>35</v>
      </c>
      <c r="M79" s="9">
        <f>ROUND(ConfigAttrZhanshi!M79*0.8,0)</f>
        <v>0</v>
      </c>
      <c r="N79" s="11">
        <v>720000</v>
      </c>
    </row>
    <row r="80" ht="14" spans="1:14">
      <c r="A80" s="1">
        <v>78</v>
      </c>
      <c r="B80" s="6" t="s">
        <v>28</v>
      </c>
      <c r="C80" s="6">
        <f>ROUND(ConfigAttrZhanshi!C80*2/3,0)</f>
        <v>53</v>
      </c>
      <c r="D80" s="7" t="s">
        <v>29</v>
      </c>
      <c r="E80" s="7">
        <f t="shared" si="2"/>
        <v>53</v>
      </c>
      <c r="F80" s="7" t="s">
        <v>30</v>
      </c>
      <c r="G80" s="7"/>
      <c r="H80" s="7" t="s">
        <v>31</v>
      </c>
      <c r="I80" s="7"/>
      <c r="J80" s="8" t="s">
        <v>34</v>
      </c>
      <c r="K80" s="8">
        <v>0</v>
      </c>
      <c r="L80" s="8" t="s">
        <v>35</v>
      </c>
      <c r="M80" s="9">
        <f>ROUND(ConfigAttrZhanshi!M80*0.8,0)</f>
        <v>0</v>
      </c>
      <c r="N80" s="11">
        <v>720000</v>
      </c>
    </row>
    <row r="81" ht="14" spans="1:14">
      <c r="A81" s="1">
        <v>79</v>
      </c>
      <c r="B81" s="6" t="s">
        <v>28</v>
      </c>
      <c r="C81" s="6">
        <f>ROUND(ConfigAttrZhanshi!C81*2/3,0)</f>
        <v>53</v>
      </c>
      <c r="D81" s="7" t="s">
        <v>29</v>
      </c>
      <c r="E81" s="7">
        <f t="shared" si="2"/>
        <v>53</v>
      </c>
      <c r="F81" s="7" t="s">
        <v>30</v>
      </c>
      <c r="G81" s="7"/>
      <c r="H81" s="7" t="s">
        <v>31</v>
      </c>
      <c r="I81" s="7"/>
      <c r="J81" s="8" t="s">
        <v>34</v>
      </c>
      <c r="K81" s="8">
        <v>0</v>
      </c>
      <c r="L81" s="8" t="s">
        <v>35</v>
      </c>
      <c r="M81" s="9">
        <f>ROUND(ConfigAttrZhanshi!M81*0.8,0)</f>
        <v>0</v>
      </c>
      <c r="N81" s="11">
        <v>720000</v>
      </c>
    </row>
    <row r="82" ht="14" spans="1:14">
      <c r="A82" s="1">
        <v>80</v>
      </c>
      <c r="B82" s="6" t="s">
        <v>28</v>
      </c>
      <c r="C82" s="6">
        <f>ROUND(ConfigAttrZhanshi!C82*2/3,0)</f>
        <v>53</v>
      </c>
      <c r="D82" s="7" t="s">
        <v>29</v>
      </c>
      <c r="E82" s="7">
        <f t="shared" si="2"/>
        <v>53</v>
      </c>
      <c r="F82" s="7" t="s">
        <v>30</v>
      </c>
      <c r="G82" s="7"/>
      <c r="H82" s="7" t="s">
        <v>31</v>
      </c>
      <c r="I82" s="7"/>
      <c r="J82" s="8" t="s">
        <v>34</v>
      </c>
      <c r="K82" s="8">
        <v>0</v>
      </c>
      <c r="L82" s="8" t="s">
        <v>35</v>
      </c>
      <c r="M82" s="9">
        <f>ROUND(ConfigAttrZhanshi!M82*0.8,0)</f>
        <v>0</v>
      </c>
      <c r="N82" s="11">
        <v>720000</v>
      </c>
    </row>
    <row r="83" ht="14" spans="1:14">
      <c r="A83" s="1">
        <v>81</v>
      </c>
      <c r="B83" s="6" t="s">
        <v>28</v>
      </c>
      <c r="C83" s="6">
        <f>ROUND(ConfigAttrZhanshi!C83*2/3,0)</f>
        <v>53</v>
      </c>
      <c r="D83" s="7" t="s">
        <v>29</v>
      </c>
      <c r="E83" s="7">
        <f t="shared" si="2"/>
        <v>53</v>
      </c>
      <c r="F83" s="7" t="s">
        <v>30</v>
      </c>
      <c r="G83" s="7"/>
      <c r="H83" s="7" t="s">
        <v>31</v>
      </c>
      <c r="I83" s="7"/>
      <c r="J83" s="8" t="s">
        <v>34</v>
      </c>
      <c r="K83" s="8">
        <v>0</v>
      </c>
      <c r="L83" s="8" t="s">
        <v>35</v>
      </c>
      <c r="M83" s="9">
        <f>ROUND(ConfigAttrZhanshi!M83*0.8,0)</f>
        <v>0</v>
      </c>
      <c r="N83" s="11">
        <v>720000</v>
      </c>
    </row>
    <row r="84" ht="14" spans="1:14">
      <c r="A84" s="1">
        <v>82</v>
      </c>
      <c r="B84" s="6" t="s">
        <v>28</v>
      </c>
      <c r="C84" s="6">
        <f>ROUND(ConfigAttrZhanshi!C84*2/3,0)</f>
        <v>53</v>
      </c>
      <c r="D84" s="7" t="s">
        <v>29</v>
      </c>
      <c r="E84" s="7">
        <f t="shared" si="2"/>
        <v>53</v>
      </c>
      <c r="F84" s="7" t="s">
        <v>30</v>
      </c>
      <c r="G84" s="7"/>
      <c r="H84" s="7" t="s">
        <v>31</v>
      </c>
      <c r="I84" s="7"/>
      <c r="J84" s="8" t="s">
        <v>34</v>
      </c>
      <c r="K84" s="8">
        <v>0</v>
      </c>
      <c r="L84" s="8" t="s">
        <v>35</v>
      </c>
      <c r="M84" s="9">
        <f>ROUND(ConfigAttrZhanshi!M84*0.8,0)</f>
        <v>0</v>
      </c>
      <c r="N84" s="11">
        <v>720000</v>
      </c>
    </row>
    <row r="85" ht="14" spans="1:14">
      <c r="A85" s="1">
        <v>83</v>
      </c>
      <c r="B85" s="6" t="s">
        <v>28</v>
      </c>
      <c r="C85" s="6">
        <f>ROUND(ConfigAttrZhanshi!C85*2/3,0)</f>
        <v>53</v>
      </c>
      <c r="D85" s="7" t="s">
        <v>29</v>
      </c>
      <c r="E85" s="7">
        <f t="shared" si="2"/>
        <v>53</v>
      </c>
      <c r="F85" s="7" t="s">
        <v>30</v>
      </c>
      <c r="G85" s="7"/>
      <c r="H85" s="7" t="s">
        <v>31</v>
      </c>
      <c r="I85" s="7"/>
      <c r="J85" s="8" t="s">
        <v>34</v>
      </c>
      <c r="K85" s="8">
        <v>0</v>
      </c>
      <c r="L85" s="8" t="s">
        <v>35</v>
      </c>
      <c r="M85" s="9">
        <f>ROUND(ConfigAttrZhanshi!M85*0.8,0)</f>
        <v>0</v>
      </c>
      <c r="N85" s="11">
        <v>720000</v>
      </c>
    </row>
    <row r="86" ht="14" spans="1:14">
      <c r="A86" s="1">
        <v>84</v>
      </c>
      <c r="B86" s="6" t="s">
        <v>28</v>
      </c>
      <c r="C86" s="6">
        <f>ROUND(ConfigAttrZhanshi!C86*2/3,0)</f>
        <v>53</v>
      </c>
      <c r="D86" s="7" t="s">
        <v>29</v>
      </c>
      <c r="E86" s="7">
        <f t="shared" si="2"/>
        <v>53</v>
      </c>
      <c r="F86" s="7" t="s">
        <v>30</v>
      </c>
      <c r="G86" s="7"/>
      <c r="H86" s="7" t="s">
        <v>31</v>
      </c>
      <c r="I86" s="7"/>
      <c r="J86" s="8" t="s">
        <v>34</v>
      </c>
      <c r="K86" s="8">
        <v>0</v>
      </c>
      <c r="L86" s="8" t="s">
        <v>35</v>
      </c>
      <c r="M86" s="9">
        <f>ROUND(ConfigAttrZhanshi!M86*0.8,0)</f>
        <v>0</v>
      </c>
      <c r="N86" s="11">
        <v>720000</v>
      </c>
    </row>
    <row r="87" ht="14" spans="1:14">
      <c r="A87" s="1">
        <v>85</v>
      </c>
      <c r="B87" s="6" t="s">
        <v>28</v>
      </c>
      <c r="C87" s="6">
        <f>ROUND(ConfigAttrZhanshi!C87*2/3,0)</f>
        <v>53</v>
      </c>
      <c r="D87" s="7" t="s">
        <v>29</v>
      </c>
      <c r="E87" s="7">
        <f t="shared" si="2"/>
        <v>53</v>
      </c>
      <c r="F87" s="7" t="s">
        <v>30</v>
      </c>
      <c r="G87" s="7"/>
      <c r="H87" s="7" t="s">
        <v>31</v>
      </c>
      <c r="I87" s="7"/>
      <c r="J87" s="8" t="s">
        <v>34</v>
      </c>
      <c r="K87" s="8">
        <v>0</v>
      </c>
      <c r="L87" s="8" t="s">
        <v>35</v>
      </c>
      <c r="M87" s="9">
        <f>ROUND(ConfigAttrZhanshi!M87*0.8,0)</f>
        <v>0</v>
      </c>
      <c r="N87" s="11">
        <v>720000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87"/>
  <sheetViews>
    <sheetView workbookViewId="0">
      <selection activeCell="P14" sqref="P14"/>
    </sheetView>
  </sheetViews>
  <sheetFormatPr defaultColWidth="9" defaultRowHeight="13"/>
  <cols>
    <col min="1" max="1" width="5.5" style="1" customWidth="1"/>
    <col min="2" max="9" width="10" style="1" customWidth="1"/>
    <col min="10" max="10" width="7.5" style="1" customWidth="1"/>
    <col min="11" max="13" width="7.375" style="1" customWidth="1"/>
    <col min="14" max="16384" width="9" style="1"/>
  </cols>
  <sheetData>
    <row r="1" s="1" customFormat="1" spans="1:14">
      <c r="A1" s="2" t="s">
        <v>0</v>
      </c>
      <c r="B1" s="3" t="s">
        <v>1</v>
      </c>
      <c r="C1" s="4" t="s">
        <v>2</v>
      </c>
      <c r="D1" s="3" t="s">
        <v>3</v>
      </c>
      <c r="E1" s="4" t="s">
        <v>4</v>
      </c>
      <c r="F1" s="3" t="s">
        <v>5</v>
      </c>
      <c r="G1" s="4" t="s">
        <v>6</v>
      </c>
      <c r="H1" s="3" t="s">
        <v>7</v>
      </c>
      <c r="I1" s="4" t="s">
        <v>8</v>
      </c>
      <c r="J1" s="3" t="s">
        <v>9</v>
      </c>
      <c r="K1" s="4" t="s">
        <v>10</v>
      </c>
      <c r="L1" s="3" t="s">
        <v>11</v>
      </c>
      <c r="M1" s="4" t="s">
        <v>12</v>
      </c>
      <c r="N1" s="5" t="s">
        <v>13</v>
      </c>
    </row>
    <row r="2" s="1" customFormat="1" spans="1:14">
      <c r="A2" s="2" t="s">
        <v>14</v>
      </c>
      <c r="B2" s="3" t="s">
        <v>15</v>
      </c>
      <c r="C2" s="4" t="s">
        <v>16</v>
      </c>
      <c r="D2" s="3" t="s">
        <v>17</v>
      </c>
      <c r="E2" s="4" t="s">
        <v>18</v>
      </c>
      <c r="F2" s="3" t="s">
        <v>19</v>
      </c>
      <c r="G2" s="4" t="s">
        <v>20</v>
      </c>
      <c r="H2" s="3" t="s">
        <v>21</v>
      </c>
      <c r="I2" s="4" t="s">
        <v>22</v>
      </c>
      <c r="J2" s="3" t="s">
        <v>23</v>
      </c>
      <c r="K2" s="4" t="s">
        <v>24</v>
      </c>
      <c r="L2" s="3" t="s">
        <v>25</v>
      </c>
      <c r="M2" s="4" t="s">
        <v>26</v>
      </c>
      <c r="N2" s="5" t="s">
        <v>27</v>
      </c>
    </row>
    <row r="3" ht="14" spans="1:14">
      <c r="A3" s="1">
        <v>1</v>
      </c>
      <c r="B3" s="6" t="s">
        <v>28</v>
      </c>
      <c r="C3" s="6">
        <f>ConfigAttrFashi!C3</f>
        <v>40</v>
      </c>
      <c r="D3" s="7" t="s">
        <v>29</v>
      </c>
      <c r="E3" s="7">
        <f>ROUND(C3*0.8,0)</f>
        <v>32</v>
      </c>
      <c r="F3" s="7" t="s">
        <v>30</v>
      </c>
      <c r="G3" s="7"/>
      <c r="H3" s="7" t="s">
        <v>31</v>
      </c>
      <c r="I3" s="7"/>
      <c r="J3" s="8" t="s">
        <v>36</v>
      </c>
      <c r="K3" s="8">
        <v>0</v>
      </c>
      <c r="L3" s="8" t="s">
        <v>37</v>
      </c>
      <c r="M3" s="9">
        <f>ConfigAttrFashi!M3</f>
        <v>0</v>
      </c>
      <c r="N3" s="10">
        <v>10</v>
      </c>
    </row>
    <row r="4" ht="14" spans="1:14">
      <c r="A4" s="1">
        <v>2</v>
      </c>
      <c r="B4" s="6" t="s">
        <v>28</v>
      </c>
      <c r="C4" s="6">
        <f>ConfigAttrFashi!C4</f>
        <v>4</v>
      </c>
      <c r="D4" s="7" t="s">
        <v>29</v>
      </c>
      <c r="E4" s="7">
        <f t="shared" ref="E4:E35" si="0">ROUND(C4*0.8,0)</f>
        <v>3</v>
      </c>
      <c r="F4" s="7" t="s">
        <v>30</v>
      </c>
      <c r="G4" s="7"/>
      <c r="H4" s="7" t="s">
        <v>31</v>
      </c>
      <c r="I4" s="7"/>
      <c r="J4" s="8" t="s">
        <v>36</v>
      </c>
      <c r="K4" s="8">
        <v>0</v>
      </c>
      <c r="L4" s="8" t="s">
        <v>37</v>
      </c>
      <c r="M4" s="9">
        <f>ConfigAttrFashi!M4</f>
        <v>0</v>
      </c>
      <c r="N4" s="10">
        <v>15</v>
      </c>
    </row>
    <row r="5" ht="14" spans="1:14">
      <c r="A5" s="1">
        <v>3</v>
      </c>
      <c r="B5" s="6" t="s">
        <v>28</v>
      </c>
      <c r="C5" s="6">
        <f>ConfigAttrFashi!C5</f>
        <v>4</v>
      </c>
      <c r="D5" s="7" t="s">
        <v>29</v>
      </c>
      <c r="E5" s="7">
        <f t="shared" si="0"/>
        <v>3</v>
      </c>
      <c r="F5" s="7" t="s">
        <v>30</v>
      </c>
      <c r="G5" s="7"/>
      <c r="H5" s="7" t="s">
        <v>31</v>
      </c>
      <c r="I5" s="7"/>
      <c r="J5" s="8" t="s">
        <v>36</v>
      </c>
      <c r="K5" s="8">
        <v>0</v>
      </c>
      <c r="L5" s="8" t="s">
        <v>37</v>
      </c>
      <c r="M5" s="9">
        <f>ConfigAttrFashi!M5</f>
        <v>0</v>
      </c>
      <c r="N5" s="10">
        <v>25</v>
      </c>
    </row>
    <row r="6" ht="14" spans="1:14">
      <c r="A6" s="1">
        <v>4</v>
      </c>
      <c r="B6" s="6" t="s">
        <v>28</v>
      </c>
      <c r="C6" s="6">
        <f>ConfigAttrFashi!C6</f>
        <v>4</v>
      </c>
      <c r="D6" s="7" t="s">
        <v>29</v>
      </c>
      <c r="E6" s="7">
        <f t="shared" si="0"/>
        <v>3</v>
      </c>
      <c r="F6" s="7" t="s">
        <v>30</v>
      </c>
      <c r="G6" s="7"/>
      <c r="H6" s="7" t="s">
        <v>31</v>
      </c>
      <c r="I6" s="7"/>
      <c r="J6" s="8" t="s">
        <v>36</v>
      </c>
      <c r="K6" s="8">
        <v>0</v>
      </c>
      <c r="L6" s="8" t="s">
        <v>37</v>
      </c>
      <c r="M6" s="9">
        <f>ConfigAttrFashi!M6</f>
        <v>0</v>
      </c>
      <c r="N6" s="10">
        <v>35</v>
      </c>
    </row>
    <row r="7" ht="14" spans="1:14">
      <c r="A7" s="1">
        <v>5</v>
      </c>
      <c r="B7" s="6" t="s">
        <v>28</v>
      </c>
      <c r="C7" s="6">
        <f>ConfigAttrFashi!C7</f>
        <v>4</v>
      </c>
      <c r="D7" s="7" t="s">
        <v>29</v>
      </c>
      <c r="E7" s="7">
        <f t="shared" si="0"/>
        <v>3</v>
      </c>
      <c r="F7" s="7" t="s">
        <v>30</v>
      </c>
      <c r="G7" s="7"/>
      <c r="H7" s="7" t="s">
        <v>31</v>
      </c>
      <c r="I7" s="7"/>
      <c r="J7" s="8" t="s">
        <v>36</v>
      </c>
      <c r="K7" s="8">
        <v>0</v>
      </c>
      <c r="L7" s="8" t="s">
        <v>37</v>
      </c>
      <c r="M7" s="9">
        <f>ConfigAttrFashi!M7</f>
        <v>1</v>
      </c>
      <c r="N7" s="10">
        <v>50</v>
      </c>
    </row>
    <row r="8" ht="14" spans="1:14">
      <c r="A8" s="1">
        <v>6</v>
      </c>
      <c r="B8" s="6" t="s">
        <v>28</v>
      </c>
      <c r="C8" s="6">
        <f>ConfigAttrFashi!C8</f>
        <v>4</v>
      </c>
      <c r="D8" s="7" t="s">
        <v>29</v>
      </c>
      <c r="E8" s="7">
        <f t="shared" si="0"/>
        <v>3</v>
      </c>
      <c r="F8" s="7" t="s">
        <v>30</v>
      </c>
      <c r="G8" s="7"/>
      <c r="H8" s="7" t="s">
        <v>31</v>
      </c>
      <c r="I8" s="7"/>
      <c r="J8" s="8" t="s">
        <v>36</v>
      </c>
      <c r="K8" s="8">
        <v>0</v>
      </c>
      <c r="L8" s="8" t="s">
        <v>37</v>
      </c>
      <c r="M8" s="9">
        <f>ConfigAttrFashi!M8</f>
        <v>0</v>
      </c>
      <c r="N8" s="10">
        <v>70</v>
      </c>
    </row>
    <row r="9" ht="14" spans="1:14">
      <c r="A9" s="1">
        <v>7</v>
      </c>
      <c r="B9" s="6" t="s">
        <v>28</v>
      </c>
      <c r="C9" s="6">
        <f>ConfigAttrFashi!C9</f>
        <v>4</v>
      </c>
      <c r="D9" s="7" t="s">
        <v>29</v>
      </c>
      <c r="E9" s="7">
        <f t="shared" si="0"/>
        <v>3</v>
      </c>
      <c r="F9" s="7" t="s">
        <v>30</v>
      </c>
      <c r="G9" s="7"/>
      <c r="H9" s="7" t="s">
        <v>31</v>
      </c>
      <c r="I9" s="7"/>
      <c r="J9" s="8" t="s">
        <v>36</v>
      </c>
      <c r="K9" s="8">
        <v>0</v>
      </c>
      <c r="L9" s="8" t="s">
        <v>37</v>
      </c>
      <c r="M9" s="9">
        <f>ConfigAttrFashi!M9</f>
        <v>0</v>
      </c>
      <c r="N9" s="10">
        <v>95</v>
      </c>
    </row>
    <row r="10" ht="14" spans="1:14">
      <c r="A10" s="1">
        <v>8</v>
      </c>
      <c r="B10" s="6" t="s">
        <v>28</v>
      </c>
      <c r="C10" s="6">
        <f>ConfigAttrFashi!C10</f>
        <v>4</v>
      </c>
      <c r="D10" s="7" t="s">
        <v>29</v>
      </c>
      <c r="E10" s="7">
        <f t="shared" si="0"/>
        <v>3</v>
      </c>
      <c r="F10" s="7" t="s">
        <v>30</v>
      </c>
      <c r="G10" s="7"/>
      <c r="H10" s="7" t="s">
        <v>31</v>
      </c>
      <c r="I10" s="7"/>
      <c r="J10" s="8" t="s">
        <v>36</v>
      </c>
      <c r="K10" s="8">
        <v>0</v>
      </c>
      <c r="L10" s="8" t="s">
        <v>37</v>
      </c>
      <c r="M10" s="9">
        <f>ConfigAttrFashi!M10</f>
        <v>0</v>
      </c>
      <c r="N10" s="10">
        <v>125</v>
      </c>
    </row>
    <row r="11" ht="14" spans="1:14">
      <c r="A11" s="1">
        <v>9</v>
      </c>
      <c r="B11" s="6" t="s">
        <v>28</v>
      </c>
      <c r="C11" s="6">
        <f>ConfigAttrFashi!C11</f>
        <v>4</v>
      </c>
      <c r="D11" s="7" t="s">
        <v>29</v>
      </c>
      <c r="E11" s="7">
        <f t="shared" si="0"/>
        <v>3</v>
      </c>
      <c r="F11" s="7" t="s">
        <v>30</v>
      </c>
      <c r="G11" s="7"/>
      <c r="H11" s="7" t="s">
        <v>31</v>
      </c>
      <c r="I11" s="7"/>
      <c r="J11" s="8" t="s">
        <v>36</v>
      </c>
      <c r="K11" s="8">
        <v>0</v>
      </c>
      <c r="L11" s="8" t="s">
        <v>37</v>
      </c>
      <c r="M11" s="9">
        <f>ConfigAttrFashi!M11</f>
        <v>0</v>
      </c>
      <c r="N11" s="10">
        <v>160</v>
      </c>
    </row>
    <row r="12" ht="14" spans="1:14">
      <c r="A12" s="1">
        <v>10</v>
      </c>
      <c r="B12" s="6" t="s">
        <v>28</v>
      </c>
      <c r="C12" s="6">
        <f>ConfigAttrFashi!C12</f>
        <v>4</v>
      </c>
      <c r="D12" s="7" t="s">
        <v>29</v>
      </c>
      <c r="E12" s="7">
        <f t="shared" si="0"/>
        <v>3</v>
      </c>
      <c r="F12" s="7" t="s">
        <v>30</v>
      </c>
      <c r="G12" s="7"/>
      <c r="H12" s="7" t="s">
        <v>31</v>
      </c>
      <c r="I12" s="7"/>
      <c r="J12" s="8" t="s">
        <v>36</v>
      </c>
      <c r="K12" s="8">
        <v>0</v>
      </c>
      <c r="L12" s="8" t="s">
        <v>37</v>
      </c>
      <c r="M12" s="9">
        <f>ConfigAttrFashi!M12</f>
        <v>1</v>
      </c>
      <c r="N12" s="10">
        <v>210</v>
      </c>
    </row>
    <row r="13" ht="14" spans="1:14">
      <c r="A13" s="1">
        <v>11</v>
      </c>
      <c r="B13" s="6" t="s">
        <v>28</v>
      </c>
      <c r="C13" s="6">
        <f>ConfigAttrFashi!C13</f>
        <v>5</v>
      </c>
      <c r="D13" s="7" t="s">
        <v>29</v>
      </c>
      <c r="E13" s="7">
        <f t="shared" si="0"/>
        <v>4</v>
      </c>
      <c r="F13" s="7" t="s">
        <v>30</v>
      </c>
      <c r="G13" s="7"/>
      <c r="H13" s="7" t="s">
        <v>31</v>
      </c>
      <c r="I13" s="7"/>
      <c r="J13" s="8" t="s">
        <v>36</v>
      </c>
      <c r="K13" s="8">
        <v>0</v>
      </c>
      <c r="L13" s="8" t="s">
        <v>37</v>
      </c>
      <c r="M13" s="9">
        <f>ConfigAttrFashi!M13</f>
        <v>0</v>
      </c>
      <c r="N13" s="10">
        <v>270</v>
      </c>
    </row>
    <row r="14" ht="14" spans="1:14">
      <c r="A14" s="1">
        <v>12</v>
      </c>
      <c r="B14" s="6" t="s">
        <v>28</v>
      </c>
      <c r="C14" s="6">
        <f>ConfigAttrFashi!C14</f>
        <v>5</v>
      </c>
      <c r="D14" s="7" t="s">
        <v>29</v>
      </c>
      <c r="E14" s="7">
        <f t="shared" si="0"/>
        <v>4</v>
      </c>
      <c r="F14" s="7" t="s">
        <v>30</v>
      </c>
      <c r="G14" s="7"/>
      <c r="H14" s="7" t="s">
        <v>31</v>
      </c>
      <c r="I14" s="7"/>
      <c r="J14" s="8" t="s">
        <v>36</v>
      </c>
      <c r="K14" s="8">
        <v>0</v>
      </c>
      <c r="L14" s="8" t="s">
        <v>37</v>
      </c>
      <c r="M14" s="9">
        <f>ConfigAttrFashi!M14</f>
        <v>0</v>
      </c>
      <c r="N14" s="10">
        <v>340</v>
      </c>
    </row>
    <row r="15" ht="14" spans="1:14">
      <c r="A15" s="1">
        <v>13</v>
      </c>
      <c r="B15" s="6" t="s">
        <v>28</v>
      </c>
      <c r="C15" s="6">
        <f>ConfigAttrFashi!C15</f>
        <v>5</v>
      </c>
      <c r="D15" s="7" t="s">
        <v>29</v>
      </c>
      <c r="E15" s="7">
        <f t="shared" si="0"/>
        <v>4</v>
      </c>
      <c r="F15" s="7" t="s">
        <v>30</v>
      </c>
      <c r="G15" s="7"/>
      <c r="H15" s="7" t="s">
        <v>31</v>
      </c>
      <c r="I15" s="7"/>
      <c r="J15" s="8" t="s">
        <v>36</v>
      </c>
      <c r="K15" s="8">
        <v>0</v>
      </c>
      <c r="L15" s="8" t="s">
        <v>37</v>
      </c>
      <c r="M15" s="9">
        <f>ConfigAttrFashi!M15</f>
        <v>0</v>
      </c>
      <c r="N15" s="10">
        <v>420</v>
      </c>
    </row>
    <row r="16" ht="14" spans="1:14">
      <c r="A16" s="1">
        <v>14</v>
      </c>
      <c r="B16" s="6" t="s">
        <v>28</v>
      </c>
      <c r="C16" s="6">
        <f>ConfigAttrFashi!C16</f>
        <v>5</v>
      </c>
      <c r="D16" s="7" t="s">
        <v>29</v>
      </c>
      <c r="E16" s="7">
        <f t="shared" si="0"/>
        <v>4</v>
      </c>
      <c r="F16" s="7" t="s">
        <v>30</v>
      </c>
      <c r="G16" s="7"/>
      <c r="H16" s="7" t="s">
        <v>31</v>
      </c>
      <c r="I16" s="7"/>
      <c r="J16" s="8" t="s">
        <v>36</v>
      </c>
      <c r="K16" s="8">
        <v>0</v>
      </c>
      <c r="L16" s="8" t="s">
        <v>37</v>
      </c>
      <c r="M16" s="9">
        <f>ConfigAttrFashi!M16</f>
        <v>0</v>
      </c>
      <c r="N16" s="10">
        <v>520</v>
      </c>
    </row>
    <row r="17" ht="14" spans="1:14">
      <c r="A17" s="1">
        <v>15</v>
      </c>
      <c r="B17" s="6" t="s">
        <v>28</v>
      </c>
      <c r="C17" s="6">
        <f>ConfigAttrFashi!C17</f>
        <v>5</v>
      </c>
      <c r="D17" s="7" t="s">
        <v>29</v>
      </c>
      <c r="E17" s="7">
        <f t="shared" si="0"/>
        <v>4</v>
      </c>
      <c r="F17" s="7" t="s">
        <v>30</v>
      </c>
      <c r="G17" s="7"/>
      <c r="H17" s="7" t="s">
        <v>31</v>
      </c>
      <c r="I17" s="7"/>
      <c r="J17" s="8" t="s">
        <v>36</v>
      </c>
      <c r="K17" s="8">
        <v>0</v>
      </c>
      <c r="L17" s="8" t="s">
        <v>37</v>
      </c>
      <c r="M17" s="9">
        <f>ConfigAttrFashi!M17</f>
        <v>0</v>
      </c>
      <c r="N17" s="10">
        <v>640</v>
      </c>
    </row>
    <row r="18" ht="14" spans="1:14">
      <c r="A18" s="1">
        <v>16</v>
      </c>
      <c r="B18" s="6" t="s">
        <v>28</v>
      </c>
      <c r="C18" s="6">
        <f>ConfigAttrFashi!C18</f>
        <v>5</v>
      </c>
      <c r="D18" s="7" t="s">
        <v>29</v>
      </c>
      <c r="E18" s="7">
        <f t="shared" si="0"/>
        <v>4</v>
      </c>
      <c r="F18" s="7" t="s">
        <v>30</v>
      </c>
      <c r="G18" s="7"/>
      <c r="H18" s="7" t="s">
        <v>31</v>
      </c>
      <c r="I18" s="7"/>
      <c r="J18" s="8" t="s">
        <v>36</v>
      </c>
      <c r="K18" s="8">
        <v>0</v>
      </c>
      <c r="L18" s="8" t="s">
        <v>37</v>
      </c>
      <c r="M18" s="9">
        <f>ConfigAttrFashi!M18</f>
        <v>0</v>
      </c>
      <c r="N18" s="10">
        <v>780</v>
      </c>
    </row>
    <row r="19" ht="14" spans="1:14">
      <c r="A19" s="1">
        <v>17</v>
      </c>
      <c r="B19" s="6" t="s">
        <v>28</v>
      </c>
      <c r="C19" s="6">
        <f>ConfigAttrFashi!C19</f>
        <v>5</v>
      </c>
      <c r="D19" s="7" t="s">
        <v>29</v>
      </c>
      <c r="E19" s="7">
        <f t="shared" si="0"/>
        <v>4</v>
      </c>
      <c r="F19" s="7" t="s">
        <v>30</v>
      </c>
      <c r="G19" s="7"/>
      <c r="H19" s="7" t="s">
        <v>31</v>
      </c>
      <c r="I19" s="7"/>
      <c r="J19" s="8" t="s">
        <v>36</v>
      </c>
      <c r="K19" s="8">
        <v>0</v>
      </c>
      <c r="L19" s="8" t="s">
        <v>37</v>
      </c>
      <c r="M19" s="9">
        <f>ConfigAttrFashi!M19</f>
        <v>0</v>
      </c>
      <c r="N19" s="10">
        <v>950</v>
      </c>
    </row>
    <row r="20" ht="14" spans="1:14">
      <c r="A20" s="1">
        <v>18</v>
      </c>
      <c r="B20" s="6" t="s">
        <v>28</v>
      </c>
      <c r="C20" s="6">
        <f>ConfigAttrFashi!C20</f>
        <v>5</v>
      </c>
      <c r="D20" s="7" t="s">
        <v>29</v>
      </c>
      <c r="E20" s="7">
        <f t="shared" si="0"/>
        <v>4</v>
      </c>
      <c r="F20" s="7" t="s">
        <v>30</v>
      </c>
      <c r="G20" s="7"/>
      <c r="H20" s="7" t="s">
        <v>31</v>
      </c>
      <c r="I20" s="7"/>
      <c r="J20" s="8" t="s">
        <v>36</v>
      </c>
      <c r="K20" s="8">
        <v>0</v>
      </c>
      <c r="L20" s="8" t="s">
        <v>37</v>
      </c>
      <c r="M20" s="9">
        <f>ConfigAttrFashi!M20</f>
        <v>0</v>
      </c>
      <c r="N20" s="10">
        <v>1150</v>
      </c>
    </row>
    <row r="21" ht="14" spans="1:14">
      <c r="A21" s="1">
        <v>19</v>
      </c>
      <c r="B21" s="6" t="s">
        <v>28</v>
      </c>
      <c r="C21" s="6">
        <f>ConfigAttrFashi!C21</f>
        <v>5</v>
      </c>
      <c r="D21" s="7" t="s">
        <v>29</v>
      </c>
      <c r="E21" s="7">
        <f t="shared" si="0"/>
        <v>4</v>
      </c>
      <c r="F21" s="7" t="s">
        <v>30</v>
      </c>
      <c r="G21" s="7"/>
      <c r="H21" s="7" t="s">
        <v>31</v>
      </c>
      <c r="I21" s="7"/>
      <c r="J21" s="8" t="s">
        <v>36</v>
      </c>
      <c r="K21" s="8">
        <v>0</v>
      </c>
      <c r="L21" s="8" t="s">
        <v>37</v>
      </c>
      <c r="M21" s="9">
        <f>ConfigAttrFashi!M21</f>
        <v>0</v>
      </c>
      <c r="N21" s="10">
        <v>1380</v>
      </c>
    </row>
    <row r="22" ht="14" spans="1:14">
      <c r="A22" s="1">
        <v>20</v>
      </c>
      <c r="B22" s="6" t="s">
        <v>28</v>
      </c>
      <c r="C22" s="6">
        <f>ConfigAttrFashi!C22</f>
        <v>5</v>
      </c>
      <c r="D22" s="7" t="s">
        <v>29</v>
      </c>
      <c r="E22" s="7">
        <f t="shared" si="0"/>
        <v>4</v>
      </c>
      <c r="F22" s="7" t="s">
        <v>30</v>
      </c>
      <c r="G22" s="7"/>
      <c r="H22" s="7" t="s">
        <v>31</v>
      </c>
      <c r="I22" s="7"/>
      <c r="J22" s="8" t="s">
        <v>36</v>
      </c>
      <c r="K22" s="8">
        <v>0</v>
      </c>
      <c r="L22" s="8" t="s">
        <v>37</v>
      </c>
      <c r="M22" s="9">
        <f>ConfigAttrFashi!M22</f>
        <v>2</v>
      </c>
      <c r="N22" s="10">
        <v>1650</v>
      </c>
    </row>
    <row r="23" ht="14" spans="1:14">
      <c r="A23" s="1">
        <v>21</v>
      </c>
      <c r="B23" s="6" t="s">
        <v>28</v>
      </c>
      <c r="C23" s="6">
        <f>ConfigAttrFashi!C23</f>
        <v>7</v>
      </c>
      <c r="D23" s="7" t="s">
        <v>29</v>
      </c>
      <c r="E23" s="7">
        <f t="shared" si="0"/>
        <v>6</v>
      </c>
      <c r="F23" s="7" t="s">
        <v>30</v>
      </c>
      <c r="G23" s="7"/>
      <c r="H23" s="7" t="s">
        <v>31</v>
      </c>
      <c r="I23" s="7"/>
      <c r="J23" s="8" t="s">
        <v>36</v>
      </c>
      <c r="K23" s="8">
        <v>0</v>
      </c>
      <c r="L23" s="8" t="s">
        <v>37</v>
      </c>
      <c r="M23" s="9">
        <f>ConfigAttrFashi!M23</f>
        <v>0</v>
      </c>
      <c r="N23" s="10">
        <v>1950</v>
      </c>
    </row>
    <row r="24" ht="14" spans="1:14">
      <c r="A24" s="1">
        <v>22</v>
      </c>
      <c r="B24" s="6" t="s">
        <v>28</v>
      </c>
      <c r="C24" s="6">
        <f>ConfigAttrFashi!C24</f>
        <v>7</v>
      </c>
      <c r="D24" s="7" t="s">
        <v>29</v>
      </c>
      <c r="E24" s="7">
        <f t="shared" si="0"/>
        <v>6</v>
      </c>
      <c r="F24" s="7" t="s">
        <v>30</v>
      </c>
      <c r="G24" s="7"/>
      <c r="H24" s="7" t="s">
        <v>31</v>
      </c>
      <c r="I24" s="7"/>
      <c r="J24" s="8" t="s">
        <v>36</v>
      </c>
      <c r="K24" s="8">
        <v>0</v>
      </c>
      <c r="L24" s="8" t="s">
        <v>37</v>
      </c>
      <c r="M24" s="9">
        <f>ConfigAttrFashi!M24</f>
        <v>0</v>
      </c>
      <c r="N24" s="10">
        <v>2300</v>
      </c>
    </row>
    <row r="25" ht="14" spans="1:14">
      <c r="A25" s="1">
        <v>23</v>
      </c>
      <c r="B25" s="6" t="s">
        <v>28</v>
      </c>
      <c r="C25" s="6">
        <f>ConfigAttrFashi!C25</f>
        <v>7</v>
      </c>
      <c r="D25" s="7" t="s">
        <v>29</v>
      </c>
      <c r="E25" s="7">
        <f t="shared" si="0"/>
        <v>6</v>
      </c>
      <c r="F25" s="7" t="s">
        <v>30</v>
      </c>
      <c r="G25" s="7"/>
      <c r="H25" s="7" t="s">
        <v>31</v>
      </c>
      <c r="I25" s="7"/>
      <c r="J25" s="8" t="s">
        <v>36</v>
      </c>
      <c r="K25" s="8">
        <v>0</v>
      </c>
      <c r="L25" s="8" t="s">
        <v>37</v>
      </c>
      <c r="M25" s="9">
        <f>ConfigAttrFashi!M25</f>
        <v>0</v>
      </c>
      <c r="N25" s="10">
        <v>2700</v>
      </c>
    </row>
    <row r="26" ht="14" spans="1:14">
      <c r="A26" s="1">
        <v>24</v>
      </c>
      <c r="B26" s="6" t="s">
        <v>28</v>
      </c>
      <c r="C26" s="6">
        <f>ConfigAttrFashi!C26</f>
        <v>7</v>
      </c>
      <c r="D26" s="7" t="s">
        <v>29</v>
      </c>
      <c r="E26" s="7">
        <f t="shared" si="0"/>
        <v>6</v>
      </c>
      <c r="F26" s="7" t="s">
        <v>30</v>
      </c>
      <c r="G26" s="7"/>
      <c r="H26" s="7" t="s">
        <v>31</v>
      </c>
      <c r="I26" s="7"/>
      <c r="J26" s="8" t="s">
        <v>36</v>
      </c>
      <c r="K26" s="8">
        <v>0</v>
      </c>
      <c r="L26" s="8" t="s">
        <v>37</v>
      </c>
      <c r="M26" s="9">
        <f>ConfigAttrFashi!M26</f>
        <v>0</v>
      </c>
      <c r="N26" s="10">
        <v>3150</v>
      </c>
    </row>
    <row r="27" ht="14" spans="1:14">
      <c r="A27" s="1">
        <v>25</v>
      </c>
      <c r="B27" s="6" t="s">
        <v>28</v>
      </c>
      <c r="C27" s="6">
        <f>ConfigAttrFashi!C27</f>
        <v>7</v>
      </c>
      <c r="D27" s="7" t="s">
        <v>29</v>
      </c>
      <c r="E27" s="7">
        <f t="shared" si="0"/>
        <v>6</v>
      </c>
      <c r="F27" s="7" t="s">
        <v>30</v>
      </c>
      <c r="G27" s="7"/>
      <c r="H27" s="7" t="s">
        <v>31</v>
      </c>
      <c r="I27" s="7"/>
      <c r="J27" s="8" t="s">
        <v>36</v>
      </c>
      <c r="K27" s="8">
        <v>0</v>
      </c>
      <c r="L27" s="8" t="s">
        <v>37</v>
      </c>
      <c r="M27" s="9">
        <f>ConfigAttrFashi!M27</f>
        <v>2</v>
      </c>
      <c r="N27" s="10">
        <v>3650</v>
      </c>
    </row>
    <row r="28" ht="14" spans="1:14">
      <c r="A28" s="1">
        <v>26</v>
      </c>
      <c r="B28" s="6" t="s">
        <v>28</v>
      </c>
      <c r="C28" s="6">
        <f>ConfigAttrFashi!C28</f>
        <v>7</v>
      </c>
      <c r="D28" s="7" t="s">
        <v>29</v>
      </c>
      <c r="E28" s="7">
        <f t="shared" si="0"/>
        <v>6</v>
      </c>
      <c r="F28" s="7" t="s">
        <v>30</v>
      </c>
      <c r="G28" s="7"/>
      <c r="H28" s="7" t="s">
        <v>31</v>
      </c>
      <c r="I28" s="7"/>
      <c r="J28" s="8" t="s">
        <v>36</v>
      </c>
      <c r="K28" s="8">
        <v>0</v>
      </c>
      <c r="L28" s="8" t="s">
        <v>37</v>
      </c>
      <c r="M28" s="9">
        <f>ConfigAttrFashi!M28</f>
        <v>0</v>
      </c>
      <c r="N28" s="10">
        <v>4200</v>
      </c>
    </row>
    <row r="29" ht="14" spans="1:14">
      <c r="A29" s="1">
        <v>27</v>
      </c>
      <c r="B29" s="6" t="s">
        <v>28</v>
      </c>
      <c r="C29" s="6">
        <f>ConfigAttrFashi!C29</f>
        <v>7</v>
      </c>
      <c r="D29" s="7" t="s">
        <v>29</v>
      </c>
      <c r="E29" s="7">
        <f t="shared" si="0"/>
        <v>6</v>
      </c>
      <c r="F29" s="7" t="s">
        <v>30</v>
      </c>
      <c r="G29" s="7"/>
      <c r="H29" s="7" t="s">
        <v>31</v>
      </c>
      <c r="I29" s="7"/>
      <c r="J29" s="8" t="s">
        <v>36</v>
      </c>
      <c r="K29" s="8">
        <v>0</v>
      </c>
      <c r="L29" s="8" t="s">
        <v>37</v>
      </c>
      <c r="M29" s="9">
        <f>ConfigAttrFashi!M29</f>
        <v>0</v>
      </c>
      <c r="N29" s="10">
        <v>4800</v>
      </c>
    </row>
    <row r="30" ht="14" spans="1:14">
      <c r="A30" s="1">
        <v>28</v>
      </c>
      <c r="B30" s="6" t="s">
        <v>28</v>
      </c>
      <c r="C30" s="6">
        <f>ConfigAttrFashi!C30</f>
        <v>7</v>
      </c>
      <c r="D30" s="7" t="s">
        <v>29</v>
      </c>
      <c r="E30" s="7">
        <f t="shared" si="0"/>
        <v>6</v>
      </c>
      <c r="F30" s="7" t="s">
        <v>30</v>
      </c>
      <c r="G30" s="7"/>
      <c r="H30" s="7" t="s">
        <v>31</v>
      </c>
      <c r="I30" s="7"/>
      <c r="J30" s="8" t="s">
        <v>36</v>
      </c>
      <c r="K30" s="8">
        <v>0</v>
      </c>
      <c r="L30" s="8" t="s">
        <v>37</v>
      </c>
      <c r="M30" s="9">
        <f>ConfigAttrFashi!M30</f>
        <v>0</v>
      </c>
      <c r="N30" s="10">
        <v>5450</v>
      </c>
    </row>
    <row r="31" ht="14" spans="1:14">
      <c r="A31" s="1">
        <v>29</v>
      </c>
      <c r="B31" s="6" t="s">
        <v>28</v>
      </c>
      <c r="C31" s="6">
        <f>ConfigAttrFashi!C31</f>
        <v>7</v>
      </c>
      <c r="D31" s="7" t="s">
        <v>29</v>
      </c>
      <c r="E31" s="7">
        <f t="shared" si="0"/>
        <v>6</v>
      </c>
      <c r="F31" s="7" t="s">
        <v>30</v>
      </c>
      <c r="G31" s="7"/>
      <c r="H31" s="7" t="s">
        <v>31</v>
      </c>
      <c r="I31" s="7"/>
      <c r="J31" s="8" t="s">
        <v>36</v>
      </c>
      <c r="K31" s="8">
        <v>0</v>
      </c>
      <c r="L31" s="8" t="s">
        <v>37</v>
      </c>
      <c r="M31" s="9">
        <f>ConfigAttrFashi!M31</f>
        <v>0</v>
      </c>
      <c r="N31" s="10">
        <v>6150</v>
      </c>
    </row>
    <row r="32" ht="14" spans="1:14">
      <c r="A32" s="1">
        <v>30</v>
      </c>
      <c r="B32" s="6" t="s">
        <v>28</v>
      </c>
      <c r="C32" s="6">
        <f>ConfigAttrFashi!C32</f>
        <v>7</v>
      </c>
      <c r="D32" s="7" t="s">
        <v>29</v>
      </c>
      <c r="E32" s="7">
        <f t="shared" si="0"/>
        <v>6</v>
      </c>
      <c r="F32" s="7" t="s">
        <v>30</v>
      </c>
      <c r="G32" s="7"/>
      <c r="H32" s="7" t="s">
        <v>31</v>
      </c>
      <c r="I32" s="7"/>
      <c r="J32" s="8" t="s">
        <v>36</v>
      </c>
      <c r="K32" s="8">
        <v>0</v>
      </c>
      <c r="L32" s="8" t="s">
        <v>37</v>
      </c>
      <c r="M32" s="9">
        <f>ConfigAttrFashi!M32</f>
        <v>2</v>
      </c>
      <c r="N32" s="10">
        <v>7200</v>
      </c>
    </row>
    <row r="33" ht="14" spans="1:14">
      <c r="A33" s="1">
        <v>31</v>
      </c>
      <c r="B33" s="6" t="s">
        <v>28</v>
      </c>
      <c r="C33" s="6">
        <f>ConfigAttrFashi!C33</f>
        <v>11</v>
      </c>
      <c r="D33" s="7" t="s">
        <v>29</v>
      </c>
      <c r="E33" s="7">
        <f t="shared" si="0"/>
        <v>9</v>
      </c>
      <c r="F33" s="7" t="s">
        <v>30</v>
      </c>
      <c r="G33" s="7"/>
      <c r="H33" s="7" t="s">
        <v>31</v>
      </c>
      <c r="I33" s="7"/>
      <c r="J33" s="8" t="s">
        <v>36</v>
      </c>
      <c r="K33" s="8">
        <v>0</v>
      </c>
      <c r="L33" s="8" t="s">
        <v>37</v>
      </c>
      <c r="M33" s="9">
        <f>ConfigAttrFashi!M33</f>
        <v>0</v>
      </c>
      <c r="N33" s="10">
        <v>8500</v>
      </c>
    </row>
    <row r="34" ht="14" spans="1:14">
      <c r="A34" s="1">
        <v>32</v>
      </c>
      <c r="B34" s="6" t="s">
        <v>28</v>
      </c>
      <c r="C34" s="6">
        <f>ConfigAttrFashi!C34</f>
        <v>11</v>
      </c>
      <c r="D34" s="7" t="s">
        <v>29</v>
      </c>
      <c r="E34" s="7">
        <f t="shared" si="0"/>
        <v>9</v>
      </c>
      <c r="F34" s="7" t="s">
        <v>30</v>
      </c>
      <c r="G34" s="7"/>
      <c r="H34" s="7" t="s">
        <v>31</v>
      </c>
      <c r="I34" s="7"/>
      <c r="J34" s="8" t="s">
        <v>36</v>
      </c>
      <c r="K34" s="8">
        <v>0</v>
      </c>
      <c r="L34" s="8" t="s">
        <v>37</v>
      </c>
      <c r="M34" s="9">
        <f>ConfigAttrFashi!M34</f>
        <v>0</v>
      </c>
      <c r="N34" s="10">
        <v>10000</v>
      </c>
    </row>
    <row r="35" ht="14" spans="1:14">
      <c r="A35" s="1">
        <v>33</v>
      </c>
      <c r="B35" s="6" t="s">
        <v>28</v>
      </c>
      <c r="C35" s="6">
        <f>ConfigAttrFashi!C35</f>
        <v>11</v>
      </c>
      <c r="D35" s="7" t="s">
        <v>29</v>
      </c>
      <c r="E35" s="7">
        <f t="shared" si="0"/>
        <v>9</v>
      </c>
      <c r="F35" s="7" t="s">
        <v>30</v>
      </c>
      <c r="G35" s="7"/>
      <c r="H35" s="7" t="s">
        <v>31</v>
      </c>
      <c r="I35" s="7"/>
      <c r="J35" s="8" t="s">
        <v>36</v>
      </c>
      <c r="K35" s="8">
        <v>0</v>
      </c>
      <c r="L35" s="8" t="s">
        <v>37</v>
      </c>
      <c r="M35" s="9">
        <f>ConfigAttrFashi!M35</f>
        <v>0</v>
      </c>
      <c r="N35" s="10">
        <v>11800</v>
      </c>
    </row>
    <row r="36" ht="14" spans="1:14">
      <c r="A36" s="1">
        <v>34</v>
      </c>
      <c r="B36" s="6" t="s">
        <v>28</v>
      </c>
      <c r="C36" s="6">
        <f>ConfigAttrFashi!C36</f>
        <v>11</v>
      </c>
      <c r="D36" s="7" t="s">
        <v>29</v>
      </c>
      <c r="E36" s="7">
        <f t="shared" ref="E36:E67" si="1">ROUND(C36*0.8,0)</f>
        <v>9</v>
      </c>
      <c r="F36" s="7" t="s">
        <v>30</v>
      </c>
      <c r="G36" s="7"/>
      <c r="H36" s="7" t="s">
        <v>31</v>
      </c>
      <c r="I36" s="7"/>
      <c r="J36" s="8" t="s">
        <v>36</v>
      </c>
      <c r="K36" s="8">
        <v>0</v>
      </c>
      <c r="L36" s="8" t="s">
        <v>37</v>
      </c>
      <c r="M36" s="9">
        <f>ConfigAttrFashi!M36</f>
        <v>0</v>
      </c>
      <c r="N36" s="10">
        <v>13800</v>
      </c>
    </row>
    <row r="37" ht="14" spans="1:14">
      <c r="A37" s="1">
        <v>35</v>
      </c>
      <c r="B37" s="6" t="s">
        <v>28</v>
      </c>
      <c r="C37" s="6">
        <f>ConfigAttrFashi!C37</f>
        <v>11</v>
      </c>
      <c r="D37" s="7" t="s">
        <v>29</v>
      </c>
      <c r="E37" s="7">
        <f t="shared" si="1"/>
        <v>9</v>
      </c>
      <c r="F37" s="7" t="s">
        <v>30</v>
      </c>
      <c r="G37" s="7"/>
      <c r="H37" s="7" t="s">
        <v>31</v>
      </c>
      <c r="I37" s="7"/>
      <c r="J37" s="8" t="s">
        <v>36</v>
      </c>
      <c r="K37" s="8">
        <v>0</v>
      </c>
      <c r="L37" s="8" t="s">
        <v>37</v>
      </c>
      <c r="M37" s="9">
        <f>ConfigAttrFashi!M37</f>
        <v>2</v>
      </c>
      <c r="N37" s="10">
        <v>16200</v>
      </c>
    </row>
    <row r="38" ht="14" spans="1:14">
      <c r="A38" s="1">
        <v>36</v>
      </c>
      <c r="B38" s="6" t="s">
        <v>28</v>
      </c>
      <c r="C38" s="6">
        <f>ConfigAttrFashi!C38</f>
        <v>11</v>
      </c>
      <c r="D38" s="7" t="s">
        <v>29</v>
      </c>
      <c r="E38" s="7">
        <f t="shared" si="1"/>
        <v>9</v>
      </c>
      <c r="F38" s="7" t="s">
        <v>30</v>
      </c>
      <c r="G38" s="7"/>
      <c r="H38" s="7" t="s">
        <v>31</v>
      </c>
      <c r="I38" s="7"/>
      <c r="J38" s="8" t="s">
        <v>36</v>
      </c>
      <c r="K38" s="8">
        <v>0</v>
      </c>
      <c r="L38" s="8" t="s">
        <v>37</v>
      </c>
      <c r="M38" s="9">
        <f>ConfigAttrFashi!M38</f>
        <v>0</v>
      </c>
      <c r="N38" s="10">
        <v>19000</v>
      </c>
    </row>
    <row r="39" ht="14" spans="1:14">
      <c r="A39" s="1">
        <v>37</v>
      </c>
      <c r="B39" s="6" t="s">
        <v>28</v>
      </c>
      <c r="C39" s="6">
        <f>ConfigAttrFashi!C39</f>
        <v>11</v>
      </c>
      <c r="D39" s="7" t="s">
        <v>29</v>
      </c>
      <c r="E39" s="7">
        <f t="shared" si="1"/>
        <v>9</v>
      </c>
      <c r="F39" s="7" t="s">
        <v>30</v>
      </c>
      <c r="G39" s="7"/>
      <c r="H39" s="7" t="s">
        <v>31</v>
      </c>
      <c r="I39" s="7"/>
      <c r="J39" s="8" t="s">
        <v>36</v>
      </c>
      <c r="K39" s="8">
        <v>0</v>
      </c>
      <c r="L39" s="8" t="s">
        <v>37</v>
      </c>
      <c r="M39" s="9">
        <f>ConfigAttrFashi!M39</f>
        <v>0</v>
      </c>
      <c r="N39" s="10">
        <v>22200</v>
      </c>
    </row>
    <row r="40" ht="14" spans="1:14">
      <c r="A40" s="1">
        <v>38</v>
      </c>
      <c r="B40" s="6" t="s">
        <v>28</v>
      </c>
      <c r="C40" s="6">
        <f>ConfigAttrFashi!C40</f>
        <v>11</v>
      </c>
      <c r="D40" s="7" t="s">
        <v>29</v>
      </c>
      <c r="E40" s="7">
        <f t="shared" si="1"/>
        <v>9</v>
      </c>
      <c r="F40" s="7" t="s">
        <v>30</v>
      </c>
      <c r="G40" s="7"/>
      <c r="H40" s="7" t="s">
        <v>31</v>
      </c>
      <c r="I40" s="7"/>
      <c r="J40" s="8" t="s">
        <v>36</v>
      </c>
      <c r="K40" s="8">
        <v>0</v>
      </c>
      <c r="L40" s="8" t="s">
        <v>37</v>
      </c>
      <c r="M40" s="9">
        <f>ConfigAttrFashi!M40</f>
        <v>0</v>
      </c>
      <c r="N40" s="10">
        <v>26000</v>
      </c>
    </row>
    <row r="41" ht="14" spans="1:14">
      <c r="A41" s="1">
        <v>39</v>
      </c>
      <c r="B41" s="6" t="s">
        <v>28</v>
      </c>
      <c r="C41" s="6">
        <f>ConfigAttrFashi!C41</f>
        <v>11</v>
      </c>
      <c r="D41" s="7" t="s">
        <v>29</v>
      </c>
      <c r="E41" s="7">
        <f t="shared" si="1"/>
        <v>9</v>
      </c>
      <c r="F41" s="7" t="s">
        <v>30</v>
      </c>
      <c r="G41" s="7"/>
      <c r="H41" s="7" t="s">
        <v>31</v>
      </c>
      <c r="I41" s="7"/>
      <c r="J41" s="8" t="s">
        <v>36</v>
      </c>
      <c r="K41" s="8">
        <v>0</v>
      </c>
      <c r="L41" s="8" t="s">
        <v>37</v>
      </c>
      <c r="M41" s="9">
        <f>ConfigAttrFashi!M41</f>
        <v>0</v>
      </c>
      <c r="N41" s="10">
        <v>30500</v>
      </c>
    </row>
    <row r="42" ht="14" spans="1:14">
      <c r="A42" s="1">
        <v>40</v>
      </c>
      <c r="B42" s="6" t="s">
        <v>28</v>
      </c>
      <c r="C42" s="6">
        <f>ConfigAttrFashi!C42</f>
        <v>11</v>
      </c>
      <c r="D42" s="7" t="s">
        <v>29</v>
      </c>
      <c r="E42" s="7">
        <f t="shared" si="1"/>
        <v>9</v>
      </c>
      <c r="F42" s="7" t="s">
        <v>30</v>
      </c>
      <c r="G42" s="7"/>
      <c r="H42" s="7" t="s">
        <v>31</v>
      </c>
      <c r="I42" s="7"/>
      <c r="J42" s="8" t="s">
        <v>36</v>
      </c>
      <c r="K42" s="8">
        <v>0</v>
      </c>
      <c r="L42" s="8" t="s">
        <v>37</v>
      </c>
      <c r="M42" s="9">
        <f>ConfigAttrFashi!M42</f>
        <v>2</v>
      </c>
      <c r="N42" s="10">
        <v>36000</v>
      </c>
    </row>
    <row r="43" ht="14" spans="1:14">
      <c r="A43" s="1">
        <v>41</v>
      </c>
      <c r="B43" s="6" t="s">
        <v>28</v>
      </c>
      <c r="C43" s="6">
        <f>ConfigAttrFashi!C43</f>
        <v>16</v>
      </c>
      <c r="D43" s="7" t="s">
        <v>29</v>
      </c>
      <c r="E43" s="7">
        <f t="shared" si="1"/>
        <v>13</v>
      </c>
      <c r="F43" s="7" t="s">
        <v>30</v>
      </c>
      <c r="G43" s="7"/>
      <c r="H43" s="7" t="s">
        <v>31</v>
      </c>
      <c r="I43" s="7"/>
      <c r="J43" s="8" t="s">
        <v>36</v>
      </c>
      <c r="K43" s="8">
        <v>0</v>
      </c>
      <c r="L43" s="8" t="s">
        <v>37</v>
      </c>
      <c r="M43" s="9">
        <f>ConfigAttrFashi!M43</f>
        <v>0</v>
      </c>
      <c r="N43" s="10">
        <v>42000</v>
      </c>
    </row>
    <row r="44" ht="14" spans="1:14">
      <c r="A44" s="1">
        <v>42</v>
      </c>
      <c r="B44" s="6" t="s">
        <v>28</v>
      </c>
      <c r="C44" s="6">
        <f>ConfigAttrFashi!C44</f>
        <v>16</v>
      </c>
      <c r="D44" s="7" t="s">
        <v>29</v>
      </c>
      <c r="E44" s="7">
        <f t="shared" si="1"/>
        <v>13</v>
      </c>
      <c r="F44" s="7" t="s">
        <v>30</v>
      </c>
      <c r="G44" s="7"/>
      <c r="H44" s="7" t="s">
        <v>31</v>
      </c>
      <c r="I44" s="7"/>
      <c r="J44" s="8" t="s">
        <v>36</v>
      </c>
      <c r="K44" s="8">
        <v>0</v>
      </c>
      <c r="L44" s="8" t="s">
        <v>37</v>
      </c>
      <c r="M44" s="9">
        <f>ConfigAttrFashi!M44</f>
        <v>0</v>
      </c>
      <c r="N44" s="10">
        <v>49000</v>
      </c>
    </row>
    <row r="45" ht="14" spans="1:14">
      <c r="A45" s="1">
        <v>43</v>
      </c>
      <c r="B45" s="6" t="s">
        <v>28</v>
      </c>
      <c r="C45" s="6">
        <f>ConfigAttrFashi!C45</f>
        <v>16</v>
      </c>
      <c r="D45" s="7" t="s">
        <v>29</v>
      </c>
      <c r="E45" s="7">
        <f t="shared" si="1"/>
        <v>13</v>
      </c>
      <c r="F45" s="7" t="s">
        <v>30</v>
      </c>
      <c r="G45" s="7"/>
      <c r="H45" s="7" t="s">
        <v>31</v>
      </c>
      <c r="I45" s="7"/>
      <c r="J45" s="8" t="s">
        <v>36</v>
      </c>
      <c r="K45" s="8">
        <v>0</v>
      </c>
      <c r="L45" s="8" t="s">
        <v>37</v>
      </c>
      <c r="M45" s="9">
        <f>ConfigAttrFashi!M45</f>
        <v>0</v>
      </c>
      <c r="N45" s="10">
        <v>57000</v>
      </c>
    </row>
    <row r="46" ht="14" spans="1:14">
      <c r="A46" s="1">
        <v>44</v>
      </c>
      <c r="B46" s="6" t="s">
        <v>28</v>
      </c>
      <c r="C46" s="6">
        <f>ConfigAttrFashi!C46</f>
        <v>16</v>
      </c>
      <c r="D46" s="7" t="s">
        <v>29</v>
      </c>
      <c r="E46" s="7">
        <f t="shared" si="1"/>
        <v>13</v>
      </c>
      <c r="F46" s="7" t="s">
        <v>30</v>
      </c>
      <c r="G46" s="7"/>
      <c r="H46" s="7" t="s">
        <v>31</v>
      </c>
      <c r="I46" s="7"/>
      <c r="J46" s="8" t="s">
        <v>36</v>
      </c>
      <c r="K46" s="8">
        <v>0</v>
      </c>
      <c r="L46" s="8" t="s">
        <v>37</v>
      </c>
      <c r="M46" s="9">
        <f>ConfigAttrFashi!M46</f>
        <v>0</v>
      </c>
      <c r="N46" s="10">
        <v>66500</v>
      </c>
    </row>
    <row r="47" ht="14" spans="1:14">
      <c r="A47" s="1">
        <v>45</v>
      </c>
      <c r="B47" s="6" t="s">
        <v>28</v>
      </c>
      <c r="C47" s="6">
        <f>ConfigAttrFashi!C47</f>
        <v>16</v>
      </c>
      <c r="D47" s="7" t="s">
        <v>29</v>
      </c>
      <c r="E47" s="7">
        <f t="shared" si="1"/>
        <v>13</v>
      </c>
      <c r="F47" s="7" t="s">
        <v>30</v>
      </c>
      <c r="G47" s="7"/>
      <c r="H47" s="7" t="s">
        <v>31</v>
      </c>
      <c r="I47" s="7"/>
      <c r="J47" s="8" t="s">
        <v>36</v>
      </c>
      <c r="K47" s="8">
        <v>0</v>
      </c>
      <c r="L47" s="8" t="s">
        <v>37</v>
      </c>
      <c r="M47" s="9">
        <f>ConfigAttrFashi!M47</f>
        <v>2</v>
      </c>
      <c r="N47" s="10">
        <v>77500</v>
      </c>
    </row>
    <row r="48" ht="14" spans="1:14">
      <c r="A48" s="1">
        <v>46</v>
      </c>
      <c r="B48" s="6" t="s">
        <v>28</v>
      </c>
      <c r="C48" s="6">
        <f>ConfigAttrFashi!C48</f>
        <v>16</v>
      </c>
      <c r="D48" s="7" t="s">
        <v>29</v>
      </c>
      <c r="E48" s="7">
        <f t="shared" si="1"/>
        <v>13</v>
      </c>
      <c r="F48" s="7" t="s">
        <v>30</v>
      </c>
      <c r="G48" s="7"/>
      <c r="H48" s="7" t="s">
        <v>31</v>
      </c>
      <c r="I48" s="7"/>
      <c r="J48" s="8" t="s">
        <v>36</v>
      </c>
      <c r="K48" s="8">
        <v>0</v>
      </c>
      <c r="L48" s="8" t="s">
        <v>37</v>
      </c>
      <c r="M48" s="9">
        <f>ConfigAttrFashi!M48</f>
        <v>0</v>
      </c>
      <c r="N48" s="10">
        <v>90000</v>
      </c>
    </row>
    <row r="49" ht="14" spans="1:14">
      <c r="A49" s="1">
        <v>47</v>
      </c>
      <c r="B49" s="6" t="s">
        <v>28</v>
      </c>
      <c r="C49" s="6">
        <f>ConfigAttrFashi!C49</f>
        <v>16</v>
      </c>
      <c r="D49" s="7" t="s">
        <v>29</v>
      </c>
      <c r="E49" s="7">
        <f t="shared" si="1"/>
        <v>13</v>
      </c>
      <c r="F49" s="7" t="s">
        <v>30</v>
      </c>
      <c r="G49" s="7"/>
      <c r="H49" s="7" t="s">
        <v>31</v>
      </c>
      <c r="I49" s="7"/>
      <c r="J49" s="8" t="s">
        <v>36</v>
      </c>
      <c r="K49" s="8">
        <v>0</v>
      </c>
      <c r="L49" s="8" t="s">
        <v>37</v>
      </c>
      <c r="M49" s="9">
        <f>ConfigAttrFashi!M49</f>
        <v>0</v>
      </c>
      <c r="N49" s="10">
        <v>104000</v>
      </c>
    </row>
    <row r="50" ht="14" spans="1:14">
      <c r="A50" s="1">
        <v>48</v>
      </c>
      <c r="B50" s="6" t="s">
        <v>28</v>
      </c>
      <c r="C50" s="6">
        <f>ConfigAttrFashi!C50</f>
        <v>16</v>
      </c>
      <c r="D50" s="7" t="s">
        <v>29</v>
      </c>
      <c r="E50" s="7">
        <f t="shared" si="1"/>
        <v>13</v>
      </c>
      <c r="F50" s="7" t="s">
        <v>30</v>
      </c>
      <c r="G50" s="7"/>
      <c r="H50" s="7" t="s">
        <v>31</v>
      </c>
      <c r="I50" s="7"/>
      <c r="J50" s="8" t="s">
        <v>36</v>
      </c>
      <c r="K50" s="8">
        <v>0</v>
      </c>
      <c r="L50" s="8" t="s">
        <v>37</v>
      </c>
      <c r="M50" s="9">
        <f>ConfigAttrFashi!M50</f>
        <v>0</v>
      </c>
      <c r="N50" s="10">
        <v>120000</v>
      </c>
    </row>
    <row r="51" ht="14" spans="1:14">
      <c r="A51" s="1">
        <v>49</v>
      </c>
      <c r="B51" s="6" t="s">
        <v>28</v>
      </c>
      <c r="C51" s="6">
        <f>ConfigAttrFashi!C51</f>
        <v>16</v>
      </c>
      <c r="D51" s="7" t="s">
        <v>29</v>
      </c>
      <c r="E51" s="7">
        <f t="shared" si="1"/>
        <v>13</v>
      </c>
      <c r="F51" s="7" t="s">
        <v>30</v>
      </c>
      <c r="G51" s="7"/>
      <c r="H51" s="7" t="s">
        <v>31</v>
      </c>
      <c r="I51" s="7"/>
      <c r="J51" s="8" t="s">
        <v>36</v>
      </c>
      <c r="K51" s="8">
        <v>0</v>
      </c>
      <c r="L51" s="8" t="s">
        <v>37</v>
      </c>
      <c r="M51" s="9">
        <f>ConfigAttrFashi!M51</f>
        <v>0</v>
      </c>
      <c r="N51" s="10">
        <v>138000</v>
      </c>
    </row>
    <row r="52" ht="14" spans="1:14">
      <c r="A52" s="1">
        <v>50</v>
      </c>
      <c r="B52" s="6" t="s">
        <v>28</v>
      </c>
      <c r="C52" s="6">
        <f>ConfigAttrFashi!C52</f>
        <v>16</v>
      </c>
      <c r="D52" s="7" t="s">
        <v>29</v>
      </c>
      <c r="E52" s="7">
        <f t="shared" si="1"/>
        <v>13</v>
      </c>
      <c r="F52" s="7" t="s">
        <v>30</v>
      </c>
      <c r="G52" s="7"/>
      <c r="H52" s="7" t="s">
        <v>31</v>
      </c>
      <c r="I52" s="7"/>
      <c r="J52" s="8" t="s">
        <v>36</v>
      </c>
      <c r="K52" s="8">
        <v>0</v>
      </c>
      <c r="L52" s="8" t="s">
        <v>37</v>
      </c>
      <c r="M52" s="9">
        <f>ConfigAttrFashi!M52</f>
        <v>2</v>
      </c>
      <c r="N52" s="10">
        <v>158000</v>
      </c>
    </row>
    <row r="53" ht="14" spans="1:14">
      <c r="A53" s="1">
        <v>51</v>
      </c>
      <c r="B53" s="6" t="s">
        <v>28</v>
      </c>
      <c r="C53" s="6">
        <f>ConfigAttrFashi!C53</f>
        <v>27</v>
      </c>
      <c r="D53" s="7" t="s">
        <v>29</v>
      </c>
      <c r="E53" s="7">
        <f t="shared" si="1"/>
        <v>22</v>
      </c>
      <c r="F53" s="7" t="s">
        <v>30</v>
      </c>
      <c r="G53" s="7"/>
      <c r="H53" s="7" t="s">
        <v>31</v>
      </c>
      <c r="I53" s="7"/>
      <c r="J53" s="8" t="s">
        <v>36</v>
      </c>
      <c r="K53" s="8">
        <v>0</v>
      </c>
      <c r="L53" s="8" t="s">
        <v>37</v>
      </c>
      <c r="M53" s="9">
        <f>ConfigAttrFashi!M53</f>
        <v>0</v>
      </c>
      <c r="N53" s="10">
        <v>180000</v>
      </c>
    </row>
    <row r="54" ht="14" spans="1:14">
      <c r="A54" s="1">
        <v>52</v>
      </c>
      <c r="B54" s="6" t="s">
        <v>28</v>
      </c>
      <c r="C54" s="6">
        <f>ConfigAttrFashi!C54</f>
        <v>27</v>
      </c>
      <c r="D54" s="7" t="s">
        <v>29</v>
      </c>
      <c r="E54" s="7">
        <f t="shared" si="1"/>
        <v>22</v>
      </c>
      <c r="F54" s="7" t="s">
        <v>30</v>
      </c>
      <c r="G54" s="7"/>
      <c r="H54" s="7" t="s">
        <v>31</v>
      </c>
      <c r="I54" s="7"/>
      <c r="J54" s="8" t="s">
        <v>36</v>
      </c>
      <c r="K54" s="8">
        <v>0</v>
      </c>
      <c r="L54" s="8" t="s">
        <v>37</v>
      </c>
      <c r="M54" s="9">
        <f>ConfigAttrFashi!M54</f>
        <v>0</v>
      </c>
      <c r="N54" s="10">
        <v>205000</v>
      </c>
    </row>
    <row r="55" ht="14" spans="1:14">
      <c r="A55" s="1">
        <v>53</v>
      </c>
      <c r="B55" s="6" t="s">
        <v>28</v>
      </c>
      <c r="C55" s="6">
        <f>ConfigAttrFashi!C55</f>
        <v>27</v>
      </c>
      <c r="D55" s="7" t="s">
        <v>29</v>
      </c>
      <c r="E55" s="7">
        <f t="shared" si="1"/>
        <v>22</v>
      </c>
      <c r="F55" s="7" t="s">
        <v>30</v>
      </c>
      <c r="G55" s="7"/>
      <c r="H55" s="7" t="s">
        <v>31</v>
      </c>
      <c r="I55" s="7"/>
      <c r="J55" s="8" t="s">
        <v>36</v>
      </c>
      <c r="K55" s="8">
        <v>0</v>
      </c>
      <c r="L55" s="8" t="s">
        <v>37</v>
      </c>
      <c r="M55" s="9">
        <f>ConfigAttrFashi!M55</f>
        <v>0</v>
      </c>
      <c r="N55" s="10">
        <v>233000</v>
      </c>
    </row>
    <row r="56" ht="14" spans="1:14">
      <c r="A56" s="1">
        <v>54</v>
      </c>
      <c r="B56" s="6" t="s">
        <v>28</v>
      </c>
      <c r="C56" s="6">
        <f>ConfigAttrFashi!C56</f>
        <v>27</v>
      </c>
      <c r="D56" s="7" t="s">
        <v>29</v>
      </c>
      <c r="E56" s="7">
        <f t="shared" si="1"/>
        <v>22</v>
      </c>
      <c r="F56" s="7" t="s">
        <v>30</v>
      </c>
      <c r="G56" s="7"/>
      <c r="H56" s="7" t="s">
        <v>31</v>
      </c>
      <c r="I56" s="7"/>
      <c r="J56" s="8" t="s">
        <v>36</v>
      </c>
      <c r="K56" s="8">
        <v>0</v>
      </c>
      <c r="L56" s="8" t="s">
        <v>37</v>
      </c>
      <c r="M56" s="9">
        <f>ConfigAttrFashi!M56</f>
        <v>0</v>
      </c>
      <c r="N56" s="10">
        <v>265000</v>
      </c>
    </row>
    <row r="57" ht="14" spans="1:14">
      <c r="A57" s="1">
        <v>55</v>
      </c>
      <c r="B57" s="6" t="s">
        <v>28</v>
      </c>
      <c r="C57" s="6">
        <f>ConfigAttrFashi!C57</f>
        <v>27</v>
      </c>
      <c r="D57" s="7" t="s">
        <v>29</v>
      </c>
      <c r="E57" s="7">
        <f t="shared" si="1"/>
        <v>22</v>
      </c>
      <c r="F57" s="7" t="s">
        <v>30</v>
      </c>
      <c r="G57" s="7"/>
      <c r="H57" s="7" t="s">
        <v>31</v>
      </c>
      <c r="I57" s="7"/>
      <c r="J57" s="8" t="s">
        <v>36</v>
      </c>
      <c r="K57" s="8">
        <v>0</v>
      </c>
      <c r="L57" s="8" t="s">
        <v>37</v>
      </c>
      <c r="M57" s="9">
        <f>ConfigAttrFashi!M57</f>
        <v>0</v>
      </c>
      <c r="N57" s="10">
        <v>300000</v>
      </c>
    </row>
    <row r="58" ht="14" spans="1:14">
      <c r="A58" s="1">
        <v>56</v>
      </c>
      <c r="B58" s="6" t="s">
        <v>28</v>
      </c>
      <c r="C58" s="6">
        <f>ConfigAttrFashi!C58</f>
        <v>27</v>
      </c>
      <c r="D58" s="7" t="s">
        <v>29</v>
      </c>
      <c r="E58" s="7">
        <f t="shared" si="1"/>
        <v>22</v>
      </c>
      <c r="F58" s="7" t="s">
        <v>30</v>
      </c>
      <c r="G58" s="7"/>
      <c r="H58" s="7" t="s">
        <v>31</v>
      </c>
      <c r="I58" s="7"/>
      <c r="J58" s="8" t="s">
        <v>36</v>
      </c>
      <c r="K58" s="8">
        <v>0</v>
      </c>
      <c r="L58" s="8" t="s">
        <v>37</v>
      </c>
      <c r="M58" s="9">
        <f>ConfigAttrFashi!M58</f>
        <v>0</v>
      </c>
      <c r="N58" s="10">
        <v>340000</v>
      </c>
    </row>
    <row r="59" ht="14" spans="1:14">
      <c r="A59" s="1">
        <v>57</v>
      </c>
      <c r="B59" s="6" t="s">
        <v>28</v>
      </c>
      <c r="C59" s="6">
        <f>ConfigAttrFashi!C59</f>
        <v>27</v>
      </c>
      <c r="D59" s="7" t="s">
        <v>29</v>
      </c>
      <c r="E59" s="7">
        <f t="shared" si="1"/>
        <v>22</v>
      </c>
      <c r="F59" s="7" t="s">
        <v>30</v>
      </c>
      <c r="G59" s="7"/>
      <c r="H59" s="7" t="s">
        <v>31</v>
      </c>
      <c r="I59" s="7"/>
      <c r="J59" s="8" t="s">
        <v>36</v>
      </c>
      <c r="K59" s="8">
        <v>0</v>
      </c>
      <c r="L59" s="8" t="s">
        <v>37</v>
      </c>
      <c r="M59" s="9">
        <f>ConfigAttrFashi!M59</f>
        <v>0</v>
      </c>
      <c r="N59" s="10">
        <v>385000</v>
      </c>
    </row>
    <row r="60" ht="14" spans="1:14">
      <c r="A60" s="1">
        <v>58</v>
      </c>
      <c r="B60" s="6" t="s">
        <v>28</v>
      </c>
      <c r="C60" s="6">
        <f>ConfigAttrFashi!C60</f>
        <v>27</v>
      </c>
      <c r="D60" s="7" t="s">
        <v>29</v>
      </c>
      <c r="E60" s="7">
        <f t="shared" si="1"/>
        <v>22</v>
      </c>
      <c r="F60" s="7" t="s">
        <v>30</v>
      </c>
      <c r="G60" s="7"/>
      <c r="H60" s="7" t="s">
        <v>31</v>
      </c>
      <c r="I60" s="7"/>
      <c r="J60" s="8" t="s">
        <v>36</v>
      </c>
      <c r="K60" s="8">
        <v>0</v>
      </c>
      <c r="L60" s="8" t="s">
        <v>37</v>
      </c>
      <c r="M60" s="9">
        <f>ConfigAttrFashi!M60</f>
        <v>0</v>
      </c>
      <c r="N60" s="10">
        <v>435000</v>
      </c>
    </row>
    <row r="61" ht="14" spans="1:14">
      <c r="A61" s="1">
        <v>59</v>
      </c>
      <c r="B61" s="6" t="s">
        <v>28</v>
      </c>
      <c r="C61" s="6">
        <f>ConfigAttrFashi!C61</f>
        <v>27</v>
      </c>
      <c r="D61" s="7" t="s">
        <v>29</v>
      </c>
      <c r="E61" s="7">
        <f t="shared" si="1"/>
        <v>22</v>
      </c>
      <c r="F61" s="7" t="s">
        <v>30</v>
      </c>
      <c r="G61" s="7"/>
      <c r="H61" s="7" t="s">
        <v>31</v>
      </c>
      <c r="I61" s="7"/>
      <c r="J61" s="8" t="s">
        <v>36</v>
      </c>
      <c r="K61" s="8">
        <v>0</v>
      </c>
      <c r="L61" s="8" t="s">
        <v>37</v>
      </c>
      <c r="M61" s="9">
        <f>ConfigAttrFashi!M61</f>
        <v>0</v>
      </c>
      <c r="N61" s="10">
        <v>490000</v>
      </c>
    </row>
    <row r="62" ht="14" spans="1:14">
      <c r="A62" s="1">
        <v>60</v>
      </c>
      <c r="B62" s="6" t="s">
        <v>28</v>
      </c>
      <c r="C62" s="6">
        <f>ConfigAttrFashi!C62</f>
        <v>27</v>
      </c>
      <c r="D62" s="7" t="s">
        <v>29</v>
      </c>
      <c r="E62" s="7">
        <f t="shared" si="1"/>
        <v>22</v>
      </c>
      <c r="F62" s="7" t="s">
        <v>30</v>
      </c>
      <c r="G62" s="7"/>
      <c r="H62" s="7" t="s">
        <v>31</v>
      </c>
      <c r="I62" s="7"/>
      <c r="J62" s="8" t="s">
        <v>36</v>
      </c>
      <c r="K62" s="8">
        <v>0</v>
      </c>
      <c r="L62" s="8" t="s">
        <v>37</v>
      </c>
      <c r="M62" s="9">
        <f>ConfigAttrFashi!M62</f>
        <v>0</v>
      </c>
      <c r="N62" s="10">
        <v>550000</v>
      </c>
    </row>
    <row r="63" ht="14" spans="1:14">
      <c r="A63" s="1">
        <v>61</v>
      </c>
      <c r="B63" s="6" t="s">
        <v>28</v>
      </c>
      <c r="C63" s="6">
        <f>ConfigAttrFashi!C63</f>
        <v>40</v>
      </c>
      <c r="D63" s="7" t="s">
        <v>29</v>
      </c>
      <c r="E63" s="7">
        <f t="shared" si="1"/>
        <v>32</v>
      </c>
      <c r="F63" s="7" t="s">
        <v>30</v>
      </c>
      <c r="G63" s="7"/>
      <c r="H63" s="7" t="s">
        <v>31</v>
      </c>
      <c r="I63" s="7"/>
      <c r="J63" s="8" t="s">
        <v>36</v>
      </c>
      <c r="K63" s="8">
        <v>0</v>
      </c>
      <c r="L63" s="8" t="s">
        <v>37</v>
      </c>
      <c r="M63" s="9">
        <f>ConfigAttrFashi!M63</f>
        <v>0</v>
      </c>
      <c r="N63" s="11">
        <v>720000</v>
      </c>
    </row>
    <row r="64" ht="14" spans="1:14">
      <c r="A64" s="1">
        <v>62</v>
      </c>
      <c r="B64" s="6" t="s">
        <v>28</v>
      </c>
      <c r="C64" s="6">
        <f>ConfigAttrFashi!C64</f>
        <v>40</v>
      </c>
      <c r="D64" s="7" t="s">
        <v>29</v>
      </c>
      <c r="E64" s="7">
        <f t="shared" si="1"/>
        <v>32</v>
      </c>
      <c r="F64" s="7" t="s">
        <v>30</v>
      </c>
      <c r="G64" s="7"/>
      <c r="H64" s="7" t="s">
        <v>31</v>
      </c>
      <c r="I64" s="7"/>
      <c r="J64" s="8" t="s">
        <v>36</v>
      </c>
      <c r="K64" s="8">
        <v>0</v>
      </c>
      <c r="L64" s="8" t="s">
        <v>37</v>
      </c>
      <c r="M64" s="9">
        <f>ConfigAttrFashi!M64</f>
        <v>0</v>
      </c>
      <c r="N64" s="11">
        <v>720000</v>
      </c>
    </row>
    <row r="65" ht="14" spans="1:14">
      <c r="A65" s="1">
        <v>63</v>
      </c>
      <c r="B65" s="6" t="s">
        <v>28</v>
      </c>
      <c r="C65" s="6">
        <f>ConfigAttrFashi!C65</f>
        <v>40</v>
      </c>
      <c r="D65" s="7" t="s">
        <v>29</v>
      </c>
      <c r="E65" s="7">
        <f t="shared" si="1"/>
        <v>32</v>
      </c>
      <c r="F65" s="7" t="s">
        <v>30</v>
      </c>
      <c r="G65" s="7"/>
      <c r="H65" s="7" t="s">
        <v>31</v>
      </c>
      <c r="I65" s="7"/>
      <c r="J65" s="8" t="s">
        <v>36</v>
      </c>
      <c r="K65" s="8">
        <v>0</v>
      </c>
      <c r="L65" s="8" t="s">
        <v>37</v>
      </c>
      <c r="M65" s="9">
        <f>ConfigAttrFashi!M65</f>
        <v>0</v>
      </c>
      <c r="N65" s="11">
        <v>720000</v>
      </c>
    </row>
    <row r="66" ht="14" spans="1:14">
      <c r="A66" s="1">
        <v>64</v>
      </c>
      <c r="B66" s="6" t="s">
        <v>28</v>
      </c>
      <c r="C66" s="6">
        <f>ConfigAttrFashi!C66</f>
        <v>40</v>
      </c>
      <c r="D66" s="7" t="s">
        <v>29</v>
      </c>
      <c r="E66" s="7">
        <f t="shared" si="1"/>
        <v>32</v>
      </c>
      <c r="F66" s="7" t="s">
        <v>30</v>
      </c>
      <c r="G66" s="7"/>
      <c r="H66" s="7" t="s">
        <v>31</v>
      </c>
      <c r="I66" s="7"/>
      <c r="J66" s="8" t="s">
        <v>36</v>
      </c>
      <c r="K66" s="8">
        <v>0</v>
      </c>
      <c r="L66" s="8" t="s">
        <v>37</v>
      </c>
      <c r="M66" s="9">
        <f>ConfigAttrFashi!M66</f>
        <v>0</v>
      </c>
      <c r="N66" s="11">
        <v>720000</v>
      </c>
    </row>
    <row r="67" ht="14" spans="1:14">
      <c r="A67" s="1">
        <v>65</v>
      </c>
      <c r="B67" s="6" t="s">
        <v>28</v>
      </c>
      <c r="C67" s="6">
        <f>ConfigAttrFashi!C67</f>
        <v>40</v>
      </c>
      <c r="D67" s="7" t="s">
        <v>29</v>
      </c>
      <c r="E67" s="7">
        <f t="shared" si="1"/>
        <v>32</v>
      </c>
      <c r="F67" s="7" t="s">
        <v>30</v>
      </c>
      <c r="G67" s="7"/>
      <c r="H67" s="7" t="s">
        <v>31</v>
      </c>
      <c r="I67" s="7"/>
      <c r="J67" s="8" t="s">
        <v>36</v>
      </c>
      <c r="K67" s="8">
        <v>0</v>
      </c>
      <c r="L67" s="8" t="s">
        <v>37</v>
      </c>
      <c r="M67" s="9">
        <f>ConfigAttrFashi!M67</f>
        <v>0</v>
      </c>
      <c r="N67" s="11">
        <v>720000</v>
      </c>
    </row>
    <row r="68" ht="14" spans="1:14">
      <c r="A68" s="1">
        <v>66</v>
      </c>
      <c r="B68" s="6" t="s">
        <v>28</v>
      </c>
      <c r="C68" s="6">
        <f>ConfigAttrFashi!C68</f>
        <v>40</v>
      </c>
      <c r="D68" s="7" t="s">
        <v>29</v>
      </c>
      <c r="E68" s="7">
        <f t="shared" ref="E68:E87" si="2">ROUND(C68*0.8,0)</f>
        <v>32</v>
      </c>
      <c r="F68" s="7" t="s">
        <v>30</v>
      </c>
      <c r="G68" s="7"/>
      <c r="H68" s="7" t="s">
        <v>31</v>
      </c>
      <c r="I68" s="7"/>
      <c r="J68" s="8" t="s">
        <v>36</v>
      </c>
      <c r="K68" s="8">
        <v>0</v>
      </c>
      <c r="L68" s="8" t="s">
        <v>37</v>
      </c>
      <c r="M68" s="9">
        <f>ConfigAttrFashi!M68</f>
        <v>0</v>
      </c>
      <c r="N68" s="11">
        <v>720000</v>
      </c>
    </row>
    <row r="69" ht="14" spans="1:14">
      <c r="A69" s="1">
        <v>67</v>
      </c>
      <c r="B69" s="6" t="s">
        <v>28</v>
      </c>
      <c r="C69" s="6">
        <f>ConfigAttrFashi!C69</f>
        <v>40</v>
      </c>
      <c r="D69" s="7" t="s">
        <v>29</v>
      </c>
      <c r="E69" s="7">
        <f t="shared" si="2"/>
        <v>32</v>
      </c>
      <c r="F69" s="7" t="s">
        <v>30</v>
      </c>
      <c r="G69" s="7"/>
      <c r="H69" s="7" t="s">
        <v>31</v>
      </c>
      <c r="I69" s="7"/>
      <c r="J69" s="8" t="s">
        <v>36</v>
      </c>
      <c r="K69" s="8">
        <v>0</v>
      </c>
      <c r="L69" s="8" t="s">
        <v>37</v>
      </c>
      <c r="M69" s="9">
        <f>ConfigAttrFashi!M69</f>
        <v>0</v>
      </c>
      <c r="N69" s="11">
        <v>720000</v>
      </c>
    </row>
    <row r="70" ht="14" spans="1:14">
      <c r="A70" s="1">
        <v>68</v>
      </c>
      <c r="B70" s="6" t="s">
        <v>28</v>
      </c>
      <c r="C70" s="6">
        <f>ConfigAttrFashi!C70</f>
        <v>40</v>
      </c>
      <c r="D70" s="7" t="s">
        <v>29</v>
      </c>
      <c r="E70" s="7">
        <f t="shared" si="2"/>
        <v>32</v>
      </c>
      <c r="F70" s="7" t="s">
        <v>30</v>
      </c>
      <c r="G70" s="7"/>
      <c r="H70" s="7" t="s">
        <v>31</v>
      </c>
      <c r="I70" s="7"/>
      <c r="J70" s="8" t="s">
        <v>36</v>
      </c>
      <c r="K70" s="8">
        <v>0</v>
      </c>
      <c r="L70" s="8" t="s">
        <v>37</v>
      </c>
      <c r="M70" s="9">
        <f>ConfigAttrFashi!M70</f>
        <v>0</v>
      </c>
      <c r="N70" s="11">
        <v>720000</v>
      </c>
    </row>
    <row r="71" ht="14" spans="1:14">
      <c r="A71" s="1">
        <v>69</v>
      </c>
      <c r="B71" s="6" t="s">
        <v>28</v>
      </c>
      <c r="C71" s="6">
        <f>ConfigAttrFashi!C71</f>
        <v>40</v>
      </c>
      <c r="D71" s="7" t="s">
        <v>29</v>
      </c>
      <c r="E71" s="7">
        <f t="shared" si="2"/>
        <v>32</v>
      </c>
      <c r="F71" s="7" t="s">
        <v>30</v>
      </c>
      <c r="G71" s="7"/>
      <c r="H71" s="7" t="s">
        <v>31</v>
      </c>
      <c r="I71" s="7"/>
      <c r="J71" s="8" t="s">
        <v>36</v>
      </c>
      <c r="K71" s="8">
        <v>0</v>
      </c>
      <c r="L71" s="8" t="s">
        <v>37</v>
      </c>
      <c r="M71" s="9">
        <f>ConfigAttrFashi!M71</f>
        <v>0</v>
      </c>
      <c r="N71" s="11">
        <v>720000</v>
      </c>
    </row>
    <row r="72" ht="14" spans="1:14">
      <c r="A72" s="1">
        <v>70</v>
      </c>
      <c r="B72" s="6" t="s">
        <v>28</v>
      </c>
      <c r="C72" s="6">
        <f>ConfigAttrFashi!C72</f>
        <v>40</v>
      </c>
      <c r="D72" s="7" t="s">
        <v>29</v>
      </c>
      <c r="E72" s="7">
        <f t="shared" si="2"/>
        <v>32</v>
      </c>
      <c r="F72" s="7" t="s">
        <v>30</v>
      </c>
      <c r="G72" s="7"/>
      <c r="H72" s="7" t="s">
        <v>31</v>
      </c>
      <c r="I72" s="7"/>
      <c r="J72" s="8" t="s">
        <v>36</v>
      </c>
      <c r="K72" s="8">
        <v>0</v>
      </c>
      <c r="L72" s="8" t="s">
        <v>37</v>
      </c>
      <c r="M72" s="9">
        <f>ConfigAttrFashi!M72</f>
        <v>0</v>
      </c>
      <c r="N72" s="11">
        <v>720000</v>
      </c>
    </row>
    <row r="73" ht="14" spans="1:14">
      <c r="A73" s="1">
        <v>71</v>
      </c>
      <c r="B73" s="6" t="s">
        <v>28</v>
      </c>
      <c r="C73" s="6">
        <f>ConfigAttrFashi!C73</f>
        <v>53</v>
      </c>
      <c r="D73" s="7" t="s">
        <v>29</v>
      </c>
      <c r="E73" s="7">
        <f t="shared" si="2"/>
        <v>42</v>
      </c>
      <c r="F73" s="7" t="s">
        <v>30</v>
      </c>
      <c r="G73" s="7"/>
      <c r="H73" s="7" t="s">
        <v>31</v>
      </c>
      <c r="I73" s="7"/>
      <c r="J73" s="8" t="s">
        <v>36</v>
      </c>
      <c r="K73" s="8">
        <v>0</v>
      </c>
      <c r="L73" s="8" t="s">
        <v>37</v>
      </c>
      <c r="M73" s="9">
        <f>ConfigAttrFashi!M73</f>
        <v>0</v>
      </c>
      <c r="N73" s="11">
        <v>720000</v>
      </c>
    </row>
    <row r="74" ht="14" spans="1:14">
      <c r="A74" s="1">
        <v>72</v>
      </c>
      <c r="B74" s="6" t="s">
        <v>28</v>
      </c>
      <c r="C74" s="6">
        <f>ConfigAttrFashi!C74</f>
        <v>53</v>
      </c>
      <c r="D74" s="7" t="s">
        <v>29</v>
      </c>
      <c r="E74" s="7">
        <f t="shared" si="2"/>
        <v>42</v>
      </c>
      <c r="F74" s="7" t="s">
        <v>30</v>
      </c>
      <c r="G74" s="7"/>
      <c r="H74" s="7" t="s">
        <v>31</v>
      </c>
      <c r="I74" s="7"/>
      <c r="J74" s="8" t="s">
        <v>36</v>
      </c>
      <c r="K74" s="8">
        <v>0</v>
      </c>
      <c r="L74" s="8" t="s">
        <v>37</v>
      </c>
      <c r="M74" s="9">
        <f>ConfigAttrFashi!M74</f>
        <v>0</v>
      </c>
      <c r="N74" s="11">
        <v>720000</v>
      </c>
    </row>
    <row r="75" ht="14" spans="1:14">
      <c r="A75" s="1">
        <v>73</v>
      </c>
      <c r="B75" s="6" t="s">
        <v>28</v>
      </c>
      <c r="C75" s="6">
        <f>ConfigAttrFashi!C75</f>
        <v>53</v>
      </c>
      <c r="D75" s="7" t="s">
        <v>29</v>
      </c>
      <c r="E75" s="7">
        <f t="shared" si="2"/>
        <v>42</v>
      </c>
      <c r="F75" s="7" t="s">
        <v>30</v>
      </c>
      <c r="G75" s="7"/>
      <c r="H75" s="7" t="s">
        <v>31</v>
      </c>
      <c r="I75" s="7"/>
      <c r="J75" s="8" t="s">
        <v>36</v>
      </c>
      <c r="K75" s="8">
        <v>0</v>
      </c>
      <c r="L75" s="8" t="s">
        <v>37</v>
      </c>
      <c r="M75" s="9">
        <f>ConfigAttrFashi!M75</f>
        <v>0</v>
      </c>
      <c r="N75" s="11">
        <v>720000</v>
      </c>
    </row>
    <row r="76" ht="14" spans="1:14">
      <c r="A76" s="1">
        <v>74</v>
      </c>
      <c r="B76" s="6" t="s">
        <v>28</v>
      </c>
      <c r="C76" s="6">
        <f>ConfigAttrFashi!C76</f>
        <v>53</v>
      </c>
      <c r="D76" s="7" t="s">
        <v>29</v>
      </c>
      <c r="E76" s="7">
        <f t="shared" si="2"/>
        <v>42</v>
      </c>
      <c r="F76" s="7" t="s">
        <v>30</v>
      </c>
      <c r="G76" s="7"/>
      <c r="H76" s="7" t="s">
        <v>31</v>
      </c>
      <c r="I76" s="7"/>
      <c r="J76" s="8" t="s">
        <v>36</v>
      </c>
      <c r="K76" s="8">
        <v>0</v>
      </c>
      <c r="L76" s="8" t="s">
        <v>37</v>
      </c>
      <c r="M76" s="9">
        <f>ConfigAttrFashi!M76</f>
        <v>0</v>
      </c>
      <c r="N76" s="11">
        <v>720000</v>
      </c>
    </row>
    <row r="77" ht="14" spans="1:14">
      <c r="A77" s="1">
        <v>75</v>
      </c>
      <c r="B77" s="6" t="s">
        <v>28</v>
      </c>
      <c r="C77" s="6">
        <f>ConfigAttrFashi!C77</f>
        <v>53</v>
      </c>
      <c r="D77" s="7" t="s">
        <v>29</v>
      </c>
      <c r="E77" s="7">
        <f t="shared" si="2"/>
        <v>42</v>
      </c>
      <c r="F77" s="7" t="s">
        <v>30</v>
      </c>
      <c r="G77" s="7"/>
      <c r="H77" s="7" t="s">
        <v>31</v>
      </c>
      <c r="I77" s="7"/>
      <c r="J77" s="8" t="s">
        <v>36</v>
      </c>
      <c r="K77" s="8">
        <v>0</v>
      </c>
      <c r="L77" s="8" t="s">
        <v>37</v>
      </c>
      <c r="M77" s="9">
        <f>ConfigAttrFashi!M77</f>
        <v>0</v>
      </c>
      <c r="N77" s="11">
        <v>720000</v>
      </c>
    </row>
    <row r="78" ht="14" spans="1:14">
      <c r="A78" s="1">
        <v>76</v>
      </c>
      <c r="B78" s="6" t="s">
        <v>28</v>
      </c>
      <c r="C78" s="6">
        <f>ConfigAttrFashi!C78</f>
        <v>53</v>
      </c>
      <c r="D78" s="7" t="s">
        <v>29</v>
      </c>
      <c r="E78" s="7">
        <f t="shared" si="2"/>
        <v>42</v>
      </c>
      <c r="F78" s="7" t="s">
        <v>30</v>
      </c>
      <c r="G78" s="7"/>
      <c r="H78" s="7" t="s">
        <v>31</v>
      </c>
      <c r="I78" s="7"/>
      <c r="J78" s="8" t="s">
        <v>36</v>
      </c>
      <c r="K78" s="8">
        <v>0</v>
      </c>
      <c r="L78" s="8" t="s">
        <v>37</v>
      </c>
      <c r="M78" s="9">
        <f>ConfigAttrFashi!M78</f>
        <v>0</v>
      </c>
      <c r="N78" s="11">
        <v>720000</v>
      </c>
    </row>
    <row r="79" ht="14" spans="1:14">
      <c r="A79" s="1">
        <v>77</v>
      </c>
      <c r="B79" s="6" t="s">
        <v>28</v>
      </c>
      <c r="C79" s="6">
        <f>ConfigAttrFashi!C79</f>
        <v>53</v>
      </c>
      <c r="D79" s="7" t="s">
        <v>29</v>
      </c>
      <c r="E79" s="7">
        <f t="shared" si="2"/>
        <v>42</v>
      </c>
      <c r="F79" s="7" t="s">
        <v>30</v>
      </c>
      <c r="G79" s="7"/>
      <c r="H79" s="7" t="s">
        <v>31</v>
      </c>
      <c r="I79" s="7"/>
      <c r="J79" s="8" t="s">
        <v>36</v>
      </c>
      <c r="K79" s="8">
        <v>0</v>
      </c>
      <c r="L79" s="8" t="s">
        <v>37</v>
      </c>
      <c r="M79" s="9">
        <f>ConfigAttrFashi!M79</f>
        <v>0</v>
      </c>
      <c r="N79" s="11">
        <v>720000</v>
      </c>
    </row>
    <row r="80" ht="14" spans="1:14">
      <c r="A80" s="1">
        <v>78</v>
      </c>
      <c r="B80" s="6" t="s">
        <v>28</v>
      </c>
      <c r="C80" s="6">
        <f>ConfigAttrFashi!C80</f>
        <v>53</v>
      </c>
      <c r="D80" s="7" t="s">
        <v>29</v>
      </c>
      <c r="E80" s="7">
        <f t="shared" si="2"/>
        <v>42</v>
      </c>
      <c r="F80" s="7" t="s">
        <v>30</v>
      </c>
      <c r="G80" s="7"/>
      <c r="H80" s="7" t="s">
        <v>31</v>
      </c>
      <c r="I80" s="7"/>
      <c r="J80" s="8" t="s">
        <v>36</v>
      </c>
      <c r="K80" s="8">
        <v>0</v>
      </c>
      <c r="L80" s="8" t="s">
        <v>37</v>
      </c>
      <c r="M80" s="9">
        <f>ConfigAttrFashi!M80</f>
        <v>0</v>
      </c>
      <c r="N80" s="11">
        <v>720000</v>
      </c>
    </row>
    <row r="81" ht="14" spans="1:14">
      <c r="A81" s="1">
        <v>79</v>
      </c>
      <c r="B81" s="6" t="s">
        <v>28</v>
      </c>
      <c r="C81" s="6">
        <f>ConfigAttrFashi!C81</f>
        <v>53</v>
      </c>
      <c r="D81" s="7" t="s">
        <v>29</v>
      </c>
      <c r="E81" s="7">
        <f t="shared" si="2"/>
        <v>42</v>
      </c>
      <c r="F81" s="7" t="s">
        <v>30</v>
      </c>
      <c r="G81" s="7"/>
      <c r="H81" s="7" t="s">
        <v>31</v>
      </c>
      <c r="I81" s="7"/>
      <c r="J81" s="8" t="s">
        <v>36</v>
      </c>
      <c r="K81" s="8">
        <v>0</v>
      </c>
      <c r="L81" s="8" t="s">
        <v>37</v>
      </c>
      <c r="M81" s="9">
        <f>ConfigAttrFashi!M81</f>
        <v>0</v>
      </c>
      <c r="N81" s="11">
        <v>720000</v>
      </c>
    </row>
    <row r="82" ht="14" spans="1:14">
      <c r="A82" s="1">
        <v>80</v>
      </c>
      <c r="B82" s="6" t="s">
        <v>28</v>
      </c>
      <c r="C82" s="6">
        <f>ConfigAttrFashi!C82</f>
        <v>53</v>
      </c>
      <c r="D82" s="7" t="s">
        <v>29</v>
      </c>
      <c r="E82" s="7">
        <f t="shared" si="2"/>
        <v>42</v>
      </c>
      <c r="F82" s="7" t="s">
        <v>30</v>
      </c>
      <c r="G82" s="7"/>
      <c r="H82" s="7" t="s">
        <v>31</v>
      </c>
      <c r="I82" s="7"/>
      <c r="J82" s="8" t="s">
        <v>36</v>
      </c>
      <c r="K82" s="8">
        <v>0</v>
      </c>
      <c r="L82" s="8" t="s">
        <v>37</v>
      </c>
      <c r="M82" s="9">
        <f>ConfigAttrFashi!M82</f>
        <v>0</v>
      </c>
      <c r="N82" s="11">
        <v>720000</v>
      </c>
    </row>
    <row r="83" ht="14" spans="1:14">
      <c r="A83" s="1">
        <v>81</v>
      </c>
      <c r="B83" s="6" t="s">
        <v>28</v>
      </c>
      <c r="C83" s="6">
        <f>ConfigAttrFashi!C83</f>
        <v>53</v>
      </c>
      <c r="D83" s="7" t="s">
        <v>29</v>
      </c>
      <c r="E83" s="7">
        <f t="shared" si="2"/>
        <v>42</v>
      </c>
      <c r="F83" s="7" t="s">
        <v>30</v>
      </c>
      <c r="G83" s="7"/>
      <c r="H83" s="7" t="s">
        <v>31</v>
      </c>
      <c r="I83" s="7"/>
      <c r="J83" s="8" t="s">
        <v>36</v>
      </c>
      <c r="K83" s="8">
        <v>0</v>
      </c>
      <c r="L83" s="8" t="s">
        <v>37</v>
      </c>
      <c r="M83" s="9">
        <f>ConfigAttrFashi!M83</f>
        <v>0</v>
      </c>
      <c r="N83" s="11">
        <v>720000</v>
      </c>
    </row>
    <row r="84" ht="14" spans="1:14">
      <c r="A84" s="1">
        <v>82</v>
      </c>
      <c r="B84" s="6" t="s">
        <v>28</v>
      </c>
      <c r="C84" s="6">
        <f>ConfigAttrFashi!C84</f>
        <v>53</v>
      </c>
      <c r="D84" s="7" t="s">
        <v>29</v>
      </c>
      <c r="E84" s="7">
        <f t="shared" si="2"/>
        <v>42</v>
      </c>
      <c r="F84" s="7" t="s">
        <v>30</v>
      </c>
      <c r="G84" s="7"/>
      <c r="H84" s="7" t="s">
        <v>31</v>
      </c>
      <c r="I84" s="7"/>
      <c r="J84" s="8" t="s">
        <v>36</v>
      </c>
      <c r="K84" s="8">
        <v>0</v>
      </c>
      <c r="L84" s="8" t="s">
        <v>37</v>
      </c>
      <c r="M84" s="9">
        <f>ConfigAttrFashi!M84</f>
        <v>0</v>
      </c>
      <c r="N84" s="11">
        <v>720000</v>
      </c>
    </row>
    <row r="85" ht="14" spans="1:14">
      <c r="A85" s="1">
        <v>83</v>
      </c>
      <c r="B85" s="6" t="s">
        <v>28</v>
      </c>
      <c r="C85" s="6">
        <f>ConfigAttrFashi!C85</f>
        <v>53</v>
      </c>
      <c r="D85" s="7" t="s">
        <v>29</v>
      </c>
      <c r="E85" s="7">
        <f t="shared" si="2"/>
        <v>42</v>
      </c>
      <c r="F85" s="7" t="s">
        <v>30</v>
      </c>
      <c r="G85" s="7"/>
      <c r="H85" s="7" t="s">
        <v>31</v>
      </c>
      <c r="I85" s="7"/>
      <c r="J85" s="8" t="s">
        <v>36</v>
      </c>
      <c r="K85" s="8">
        <v>0</v>
      </c>
      <c r="L85" s="8" t="s">
        <v>37</v>
      </c>
      <c r="M85" s="9">
        <f>ConfigAttrFashi!M85</f>
        <v>0</v>
      </c>
      <c r="N85" s="11">
        <v>720000</v>
      </c>
    </row>
    <row r="86" ht="14" spans="1:14">
      <c r="A86" s="1">
        <v>84</v>
      </c>
      <c r="B86" s="6" t="s">
        <v>28</v>
      </c>
      <c r="C86" s="6">
        <f>ConfigAttrFashi!C86</f>
        <v>53</v>
      </c>
      <c r="D86" s="7" t="s">
        <v>29</v>
      </c>
      <c r="E86" s="7">
        <f t="shared" si="2"/>
        <v>42</v>
      </c>
      <c r="F86" s="7" t="s">
        <v>30</v>
      </c>
      <c r="G86" s="7"/>
      <c r="H86" s="7" t="s">
        <v>31</v>
      </c>
      <c r="I86" s="7"/>
      <c r="J86" s="8" t="s">
        <v>36</v>
      </c>
      <c r="K86" s="8">
        <v>0</v>
      </c>
      <c r="L86" s="8" t="s">
        <v>37</v>
      </c>
      <c r="M86" s="9">
        <f>ConfigAttrFashi!M86</f>
        <v>0</v>
      </c>
      <c r="N86" s="11">
        <v>720000</v>
      </c>
    </row>
    <row r="87" ht="14" spans="1:14">
      <c r="A87" s="1">
        <v>85</v>
      </c>
      <c r="B87" s="6" t="s">
        <v>28</v>
      </c>
      <c r="C87" s="6">
        <f>ConfigAttrFashi!C87</f>
        <v>53</v>
      </c>
      <c r="D87" s="7" t="s">
        <v>29</v>
      </c>
      <c r="E87" s="7">
        <f t="shared" si="2"/>
        <v>42</v>
      </c>
      <c r="F87" s="7" t="s">
        <v>30</v>
      </c>
      <c r="G87" s="7"/>
      <c r="H87" s="7" t="s">
        <v>31</v>
      </c>
      <c r="I87" s="7"/>
      <c r="J87" s="8" t="s">
        <v>36</v>
      </c>
      <c r="K87" s="8">
        <v>0</v>
      </c>
      <c r="L87" s="8" t="s">
        <v>37</v>
      </c>
      <c r="M87" s="9">
        <f>ConfigAttrFashi!M87</f>
        <v>0</v>
      </c>
      <c r="N87" s="11">
        <v>720000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ConfigAttrZhanshi</vt:lpstr>
      <vt:lpstr>ConfigAttrFashi</vt:lpstr>
      <vt:lpstr>ConfigAttrDaoshi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thothSSQS</cp:lastModifiedBy>
  <dcterms:created xsi:type="dcterms:W3CDTF">2015-06-05T18:19:00Z</dcterms:created>
  <dcterms:modified xsi:type="dcterms:W3CDTF">2026-04-24T04:24:10Z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91095CAABE9142108438BEBD2F374FF2_13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