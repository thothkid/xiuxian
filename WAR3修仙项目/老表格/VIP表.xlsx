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ConfigVI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<sst xmlns="http://schemas.openxmlformats.org/spreadsheetml/2006/main" count="497" uniqueCount="224">
  <si>
    <t>配置ID</t>
  </si>
  <si>
    <t>VIP等级</t>
  </si>
  <si>
    <t>解锁条件1描述</t>
  </si>
  <si>
    <t>解锁条件1数值</t>
  </si>
  <si>
    <t>解锁条件2描述</t>
  </si>
  <si>
    <t>解锁条件2数值</t>
  </si>
  <si>
    <t>特权福利1</t>
  </si>
  <si>
    <t>特权福利2</t>
  </si>
  <si>
    <t>特权福利3</t>
  </si>
  <si>
    <t>特权福利4</t>
  </si>
  <si>
    <t>特权福利5</t>
  </si>
  <si>
    <t>特权福利6</t>
  </si>
  <si>
    <t>特权福利7</t>
  </si>
  <si>
    <t>特权福利8</t>
  </si>
  <si>
    <t>特权福利9</t>
  </si>
  <si>
    <t>特权福利10</t>
  </si>
  <si>
    <t>特权福利11</t>
  </si>
  <si>
    <t>特权福利12</t>
  </si>
  <si>
    <t>特权福利13</t>
  </si>
  <si>
    <t>特权福利14</t>
  </si>
  <si>
    <t>特权福利15</t>
  </si>
  <si>
    <t>特权福利16</t>
  </si>
  <si>
    <t>特权福利17</t>
  </si>
  <si>
    <t>特权福利18</t>
  </si>
  <si>
    <t>特权福利19</t>
  </si>
  <si>
    <t>特权福利20</t>
  </si>
  <si>
    <t>特权福利21</t>
  </si>
  <si>
    <t>特权福利22</t>
  </si>
  <si>
    <t>特权福利23</t>
  </si>
  <si>
    <t>特权福利24</t>
  </si>
  <si>
    <t>ConfigID</t>
  </si>
  <si>
    <t>VipLevel</t>
  </si>
  <si>
    <t>UnlockCondition1Desc</t>
  </si>
  <si>
    <t>UnlockCondition1Val</t>
  </si>
  <si>
    <t>UnlockCondition2Desc</t>
  </si>
  <si>
    <t>UnlockCondition2Val</t>
  </si>
  <si>
    <t>Privilege1</t>
  </si>
  <si>
    <t>Privilege2</t>
  </si>
  <si>
    <t>Privilege3</t>
  </si>
  <si>
    <t>Privilege4</t>
  </si>
  <si>
    <t>Privilege5</t>
  </si>
  <si>
    <t>Privilege6</t>
  </si>
  <si>
    <t>Privilege7</t>
  </si>
  <si>
    <t>Privilege8</t>
  </si>
  <si>
    <t>Privilege9</t>
  </si>
  <si>
    <t>Privilege10</t>
  </si>
  <si>
    <t>Privilege11</t>
  </si>
  <si>
    <t>Privilege12</t>
  </si>
  <si>
    <t>Privilege13</t>
  </si>
  <si>
    <t>Privilege14</t>
  </si>
  <si>
    <t>Privilege15</t>
  </si>
  <si>
    <t>Privilege16</t>
  </si>
  <si>
    <t>Privilege17</t>
  </si>
  <si>
    <t>Privilege18</t>
  </si>
  <si>
    <t>Privilege19</t>
  </si>
  <si>
    <t>Privilege20</t>
  </si>
  <si>
    <t>Privilege21</t>
  </si>
  <si>
    <t>Privilege22</t>
  </si>
  <si>
    <t>Privilege23</t>
  </si>
  <si>
    <t>Privilege24</t>
  </si>
  <si>
    <t>需求人物等级</t>
  </si>
  <si>
    <t>击杀任意怪物</t>
  </si>
  <si>
    <t>熔炉一键回收前期装备</t>
  </si>
  <si>
    <t>解锁自动拾取红蓝药水</t>
  </si>
  <si>
    <t>物品回收金币+1%</t>
  </si>
  <si>
    <t>自动辅助时长+60分</t>
  </si>
  <si>
    <t>打怪经验+1%</t>
  </si>
  <si>
    <t>增加攻魔道上限+1</t>
  </si>
  <si>
    <t>物品回收金币+2%</t>
  </si>
  <si>
    <t>自动辅助时长+80分</t>
  </si>
  <si>
    <t>打怪经验+2%</t>
  </si>
  <si>
    <t>生命值+5</t>
  </si>
  <si>
    <t>解锁自动拾取3种材料</t>
  </si>
  <si>
    <t>物品回收金币+3%</t>
  </si>
  <si>
    <t>自动辅助时长+100分</t>
  </si>
  <si>
    <t>打怪经验+3%</t>
  </si>
  <si>
    <t>装备爆率增+1%</t>
  </si>
  <si>
    <t>小极品掉落率+1%</t>
  </si>
  <si>
    <t>解锁自动修理功能</t>
  </si>
  <si>
    <t>每日赠送2W金币</t>
  </si>
  <si>
    <t>物品回收金币+4%</t>
  </si>
  <si>
    <t>自动辅助时长+120分</t>
  </si>
  <si>
    <t>打怪经验+4%</t>
  </si>
  <si>
    <t>增加攻魔道上限+2</t>
  </si>
  <si>
    <t>生命值+10</t>
  </si>
  <si>
    <t>解锁自动拾取6种材料</t>
  </si>
  <si>
    <t>切割+1</t>
  </si>
  <si>
    <t>物品回收金币+5%</t>
  </si>
  <si>
    <t>自动辅助时长+140分</t>
  </si>
  <si>
    <t>打怪经验+5%</t>
  </si>
  <si>
    <t>每日赠送3W金币</t>
  </si>
  <si>
    <t>解锁远程回收功能</t>
  </si>
  <si>
    <t>解锁远程图鉴功能</t>
  </si>
  <si>
    <t>物品回收金币+6%</t>
  </si>
  <si>
    <t>自动辅助时长+160分</t>
  </si>
  <si>
    <t>打怪经验+6%</t>
  </si>
  <si>
    <t>生命值+20</t>
  </si>
  <si>
    <t>解锁自动拾取10种材料</t>
  </si>
  <si>
    <t>切割+2</t>
  </si>
  <si>
    <t>修理费减半</t>
  </si>
  <si>
    <t>自动使用红蓝药</t>
  </si>
  <si>
    <t>解锁自动使用技能</t>
  </si>
  <si>
    <t>物品回收金币+7%</t>
  </si>
  <si>
    <t>自动辅助时长+180分</t>
  </si>
  <si>
    <t>打怪经验+7%</t>
  </si>
  <si>
    <t>增加攻魔道上限+3</t>
  </si>
  <si>
    <t>每日赠送4W金币</t>
  </si>
  <si>
    <t>每日赠送30灵符</t>
  </si>
  <si>
    <t>物品回收金币+8%</t>
  </si>
  <si>
    <t>自动辅助时长+200分</t>
  </si>
  <si>
    <t>打怪经验+8%</t>
  </si>
  <si>
    <t>生命值+30</t>
  </si>
  <si>
    <t>解锁自动拾取15种材料</t>
  </si>
  <si>
    <t>切割+3</t>
  </si>
  <si>
    <t>每日赠送40灵符</t>
  </si>
  <si>
    <t>辅助操作位+1</t>
  </si>
  <si>
    <t>物品回收金币+9%</t>
  </si>
  <si>
    <t>自动辅助时长+220分</t>
  </si>
  <si>
    <t>打怪经验+9%</t>
  </si>
  <si>
    <t>每日赠送5W金币</t>
  </si>
  <si>
    <t>每日赠送50灵符</t>
  </si>
  <si>
    <t>BOSS掉落数量上限+1</t>
  </si>
  <si>
    <t>强化成功率+5%</t>
  </si>
  <si>
    <t>物品回收金币+10%</t>
  </si>
  <si>
    <t>自动辅助时长+240分</t>
  </si>
  <si>
    <t>打怪经验+10%</t>
  </si>
  <si>
    <t>增加攻魔道上限+4</t>
  </si>
  <si>
    <t>生命值+40</t>
  </si>
  <si>
    <t>解锁自动拾取20种材料</t>
  </si>
  <si>
    <t>切割+4</t>
  </si>
  <si>
    <t>每日赠送60灵符</t>
  </si>
  <si>
    <t>辅助操作位+2</t>
  </si>
  <si>
    <t>强化成功率+6%</t>
  </si>
  <si>
    <t>装备词条掉落率+1%</t>
  </si>
  <si>
    <t>背包页数永久+1</t>
  </si>
  <si>
    <t>物品回收金币+11%</t>
  </si>
  <si>
    <t>自动辅助时长+260分</t>
  </si>
  <si>
    <t>打怪经验+11%</t>
  </si>
  <si>
    <t>每日赠送6W金币</t>
  </si>
  <si>
    <t>每日赠送70灵符</t>
  </si>
  <si>
    <t>BOSS掉落数量上限+2</t>
  </si>
  <si>
    <t>强化成功率+7%</t>
  </si>
  <si>
    <t>装备词条掉落率+2%</t>
  </si>
  <si>
    <t>物品回收金币+12%</t>
  </si>
  <si>
    <t>自动辅助时长+280分</t>
  </si>
  <si>
    <t>打怪经验+12%</t>
  </si>
  <si>
    <t>生命值+50</t>
  </si>
  <si>
    <t>解锁自动拾取25种材料</t>
  </si>
  <si>
    <t>切割+5</t>
  </si>
  <si>
    <t>每日赠送80灵符</t>
  </si>
  <si>
    <t>辅助操作位+3</t>
  </si>
  <si>
    <t>强化成功率+8%</t>
  </si>
  <si>
    <t>装备词条掉落率+3%</t>
  </si>
  <si>
    <t>物品回收金币+13%</t>
  </si>
  <si>
    <t>自动辅助时长+300分</t>
  </si>
  <si>
    <t>打怪经验+13%</t>
  </si>
  <si>
    <t>增加攻魔道上限+5</t>
  </si>
  <si>
    <t>每日赠送7W金币</t>
  </si>
  <si>
    <t>每日赠送90灵符</t>
  </si>
  <si>
    <t>BOSS掉落数量上限+3</t>
  </si>
  <si>
    <t>强化成功率+9%</t>
  </si>
  <si>
    <t>装备词条掉落率+4%</t>
  </si>
  <si>
    <t>物品回收金币+14%</t>
  </si>
  <si>
    <t>自动辅助时长+320分</t>
  </si>
  <si>
    <t>打怪经验+14%</t>
  </si>
  <si>
    <t>生命值+60</t>
  </si>
  <si>
    <t>切割+6</t>
  </si>
  <si>
    <t>每日赠送100灵符</t>
  </si>
  <si>
    <t>辅助操作位+4</t>
  </si>
  <si>
    <t>强化成功率+10%</t>
  </si>
  <si>
    <t>装备词条掉落率+5%</t>
  </si>
  <si>
    <t>物品回收金币+15%</t>
  </si>
  <si>
    <t>自动辅助时长+340分</t>
  </si>
  <si>
    <t>打怪经验+15%</t>
  </si>
  <si>
    <t>每日赠送8W金币</t>
  </si>
  <si>
    <t>每日赠送110灵符</t>
  </si>
  <si>
    <t>BOSS掉落数量上限+4</t>
  </si>
  <si>
    <t>强化成功率+11%</t>
  </si>
  <si>
    <t>装备词条掉落率+6%</t>
  </si>
  <si>
    <t>物品回收金币+16%</t>
  </si>
  <si>
    <t>自动辅助时长+360分</t>
  </si>
  <si>
    <t>打怪经验+16%</t>
  </si>
  <si>
    <t>增加攻魔道上限+6</t>
  </si>
  <si>
    <t>生命值+70</t>
  </si>
  <si>
    <t>切割+7</t>
  </si>
  <si>
    <t>每日赠送120灵符</t>
  </si>
  <si>
    <t>辅助操作位+5</t>
  </si>
  <si>
    <t>强化成功率+12%</t>
  </si>
  <si>
    <t>装备词条掉落率+7%</t>
  </si>
  <si>
    <t>物品回收金币+17%</t>
  </si>
  <si>
    <t>自动辅助时长+380分</t>
  </si>
  <si>
    <t>打怪经验+17%</t>
  </si>
  <si>
    <t>每日赠送9W金币</t>
  </si>
  <si>
    <t>每日赠送130灵符</t>
  </si>
  <si>
    <t>BOSS掉落数量上限+5</t>
  </si>
  <si>
    <t>强化成功率+13%</t>
  </si>
  <si>
    <t>装备词条掉落率+8%</t>
  </si>
  <si>
    <t>物品回收金币+18%</t>
  </si>
  <si>
    <t>自动辅助时长+400分</t>
  </si>
  <si>
    <t>打怪经验+18%</t>
  </si>
  <si>
    <t>生命值+80</t>
  </si>
  <si>
    <t>切割+8</t>
  </si>
  <si>
    <t>每日赠送140灵符</t>
  </si>
  <si>
    <t>辅助操作位+6</t>
  </si>
  <si>
    <t>强化成功率+14%</t>
  </si>
  <si>
    <t>装备词条掉落率+9%</t>
  </si>
  <si>
    <t>物品回收金币+19%</t>
  </si>
  <si>
    <t>自动辅助时长+420分</t>
  </si>
  <si>
    <t>打怪经验+19%</t>
  </si>
  <si>
    <t>增加攻魔道上限+7</t>
  </si>
  <si>
    <t>每日赠送10W金币</t>
  </si>
  <si>
    <t>每日赠送150灵符</t>
  </si>
  <si>
    <t>BOSS掉落数量上限+6</t>
  </si>
  <si>
    <t>强化成功率+15%</t>
  </si>
  <si>
    <t>装备词条掉落率+10%</t>
  </si>
  <si>
    <t>物品回收金币+20%</t>
  </si>
  <si>
    <t>自动辅助时长+440分</t>
  </si>
  <si>
    <t>打怪经验+20%</t>
  </si>
  <si>
    <t>生命值+90</t>
  </si>
  <si>
    <t>切割+9</t>
  </si>
  <si>
    <t>每日赠送160灵符</t>
  </si>
  <si>
    <t>辅助操作位+7</t>
  </si>
  <si>
    <t>强化成功率+16%</t>
  </si>
  <si>
    <t>装备词条掉落率+11%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</si>
</sst>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3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22"/>
  <sheetViews>
    <sheetView tabSelected="1" workbookViewId="0">
      <selection activeCell="D10" sqref="D10"/>
    </sheetView>
  </sheetViews>
  <sheetFormatPr defaultColWidth="9" defaultRowHeight="14.25"/>
  <cols>
    <col min="2" max="2" width="8.75" customWidth="1"/>
    <col min="3" max="3" width="22" customWidth="1"/>
    <col min="4" max="4" width="20.625" customWidth="1"/>
    <col min="5" max="5" width="22" customWidth="1"/>
    <col min="6" max="6" width="20.625" customWidth="1"/>
    <col min="7" max="8" width="21.375" customWidth="1"/>
    <col min="9" max="9" width="17.75" customWidth="1"/>
    <col min="10" max="10" width="19.875" customWidth="1"/>
    <col min="11" max="11" width="13.625" customWidth="1"/>
    <col min="12" max="12" width="18.75" customWidth="1"/>
    <col min="13" max="13" width="10" customWidth="1"/>
    <col min="14" max="14" width="20.25" customWidth="1"/>
    <col min="15" max="15" width="15.125" customWidth="1"/>
    <col min="16" max="16" width="19.375" customWidth="1"/>
    <col min="17" max="17" width="17.125" customWidth="1"/>
    <col min="18" max="18" width="16" customWidth="1"/>
    <col min="20" max="21" width="17.125" customWidth="1"/>
    <col min="22" max="22" width="11" customWidth="1"/>
    <col min="23" max="23" width="15" customWidth="1"/>
    <col min="24" max="24" width="17.125" customWidth="1"/>
    <col min="25" max="25" width="15.125" customWidth="1"/>
    <col min="26" max="26" width="13.375" customWidth="1"/>
    <col min="27" max="27" width="20.25" customWidth="1"/>
    <col min="28" max="28" width="14.5" customWidth="1"/>
    <col min="29" max="29" width="18.625" customWidth="1"/>
    <col min="30" max="30" width="15.375" customWidth="1"/>
  </cols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s="2" t="s">
        <v>30</v>
      </c>
      <c r="B2" s="2" t="s">
        <v>31</v>
      </c>
      <c r="C2" s="2" t="s">
        <v>32</v>
      </c>
      <c r="D2" s="2" t="s">
        <v>33</v>
      </c>
      <c r="E2" s="2" t="s">
        <v>34</v>
      </c>
      <c r="F2" s="2" t="s">
        <v>35</v>
      </c>
      <c r="G2" s="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42</v>
      </c>
      <c r="N2" t="s">
        <v>43</v>
      </c>
      <c r="O2" t="s">
        <v>44</v>
      </c>
      <c r="P2" t="s">
        <v>45</v>
      </c>
      <c r="Q2" t="s">
        <v>46</v>
      </c>
      <c r="R2" t="s">
        <v>47</v>
      </c>
      <c r="S2" t="s">
        <v>48</v>
      </c>
      <c r="T2" t="s">
        <v>49</v>
      </c>
      <c r="U2" t="s">
        <v>50</v>
      </c>
      <c r="V2" t="s">
        <v>51</v>
      </c>
      <c r="W2" t="s">
        <v>52</v>
      </c>
      <c r="X2" t="s">
        <v>53</v>
      </c>
      <c r="Y2" t="s">
        <v>54</v>
      </c>
      <c r="Z2" t="s">
        <v>55</v>
      </c>
      <c r="AA2" t="s">
        <v>56</v>
      </c>
      <c r="AB2" t="s">
        <v>57</v>
      </c>
      <c r="AC2" t="s">
        <v>58</v>
      </c>
      <c r="AD2" t="s">
        <v>59</v>
      </c>
    </row>
    <row r="3" spans="1:30">
      <c r="A3">
        <v>1</v>
      </c>
      <c r="B3">
        <v>1</v>
      </c>
      <c r="C3" t="s">
        <v>60</v>
      </c>
      <c r="D3">
        <v>5</v>
      </c>
      <c r="E3" t="s">
        <v>61</v>
      </c>
      <c r="F3">
        <v>1</v>
      </c>
      <c r="G3" t="s">
        <v>62</v>
      </c>
      <c r="H3" t="s">
        <v>63</v>
      </c>
      <c r="I3" t="s">
        <v>64</v>
      </c>
      <c r="J3" t="s">
        <v>65</v>
      </c>
      <c r="K3" t="s">
        <v>66</v>
      </c>
      <c r="L3" t="s">
        <v>67</v>
      </c>
    </row>
    <row r="4" spans="1:30">
      <c r="A4">
        <v>2</v>
      </c>
      <c r="B4">
        <v>2</v>
      </c>
      <c r="C4" t="s">
        <v>60</v>
      </c>
      <c r="D4">
        <f>D3+1</f>
        <v>6</v>
      </c>
      <c r="E4" t="s">
        <v>61</v>
      </c>
      <c r="F4">
        <f>1+F3</f>
        <v>2</v>
      </c>
      <c r="G4" t="s">
        <v>62</v>
      </c>
      <c r="H4" t="s">
        <v>63</v>
      </c>
      <c r="I4" t="s">
        <v>68</v>
      </c>
      <c r="J4" t="s">
        <v>69</v>
      </c>
      <c r="K4" t="s">
        <v>70</v>
      </c>
      <c r="L4" t="s">
        <v>67</v>
      </c>
      <c r="M4" t="s">
        <v>71</v>
      </c>
      <c r="N4" t="s">
        <v>72</v>
      </c>
    </row>
    <row r="5" spans="1:30">
      <c r="A5">
        <v>3</v>
      </c>
      <c r="B5">
        <v>3</v>
      </c>
      <c r="C5" t="s">
        <v>60</v>
      </c>
      <c r="D5">
        <f t="shared" ref="D5:D22" si="0">D4+1</f>
        <v>7</v>
      </c>
      <c r="E5" t="s">
        <v>61</v>
      </c>
      <c r="F5">
        <f t="shared" ref="F5:F22" si="1">1+F4</f>
        <v>3</v>
      </c>
      <c r="G5" t="s">
        <v>62</v>
      </c>
      <c r="H5" t="s">
        <v>63</v>
      </c>
      <c r="I5" t="s">
        <v>73</v>
      </c>
      <c r="J5" t="s">
        <v>74</v>
      </c>
      <c r="K5" t="s">
        <v>75</v>
      </c>
      <c r="L5" t="s">
        <v>67</v>
      </c>
      <c r="M5" t="s">
        <v>71</v>
      </c>
      <c r="N5" t="s">
        <v>72</v>
      </c>
      <c r="O5" t="s">
        <v>76</v>
      </c>
      <c r="P5" t="s">
        <v>77</v>
      </c>
      <c r="Q5" t="s">
        <v>78</v>
      </c>
      <c r="R5" t="s">
        <v>79</v>
      </c>
    </row>
    <row r="6" spans="1:30">
      <c r="A6">
        <v>4</v>
      </c>
      <c r="B6">
        <v>4</v>
      </c>
      <c r="C6" t="s">
        <v>60</v>
      </c>
      <c r="D6">
        <f t="shared" si="0"/>
        <v>8</v>
      </c>
      <c r="E6" t="s">
        <v>61</v>
      </c>
      <c r="F6">
        <f t="shared" si="1"/>
        <v>4</v>
      </c>
      <c r="G6" t="s">
        <v>62</v>
      </c>
      <c r="H6" t="s">
        <v>63</v>
      </c>
      <c r="I6" t="s">
        <v>80</v>
      </c>
      <c r="J6" t="s">
        <v>81</v>
      </c>
      <c r="K6" t="s">
        <v>82</v>
      </c>
      <c r="L6" t="s">
        <v>83</v>
      </c>
      <c r="M6" t="s">
        <v>84</v>
      </c>
      <c r="N6" t="s">
        <v>85</v>
      </c>
      <c r="O6" t="s">
        <v>76</v>
      </c>
      <c r="P6" t="s">
        <v>77</v>
      </c>
      <c r="Q6" t="s">
        <v>78</v>
      </c>
      <c r="R6" t="s">
        <v>79</v>
      </c>
      <c r="S6" t="s">
        <v>86</v>
      </c>
    </row>
    <row r="7" spans="1:30">
      <c r="A7">
        <v>5</v>
      </c>
      <c r="B7">
        <v>5</v>
      </c>
      <c r="C7" t="s">
        <v>60</v>
      </c>
      <c r="D7">
        <f t="shared" si="0"/>
        <v>9</v>
      </c>
      <c r="E7" t="s">
        <v>61</v>
      </c>
      <c r="F7">
        <f t="shared" si="1"/>
        <v>5</v>
      </c>
      <c r="G7" t="s">
        <v>62</v>
      </c>
      <c r="H7" t="s">
        <v>63</v>
      </c>
      <c r="I7" t="s">
        <v>87</v>
      </c>
      <c r="J7" t="s">
        <v>88</v>
      </c>
      <c r="K7" t="s">
        <v>89</v>
      </c>
      <c r="L7" t="s">
        <v>83</v>
      </c>
      <c r="M7" t="s">
        <v>84</v>
      </c>
      <c r="N7" t="s">
        <v>85</v>
      </c>
      <c r="O7" t="s">
        <v>76</v>
      </c>
      <c r="P7" t="s">
        <v>77</v>
      </c>
      <c r="Q7" t="s">
        <v>78</v>
      </c>
      <c r="R7" t="s">
        <v>90</v>
      </c>
      <c r="S7" t="s">
        <v>86</v>
      </c>
      <c r="T7" t="s">
        <v>91</v>
      </c>
      <c r="U7" t="s">
        <v>92</v>
      </c>
    </row>
    <row r="8" spans="1:30">
      <c r="A8">
        <v>6</v>
      </c>
      <c r="B8">
        <v>6</v>
      </c>
      <c r="C8" t="s">
        <v>60</v>
      </c>
      <c r="D8">
        <f t="shared" si="0"/>
        <v>10</v>
      </c>
      <c r="E8" t="s">
        <v>61</v>
      </c>
      <c r="F8">
        <f t="shared" si="1"/>
        <v>6</v>
      </c>
      <c r="G8" t="s">
        <v>62</v>
      </c>
      <c r="H8" t="s">
        <v>63</v>
      </c>
      <c r="I8" t="s">
        <v>93</v>
      </c>
      <c r="J8" t="s">
        <v>94</v>
      </c>
      <c r="K8" t="s">
        <v>95</v>
      </c>
      <c r="L8" t="s">
        <v>83</v>
      </c>
      <c r="M8" t="s">
        <v>96</v>
      </c>
      <c r="N8" t="s">
        <v>97</v>
      </c>
      <c r="O8" t="s">
        <v>76</v>
      </c>
      <c r="P8" t="s">
        <v>77</v>
      </c>
      <c r="Q8" t="s">
        <v>78</v>
      </c>
      <c r="R8" t="s">
        <v>90</v>
      </c>
      <c r="S8" t="s">
        <v>98</v>
      </c>
      <c r="T8" t="s">
        <v>91</v>
      </c>
      <c r="U8" t="s">
        <v>92</v>
      </c>
      <c r="V8" t="s">
        <v>99</v>
      </c>
      <c r="W8" t="s">
        <v>100</v>
      </c>
      <c r="X8" t="s">
        <v>101</v>
      </c>
    </row>
    <row r="9" spans="1:30">
      <c r="A9">
        <v>7</v>
      </c>
      <c r="B9">
        <v>7</v>
      </c>
      <c r="C9" t="s">
        <v>60</v>
      </c>
      <c r="D9">
        <f t="shared" si="0"/>
        <v>11</v>
      </c>
      <c r="E9" t="s">
        <v>61</v>
      </c>
      <c r="F9">
        <f t="shared" si="1"/>
        <v>7</v>
      </c>
      <c r="G9" t="s">
        <v>62</v>
      </c>
      <c r="H9" t="s">
        <v>63</v>
      </c>
      <c r="I9" t="s">
        <v>102</v>
      </c>
      <c r="J9" t="s">
        <v>103</v>
      </c>
      <c r="K9" t="s">
        <v>104</v>
      </c>
      <c r="L9" t="s">
        <v>105</v>
      </c>
      <c r="M9" t="s">
        <v>96</v>
      </c>
      <c r="N9" t="s">
        <v>97</v>
      </c>
      <c r="O9" t="s">
        <v>76</v>
      </c>
      <c r="P9" t="s">
        <v>77</v>
      </c>
      <c r="Q9" t="s">
        <v>78</v>
      </c>
      <c r="R9" t="s">
        <v>106</v>
      </c>
      <c r="S9" t="s">
        <v>98</v>
      </c>
      <c r="T9" t="s">
        <v>91</v>
      </c>
      <c r="U9" t="s">
        <v>92</v>
      </c>
      <c r="V9" t="s">
        <v>99</v>
      </c>
      <c r="W9" t="s">
        <v>100</v>
      </c>
      <c r="X9" t="s">
        <v>101</v>
      </c>
      <c r="Y9" t="s">
        <v>107</v>
      </c>
    </row>
    <row r="10" spans="1:30">
      <c r="A10">
        <v>8</v>
      </c>
      <c r="B10">
        <v>8</v>
      </c>
      <c r="C10" t="s">
        <v>60</v>
      </c>
      <c r="D10">
        <f t="shared" si="0"/>
        <v>12</v>
      </c>
      <c r="E10" t="s">
        <v>61</v>
      </c>
      <c r="F10">
        <f t="shared" si="1"/>
        <v>8</v>
      </c>
      <c r="G10" t="s">
        <v>62</v>
      </c>
      <c r="H10" t="s">
        <v>63</v>
      </c>
      <c r="I10" t="s">
        <v>108</v>
      </c>
      <c r="J10" t="s">
        <v>109</v>
      </c>
      <c r="K10" t="s">
        <v>110</v>
      </c>
      <c r="L10" t="s">
        <v>105</v>
      </c>
      <c r="M10" t="s">
        <v>111</v>
      </c>
      <c r="N10" t="s">
        <v>112</v>
      </c>
      <c r="O10" t="s">
        <v>76</v>
      </c>
      <c r="P10" t="s">
        <v>77</v>
      </c>
      <c r="Q10" t="s">
        <v>78</v>
      </c>
      <c r="R10" t="s">
        <v>106</v>
      </c>
      <c r="S10" t="s">
        <v>113</v>
      </c>
      <c r="T10" t="s">
        <v>91</v>
      </c>
      <c r="U10" t="s">
        <v>92</v>
      </c>
      <c r="V10" t="s">
        <v>99</v>
      </c>
      <c r="W10" t="s">
        <v>100</v>
      </c>
      <c r="X10" t="s">
        <v>101</v>
      </c>
      <c r="Y10" t="s">
        <v>114</v>
      </c>
      <c r="Z10" t="s">
        <v>115</v>
      </c>
    </row>
    <row r="11" spans="1:30">
      <c r="A11">
        <v>9</v>
      </c>
      <c r="B11">
        <v>9</v>
      </c>
      <c r="C11" t="s">
        <v>60</v>
      </c>
      <c r="D11">
        <f t="shared" si="0"/>
        <v>13</v>
      </c>
      <c r="E11" t="s">
        <v>61</v>
      </c>
      <c r="F11">
        <f t="shared" si="1"/>
        <v>9</v>
      </c>
      <c r="G11" t="s">
        <v>62</v>
      </c>
      <c r="H11" t="s">
        <v>63</v>
      </c>
      <c r="I11" t="s">
        <v>116</v>
      </c>
      <c r="J11" t="s">
        <v>117</v>
      </c>
      <c r="K11" t="s">
        <v>118</v>
      </c>
      <c r="L11" t="s">
        <v>105</v>
      </c>
      <c r="M11" t="s">
        <v>111</v>
      </c>
      <c r="N11" t="s">
        <v>112</v>
      </c>
      <c r="O11" t="s">
        <v>76</v>
      </c>
      <c r="P11" t="s">
        <v>77</v>
      </c>
      <c r="Q11" t="s">
        <v>78</v>
      </c>
      <c r="R11" t="s">
        <v>119</v>
      </c>
      <c r="S11" t="s">
        <v>113</v>
      </c>
      <c r="T11" t="s">
        <v>91</v>
      </c>
      <c r="U11" t="s">
        <v>92</v>
      </c>
      <c r="V11" t="s">
        <v>99</v>
      </c>
      <c r="W11" t="s">
        <v>100</v>
      </c>
      <c r="X11" t="s">
        <v>101</v>
      </c>
      <c r="Y11" t="s">
        <v>120</v>
      </c>
      <c r="Z11" t="s">
        <v>115</v>
      </c>
      <c r="AA11" t="s">
        <v>121</v>
      </c>
      <c r="AB11" t="s">
        <v>122</v>
      </c>
    </row>
    <row r="12" spans="1:30">
      <c r="A12">
        <v>10</v>
      </c>
      <c r="B12">
        <v>10</v>
      </c>
      <c r="C12" t="s">
        <v>60</v>
      </c>
      <c r="D12">
        <f t="shared" si="0"/>
        <v>14</v>
      </c>
      <c r="E12" t="s">
        <v>61</v>
      </c>
      <c r="F12">
        <f t="shared" si="1"/>
        <v>10</v>
      </c>
      <c r="G12" t="s">
        <v>62</v>
      </c>
      <c r="H12" t="s">
        <v>63</v>
      </c>
      <c r="I12" t="s">
        <v>123</v>
      </c>
      <c r="J12" t="s">
        <v>124</v>
      </c>
      <c r="K12" t="s">
        <v>125</v>
      </c>
      <c r="L12" t="s">
        <v>126</v>
      </c>
      <c r="M12" t="s">
        <v>127</v>
      </c>
      <c r="N12" t="s">
        <v>128</v>
      </c>
      <c r="O12" t="s">
        <v>76</v>
      </c>
      <c r="P12" t="s">
        <v>77</v>
      </c>
      <c r="Q12" t="s">
        <v>78</v>
      </c>
      <c r="R12" t="s">
        <v>119</v>
      </c>
      <c r="S12" t="s">
        <v>129</v>
      </c>
      <c r="T12" t="s">
        <v>91</v>
      </c>
      <c r="U12" t="s">
        <v>92</v>
      </c>
      <c r="V12" t="s">
        <v>99</v>
      </c>
      <c r="W12" t="s">
        <v>100</v>
      </c>
      <c r="X12" t="s">
        <v>101</v>
      </c>
      <c r="Y12" t="s">
        <v>130</v>
      </c>
      <c r="Z12" t="s">
        <v>131</v>
      </c>
      <c r="AA12" t="s">
        <v>121</v>
      </c>
      <c r="AB12" t="s">
        <v>132</v>
      </c>
      <c r="AC12" t="s">
        <v>133</v>
      </c>
      <c r="AD12" t="s">
        <v>134</v>
      </c>
    </row>
    <row r="13" spans="1:30">
      <c r="A13">
        <v>11</v>
      </c>
      <c r="B13">
        <v>11</v>
      </c>
      <c r="C13" t="s">
        <v>60</v>
      </c>
      <c r="D13">
        <f t="shared" si="0"/>
        <v>15</v>
      </c>
      <c r="E13" t="s">
        <v>61</v>
      </c>
      <c r="F13">
        <f t="shared" si="1"/>
        <v>11</v>
      </c>
      <c r="G13" t="s">
        <v>62</v>
      </c>
      <c r="H13" t="s">
        <v>63</v>
      </c>
      <c r="I13" t="s">
        <v>135</v>
      </c>
      <c r="J13" t="s">
        <v>136</v>
      </c>
      <c r="K13" t="s">
        <v>137</v>
      </c>
      <c r="L13" t="s">
        <v>126</v>
      </c>
      <c r="M13" t="s">
        <v>127</v>
      </c>
      <c r="N13" t="s">
        <v>128</v>
      </c>
      <c r="O13" t="s">
        <v>76</v>
      </c>
      <c r="P13" t="s">
        <v>77</v>
      </c>
      <c r="Q13" t="s">
        <v>78</v>
      </c>
      <c r="R13" t="s">
        <v>138</v>
      </c>
      <c r="S13" t="s">
        <v>129</v>
      </c>
      <c r="T13" t="s">
        <v>91</v>
      </c>
      <c r="U13" t="s">
        <v>92</v>
      </c>
      <c r="V13" t="s">
        <v>99</v>
      </c>
      <c r="W13" t="s">
        <v>100</v>
      </c>
      <c r="X13" t="s">
        <v>101</v>
      </c>
      <c r="Y13" t="s">
        <v>139</v>
      </c>
      <c r="Z13" t="s">
        <v>131</v>
      </c>
      <c r="AA13" t="s">
        <v>140</v>
      </c>
      <c r="AB13" t="s">
        <v>141</v>
      </c>
      <c r="AC13" t="s">
        <v>142</v>
      </c>
      <c r="AD13" t="s">
        <v>134</v>
      </c>
    </row>
    <row r="14" spans="1:30">
      <c r="A14">
        <v>12</v>
      </c>
      <c r="B14">
        <v>12</v>
      </c>
      <c r="C14" t="s">
        <v>60</v>
      </c>
      <c r="D14">
        <f t="shared" si="0"/>
        <v>16</v>
      </c>
      <c r="E14" t="s">
        <v>61</v>
      </c>
      <c r="F14">
        <f t="shared" si="1"/>
        <v>12</v>
      </c>
      <c r="G14" t="s">
        <v>62</v>
      </c>
      <c r="H14" t="s">
        <v>63</v>
      </c>
      <c r="I14" t="s">
        <v>143</v>
      </c>
      <c r="J14" t="s">
        <v>144</v>
      </c>
      <c r="K14" t="s">
        <v>145</v>
      </c>
      <c r="L14" t="s">
        <v>126</v>
      </c>
      <c r="M14" t="s">
        <v>146</v>
      </c>
      <c r="N14" t="s">
        <v>147</v>
      </c>
      <c r="O14" t="s">
        <v>76</v>
      </c>
      <c r="P14" t="s">
        <v>77</v>
      </c>
      <c r="Q14" t="s">
        <v>78</v>
      </c>
      <c r="R14" t="s">
        <v>138</v>
      </c>
      <c r="S14" t="s">
        <v>148</v>
      </c>
      <c r="T14" t="s">
        <v>91</v>
      </c>
      <c r="U14" t="s">
        <v>92</v>
      </c>
      <c r="V14" t="s">
        <v>99</v>
      </c>
      <c r="W14" t="s">
        <v>100</v>
      </c>
      <c r="X14" t="s">
        <v>101</v>
      </c>
      <c r="Y14" t="s">
        <v>149</v>
      </c>
      <c r="Z14" t="s">
        <v>150</v>
      </c>
      <c r="AA14" t="s">
        <v>140</v>
      </c>
      <c r="AB14" t="s">
        <v>151</v>
      </c>
      <c r="AC14" t="s">
        <v>152</v>
      </c>
      <c r="AD14" t="s">
        <v>134</v>
      </c>
    </row>
    <row r="15" spans="1:30">
      <c r="A15">
        <v>13</v>
      </c>
      <c r="B15">
        <v>13</v>
      </c>
      <c r="C15" t="s">
        <v>60</v>
      </c>
      <c r="D15">
        <f t="shared" si="0"/>
        <v>17</v>
      </c>
      <c r="E15" t="s">
        <v>61</v>
      </c>
      <c r="F15">
        <f t="shared" si="1"/>
        <v>13</v>
      </c>
      <c r="G15" t="s">
        <v>62</v>
      </c>
      <c r="H15" t="s">
        <v>63</v>
      </c>
      <c r="I15" t="s">
        <v>153</v>
      </c>
      <c r="J15" t="s">
        <v>154</v>
      </c>
      <c r="K15" t="s">
        <v>155</v>
      </c>
      <c r="L15" t="s">
        <v>156</v>
      </c>
      <c r="M15" t="s">
        <v>146</v>
      </c>
      <c r="N15" t="s">
        <v>147</v>
      </c>
      <c r="O15" t="s">
        <v>76</v>
      </c>
      <c r="P15" t="s">
        <v>77</v>
      </c>
      <c r="Q15" t="s">
        <v>78</v>
      </c>
      <c r="R15" t="s">
        <v>157</v>
      </c>
      <c r="S15" t="s">
        <v>148</v>
      </c>
      <c r="T15" t="s">
        <v>91</v>
      </c>
      <c r="U15" t="s">
        <v>92</v>
      </c>
      <c r="V15" t="s">
        <v>99</v>
      </c>
      <c r="W15" t="s">
        <v>100</v>
      </c>
      <c r="X15" t="s">
        <v>101</v>
      </c>
      <c r="Y15" t="s">
        <v>158</v>
      </c>
      <c r="Z15" t="s">
        <v>150</v>
      </c>
      <c r="AA15" t="s">
        <v>159</v>
      </c>
      <c r="AB15" t="s">
        <v>160</v>
      </c>
      <c r="AC15" t="s">
        <v>161</v>
      </c>
      <c r="AD15" t="s">
        <v>134</v>
      </c>
    </row>
    <row r="16" spans="1:30">
      <c r="A16">
        <v>14</v>
      </c>
      <c r="B16">
        <v>14</v>
      </c>
      <c r="C16" t="s">
        <v>60</v>
      </c>
      <c r="D16">
        <f t="shared" si="0"/>
        <v>18</v>
      </c>
      <c r="E16" t="s">
        <v>61</v>
      </c>
      <c r="F16">
        <f t="shared" si="1"/>
        <v>14</v>
      </c>
      <c r="G16" t="s">
        <v>62</v>
      </c>
      <c r="H16" t="s">
        <v>63</v>
      </c>
      <c r="I16" t="s">
        <v>162</v>
      </c>
      <c r="J16" t="s">
        <v>163</v>
      </c>
      <c r="K16" t="s">
        <v>164</v>
      </c>
      <c r="L16" t="s">
        <v>156</v>
      </c>
      <c r="M16" t="s">
        <v>165</v>
      </c>
      <c r="N16" t="s">
        <v>147</v>
      </c>
      <c r="O16" t="s">
        <v>76</v>
      </c>
      <c r="P16" t="s">
        <v>77</v>
      </c>
      <c r="Q16" t="s">
        <v>78</v>
      </c>
      <c r="R16" t="s">
        <v>157</v>
      </c>
      <c r="S16" t="s">
        <v>166</v>
      </c>
      <c r="T16" t="s">
        <v>91</v>
      </c>
      <c r="U16" t="s">
        <v>92</v>
      </c>
      <c r="V16" t="s">
        <v>99</v>
      </c>
      <c r="W16" t="s">
        <v>100</v>
      </c>
      <c r="X16" t="s">
        <v>101</v>
      </c>
      <c r="Y16" t="s">
        <v>167</v>
      </c>
      <c r="Z16" t="s">
        <v>168</v>
      </c>
      <c r="AA16" t="s">
        <v>159</v>
      </c>
      <c r="AB16" t="s">
        <v>169</v>
      </c>
      <c r="AC16" t="s">
        <v>170</v>
      </c>
      <c r="AD16" t="s">
        <v>134</v>
      </c>
    </row>
    <row r="17" spans="1:30">
      <c r="A17">
        <v>15</v>
      </c>
      <c r="B17">
        <v>15</v>
      </c>
      <c r="C17" t="s">
        <v>60</v>
      </c>
      <c r="D17">
        <f t="shared" si="0"/>
        <v>19</v>
      </c>
      <c r="E17" t="s">
        <v>61</v>
      </c>
      <c r="F17">
        <f t="shared" si="1"/>
        <v>15</v>
      </c>
      <c r="G17" t="s">
        <v>62</v>
      </c>
      <c r="H17" t="s">
        <v>63</v>
      </c>
      <c r="I17" t="s">
        <v>171</v>
      </c>
      <c r="J17" t="s">
        <v>172</v>
      </c>
      <c r="K17" t="s">
        <v>173</v>
      </c>
      <c r="L17" t="s">
        <v>156</v>
      </c>
      <c r="M17" t="s">
        <v>165</v>
      </c>
      <c r="N17" t="s">
        <v>147</v>
      </c>
      <c r="O17" t="s">
        <v>76</v>
      </c>
      <c r="P17" t="s">
        <v>77</v>
      </c>
      <c r="Q17" t="s">
        <v>78</v>
      </c>
      <c r="R17" t="s">
        <v>174</v>
      </c>
      <c r="S17" t="s">
        <v>166</v>
      </c>
      <c r="T17" t="s">
        <v>91</v>
      </c>
      <c r="U17" t="s">
        <v>92</v>
      </c>
      <c r="V17" t="s">
        <v>99</v>
      </c>
      <c r="W17" t="s">
        <v>100</v>
      </c>
      <c r="X17" t="s">
        <v>101</v>
      </c>
      <c r="Y17" t="s">
        <v>175</v>
      </c>
      <c r="Z17" t="s">
        <v>168</v>
      </c>
      <c r="AA17" t="s">
        <v>176</v>
      </c>
      <c r="AB17" t="s">
        <v>177</v>
      </c>
      <c r="AC17" t="s">
        <v>178</v>
      </c>
      <c r="AD17" t="s">
        <v>134</v>
      </c>
    </row>
    <row r="18" spans="1:30">
      <c r="A18">
        <v>16</v>
      </c>
      <c r="B18">
        <v>16</v>
      </c>
      <c r="C18" t="s">
        <v>60</v>
      </c>
      <c r="D18">
        <f t="shared" si="0"/>
        <v>20</v>
      </c>
      <c r="E18" t="s">
        <v>61</v>
      </c>
      <c r="F18">
        <f t="shared" si="1"/>
        <v>16</v>
      </c>
      <c r="G18" t="s">
        <v>62</v>
      </c>
      <c r="H18" t="s">
        <v>63</v>
      </c>
      <c r="I18" t="s">
        <v>179</v>
      </c>
      <c r="J18" t="s">
        <v>180</v>
      </c>
      <c r="K18" t="s">
        <v>181</v>
      </c>
      <c r="L18" t="s">
        <v>182</v>
      </c>
      <c r="M18" t="s">
        <v>183</v>
      </c>
      <c r="N18" t="s">
        <v>147</v>
      </c>
      <c r="O18" t="s">
        <v>76</v>
      </c>
      <c r="P18" t="s">
        <v>77</v>
      </c>
      <c r="Q18" t="s">
        <v>78</v>
      </c>
      <c r="R18" t="s">
        <v>174</v>
      </c>
      <c r="S18" t="s">
        <v>184</v>
      </c>
      <c r="T18" t="s">
        <v>91</v>
      </c>
      <c r="U18" t="s">
        <v>92</v>
      </c>
      <c r="V18" t="s">
        <v>99</v>
      </c>
      <c r="W18" t="s">
        <v>100</v>
      </c>
      <c r="X18" t="s">
        <v>101</v>
      </c>
      <c r="Y18" t="s">
        <v>185</v>
      </c>
      <c r="Z18" t="s">
        <v>186</v>
      </c>
      <c r="AA18" t="s">
        <v>176</v>
      </c>
      <c r="AB18" t="s">
        <v>187</v>
      </c>
      <c r="AC18" t="s">
        <v>188</v>
      </c>
      <c r="AD18" t="s">
        <v>134</v>
      </c>
    </row>
    <row r="19" spans="1:30">
      <c r="A19">
        <v>17</v>
      </c>
      <c r="B19">
        <v>17</v>
      </c>
      <c r="C19" t="s">
        <v>60</v>
      </c>
      <c r="D19">
        <f t="shared" si="0"/>
        <v>21</v>
      </c>
      <c r="E19" t="s">
        <v>61</v>
      </c>
      <c r="F19">
        <f t="shared" si="1"/>
        <v>17</v>
      </c>
      <c r="G19" t="s">
        <v>62</v>
      </c>
      <c r="H19" t="s">
        <v>63</v>
      </c>
      <c r="I19" t="s">
        <v>189</v>
      </c>
      <c r="J19" t="s">
        <v>190</v>
      </c>
      <c r="K19" t="s">
        <v>191</v>
      </c>
      <c r="L19" t="s">
        <v>182</v>
      </c>
      <c r="M19" t="s">
        <v>183</v>
      </c>
      <c r="N19" t="s">
        <v>147</v>
      </c>
      <c r="O19" t="s">
        <v>76</v>
      </c>
      <c r="P19" t="s">
        <v>77</v>
      </c>
      <c r="Q19" t="s">
        <v>78</v>
      </c>
      <c r="R19" t="s">
        <v>192</v>
      </c>
      <c r="S19" t="s">
        <v>184</v>
      </c>
      <c r="T19" t="s">
        <v>91</v>
      </c>
      <c r="U19" t="s">
        <v>92</v>
      </c>
      <c r="V19" t="s">
        <v>99</v>
      </c>
      <c r="W19" t="s">
        <v>100</v>
      </c>
      <c r="X19" t="s">
        <v>101</v>
      </c>
      <c r="Y19" t="s">
        <v>193</v>
      </c>
      <c r="Z19" t="s">
        <v>186</v>
      </c>
      <c r="AA19" t="s">
        <v>194</v>
      </c>
      <c r="AB19" t="s">
        <v>195</v>
      </c>
      <c r="AC19" t="s">
        <v>196</v>
      </c>
      <c r="AD19" t="s">
        <v>134</v>
      </c>
    </row>
    <row r="20" spans="1:30">
      <c r="A20">
        <v>18</v>
      </c>
      <c r="B20">
        <v>18</v>
      </c>
      <c r="C20" t="s">
        <v>60</v>
      </c>
      <c r="D20">
        <f t="shared" si="0"/>
        <v>22</v>
      </c>
      <c r="E20" t="s">
        <v>61</v>
      </c>
      <c r="F20">
        <f t="shared" si="1"/>
        <v>18</v>
      </c>
      <c r="G20" t="s">
        <v>62</v>
      </c>
      <c r="H20" t="s">
        <v>63</v>
      </c>
      <c r="I20" t="s">
        <v>197</v>
      </c>
      <c r="J20" t="s">
        <v>198</v>
      </c>
      <c r="K20" t="s">
        <v>199</v>
      </c>
      <c r="L20" t="s">
        <v>182</v>
      </c>
      <c r="M20" t="s">
        <v>200</v>
      </c>
      <c r="N20" t="s">
        <v>147</v>
      </c>
      <c r="O20" t="s">
        <v>76</v>
      </c>
      <c r="P20" t="s">
        <v>77</v>
      </c>
      <c r="Q20" t="s">
        <v>78</v>
      </c>
      <c r="R20" t="s">
        <v>192</v>
      </c>
      <c r="S20" t="s">
        <v>201</v>
      </c>
      <c r="T20" t="s">
        <v>91</v>
      </c>
      <c r="U20" t="s">
        <v>92</v>
      </c>
      <c r="V20" t="s">
        <v>99</v>
      </c>
      <c r="W20" t="s">
        <v>100</v>
      </c>
      <c r="X20" t="s">
        <v>101</v>
      </c>
      <c r="Y20" t="s">
        <v>202</v>
      </c>
      <c r="Z20" t="s">
        <v>203</v>
      </c>
      <c r="AA20" t="s">
        <v>194</v>
      </c>
      <c r="AB20" t="s">
        <v>204</v>
      </c>
      <c r="AC20" t="s">
        <v>205</v>
      </c>
      <c r="AD20" t="s">
        <v>134</v>
      </c>
    </row>
    <row r="21" spans="1:30">
      <c r="A21">
        <v>19</v>
      </c>
      <c r="B21">
        <v>19</v>
      </c>
      <c r="C21" t="s">
        <v>60</v>
      </c>
      <c r="D21">
        <f t="shared" si="0"/>
        <v>23</v>
      </c>
      <c r="E21" t="s">
        <v>61</v>
      </c>
      <c r="F21">
        <f t="shared" si="1"/>
        <v>19</v>
      </c>
      <c r="G21" t="s">
        <v>62</v>
      </c>
      <c r="H21" t="s">
        <v>63</v>
      </c>
      <c r="I21" t="s">
        <v>206</v>
      </c>
      <c r="J21" t="s">
        <v>207</v>
      </c>
      <c r="K21" t="s">
        <v>208</v>
      </c>
      <c r="L21" t="s">
        <v>209</v>
      </c>
      <c r="M21" t="s">
        <v>200</v>
      </c>
      <c r="N21" t="s">
        <v>147</v>
      </c>
      <c r="O21" t="s">
        <v>76</v>
      </c>
      <c r="P21" t="s">
        <v>77</v>
      </c>
      <c r="Q21" t="s">
        <v>78</v>
      </c>
      <c r="R21" t="s">
        <v>210</v>
      </c>
      <c r="S21" t="s">
        <v>201</v>
      </c>
      <c r="T21" t="s">
        <v>91</v>
      </c>
      <c r="U21" t="s">
        <v>92</v>
      </c>
      <c r="V21" t="s">
        <v>99</v>
      </c>
      <c r="W21" t="s">
        <v>100</v>
      </c>
      <c r="X21" t="s">
        <v>101</v>
      </c>
      <c r="Y21" t="s">
        <v>211</v>
      </c>
      <c r="Z21" t="s">
        <v>203</v>
      </c>
      <c r="AA21" t="s">
        <v>212</v>
      </c>
      <c r="AB21" t="s">
        <v>213</v>
      </c>
      <c r="AC21" t="s">
        <v>214</v>
      </c>
      <c r="AD21" t="s">
        <v>134</v>
      </c>
    </row>
    <row r="22" spans="1:30">
      <c r="A22">
        <v>20</v>
      </c>
      <c r="B22">
        <v>20</v>
      </c>
      <c r="C22" t="s">
        <v>60</v>
      </c>
      <c r="D22">
        <f t="shared" si="0"/>
        <v>24</v>
      </c>
      <c r="E22" t="s">
        <v>61</v>
      </c>
      <c r="F22">
        <f t="shared" si="1"/>
        <v>20</v>
      </c>
      <c r="G22" t="s">
        <v>62</v>
      </c>
      <c r="H22" t="s">
        <v>63</v>
      </c>
      <c r="I22" t="s">
        <v>215</v>
      </c>
      <c r="J22" t="s">
        <v>216</v>
      </c>
      <c r="K22" t="s">
        <v>217</v>
      </c>
      <c r="L22" t="s">
        <v>209</v>
      </c>
      <c r="M22" t="s">
        <v>218</v>
      </c>
      <c r="N22" t="s">
        <v>147</v>
      </c>
      <c r="O22" t="s">
        <v>76</v>
      </c>
      <c r="P22" t="s">
        <v>77</v>
      </c>
      <c r="Q22" t="s">
        <v>78</v>
      </c>
      <c r="R22" t="s">
        <v>210</v>
      </c>
      <c r="S22" t="s">
        <v>219</v>
      </c>
      <c r="T22" t="s">
        <v>91</v>
      </c>
      <c r="U22" t="s">
        <v>92</v>
      </c>
      <c r="V22" t="s">
        <v>99</v>
      </c>
      <c r="W22" t="s">
        <v>100</v>
      </c>
      <c r="X22" t="s">
        <v>101</v>
      </c>
      <c r="Y22" t="s">
        <v>220</v>
      </c>
      <c r="Z22" t="s">
        <v>221</v>
      </c>
      <c r="AA22" t="s">
        <v>212</v>
      </c>
      <c r="AB22" t="s">
        <v>222</v>
      </c>
      <c r="AC22" t="s">
        <v>223</v>
      </c>
      <c r="AD22" t="s">
        <v>134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ConfigVIP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嗯嗯</cp:lastModifiedBy>
  <dcterms:created xsi:type="dcterms:W3CDTF">2026-03-17T11:30:00Z</dcterms:created>
  <dcterms:modified xsi:type="dcterms:W3CDTF">2026-03-19T03:03:41Z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3907A67BC44E455BB0FB020A8ADB04EA_12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