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ummonPetConfig" sheetId="1" r:id="rId1"/>
    <sheet name="说明" sheetId="2" r:id="rId2"/>
  </sheets>
  <externalReferences>
    <externalReference r:id="rId3"/>
  </externalReferences>
  <definedNames>
    <definedName name="技能类型">[1]名称表!#REF!</definedName>
    <definedName name="技能系别">[1]名称表!#REF!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<sst xmlns="http://schemas.openxmlformats.org/spreadsheetml/2006/main" count="131" uniqueCount="53">
  <si>
    <t>召唤兽ID</t>
  </si>
  <si>
    <t>品类ID</t>
  </si>
  <si>
    <t>名称</t>
  </si>
  <si>
    <t>等级</t>
  </si>
  <si>
    <t>技能1ID</t>
  </si>
  <si>
    <t>技能2ID</t>
  </si>
  <si>
    <t>技能3ID</t>
  </si>
  <si>
    <t>技能4ID</t>
  </si>
  <si>
    <t>升级所需经验</t>
  </si>
  <si>
    <t>移动速度</t>
  </si>
  <si>
    <t>物防下限</t>
  </si>
  <si>
    <t>物防上限</t>
  </si>
  <si>
    <t>魔防下限</t>
  </si>
  <si>
    <t>魔防上限</t>
  </si>
  <si>
    <t>攻击下限</t>
  </si>
  <si>
    <t>攻击上限</t>
  </si>
  <si>
    <t>道术下限</t>
  </si>
  <si>
    <t>道术上限</t>
  </si>
  <si>
    <t>生命值</t>
  </si>
  <si>
    <t>魔法值</t>
  </si>
  <si>
    <t>防御继承比例</t>
  </si>
  <si>
    <t>道术继承比例</t>
  </si>
  <si>
    <t>生命值继承比例</t>
  </si>
  <si>
    <t>模型ID</t>
  </si>
  <si>
    <t>SummonPetID</t>
  </si>
  <si>
    <t>KindID</t>
  </si>
  <si>
    <t>Name</t>
  </si>
  <si>
    <t>Level</t>
  </si>
  <si>
    <t>Skill1ID</t>
  </si>
  <si>
    <t>Skill2ID</t>
  </si>
  <si>
    <t>Skill3ID</t>
  </si>
  <si>
    <t>Skill4ID</t>
  </si>
  <si>
    <t>ExpToNextLevel</t>
  </si>
  <si>
    <t>MoveSpeed</t>
  </si>
  <si>
    <t>PhyDefMin</t>
  </si>
  <si>
    <t>PhyDefMax</t>
  </si>
  <si>
    <t>MagDefMin</t>
  </si>
  <si>
    <t>MagDefMax</t>
  </si>
  <si>
    <t>AtkMin</t>
  </si>
  <si>
    <t>AtkMax</t>
  </si>
  <si>
    <t>TaoMin</t>
  </si>
  <si>
    <t>TaoMax</t>
  </si>
  <si>
    <t>HP</t>
  </si>
  <si>
    <t>MP</t>
  </si>
  <si>
    <t>DefInheritRate</t>
  </si>
  <si>
    <t>TaoInheritRate</t>
  </si>
  <si>
    <t>HPInheritRate</t>
  </si>
  <si>
    <t>ModelID</t>
  </si>
  <si>
    <t>骷髅</t>
  </si>
  <si>
    <t>ani_monster_kulouzhanshi_01</t>
  </si>
  <si>
    <t>神兽</t>
  </si>
  <si>
    <t>ani_monster_hongmojiaozhu_01</t>
  </si>
  <si>
    <t>当前版本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</si>
</sst>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FFC000"/>
      <name val="Consolas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workbookViewId="0">
      <selection activeCell="N45" sqref="N45"/>
    </sheetView>
  </sheetViews>
  <sheetFormatPr defaultColWidth="9" defaultRowHeight="16.5"/>
  <cols>
    <col min="1" max="1" width="11.2727272727273" style="1" customWidth="1"/>
    <col min="2" max="8" width="9" style="1"/>
    <col min="9" max="9" width="14.7272727272727" style="1" customWidth="1"/>
    <col min="10" max="11" width="9" style="1"/>
    <col min="12" max="12" width="9.63636363636364" style="1" customWidth="1"/>
    <col min="13" max="20" width="8.81818181818182" style="1" customWidth="1"/>
    <col min="21" max="21" width="14.4545454545455" style="1" customWidth="1"/>
    <col min="22" max="22" width="13.0909090909091" style="1" customWidth="1"/>
    <col min="23" max="23" width="14.4545454545455" style="1" customWidth="1"/>
    <col min="24" max="24" width="15.0909090909091" style="1" customWidth="1"/>
    <col min="25" max="1638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</row>
    <row r="3" spans="1:24">
      <c r="A3" s="1">
        <v>1</v>
      </c>
      <c r="B3" s="4">
        <v>1</v>
      </c>
      <c r="C3" s="4" t="s">
        <v>48</v>
      </c>
      <c r="D3" s="4">
        <v>1</v>
      </c>
      <c r="E3" s="4">
        <v>11010001</v>
      </c>
      <c r="F3" s="4"/>
      <c r="G3" s="4"/>
      <c r="H3" s="4"/>
      <c r="I3" s="4">
        <v>500</v>
      </c>
      <c r="J3" s="4">
        <v>270</v>
      </c>
      <c r="K3" s="4">
        <v>5</v>
      </c>
      <c r="L3" s="4">
        <v>8</v>
      </c>
      <c r="M3" s="4">
        <v>3</v>
      </c>
      <c r="N3" s="4">
        <v>5</v>
      </c>
      <c r="O3" s="4">
        <v>10</v>
      </c>
      <c r="P3" s="4">
        <v>15</v>
      </c>
      <c r="Q3" s="4">
        <v>1</v>
      </c>
      <c r="R3" s="4">
        <v>2</v>
      </c>
      <c r="S3" s="4">
        <v>200</v>
      </c>
      <c r="T3" s="4">
        <v>200</v>
      </c>
      <c r="U3" s="4">
        <v>100</v>
      </c>
      <c r="V3" s="4">
        <v>100</v>
      </c>
      <c r="W3" s="4">
        <v>500</v>
      </c>
      <c r="X3" s="5" t="s">
        <v>49</v>
      </c>
    </row>
    <row r="4" spans="1:24">
      <c r="A4" s="1">
        <v>2</v>
      </c>
      <c r="B4" s="6">
        <v>1</v>
      </c>
      <c r="C4" s="6" t="s">
        <v>48</v>
      </c>
      <c r="D4" s="6">
        <v>2</v>
      </c>
      <c r="E4" s="6">
        <v>11010001</v>
      </c>
      <c r="F4" s="6"/>
      <c r="G4" s="6"/>
      <c r="H4" s="6"/>
      <c r="I4" s="6">
        <v>1200</v>
      </c>
      <c r="J4" s="6">
        <v>270</v>
      </c>
      <c r="K4" s="6">
        <v>8</v>
      </c>
      <c r="L4" s="6">
        <v>12</v>
      </c>
      <c r="M4" s="6">
        <v>5</v>
      </c>
      <c r="N4" s="6">
        <v>8</v>
      </c>
      <c r="O4" s="6">
        <v>15</v>
      </c>
      <c r="P4" s="6">
        <v>22</v>
      </c>
      <c r="Q4" s="6">
        <v>2</v>
      </c>
      <c r="R4" s="6">
        <v>3</v>
      </c>
      <c r="S4" s="6">
        <v>320</v>
      </c>
      <c r="T4" s="6">
        <v>320</v>
      </c>
      <c r="U4" s="6">
        <v>120</v>
      </c>
      <c r="V4" s="6">
        <v>120</v>
      </c>
      <c r="W4" s="6">
        <v>600</v>
      </c>
      <c r="X4" s="5" t="s">
        <v>49</v>
      </c>
    </row>
    <row r="5" spans="1:24">
      <c r="A5" s="1">
        <v>3</v>
      </c>
      <c r="B5" s="4">
        <v>1</v>
      </c>
      <c r="C5" s="4" t="s">
        <v>48</v>
      </c>
      <c r="D5" s="4">
        <v>3</v>
      </c>
      <c r="E5" s="4">
        <v>11010001</v>
      </c>
      <c r="F5" s="4">
        <v>11020001</v>
      </c>
      <c r="G5" s="4"/>
      <c r="H5" s="4"/>
      <c r="I5" s="4">
        <v>2500</v>
      </c>
      <c r="J5" s="4">
        <v>270</v>
      </c>
      <c r="K5" s="4">
        <v>12</v>
      </c>
      <c r="L5" s="4">
        <v>18</v>
      </c>
      <c r="M5" s="4">
        <v>8</v>
      </c>
      <c r="N5" s="4">
        <v>12</v>
      </c>
      <c r="O5" s="4">
        <v>22</v>
      </c>
      <c r="P5" s="4">
        <v>32</v>
      </c>
      <c r="Q5" s="4">
        <v>3</v>
      </c>
      <c r="R5" s="4">
        <v>4</v>
      </c>
      <c r="S5" s="4">
        <v>480</v>
      </c>
      <c r="T5" s="4">
        <v>480</v>
      </c>
      <c r="U5" s="4">
        <v>150</v>
      </c>
      <c r="V5" s="4">
        <v>150</v>
      </c>
      <c r="W5" s="4">
        <v>700</v>
      </c>
      <c r="X5" s="5" t="s">
        <v>49</v>
      </c>
    </row>
    <row r="6" spans="1:24">
      <c r="A6" s="1">
        <v>4</v>
      </c>
      <c r="B6" s="4">
        <v>1</v>
      </c>
      <c r="C6" s="4" t="s">
        <v>48</v>
      </c>
      <c r="D6" s="4">
        <v>4</v>
      </c>
      <c r="E6" s="4">
        <v>11010001</v>
      </c>
      <c r="F6" s="4">
        <v>11020001</v>
      </c>
      <c r="G6" s="7"/>
      <c r="H6" s="7"/>
      <c r="I6" s="7">
        <f t="shared" ref="I6:I22" si="0">I5+500</f>
        <v>3000</v>
      </c>
      <c r="J6" s="6">
        <v>270</v>
      </c>
      <c r="K6" s="4">
        <f t="shared" ref="K6:K22" si="1">K5+4</f>
        <v>16</v>
      </c>
      <c r="L6" s="4">
        <f t="shared" ref="L6:L22" si="2">L5+4</f>
        <v>22</v>
      </c>
      <c r="M6" s="7">
        <f t="shared" ref="M6:R6" si="3">M5+3</f>
        <v>11</v>
      </c>
      <c r="N6" s="7">
        <f t="shared" si="3"/>
        <v>15</v>
      </c>
      <c r="O6" s="7">
        <f t="shared" si="3"/>
        <v>25</v>
      </c>
      <c r="P6" s="7">
        <f t="shared" si="3"/>
        <v>35</v>
      </c>
      <c r="Q6" s="7">
        <f t="shared" si="3"/>
        <v>6</v>
      </c>
      <c r="R6" s="7">
        <f t="shared" si="3"/>
        <v>7</v>
      </c>
      <c r="S6" s="7">
        <f t="shared" ref="S6:S22" si="4">S5+222</f>
        <v>702</v>
      </c>
      <c r="T6" s="7">
        <f t="shared" ref="T6:T22" si="5">T5+222</f>
        <v>702</v>
      </c>
      <c r="U6" s="7">
        <f t="shared" ref="U6:W6" si="6">U5+30</f>
        <v>180</v>
      </c>
      <c r="V6" s="7">
        <f t="shared" si="6"/>
        <v>180</v>
      </c>
      <c r="W6" s="7">
        <f t="shared" si="6"/>
        <v>730</v>
      </c>
      <c r="X6" s="5" t="s">
        <v>49</v>
      </c>
    </row>
    <row r="7" spans="1:24">
      <c r="A7" s="1">
        <v>5</v>
      </c>
      <c r="B7" s="6">
        <v>1</v>
      </c>
      <c r="C7" s="6" t="s">
        <v>48</v>
      </c>
      <c r="D7" s="6">
        <v>5</v>
      </c>
      <c r="E7" s="4">
        <v>11010001</v>
      </c>
      <c r="F7" s="4">
        <v>11020001</v>
      </c>
      <c r="G7" s="7"/>
      <c r="H7" s="7"/>
      <c r="I7" s="7">
        <f t="shared" si="0"/>
        <v>3500</v>
      </c>
      <c r="J7" s="4">
        <v>270</v>
      </c>
      <c r="K7" s="4">
        <f t="shared" si="1"/>
        <v>20</v>
      </c>
      <c r="L7" s="4">
        <f t="shared" si="2"/>
        <v>26</v>
      </c>
      <c r="M7" s="7">
        <f t="shared" ref="M7:R7" si="7">M6+3</f>
        <v>14</v>
      </c>
      <c r="N7" s="7">
        <f t="shared" si="7"/>
        <v>18</v>
      </c>
      <c r="O7" s="7">
        <f t="shared" si="7"/>
        <v>28</v>
      </c>
      <c r="P7" s="7">
        <f t="shared" si="7"/>
        <v>38</v>
      </c>
      <c r="Q7" s="7">
        <f t="shared" si="7"/>
        <v>9</v>
      </c>
      <c r="R7" s="7">
        <f t="shared" si="7"/>
        <v>10</v>
      </c>
      <c r="S7" s="7">
        <f t="shared" si="4"/>
        <v>924</v>
      </c>
      <c r="T7" s="7">
        <f t="shared" si="5"/>
        <v>924</v>
      </c>
      <c r="U7" s="7">
        <f t="shared" ref="U7:W7" si="8">U6+30</f>
        <v>210</v>
      </c>
      <c r="V7" s="7">
        <f t="shared" si="8"/>
        <v>210</v>
      </c>
      <c r="W7" s="7">
        <f t="shared" si="8"/>
        <v>760</v>
      </c>
      <c r="X7" s="5" t="s">
        <v>49</v>
      </c>
    </row>
    <row r="8" spans="1:24">
      <c r="A8" s="1">
        <v>6</v>
      </c>
      <c r="B8" s="4">
        <v>1</v>
      </c>
      <c r="C8" s="4" t="s">
        <v>48</v>
      </c>
      <c r="D8" s="4">
        <v>6</v>
      </c>
      <c r="E8" s="4">
        <v>11010001</v>
      </c>
      <c r="F8" s="4">
        <v>11020001</v>
      </c>
      <c r="G8" s="7"/>
      <c r="H8" s="7"/>
      <c r="I8" s="7">
        <f t="shared" si="0"/>
        <v>4000</v>
      </c>
      <c r="J8" s="6">
        <v>270</v>
      </c>
      <c r="K8" s="4">
        <f t="shared" si="1"/>
        <v>24</v>
      </c>
      <c r="L8" s="4">
        <f t="shared" si="2"/>
        <v>30</v>
      </c>
      <c r="M8" s="7">
        <f t="shared" ref="M8:R8" si="9">M7+3</f>
        <v>17</v>
      </c>
      <c r="N8" s="7">
        <f t="shared" si="9"/>
        <v>21</v>
      </c>
      <c r="O8" s="7">
        <f t="shared" si="9"/>
        <v>31</v>
      </c>
      <c r="P8" s="7">
        <f t="shared" si="9"/>
        <v>41</v>
      </c>
      <c r="Q8" s="7">
        <f t="shared" si="9"/>
        <v>12</v>
      </c>
      <c r="R8" s="7">
        <f t="shared" si="9"/>
        <v>13</v>
      </c>
      <c r="S8" s="7">
        <f t="shared" si="4"/>
        <v>1146</v>
      </c>
      <c r="T8" s="7">
        <f t="shared" si="5"/>
        <v>1146</v>
      </c>
      <c r="U8" s="7">
        <f t="shared" ref="U8:W8" si="10">U7+30</f>
        <v>240</v>
      </c>
      <c r="V8" s="7">
        <f t="shared" si="10"/>
        <v>240</v>
      </c>
      <c r="W8" s="7">
        <f t="shared" si="10"/>
        <v>790</v>
      </c>
      <c r="X8" s="5" t="s">
        <v>49</v>
      </c>
    </row>
    <row r="9" spans="1:24">
      <c r="A9" s="1">
        <v>7</v>
      </c>
      <c r="B9" s="4">
        <v>1</v>
      </c>
      <c r="C9" s="4" t="s">
        <v>48</v>
      </c>
      <c r="D9" s="4">
        <v>7</v>
      </c>
      <c r="E9" s="4">
        <v>11010001</v>
      </c>
      <c r="F9" s="4">
        <v>11020001</v>
      </c>
      <c r="G9" s="7"/>
      <c r="H9" s="7"/>
      <c r="I9" s="7">
        <f t="shared" si="0"/>
        <v>4500</v>
      </c>
      <c r="J9" s="4">
        <v>270</v>
      </c>
      <c r="K9" s="4">
        <f t="shared" si="1"/>
        <v>28</v>
      </c>
      <c r="L9" s="4">
        <f t="shared" si="2"/>
        <v>34</v>
      </c>
      <c r="M9" s="7">
        <f t="shared" ref="M9:R9" si="11">M8+3</f>
        <v>20</v>
      </c>
      <c r="N9" s="7">
        <f t="shared" si="11"/>
        <v>24</v>
      </c>
      <c r="O9" s="7">
        <f t="shared" si="11"/>
        <v>34</v>
      </c>
      <c r="P9" s="7">
        <f t="shared" si="11"/>
        <v>44</v>
      </c>
      <c r="Q9" s="7">
        <f t="shared" si="11"/>
        <v>15</v>
      </c>
      <c r="R9" s="7">
        <f t="shared" si="11"/>
        <v>16</v>
      </c>
      <c r="S9" s="7">
        <f t="shared" si="4"/>
        <v>1368</v>
      </c>
      <c r="T9" s="7">
        <f t="shared" si="5"/>
        <v>1368</v>
      </c>
      <c r="U9" s="7">
        <f t="shared" ref="U9:W9" si="12">U8+30</f>
        <v>270</v>
      </c>
      <c r="V9" s="7">
        <f t="shared" si="12"/>
        <v>270</v>
      </c>
      <c r="W9" s="7">
        <f t="shared" si="12"/>
        <v>820</v>
      </c>
      <c r="X9" s="5" t="s">
        <v>49</v>
      </c>
    </row>
    <row r="10" spans="1:24">
      <c r="A10" s="1">
        <v>8</v>
      </c>
      <c r="B10" s="6">
        <v>1</v>
      </c>
      <c r="C10" s="6" t="s">
        <v>48</v>
      </c>
      <c r="D10" s="6">
        <v>8</v>
      </c>
      <c r="E10" s="4">
        <v>11010001</v>
      </c>
      <c r="F10" s="4">
        <v>11020001</v>
      </c>
      <c r="G10" s="7"/>
      <c r="H10" s="7"/>
      <c r="I10" s="7">
        <f t="shared" si="0"/>
        <v>5000</v>
      </c>
      <c r="J10" s="6">
        <v>270</v>
      </c>
      <c r="K10" s="4">
        <f t="shared" si="1"/>
        <v>32</v>
      </c>
      <c r="L10" s="4">
        <f t="shared" si="2"/>
        <v>38</v>
      </c>
      <c r="M10" s="7">
        <f t="shared" ref="M10:R10" si="13">M9+3</f>
        <v>23</v>
      </c>
      <c r="N10" s="7">
        <f t="shared" si="13"/>
        <v>27</v>
      </c>
      <c r="O10" s="7">
        <f t="shared" si="13"/>
        <v>37</v>
      </c>
      <c r="P10" s="7">
        <f t="shared" si="13"/>
        <v>47</v>
      </c>
      <c r="Q10" s="7">
        <f t="shared" si="13"/>
        <v>18</v>
      </c>
      <c r="R10" s="7">
        <f t="shared" si="13"/>
        <v>19</v>
      </c>
      <c r="S10" s="7">
        <f t="shared" si="4"/>
        <v>1590</v>
      </c>
      <c r="T10" s="7">
        <f t="shared" si="5"/>
        <v>1590</v>
      </c>
      <c r="U10" s="7">
        <f t="shared" ref="U10:W10" si="14">U9+30</f>
        <v>300</v>
      </c>
      <c r="V10" s="7">
        <f t="shared" si="14"/>
        <v>300</v>
      </c>
      <c r="W10" s="7">
        <f t="shared" si="14"/>
        <v>850</v>
      </c>
      <c r="X10" s="5" t="s">
        <v>49</v>
      </c>
    </row>
    <row r="11" spans="1:24">
      <c r="A11" s="1">
        <v>9</v>
      </c>
      <c r="B11" s="4">
        <v>1</v>
      </c>
      <c r="C11" s="4" t="s">
        <v>48</v>
      </c>
      <c r="D11" s="4">
        <v>9</v>
      </c>
      <c r="E11" s="4">
        <v>11010001</v>
      </c>
      <c r="F11" s="4">
        <v>11020001</v>
      </c>
      <c r="G11" s="7"/>
      <c r="H11" s="7"/>
      <c r="I11" s="7">
        <f t="shared" si="0"/>
        <v>5500</v>
      </c>
      <c r="J11" s="4">
        <v>270</v>
      </c>
      <c r="K11" s="4">
        <f t="shared" si="1"/>
        <v>36</v>
      </c>
      <c r="L11" s="4">
        <f t="shared" si="2"/>
        <v>42</v>
      </c>
      <c r="M11" s="7">
        <f t="shared" ref="M11:R11" si="15">M10+3</f>
        <v>26</v>
      </c>
      <c r="N11" s="7">
        <f t="shared" si="15"/>
        <v>30</v>
      </c>
      <c r="O11" s="7">
        <f t="shared" si="15"/>
        <v>40</v>
      </c>
      <c r="P11" s="7">
        <f t="shared" si="15"/>
        <v>50</v>
      </c>
      <c r="Q11" s="7">
        <f t="shared" si="15"/>
        <v>21</v>
      </c>
      <c r="R11" s="7">
        <f t="shared" si="15"/>
        <v>22</v>
      </c>
      <c r="S11" s="7">
        <f t="shared" si="4"/>
        <v>1812</v>
      </c>
      <c r="T11" s="7">
        <f t="shared" si="5"/>
        <v>1812</v>
      </c>
      <c r="U11" s="7">
        <f t="shared" ref="U11:W11" si="16">U10+30</f>
        <v>330</v>
      </c>
      <c r="V11" s="7">
        <f t="shared" si="16"/>
        <v>330</v>
      </c>
      <c r="W11" s="7">
        <f t="shared" si="16"/>
        <v>880</v>
      </c>
      <c r="X11" s="5" t="s">
        <v>49</v>
      </c>
    </row>
    <row r="12" spans="1:24">
      <c r="A12" s="1">
        <v>10</v>
      </c>
      <c r="B12" s="4">
        <v>1</v>
      </c>
      <c r="C12" s="4" t="s">
        <v>48</v>
      </c>
      <c r="D12" s="4">
        <v>10</v>
      </c>
      <c r="E12" s="4">
        <v>11010001</v>
      </c>
      <c r="F12" s="4">
        <v>11020001</v>
      </c>
      <c r="G12" s="7"/>
      <c r="H12" s="7"/>
      <c r="I12" s="7">
        <f t="shared" si="0"/>
        <v>6000</v>
      </c>
      <c r="J12" s="6">
        <v>270</v>
      </c>
      <c r="K12" s="4">
        <f t="shared" si="1"/>
        <v>40</v>
      </c>
      <c r="L12" s="4">
        <f t="shared" si="2"/>
        <v>46</v>
      </c>
      <c r="M12" s="7">
        <f t="shared" ref="M12:R12" si="17">M11+3</f>
        <v>29</v>
      </c>
      <c r="N12" s="7">
        <f t="shared" si="17"/>
        <v>33</v>
      </c>
      <c r="O12" s="7">
        <f t="shared" si="17"/>
        <v>43</v>
      </c>
      <c r="P12" s="7">
        <f t="shared" si="17"/>
        <v>53</v>
      </c>
      <c r="Q12" s="7">
        <f t="shared" si="17"/>
        <v>24</v>
      </c>
      <c r="R12" s="7">
        <f t="shared" si="17"/>
        <v>25</v>
      </c>
      <c r="S12" s="7">
        <f t="shared" si="4"/>
        <v>2034</v>
      </c>
      <c r="T12" s="7">
        <f t="shared" si="5"/>
        <v>2034</v>
      </c>
      <c r="U12" s="7">
        <f t="shared" ref="U12:W12" si="18">U11+30</f>
        <v>360</v>
      </c>
      <c r="V12" s="7">
        <f t="shared" si="18"/>
        <v>360</v>
      </c>
      <c r="W12" s="7">
        <f t="shared" si="18"/>
        <v>910</v>
      </c>
      <c r="X12" s="5" t="s">
        <v>49</v>
      </c>
    </row>
    <row r="13" spans="1:24">
      <c r="A13" s="1">
        <v>11</v>
      </c>
      <c r="B13" s="6">
        <v>1</v>
      </c>
      <c r="C13" s="6" t="s">
        <v>48</v>
      </c>
      <c r="D13" s="6">
        <v>11</v>
      </c>
      <c r="E13" s="4">
        <v>11010001</v>
      </c>
      <c r="F13" s="4">
        <v>11020001</v>
      </c>
      <c r="G13" s="7"/>
      <c r="H13" s="7"/>
      <c r="I13" s="7">
        <f t="shared" si="0"/>
        <v>6500</v>
      </c>
      <c r="J13" s="4">
        <v>270</v>
      </c>
      <c r="K13" s="4">
        <f t="shared" si="1"/>
        <v>44</v>
      </c>
      <c r="L13" s="4">
        <f t="shared" si="2"/>
        <v>50</v>
      </c>
      <c r="M13" s="7">
        <f t="shared" ref="M13:R13" si="19">M12+3</f>
        <v>32</v>
      </c>
      <c r="N13" s="7">
        <f t="shared" si="19"/>
        <v>36</v>
      </c>
      <c r="O13" s="7">
        <f t="shared" si="19"/>
        <v>46</v>
      </c>
      <c r="P13" s="7">
        <f t="shared" si="19"/>
        <v>56</v>
      </c>
      <c r="Q13" s="7">
        <f t="shared" si="19"/>
        <v>27</v>
      </c>
      <c r="R13" s="7">
        <f t="shared" si="19"/>
        <v>28</v>
      </c>
      <c r="S13" s="7">
        <f t="shared" si="4"/>
        <v>2256</v>
      </c>
      <c r="T13" s="7">
        <f t="shared" si="5"/>
        <v>2256</v>
      </c>
      <c r="U13" s="7">
        <f t="shared" ref="U13:W13" si="20">U12+30</f>
        <v>390</v>
      </c>
      <c r="V13" s="7">
        <f t="shared" si="20"/>
        <v>390</v>
      </c>
      <c r="W13" s="7">
        <f t="shared" si="20"/>
        <v>940</v>
      </c>
      <c r="X13" s="5" t="s">
        <v>49</v>
      </c>
    </row>
    <row r="14" spans="1:24">
      <c r="A14" s="1">
        <v>12</v>
      </c>
      <c r="B14" s="4">
        <v>1</v>
      </c>
      <c r="C14" s="4" t="s">
        <v>48</v>
      </c>
      <c r="D14" s="4">
        <v>12</v>
      </c>
      <c r="E14" s="4">
        <v>11010001</v>
      </c>
      <c r="F14" s="4">
        <v>11020001</v>
      </c>
      <c r="G14" s="7"/>
      <c r="H14" s="7"/>
      <c r="I14" s="7">
        <f t="shared" si="0"/>
        <v>7000</v>
      </c>
      <c r="J14" s="6">
        <v>270</v>
      </c>
      <c r="K14" s="4">
        <f t="shared" si="1"/>
        <v>48</v>
      </c>
      <c r="L14" s="4">
        <f t="shared" si="2"/>
        <v>54</v>
      </c>
      <c r="M14" s="7">
        <f t="shared" ref="M14:R14" si="21">M13+3</f>
        <v>35</v>
      </c>
      <c r="N14" s="7">
        <f t="shared" si="21"/>
        <v>39</v>
      </c>
      <c r="O14" s="7">
        <f t="shared" si="21"/>
        <v>49</v>
      </c>
      <c r="P14" s="7">
        <f t="shared" si="21"/>
        <v>59</v>
      </c>
      <c r="Q14" s="7">
        <f t="shared" si="21"/>
        <v>30</v>
      </c>
      <c r="R14" s="7">
        <f t="shared" si="21"/>
        <v>31</v>
      </c>
      <c r="S14" s="7">
        <f t="shared" si="4"/>
        <v>2478</v>
      </c>
      <c r="T14" s="7">
        <f t="shared" si="5"/>
        <v>2478</v>
      </c>
      <c r="U14" s="7">
        <f t="shared" ref="U14:W14" si="22">U13+30</f>
        <v>420</v>
      </c>
      <c r="V14" s="7">
        <f t="shared" si="22"/>
        <v>420</v>
      </c>
      <c r="W14" s="7">
        <f t="shared" si="22"/>
        <v>970</v>
      </c>
      <c r="X14" s="5" t="s">
        <v>49</v>
      </c>
    </row>
    <row r="15" spans="1:24">
      <c r="A15" s="1">
        <v>13</v>
      </c>
      <c r="B15" s="4">
        <v>1</v>
      </c>
      <c r="C15" s="4" t="s">
        <v>48</v>
      </c>
      <c r="D15" s="4">
        <v>13</v>
      </c>
      <c r="E15" s="4">
        <v>11010001</v>
      </c>
      <c r="F15" s="4">
        <v>11020001</v>
      </c>
      <c r="G15" s="7"/>
      <c r="H15" s="7"/>
      <c r="I15" s="7">
        <f t="shared" si="0"/>
        <v>7500</v>
      </c>
      <c r="J15" s="4">
        <v>270</v>
      </c>
      <c r="K15" s="4">
        <f t="shared" si="1"/>
        <v>52</v>
      </c>
      <c r="L15" s="4">
        <f t="shared" si="2"/>
        <v>58</v>
      </c>
      <c r="M15" s="7">
        <f t="shared" ref="M15:R15" si="23">M14+3</f>
        <v>38</v>
      </c>
      <c r="N15" s="7">
        <f t="shared" si="23"/>
        <v>42</v>
      </c>
      <c r="O15" s="7">
        <f t="shared" si="23"/>
        <v>52</v>
      </c>
      <c r="P15" s="7">
        <f t="shared" si="23"/>
        <v>62</v>
      </c>
      <c r="Q15" s="7">
        <f t="shared" si="23"/>
        <v>33</v>
      </c>
      <c r="R15" s="7">
        <f t="shared" si="23"/>
        <v>34</v>
      </c>
      <c r="S15" s="7">
        <f t="shared" si="4"/>
        <v>2700</v>
      </c>
      <c r="T15" s="7">
        <f t="shared" si="5"/>
        <v>2700</v>
      </c>
      <c r="U15" s="7">
        <f t="shared" ref="U15:W15" si="24">U14+30</f>
        <v>450</v>
      </c>
      <c r="V15" s="7">
        <f t="shared" si="24"/>
        <v>450</v>
      </c>
      <c r="W15" s="7">
        <f t="shared" si="24"/>
        <v>1000</v>
      </c>
      <c r="X15" s="5" t="s">
        <v>49</v>
      </c>
    </row>
    <row r="16" spans="1:24">
      <c r="A16" s="1">
        <v>14</v>
      </c>
      <c r="B16" s="6">
        <v>1</v>
      </c>
      <c r="C16" s="6" t="s">
        <v>48</v>
      </c>
      <c r="D16" s="6">
        <v>14</v>
      </c>
      <c r="E16" s="4">
        <v>11010001</v>
      </c>
      <c r="F16" s="4">
        <v>11020001</v>
      </c>
      <c r="G16" s="7"/>
      <c r="H16" s="7"/>
      <c r="I16" s="7">
        <f t="shared" si="0"/>
        <v>8000</v>
      </c>
      <c r="J16" s="6">
        <v>270</v>
      </c>
      <c r="K16" s="4">
        <f t="shared" si="1"/>
        <v>56</v>
      </c>
      <c r="L16" s="4">
        <f t="shared" si="2"/>
        <v>62</v>
      </c>
      <c r="M16" s="7">
        <f t="shared" ref="M16:R16" si="25">M15+3</f>
        <v>41</v>
      </c>
      <c r="N16" s="7">
        <f t="shared" si="25"/>
        <v>45</v>
      </c>
      <c r="O16" s="7">
        <f t="shared" si="25"/>
        <v>55</v>
      </c>
      <c r="P16" s="7">
        <f t="shared" si="25"/>
        <v>65</v>
      </c>
      <c r="Q16" s="7">
        <f t="shared" si="25"/>
        <v>36</v>
      </c>
      <c r="R16" s="7">
        <f t="shared" si="25"/>
        <v>37</v>
      </c>
      <c r="S16" s="7">
        <f t="shared" si="4"/>
        <v>2922</v>
      </c>
      <c r="T16" s="7">
        <f t="shared" si="5"/>
        <v>2922</v>
      </c>
      <c r="U16" s="7">
        <f t="shared" ref="U16:W16" si="26">U15+30</f>
        <v>480</v>
      </c>
      <c r="V16" s="7">
        <f t="shared" si="26"/>
        <v>480</v>
      </c>
      <c r="W16" s="7">
        <f t="shared" si="26"/>
        <v>1030</v>
      </c>
      <c r="X16" s="5" t="s">
        <v>49</v>
      </c>
    </row>
    <row r="17" spans="1:24">
      <c r="A17" s="1">
        <v>15</v>
      </c>
      <c r="B17" s="4">
        <v>1</v>
      </c>
      <c r="C17" s="4" t="s">
        <v>48</v>
      </c>
      <c r="D17" s="4">
        <v>15</v>
      </c>
      <c r="E17" s="4">
        <v>11010001</v>
      </c>
      <c r="F17" s="4">
        <v>11020001</v>
      </c>
      <c r="G17" s="7"/>
      <c r="H17" s="7"/>
      <c r="I17" s="7">
        <f t="shared" si="0"/>
        <v>8500</v>
      </c>
      <c r="J17" s="4">
        <v>270</v>
      </c>
      <c r="K17" s="4">
        <f t="shared" si="1"/>
        <v>60</v>
      </c>
      <c r="L17" s="4">
        <f t="shared" si="2"/>
        <v>66</v>
      </c>
      <c r="M17" s="7">
        <f t="shared" ref="M17:R17" si="27">M16+3</f>
        <v>44</v>
      </c>
      <c r="N17" s="7">
        <f t="shared" si="27"/>
        <v>48</v>
      </c>
      <c r="O17" s="7">
        <f t="shared" si="27"/>
        <v>58</v>
      </c>
      <c r="P17" s="7">
        <f t="shared" si="27"/>
        <v>68</v>
      </c>
      <c r="Q17" s="7">
        <f t="shared" si="27"/>
        <v>39</v>
      </c>
      <c r="R17" s="7">
        <f t="shared" si="27"/>
        <v>40</v>
      </c>
      <c r="S17" s="7">
        <f t="shared" si="4"/>
        <v>3144</v>
      </c>
      <c r="T17" s="7">
        <f t="shared" si="5"/>
        <v>3144</v>
      </c>
      <c r="U17" s="7">
        <f t="shared" ref="U17:W17" si="28">U16+30</f>
        <v>510</v>
      </c>
      <c r="V17" s="7">
        <f t="shared" si="28"/>
        <v>510</v>
      </c>
      <c r="W17" s="7">
        <f t="shared" si="28"/>
        <v>1060</v>
      </c>
      <c r="X17" s="5" t="s">
        <v>49</v>
      </c>
    </row>
    <row r="18" spans="1:24">
      <c r="A18" s="1">
        <v>16</v>
      </c>
      <c r="B18" s="4">
        <v>1</v>
      </c>
      <c r="C18" s="4" t="s">
        <v>48</v>
      </c>
      <c r="D18" s="4">
        <v>16</v>
      </c>
      <c r="E18" s="4">
        <v>11010001</v>
      </c>
      <c r="F18" s="4">
        <v>11020001</v>
      </c>
      <c r="G18" s="7"/>
      <c r="H18" s="7"/>
      <c r="I18" s="7">
        <f t="shared" si="0"/>
        <v>9000</v>
      </c>
      <c r="J18" s="6">
        <v>270</v>
      </c>
      <c r="K18" s="4">
        <f t="shared" si="1"/>
        <v>64</v>
      </c>
      <c r="L18" s="4">
        <f t="shared" si="2"/>
        <v>70</v>
      </c>
      <c r="M18" s="7">
        <f t="shared" ref="M18:R18" si="29">M17+3</f>
        <v>47</v>
      </c>
      <c r="N18" s="7">
        <f t="shared" si="29"/>
        <v>51</v>
      </c>
      <c r="O18" s="7">
        <f t="shared" si="29"/>
        <v>61</v>
      </c>
      <c r="P18" s="7">
        <f t="shared" si="29"/>
        <v>71</v>
      </c>
      <c r="Q18" s="7">
        <f t="shared" si="29"/>
        <v>42</v>
      </c>
      <c r="R18" s="7">
        <f t="shared" si="29"/>
        <v>43</v>
      </c>
      <c r="S18" s="7">
        <f t="shared" si="4"/>
        <v>3366</v>
      </c>
      <c r="T18" s="7">
        <f t="shared" si="5"/>
        <v>3366</v>
      </c>
      <c r="U18" s="7">
        <f t="shared" ref="U18:W18" si="30">U17+30</f>
        <v>540</v>
      </c>
      <c r="V18" s="7">
        <f t="shared" si="30"/>
        <v>540</v>
      </c>
      <c r="W18" s="7">
        <f t="shared" si="30"/>
        <v>1090</v>
      </c>
      <c r="X18" s="5" t="s">
        <v>49</v>
      </c>
    </row>
    <row r="19" spans="1:24">
      <c r="A19" s="1">
        <v>17</v>
      </c>
      <c r="B19" s="6">
        <v>1</v>
      </c>
      <c r="C19" s="6" t="s">
        <v>48</v>
      </c>
      <c r="D19" s="6">
        <v>17</v>
      </c>
      <c r="E19" s="4">
        <v>11010001</v>
      </c>
      <c r="F19" s="4">
        <v>11020001</v>
      </c>
      <c r="G19" s="7"/>
      <c r="H19" s="7"/>
      <c r="I19" s="7">
        <f t="shared" si="0"/>
        <v>9500</v>
      </c>
      <c r="J19" s="4">
        <v>270</v>
      </c>
      <c r="K19" s="4">
        <f t="shared" si="1"/>
        <v>68</v>
      </c>
      <c r="L19" s="4">
        <f t="shared" si="2"/>
        <v>74</v>
      </c>
      <c r="M19" s="7">
        <f t="shared" ref="M19:R19" si="31">M18+3</f>
        <v>50</v>
      </c>
      <c r="N19" s="7">
        <f t="shared" si="31"/>
        <v>54</v>
      </c>
      <c r="O19" s="7">
        <f t="shared" si="31"/>
        <v>64</v>
      </c>
      <c r="P19" s="7">
        <f t="shared" si="31"/>
        <v>74</v>
      </c>
      <c r="Q19" s="7">
        <f t="shared" si="31"/>
        <v>45</v>
      </c>
      <c r="R19" s="7">
        <f t="shared" si="31"/>
        <v>46</v>
      </c>
      <c r="S19" s="7">
        <f t="shared" si="4"/>
        <v>3588</v>
      </c>
      <c r="T19" s="7">
        <f t="shared" si="5"/>
        <v>3588</v>
      </c>
      <c r="U19" s="7">
        <f t="shared" ref="U19:W19" si="32">U18+30</f>
        <v>570</v>
      </c>
      <c r="V19" s="7">
        <f t="shared" si="32"/>
        <v>570</v>
      </c>
      <c r="W19" s="7">
        <f t="shared" si="32"/>
        <v>1120</v>
      </c>
      <c r="X19" s="5" t="s">
        <v>49</v>
      </c>
    </row>
    <row r="20" spans="1:24">
      <c r="A20" s="1">
        <v>18</v>
      </c>
      <c r="B20" s="4">
        <v>1</v>
      </c>
      <c r="C20" s="4" t="s">
        <v>48</v>
      </c>
      <c r="D20" s="4">
        <v>18</v>
      </c>
      <c r="E20" s="4">
        <v>11010001</v>
      </c>
      <c r="F20" s="4">
        <v>11020001</v>
      </c>
      <c r="G20" s="7"/>
      <c r="H20" s="7"/>
      <c r="I20" s="7">
        <f t="shared" si="0"/>
        <v>10000</v>
      </c>
      <c r="J20" s="6">
        <v>270</v>
      </c>
      <c r="K20" s="4">
        <f t="shared" si="1"/>
        <v>72</v>
      </c>
      <c r="L20" s="4">
        <f t="shared" si="2"/>
        <v>78</v>
      </c>
      <c r="M20" s="7">
        <f t="shared" ref="M20:R20" si="33">M19+3</f>
        <v>53</v>
      </c>
      <c r="N20" s="7">
        <f t="shared" si="33"/>
        <v>57</v>
      </c>
      <c r="O20" s="7">
        <f t="shared" si="33"/>
        <v>67</v>
      </c>
      <c r="P20" s="7">
        <f t="shared" si="33"/>
        <v>77</v>
      </c>
      <c r="Q20" s="7">
        <f t="shared" si="33"/>
        <v>48</v>
      </c>
      <c r="R20" s="7">
        <f t="shared" si="33"/>
        <v>49</v>
      </c>
      <c r="S20" s="7">
        <f t="shared" si="4"/>
        <v>3810</v>
      </c>
      <c r="T20" s="7">
        <f t="shared" si="5"/>
        <v>3810</v>
      </c>
      <c r="U20" s="7">
        <f t="shared" ref="U20:W20" si="34">U19+30</f>
        <v>600</v>
      </c>
      <c r="V20" s="7">
        <f t="shared" si="34"/>
        <v>600</v>
      </c>
      <c r="W20" s="7">
        <f t="shared" si="34"/>
        <v>1150</v>
      </c>
      <c r="X20" s="5" t="s">
        <v>49</v>
      </c>
    </row>
    <row r="21" spans="1:24">
      <c r="A21" s="1">
        <v>19</v>
      </c>
      <c r="B21" s="4">
        <v>1</v>
      </c>
      <c r="C21" s="4" t="s">
        <v>48</v>
      </c>
      <c r="D21" s="4">
        <v>19</v>
      </c>
      <c r="E21" s="4">
        <v>11010001</v>
      </c>
      <c r="F21" s="4">
        <v>11020001</v>
      </c>
      <c r="G21" s="7"/>
      <c r="H21" s="7"/>
      <c r="I21" s="7">
        <f t="shared" si="0"/>
        <v>10500</v>
      </c>
      <c r="J21" s="4">
        <v>270</v>
      </c>
      <c r="K21" s="4">
        <f t="shared" si="1"/>
        <v>76</v>
      </c>
      <c r="L21" s="4">
        <f t="shared" si="2"/>
        <v>82</v>
      </c>
      <c r="M21" s="7">
        <f t="shared" ref="M21:R21" si="35">M20+3</f>
        <v>56</v>
      </c>
      <c r="N21" s="7">
        <f t="shared" si="35"/>
        <v>60</v>
      </c>
      <c r="O21" s="7">
        <f t="shared" si="35"/>
        <v>70</v>
      </c>
      <c r="P21" s="7">
        <f t="shared" si="35"/>
        <v>80</v>
      </c>
      <c r="Q21" s="7">
        <f t="shared" si="35"/>
        <v>51</v>
      </c>
      <c r="R21" s="7">
        <f t="shared" si="35"/>
        <v>52</v>
      </c>
      <c r="S21" s="7">
        <f t="shared" si="4"/>
        <v>4032</v>
      </c>
      <c r="T21" s="7">
        <f t="shared" si="5"/>
        <v>4032</v>
      </c>
      <c r="U21" s="7">
        <f t="shared" ref="U21:W21" si="36">U20+30</f>
        <v>630</v>
      </c>
      <c r="V21" s="7">
        <f t="shared" si="36"/>
        <v>630</v>
      </c>
      <c r="W21" s="7">
        <f t="shared" si="36"/>
        <v>1180</v>
      </c>
      <c r="X21" s="5" t="s">
        <v>49</v>
      </c>
    </row>
    <row r="22" spans="1:24">
      <c r="A22" s="1">
        <v>20</v>
      </c>
      <c r="B22" s="6">
        <v>1</v>
      </c>
      <c r="C22" s="6" t="s">
        <v>48</v>
      </c>
      <c r="D22" s="6">
        <v>20</v>
      </c>
      <c r="E22" s="4">
        <v>11010001</v>
      </c>
      <c r="F22" s="4">
        <v>11020001</v>
      </c>
      <c r="G22" s="7"/>
      <c r="H22" s="7"/>
      <c r="I22" s="7">
        <f t="shared" si="0"/>
        <v>11000</v>
      </c>
      <c r="J22" s="6">
        <v>270</v>
      </c>
      <c r="K22" s="4">
        <f t="shared" si="1"/>
        <v>80</v>
      </c>
      <c r="L22" s="4">
        <f t="shared" si="2"/>
        <v>86</v>
      </c>
      <c r="M22" s="7">
        <f t="shared" ref="M22:R22" si="37">M21+3</f>
        <v>59</v>
      </c>
      <c r="N22" s="7">
        <f t="shared" si="37"/>
        <v>63</v>
      </c>
      <c r="O22" s="7">
        <f t="shared" si="37"/>
        <v>73</v>
      </c>
      <c r="P22" s="7">
        <f t="shared" si="37"/>
        <v>83</v>
      </c>
      <c r="Q22" s="7">
        <f t="shared" si="37"/>
        <v>54</v>
      </c>
      <c r="R22" s="7">
        <f t="shared" si="37"/>
        <v>55</v>
      </c>
      <c r="S22" s="7">
        <f t="shared" si="4"/>
        <v>4254</v>
      </c>
      <c r="T22" s="7">
        <f t="shared" si="5"/>
        <v>4254</v>
      </c>
      <c r="U22" s="7">
        <f t="shared" ref="U22:W22" si="38">U21+30</f>
        <v>660</v>
      </c>
      <c r="V22" s="7">
        <f t="shared" si="38"/>
        <v>660</v>
      </c>
      <c r="W22" s="7">
        <f t="shared" si="38"/>
        <v>1210</v>
      </c>
      <c r="X22" s="5" t="s">
        <v>49</v>
      </c>
    </row>
    <row r="23" spans="1:24">
      <c r="A23" s="1">
        <v>21</v>
      </c>
      <c r="B23" s="4">
        <v>2</v>
      </c>
      <c r="C23" s="4" t="s">
        <v>50</v>
      </c>
      <c r="D23" s="4">
        <v>1</v>
      </c>
      <c r="E23" s="4">
        <v>11010001</v>
      </c>
      <c r="F23" s="4"/>
      <c r="G23" s="4"/>
      <c r="H23" s="4"/>
      <c r="I23" s="4">
        <v>500</v>
      </c>
      <c r="J23" s="4">
        <v>270</v>
      </c>
      <c r="K23" s="4">
        <v>5</v>
      </c>
      <c r="L23" s="4">
        <v>8</v>
      </c>
      <c r="M23" s="4">
        <v>3</v>
      </c>
      <c r="N23" s="4">
        <v>5</v>
      </c>
      <c r="O23" s="4">
        <v>10</v>
      </c>
      <c r="P23" s="4">
        <v>15</v>
      </c>
      <c r="Q23" s="4">
        <v>1</v>
      </c>
      <c r="R23" s="4">
        <v>2</v>
      </c>
      <c r="S23" s="4">
        <v>200</v>
      </c>
      <c r="T23" s="4">
        <v>200</v>
      </c>
      <c r="U23" s="4">
        <v>100</v>
      </c>
      <c r="V23" s="4">
        <v>100</v>
      </c>
      <c r="W23" s="4">
        <v>500</v>
      </c>
      <c r="X23" s="5" t="s">
        <v>51</v>
      </c>
    </row>
    <row r="24" spans="1:24">
      <c r="A24" s="1">
        <v>22</v>
      </c>
      <c r="B24" s="6">
        <v>2</v>
      </c>
      <c r="C24" s="4" t="s">
        <v>50</v>
      </c>
      <c r="D24" s="6">
        <v>2</v>
      </c>
      <c r="E24" s="6">
        <v>11010001</v>
      </c>
      <c r="F24" s="6"/>
      <c r="G24" s="6"/>
      <c r="H24" s="6"/>
      <c r="I24" s="6">
        <v>1200</v>
      </c>
      <c r="J24" s="6">
        <v>270</v>
      </c>
      <c r="K24" s="6">
        <v>8</v>
      </c>
      <c r="L24" s="6">
        <v>12</v>
      </c>
      <c r="M24" s="6">
        <v>5</v>
      </c>
      <c r="N24" s="6">
        <v>8</v>
      </c>
      <c r="O24" s="6">
        <v>15</v>
      </c>
      <c r="P24" s="6">
        <v>22</v>
      </c>
      <c r="Q24" s="6">
        <v>2</v>
      </c>
      <c r="R24" s="6">
        <v>3</v>
      </c>
      <c r="S24" s="6">
        <v>320</v>
      </c>
      <c r="T24" s="6">
        <v>320</v>
      </c>
      <c r="U24" s="6">
        <v>120</v>
      </c>
      <c r="V24" s="6">
        <v>120</v>
      </c>
      <c r="W24" s="6">
        <v>600</v>
      </c>
      <c r="X24" s="5" t="s">
        <v>51</v>
      </c>
    </row>
    <row r="25" spans="1:24">
      <c r="A25" s="1">
        <v>23</v>
      </c>
      <c r="B25" s="4">
        <v>2</v>
      </c>
      <c r="C25" s="4" t="s">
        <v>50</v>
      </c>
      <c r="D25" s="4">
        <v>3</v>
      </c>
      <c r="E25" s="4">
        <v>11010001</v>
      </c>
      <c r="F25" s="4">
        <v>11020001</v>
      </c>
      <c r="G25" s="4"/>
      <c r="H25" s="4"/>
      <c r="I25" s="4">
        <v>2500</v>
      </c>
      <c r="J25" s="4">
        <v>270</v>
      </c>
      <c r="K25" s="4">
        <v>12</v>
      </c>
      <c r="L25" s="4">
        <v>18</v>
      </c>
      <c r="M25" s="4">
        <v>8</v>
      </c>
      <c r="N25" s="4">
        <v>12</v>
      </c>
      <c r="O25" s="4">
        <v>22</v>
      </c>
      <c r="P25" s="4">
        <v>32</v>
      </c>
      <c r="Q25" s="4">
        <v>3</v>
      </c>
      <c r="R25" s="4">
        <v>4</v>
      </c>
      <c r="S25" s="4">
        <v>480</v>
      </c>
      <c r="T25" s="4">
        <v>480</v>
      </c>
      <c r="U25" s="4">
        <v>150</v>
      </c>
      <c r="V25" s="4">
        <v>150</v>
      </c>
      <c r="W25" s="4">
        <v>700</v>
      </c>
      <c r="X25" s="5" t="s">
        <v>51</v>
      </c>
    </row>
    <row r="26" spans="1:24">
      <c r="A26" s="1">
        <v>24</v>
      </c>
      <c r="B26" s="6">
        <v>2</v>
      </c>
      <c r="C26" s="4" t="s">
        <v>50</v>
      </c>
      <c r="D26" s="4">
        <v>4</v>
      </c>
      <c r="E26" s="4">
        <v>11010001</v>
      </c>
      <c r="F26" s="4">
        <v>11020001</v>
      </c>
      <c r="G26" s="7"/>
      <c r="H26" s="7"/>
      <c r="I26" s="7">
        <f t="shared" ref="I26:I43" si="39">I25+500</f>
        <v>3000</v>
      </c>
      <c r="J26" s="6">
        <v>270</v>
      </c>
      <c r="K26" s="4">
        <f t="shared" ref="K26:K43" si="40">K25+4</f>
        <v>16</v>
      </c>
      <c r="L26" s="4">
        <f t="shared" ref="L26:L43" si="41">L25+4</f>
        <v>22</v>
      </c>
      <c r="M26" s="7">
        <f t="shared" ref="M26:R26" si="42">M25+3</f>
        <v>11</v>
      </c>
      <c r="N26" s="7">
        <f t="shared" si="42"/>
        <v>15</v>
      </c>
      <c r="O26" s="7">
        <f t="shared" si="42"/>
        <v>25</v>
      </c>
      <c r="P26" s="7">
        <f t="shared" si="42"/>
        <v>35</v>
      </c>
      <c r="Q26" s="7">
        <f t="shared" si="42"/>
        <v>6</v>
      </c>
      <c r="R26" s="7">
        <f t="shared" si="42"/>
        <v>7</v>
      </c>
      <c r="S26" s="7">
        <f t="shared" ref="S26:S43" si="43">S25+222</f>
        <v>702</v>
      </c>
      <c r="T26" s="7">
        <f t="shared" ref="T26:T43" si="44">T25+222</f>
        <v>702</v>
      </c>
      <c r="U26" s="7">
        <f t="shared" ref="U26:W26" si="45">U25+30</f>
        <v>180</v>
      </c>
      <c r="V26" s="7">
        <f t="shared" si="45"/>
        <v>180</v>
      </c>
      <c r="W26" s="7">
        <f t="shared" si="45"/>
        <v>730</v>
      </c>
      <c r="X26" s="5" t="s">
        <v>51</v>
      </c>
    </row>
    <row r="27" spans="1:24">
      <c r="A27" s="1">
        <v>25</v>
      </c>
      <c r="B27" s="4">
        <v>2</v>
      </c>
      <c r="C27" s="4" t="s">
        <v>50</v>
      </c>
      <c r="D27" s="6">
        <v>5</v>
      </c>
      <c r="E27" s="4">
        <v>11010001</v>
      </c>
      <c r="F27" s="4">
        <v>11020001</v>
      </c>
      <c r="G27" s="7"/>
      <c r="H27" s="7"/>
      <c r="I27" s="7">
        <f t="shared" si="39"/>
        <v>3500</v>
      </c>
      <c r="J27" s="4">
        <v>270</v>
      </c>
      <c r="K27" s="4">
        <f t="shared" si="40"/>
        <v>20</v>
      </c>
      <c r="L27" s="4">
        <f t="shared" si="41"/>
        <v>26</v>
      </c>
      <c r="M27" s="7">
        <f t="shared" ref="M27:R27" si="46">M26+3</f>
        <v>14</v>
      </c>
      <c r="N27" s="7">
        <f t="shared" si="46"/>
        <v>18</v>
      </c>
      <c r="O27" s="7">
        <f t="shared" si="46"/>
        <v>28</v>
      </c>
      <c r="P27" s="7">
        <f t="shared" si="46"/>
        <v>38</v>
      </c>
      <c r="Q27" s="7">
        <f t="shared" si="46"/>
        <v>9</v>
      </c>
      <c r="R27" s="7">
        <f t="shared" si="46"/>
        <v>10</v>
      </c>
      <c r="S27" s="7">
        <f t="shared" si="43"/>
        <v>924</v>
      </c>
      <c r="T27" s="7">
        <f t="shared" si="44"/>
        <v>924</v>
      </c>
      <c r="U27" s="7">
        <f t="shared" ref="U27:W27" si="47">U26+30</f>
        <v>210</v>
      </c>
      <c r="V27" s="7">
        <f t="shared" si="47"/>
        <v>210</v>
      </c>
      <c r="W27" s="7">
        <f t="shared" si="47"/>
        <v>760</v>
      </c>
      <c r="X27" s="5" t="s">
        <v>51</v>
      </c>
    </row>
    <row r="28" spans="1:24">
      <c r="A28" s="1">
        <v>26</v>
      </c>
      <c r="B28" s="6">
        <v>2</v>
      </c>
      <c r="C28" s="4" t="s">
        <v>50</v>
      </c>
      <c r="D28" s="4">
        <v>6</v>
      </c>
      <c r="E28" s="4">
        <v>11010001</v>
      </c>
      <c r="F28" s="4">
        <v>11020001</v>
      </c>
      <c r="G28" s="7"/>
      <c r="H28" s="7"/>
      <c r="I28" s="7">
        <f t="shared" si="39"/>
        <v>4000</v>
      </c>
      <c r="J28" s="6">
        <v>270</v>
      </c>
      <c r="K28" s="4">
        <f t="shared" si="40"/>
        <v>24</v>
      </c>
      <c r="L28" s="4">
        <f t="shared" si="41"/>
        <v>30</v>
      </c>
      <c r="M28" s="7">
        <f t="shared" ref="M28:R28" si="48">M27+3</f>
        <v>17</v>
      </c>
      <c r="N28" s="7">
        <f t="shared" si="48"/>
        <v>21</v>
      </c>
      <c r="O28" s="7">
        <f t="shared" si="48"/>
        <v>31</v>
      </c>
      <c r="P28" s="7">
        <f t="shared" si="48"/>
        <v>41</v>
      </c>
      <c r="Q28" s="7">
        <f t="shared" si="48"/>
        <v>12</v>
      </c>
      <c r="R28" s="7">
        <f t="shared" si="48"/>
        <v>13</v>
      </c>
      <c r="S28" s="7">
        <f t="shared" si="43"/>
        <v>1146</v>
      </c>
      <c r="T28" s="7">
        <f t="shared" si="44"/>
        <v>1146</v>
      </c>
      <c r="U28" s="7">
        <f t="shared" ref="U28:W28" si="49">U27+30</f>
        <v>240</v>
      </c>
      <c r="V28" s="7">
        <f t="shared" si="49"/>
        <v>240</v>
      </c>
      <c r="W28" s="7">
        <f t="shared" si="49"/>
        <v>790</v>
      </c>
      <c r="X28" s="5" t="s">
        <v>51</v>
      </c>
    </row>
    <row r="29" spans="1:24">
      <c r="A29" s="1">
        <v>27</v>
      </c>
      <c r="B29" s="4">
        <v>2</v>
      </c>
      <c r="C29" s="4" t="s">
        <v>50</v>
      </c>
      <c r="D29" s="4">
        <v>7</v>
      </c>
      <c r="E29" s="4">
        <v>11010001</v>
      </c>
      <c r="F29" s="4">
        <v>11020001</v>
      </c>
      <c r="G29" s="7"/>
      <c r="H29" s="7"/>
      <c r="I29" s="7">
        <f t="shared" si="39"/>
        <v>4500</v>
      </c>
      <c r="J29" s="4">
        <v>270</v>
      </c>
      <c r="K29" s="4">
        <f t="shared" si="40"/>
        <v>28</v>
      </c>
      <c r="L29" s="4">
        <f t="shared" si="41"/>
        <v>34</v>
      </c>
      <c r="M29" s="7">
        <f t="shared" ref="M29:R29" si="50">M28+3</f>
        <v>20</v>
      </c>
      <c r="N29" s="7">
        <f t="shared" si="50"/>
        <v>24</v>
      </c>
      <c r="O29" s="7">
        <f t="shared" si="50"/>
        <v>34</v>
      </c>
      <c r="P29" s="7">
        <f t="shared" si="50"/>
        <v>44</v>
      </c>
      <c r="Q29" s="7">
        <f t="shared" si="50"/>
        <v>15</v>
      </c>
      <c r="R29" s="7">
        <f t="shared" si="50"/>
        <v>16</v>
      </c>
      <c r="S29" s="7">
        <f t="shared" si="43"/>
        <v>1368</v>
      </c>
      <c r="T29" s="7">
        <f t="shared" si="44"/>
        <v>1368</v>
      </c>
      <c r="U29" s="7">
        <f t="shared" ref="U29:W29" si="51">U28+30</f>
        <v>270</v>
      </c>
      <c r="V29" s="7">
        <f t="shared" si="51"/>
        <v>270</v>
      </c>
      <c r="W29" s="7">
        <f t="shared" si="51"/>
        <v>820</v>
      </c>
      <c r="X29" s="5" t="s">
        <v>51</v>
      </c>
    </row>
    <row r="30" spans="1:24">
      <c r="A30" s="1">
        <v>28</v>
      </c>
      <c r="B30" s="6">
        <v>2</v>
      </c>
      <c r="C30" s="4" t="s">
        <v>50</v>
      </c>
      <c r="D30" s="6">
        <v>8</v>
      </c>
      <c r="E30" s="4">
        <v>11010001</v>
      </c>
      <c r="F30" s="4">
        <v>11020001</v>
      </c>
      <c r="G30" s="7"/>
      <c r="H30" s="7"/>
      <c r="I30" s="7">
        <f t="shared" si="39"/>
        <v>5000</v>
      </c>
      <c r="J30" s="6">
        <v>270</v>
      </c>
      <c r="K30" s="4">
        <f t="shared" si="40"/>
        <v>32</v>
      </c>
      <c r="L30" s="4">
        <f t="shared" si="41"/>
        <v>38</v>
      </c>
      <c r="M30" s="7">
        <f t="shared" ref="M30:R30" si="52">M29+3</f>
        <v>23</v>
      </c>
      <c r="N30" s="7">
        <f t="shared" si="52"/>
        <v>27</v>
      </c>
      <c r="O30" s="7">
        <f t="shared" si="52"/>
        <v>37</v>
      </c>
      <c r="P30" s="7">
        <f t="shared" si="52"/>
        <v>47</v>
      </c>
      <c r="Q30" s="7">
        <f t="shared" si="52"/>
        <v>18</v>
      </c>
      <c r="R30" s="7">
        <f t="shared" si="52"/>
        <v>19</v>
      </c>
      <c r="S30" s="7">
        <f t="shared" si="43"/>
        <v>1590</v>
      </c>
      <c r="T30" s="7">
        <f t="shared" si="44"/>
        <v>1590</v>
      </c>
      <c r="U30" s="7">
        <f t="shared" ref="U30:W30" si="53">U29+30</f>
        <v>300</v>
      </c>
      <c r="V30" s="7">
        <f t="shared" si="53"/>
        <v>300</v>
      </c>
      <c r="W30" s="7">
        <f t="shared" si="53"/>
        <v>850</v>
      </c>
      <c r="X30" s="5" t="s">
        <v>51</v>
      </c>
    </row>
    <row r="31" spans="1:24">
      <c r="A31" s="1">
        <v>29</v>
      </c>
      <c r="B31" s="4">
        <v>2</v>
      </c>
      <c r="C31" s="4" t="s">
        <v>50</v>
      </c>
      <c r="D31" s="4">
        <v>9</v>
      </c>
      <c r="E31" s="4">
        <v>11010001</v>
      </c>
      <c r="F31" s="4">
        <v>11020001</v>
      </c>
      <c r="G31" s="7"/>
      <c r="H31" s="7"/>
      <c r="I31" s="7">
        <f t="shared" si="39"/>
        <v>5500</v>
      </c>
      <c r="J31" s="4">
        <v>270</v>
      </c>
      <c r="K31" s="4">
        <f t="shared" si="40"/>
        <v>36</v>
      </c>
      <c r="L31" s="4">
        <f t="shared" si="41"/>
        <v>42</v>
      </c>
      <c r="M31" s="7">
        <f t="shared" ref="M31:R31" si="54">M30+3</f>
        <v>26</v>
      </c>
      <c r="N31" s="7">
        <f t="shared" si="54"/>
        <v>30</v>
      </c>
      <c r="O31" s="7">
        <f t="shared" si="54"/>
        <v>40</v>
      </c>
      <c r="P31" s="7">
        <f t="shared" si="54"/>
        <v>50</v>
      </c>
      <c r="Q31" s="7">
        <f t="shared" si="54"/>
        <v>21</v>
      </c>
      <c r="R31" s="7">
        <f t="shared" si="54"/>
        <v>22</v>
      </c>
      <c r="S31" s="7">
        <f t="shared" si="43"/>
        <v>1812</v>
      </c>
      <c r="T31" s="7">
        <f t="shared" si="44"/>
        <v>1812</v>
      </c>
      <c r="U31" s="7">
        <f t="shared" ref="U31:W31" si="55">U30+30</f>
        <v>330</v>
      </c>
      <c r="V31" s="7">
        <f t="shared" si="55"/>
        <v>330</v>
      </c>
      <c r="W31" s="7">
        <f t="shared" si="55"/>
        <v>880</v>
      </c>
      <c r="X31" s="5" t="s">
        <v>51</v>
      </c>
    </row>
    <row r="32" spans="1:24">
      <c r="A32" s="1">
        <v>30</v>
      </c>
      <c r="B32" s="6">
        <v>2</v>
      </c>
      <c r="C32" s="4" t="s">
        <v>50</v>
      </c>
      <c r="D32" s="4">
        <v>10</v>
      </c>
      <c r="E32" s="4">
        <v>11010001</v>
      </c>
      <c r="F32" s="4">
        <v>11020001</v>
      </c>
      <c r="G32" s="7"/>
      <c r="H32" s="7"/>
      <c r="I32" s="7">
        <f t="shared" si="39"/>
        <v>6000</v>
      </c>
      <c r="J32" s="6">
        <v>270</v>
      </c>
      <c r="K32" s="4">
        <f t="shared" si="40"/>
        <v>40</v>
      </c>
      <c r="L32" s="4">
        <f t="shared" si="41"/>
        <v>46</v>
      </c>
      <c r="M32" s="7">
        <f t="shared" ref="M32:R32" si="56">M31+3</f>
        <v>29</v>
      </c>
      <c r="N32" s="7">
        <f t="shared" si="56"/>
        <v>33</v>
      </c>
      <c r="O32" s="7">
        <f t="shared" si="56"/>
        <v>43</v>
      </c>
      <c r="P32" s="7">
        <f t="shared" si="56"/>
        <v>53</v>
      </c>
      <c r="Q32" s="7">
        <f t="shared" si="56"/>
        <v>24</v>
      </c>
      <c r="R32" s="7">
        <f t="shared" si="56"/>
        <v>25</v>
      </c>
      <c r="S32" s="7">
        <f t="shared" si="43"/>
        <v>2034</v>
      </c>
      <c r="T32" s="7">
        <f t="shared" si="44"/>
        <v>2034</v>
      </c>
      <c r="U32" s="7">
        <f t="shared" ref="U32:W32" si="57">U31+30</f>
        <v>360</v>
      </c>
      <c r="V32" s="7">
        <f t="shared" si="57"/>
        <v>360</v>
      </c>
      <c r="W32" s="7">
        <f t="shared" si="57"/>
        <v>910</v>
      </c>
      <c r="X32" s="5" t="s">
        <v>51</v>
      </c>
    </row>
    <row r="33" spans="1:24">
      <c r="A33" s="1">
        <v>31</v>
      </c>
      <c r="B33" s="4">
        <v>2</v>
      </c>
      <c r="C33" s="4" t="s">
        <v>50</v>
      </c>
      <c r="D33" s="6">
        <v>11</v>
      </c>
      <c r="E33" s="4">
        <v>11010001</v>
      </c>
      <c r="F33" s="4">
        <v>11020001</v>
      </c>
      <c r="G33" s="7"/>
      <c r="H33" s="7"/>
      <c r="I33" s="7">
        <f t="shared" si="39"/>
        <v>6500</v>
      </c>
      <c r="J33" s="4">
        <v>270</v>
      </c>
      <c r="K33" s="4">
        <f t="shared" si="40"/>
        <v>44</v>
      </c>
      <c r="L33" s="4">
        <f t="shared" si="41"/>
        <v>50</v>
      </c>
      <c r="M33" s="7">
        <f t="shared" ref="M33:R33" si="58">M32+3</f>
        <v>32</v>
      </c>
      <c r="N33" s="7">
        <f t="shared" si="58"/>
        <v>36</v>
      </c>
      <c r="O33" s="7">
        <f t="shared" si="58"/>
        <v>46</v>
      </c>
      <c r="P33" s="7">
        <f t="shared" si="58"/>
        <v>56</v>
      </c>
      <c r="Q33" s="7">
        <f t="shared" si="58"/>
        <v>27</v>
      </c>
      <c r="R33" s="7">
        <f t="shared" si="58"/>
        <v>28</v>
      </c>
      <c r="S33" s="7">
        <f t="shared" si="43"/>
        <v>2256</v>
      </c>
      <c r="T33" s="7">
        <f t="shared" si="44"/>
        <v>2256</v>
      </c>
      <c r="U33" s="7">
        <f t="shared" ref="U33:W33" si="59">U32+30</f>
        <v>390</v>
      </c>
      <c r="V33" s="7">
        <f t="shared" si="59"/>
        <v>390</v>
      </c>
      <c r="W33" s="7">
        <f t="shared" si="59"/>
        <v>940</v>
      </c>
      <c r="X33" s="5" t="s">
        <v>51</v>
      </c>
    </row>
    <row r="34" spans="1:24">
      <c r="A34" s="1">
        <v>32</v>
      </c>
      <c r="B34" s="6">
        <v>2</v>
      </c>
      <c r="C34" s="4" t="s">
        <v>50</v>
      </c>
      <c r="D34" s="4">
        <v>12</v>
      </c>
      <c r="E34" s="4">
        <v>11010001</v>
      </c>
      <c r="F34" s="4">
        <v>11020001</v>
      </c>
      <c r="G34" s="7"/>
      <c r="H34" s="7"/>
      <c r="I34" s="7">
        <f t="shared" si="39"/>
        <v>7000</v>
      </c>
      <c r="J34" s="6">
        <v>270</v>
      </c>
      <c r="K34" s="4">
        <f t="shared" si="40"/>
        <v>48</v>
      </c>
      <c r="L34" s="4">
        <f t="shared" si="41"/>
        <v>54</v>
      </c>
      <c r="M34" s="7">
        <f t="shared" ref="M34:R34" si="60">M33+3</f>
        <v>35</v>
      </c>
      <c r="N34" s="7">
        <f t="shared" si="60"/>
        <v>39</v>
      </c>
      <c r="O34" s="7">
        <f t="shared" si="60"/>
        <v>49</v>
      </c>
      <c r="P34" s="7">
        <f t="shared" si="60"/>
        <v>59</v>
      </c>
      <c r="Q34" s="7">
        <f t="shared" si="60"/>
        <v>30</v>
      </c>
      <c r="R34" s="7">
        <f t="shared" si="60"/>
        <v>31</v>
      </c>
      <c r="S34" s="7">
        <f t="shared" si="43"/>
        <v>2478</v>
      </c>
      <c r="T34" s="7">
        <f t="shared" si="44"/>
        <v>2478</v>
      </c>
      <c r="U34" s="7">
        <f t="shared" ref="U34:W34" si="61">U33+30</f>
        <v>420</v>
      </c>
      <c r="V34" s="7">
        <f t="shared" si="61"/>
        <v>420</v>
      </c>
      <c r="W34" s="7">
        <f t="shared" si="61"/>
        <v>970</v>
      </c>
      <c r="X34" s="5" t="s">
        <v>51</v>
      </c>
    </row>
    <row r="35" spans="1:24">
      <c r="A35" s="1">
        <v>33</v>
      </c>
      <c r="B35" s="4">
        <v>2</v>
      </c>
      <c r="C35" s="4" t="s">
        <v>50</v>
      </c>
      <c r="D35" s="4">
        <v>13</v>
      </c>
      <c r="E35" s="4">
        <v>11010001</v>
      </c>
      <c r="F35" s="4">
        <v>11020001</v>
      </c>
      <c r="G35" s="7"/>
      <c r="H35" s="7"/>
      <c r="I35" s="7">
        <f t="shared" si="39"/>
        <v>7500</v>
      </c>
      <c r="J35" s="4">
        <v>270</v>
      </c>
      <c r="K35" s="4">
        <f t="shared" si="40"/>
        <v>52</v>
      </c>
      <c r="L35" s="4">
        <f t="shared" si="41"/>
        <v>58</v>
      </c>
      <c r="M35" s="7">
        <f t="shared" ref="M35:R35" si="62">M34+3</f>
        <v>38</v>
      </c>
      <c r="N35" s="7">
        <f t="shared" si="62"/>
        <v>42</v>
      </c>
      <c r="O35" s="7">
        <f t="shared" si="62"/>
        <v>52</v>
      </c>
      <c r="P35" s="7">
        <f t="shared" si="62"/>
        <v>62</v>
      </c>
      <c r="Q35" s="7">
        <f t="shared" si="62"/>
        <v>33</v>
      </c>
      <c r="R35" s="7">
        <f t="shared" si="62"/>
        <v>34</v>
      </c>
      <c r="S35" s="7">
        <f t="shared" si="43"/>
        <v>2700</v>
      </c>
      <c r="T35" s="7">
        <f t="shared" si="44"/>
        <v>2700</v>
      </c>
      <c r="U35" s="7">
        <f t="shared" ref="U35:W35" si="63">U34+30</f>
        <v>450</v>
      </c>
      <c r="V35" s="7">
        <f t="shared" si="63"/>
        <v>450</v>
      </c>
      <c r="W35" s="7">
        <f t="shared" si="63"/>
        <v>1000</v>
      </c>
      <c r="X35" s="5" t="s">
        <v>51</v>
      </c>
    </row>
    <row r="36" spans="1:24">
      <c r="A36" s="1">
        <v>34</v>
      </c>
      <c r="B36" s="6">
        <v>2</v>
      </c>
      <c r="C36" s="4" t="s">
        <v>50</v>
      </c>
      <c r="D36" s="6">
        <v>14</v>
      </c>
      <c r="E36" s="4">
        <v>11010001</v>
      </c>
      <c r="F36" s="4">
        <v>11020001</v>
      </c>
      <c r="G36" s="7"/>
      <c r="H36" s="7"/>
      <c r="I36" s="7">
        <f t="shared" si="39"/>
        <v>8000</v>
      </c>
      <c r="J36" s="6">
        <v>270</v>
      </c>
      <c r="K36" s="4">
        <f t="shared" si="40"/>
        <v>56</v>
      </c>
      <c r="L36" s="4">
        <f t="shared" si="41"/>
        <v>62</v>
      </c>
      <c r="M36" s="7">
        <f t="shared" ref="M36:R36" si="64">M35+3</f>
        <v>41</v>
      </c>
      <c r="N36" s="7">
        <f t="shared" si="64"/>
        <v>45</v>
      </c>
      <c r="O36" s="7">
        <f t="shared" si="64"/>
        <v>55</v>
      </c>
      <c r="P36" s="7">
        <f t="shared" si="64"/>
        <v>65</v>
      </c>
      <c r="Q36" s="7">
        <f t="shared" si="64"/>
        <v>36</v>
      </c>
      <c r="R36" s="7">
        <f t="shared" si="64"/>
        <v>37</v>
      </c>
      <c r="S36" s="7">
        <f t="shared" si="43"/>
        <v>2922</v>
      </c>
      <c r="T36" s="7">
        <f t="shared" si="44"/>
        <v>2922</v>
      </c>
      <c r="U36" s="7">
        <f t="shared" ref="U36:W36" si="65">U35+30</f>
        <v>480</v>
      </c>
      <c r="V36" s="7">
        <f t="shared" si="65"/>
        <v>480</v>
      </c>
      <c r="W36" s="7">
        <f t="shared" si="65"/>
        <v>1030</v>
      </c>
      <c r="X36" s="5" t="s">
        <v>51</v>
      </c>
    </row>
    <row r="37" spans="1:24">
      <c r="A37" s="1">
        <v>35</v>
      </c>
      <c r="B37" s="4">
        <v>2</v>
      </c>
      <c r="C37" s="4" t="s">
        <v>50</v>
      </c>
      <c r="D37" s="4">
        <v>15</v>
      </c>
      <c r="E37" s="4">
        <v>11010001</v>
      </c>
      <c r="F37" s="4">
        <v>11020001</v>
      </c>
      <c r="G37" s="7"/>
      <c r="H37" s="7"/>
      <c r="I37" s="7">
        <f t="shared" si="39"/>
        <v>8500</v>
      </c>
      <c r="J37" s="4">
        <v>270</v>
      </c>
      <c r="K37" s="4">
        <f t="shared" si="40"/>
        <v>60</v>
      </c>
      <c r="L37" s="4">
        <f t="shared" si="41"/>
        <v>66</v>
      </c>
      <c r="M37" s="7">
        <f t="shared" ref="M37:R37" si="66">M36+3</f>
        <v>44</v>
      </c>
      <c r="N37" s="7">
        <f t="shared" si="66"/>
        <v>48</v>
      </c>
      <c r="O37" s="7">
        <f t="shared" si="66"/>
        <v>58</v>
      </c>
      <c r="P37" s="7">
        <f t="shared" si="66"/>
        <v>68</v>
      </c>
      <c r="Q37" s="7">
        <f t="shared" si="66"/>
        <v>39</v>
      </c>
      <c r="R37" s="7">
        <f t="shared" si="66"/>
        <v>40</v>
      </c>
      <c r="S37" s="7">
        <f t="shared" si="43"/>
        <v>3144</v>
      </c>
      <c r="T37" s="7">
        <f t="shared" si="44"/>
        <v>3144</v>
      </c>
      <c r="U37" s="7">
        <f t="shared" ref="U37:W37" si="67">U36+30</f>
        <v>510</v>
      </c>
      <c r="V37" s="7">
        <f t="shared" si="67"/>
        <v>510</v>
      </c>
      <c r="W37" s="7">
        <f t="shared" si="67"/>
        <v>1060</v>
      </c>
      <c r="X37" s="5" t="s">
        <v>51</v>
      </c>
    </row>
    <row r="38" spans="1:24">
      <c r="A38" s="1">
        <v>36</v>
      </c>
      <c r="B38" s="6">
        <v>2</v>
      </c>
      <c r="C38" s="4" t="s">
        <v>50</v>
      </c>
      <c r="D38" s="4">
        <v>16</v>
      </c>
      <c r="E38" s="4">
        <v>11010001</v>
      </c>
      <c r="F38" s="4">
        <v>11020001</v>
      </c>
      <c r="G38" s="7"/>
      <c r="H38" s="7"/>
      <c r="I38" s="7">
        <f t="shared" si="39"/>
        <v>9000</v>
      </c>
      <c r="J38" s="6">
        <v>270</v>
      </c>
      <c r="K38" s="4">
        <f t="shared" si="40"/>
        <v>64</v>
      </c>
      <c r="L38" s="4">
        <f t="shared" si="41"/>
        <v>70</v>
      </c>
      <c r="M38" s="7">
        <f t="shared" ref="M38:R38" si="68">M37+3</f>
        <v>47</v>
      </c>
      <c r="N38" s="7">
        <f t="shared" si="68"/>
        <v>51</v>
      </c>
      <c r="O38" s="7">
        <f t="shared" si="68"/>
        <v>61</v>
      </c>
      <c r="P38" s="7">
        <f t="shared" si="68"/>
        <v>71</v>
      </c>
      <c r="Q38" s="7">
        <f t="shared" si="68"/>
        <v>42</v>
      </c>
      <c r="R38" s="7">
        <f t="shared" si="68"/>
        <v>43</v>
      </c>
      <c r="S38" s="7">
        <f t="shared" si="43"/>
        <v>3366</v>
      </c>
      <c r="T38" s="7">
        <f t="shared" si="44"/>
        <v>3366</v>
      </c>
      <c r="U38" s="7">
        <f t="shared" ref="U38:W38" si="69">U37+30</f>
        <v>540</v>
      </c>
      <c r="V38" s="7">
        <f t="shared" si="69"/>
        <v>540</v>
      </c>
      <c r="W38" s="7">
        <f t="shared" si="69"/>
        <v>1090</v>
      </c>
      <c r="X38" s="5" t="s">
        <v>51</v>
      </c>
    </row>
    <row r="39" spans="1:24">
      <c r="A39" s="1">
        <v>37</v>
      </c>
      <c r="B39" s="4">
        <v>2</v>
      </c>
      <c r="C39" s="4" t="s">
        <v>50</v>
      </c>
      <c r="D39" s="6">
        <v>17</v>
      </c>
      <c r="E39" s="4">
        <v>11010001</v>
      </c>
      <c r="F39" s="4">
        <v>11020001</v>
      </c>
      <c r="G39" s="7"/>
      <c r="H39" s="7"/>
      <c r="I39" s="7">
        <f t="shared" si="39"/>
        <v>9500</v>
      </c>
      <c r="J39" s="4">
        <v>270</v>
      </c>
      <c r="K39" s="4">
        <f t="shared" si="40"/>
        <v>68</v>
      </c>
      <c r="L39" s="4">
        <f t="shared" si="41"/>
        <v>74</v>
      </c>
      <c r="M39" s="7">
        <f t="shared" ref="M39:R39" si="70">M38+3</f>
        <v>50</v>
      </c>
      <c r="N39" s="7">
        <f t="shared" si="70"/>
        <v>54</v>
      </c>
      <c r="O39" s="7">
        <f t="shared" si="70"/>
        <v>64</v>
      </c>
      <c r="P39" s="7">
        <f t="shared" si="70"/>
        <v>74</v>
      </c>
      <c r="Q39" s="7">
        <f t="shared" si="70"/>
        <v>45</v>
      </c>
      <c r="R39" s="7">
        <f t="shared" si="70"/>
        <v>46</v>
      </c>
      <c r="S39" s="7">
        <f t="shared" si="43"/>
        <v>3588</v>
      </c>
      <c r="T39" s="7">
        <f t="shared" si="44"/>
        <v>3588</v>
      </c>
      <c r="U39" s="7">
        <f t="shared" ref="U39:W39" si="71">U38+30</f>
        <v>570</v>
      </c>
      <c r="V39" s="7">
        <f t="shared" si="71"/>
        <v>570</v>
      </c>
      <c r="W39" s="7">
        <f t="shared" si="71"/>
        <v>1120</v>
      </c>
      <c r="X39" s="5" t="s">
        <v>51</v>
      </c>
    </row>
    <row r="40" spans="1:24">
      <c r="A40" s="1">
        <v>38</v>
      </c>
      <c r="B40" s="6">
        <v>2</v>
      </c>
      <c r="C40" s="4" t="s">
        <v>50</v>
      </c>
      <c r="D40" s="4">
        <v>18</v>
      </c>
      <c r="E40" s="4">
        <v>11010001</v>
      </c>
      <c r="F40" s="4">
        <v>11020001</v>
      </c>
      <c r="G40" s="7"/>
      <c r="H40" s="7"/>
      <c r="I40" s="7">
        <f t="shared" si="39"/>
        <v>10000</v>
      </c>
      <c r="J40" s="6">
        <v>270</v>
      </c>
      <c r="K40" s="4">
        <f t="shared" si="40"/>
        <v>72</v>
      </c>
      <c r="L40" s="4">
        <f t="shared" si="41"/>
        <v>78</v>
      </c>
      <c r="M40" s="7">
        <f t="shared" ref="M40:R40" si="72">M39+3</f>
        <v>53</v>
      </c>
      <c r="N40" s="7">
        <f t="shared" si="72"/>
        <v>57</v>
      </c>
      <c r="O40" s="7">
        <f t="shared" si="72"/>
        <v>67</v>
      </c>
      <c r="P40" s="7">
        <f t="shared" si="72"/>
        <v>77</v>
      </c>
      <c r="Q40" s="7">
        <f t="shared" si="72"/>
        <v>48</v>
      </c>
      <c r="R40" s="7">
        <f t="shared" si="72"/>
        <v>49</v>
      </c>
      <c r="S40" s="7">
        <f t="shared" si="43"/>
        <v>3810</v>
      </c>
      <c r="T40" s="7">
        <f t="shared" si="44"/>
        <v>3810</v>
      </c>
      <c r="U40" s="7">
        <f t="shared" ref="U40:W40" si="73">U39+30</f>
        <v>600</v>
      </c>
      <c r="V40" s="7">
        <f t="shared" si="73"/>
        <v>600</v>
      </c>
      <c r="W40" s="7">
        <f t="shared" si="73"/>
        <v>1150</v>
      </c>
      <c r="X40" s="5" t="s">
        <v>51</v>
      </c>
    </row>
    <row r="41" spans="1:24">
      <c r="A41" s="1">
        <v>39</v>
      </c>
      <c r="B41" s="4">
        <v>2</v>
      </c>
      <c r="C41" s="4" t="s">
        <v>50</v>
      </c>
      <c r="D41" s="4">
        <v>19</v>
      </c>
      <c r="E41" s="4">
        <v>11010001</v>
      </c>
      <c r="F41" s="4">
        <v>11020001</v>
      </c>
      <c r="G41" s="7"/>
      <c r="H41" s="7"/>
      <c r="I41" s="7">
        <f t="shared" si="39"/>
        <v>10500</v>
      </c>
      <c r="J41" s="4">
        <v>270</v>
      </c>
      <c r="K41" s="4">
        <f t="shared" si="40"/>
        <v>76</v>
      </c>
      <c r="L41" s="4">
        <f t="shared" si="41"/>
        <v>82</v>
      </c>
      <c r="M41" s="7">
        <f t="shared" ref="M41:R41" si="74">M40+3</f>
        <v>56</v>
      </c>
      <c r="N41" s="7">
        <f t="shared" si="74"/>
        <v>60</v>
      </c>
      <c r="O41" s="7">
        <f t="shared" si="74"/>
        <v>70</v>
      </c>
      <c r="P41" s="7">
        <f t="shared" si="74"/>
        <v>80</v>
      </c>
      <c r="Q41" s="7">
        <f t="shared" si="74"/>
        <v>51</v>
      </c>
      <c r="R41" s="7">
        <f t="shared" si="74"/>
        <v>52</v>
      </c>
      <c r="S41" s="7">
        <f t="shared" si="43"/>
        <v>4032</v>
      </c>
      <c r="T41" s="7">
        <f t="shared" si="44"/>
        <v>4032</v>
      </c>
      <c r="U41" s="7">
        <f t="shared" ref="U41:W41" si="75">U40+30</f>
        <v>630</v>
      </c>
      <c r="V41" s="7">
        <f t="shared" si="75"/>
        <v>630</v>
      </c>
      <c r="W41" s="7">
        <f t="shared" si="75"/>
        <v>1180</v>
      </c>
      <c r="X41" s="5" t="s">
        <v>51</v>
      </c>
    </row>
    <row r="42" spans="1:24">
      <c r="A42" s="1">
        <v>40</v>
      </c>
      <c r="B42" s="6">
        <v>2</v>
      </c>
      <c r="C42" s="4" t="s">
        <v>50</v>
      </c>
      <c r="D42" s="6">
        <v>20</v>
      </c>
      <c r="E42" s="4">
        <v>11010001</v>
      </c>
      <c r="F42" s="4">
        <v>11020001</v>
      </c>
      <c r="G42" s="7"/>
      <c r="H42" s="7"/>
      <c r="I42" s="7">
        <f t="shared" si="39"/>
        <v>11000</v>
      </c>
      <c r="J42" s="6">
        <v>270</v>
      </c>
      <c r="K42" s="4">
        <f t="shared" si="40"/>
        <v>80</v>
      </c>
      <c r="L42" s="4">
        <f t="shared" si="41"/>
        <v>86</v>
      </c>
      <c r="M42" s="7">
        <f t="shared" ref="M42:R42" si="76">M41+3</f>
        <v>59</v>
      </c>
      <c r="N42" s="7">
        <f t="shared" si="76"/>
        <v>63</v>
      </c>
      <c r="O42" s="7">
        <f t="shared" si="76"/>
        <v>73</v>
      </c>
      <c r="P42" s="7">
        <f t="shared" si="76"/>
        <v>83</v>
      </c>
      <c r="Q42" s="7">
        <f t="shared" si="76"/>
        <v>54</v>
      </c>
      <c r="R42" s="7">
        <f t="shared" si="76"/>
        <v>55</v>
      </c>
      <c r="S42" s="7">
        <f t="shared" si="43"/>
        <v>4254</v>
      </c>
      <c r="T42" s="7">
        <f t="shared" si="44"/>
        <v>4254</v>
      </c>
      <c r="U42" s="7">
        <f t="shared" ref="U42:W42" si="77">U41+30</f>
        <v>660</v>
      </c>
      <c r="V42" s="7">
        <f t="shared" si="77"/>
        <v>660</v>
      </c>
      <c r="W42" s="7">
        <f t="shared" si="77"/>
        <v>1210</v>
      </c>
      <c r="X42" s="5" t="s">
        <v>51</v>
      </c>
    </row>
    <row r="43" spans="1:24">
      <c r="A43" s="1">
        <v>41</v>
      </c>
      <c r="B43" s="6">
        <v>2</v>
      </c>
      <c r="C43" s="4" t="s">
        <v>50</v>
      </c>
      <c r="D43" s="6">
        <v>21</v>
      </c>
      <c r="E43" s="4">
        <v>11010001</v>
      </c>
      <c r="F43" s="4">
        <v>11020001</v>
      </c>
      <c r="G43" s="7"/>
      <c r="H43" s="7"/>
      <c r="I43" s="7">
        <f t="shared" si="39"/>
        <v>11500</v>
      </c>
      <c r="J43" s="6">
        <v>270</v>
      </c>
      <c r="K43" s="4">
        <f t="shared" si="40"/>
        <v>84</v>
      </c>
      <c r="L43" s="4">
        <f t="shared" si="41"/>
        <v>90</v>
      </c>
      <c r="M43" s="7">
        <f t="shared" ref="M43:R43" si="78">M42+3</f>
        <v>62</v>
      </c>
      <c r="N43" s="7">
        <f t="shared" si="78"/>
        <v>66</v>
      </c>
      <c r="O43" s="7">
        <f t="shared" si="78"/>
        <v>76</v>
      </c>
      <c r="P43" s="7">
        <f t="shared" si="78"/>
        <v>86</v>
      </c>
      <c r="Q43" s="7">
        <f t="shared" si="78"/>
        <v>57</v>
      </c>
      <c r="R43" s="7">
        <f t="shared" si="78"/>
        <v>58</v>
      </c>
      <c r="S43" s="7">
        <f t="shared" si="43"/>
        <v>4476</v>
      </c>
      <c r="T43" s="7">
        <f t="shared" si="44"/>
        <v>4476</v>
      </c>
      <c r="U43" s="7">
        <f t="shared" ref="U43:W43" si="79">U42+30</f>
        <v>690</v>
      </c>
      <c r="V43" s="7">
        <f t="shared" si="79"/>
        <v>690</v>
      </c>
      <c r="W43" s="7">
        <f t="shared" si="79"/>
        <v>1240</v>
      </c>
      <c r="X43" s="5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I52" sqref="I52"/>
    </sheetView>
  </sheetViews>
  <sheetFormatPr defaultColWidth="8.72727272727273" defaultRowHeight="14" outlineLevelCol="1"/>
  <sheetData>
    <row r="1" spans="1:2">
      <c r="A1">
        <v>1.01</v>
      </c>
      <c r="B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SummonPetConfig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2023-05-12T11:15:00Z</dcterms:created>
  <dcterms:modified xsi:type="dcterms:W3CDTF">2026-04-20T06:46:03Z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536D55A0C7D24A5690609248EA8C643C_12</vt:lpwstr>
  </property>
</Properties>
</file>