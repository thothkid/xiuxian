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ConfigScene" sheetId="1" r:id="rId1"/>
    <sheet name="ConfigRect" sheetId="10" r:id="rId2"/>
    <sheet name="编号表" sheetId="5" r:id="rId3"/>
    <sheet name="说明" sheetId="3" r:id="rId4"/>
  </sheets>
  <externalReferences>
    <externalReference r:id="rId5"/>
    <externalReference r:id="rId6"/>
  </externalReferences>
  <definedNames>
    <definedName name="_xlnm._FilterDatabase" localSheetId="1" hidden="1">ConfigRect!$A$2:$U$3159</definedName>
    <definedName name="说明">[1]名称表!$A$3:$A$26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<sst xmlns="http://schemas.openxmlformats.org/spreadsheetml/2006/main" count="4148" uniqueCount="2085">
  <si>
    <t>场景ID</t>
  </si>
  <si>
    <t>场景名</t>
  </si>
  <si>
    <t>镜头距离</t>
  </si>
  <si>
    <t>镜头旋转</t>
  </si>
  <si>
    <t>镜头初始角度</t>
  </si>
  <si>
    <t>小地图</t>
  </si>
  <si>
    <t>大地图</t>
  </si>
  <si>
    <t>场景等级</t>
  </si>
  <si>
    <t>config_id</t>
  </si>
  <si>
    <t>scene_name</t>
  </si>
  <si>
    <t>CameraDistance</t>
  </si>
  <si>
    <t>CameraRotate</t>
  </si>
  <si>
    <t>CameraAngle</t>
  </si>
  <si>
    <t>Minimap</t>
  </si>
  <si>
    <t>Bigmap</t>
  </si>
  <si>
    <t>Grade</t>
  </si>
  <si>
    <t>银杏渔村</t>
  </si>
  <si>
    <t>mini_yxyc</t>
  </si>
  <si>
    <t>big_yxyc</t>
  </si>
  <si>
    <t>比奇城</t>
  </si>
  <si>
    <t>mini_biqi</t>
  </si>
  <si>
    <t>big_biqi</t>
  </si>
  <si>
    <t>兽人古墓一层</t>
  </si>
  <si>
    <t>mini_srgm1</t>
  </si>
  <si>
    <t>big_srgm1</t>
  </si>
  <si>
    <t>兽人古墓二层</t>
  </si>
  <si>
    <t>mini_srgm2</t>
  </si>
  <si>
    <t>big_srgm2</t>
  </si>
  <si>
    <t>国王陵墓</t>
  </si>
  <si>
    <t>mini_srgm3</t>
  </si>
  <si>
    <t>big_srgm3</t>
  </si>
  <si>
    <t>废矿区东部</t>
  </si>
  <si>
    <t>mini_bqfk1</t>
  </si>
  <si>
    <t>big_bqfk1</t>
  </si>
  <si>
    <t>尸王殿</t>
  </si>
  <si>
    <t>mini_bqfk2</t>
  </si>
  <si>
    <t>big_bqfk2</t>
  </si>
  <si>
    <t>地牢</t>
  </si>
  <si>
    <t>mini_dl1</t>
  </si>
  <si>
    <t>big_dl1</t>
  </si>
  <si>
    <t>黑暗地带</t>
  </si>
  <si>
    <t>mini_dl2</t>
  </si>
  <si>
    <t>big_dl2</t>
  </si>
  <si>
    <t>死亡棺材</t>
  </si>
  <si>
    <t>mini_dl3</t>
  </si>
  <si>
    <t>big_dl3</t>
  </si>
  <si>
    <t>未知暗殿</t>
  </si>
  <si>
    <t>mini_wzad</t>
  </si>
  <si>
    <t>big_wzad</t>
  </si>
  <si>
    <t>沃玛寺庙一层</t>
  </si>
  <si>
    <t>mini_wmsm1</t>
  </si>
  <si>
    <t>big_wmsm1</t>
  </si>
  <si>
    <t>沃玛寺庙二层</t>
  </si>
  <si>
    <t>mini_wmsm2</t>
  </si>
  <si>
    <t>big_wmsm2</t>
  </si>
  <si>
    <t>沃玛教主大殿</t>
  </si>
  <si>
    <t>mini_wmsm3</t>
  </si>
  <si>
    <t>big_wmsm3</t>
  </si>
  <si>
    <t>石墓一层</t>
  </si>
  <si>
    <t>mini_sm1</t>
  </si>
  <si>
    <t>big_sm1</t>
  </si>
  <si>
    <t>石墓阵入口</t>
  </si>
  <si>
    <t>mini_sm2</t>
  </si>
  <si>
    <t>big_sm2</t>
  </si>
  <si>
    <t>石墓阵出口</t>
  </si>
  <si>
    <t>mini_sm3</t>
  </si>
  <si>
    <t>big_sm3</t>
  </si>
  <si>
    <t>石墓顶层</t>
  </si>
  <si>
    <t>mini_sm4</t>
  </si>
  <si>
    <t>big_sm4</t>
  </si>
  <si>
    <t>桃源之门</t>
  </si>
  <si>
    <t>mini_tyzm1</t>
  </si>
  <si>
    <t>big_tyzm1</t>
  </si>
  <si>
    <t>困惑殿堂</t>
  </si>
  <si>
    <t>mini_tyzm2</t>
  </si>
  <si>
    <t>big_tyzm2</t>
  </si>
  <si>
    <t>祖玛寺庙一层</t>
  </si>
  <si>
    <t>mini_zmsm1</t>
  </si>
  <si>
    <t>big_zmsm1</t>
  </si>
  <si>
    <t>祖玛寺庙二层</t>
  </si>
  <si>
    <t>mini_zmsm2</t>
  </si>
  <si>
    <t>big_zmsm2</t>
  </si>
  <si>
    <t>祖玛阁</t>
  </si>
  <si>
    <t>mini_zmsm3</t>
  </si>
  <si>
    <t>big_zmsm3</t>
  </si>
  <si>
    <t>祖玛教主之家</t>
  </si>
  <si>
    <t>mini_zmsm4</t>
  </si>
  <si>
    <t>big_zmsm4</t>
  </si>
  <si>
    <t>封魔矿区</t>
  </si>
  <si>
    <t>mini_fmkq1</t>
  </si>
  <si>
    <t>big_fmkq1</t>
  </si>
  <si>
    <t>光芒回廊</t>
  </si>
  <si>
    <t>mini_fmkq2</t>
  </si>
  <si>
    <t>big_fmkq2</t>
  </si>
  <si>
    <t>封魔殿</t>
  </si>
  <si>
    <t>mini_fmkq3</t>
  </si>
  <si>
    <t>big_fmkq3</t>
  </si>
  <si>
    <t>尸魔洞一层</t>
  </si>
  <si>
    <t>mini_smd1</t>
  </si>
  <si>
    <t>big_smd1</t>
  </si>
  <si>
    <t>尸魔洞二层</t>
  </si>
  <si>
    <t>mini_smd2</t>
  </si>
  <si>
    <t>big_smd2</t>
  </si>
  <si>
    <t>骨魔洞一层</t>
  </si>
  <si>
    <t>mini_gmd1</t>
  </si>
  <si>
    <t>big_gmd1</t>
  </si>
  <si>
    <t>骨魔洞二层</t>
  </si>
  <si>
    <t>mini_gmd2</t>
  </si>
  <si>
    <t>big_gmd2</t>
  </si>
  <si>
    <t>牛魔寺庙入口</t>
  </si>
  <si>
    <t>mini_nmsm1</t>
  </si>
  <si>
    <t>big_nmsm1</t>
  </si>
  <si>
    <t>牛魔寺庙一层</t>
  </si>
  <si>
    <t>mini_nmsm2</t>
  </si>
  <si>
    <t>big_nmsm2</t>
  </si>
  <si>
    <t>牛魔寺庙大厅</t>
  </si>
  <si>
    <t>mini_nmsm3</t>
  </si>
  <si>
    <t>big_nmsm3</t>
  </si>
  <si>
    <t>丛林迷宫</t>
  </si>
  <si>
    <t>mini_clmg</t>
  </si>
  <si>
    <t>big_clmg</t>
  </si>
  <si>
    <t>赤月峡谷西走廊</t>
  </si>
  <si>
    <t>mini_cyxg1</t>
  </si>
  <si>
    <t>big_cyxg1</t>
  </si>
  <si>
    <t>赤月峡谷东二层</t>
  </si>
  <si>
    <t>mini_cyxg2</t>
  </si>
  <si>
    <t>big_cyxg2</t>
  </si>
  <si>
    <t>赤月峡谷广场</t>
  </si>
  <si>
    <t>mini_cyxg3</t>
  </si>
  <si>
    <t>big_cyxg3</t>
  </si>
  <si>
    <t>抉择之地</t>
  </si>
  <si>
    <t>mini_cyxg4</t>
  </si>
  <si>
    <t>big_cyxg4</t>
  </si>
  <si>
    <t>恶魔祭坛</t>
  </si>
  <si>
    <t>mini_cyxg5</t>
  </si>
  <si>
    <t>big_cyxg5</t>
  </si>
  <si>
    <t>赤月魔穴</t>
  </si>
  <si>
    <t>mini_cyxg6</t>
  </si>
  <si>
    <t>big_cyxg6</t>
  </si>
  <si>
    <t>区域ID</t>
  </si>
  <si>
    <t>区域名（传送才外显）</t>
  </si>
  <si>
    <t>备注</t>
  </si>
  <si>
    <t>地编名</t>
  </si>
  <si>
    <t>所属区域ID</t>
  </si>
  <si>
    <t>类型</t>
  </si>
  <si>
    <t>面积</t>
  </si>
  <si>
    <t>行</t>
  </si>
  <si>
    <t>序号</t>
  </si>
  <si>
    <t>是否场景主区域</t>
  </si>
  <si>
    <t>是否出生区域</t>
  </si>
  <si>
    <t>传送目标区域</t>
  </si>
  <si>
    <t>刷怪方案说明</t>
  </si>
  <si>
    <t>刷怪方案1</t>
  </si>
  <si>
    <t>刷怪方案2</t>
  </si>
  <si>
    <t>刷怪方案3</t>
  </si>
  <si>
    <t>刷怪方案4</t>
  </si>
  <si>
    <t>刷怪方案5</t>
  </si>
  <si>
    <t>刷怪方案6</t>
  </si>
  <si>
    <t>刷怪方案7</t>
  </si>
  <si>
    <t>刷怪方案8</t>
  </si>
  <si>
    <t>rect_name</t>
  </si>
  <si>
    <t>scene_id</t>
  </si>
  <si>
    <t>is_main_rect</t>
  </si>
  <si>
    <t>is_born_rect</t>
  </si>
  <si>
    <t>teleport_target</t>
  </si>
  <si>
    <t>RefreshMonsterPlan1</t>
  </si>
  <si>
    <t>RefreshMonsterPlan2</t>
  </si>
  <si>
    <t>RefreshMonsterPlan3</t>
  </si>
  <si>
    <t>RefreshMonsterPlan4</t>
  </si>
  <si>
    <t>RefreshMonsterPlan5</t>
  </si>
  <si>
    <t>RefreshMonsterPlan6</t>
  </si>
  <si>
    <t>RefreshMonsterPlan7</t>
  </si>
  <si>
    <t>RefreshMonsterPlan8</t>
  </si>
  <si>
    <t>银杏渔村-怪物1</t>
  </si>
  <si>
    <t>怪物</t>
  </si>
  <si>
    <t>银杏渔村-怪物2</t>
  </si>
  <si>
    <t>银杏渔村-怪物3</t>
  </si>
  <si>
    <t>银杏渔村-怪物4</t>
  </si>
  <si>
    <t>银杏渔村-怪物5</t>
  </si>
  <si>
    <t>银杏渔村-怪物6</t>
  </si>
  <si>
    <t>银杏渔村-怪物7</t>
  </si>
  <si>
    <t>银杏渔村-怪物8</t>
  </si>
  <si>
    <t>银杏渔村-怪物9</t>
  </si>
  <si>
    <t>银杏渔村-怪物10</t>
  </si>
  <si>
    <t>银杏渔村-怪物11</t>
  </si>
  <si>
    <t>银杏渔村-怪物12</t>
  </si>
  <si>
    <t>银杏渔村-怪物13</t>
  </si>
  <si>
    <t>银杏渔村-怪物14</t>
  </si>
  <si>
    <t>银杏渔村-怪物15</t>
  </si>
  <si>
    <t>比奇城-银杏渔村</t>
  </si>
  <si>
    <t>传送</t>
  </si>
  <si>
    <t>银杏渔村-比奇城</t>
  </si>
  <si>
    <t>银杏渔村-卫士1</t>
  </si>
  <si>
    <t>NPC</t>
  </si>
  <si>
    <t>银杏渔村-卫士2</t>
  </si>
  <si>
    <t>银杏渔村-散步鸡1</t>
  </si>
  <si>
    <t>银杏渔村-散步鸡2</t>
  </si>
  <si>
    <t>银杏渔村-NPC1</t>
  </si>
  <si>
    <t>银杏渔村-出生</t>
  </si>
  <si>
    <t>银杏渔村-NPC2</t>
  </si>
  <si>
    <t>银杏渔村-NPC3</t>
  </si>
  <si>
    <t>散步鸡3</t>
  </si>
  <si>
    <t>银杏渔村-NPC4</t>
  </si>
  <si>
    <t>散步鸡4</t>
  </si>
  <si>
    <t>银杏渔村-NPC5</t>
  </si>
  <si>
    <t>散步鸡5</t>
  </si>
  <si>
    <t>银杏渔村-NPC6</t>
  </si>
  <si>
    <t>银杏渔村-怪物16</t>
  </si>
  <si>
    <t>银杏渔村-怪物17</t>
  </si>
  <si>
    <t>银杏渔村-怪物18</t>
  </si>
  <si>
    <t>银杏渔村-散步鸡6</t>
  </si>
  <si>
    <t>银杏渔村-怪物19</t>
  </si>
  <si>
    <t>银杏渔村-怪物20</t>
  </si>
  <si>
    <t>银杏渔村-散步鸡7</t>
  </si>
  <si>
    <t>银杏渔村-散步鸡8</t>
  </si>
  <si>
    <t>银杏渔村-散步鸡9</t>
  </si>
  <si>
    <t>银杏渔村-怪物21</t>
  </si>
  <si>
    <t>银杏渔村-怪物22</t>
  </si>
  <si>
    <t>银杏渔村-怪物23</t>
  </si>
  <si>
    <t>银杏渔村-怪物24</t>
  </si>
  <si>
    <t>银杏渔村-怪物25</t>
  </si>
  <si>
    <t>银杏渔村-镜头</t>
  </si>
  <si>
    <t>镜头</t>
  </si>
  <si>
    <t>比奇城-兽人古墓一层</t>
  </si>
  <si>
    <t>兽人古墓一层-比奇城</t>
  </si>
  <si>
    <t>比奇城-地牢</t>
  </si>
  <si>
    <t>地牢-比奇城</t>
  </si>
  <si>
    <t>比奇城-沃玛寺庙一层</t>
  </si>
  <si>
    <t>沃玛寺庙一层-比奇城</t>
  </si>
  <si>
    <t>比奇城-废矿区东部</t>
  </si>
  <si>
    <t>废矿区东部-比奇城</t>
  </si>
  <si>
    <t>比奇城-怪物1</t>
  </si>
  <si>
    <t>比奇城-怪物2</t>
  </si>
  <si>
    <t>比奇城-怪物3</t>
  </si>
  <si>
    <t>比奇城-怪物4</t>
  </si>
  <si>
    <t>比奇城-怪物5</t>
  </si>
  <si>
    <t>比奇城-怪物6</t>
  </si>
  <si>
    <t>比奇城-怪物7</t>
  </si>
  <si>
    <t>比奇城-怪物8</t>
  </si>
  <si>
    <t>比奇城-怪物9</t>
  </si>
  <si>
    <t>比奇城-怪物10</t>
  </si>
  <si>
    <t>比奇城-怪物11</t>
  </si>
  <si>
    <t>比奇城-怪物12</t>
  </si>
  <si>
    <t>比奇城-怪物13</t>
  </si>
  <si>
    <t>比奇城-怪物14</t>
  </si>
  <si>
    <t>比奇城-怪物15</t>
  </si>
  <si>
    <t>比奇城-怪物16</t>
  </si>
  <si>
    <t>比奇城-怪物17</t>
  </si>
  <si>
    <t>比奇城-怪物18</t>
  </si>
  <si>
    <t>比奇城-怪物19</t>
  </si>
  <si>
    <t>比奇城-怪物20</t>
  </si>
  <si>
    <t>比奇城-怪物21</t>
  </si>
  <si>
    <t>比奇城-怪物22</t>
  </si>
  <si>
    <t>比奇城-怪物23</t>
  </si>
  <si>
    <t>比奇城-怪物24</t>
  </si>
  <si>
    <t>比奇城-怪物25</t>
  </si>
  <si>
    <t>比奇城-怪物26</t>
  </si>
  <si>
    <t>比奇城-怪物27</t>
  </si>
  <si>
    <t>比奇城-怪物28</t>
  </si>
  <si>
    <t>比奇城-怪物29</t>
  </si>
  <si>
    <t>比奇城-怪物30</t>
  </si>
  <si>
    <t>比奇城-怪物31</t>
  </si>
  <si>
    <t>比奇城-怪物32</t>
  </si>
  <si>
    <t>比奇城-怪物33</t>
  </si>
  <si>
    <t>比奇城-怪物34</t>
  </si>
  <si>
    <t>比奇城-怪物35</t>
  </si>
  <si>
    <t>比奇城-怪物36</t>
  </si>
  <si>
    <t>比奇城-怪物37</t>
  </si>
  <si>
    <t>比奇城-怪物38</t>
  </si>
  <si>
    <t>比奇城-怪物39</t>
  </si>
  <si>
    <t>比奇城-怪物40</t>
  </si>
  <si>
    <t>比奇城-怪物41</t>
  </si>
  <si>
    <t>比奇城-怪物42</t>
  </si>
  <si>
    <t>比奇城-怪物43</t>
  </si>
  <si>
    <t>比奇城-怪物44</t>
  </si>
  <si>
    <t>比奇城-怪物45</t>
  </si>
  <si>
    <t>比奇城-怪物46</t>
  </si>
  <si>
    <t>比奇城-怪物47</t>
  </si>
  <si>
    <t>比奇城-怪物48</t>
  </si>
  <si>
    <t>比奇城-怪物49</t>
  </si>
  <si>
    <t>比奇城-怪物50</t>
  </si>
  <si>
    <t>比奇城-怪物51</t>
  </si>
  <si>
    <t>比奇城-怪物52</t>
  </si>
  <si>
    <t>比奇城-怪物53</t>
  </si>
  <si>
    <t>比奇城-怪物54</t>
  </si>
  <si>
    <t>比奇城-怪物55</t>
  </si>
  <si>
    <t>比奇城-怪物56</t>
  </si>
  <si>
    <t>比奇城-怪物57</t>
  </si>
  <si>
    <t>比奇城-怪物58</t>
  </si>
  <si>
    <t>比奇城-怪物59</t>
  </si>
  <si>
    <t>比奇城-怪物60</t>
  </si>
  <si>
    <t>比奇城-怪物61</t>
  </si>
  <si>
    <t>比奇城-怪物62</t>
  </si>
  <si>
    <t>比奇城-怪物63</t>
  </si>
  <si>
    <t>比奇城-怪物64</t>
  </si>
  <si>
    <t>比奇城-怪物65</t>
  </si>
  <si>
    <t>比奇城-怪物66</t>
  </si>
  <si>
    <t>比奇城-怪物67</t>
  </si>
  <si>
    <t>比奇城-怪物68</t>
  </si>
  <si>
    <t>比奇城-怪物69</t>
  </si>
  <si>
    <t>比奇城-怪物70</t>
  </si>
  <si>
    <t>比奇城-怪物71</t>
  </si>
  <si>
    <t>比奇城-怪物72</t>
  </si>
  <si>
    <t>比奇城-怪物73</t>
  </si>
  <si>
    <t>比奇城-怪物74</t>
  </si>
  <si>
    <t>比奇城-怪物75</t>
  </si>
  <si>
    <t>比奇城-怪物76</t>
  </si>
  <si>
    <t>比奇城-怪物77</t>
  </si>
  <si>
    <t>比奇城-怪物78</t>
  </si>
  <si>
    <t>比奇城-怪物79</t>
  </si>
  <si>
    <t>比奇城-怪物80</t>
  </si>
  <si>
    <t>比奇城-怪物81</t>
  </si>
  <si>
    <t>比奇城-怪物82</t>
  </si>
  <si>
    <t>比奇城-怪物83</t>
  </si>
  <si>
    <t>比奇城-怪物84</t>
  </si>
  <si>
    <t>比奇城-怪物85</t>
  </si>
  <si>
    <t>比奇城-怪物86</t>
  </si>
  <si>
    <t>比奇城-怪物87</t>
  </si>
  <si>
    <t>比奇城-怪物88</t>
  </si>
  <si>
    <t>比奇城-怪物89</t>
  </si>
  <si>
    <t>比奇城-怪物90</t>
  </si>
  <si>
    <t>比奇城-怪物91</t>
  </si>
  <si>
    <t>比奇城-怪物92</t>
  </si>
  <si>
    <t>比奇城-怪物93</t>
  </si>
  <si>
    <t>比奇城-怪物94</t>
  </si>
  <si>
    <t>比奇城-怪物95</t>
  </si>
  <si>
    <t>比奇城-怪物96</t>
  </si>
  <si>
    <t>比奇城-怪物97</t>
  </si>
  <si>
    <t>比奇城-怪物98</t>
  </si>
  <si>
    <t>比奇城-怪物99</t>
  </si>
  <si>
    <t>比奇城-怪物100</t>
  </si>
  <si>
    <t>比奇城-怪物101</t>
  </si>
  <si>
    <t>比奇城-怪物102</t>
  </si>
  <si>
    <t>比奇城-怪物103</t>
  </si>
  <si>
    <t>比奇城-怪物104</t>
  </si>
  <si>
    <t>比奇城-怪物105</t>
  </si>
  <si>
    <t>比奇城-怪物106</t>
  </si>
  <si>
    <t>比奇城-怪物107</t>
  </si>
  <si>
    <t>比奇城-怪物108</t>
  </si>
  <si>
    <t>比奇城-怪物109</t>
  </si>
  <si>
    <t>比奇城-怪物110</t>
  </si>
  <si>
    <t>比奇城-怪物111</t>
  </si>
  <si>
    <t>比奇城-怪物112</t>
  </si>
  <si>
    <t>比奇城-怪物113</t>
  </si>
  <si>
    <t>比奇城-怪物114</t>
  </si>
  <si>
    <t>比奇城-怪物115</t>
  </si>
  <si>
    <t>比奇城-怪物116</t>
  </si>
  <si>
    <t>比奇城-怪物117</t>
  </si>
  <si>
    <t>比奇城-怪物118</t>
  </si>
  <si>
    <t>比奇城-怪物119</t>
  </si>
  <si>
    <t>比奇城-怪物120</t>
  </si>
  <si>
    <t>比奇城-怪物121</t>
  </si>
  <si>
    <t>比奇城-怪物122</t>
  </si>
  <si>
    <t>比奇城-怪物123</t>
  </si>
  <si>
    <t>比奇城-怪物124</t>
  </si>
  <si>
    <t>比奇城-怪物125</t>
  </si>
  <si>
    <t>比奇城-怪物126</t>
  </si>
  <si>
    <t>比奇城-怪物127</t>
  </si>
  <si>
    <t>比奇城-怪物128</t>
  </si>
  <si>
    <t>比奇城-怪物129</t>
  </si>
  <si>
    <t>比奇城-怪物130</t>
  </si>
  <si>
    <t>比奇城-怪物131</t>
  </si>
  <si>
    <t>比奇城-怪物132</t>
  </si>
  <si>
    <t>比奇城-怪物133</t>
  </si>
  <si>
    <t>比奇城-怪物134</t>
  </si>
  <si>
    <t>比奇城-怪物135</t>
  </si>
  <si>
    <t>比奇城-怪物136</t>
  </si>
  <si>
    <t>比奇城-怪物137</t>
  </si>
  <si>
    <t>比奇城-怪物138</t>
  </si>
  <si>
    <t>比奇城-怪物139</t>
  </si>
  <si>
    <t>比奇城-怪物140</t>
  </si>
  <si>
    <t>比奇城-怪物141</t>
  </si>
  <si>
    <t>比奇城-怪物142</t>
  </si>
  <si>
    <t>比奇城-怪物143</t>
  </si>
  <si>
    <t>比奇城-怪物144</t>
  </si>
  <si>
    <t>比奇城-怪物145</t>
  </si>
  <si>
    <t>比奇城-怪物146</t>
  </si>
  <si>
    <t>比奇城-怪物147</t>
  </si>
  <si>
    <t>比奇城-怪物148</t>
  </si>
  <si>
    <t>比奇城-怪物149</t>
  </si>
  <si>
    <t>比奇城-怪物150</t>
  </si>
  <si>
    <t>比奇城-怪物151</t>
  </si>
  <si>
    <t>比奇城-怪物152</t>
  </si>
  <si>
    <t>比奇城-怪物153</t>
  </si>
  <si>
    <t>比奇城-怪物154</t>
  </si>
  <si>
    <t>比奇城-卫士1</t>
  </si>
  <si>
    <t>比奇城-卫士2</t>
  </si>
  <si>
    <t>比奇城-国王</t>
  </si>
  <si>
    <t>比奇城-强化师</t>
  </si>
  <si>
    <t>比奇城-散步鸡1</t>
  </si>
  <si>
    <t>比奇城-仓库管理员</t>
  </si>
  <si>
    <t>比奇城-散步鸡2</t>
  </si>
  <si>
    <t>比奇城-散步鸡3</t>
  </si>
  <si>
    <t>比奇城-散步鸡4</t>
  </si>
  <si>
    <t>比奇城-散步鸡5</t>
  </si>
  <si>
    <t>比奇城-卫士3</t>
  </si>
  <si>
    <t>比奇城-卫士4</t>
  </si>
  <si>
    <t>比奇城-卫士5</t>
  </si>
  <si>
    <t>比奇城-卫士6</t>
  </si>
  <si>
    <t>比奇城-NPC1</t>
  </si>
  <si>
    <t>比奇城-散步鸡6</t>
  </si>
  <si>
    <t>比奇城-散步鸡7</t>
  </si>
  <si>
    <t>比奇城-书店</t>
  </si>
  <si>
    <t>比奇城-药店</t>
  </si>
  <si>
    <t>比奇城-杂货店</t>
  </si>
  <si>
    <t>比奇城-传送员</t>
  </si>
  <si>
    <t>比奇城-NPC2</t>
  </si>
  <si>
    <t>比奇城-医师</t>
  </si>
  <si>
    <t>比奇城-出生</t>
  </si>
  <si>
    <t>比奇城-NPC3</t>
  </si>
  <si>
    <t>比奇城-铁匠铺</t>
  </si>
  <si>
    <t>比奇城-NPC4</t>
  </si>
  <si>
    <t>比奇城-熔炉</t>
  </si>
  <si>
    <t>比奇城-NPC5</t>
  </si>
  <si>
    <t>比奇城-NPC6</t>
  </si>
  <si>
    <t>比奇城-散步鸡8</t>
  </si>
  <si>
    <t>比奇城-散步鸡9</t>
  </si>
  <si>
    <t>比奇城-首饰店</t>
  </si>
  <si>
    <t>比奇城-衣服店</t>
  </si>
  <si>
    <t>比奇城-武器店</t>
  </si>
  <si>
    <t>比奇城-散步鸡10</t>
  </si>
  <si>
    <t>比奇城-散步鸡11</t>
  </si>
  <si>
    <t>比奇城-散步鸡12</t>
  </si>
  <si>
    <t>比奇城-散步鸡13</t>
  </si>
  <si>
    <t>比奇城-NPC7</t>
  </si>
  <si>
    <t>比奇城-卫士7</t>
  </si>
  <si>
    <t>比奇城-卫士8</t>
  </si>
  <si>
    <t>比奇城氛围NPC1</t>
  </si>
  <si>
    <t>比奇城氛围NPC2</t>
  </si>
  <si>
    <t>比奇城氛围NPC3</t>
  </si>
  <si>
    <t>比奇城氛围NPC4</t>
  </si>
  <si>
    <t>比奇城氛围NPC5</t>
  </si>
  <si>
    <t>比奇城氛围NPC6</t>
  </si>
  <si>
    <t>比奇城氛围NPC7</t>
  </si>
  <si>
    <t>比奇城氛围NPC8</t>
  </si>
  <si>
    <t>比奇城氛围NPC9</t>
  </si>
  <si>
    <t>比奇城氛围NPC10</t>
  </si>
  <si>
    <t>比奇城氛围NPC11</t>
  </si>
  <si>
    <t>比奇城氛围NPC12</t>
  </si>
  <si>
    <t>比奇城氛围NPC13</t>
  </si>
  <si>
    <t>比奇城氛围NPC14</t>
  </si>
  <si>
    <t>比奇城氛围NPC15</t>
  </si>
  <si>
    <t>比奇城氛围NPC16</t>
  </si>
  <si>
    <t>比奇城氛围NPC17</t>
  </si>
  <si>
    <t>比奇城氛围NPC18</t>
  </si>
  <si>
    <t>比奇城氛围NPC19</t>
  </si>
  <si>
    <t>比奇城氛围NPC20</t>
  </si>
  <si>
    <t>比奇城氛围NPC21</t>
  </si>
  <si>
    <t>比奇城氛围NPC22</t>
  </si>
  <si>
    <t>比奇城氛围NPC23</t>
  </si>
  <si>
    <t>比奇城氛围NPC24</t>
  </si>
  <si>
    <t>比奇城氛围NPC25</t>
  </si>
  <si>
    <t>比奇城氛围NPC26</t>
  </si>
  <si>
    <t>比奇城氛围NPC27</t>
  </si>
  <si>
    <t>比奇城氛围NPC28</t>
  </si>
  <si>
    <t>比奇城氛围NPC29</t>
  </si>
  <si>
    <t>比奇城氛围NPC30</t>
  </si>
  <si>
    <t>比奇城氛围NPC31</t>
  </si>
  <si>
    <t>比奇城氛围NPC32</t>
  </si>
  <si>
    <t>比奇城氛围NPC33</t>
  </si>
  <si>
    <t>比奇城氛围NPC34</t>
  </si>
  <si>
    <t>比奇城氛围NPC35</t>
  </si>
  <si>
    <t>比奇城氛围NPC36</t>
  </si>
  <si>
    <t>比奇城氛围NPC37</t>
  </si>
  <si>
    <t>比奇城氛围NPC38</t>
  </si>
  <si>
    <t>比奇城氛围NPC39</t>
  </si>
  <si>
    <t>比奇城氛围NPC40</t>
  </si>
  <si>
    <t>比奇城氛围NPC41</t>
  </si>
  <si>
    <t>比奇城氛围NPC42</t>
  </si>
  <si>
    <t>比奇城氛围NPC43</t>
  </si>
  <si>
    <t>比奇城氛围NPC44</t>
  </si>
  <si>
    <t>比奇城氛围NPC45</t>
  </si>
  <si>
    <t>比奇城氛围NPC46</t>
  </si>
  <si>
    <t>比奇城-镜头</t>
  </si>
  <si>
    <t>兽人古墓一层-怪物1</t>
  </si>
  <si>
    <t>兽人古墓一层-怪物2</t>
  </si>
  <si>
    <t>兽人古墓一层-怪物3</t>
  </si>
  <si>
    <t>兽人古墓一层-怪物4</t>
  </si>
  <si>
    <t>兽人古墓一层-怪物5</t>
  </si>
  <si>
    <t>兽人古墓一层-怪物6</t>
  </si>
  <si>
    <t>兽人古墓一层-怪物7</t>
  </si>
  <si>
    <t>兽人古墓一层-怪物8</t>
  </si>
  <si>
    <t>兽人古墓一层-怪物9</t>
  </si>
  <si>
    <t>兽人古墓一层-怪物10</t>
  </si>
  <si>
    <t>兽人古墓一层-怪物11</t>
  </si>
  <si>
    <t>兽人古墓一层-怪物12</t>
  </si>
  <si>
    <t>兽人古墓一层-怪物13</t>
  </si>
  <si>
    <t>兽人古墓一层-怪物14</t>
  </si>
  <si>
    <t>兽人古墓一层-怪物15</t>
  </si>
  <si>
    <t>兽人古墓一层-怪物16</t>
  </si>
  <si>
    <t>兽人古墓一层-怪物17</t>
  </si>
  <si>
    <t>兽人古墓一层-怪物18</t>
  </si>
  <si>
    <t>兽人古墓一层-怪物19</t>
  </si>
  <si>
    <t>兽人古墓一层-怪物20</t>
  </si>
  <si>
    <t>兽人古墓一层-怪物21</t>
  </si>
  <si>
    <t>兽人古墓一层-怪物22</t>
  </si>
  <si>
    <t>兽人古墓一层-怪物23</t>
  </si>
  <si>
    <t>兽人古墓一层-怪物24</t>
  </si>
  <si>
    <t>兽人古墓一层-怪物25</t>
  </si>
  <si>
    <t>兽人古墓一层-怪物26</t>
  </si>
  <si>
    <t>兽人古墓一层-怪物27</t>
  </si>
  <si>
    <t>兽人古墓一层-怪物28</t>
  </si>
  <si>
    <t>兽人古墓一层-怪物29</t>
  </si>
  <si>
    <t>兽人古墓一层-怪物30</t>
  </si>
  <si>
    <t>兽人古墓一层-怪物31</t>
  </si>
  <si>
    <t>兽人古墓一层-怪物32</t>
  </si>
  <si>
    <t>兽人古墓一层-怪物33</t>
  </si>
  <si>
    <t>兽人古墓二层-兽人古墓一层</t>
  </si>
  <si>
    <t>兽人古墓一层-兽人古墓二层</t>
  </si>
  <si>
    <t>兽人古墓一层-怪物36</t>
  </si>
  <si>
    <t>兽人古墓一层-怪物37</t>
  </si>
  <si>
    <t>兽人古墓一层-怪物38</t>
  </si>
  <si>
    <t>兽人古墓一层-怪物39</t>
  </si>
  <si>
    <t>兽人古墓一层-怪物40</t>
  </si>
  <si>
    <t>兽人古墓一层-怪物41</t>
  </si>
  <si>
    <t>兽人古墓一层-怪物42</t>
  </si>
  <si>
    <t>兽人古墓一层-怪物43</t>
  </si>
  <si>
    <t>兽人古墓一层-怪物44</t>
  </si>
  <si>
    <t>兽人古墓一层-怪物45</t>
  </si>
  <si>
    <t>兽人古墓一层-怪物46</t>
  </si>
  <si>
    <t>兽人古墓一层-怪物47</t>
  </si>
  <si>
    <t>兽人古墓一层-怪物48</t>
  </si>
  <si>
    <t>兽人古墓一层-怪物49</t>
  </si>
  <si>
    <t>兽人古墓一层-怪物50</t>
  </si>
  <si>
    <t>兽人古墓一层-怪物51</t>
  </si>
  <si>
    <t>兽人古墓一层-怪物52</t>
  </si>
  <si>
    <t>兽人古墓一层-怪物53</t>
  </si>
  <si>
    <t>兽人古墓一层-怪物54</t>
  </si>
  <si>
    <t>兽人古墓一层-怪物55</t>
  </si>
  <si>
    <t>兽人古墓一层-怪物56</t>
  </si>
  <si>
    <t>兽人古墓一层-镜头</t>
  </si>
  <si>
    <t>兽人古墓二层-怪物1</t>
  </si>
  <si>
    <t>兽人古墓二层-怪物2</t>
  </si>
  <si>
    <t>兽人古墓二层-怪物3</t>
  </si>
  <si>
    <t>兽人古墓二层-怪物4</t>
  </si>
  <si>
    <t>兽人古墓二层-怪物5</t>
  </si>
  <si>
    <t>兽人古墓二层-怪物6</t>
  </si>
  <si>
    <t>兽人古墓二层-怪物7</t>
  </si>
  <si>
    <t>兽人古墓二层-怪物8</t>
  </si>
  <si>
    <t>兽人古墓二层-怪物9</t>
  </si>
  <si>
    <t>兽人古墓二层-怪物10</t>
  </si>
  <si>
    <t>兽人古墓二层-怪物11</t>
  </si>
  <si>
    <t>兽人古墓二层-怪物12</t>
  </si>
  <si>
    <t>兽人古墓二层-怪物13</t>
  </si>
  <si>
    <t>兽人古墓二层-怪物14</t>
  </si>
  <si>
    <t>兽人古墓二层-怪物15</t>
  </si>
  <si>
    <t>兽人古墓二层-怪物16</t>
  </si>
  <si>
    <t>兽人古墓二层-怪物17</t>
  </si>
  <si>
    <t>兽人古墓二层-怪物18</t>
  </si>
  <si>
    <t>兽人古墓二层-怪物19</t>
  </si>
  <si>
    <t>兽人古墓二层-怪物20</t>
  </si>
  <si>
    <t>兽人古墓二层-怪物21</t>
  </si>
  <si>
    <t>兽人古墓二层-怪物22</t>
  </si>
  <si>
    <t>兽人古墓二层-怪物23</t>
  </si>
  <si>
    <t>兽人古墓二层-怪物24</t>
  </si>
  <si>
    <t>兽人古墓二层-怪物25</t>
  </si>
  <si>
    <t>兽人古墓二层-怪物26</t>
  </si>
  <si>
    <t>兽人古墓二层-怪物27</t>
  </si>
  <si>
    <t>兽人古墓二层-怪物28</t>
  </si>
  <si>
    <t>兽人古墓二层-怪物29</t>
  </si>
  <si>
    <t>兽人古墓二层-怪物30</t>
  </si>
  <si>
    <t>兽人古墓二层-怪物31</t>
  </si>
  <si>
    <t>兽人古墓二层-怪物32</t>
  </si>
  <si>
    <t>兽人古墓二层-怪物33</t>
  </si>
  <si>
    <t>兽人古墓二层-怪物34</t>
  </si>
  <si>
    <t>兽人古墓二层-怪物35</t>
  </si>
  <si>
    <t>兽人古墓二层-怪物36</t>
  </si>
  <si>
    <t>国王陵墓-兽人古墓二层</t>
  </si>
  <si>
    <t>兽人古墓二层-国王陵墓</t>
  </si>
  <si>
    <t>兽人古墓二层-怪物39</t>
  </si>
  <si>
    <t>兽人古墓二层-怪物40</t>
  </si>
  <si>
    <t>兽人古墓二层-怪物41</t>
  </si>
  <si>
    <t>兽人古墓二层-怪物42</t>
  </si>
  <si>
    <t>兽人古墓二层-怪物43</t>
  </si>
  <si>
    <t>兽人古墓二层-怪物44</t>
  </si>
  <si>
    <t>兽人古墓二层-怪物45</t>
  </si>
  <si>
    <t>兽人古墓二层-怪物46</t>
  </si>
  <si>
    <t>兽人古墓二层-怪物47</t>
  </si>
  <si>
    <t>兽人古墓二层-怪物48</t>
  </si>
  <si>
    <t>兽人古墓二层-怪物49</t>
  </si>
  <si>
    <t>兽人古墓二层-怪物50</t>
  </si>
  <si>
    <t>兽人古墓二层-怪物51</t>
  </si>
  <si>
    <t>兽人古墓二层-怪物52</t>
  </si>
  <si>
    <t>兽人古墓二层-怪物53</t>
  </si>
  <si>
    <t>兽人古墓二层-怪物54</t>
  </si>
  <si>
    <t>兽人古墓二层-怪物55</t>
  </si>
  <si>
    <t>兽人古墓二层-怪物56</t>
  </si>
  <si>
    <t>兽人古墓二层-怪物57</t>
  </si>
  <si>
    <t>兽人古墓二层-怪物58</t>
  </si>
  <si>
    <t>兽人古墓二层-怪物59</t>
  </si>
  <si>
    <t>兽人古墓二层-怪物60</t>
  </si>
  <si>
    <t>兽人古墓二层-怪物61</t>
  </si>
  <si>
    <t>兽人古墓二层-怪物62</t>
  </si>
  <si>
    <t>兽人古墓二层-怪物63</t>
  </si>
  <si>
    <t>兽人古墓二层-怪物64</t>
  </si>
  <si>
    <t>兽人古墓二层-怪物65</t>
  </si>
  <si>
    <t>兽人古墓二层-怪物66</t>
  </si>
  <si>
    <t>兽人古墓二层-镜头</t>
  </si>
  <si>
    <t>国王陵墓-怪物1</t>
  </si>
  <si>
    <t>国王陵墓-怪物2</t>
  </si>
  <si>
    <t>国王陵墓-怪物3</t>
  </si>
  <si>
    <t>国王陵墓-怪物4</t>
  </si>
  <si>
    <t>国王陵墓-怪物5</t>
  </si>
  <si>
    <t>国王陵墓-怪物6</t>
  </si>
  <si>
    <t>国王陵墓-怪物7</t>
  </si>
  <si>
    <t>国王陵墓-怪物8</t>
  </si>
  <si>
    <t>国王陵墓-怪物9</t>
  </si>
  <si>
    <t>国王陵墓-怪物10</t>
  </si>
  <si>
    <t>国王陵墓-怪物11</t>
  </si>
  <si>
    <t>国王陵墓-怪物12</t>
  </si>
  <si>
    <t>国王陵墓-怪物13</t>
  </si>
  <si>
    <t>国王陵墓-怪物14</t>
  </si>
  <si>
    <t>国王陵墓-怪物15</t>
  </si>
  <si>
    <t>国王陵墓-怪物16</t>
  </si>
  <si>
    <t>国王陵墓-怪物17</t>
  </si>
  <si>
    <t>国王陵墓-怪物18</t>
  </si>
  <si>
    <t>国王陵墓-怪物19</t>
  </si>
  <si>
    <t>国王陵墓-怪物20</t>
  </si>
  <si>
    <t>国王陵墓-怪物21</t>
  </si>
  <si>
    <t>国王陵墓-怪物22</t>
  </si>
  <si>
    <t>国王陵墓-怪物23</t>
  </si>
  <si>
    <t>国王陵墓-怪物24</t>
  </si>
  <si>
    <t>国王陵墓-怪物25</t>
  </si>
  <si>
    <t>国王陵墓-怪物26</t>
  </si>
  <si>
    <t>国王陵墓-怪物27</t>
  </si>
  <si>
    <t>国王陵墓-怪物28</t>
  </si>
  <si>
    <t>国王陵墓-怪物29</t>
  </si>
  <si>
    <t>国王陵墓-怪物30</t>
  </si>
  <si>
    <t>国王陵墓-镜头</t>
  </si>
  <si>
    <t>废矿区东部-怪物1</t>
  </si>
  <si>
    <t>废矿区东部-怪物2</t>
  </si>
  <si>
    <t>废矿区东部-怪物3</t>
  </si>
  <si>
    <t>废矿区东部-怪物4</t>
  </si>
  <si>
    <t>废矿区东部-怪物5</t>
  </si>
  <si>
    <t>废矿区东部-怪物6</t>
  </si>
  <si>
    <t>废矿区东部-怪物7</t>
  </si>
  <si>
    <t>废矿区东部-怪物8</t>
  </si>
  <si>
    <t>废矿区东部-怪物9</t>
  </si>
  <si>
    <t>废矿区东部-怪物10</t>
  </si>
  <si>
    <t>废矿区东部-怪物11</t>
  </si>
  <si>
    <t>废矿区东部-怪物12</t>
  </si>
  <si>
    <t>废矿区东部-怪物13</t>
  </si>
  <si>
    <t>废矿区东部-怪物14</t>
  </si>
  <si>
    <t>废矿区东部-怪物15</t>
  </si>
  <si>
    <t>废矿区东部-怪物16</t>
  </si>
  <si>
    <t>废矿区东部-怪物17</t>
  </si>
  <si>
    <t>废矿区东部-怪物18</t>
  </si>
  <si>
    <t>废矿区东部-怪物19</t>
  </si>
  <si>
    <t>废矿区东部-怪物20</t>
  </si>
  <si>
    <t>废矿区东部-怪物21</t>
  </si>
  <si>
    <t>废矿区东部-怪物22</t>
  </si>
  <si>
    <t>废矿区东部-怪物23</t>
  </si>
  <si>
    <t>废矿区东部-怪物24</t>
  </si>
  <si>
    <t>废矿区东部-怪物25</t>
  </si>
  <si>
    <t>废矿区东部-怪物26</t>
  </si>
  <si>
    <t>废矿区东部-怪物27</t>
  </si>
  <si>
    <t>废矿区东部-怪物28</t>
  </si>
  <si>
    <t>废矿区东部-怪物29</t>
  </si>
  <si>
    <t>废矿区东部-怪物30</t>
  </si>
  <si>
    <t>废矿区东部-怪物31</t>
  </si>
  <si>
    <t>废矿区东部-怪物32</t>
  </si>
  <si>
    <t>废矿区东部-怪物33</t>
  </si>
  <si>
    <t>废矿区东部-怪物34</t>
  </si>
  <si>
    <t>废矿区东部-怪物35</t>
  </si>
  <si>
    <t>废矿区东部-怪物36</t>
  </si>
  <si>
    <t>废矿区东部-怪物37</t>
  </si>
  <si>
    <t>废矿区东部-怪物38</t>
  </si>
  <si>
    <t>废矿区东部-怪物39</t>
  </si>
  <si>
    <t>废矿区东部-怪物40</t>
  </si>
  <si>
    <t>废矿区东部-怪物41</t>
  </si>
  <si>
    <t>废矿区东部-怪物42</t>
  </si>
  <si>
    <t>废矿区东部-怪物43</t>
  </si>
  <si>
    <t>废矿区东部-怪物44</t>
  </si>
  <si>
    <t>废矿区东部-怪物45</t>
  </si>
  <si>
    <t>废矿区东部-怪物46</t>
  </si>
  <si>
    <t>废矿区东部-怪物47</t>
  </si>
  <si>
    <t>废矿区东部-怪物48</t>
  </si>
  <si>
    <t>废矿区东部-怪物49</t>
  </si>
  <si>
    <t>废矿区东部-怪物50</t>
  </si>
  <si>
    <t>废矿区东部-怪物51</t>
  </si>
  <si>
    <t>废矿区东部-怪物52</t>
  </si>
  <si>
    <t>废矿区东部-怪物53</t>
  </si>
  <si>
    <t>尸王殿-废矿区东部</t>
  </si>
  <si>
    <t>废矿区东部-尸王殿</t>
  </si>
  <si>
    <t>废矿区东部-镜头</t>
  </si>
  <si>
    <t>尸王殿-怪物1</t>
  </si>
  <si>
    <t>尸王殿-怪物2</t>
  </si>
  <si>
    <t>尸王殿-怪物3</t>
  </si>
  <si>
    <t>尸王殿-怪物4</t>
  </si>
  <si>
    <t>尸王殿-怪物5</t>
  </si>
  <si>
    <t>尸王殿-怪物6</t>
  </si>
  <si>
    <t>尸王殿-怪物7</t>
  </si>
  <si>
    <t>尸王殿-怪物8</t>
  </si>
  <si>
    <t>尸王殿-怪物9</t>
  </si>
  <si>
    <t>尸王殿-怪物10</t>
  </si>
  <si>
    <t>尸王殿-怪物11</t>
  </si>
  <si>
    <t>尸王殿-怪物12</t>
  </si>
  <si>
    <t>尸王殿-怪物13</t>
  </si>
  <si>
    <t>尸王殿-怪物14</t>
  </si>
  <si>
    <t>尸王殿-怪物15</t>
  </si>
  <si>
    <t>尸王殿-镜头</t>
  </si>
  <si>
    <t>地牢-怪物1</t>
  </si>
  <si>
    <t>地牢-怪物2</t>
  </si>
  <si>
    <t>地牢-怪物3</t>
  </si>
  <si>
    <t>地牢-怪物4</t>
  </si>
  <si>
    <t>地牢-怪物5</t>
  </si>
  <si>
    <t>地牢-怪物6</t>
  </si>
  <si>
    <t>地牢-怪物7</t>
  </si>
  <si>
    <t>地牢-怪物8</t>
  </si>
  <si>
    <t>地牢-怪物9</t>
  </si>
  <si>
    <t>地牢-怪物10</t>
  </si>
  <si>
    <t>地牢-怪物11</t>
  </si>
  <si>
    <t>地牢-怪物12</t>
  </si>
  <si>
    <t>地牢-怪物13</t>
  </si>
  <si>
    <t>地牢-怪物14</t>
  </si>
  <si>
    <t>地牢-怪物15</t>
  </si>
  <si>
    <t>地牢-怪物16</t>
  </si>
  <si>
    <t>地牢-怪物17</t>
  </si>
  <si>
    <t>地牢-怪物18</t>
  </si>
  <si>
    <t>地牢-怪物19</t>
  </si>
  <si>
    <t>地牢-怪物20</t>
  </si>
  <si>
    <t>地牢-怪物21</t>
  </si>
  <si>
    <t>地牢-怪物22</t>
  </si>
  <si>
    <t>地牢-怪物23</t>
  </si>
  <si>
    <t>地牢-怪物24</t>
  </si>
  <si>
    <t>地牢-怪物25</t>
  </si>
  <si>
    <t>地牢-怪物26</t>
  </si>
  <si>
    <t>地牢-怪物27</t>
  </si>
  <si>
    <t>地牢-怪物28</t>
  </si>
  <si>
    <t>地牢-怪物29</t>
  </si>
  <si>
    <t>地牢-怪物30</t>
  </si>
  <si>
    <t>地牢-怪物31</t>
  </si>
  <si>
    <t>地牢-怪物32</t>
  </si>
  <si>
    <t>地牢-怪物33</t>
  </si>
  <si>
    <t>地牢-怪物34</t>
  </si>
  <si>
    <t>地牢-怪物35</t>
  </si>
  <si>
    <t>地牢-怪物36</t>
  </si>
  <si>
    <t>地牢-怪物37</t>
  </si>
  <si>
    <t>地牢-怪物38</t>
  </si>
  <si>
    <t>地牢-怪物39</t>
  </si>
  <si>
    <t>地牢-怪物40</t>
  </si>
  <si>
    <t>地牢-怪物41</t>
  </si>
  <si>
    <t>地牢-怪物42</t>
  </si>
  <si>
    <t>地牢-怪物43</t>
  </si>
  <si>
    <t>地牢-怪物44</t>
  </si>
  <si>
    <t>地牢-怪物45</t>
  </si>
  <si>
    <t>地牢-怪物46</t>
  </si>
  <si>
    <t>地牢-怪物47</t>
  </si>
  <si>
    <t>地牢-怪物48</t>
  </si>
  <si>
    <t>地牢-老人</t>
  </si>
  <si>
    <t>地牢-怪物49</t>
  </si>
  <si>
    <t>黑暗地带-地牢</t>
  </si>
  <si>
    <t>地牢-黑暗地带</t>
  </si>
  <si>
    <t>地牢-镜头</t>
  </si>
  <si>
    <t>黑暗地带-怪物1</t>
  </si>
  <si>
    <t>黑暗地带-怪物2</t>
  </si>
  <si>
    <t>黑暗地带-怪物3</t>
  </si>
  <si>
    <t>黑暗地带-怪物4</t>
  </si>
  <si>
    <t>黑暗地带-怪物5</t>
  </si>
  <si>
    <t>黑暗地带-怪物6</t>
  </si>
  <si>
    <t>黑暗地带-怪物7</t>
  </si>
  <si>
    <t>黑暗地带-怪物8</t>
  </si>
  <si>
    <t>黑暗地带-怪物9</t>
  </si>
  <si>
    <t>黑暗地带-怪物10</t>
  </si>
  <si>
    <t>黑暗地带-怪物11</t>
  </si>
  <si>
    <t>黑暗地带-怪物12</t>
  </si>
  <si>
    <t>黑暗地带-怪物13</t>
  </si>
  <si>
    <t>黑暗地带-怪物14</t>
  </si>
  <si>
    <t>黑暗地带-怪物15</t>
  </si>
  <si>
    <t>黑暗地带-怪物16</t>
  </si>
  <si>
    <t>黑暗地带-怪物17</t>
  </si>
  <si>
    <t>黑暗地带-怪物18</t>
  </si>
  <si>
    <t>黑暗地带-怪物19</t>
  </si>
  <si>
    <t>黑暗地带-怪物20</t>
  </si>
  <si>
    <t>黑暗地带-怪物21</t>
  </si>
  <si>
    <t>黑暗地带-怪物22</t>
  </si>
  <si>
    <t>黑暗地带-怪物23</t>
  </si>
  <si>
    <t>黑暗地带-怪物24</t>
  </si>
  <si>
    <t>黑暗地带-怪物25</t>
  </si>
  <si>
    <t>黑暗地带-怪物26</t>
  </si>
  <si>
    <t>黑暗地带-怪物27</t>
  </si>
  <si>
    <t>黑暗地带-怪物28</t>
  </si>
  <si>
    <t>黑暗地带-怪物29</t>
  </si>
  <si>
    <t>黑暗地带-怪物30</t>
  </si>
  <si>
    <t>黑暗地带-怪物31</t>
  </si>
  <si>
    <t>黑暗地带-怪物32</t>
  </si>
  <si>
    <t>黑暗地带-怪物33</t>
  </si>
  <si>
    <t>黑暗地带-怪物34</t>
  </si>
  <si>
    <t>黑暗地带-怪物35</t>
  </si>
  <si>
    <t>黑暗地带-怪物36</t>
  </si>
  <si>
    <t>黑暗地带-怪物37</t>
  </si>
  <si>
    <t>黑暗地带-怪物38</t>
  </si>
  <si>
    <t>黑暗地带-怪物39</t>
  </si>
  <si>
    <t>黑暗地带-怪物40</t>
  </si>
  <si>
    <t>黑暗地带-怪物41</t>
  </si>
  <si>
    <t>黑暗地带-怪物42</t>
  </si>
  <si>
    <t>黑暗地带-怪物43</t>
  </si>
  <si>
    <t>黑暗地带-怪物44</t>
  </si>
  <si>
    <t>黑暗地带-怪物45</t>
  </si>
  <si>
    <t>黑暗地带-怪物46</t>
  </si>
  <si>
    <t>黑暗地带-怪物47</t>
  </si>
  <si>
    <t>黑暗地带-怪物48</t>
  </si>
  <si>
    <t>黑暗地带-怪物49</t>
  </si>
  <si>
    <t>黑暗地带-怪物50</t>
  </si>
  <si>
    <t>黑暗地带-怪物51</t>
  </si>
  <si>
    <t>黑暗地带-怪物52</t>
  </si>
  <si>
    <t>黑暗地带-怪物53</t>
  </si>
  <si>
    <t>黑暗地带-怪物54</t>
  </si>
  <si>
    <t>黑暗地带-怪物55</t>
  </si>
  <si>
    <t>黑暗地带-怪物56</t>
  </si>
  <si>
    <t>黑暗地带-怪物57</t>
  </si>
  <si>
    <t>黑暗地带-怪物58</t>
  </si>
  <si>
    <t>黑暗地带-怪物59</t>
  </si>
  <si>
    <t>黑暗地带-怪物60</t>
  </si>
  <si>
    <t>黑暗地带-怪物61</t>
  </si>
  <si>
    <t>黑暗地带-怪物62</t>
  </si>
  <si>
    <t>死亡棺材-黑暗地带</t>
  </si>
  <si>
    <t>黑暗地带-死亡棺材</t>
  </si>
  <si>
    <t>黑暗地带-怪物63</t>
  </si>
  <si>
    <t>黑暗地带-怪物64</t>
  </si>
  <si>
    <t>黑暗地带-怪物65</t>
  </si>
  <si>
    <t>黑暗地带-镜头</t>
  </si>
  <si>
    <t>死亡棺材-怪物1</t>
  </si>
  <si>
    <t>死亡棺材-怪物2</t>
  </si>
  <si>
    <t>死亡棺材-怪物3</t>
  </si>
  <si>
    <t>死亡棺材-怪物4</t>
  </si>
  <si>
    <t>死亡棺材-怪物5</t>
  </si>
  <si>
    <t>死亡棺材-怪物6</t>
  </si>
  <si>
    <t>死亡棺材-怪物7</t>
  </si>
  <si>
    <t>死亡棺材-怪物8</t>
  </si>
  <si>
    <t>死亡棺材-怪物9</t>
  </si>
  <si>
    <t>死亡棺材-怪物10</t>
  </si>
  <si>
    <t>死亡棺材-怪物11</t>
  </si>
  <si>
    <t>死亡棺材-怪物12</t>
  </si>
  <si>
    <t>死亡棺材-怪物13</t>
  </si>
  <si>
    <t>死亡棺材-怪物14</t>
  </si>
  <si>
    <t>死亡棺材-怪物15</t>
  </si>
  <si>
    <t>死亡棺材-怪物16</t>
  </si>
  <si>
    <t>死亡棺材-怪物17</t>
  </si>
  <si>
    <t>死亡棺材-怪物18</t>
  </si>
  <si>
    <t>死亡棺材-怪物19</t>
  </si>
  <si>
    <t>死亡棺材-怪物20</t>
  </si>
  <si>
    <t>死亡棺材-怪物21</t>
  </si>
  <si>
    <t>死亡棺材-怪物22</t>
  </si>
  <si>
    <t>死亡棺材-怪物23</t>
  </si>
  <si>
    <t>死亡棺材-怪物24</t>
  </si>
  <si>
    <t>死亡棺材-怪物25</t>
  </si>
  <si>
    <t>死亡棺材-怪物26</t>
  </si>
  <si>
    <t>死亡棺材-怪物27</t>
  </si>
  <si>
    <t>死亡棺材-怪物28</t>
  </si>
  <si>
    <t>死亡棺材-怪物29</t>
  </si>
  <si>
    <t>死亡棺材-怪物30</t>
  </si>
  <si>
    <t>死亡棺材-怪物31</t>
  </si>
  <si>
    <t>死亡棺材-怪物32</t>
  </si>
  <si>
    <t>死亡棺材-怪物33</t>
  </si>
  <si>
    <t>死亡棺材-怪物34</t>
  </si>
  <si>
    <t>死亡棺材-怪物35</t>
  </si>
  <si>
    <t>死亡棺材-怪物36</t>
  </si>
  <si>
    <t>死亡棺材-怪物37</t>
  </si>
  <si>
    <t>死亡棺材-怪物38</t>
  </si>
  <si>
    <t>死亡棺材-怪物39</t>
  </si>
  <si>
    <t>死亡棺材-怪物40</t>
  </si>
  <si>
    <t>死亡棺材-怪物41</t>
  </si>
  <si>
    <t>死亡棺材-怪物42</t>
  </si>
  <si>
    <t>死亡棺材-怪物43</t>
  </si>
  <si>
    <t>死亡棺材-怪物44</t>
  </si>
  <si>
    <t>死亡棺材-怪物45</t>
  </si>
  <si>
    <t>死亡棺材-怪物46</t>
  </si>
  <si>
    <t>死亡棺材-怪物47</t>
  </si>
  <si>
    <t>死亡棺材-怪物48</t>
  </si>
  <si>
    <t>死亡棺材-怪物49</t>
  </si>
  <si>
    <t>死亡棺材-怪物50</t>
  </si>
  <si>
    <t>死亡棺材-怪物51</t>
  </si>
  <si>
    <t>死亡棺材-怪物52</t>
  </si>
  <si>
    <t>死亡棺材-怪物53</t>
  </si>
  <si>
    <t>死亡棺材-镜头</t>
  </si>
  <si>
    <t>未知暗殿-怪物1</t>
  </si>
  <si>
    <t>未知暗殿-怪物2</t>
  </si>
  <si>
    <t>未知暗殿-怪物3</t>
  </si>
  <si>
    <t>未知暗殿-怪物4</t>
  </si>
  <si>
    <t>未知暗殿-怪物5</t>
  </si>
  <si>
    <t>未知暗殿-怪物6</t>
  </si>
  <si>
    <t>未知暗殿-怪物7</t>
  </si>
  <si>
    <t>未知暗殿-怪物8</t>
  </si>
  <si>
    <t>未知暗殿-怪物9</t>
  </si>
  <si>
    <t>未知暗殿-怪物10</t>
  </si>
  <si>
    <t>未知暗殿-怪物11</t>
  </si>
  <si>
    <t>未知暗殿-怪物12</t>
  </si>
  <si>
    <t>未知暗殿-怪物13</t>
  </si>
  <si>
    <t>未知暗殿-怪物14</t>
  </si>
  <si>
    <t>未知暗殿-怪物15</t>
  </si>
  <si>
    <t>未知暗殿-怪物16</t>
  </si>
  <si>
    <t>未知暗殿-怪物17</t>
  </si>
  <si>
    <t>未知暗殿-怪物18</t>
  </si>
  <si>
    <t>地牢-未知暗殿</t>
  </si>
  <si>
    <t>未知暗殿-怪物19</t>
  </si>
  <si>
    <t>未知暗殿-怪物20</t>
  </si>
  <si>
    <t>未知暗殿-怪物21</t>
  </si>
  <si>
    <t>未知暗殿-怪物22</t>
  </si>
  <si>
    <t>未知暗殿-怪物23</t>
  </si>
  <si>
    <t>未知暗殿-怪物24</t>
  </si>
  <si>
    <t>未知暗殿-怪物25</t>
  </si>
  <si>
    <t>未知暗殿-怪物26</t>
  </si>
  <si>
    <t>未知暗殿-怪物27</t>
  </si>
  <si>
    <t>未知暗殿-怪物28</t>
  </si>
  <si>
    <t>未知暗殿-怪物29</t>
  </si>
  <si>
    <t>未知暗殿-地牢</t>
  </si>
  <si>
    <t>未知暗殿-怪物30</t>
  </si>
  <si>
    <t>未知暗殿-怪物31</t>
  </si>
  <si>
    <t>未知暗殿-怪物32</t>
  </si>
  <si>
    <t>未知暗殿-怪物33</t>
  </si>
  <si>
    <t>未知暗殿-怪物34</t>
  </si>
  <si>
    <t>未知暗殿-怪物35</t>
  </si>
  <si>
    <t>未知暗殿-怪物36</t>
  </si>
  <si>
    <t>未知暗殿-怪物37</t>
  </si>
  <si>
    <t>未知暗殿-怪物38</t>
  </si>
  <si>
    <t>未知暗殿-怪物39</t>
  </si>
  <si>
    <t>未知暗殿-怪物40</t>
  </si>
  <si>
    <t>未知暗殿-怪物41</t>
  </si>
  <si>
    <t>未知暗殿-怪物42</t>
  </si>
  <si>
    <t>未知暗殿-怪物43</t>
  </si>
  <si>
    <t>未知暗殿-怪物44</t>
  </si>
  <si>
    <t>未知暗殿-怪物45</t>
  </si>
  <si>
    <t>未知暗殿-怪物46</t>
  </si>
  <si>
    <t>未知暗殿-怪物47</t>
  </si>
  <si>
    <t>未知暗殿-怪物48</t>
  </si>
  <si>
    <t>未知暗殿-怪物49</t>
  </si>
  <si>
    <t>未知暗殿-怪物50</t>
  </si>
  <si>
    <t>未知暗殿-怪物51</t>
  </si>
  <si>
    <t>未知暗殿-怪物52</t>
  </si>
  <si>
    <t>未知暗殿-怪物53</t>
  </si>
  <si>
    <t>未知暗殿-怪物54</t>
  </si>
  <si>
    <t>未知暗殿-怪物55</t>
  </si>
  <si>
    <t>未知暗殿-镜头</t>
  </si>
  <si>
    <t>沃玛寺庙一层-怪物1</t>
  </si>
  <si>
    <t>沃玛寺庙一层-怪物2</t>
  </si>
  <si>
    <t>沃玛寺庙一层-怪物3</t>
  </si>
  <si>
    <t>沃玛寺庙一层-怪物4</t>
  </si>
  <si>
    <t>沃玛寺庙一层-怪物5</t>
  </si>
  <si>
    <t>沃玛寺庙一层-怪物6</t>
  </si>
  <si>
    <t>沃玛寺庙一层-怪物7</t>
  </si>
  <si>
    <t>沃玛寺庙一层-怪物8</t>
  </si>
  <si>
    <t>沃玛寺庙一层-怪物9</t>
  </si>
  <si>
    <t>沃玛寺庙一层-怪物10</t>
  </si>
  <si>
    <t>沃玛寺庙一层-怪物11</t>
  </si>
  <si>
    <t>沃玛寺庙一层-怪物12</t>
  </si>
  <si>
    <t>沃玛寺庙一层-怪物13</t>
  </si>
  <si>
    <t>沃玛寺庙一层-怪物14</t>
  </si>
  <si>
    <t>沃玛寺庙一层-怪物15</t>
  </si>
  <si>
    <t>沃玛寺庙一层-怪物16</t>
  </si>
  <si>
    <t>沃玛寺庙一层-怪物17</t>
  </si>
  <si>
    <t>沃玛寺庙一层-怪物18</t>
  </si>
  <si>
    <t>沃玛寺庙一层-怪物19</t>
  </si>
  <si>
    <t>沃玛寺庙一层-怪物20</t>
  </si>
  <si>
    <t>沃玛寺庙一层-怪物21</t>
  </si>
  <si>
    <t>沃玛寺庙一层-怪物22</t>
  </si>
  <si>
    <t>沃玛寺庙一层-怪物23</t>
  </si>
  <si>
    <t>沃玛寺庙一层-怪物24</t>
  </si>
  <si>
    <t>沃玛寺庙二层-沃玛寺庙一层</t>
  </si>
  <si>
    <t>沃玛寺庙一层-沃玛寺庙二层</t>
  </si>
  <si>
    <t>沃玛寺庙一层-怪物25</t>
  </si>
  <si>
    <t>沃玛寺庙一层-怪物26</t>
  </si>
  <si>
    <t>沃玛寺庙一层-怪物27</t>
  </si>
  <si>
    <t>沃玛寺庙一层-怪物28</t>
  </si>
  <si>
    <t>沃玛寺庙一层-怪物29</t>
  </si>
  <si>
    <t>沃玛寺庙一层-怪物30</t>
  </si>
  <si>
    <t>沃玛寺庙一层-怪物31</t>
  </si>
  <si>
    <t>沃玛寺庙一层-怪物32</t>
  </si>
  <si>
    <t>沃玛寺庙一层-怪物33</t>
  </si>
  <si>
    <t>沃玛寺庙一层-怪物34</t>
  </si>
  <si>
    <t>沃玛寺庙一层-怪物35</t>
  </si>
  <si>
    <t>沃玛寺庙一层-怪物36</t>
  </si>
  <si>
    <t>沃玛寺庙一层-怪物37</t>
  </si>
  <si>
    <t>沃玛寺庙一层-怪物38</t>
  </si>
  <si>
    <t>沃玛寺庙一层-怪物39</t>
  </si>
  <si>
    <t>沃玛寺庙一层-怪物40</t>
  </si>
  <si>
    <t>沃玛寺庙一层-怪物41</t>
  </si>
  <si>
    <t>沃玛寺庙一层-怪物42</t>
  </si>
  <si>
    <t>沃玛寺庙一层-怪物43</t>
  </si>
  <si>
    <t>沃玛寺庙一层-怪物44</t>
  </si>
  <si>
    <t>沃玛寺庙一层-怪物45</t>
  </si>
  <si>
    <t>沃玛寺庙一层-怪物46</t>
  </si>
  <si>
    <t>沃玛寺庙一层-怪物47</t>
  </si>
  <si>
    <t>沃玛寺庙一层-怪物48</t>
  </si>
  <si>
    <t>沃玛寺庙一层-怪物49</t>
  </si>
  <si>
    <t>沃玛寺庙一层-怪物50</t>
  </si>
  <si>
    <t>沃玛寺庙一层-怪物51</t>
  </si>
  <si>
    <t>沃玛寺庙一层-怪物52</t>
  </si>
  <si>
    <t>沃玛寺庙一层-怪物53</t>
  </si>
  <si>
    <t>沃玛寺庙一层-怪物54</t>
  </si>
  <si>
    <t>沃玛寺庙一层-怪物55</t>
  </si>
  <si>
    <t>沃玛寺庙一层-怪物56</t>
  </si>
  <si>
    <t>沃玛寺庙一层-怪物57</t>
  </si>
  <si>
    <t>沃玛寺庙-镜头</t>
  </si>
  <si>
    <t>沃玛寺庙二层-怪物1</t>
  </si>
  <si>
    <t>沃玛寺庙二层-怪物2</t>
  </si>
  <si>
    <t>沃玛寺庙二层-怪物3</t>
  </si>
  <si>
    <t>沃玛寺庙二层-怪物4</t>
  </si>
  <si>
    <t>沃玛寺庙二层-怪物5</t>
  </si>
  <si>
    <t>沃玛寺庙二层-怪物6</t>
  </si>
  <si>
    <t>沃玛寺庙二层-怪物7</t>
  </si>
  <si>
    <t>沃玛寺庙二层-怪物8</t>
  </si>
  <si>
    <t>沃玛寺庙二层-怪物9</t>
  </si>
  <si>
    <t>沃玛寺庙二层-怪物10</t>
  </si>
  <si>
    <t>沃玛寺庙二层-怪物11</t>
  </si>
  <si>
    <t>沃玛寺庙二层-怪物12</t>
  </si>
  <si>
    <t>沃玛寺庙二层-怪物13</t>
  </si>
  <si>
    <t>沃玛寺庙二层-怪物14</t>
  </si>
  <si>
    <t>沃玛寺庙二层-怪物15</t>
  </si>
  <si>
    <t>沃玛寺庙二层-怪物16</t>
  </si>
  <si>
    <t>沃玛寺庙二层-怪物17</t>
  </si>
  <si>
    <t>沃玛寺庙二层-怪物18</t>
  </si>
  <si>
    <t>沃玛寺庙二层-怪物19</t>
  </si>
  <si>
    <t>沃玛寺庙二层-怪物20</t>
  </si>
  <si>
    <t>沃玛教主大殿-沃玛寺庙二层</t>
  </si>
  <si>
    <t>沃玛寺庙二层-沃玛教主大殿</t>
  </si>
  <si>
    <t>沃玛寺庙二层-怪物21</t>
  </si>
  <si>
    <t>沃玛寺庙二层-怪物22</t>
  </si>
  <si>
    <t>沃玛寺庙二层-怪物23</t>
  </si>
  <si>
    <t>沃玛寺庙二层-怪物24</t>
  </si>
  <si>
    <t>沃玛寺庙二层-怪物25</t>
  </si>
  <si>
    <t>沃玛寺庙二层-怪物26</t>
  </si>
  <si>
    <t>沃玛寺庙二层-怪物27</t>
  </si>
  <si>
    <t>沃玛寺庙二层-怪物28</t>
  </si>
  <si>
    <t>沃玛寺庙二层-怪物29</t>
  </si>
  <si>
    <t>沃玛寺庙二层-怪物30</t>
  </si>
  <si>
    <t>沃玛寺庙二层-怪物31</t>
  </si>
  <si>
    <t>沃玛寺庙二层-怪物32</t>
  </si>
  <si>
    <t>沃玛寺庙二层-怪物33</t>
  </si>
  <si>
    <t>沃玛寺庙二层-怪物34</t>
  </si>
  <si>
    <t>沃玛寺庙二层-怪物35</t>
  </si>
  <si>
    <t>沃玛寺庙二层-怪物36</t>
  </si>
  <si>
    <t>沃玛寺庙二层-怪物37</t>
  </si>
  <si>
    <t>沃玛寺庙二层-怪物38</t>
  </si>
  <si>
    <t>沃玛寺庙二层-怪物39</t>
  </si>
  <si>
    <t>沃玛寺庙二层-怪物40</t>
  </si>
  <si>
    <t>沃玛寺庙二层-怪物41</t>
  </si>
  <si>
    <t>沃玛寺庙二层-怪物42</t>
  </si>
  <si>
    <t>沃玛寺庙二层-怪物43</t>
  </si>
  <si>
    <t>沃玛寺庙二层-怪物44</t>
  </si>
  <si>
    <t>沃玛寺庙二层-怪物45</t>
  </si>
  <si>
    <t>沃玛寺庙二层-怪物46</t>
  </si>
  <si>
    <t>沃玛寺庙二层-怪物47</t>
  </si>
  <si>
    <t>沃玛寺庙二层-怪物48</t>
  </si>
  <si>
    <t>沃玛寺庙二层-怪物49</t>
  </si>
  <si>
    <t>沃玛寺庙二层-怪物50</t>
  </si>
  <si>
    <t>沃玛寺庙二层-镜头</t>
  </si>
  <si>
    <t>沃玛教主大殿-怪物1</t>
  </si>
  <si>
    <t>沃玛教主大殿-怪物2</t>
  </si>
  <si>
    <t>沃玛教主大殿-怪物3</t>
  </si>
  <si>
    <t>沃玛教主大殿-怪物4</t>
  </si>
  <si>
    <t>沃玛教主大殿-怪物7</t>
  </si>
  <si>
    <t>沃玛教主大殿-怪物8</t>
  </si>
  <si>
    <t>沃玛教主大殿-怪物9</t>
  </si>
  <si>
    <t>沃玛教主大殿-怪物10</t>
  </si>
  <si>
    <t>沃玛教主大殿-怪物11</t>
  </si>
  <si>
    <t>沃玛教主大殿-怪物12</t>
  </si>
  <si>
    <t>沃玛教主大殿-怪物13</t>
  </si>
  <si>
    <t>沃玛教主大殿-怪物14</t>
  </si>
  <si>
    <t>沃玛教主大殿-怪物15</t>
  </si>
  <si>
    <t>沃玛教主大殿-怪物16</t>
  </si>
  <si>
    <t>沃玛教主大殿-怪物17</t>
  </si>
  <si>
    <t>沃玛教主大殿-怪物18</t>
  </si>
  <si>
    <t>沃玛教主大殿-怪物19</t>
  </si>
  <si>
    <t>沃玛教主大殿-怪物20</t>
  </si>
  <si>
    <t>沃玛教主大殿-怪物21</t>
  </si>
  <si>
    <t>沃玛教主大殿-怪物22</t>
  </si>
  <si>
    <t>沃玛教主大殿-怪物23</t>
  </si>
  <si>
    <t>沃玛教主大殿-怪物24</t>
  </si>
  <si>
    <t>沃玛教主大殿-怪物25</t>
  </si>
  <si>
    <t>沃玛教主大殿-怪物26</t>
  </si>
  <si>
    <t>沃玛教主大殿-怪物27</t>
  </si>
  <si>
    <t>沃玛教主大殿-怪物28</t>
  </si>
  <si>
    <t>沃玛教主大殿-怪物29</t>
  </si>
  <si>
    <t>沃玛教主大殿-怪物30</t>
  </si>
  <si>
    <t>沃玛教主大殿-怪物31</t>
  </si>
  <si>
    <t>沃玛教主大殿-怪物32</t>
  </si>
  <si>
    <t>沃玛教主大殿-怪物33</t>
  </si>
  <si>
    <t>沃玛教主大殿-怪物34</t>
  </si>
  <si>
    <t>沃玛教主大殿-怪物35</t>
  </si>
  <si>
    <t>沃玛教主大殿-怪物36</t>
  </si>
  <si>
    <t>沃玛教主大殿-镜头</t>
  </si>
  <si>
    <t>石墓一层-怪物1</t>
  </si>
  <si>
    <t>石墓一层-怪物2</t>
  </si>
  <si>
    <t>石墓一层-怪物3</t>
  </si>
  <si>
    <t>石墓一层-怪物4</t>
  </si>
  <si>
    <t>石墓一层-怪物5</t>
  </si>
  <si>
    <t>石墓一层-怪物6</t>
  </si>
  <si>
    <t>石墓一层-怪物7</t>
  </si>
  <si>
    <t>石墓一层-怪物8</t>
  </si>
  <si>
    <t>石墓一层-怪物9</t>
  </si>
  <si>
    <t>石墓一层-比奇城</t>
  </si>
  <si>
    <t>比奇城-石墓一层</t>
  </si>
  <si>
    <t>石墓一层-怪物10</t>
  </si>
  <si>
    <t>石墓一层-怪物11</t>
  </si>
  <si>
    <t>石墓一层-怪物12</t>
  </si>
  <si>
    <t>石墓一层-怪物13</t>
  </si>
  <si>
    <t>石墓一层-怪物14</t>
  </si>
  <si>
    <t>石墓一层-怪物15</t>
  </si>
  <si>
    <t>石墓一层-怪物16</t>
  </si>
  <si>
    <t>石墓一层-怪物17</t>
  </si>
  <si>
    <t>石墓一层-怪物18</t>
  </si>
  <si>
    <t>石墓一层-怪物19</t>
  </si>
  <si>
    <t>石墓一层-怪物20</t>
  </si>
  <si>
    <t>石墓一层-怪物21</t>
  </si>
  <si>
    <t>石墓一层-怪物22</t>
  </si>
  <si>
    <t>石墓一层-怪物23</t>
  </si>
  <si>
    <t>石墓一层-怪物24</t>
  </si>
  <si>
    <t>石墓一层-怪物25</t>
  </si>
  <si>
    <t>石墓一层-怪物26</t>
  </si>
  <si>
    <t>石墓一层-怪物27</t>
  </si>
  <si>
    <t>石墓一层-怪物28</t>
  </si>
  <si>
    <t>石墓一层-怪物29</t>
  </si>
  <si>
    <t>石墓一层-怪物30</t>
  </si>
  <si>
    <t>石墓一层-怪物31</t>
  </si>
  <si>
    <t>石墓一层-怪物32</t>
  </si>
  <si>
    <t>石墓一层-怪物33</t>
  </si>
  <si>
    <t>石墓一层-怪物34</t>
  </si>
  <si>
    <t>石墓一层-怪物35</t>
  </si>
  <si>
    <t>石墓一层-怪物36</t>
  </si>
  <si>
    <t>石墓一层-怪物37</t>
  </si>
  <si>
    <t>石墓一层-怪物38</t>
  </si>
  <si>
    <t>石墓一层-怪物39</t>
  </si>
  <si>
    <t>石墓一层-怪物40</t>
  </si>
  <si>
    <t>石墓一层-怪物41</t>
  </si>
  <si>
    <t>石墓一层-怪物42</t>
  </si>
  <si>
    <t>石墓一层-怪物43</t>
  </si>
  <si>
    <t>石墓一层-怪物44</t>
  </si>
  <si>
    <t>石墓一层-怪物45</t>
  </si>
  <si>
    <t>石墓一层-怪物46</t>
  </si>
  <si>
    <t>石墓一层-怪物47</t>
  </si>
  <si>
    <t>石墓一层-怪物48</t>
  </si>
  <si>
    <t>石墓一层-怪物49</t>
  </si>
  <si>
    <t>石墓一层-怪物50</t>
  </si>
  <si>
    <t>石墓一层-怪物51</t>
  </si>
  <si>
    <t>石墓一层-怪物52</t>
  </si>
  <si>
    <t>石墓一层-怪物53</t>
  </si>
  <si>
    <t>石墓一层-怪物54</t>
  </si>
  <si>
    <t>石墓一层-怪物55</t>
  </si>
  <si>
    <t>石墓一层-怪物56</t>
  </si>
  <si>
    <t>石墓一层-怪物57</t>
  </si>
  <si>
    <t>石墓一层-怪物58</t>
  </si>
  <si>
    <t>石墓一层-怪物59</t>
  </si>
  <si>
    <t>石墓一层-怪物60</t>
  </si>
  <si>
    <t>石墓一层-怪物61</t>
  </si>
  <si>
    <t>石墓一层-怪物62</t>
  </si>
  <si>
    <t>石墓一层-怪物63</t>
  </si>
  <si>
    <t>石墓一层-怪物64</t>
  </si>
  <si>
    <t>石墓一层-怪物65</t>
  </si>
  <si>
    <t>石墓一层-怪物66</t>
  </si>
  <si>
    <t>石墓阵入口-石墓一层</t>
  </si>
  <si>
    <t>石墓阵</t>
  </si>
  <si>
    <t>石墓一层-石墓阵入口</t>
  </si>
  <si>
    <t>石墓一层-怪物67</t>
  </si>
  <si>
    <t>石墓一层-怪物68</t>
  </si>
  <si>
    <t>石墓一层-怪物69</t>
  </si>
  <si>
    <t>石墓一层-怪物70</t>
  </si>
  <si>
    <t>石墓一层-怪物71</t>
  </si>
  <si>
    <t>石墓一层-怪物72</t>
  </si>
  <si>
    <t>石墓一层-怪物73</t>
  </si>
  <si>
    <t>石墓一层-怪物74</t>
  </si>
  <si>
    <t>石墓一层-怪物75</t>
  </si>
  <si>
    <t>石墓一层-怪物76</t>
  </si>
  <si>
    <t>石墓一层-怪物77</t>
  </si>
  <si>
    <t>石墓一层-镜头</t>
  </si>
  <si>
    <t>石墓阵入口1-石墓一层</t>
  </si>
  <si>
    <t>石墓一层-石墓阵入口1</t>
  </si>
  <si>
    <t>石墓阵入口2-石墓阵出口</t>
  </si>
  <si>
    <t>石墓阵出口-石墓阵入口2</t>
  </si>
  <si>
    <t>石墓阵入口3-石墓阵出口</t>
  </si>
  <si>
    <t>石墓阵出口-石墓阵入口3</t>
  </si>
  <si>
    <t>石墓阵入口4-石墓阵出口</t>
  </si>
  <si>
    <t>石墓阵出口-石墓阵入口4</t>
  </si>
  <si>
    <t>石墓阵入口-怪物1</t>
  </si>
  <si>
    <t>石墓阵入口-怪物2</t>
  </si>
  <si>
    <t>石墓阵入口-怪物3</t>
  </si>
  <si>
    <t>石墓阵入口-怪物4</t>
  </si>
  <si>
    <t>石墓阵入口-怪物5</t>
  </si>
  <si>
    <t>石墓阵入口-怪物6</t>
  </si>
  <si>
    <t>石墓阵入口-怪物7</t>
  </si>
  <si>
    <t>石墓阵入口-怪物8</t>
  </si>
  <si>
    <t>石墓阵入口-怪物9</t>
  </si>
  <si>
    <t>石墓阵入口-怪物10</t>
  </si>
  <si>
    <t>石墓阵入口-怪物11</t>
  </si>
  <si>
    <t>石墓阵入口-怪物12</t>
  </si>
  <si>
    <t>石墓阵入口-怪物13</t>
  </si>
  <si>
    <t>石墓阵入口-怪物14</t>
  </si>
  <si>
    <t>石墓阵入口-怪物15</t>
  </si>
  <si>
    <t>石墓阵入口-怪物16</t>
  </si>
  <si>
    <t>石墓阵入口-怪物17</t>
  </si>
  <si>
    <t>石墓阵入口-怪物18</t>
  </si>
  <si>
    <t>石墓阵入口-怪物19</t>
  </si>
  <si>
    <t>石墓阵入口-镜头</t>
  </si>
  <si>
    <t>石墓阵出口-怪物1</t>
  </si>
  <si>
    <t>石墓阵出口-怪物2</t>
  </si>
  <si>
    <t>石墓阵入口-石墓阵出口</t>
  </si>
  <si>
    <t>石墓阵出口-怪物3</t>
  </si>
  <si>
    <t>石墓阵出口-怪物4</t>
  </si>
  <si>
    <t>石墓阵出口-怪物5</t>
  </si>
  <si>
    <t>石墓阵出口-怪物6</t>
  </si>
  <si>
    <t>石墓阵出口-怪物7</t>
  </si>
  <si>
    <t>石墓阵出口-怪物8</t>
  </si>
  <si>
    <t>石墓阵出口-怪物9</t>
  </si>
  <si>
    <t>石墓阵出口-怪物10</t>
  </si>
  <si>
    <t>石墓阵出口-怪物11</t>
  </si>
  <si>
    <t>石墓阵出口-怪物12</t>
  </si>
  <si>
    <t>石墓阵出口-怪物13</t>
  </si>
  <si>
    <t>石墓阵出口-怪物14</t>
  </si>
  <si>
    <t>石墓阵出口-怪物15</t>
  </si>
  <si>
    <t>石墓阵出口-石墓顶层</t>
  </si>
  <si>
    <t>石墓顶层-石墓阵出口</t>
  </si>
  <si>
    <t>石墓阵出口-怪物16</t>
  </si>
  <si>
    <t>石墓阵出口-怪物17</t>
  </si>
  <si>
    <t>石墓阵出口-怪物18</t>
  </si>
  <si>
    <t>石墓阵出口-怪物19</t>
  </si>
  <si>
    <t>石墓阵出口-怪物20</t>
  </si>
  <si>
    <t>石墓阵出口-怪物21</t>
  </si>
  <si>
    <t>石墓阵出口-怪物22</t>
  </si>
  <si>
    <t>石墓阵出口-镜头</t>
  </si>
  <si>
    <t>石墓顶层-怪物1</t>
  </si>
  <si>
    <t>石墓顶层-怪物2</t>
  </si>
  <si>
    <t>石墓顶层-怪物3</t>
  </si>
  <si>
    <t>石墓顶层-怪物4</t>
  </si>
  <si>
    <t>石墓顶层-怪物5</t>
  </si>
  <si>
    <t>石墓顶层-怪物6</t>
  </si>
  <si>
    <t>石墓顶层-怪物7</t>
  </si>
  <si>
    <t>石墓顶层-怪物8</t>
  </si>
  <si>
    <t>石墓顶层-怪物9</t>
  </si>
  <si>
    <t>石墓顶层-怪物10</t>
  </si>
  <si>
    <t>石墓顶层-怪物11</t>
  </si>
  <si>
    <t>石墓顶层-怪物12</t>
  </si>
  <si>
    <t>石墓顶层-怪物13</t>
  </si>
  <si>
    <t>石墓顶层-怪物14</t>
  </si>
  <si>
    <t>石墓顶层-怪物15</t>
  </si>
  <si>
    <t>石墓顶层-怪物16</t>
  </si>
  <si>
    <t>石墓顶层-怪物17</t>
  </si>
  <si>
    <t>石墓顶层-怪物18</t>
  </si>
  <si>
    <t>石墓顶层-怪物19</t>
  </si>
  <si>
    <t>石墓顶层-怪物20</t>
  </si>
  <si>
    <t>石墓顶层-怪物21</t>
  </si>
  <si>
    <t>石墓顶层-怪物22</t>
  </si>
  <si>
    <t>石墓顶层-怪物23</t>
  </si>
  <si>
    <t>石墓顶层-怪物24</t>
  </si>
  <si>
    <t>石墓顶层-怪物25</t>
  </si>
  <si>
    <t>石墓顶层-怪物26</t>
  </si>
  <si>
    <t>石墓顶层-怪物27</t>
  </si>
  <si>
    <t>石墓顶层-怪物28</t>
  </si>
  <si>
    <t>石墓顶层-怪物29</t>
  </si>
  <si>
    <t>石墓顶层-怪物30</t>
  </si>
  <si>
    <t>桃源之门-石墓顶层</t>
  </si>
  <si>
    <t>石墓顶层-桃源之门</t>
  </si>
  <si>
    <t>石墓顶层-怪物31</t>
  </si>
  <si>
    <t>石墓顶层-怪物32</t>
  </si>
  <si>
    <t>石墓顶层-怪物33</t>
  </si>
  <si>
    <t>石墓顶层-怪物34</t>
  </si>
  <si>
    <t>石墓顶层-怪物35</t>
  </si>
  <si>
    <t>石墓顶层-怪物36</t>
  </si>
  <si>
    <t>石墓顶层-怪物37</t>
  </si>
  <si>
    <t>石墓顶层-怪物38</t>
  </si>
  <si>
    <t>石墓顶层-怪物39</t>
  </si>
  <si>
    <t>石墓顶层-怪物40</t>
  </si>
  <si>
    <t>石墓顶层-怪物41</t>
  </si>
  <si>
    <t>石墓顶层-怪物42</t>
  </si>
  <si>
    <t>石墓顶层-怪物43</t>
  </si>
  <si>
    <t>石墓顶层-怪物44</t>
  </si>
  <si>
    <t>石墓顶层-怪物45</t>
  </si>
  <si>
    <t>石墓顶层-怪物46</t>
  </si>
  <si>
    <t>石墓顶层-怪物47</t>
  </si>
  <si>
    <t>石墓顶层-怪物48</t>
  </si>
  <si>
    <t>石墓顶层-怪物49</t>
  </si>
  <si>
    <t>石墓顶层-怪物50</t>
  </si>
  <si>
    <t>石墓顶层-怪物51</t>
  </si>
  <si>
    <t>石墓顶层-怪物52</t>
  </si>
  <si>
    <t>石墓顶层-怪物53</t>
  </si>
  <si>
    <t>石墓顶层-怪物54</t>
  </si>
  <si>
    <t>石墓顶层-怪物55</t>
  </si>
  <si>
    <t>石墓顶层-怪物56</t>
  </si>
  <si>
    <t>石墓顶层-怪物57</t>
  </si>
  <si>
    <t>石墓顶层-怪物58</t>
  </si>
  <si>
    <t>石墓顶层-怪物59</t>
  </si>
  <si>
    <t>石墓顶层-怪物60</t>
  </si>
  <si>
    <t>石墓顶层-怪物61</t>
  </si>
  <si>
    <t>石墓顶层-怪物62</t>
  </si>
  <si>
    <t>石墓顶层-镜头</t>
  </si>
  <si>
    <t>桃源之门-怪物1</t>
  </si>
  <si>
    <t>桃源之门-怪物2</t>
  </si>
  <si>
    <t>桃源之门-怪物3</t>
  </si>
  <si>
    <t>桃源之门-怪物4</t>
  </si>
  <si>
    <t>桃源之门-怪物5</t>
  </si>
  <si>
    <t>桃源之门-怪物6</t>
  </si>
  <si>
    <t>桃源之门-怪物7</t>
  </si>
  <si>
    <t>桃源之门-怪物8</t>
  </si>
  <si>
    <t>桃源之门-怪物9</t>
  </si>
  <si>
    <t>桃源之门-怪物10</t>
  </si>
  <si>
    <t>桃源之门-怪物11</t>
  </si>
  <si>
    <t>桃源之门-怪物12</t>
  </si>
  <si>
    <t>桃源之门-怪物13</t>
  </si>
  <si>
    <t>桃源之门-怪物14</t>
  </si>
  <si>
    <t>桃源之门-怪物15</t>
  </si>
  <si>
    <t>桃源之门-怪物16</t>
  </si>
  <si>
    <t>桃源之门-怪物17</t>
  </si>
  <si>
    <t>桃源之门-怪物18</t>
  </si>
  <si>
    <t>桃源之门-困惑殿堂</t>
  </si>
  <si>
    <t>困惑殿堂-桃源之门</t>
  </si>
  <si>
    <t>桃源之门-怪物19</t>
  </si>
  <si>
    <t>桃源之门-怪物20</t>
  </si>
  <si>
    <t>桃源之门-怪物21</t>
  </si>
  <si>
    <t>桃源之门-怪物22</t>
  </si>
  <si>
    <t>桃源之门-怪物23</t>
  </si>
  <si>
    <t>桃源之门-怪物24</t>
  </si>
  <si>
    <t>桃源之门-怪物25</t>
  </si>
  <si>
    <t>桃源之门-怪物26</t>
  </si>
  <si>
    <t>桃源之门-怪物27</t>
  </si>
  <si>
    <t>桃源之门-怪物28</t>
  </si>
  <si>
    <t>桃源之门-怪物29</t>
  </si>
  <si>
    <t>桃源之门-镜头</t>
  </si>
  <si>
    <t>困惑殿堂-怪物1</t>
  </si>
  <si>
    <t>困惑殿堂-怪物2</t>
  </si>
  <si>
    <t>困惑殿堂-怪物3</t>
  </si>
  <si>
    <t>困惑殿堂-怪物4</t>
  </si>
  <si>
    <t>困惑殿堂-怪物5</t>
  </si>
  <si>
    <t>困惑殿堂-怪物6</t>
  </si>
  <si>
    <t>困惑殿堂-怪物7</t>
  </si>
  <si>
    <t>困惑殿堂-怪物8</t>
  </si>
  <si>
    <t>困惑殿堂-怪物9</t>
  </si>
  <si>
    <t>困惑殿堂-怪物10</t>
  </si>
  <si>
    <t>困惑殿堂-怪物11</t>
  </si>
  <si>
    <t>困惑殿堂-怪物12</t>
  </si>
  <si>
    <t>困惑殿堂-怪物13</t>
  </si>
  <si>
    <t>困惑殿堂-镜头</t>
  </si>
  <si>
    <t>祖玛寺庙一层-怪物1</t>
  </si>
  <si>
    <t>祖玛寺庙一层-怪物2</t>
  </si>
  <si>
    <t>祖玛寺庙一层-怪物3</t>
  </si>
  <si>
    <t>祖玛寺庙一层-怪物4</t>
  </si>
  <si>
    <t>祖玛寺庙一层-怪物5</t>
  </si>
  <si>
    <t>祖玛寺庙一层-怪物6</t>
  </si>
  <si>
    <t>祖玛寺庙一层-怪物7</t>
  </si>
  <si>
    <t>祖玛寺庙一层-怪物8</t>
  </si>
  <si>
    <t>祖玛寺庙一层-怪物9</t>
  </si>
  <si>
    <t>祖玛寺庙一层-怪物10</t>
  </si>
  <si>
    <t>祖玛寺庙一层-怪物11</t>
  </si>
  <si>
    <t>祖玛寺庙一层-怪物12</t>
  </si>
  <si>
    <t>祖玛寺庙一层-怪物13</t>
  </si>
  <si>
    <t>祖玛寺庙一层-怪物14</t>
  </si>
  <si>
    <t>祖玛寺庙一层-怪物15</t>
  </si>
  <si>
    <t>祖玛寺庙一层-怪物16</t>
  </si>
  <si>
    <t>祖玛寺庙一层-怪物17</t>
  </si>
  <si>
    <t>祖玛寺庙一层-怪物18</t>
  </si>
  <si>
    <t>祖玛寺庙一层-比奇城</t>
  </si>
  <si>
    <t>比奇城-祖玛寺庙一层</t>
  </si>
  <si>
    <t>祖玛寺庙一层-怪物19</t>
  </si>
  <si>
    <t>祖玛寺庙一层-怪物20</t>
  </si>
  <si>
    <t>祖玛寺庙一层-怪物21</t>
  </si>
  <si>
    <t>祖玛寺庙一层-怪物22</t>
  </si>
  <si>
    <t>祖玛寺庙一层-怪物23</t>
  </si>
  <si>
    <t>祖玛寺庙一层-怪物24</t>
  </si>
  <si>
    <t>祖玛寺庙一层-怪物25</t>
  </si>
  <si>
    <t>祖玛寺庙一层-怪物26</t>
  </si>
  <si>
    <t>祖玛寺庙一层-怪物27</t>
  </si>
  <si>
    <t>祖玛寺庙一层-怪物28</t>
  </si>
  <si>
    <t>祖玛寺庙一层-怪物29</t>
  </si>
  <si>
    <t>祖玛寺庙一层-怪物30</t>
  </si>
  <si>
    <t>祖玛寺庙一层-怪物31</t>
  </si>
  <si>
    <t>祖玛寺庙一层-怪物32</t>
  </si>
  <si>
    <t>祖玛寺庙一层-怪物33</t>
  </si>
  <si>
    <t>祖玛寺庙一层-怪物34</t>
  </si>
  <si>
    <t>祖玛寺庙一层-怪物35</t>
  </si>
  <si>
    <t>祖玛寺庙一层-怪物36</t>
  </si>
  <si>
    <t>祖玛寺庙一层-怪物37</t>
  </si>
  <si>
    <t>祖玛寺庙一层-怪物38</t>
  </si>
  <si>
    <t>祖玛寺庙一层-怪物39</t>
  </si>
  <si>
    <t>祖玛寺庙一层-怪物40</t>
  </si>
  <si>
    <t>祖玛寺庙一层-怪物41</t>
  </si>
  <si>
    <t>祖玛寺庙一层-怪物42</t>
  </si>
  <si>
    <t>祖玛寺庙一层-怪物43</t>
  </si>
  <si>
    <t>祖玛寺庙一层-怪物44</t>
  </si>
  <si>
    <t>祖玛寺庙一层-怪物45</t>
  </si>
  <si>
    <t>祖玛寺庙一层-怪物46</t>
  </si>
  <si>
    <t>祖玛寺庙一层-怪物47</t>
  </si>
  <si>
    <t>祖玛寺庙一层-怪物48</t>
  </si>
  <si>
    <t>祖玛寺庙一层-怪物49</t>
  </si>
  <si>
    <t>祖玛寺庙二层-祖玛寺庙一层</t>
  </si>
  <si>
    <t>祖玛寺庙一层-祖玛寺庙二层</t>
  </si>
  <si>
    <t>祖玛寺庙一层-怪物50</t>
  </si>
  <si>
    <t>祖玛寺庙一层-怪物51</t>
  </si>
  <si>
    <t>祖玛寺庙一层-怪物52</t>
  </si>
  <si>
    <t>祖玛寺庙一层-怪物53</t>
  </si>
  <si>
    <t>祖玛寺庙一层-怪物54</t>
  </si>
  <si>
    <t>祖玛寺庙一层-怪物55</t>
  </si>
  <si>
    <t>祖玛寺庙一层-怪物56</t>
  </si>
  <si>
    <t>祖玛寺庙一层-怪物57</t>
  </si>
  <si>
    <t>祖玛寺庙一层-怪物58</t>
  </si>
  <si>
    <t>祖玛寺庙一层-镜头</t>
  </si>
  <si>
    <t>祖玛寺庙二层-祖玛阁</t>
  </si>
  <si>
    <t>祖玛阁-祖玛寺庙二层</t>
  </si>
  <si>
    <t>祖玛寺庙二层-怪物1</t>
  </si>
  <si>
    <t>祖玛寺庙二层-怪物2</t>
  </si>
  <si>
    <t>祖玛寺庙二层-怪物3</t>
  </si>
  <si>
    <t>祖玛寺庙二层-怪物4</t>
  </si>
  <si>
    <t>祖玛寺庙二层-怪物5</t>
  </si>
  <si>
    <t>祖玛寺庙二层-怪物6</t>
  </si>
  <si>
    <t>祖玛寺庙二层-怪物7</t>
  </si>
  <si>
    <t>祖玛寺庙二层-怪物8</t>
  </si>
  <si>
    <t>祖玛寺庙二层-怪物9</t>
  </si>
  <si>
    <t>祖玛寺庙二层-怪物10</t>
  </si>
  <si>
    <t>祖玛寺庙二层-怪物11</t>
  </si>
  <si>
    <t>祖玛寺庙二层-怪物12</t>
  </si>
  <si>
    <t>祖玛寺庙二层-怪物13</t>
  </si>
  <si>
    <t>祖玛寺庙二层-怪物14</t>
  </si>
  <si>
    <t>祖玛寺庙二层-怪物15</t>
  </si>
  <si>
    <t>祖玛寺庙二层-怪物16</t>
  </si>
  <si>
    <t>祖玛寺庙二层-怪物17</t>
  </si>
  <si>
    <t>祖玛寺庙二层-怪物18</t>
  </si>
  <si>
    <t>祖玛寺庙二层-怪物19</t>
  </si>
  <si>
    <t>祖玛寺庙二层-怪物20</t>
  </si>
  <si>
    <t>祖玛寺庙二层-怪物21</t>
  </si>
  <si>
    <t>祖玛寺庙二层-怪物22</t>
  </si>
  <si>
    <t>祖玛寺庙二层-怪物23</t>
  </si>
  <si>
    <t>祖玛寺庙二层-怪物24</t>
  </si>
  <si>
    <t>祖玛寺庙二层-怪物25</t>
  </si>
  <si>
    <t>祖玛寺庙二层-怪物26</t>
  </si>
  <si>
    <t>祖玛寺庙二层-怪物27</t>
  </si>
  <si>
    <t>祖玛寺庙二层-怪物28</t>
  </si>
  <si>
    <t>祖玛寺庙二层-怪物29</t>
  </si>
  <si>
    <t>祖玛寺庙二层-怪物30</t>
  </si>
  <si>
    <t>祖玛寺庙二层-怪物31</t>
  </si>
  <si>
    <t>祖玛寺庙二层-怪物32</t>
  </si>
  <si>
    <t>祖玛寺庙二层-怪物33</t>
  </si>
  <si>
    <t>祖玛寺庙二层-怪物34</t>
  </si>
  <si>
    <t>祖玛寺庙二层-怪物35</t>
  </si>
  <si>
    <t>祖玛寺庙二层-怪物36</t>
  </si>
  <si>
    <t>祖玛寺庙二层-怪物37</t>
  </si>
  <si>
    <t>祖玛寺庙二层-怪物38</t>
  </si>
  <si>
    <t>祖玛寺庙二层-怪物39</t>
  </si>
  <si>
    <t>祖玛寺庙二层-怪物40</t>
  </si>
  <si>
    <t>祖玛寺庙二层-镜头</t>
  </si>
  <si>
    <t>祖玛阁2-祖玛教主之家</t>
  </si>
  <si>
    <t>祖玛教主之家-祖玛阁1</t>
  </si>
  <si>
    <t>祖玛阁3-祖玛教主之家</t>
  </si>
  <si>
    <t>祖玛教主之家-祖玛阁2</t>
  </si>
  <si>
    <t>祖玛阁4-祖玛教主之家</t>
  </si>
  <si>
    <t>祖玛阁-怪物1</t>
  </si>
  <si>
    <t>祖玛阁-怪物2</t>
  </si>
  <si>
    <t>祖玛阁-怪物3</t>
  </si>
  <si>
    <t>祖玛阁-怪物4</t>
  </si>
  <si>
    <t>祖玛阁-怪物5</t>
  </si>
  <si>
    <t>祖玛阁-怪物6</t>
  </si>
  <si>
    <t>祖玛阁-镜头</t>
  </si>
  <si>
    <t>祖玛教主之家-怪物1</t>
  </si>
  <si>
    <t>祖玛教主之家-怪物2</t>
  </si>
  <si>
    <t>祖玛教主之家-怪物3</t>
  </si>
  <si>
    <t>祖玛教主之家-怪物4</t>
  </si>
  <si>
    <t>祖玛教主之家-怪物5</t>
  </si>
  <si>
    <t>祖玛教主之家-怪物6</t>
  </si>
  <si>
    <t>祖玛教主之家-祖玛阁</t>
  </si>
  <si>
    <t>祖玛阁-祖玛教主之家</t>
  </si>
  <si>
    <t>祖玛教主之家-怪物9</t>
  </si>
  <si>
    <t>祖玛教主之家-怪物10</t>
  </si>
  <si>
    <t>祖玛教主之家-镜头</t>
  </si>
  <si>
    <t>封魔矿区-怪物1</t>
  </si>
  <si>
    <t>封魔矿区-怪物2</t>
  </si>
  <si>
    <t>封魔矿区-怪物3</t>
  </si>
  <si>
    <t>封魔矿区-怪物4</t>
  </si>
  <si>
    <t>封魔矿区-怪物5</t>
  </si>
  <si>
    <t>封魔矿区-怪物6</t>
  </si>
  <si>
    <t>封魔矿区-怪物7</t>
  </si>
  <si>
    <t>封魔矿区-怪物8</t>
  </si>
  <si>
    <t>封魔矿区-怪物9</t>
  </si>
  <si>
    <t>封魔矿区-怪物10</t>
  </si>
  <si>
    <t>封魔矿区-怪物11</t>
  </si>
  <si>
    <t>封魔矿区-比奇城</t>
  </si>
  <si>
    <t>比奇城-封魔矿区</t>
  </si>
  <si>
    <t>封魔矿区-怪物12</t>
  </si>
  <si>
    <t>封魔矿区-怪物13</t>
  </si>
  <si>
    <t>封魔矿区-怪物14</t>
  </si>
  <si>
    <t>封魔矿区-怪物15</t>
  </si>
  <si>
    <t>封魔矿区-怪物16</t>
  </si>
  <si>
    <t>封魔矿区-怪物17</t>
  </si>
  <si>
    <t>封魔矿区-怪物18</t>
  </si>
  <si>
    <t>封魔矿区-怪物19</t>
  </si>
  <si>
    <t>封魔矿区-怪物20</t>
  </si>
  <si>
    <t>封魔矿区-怪物21</t>
  </si>
  <si>
    <t>封魔矿区-怪物22</t>
  </si>
  <si>
    <t>封魔矿区-怪物23</t>
  </si>
  <si>
    <t>封魔矿区-怪物24</t>
  </si>
  <si>
    <t>封魔矿区-怪物25</t>
  </si>
  <si>
    <t>封魔矿区-怪物26</t>
  </si>
  <si>
    <t>封魔矿区-怪物27</t>
  </si>
  <si>
    <t>封魔矿区-怪物28</t>
  </si>
  <si>
    <t>封魔矿区-怪物29</t>
  </si>
  <si>
    <t>封魔矿区-怪物30</t>
  </si>
  <si>
    <t>封魔矿区-怪物31</t>
  </si>
  <si>
    <t>封魔矿区-怪物32</t>
  </si>
  <si>
    <t>封魔矿区-怪物33</t>
  </si>
  <si>
    <t>光明回廊-封魔矿区</t>
  </si>
  <si>
    <t>封魔矿区-光芒回廊</t>
  </si>
  <si>
    <t>封魔矿区-镜头</t>
  </si>
  <si>
    <t>光芒回廊-怪物1</t>
  </si>
  <si>
    <t>光芒回廊-怪物2</t>
  </si>
  <si>
    <t>光芒回廊-封魔殿</t>
  </si>
  <si>
    <t>封魔殿-光芒回廊</t>
  </si>
  <si>
    <t>光芒回廊-怪物3</t>
  </si>
  <si>
    <t>光芒回廊-怪物4</t>
  </si>
  <si>
    <t>光芒回廊-怪物5</t>
  </si>
  <si>
    <t>光芒回廊-怪物6</t>
  </si>
  <si>
    <t>光芒回廊-怪物7</t>
  </si>
  <si>
    <t>光芒回廊-怪物8</t>
  </si>
  <si>
    <t>光芒回廊-怪物9</t>
  </si>
  <si>
    <t>光芒回廊-怪物10</t>
  </si>
  <si>
    <t>光芒回廊-怪物11</t>
  </si>
  <si>
    <t>光芒回廊-怪物12</t>
  </si>
  <si>
    <t>光芒回廊-怪物13</t>
  </si>
  <si>
    <t>光芒回廊-怪物14</t>
  </si>
  <si>
    <t>光芒回廊-怪物15</t>
  </si>
  <si>
    <t>光芒回廊-怪物16</t>
  </si>
  <si>
    <t>光芒回廊-怪物17</t>
  </si>
  <si>
    <t>光芒回廊-怪物18</t>
  </si>
  <si>
    <t>光芒回廊-怪物19</t>
  </si>
  <si>
    <t>光芒回廊-怪物20</t>
  </si>
  <si>
    <t>光芒回廊-怪物21</t>
  </si>
  <si>
    <t>光芒回廊-怪物22</t>
  </si>
  <si>
    <t>光芒回廊-怪物23</t>
  </si>
  <si>
    <t>光芒回廊-怪物24</t>
  </si>
  <si>
    <t>光芒回廊-怪物25</t>
  </si>
  <si>
    <t>光芒回廊-封魔矿区</t>
  </si>
  <si>
    <t>光芒回廊-怪物26</t>
  </si>
  <si>
    <t>光芒回廊-怪物27</t>
  </si>
  <si>
    <t>光芒回廊-镜头</t>
  </si>
  <si>
    <t>封魔殿-怪物1</t>
  </si>
  <si>
    <t>封魔殿-怪物2</t>
  </si>
  <si>
    <t>封魔殿-怪物3</t>
  </si>
  <si>
    <t>封魔殿-怪物4</t>
  </si>
  <si>
    <t>封魔殿-怪物5</t>
  </si>
  <si>
    <t>封魔殿-怪物6</t>
  </si>
  <si>
    <t>封魔殿-怪物7</t>
  </si>
  <si>
    <t>封魔殿-怪物8</t>
  </si>
  <si>
    <t>封魔殿-怪物9</t>
  </si>
  <si>
    <t>封魔殿-怪物10</t>
  </si>
  <si>
    <t>封魔殿-怪物11</t>
  </si>
  <si>
    <t>封魔殿-怪物12</t>
  </si>
  <si>
    <t>封魔殿-怪物13</t>
  </si>
  <si>
    <t>封魔殿-怪物14</t>
  </si>
  <si>
    <t>封魔殿-怪物15</t>
  </si>
  <si>
    <t>封魔殿-怪物16</t>
  </si>
  <si>
    <t>封魔殿-怪物17</t>
  </si>
  <si>
    <t>封魔殿-怪物18</t>
  </si>
  <si>
    <t>封魔殿-怪物19</t>
  </si>
  <si>
    <t>封魔殿-怪物20</t>
  </si>
  <si>
    <t>封魔殿-怪物21</t>
  </si>
  <si>
    <t>封魔殿-怪物22</t>
  </si>
  <si>
    <t>封魔殿-怪物23</t>
  </si>
  <si>
    <t>封魔殿-怪物24</t>
  </si>
  <si>
    <t>封魔殿-怪物25</t>
  </si>
  <si>
    <t>封魔殿-怪物26</t>
  </si>
  <si>
    <t>封魔殿-怪物27</t>
  </si>
  <si>
    <t>封魔殿-怪物30</t>
  </si>
  <si>
    <t>封魔殿-镜头</t>
  </si>
  <si>
    <t>尸魔洞一层-怪物1</t>
  </si>
  <si>
    <t>尸魔洞一层-怪物2</t>
  </si>
  <si>
    <t>尸魔洞一层-比奇城</t>
  </si>
  <si>
    <t>比奇城-尸魔洞一层</t>
  </si>
  <si>
    <t>尸魔洞一层-怪物3</t>
  </si>
  <si>
    <t>尸魔洞一层-怪物4</t>
  </si>
  <si>
    <t>尸魔洞一层-怪物5</t>
  </si>
  <si>
    <t>尸魔洞一层-怪物6</t>
  </si>
  <si>
    <t>尸魔洞一层-怪物7</t>
  </si>
  <si>
    <t>尸魔洞一层-怪物8</t>
  </si>
  <si>
    <t>尸魔洞一层-怪物9</t>
  </si>
  <si>
    <t>尸魔洞一层-怪物10</t>
  </si>
  <si>
    <t>尸魔洞一层-怪物11</t>
  </si>
  <si>
    <t>尸魔洞一层-怪物12</t>
  </si>
  <si>
    <t>尸魔洞一层-怪物13</t>
  </si>
  <si>
    <t>尸魔洞一层-怪物14</t>
  </si>
  <si>
    <t>尸魔洞一层-怪物15</t>
  </si>
  <si>
    <t>尸魔洞一层-怪物16</t>
  </si>
  <si>
    <t>尸魔洞一层-怪物17</t>
  </si>
  <si>
    <t>尸魔洞一层-怪物18</t>
  </si>
  <si>
    <t>尸魔洞一层-怪物19</t>
  </si>
  <si>
    <t>尸魔洞一层-怪物20</t>
  </si>
  <si>
    <t>尸魔洞一层-怪物21</t>
  </si>
  <si>
    <t>尸魔洞一层-怪物22</t>
  </si>
  <si>
    <t>尸魔洞一层-怪物23</t>
  </si>
  <si>
    <t>尸魔洞一层-怪物24</t>
  </si>
  <si>
    <t>尸魔洞一层-怪物25</t>
  </si>
  <si>
    <t>尸魔洞一层-怪物26</t>
  </si>
  <si>
    <t>尸魔洞一层-怪物27</t>
  </si>
  <si>
    <t>尸魔洞一层-怪物28</t>
  </si>
  <si>
    <t>尸魔洞一层-怪物29</t>
  </si>
  <si>
    <t>尸魔洞一层-怪物30</t>
  </si>
  <si>
    <t>尸魔洞一层-怪物31</t>
  </si>
  <si>
    <t>尸魔洞一层-怪物32</t>
  </si>
  <si>
    <t>尸魔洞一层-怪物33</t>
  </si>
  <si>
    <t>尸魔洞一层-怪物34</t>
  </si>
  <si>
    <t>尸魔洞一层-怪物35</t>
  </si>
  <si>
    <t>尸魔洞一层-怪物36</t>
  </si>
  <si>
    <t>尸魔洞一层-怪物37</t>
  </si>
  <si>
    <t>尸魔洞一层-怪物38</t>
  </si>
  <si>
    <t>尸魔洞一层-怪物39</t>
  </si>
  <si>
    <t>尸魔洞一层-怪物40</t>
  </si>
  <si>
    <t>尸魔洞一层-尸魔洞二层</t>
  </si>
  <si>
    <t>尸魔洞二层-尸魔洞一层</t>
  </si>
  <si>
    <t>尸魔洞一层-怪物43</t>
  </si>
  <si>
    <t>尸魔洞一层-怪物44</t>
  </si>
  <si>
    <t>尸魔洞一层-怪物45</t>
  </si>
  <si>
    <t>尸魔洞一层-怪物46</t>
  </si>
  <si>
    <t>尸魔洞一层-怪物47</t>
  </si>
  <si>
    <t>尸魔洞一层-怪物48</t>
  </si>
  <si>
    <t>尸魔洞一层-怪物49</t>
  </si>
  <si>
    <t>尸魔洞一层-怪物50</t>
  </si>
  <si>
    <t>尸魔洞一层-镜头</t>
  </si>
  <si>
    <t>尸魔洞二层-怪物1</t>
  </si>
  <si>
    <t>尸魔洞二层-怪物2</t>
  </si>
  <si>
    <t>尸魔洞二层-怪物3</t>
  </si>
  <si>
    <t>尸魔洞二层-怪物4</t>
  </si>
  <si>
    <t>尸魔洞二层-怪物5</t>
  </si>
  <si>
    <t>尸魔洞二层-怪物6</t>
  </si>
  <si>
    <t>尸魔洞二层-怪物7</t>
  </si>
  <si>
    <t>尸魔洞二层-怪物8</t>
  </si>
  <si>
    <t>尸魔洞二层-怪物9</t>
  </si>
  <si>
    <t>尸魔洞二层-怪物10</t>
  </si>
  <si>
    <t>尸魔洞二层-怪物11</t>
  </si>
  <si>
    <t>尸魔洞二层-怪物12</t>
  </si>
  <si>
    <t>尸魔洞二层-怪物13</t>
  </si>
  <si>
    <t>尸魔洞二层-怪物14</t>
  </si>
  <si>
    <t>尸魔洞二层-怪物15</t>
  </si>
  <si>
    <t>尸魔洞二层-怪物16</t>
  </si>
  <si>
    <t>尸魔洞二层-怪物17</t>
  </si>
  <si>
    <t>尸魔洞二层-怪物18</t>
  </si>
  <si>
    <t>尸魔洞二层-怪物19</t>
  </si>
  <si>
    <t>尸魔洞二层-怪物20</t>
  </si>
  <si>
    <t>尸魔洞二层-怪物21</t>
  </si>
  <si>
    <t>尸魔洞二层-骨魔洞一层</t>
  </si>
  <si>
    <t>骨魔洞一层-尸魔洞二层</t>
  </si>
  <si>
    <t>尸魔洞二层-怪物22</t>
  </si>
  <si>
    <t>尸魔洞二层-怪物23</t>
  </si>
  <si>
    <t>尸魔洞二层-怪物24</t>
  </si>
  <si>
    <t>尸魔洞二层-怪物25</t>
  </si>
  <si>
    <t>尸魔洞二层-怪物26</t>
  </si>
  <si>
    <t>尸魔洞二层-怪物27</t>
  </si>
  <si>
    <t>尸魔洞二层-怪物28</t>
  </si>
  <si>
    <t>尸魔洞二层-镜头</t>
  </si>
  <si>
    <t>骨魔洞一层-怪物1</t>
  </si>
  <si>
    <t>骨魔洞一层-怪物2</t>
  </si>
  <si>
    <t>骨魔洞一层-怪物3</t>
  </si>
  <si>
    <t>骨魔洞一层-怪物4</t>
  </si>
  <si>
    <t>骨魔洞一层-怪物5</t>
  </si>
  <si>
    <t>骨魔洞一层-怪物6</t>
  </si>
  <si>
    <t>骨魔洞一层-骨魔洞二层</t>
  </si>
  <si>
    <t>骨魔洞二层-骨魔洞一层</t>
  </si>
  <si>
    <t>骨魔洞一层-怪物7</t>
  </si>
  <si>
    <t>骨魔洞一层-怪物10</t>
  </si>
  <si>
    <t>骨魔洞一层-怪物11</t>
  </si>
  <si>
    <t>骨魔洞一层-怪物12</t>
  </si>
  <si>
    <t>骨魔洞一层-怪物13</t>
  </si>
  <si>
    <t>骨魔洞一层-怪物14</t>
  </si>
  <si>
    <t>骨魔洞一层-怪物15</t>
  </si>
  <si>
    <t>骨魔洞一层-怪物16</t>
  </si>
  <si>
    <t>骨魔洞一层-怪物17</t>
  </si>
  <si>
    <t>骨魔洞一层-怪物18</t>
  </si>
  <si>
    <t>骨魔洞一层-怪物19</t>
  </si>
  <si>
    <t>骨魔洞一层-怪物20</t>
  </si>
  <si>
    <t>骨魔洞一层-怪物21</t>
  </si>
  <si>
    <t>骨魔洞一层-怪物22</t>
  </si>
  <si>
    <t>骨魔洞一层-怪物23</t>
  </si>
  <si>
    <t>骨魔洞一层-怪物24</t>
  </si>
  <si>
    <t>骨魔洞一层-怪物25</t>
  </si>
  <si>
    <t>骨魔洞一层-怪物26</t>
  </si>
  <si>
    <t>骨魔洞一层-怪物27</t>
  </si>
  <si>
    <t>骨魔洞一层-怪物28</t>
  </si>
  <si>
    <t>骨魔洞一层-怪物29</t>
  </si>
  <si>
    <t>骨魔洞一层-怪物30</t>
  </si>
  <si>
    <t>骨魔洞一层-怪物31</t>
  </si>
  <si>
    <t>骨魔洞一层-怪物32</t>
  </si>
  <si>
    <t>骨魔洞一层-怪物33</t>
  </si>
  <si>
    <t>骨魔洞一层-怪物34</t>
  </si>
  <si>
    <t>骨魔洞一层-怪物36</t>
  </si>
  <si>
    <t>骨魔洞一层-怪物37</t>
  </si>
  <si>
    <t>骨魔洞一层-怪物38</t>
  </si>
  <si>
    <t>骨魔洞一层-怪物39</t>
  </si>
  <si>
    <t>骨魔洞一层-镜头</t>
  </si>
  <si>
    <t>骨魔洞二层-怪物1</t>
  </si>
  <si>
    <t>骨魔洞二层-怪物2</t>
  </si>
  <si>
    <t>骨魔洞二层-怪物3</t>
  </si>
  <si>
    <t>骨魔洞二层-怪物4</t>
  </si>
  <si>
    <t>骨魔洞二层-怪物5</t>
  </si>
  <si>
    <t>骨魔洞二层-怪物6</t>
  </si>
  <si>
    <t>骨魔洞二层-怪物7</t>
  </si>
  <si>
    <t>骨魔洞二层-怪物8</t>
  </si>
  <si>
    <t>骨魔洞二层-怪物9</t>
  </si>
  <si>
    <t>骨魔洞二层-怪物10</t>
  </si>
  <si>
    <t>骨魔洞二层-怪物11</t>
  </si>
  <si>
    <t>骨魔洞二层-怪物12</t>
  </si>
  <si>
    <t>骨魔洞二层-牛魔寺庙入口</t>
  </si>
  <si>
    <t>牛魔寺庙入口-骨魔洞二层</t>
  </si>
  <si>
    <t>骨魔洞二层-怪物13</t>
  </si>
  <si>
    <t>骨魔洞二层-怪物14</t>
  </si>
  <si>
    <t>骨魔洞二层-怪物15</t>
  </si>
  <si>
    <t>骨魔洞二层-怪物16</t>
  </si>
  <si>
    <t>骨魔洞二层-怪物17</t>
  </si>
  <si>
    <t>骨魔洞二层-怪物18</t>
  </si>
  <si>
    <t>骨魔洞二层-怪物19</t>
  </si>
  <si>
    <t>骨魔洞二层-怪物20</t>
  </si>
  <si>
    <t>骨魔洞二层-怪物21</t>
  </si>
  <si>
    <t>骨魔洞二层-怪物22</t>
  </si>
  <si>
    <t>骨魔洞二层-怪物23</t>
  </si>
  <si>
    <t>骨魔洞二层-怪物24</t>
  </si>
  <si>
    <t>骨魔洞二层-怪物25</t>
  </si>
  <si>
    <t>骨魔洞二层-怪物26</t>
  </si>
  <si>
    <t>骨魔洞二层-怪物27</t>
  </si>
  <si>
    <t>骨魔洞二层-怪物28</t>
  </si>
  <si>
    <t>骨魔洞二层-怪物29</t>
  </si>
  <si>
    <t>骨魔洞二层-怪物30</t>
  </si>
  <si>
    <t>骨魔洞二层-怪物31</t>
  </si>
  <si>
    <t>骨魔洞二层-怪物32</t>
  </si>
  <si>
    <t>骨魔洞二层-镜头</t>
  </si>
  <si>
    <t>牛魔寺庙入口-牛魔寺庙一层</t>
  </si>
  <si>
    <t>牛魔寺庙一层-牛魔寺庙入口</t>
  </si>
  <si>
    <t>牛魔寺庙入口-怪物1</t>
  </si>
  <si>
    <t>牛魔寺庙入口-怪物2</t>
  </si>
  <si>
    <t>牛魔寺庙入口-怪物3</t>
  </si>
  <si>
    <t>牛魔寺庙入口-怪物4</t>
  </si>
  <si>
    <t>牛魔寺庙入口-怪物5</t>
  </si>
  <si>
    <t>牛魔寺庙入口-怪物6</t>
  </si>
  <si>
    <t>比奇城-牛魔寺庙入口</t>
  </si>
  <si>
    <t>牛魔寺庙入口-怪物7</t>
  </si>
  <si>
    <t>牛魔寺庙入口-镜头</t>
  </si>
  <si>
    <t>牛魔寺庙一层-怪物1</t>
  </si>
  <si>
    <t>牛魔寺庙一层-怪物2</t>
  </si>
  <si>
    <t>牛魔寺庙一层-怪物3</t>
  </si>
  <si>
    <t>牛魔寺庙一层-怪物4</t>
  </si>
  <si>
    <t>牛魔寺庙一层-怪物5</t>
  </si>
  <si>
    <t>牛魔寺庙一层-怪物6</t>
  </si>
  <si>
    <t>牛魔寺庙一层-怪物7</t>
  </si>
  <si>
    <t>牛魔寺庙一层-怪物8</t>
  </si>
  <si>
    <t>牛魔寺庙一层-怪物9</t>
  </si>
  <si>
    <t>牛魔寺庙一层-怪物10</t>
  </si>
  <si>
    <t>牛魔寺庙一层-怪物11</t>
  </si>
  <si>
    <t>牛魔寺庙一层-怪物12</t>
  </si>
  <si>
    <t>牛魔寺庙一层-怪物13</t>
  </si>
  <si>
    <t>牛魔寺庙一层-怪物14</t>
  </si>
  <si>
    <t>牛魔寺庙一层-怪物15</t>
  </si>
  <si>
    <t>牛魔寺庙一层-怪物16</t>
  </si>
  <si>
    <t>牛魔寺庙一层-怪物17</t>
  </si>
  <si>
    <t>牛魔寺庙一层-怪物18</t>
  </si>
  <si>
    <t>牛魔寺庙一层-怪物19</t>
  </si>
  <si>
    <t>牛魔寺庙一层-怪物20</t>
  </si>
  <si>
    <t>牛魔寺庙一层-怪物21</t>
  </si>
  <si>
    <t>牛魔寺庙一层-怪物22</t>
  </si>
  <si>
    <t>牛魔寺庙一层-怪物23</t>
  </si>
  <si>
    <t>牛魔寺庙一层-怪物24</t>
  </si>
  <si>
    <t>牛魔寺庙一层-怪物25</t>
  </si>
  <si>
    <t>牛魔寺庙一层-怪物26</t>
  </si>
  <si>
    <t>牛魔寺庙一层-怪物27</t>
  </si>
  <si>
    <t>牛魔寺庙一层-怪物28</t>
  </si>
  <si>
    <t>牛魔寺庙一层-怪物29</t>
  </si>
  <si>
    <t>牛魔寺庙一层-怪物30</t>
  </si>
  <si>
    <t>牛魔寺庙一层-牛魔寺庙大厅</t>
  </si>
  <si>
    <t>牛魔寺庙大厅-牛魔寺庙一层</t>
  </si>
  <si>
    <t>牛魔寺庙一层-怪物33</t>
  </si>
  <si>
    <t>牛魔寺庙一层-怪物34</t>
  </si>
  <si>
    <t>牛魔寺庙一层-怪物35</t>
  </si>
  <si>
    <t>牛魔寺庙一层-怪物36</t>
  </si>
  <si>
    <t>牛魔寺庙一层-怪物37</t>
  </si>
  <si>
    <t>牛魔寺庙一层-怪物38</t>
  </si>
  <si>
    <t>牛魔寺庙一层-怪物39</t>
  </si>
  <si>
    <t>牛魔寺庙一层-怪物40</t>
  </si>
  <si>
    <t>牛魔寺庙一层-怪物41</t>
  </si>
  <si>
    <t>牛魔寺庙一层-怪物42</t>
  </si>
  <si>
    <t>牛魔寺庙一层-怪物43</t>
  </si>
  <si>
    <t>牛魔寺庙一层-怪物44</t>
  </si>
  <si>
    <t>牛魔寺庙一层-怪物45</t>
  </si>
  <si>
    <t>牛魔寺庙一层-怪物46</t>
  </si>
  <si>
    <t>牛魔寺庙一层-怪物47</t>
  </si>
  <si>
    <t>牛魔寺庙一层-怪物48</t>
  </si>
  <si>
    <t>牛魔寺庙一层-怪物49</t>
  </si>
  <si>
    <t>牛魔寺庙一层-怪物50</t>
  </si>
  <si>
    <t>牛魔寺庙一层-怪物51</t>
  </si>
  <si>
    <t>牛魔寺庙一层-怪物52</t>
  </si>
  <si>
    <t>牛魔寺庙一层-怪物53</t>
  </si>
  <si>
    <t>牛魔寺庙一层-怪物54</t>
  </si>
  <si>
    <t>牛魔寺庙一层-怪物55</t>
  </si>
  <si>
    <t>牛魔寺庙一层-怪物56</t>
  </si>
  <si>
    <t>牛魔寺庙一层-怪物57</t>
  </si>
  <si>
    <t>牛魔寺庙一层-镜头</t>
  </si>
  <si>
    <t>牛魔寺庙大厅-怪物1</t>
  </si>
  <si>
    <t>牛魔寺庙大厅-怪物2</t>
  </si>
  <si>
    <t>牛魔寺庙大厅-怪物3</t>
  </si>
  <si>
    <t>牛魔寺庙大厅-怪物4</t>
  </si>
  <si>
    <t>牛魔寺庙大厅-怪物5</t>
  </si>
  <si>
    <t>牛魔寺庙大厅-怪物6</t>
  </si>
  <si>
    <t>牛魔寺庙大厅-怪物7</t>
  </si>
  <si>
    <t>牛魔寺庙大厅-怪物8</t>
  </si>
  <si>
    <t>牛魔寺庙大厅-怪物9</t>
  </si>
  <si>
    <t>牛魔寺庙大厅-怪物12</t>
  </si>
  <si>
    <t>牛魔寺庙大厅-怪物13</t>
  </si>
  <si>
    <t>牛魔寺庙大厅-怪物14</t>
  </si>
  <si>
    <t>牛魔寺庙大厅-怪物15</t>
  </si>
  <si>
    <t>牛魔寺庙大厅-怪物16</t>
  </si>
  <si>
    <t>牛魔寺庙大厅-怪物17</t>
  </si>
  <si>
    <t>牛魔寺庙大厅-怪物18</t>
  </si>
  <si>
    <t>牛魔寺庙大厅-怪物19</t>
  </si>
  <si>
    <t>牛魔寺庙大厅-怪物20</t>
  </si>
  <si>
    <t>牛魔寺庙大厅-怪物21</t>
  </si>
  <si>
    <t>牛魔寺庙大厅-怪物22</t>
  </si>
  <si>
    <t>牛魔寺庙大厅-怪物23</t>
  </si>
  <si>
    <t>牛魔寺庙大厅-怪物24</t>
  </si>
  <si>
    <t>牛魔寺庙大厅-怪物25</t>
  </si>
  <si>
    <t>牛魔寺庙大厅-怪物26</t>
  </si>
  <si>
    <t>牛魔寺庙大厅-镜头</t>
  </si>
  <si>
    <t>丛林迷宫-怪物1</t>
  </si>
  <si>
    <t>丛林迷宫-怪物2</t>
  </si>
  <si>
    <t>丛林迷宫-怪物3</t>
  </si>
  <si>
    <t>丛林迷宫-怪物4</t>
  </si>
  <si>
    <t>丛林迷宫-怪物5</t>
  </si>
  <si>
    <t>丛林迷宫-怪物6</t>
  </si>
  <si>
    <t>赤月峡谷西走廊-丛林迷宫</t>
  </si>
  <si>
    <t>丛林迷宫-赤月峡谷西走廊</t>
  </si>
  <si>
    <t>丛林迷宫-怪物7</t>
  </si>
  <si>
    <t>丛林迷宫-怪物8</t>
  </si>
  <si>
    <t>丛林迷宫-怪物9</t>
  </si>
  <si>
    <t>丛林迷宫-怪物10</t>
  </si>
  <si>
    <t>丛林迷宫-怪物11</t>
  </si>
  <si>
    <t>丛林迷宫-怪物12</t>
  </si>
  <si>
    <t>丛林迷宫-怪物13</t>
  </si>
  <si>
    <t>丛林迷宫-怪物14</t>
  </si>
  <si>
    <t>丛林迷宫-怪物15</t>
  </si>
  <si>
    <t>丛林迷宫-怪物16</t>
  </si>
  <si>
    <t>丛林迷宫-比奇城</t>
  </si>
  <si>
    <t>比奇城-丛林迷宫</t>
  </si>
  <si>
    <t>丛林迷宫-怪物17</t>
  </si>
  <si>
    <t>丛林迷宫-怪物18</t>
  </si>
  <si>
    <t>丛林迷宫-怪物19</t>
  </si>
  <si>
    <t>丛林迷宫-怪物20</t>
  </si>
  <si>
    <t>丛林迷宫-怪物21</t>
  </si>
  <si>
    <t>丛林迷宫-怪物22</t>
  </si>
  <si>
    <t>丛林迷宫-怪物23</t>
  </si>
  <si>
    <t>丛林迷宫-怪物24</t>
  </si>
  <si>
    <t>丛林迷宫-怪物25</t>
  </si>
  <si>
    <t>丛林迷宫-怪物26</t>
  </si>
  <si>
    <t>赤月峡谷东二层-丛林迷宫</t>
  </si>
  <si>
    <t>丛林迷宫-赤月峡谷东二层</t>
  </si>
  <si>
    <t>丛林迷宫-镜头</t>
  </si>
  <si>
    <t>赤月峡谷西走廊-怪物1</t>
  </si>
  <si>
    <t>赤月峡谷西走廊-怪物2</t>
  </si>
  <si>
    <t>赤月峡谷西走廊-怪物3</t>
  </si>
  <si>
    <t>赤月峡谷西走廊-怪物4</t>
  </si>
  <si>
    <t>赤月峡谷西走廊-怪物5</t>
  </si>
  <si>
    <t>赤月峡谷西走廊-怪物6</t>
  </si>
  <si>
    <t>赤月峡谷西走廊-赤月峡谷东二层</t>
  </si>
  <si>
    <t>赤月峡谷东二层-赤月峡谷西走廊</t>
  </si>
  <si>
    <t>赤月峡谷西走廊-怪物7</t>
  </si>
  <si>
    <t>赤月峡谷西走廊-怪物8</t>
  </si>
  <si>
    <t>赤月峡谷西走廊-怪物9</t>
  </si>
  <si>
    <t>赤月峡谷西走廊-怪物10</t>
  </si>
  <si>
    <t>赤月峡谷西走廊-怪物11</t>
  </si>
  <si>
    <t>赤月峡谷西走廊-怪物12</t>
  </si>
  <si>
    <t>赤月峡谷西走廊-怪物13</t>
  </si>
  <si>
    <t>赤月峡谷西走廊-怪物14</t>
  </si>
  <si>
    <t>赤月峡谷西走廊-怪物15</t>
  </si>
  <si>
    <t>赤月峡谷西走廊-怪物16</t>
  </si>
  <si>
    <t>赤月峡谷西走廊-怪物17</t>
  </si>
  <si>
    <t>赤月峡谷西走廊-怪物18</t>
  </si>
  <si>
    <t>赤月峡谷西走廊-怪物19</t>
  </si>
  <si>
    <t>赤月峡谷西走廊-怪物20</t>
  </si>
  <si>
    <t>赤月峡谷西走廊-怪物21</t>
  </si>
  <si>
    <t>赤月峡谷西走廊-怪物22</t>
  </si>
  <si>
    <t>赤月峡谷西走廊-怪物23</t>
  </si>
  <si>
    <t>赤月峡谷西走廊-怪物24</t>
  </si>
  <si>
    <t>赤月峡谷西走廊-怪物25</t>
  </si>
  <si>
    <t>赤月峡谷西走廊-怪物26</t>
  </si>
  <si>
    <t>赤月峡谷西走廊-怪物27</t>
  </si>
  <si>
    <t>赤月峡谷西走廊-怪物28</t>
  </si>
  <si>
    <t>赤月峡谷西走廊-怪物29</t>
  </si>
  <si>
    <t>赤月峡谷西走廊-怪物30</t>
  </si>
  <si>
    <t>赤月峡谷西走廊-怪物31</t>
  </si>
  <si>
    <t>赤月峡谷西走廊-怪物32</t>
  </si>
  <si>
    <t>赤月峡谷西走廊-怪物33</t>
  </si>
  <si>
    <t>赤月峡谷西走廊-怪物34</t>
  </si>
  <si>
    <t>赤月峡谷西走廊-怪物37</t>
  </si>
  <si>
    <t>赤月峡谷西走廊-怪物38</t>
  </si>
  <si>
    <t>赤月峡谷西走廊-怪物39</t>
  </si>
  <si>
    <t>赤月峡谷西走廊-怪物40</t>
  </si>
  <si>
    <t>赤月峡谷西走廊-怪物41</t>
  </si>
  <si>
    <t>赤月峡谷西走廊-镜头</t>
  </si>
  <si>
    <t>赤月峡谷东二层-怪物1</t>
  </si>
  <si>
    <t>赤月峡谷东二层-怪物2</t>
  </si>
  <si>
    <t>赤月峡谷东二层-怪物3</t>
  </si>
  <si>
    <t>赤月峡谷东二层-怪物4</t>
  </si>
  <si>
    <t>赤月峡谷东二层-怪物5</t>
  </si>
  <si>
    <t>赤月峡谷东二层-怪物6</t>
  </si>
  <si>
    <t>赤月峡谷东二层-怪物7</t>
  </si>
  <si>
    <t>赤月峡谷东二层-怪物8</t>
  </si>
  <si>
    <t>赤月峡谷东二层-怪物9</t>
  </si>
  <si>
    <t>赤月峡谷东二层-怪物10</t>
  </si>
  <si>
    <t>赤月峡谷东二层-怪物11</t>
  </si>
  <si>
    <t>赤月峡谷东二层-怪物12</t>
  </si>
  <si>
    <t>赤月峡谷东二层-怪物13</t>
  </si>
  <si>
    <t>赤月峡谷东二层-怪物14</t>
  </si>
  <si>
    <t>赤月峡谷东二层-怪物15</t>
  </si>
  <si>
    <t>赤月峡谷东二层-怪物16</t>
  </si>
  <si>
    <t>赤月峡谷东二层-怪物17</t>
  </si>
  <si>
    <t>赤月峡谷东二层-怪物18</t>
  </si>
  <si>
    <t>赤月峡谷东二层-怪物19</t>
  </si>
  <si>
    <t>赤月峡谷东二层-怪物20</t>
  </si>
  <si>
    <t>赤月峡谷东二层-怪物21</t>
  </si>
  <si>
    <t>赤月峡谷东二层-怪物22</t>
  </si>
  <si>
    <t>赤月峡谷东二层-怪物23</t>
  </si>
  <si>
    <t>赤月峡谷东二层-怪物24</t>
  </si>
  <si>
    <t>赤月峡谷东二层-怪物25</t>
  </si>
  <si>
    <t>赤月峡谷东二层-怪物26</t>
  </si>
  <si>
    <t>赤月峡谷东二层-怪物27</t>
  </si>
  <si>
    <t>赤月峡谷东二层-怪物28</t>
  </si>
  <si>
    <t>赤月峡谷广场-赤月峡谷东二层</t>
  </si>
  <si>
    <t>赤月峡谷东二层-赤月峡谷广场</t>
  </si>
  <si>
    <t>赤月峡谷东二层-镜头</t>
  </si>
  <si>
    <t>赤月峡谷广场-怪物1</t>
  </si>
  <si>
    <t>赤月峡谷广场-怪物2</t>
  </si>
  <si>
    <t>赤月峡谷广场-怪物3</t>
  </si>
  <si>
    <t>赤月峡谷广场-怪物4</t>
  </si>
  <si>
    <t>赤月峡谷广场-怪物5</t>
  </si>
  <si>
    <t>赤月峡谷广场-怪物6</t>
  </si>
  <si>
    <t>赤月峡谷广场-怪物7</t>
  </si>
  <si>
    <t>赤月峡谷广场-怪物8</t>
  </si>
  <si>
    <t>赤月峡谷广场-怪物9</t>
  </si>
  <si>
    <t>赤月峡谷广场-怪物10</t>
  </si>
  <si>
    <t>赤月峡谷广场-怪物11</t>
  </si>
  <si>
    <t>赤月峡谷广场-怪物12</t>
  </si>
  <si>
    <t>赤月峡谷广场-怪物13</t>
  </si>
  <si>
    <t>赤月峡谷广场-怪物14</t>
  </si>
  <si>
    <t>赤月峡谷广场-怪物15</t>
  </si>
  <si>
    <t>赤月峡谷广场-怪物16</t>
  </si>
  <si>
    <t>赤月峡谷广场-怪物17</t>
  </si>
  <si>
    <t>赤月峡谷广场-怪物18</t>
  </si>
  <si>
    <t>赤月峡谷广场-怪物19</t>
  </si>
  <si>
    <t>赤月峡谷广场-怪物20</t>
  </si>
  <si>
    <t>赤月峡谷广场-怪物21</t>
  </si>
  <si>
    <t>赤月峡谷广场-怪物22</t>
  </si>
  <si>
    <t>赤月峡谷广场-怪物23</t>
  </si>
  <si>
    <t>赤月峡谷广场-怪物24</t>
  </si>
  <si>
    <t>抉择之地-赤月峡谷广场</t>
  </si>
  <si>
    <t>赤月峡谷广场-抉择之地</t>
  </si>
  <si>
    <t>赤月峡谷广场-镜头</t>
  </si>
  <si>
    <t>抉择之地-怪物1</t>
  </si>
  <si>
    <t>抉择之地-怪物2</t>
  </si>
  <si>
    <t>抉择之地-怪物3</t>
  </si>
  <si>
    <t>抉择之地-怪物4</t>
  </si>
  <si>
    <t>抉择之地-怪物5</t>
  </si>
  <si>
    <t>抉择之地-怪物6</t>
  </si>
  <si>
    <t>抉择之地-怪物7</t>
  </si>
  <si>
    <t>抉择之地-赤月魔穴</t>
  </si>
  <si>
    <t>赤月魔穴-抉择之地</t>
  </si>
  <si>
    <t>抉择之地-怪物8</t>
  </si>
  <si>
    <t>抉择之地-怪物9</t>
  </si>
  <si>
    <t>抉择之地-怪物10</t>
  </si>
  <si>
    <t>抉择之地-怪物11</t>
  </si>
  <si>
    <t>抉择之地-怪物12</t>
  </si>
  <si>
    <t>抉择之地-怪物13</t>
  </si>
  <si>
    <t>抉择之地-怪物14</t>
  </si>
  <si>
    <t>抉择之地-怪物15</t>
  </si>
  <si>
    <t>抉择之地-怪物16</t>
  </si>
  <si>
    <t>抉择之地-怪物17</t>
  </si>
  <si>
    <t>抉择之地-怪物18</t>
  </si>
  <si>
    <t>抉择之地-怪物19</t>
  </si>
  <si>
    <t>抉择之地-怪物20</t>
  </si>
  <si>
    <t>抉择之地-怪物21</t>
  </si>
  <si>
    <t>抉择之地-怪物22</t>
  </si>
  <si>
    <t>抉择之地-怪物23</t>
  </si>
  <si>
    <t>恶魔祭坛-抉择之地</t>
  </si>
  <si>
    <t>抉择之地-恶魔祭坛</t>
  </si>
  <si>
    <t>抉择之地-镜头</t>
  </si>
  <si>
    <t>恶魔祭坛-怪物1</t>
  </si>
  <si>
    <t>恶魔祭坛-怪物2</t>
  </si>
  <si>
    <t>恶魔祭坛-怪物3</t>
  </si>
  <si>
    <t>恶魔祭坛-怪物4</t>
  </si>
  <si>
    <t>恶魔祭坛-怪物5</t>
  </si>
  <si>
    <t>恶魔祭坛-怪物6</t>
  </si>
  <si>
    <t>恶魔祭坛-怪物7</t>
  </si>
  <si>
    <t>抉择之路-恶魔祭坛</t>
  </si>
  <si>
    <t>抉择之路</t>
  </si>
  <si>
    <t>恶魔祭坛-抉择之路</t>
  </si>
  <si>
    <t>恶魔祭坛-镜头</t>
  </si>
  <si>
    <t>赤月魔穴-怪物1</t>
  </si>
  <si>
    <t>赤月魔穴-怪物2</t>
  </si>
  <si>
    <t>赤月魔穴-怪物3</t>
  </si>
  <si>
    <t>赤月魔穴-怪物4</t>
  </si>
  <si>
    <t>赤月魔穴-抉择之路</t>
  </si>
  <si>
    <t>抉择之路-赤月魔穴</t>
  </si>
  <si>
    <t>赤月魔穴-怪物5</t>
  </si>
  <si>
    <t>赤月魔穴-怪物6</t>
  </si>
  <si>
    <t>赤月魔穴-怪物7</t>
  </si>
  <si>
    <t>赤月魔穴-镜头</t>
  </si>
  <si>
    <t>缩写</t>
  </si>
  <si>
    <t>D1_1_</t>
  </si>
  <si>
    <t>N</t>
  </si>
  <si>
    <t>D1_2_</t>
  </si>
  <si>
    <t>T</t>
  </si>
  <si>
    <t>D1_3_</t>
  </si>
  <si>
    <t>P</t>
  </si>
  <si>
    <t>D1_4_</t>
  </si>
  <si>
    <t>音效</t>
  </si>
  <si>
    <t>M</t>
  </si>
  <si>
    <t>D1_5_</t>
  </si>
  <si>
    <t>J</t>
  </si>
  <si>
    <t>D1_6_</t>
  </si>
  <si>
    <t>D2_1_</t>
  </si>
  <si>
    <t>D2_2_</t>
  </si>
  <si>
    <t>D2_3_</t>
  </si>
  <si>
    <t>D2_4_</t>
  </si>
  <si>
    <t>D2_5_</t>
  </si>
  <si>
    <t>D2_6_</t>
  </si>
  <si>
    <t>D3_1_</t>
  </si>
  <si>
    <t>D3_2_</t>
  </si>
  <si>
    <t>D3_3_</t>
  </si>
  <si>
    <t>D3_4_</t>
  </si>
  <si>
    <t>D3_5_</t>
  </si>
  <si>
    <t>D3_6_</t>
  </si>
  <si>
    <t>D4_1_</t>
  </si>
  <si>
    <t>D4_2_</t>
  </si>
  <si>
    <t>D4_3_</t>
  </si>
  <si>
    <t>D4_4_</t>
  </si>
  <si>
    <t>D4_5_</t>
  </si>
  <si>
    <t>D4_6_</t>
  </si>
  <si>
    <t>D5_1_</t>
  </si>
  <si>
    <t>编号命名</t>
  </si>
  <si>
    <t>D5_2_</t>
  </si>
  <si>
    <t>固定“7”</t>
  </si>
  <si>
    <t>地图序号</t>
  </si>
  <si>
    <t>格子边长</t>
  </si>
  <si>
    <t>地图从上往下格子所在第x行</t>
  </si>
  <si>
    <t>格子所在行左起第x个</t>
  </si>
  <si>
    <t>D5_3_</t>
  </si>
  <si>
    <t>D5_4_</t>
  </si>
  <si>
    <t>示例：70015304，解释：序号1的地图边长为5的区域位置在地图从上往下第3行左数第4个</t>
  </si>
  <si>
    <t>D5_5_</t>
  </si>
  <si>
    <t>D5_6_</t>
  </si>
  <si>
    <t>比奇城按6区域划分行数，传送点-0，左上-1，右上-2，左下-3，右下4，城中-5</t>
  </si>
  <si>
    <t>D6_1_</t>
  </si>
  <si>
    <t>D6_2_</t>
  </si>
  <si>
    <t>D6_3_</t>
  </si>
  <si>
    <t>地编命名</t>
  </si>
  <si>
    <t>D6_4_</t>
  </si>
  <si>
    <t>区域类型</t>
  </si>
  <si>
    <t>格子所在第x行</t>
  </si>
  <si>
    <t>D6_5_</t>
  </si>
  <si>
    <t>P-传送</t>
  </si>
  <si>
    <t>D6_6_</t>
  </si>
  <si>
    <t>T-NPC</t>
  </si>
  <si>
    <t>M1</t>
  </si>
  <si>
    <t>N-怪物</t>
  </si>
  <si>
    <t>M2</t>
  </si>
  <si>
    <t>M-音效</t>
  </si>
  <si>
    <t>M3</t>
  </si>
  <si>
    <t>J-镜头</t>
  </si>
  <si>
    <t>M4</t>
  </si>
  <si>
    <t>示例：1N3_4_5，解释：序号1的地图边长为3的从上往下第4行左数第5个怪物区域</t>
  </si>
  <si>
    <t>新手村</t>
  </si>
  <si>
    <t>M5</t>
  </si>
  <si>
    <t>版本</t>
  </si>
  <si>
    <t>内容</t>
  </si>
  <si>
    <t>V1.11</t>
  </si>
  <si>
    <t>新增场景区域</t>
  </si>
  <si>
    <t>V1.12</t>
  </si>
  <si>
    <t>修改兽人古墓、矿区传送、位置</t>
  </si>
  <si>
    <t>V1.13</t>
  </si>
  <si>
    <t>V1.14</t>
  </si>
  <si>
    <t>V1.15</t>
  </si>
  <si>
    <t>更新传送方案，刷怪方案</t>
  </si>
  <si>
    <t>V1.16</t>
  </si>
  <si>
    <t>增加两个测试木桩，biqi_77,biqi_78</t>
  </si>
  <si>
    <t>V1.17</t>
  </si>
  <si>
    <t>增加主场景区域-场景镜头区域</t>
  </si>
  <si>
    <t>V1.18</t>
  </si>
  <si>
    <t>增加场景小地图大地图</t>
  </si>
  <si>
    <t>V1.19</t>
  </si>
  <si>
    <t>按照新的怪物刷新配置，刷新场景内的怪物配置</t>
  </si>
  <si>
    <t>V1.20</t>
  </si>
  <si>
    <t>更新场景</t>
  </si>
  <si>
    <t>V1.21</t>
  </si>
  <si>
    <t>比奇城新增羊，鹿和狼的配置，测试任务用。</t>
  </si>
  <si>
    <t>V1.22</t>
  </si>
  <si>
    <t>新增新手村场景区域；比奇城22,77,78刷新木桩；</t>
  </si>
  <si>
    <t>V1.23</t>
  </si>
  <si>
    <t>① 新手村、比奇城各一个出生点
② 新手村5个备用传送区域，5个落点区域，备用NPC区域10个，普通40，精英10，BOSS 5，音乐10，镜头1</t>
  </si>
  <si>
    <t>V1.24</t>
  </si>
  <si>
    <t>区域版本重制
1、传送落地点与传送起始点分开
2、区域密度提高，适配更多刷怪密度和位置策略
3、区域命名方式优化，附带区域信息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</si>
</sst>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sz val="9"/>
      <color indexed="8"/>
      <name val="微软雅黑"/>
      <charset val="134"/>
    </font>
    <font>
      <sz val="9"/>
      <color theme="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Border="1">
      <alignment vertical="center"/>
    </xf>
    <xf numFmtId="0" fontId="6" fillId="0" borderId="0" xfId="0" applyFont="1" applyFill="1" applyAlignment="1">
      <alignment vertical="center"/>
    </xf>
    <xf numFmtId="0" fontId="1" fillId="6" borderId="0" xfId="0" applyFont="1" applyFill="1">
      <alignment vertical="center"/>
    </xf>
    <xf numFmtId="0" fontId="6" fillId="6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618;&#29289;&#34920;1.4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2330;&#26223;&#21306;&#22495;&#37197;&#32622;1.25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Monster"/>
      <sheetName val="编号表"/>
      <sheetName val="名称表"/>
      <sheetName val="版本变更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Scene"/>
      <sheetName val="ConfigRect"/>
      <sheetName val="编号表"/>
      <sheetName val="说明"/>
    </sheetNames>
    <sheetDataSet>
      <sheetData sheetId="0"/>
      <sheetData sheetId="1"/>
      <sheetData sheetId="2">
        <row r="1">
          <cell r="E1" t="str">
            <v>类型</v>
          </cell>
          <cell r="F1" t="str">
            <v>缩写</v>
          </cell>
          <cell r="G1" t="str">
            <v>序号</v>
          </cell>
        </row>
        <row r="2">
          <cell r="E2" t="str">
            <v>怪物</v>
          </cell>
          <cell r="F2" t="str">
            <v>N</v>
          </cell>
          <cell r="G2">
            <v>1</v>
          </cell>
        </row>
        <row r="3">
          <cell r="E3" t="str">
            <v>传送</v>
          </cell>
          <cell r="F3" t="str">
            <v>T</v>
          </cell>
          <cell r="G3">
            <v>2</v>
          </cell>
        </row>
        <row r="4">
          <cell r="E4" t="str">
            <v>NPC</v>
          </cell>
          <cell r="F4" t="str">
            <v>P</v>
          </cell>
          <cell r="G4">
            <v>3</v>
          </cell>
        </row>
        <row r="5">
          <cell r="E5" t="str">
            <v>音效</v>
          </cell>
          <cell r="F5" t="str">
            <v>M</v>
          </cell>
          <cell r="G5">
            <v>4</v>
          </cell>
        </row>
        <row r="6">
          <cell r="E6" t="str">
            <v>镜头</v>
          </cell>
          <cell r="F6" t="str">
            <v>J</v>
          </cell>
          <cell r="G6">
            <v>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tabSelected="1" workbookViewId="0">
      <selection activeCell="D10" sqref="D10"/>
    </sheetView>
  </sheetViews>
  <sheetFormatPr defaultColWidth="9" defaultRowHeight="13.5"/>
  <cols>
    <col min="2" max="2" width="12.125" style="4" customWidth="1"/>
    <col min="3" max="3" width="14.5083333333333" style="4" customWidth="1"/>
    <col min="4" max="4" width="18.2583333333333" style="4" customWidth="1"/>
    <col min="5" max="5" width="12.7583333333333" style="4" customWidth="1"/>
    <col min="6" max="6" width="13.875" style="4" customWidth="1"/>
    <col min="7" max="7" width="22.5083333333333" style="4" customWidth="1"/>
    <col min="8" max="8" width="15.375" style="4" customWidth="1"/>
  </cols>
  <sheetData>
    <row r="1" s="4" customForma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6" t="s">
        <v>6</v>
      </c>
      <c r="H1" s="4" t="s">
        <v>7</v>
      </c>
    </row>
    <row r="2" s="4" customFormat="1" spans="1:1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15">
      <c r="A3">
        <v>1</v>
      </c>
      <c r="B3" s="4" t="s">
        <v>16</v>
      </c>
      <c r="C3" s="4">
        <v>900</v>
      </c>
      <c r="D3" s="4">
        <v>90</v>
      </c>
      <c r="E3" s="4">
        <v>315.1</v>
      </c>
      <c r="F3" s="4" t="s">
        <v>17</v>
      </c>
      <c r="G3" s="4" t="s">
        <v>18</v>
      </c>
      <c r="H3" s="4">
        <v>0</v>
      </c>
      <c r="K3" s="4"/>
    </row>
    <row r="4" spans="1:15">
      <c r="A4">
        <v>2</v>
      </c>
      <c r="B4" s="4" t="s">
        <v>19</v>
      </c>
      <c r="C4" s="4">
        <v>900</v>
      </c>
      <c r="D4" s="4">
        <v>90</v>
      </c>
      <c r="E4" s="4">
        <v>315.1</v>
      </c>
      <c r="F4" s="4" t="s">
        <v>20</v>
      </c>
      <c r="G4" s="4" t="s">
        <v>21</v>
      </c>
      <c r="H4" s="4">
        <v>1</v>
      </c>
      <c r="J4" s="27"/>
      <c r="K4" s="4"/>
      <c r="L4" s="27"/>
      <c r="M4" s="27"/>
      <c r="N4" s="27"/>
      <c r="O4" s="27"/>
    </row>
    <row r="5" spans="1:15">
      <c r="A5">
        <v>3</v>
      </c>
      <c r="B5" s="4" t="s">
        <v>22</v>
      </c>
      <c r="C5" s="4">
        <v>1000</v>
      </c>
      <c r="D5" s="4">
        <v>50</v>
      </c>
      <c r="E5" s="4">
        <v>303.7</v>
      </c>
      <c r="F5" s="4" t="s">
        <v>23</v>
      </c>
      <c r="G5" s="4" t="s">
        <v>24</v>
      </c>
      <c r="H5" s="4">
        <v>1</v>
      </c>
      <c r="J5" s="27"/>
      <c r="K5" s="4"/>
      <c r="L5" s="27"/>
      <c r="M5" s="27"/>
      <c r="N5" s="27"/>
      <c r="O5" s="27"/>
    </row>
    <row r="6" spans="1:15">
      <c r="A6">
        <v>4</v>
      </c>
      <c r="B6" s="4" t="s">
        <v>25</v>
      </c>
      <c r="C6" s="4">
        <v>1000</v>
      </c>
      <c r="D6" s="4">
        <v>50</v>
      </c>
      <c r="E6" s="4">
        <v>303.7</v>
      </c>
      <c r="F6" s="4" t="s">
        <v>26</v>
      </c>
      <c r="G6" s="4" t="s">
        <v>27</v>
      </c>
      <c r="H6" s="4">
        <v>1</v>
      </c>
      <c r="J6" s="27"/>
      <c r="K6" s="4"/>
      <c r="L6" s="27"/>
      <c r="M6" s="27"/>
      <c r="N6" s="27"/>
      <c r="O6" s="27"/>
    </row>
    <row r="7" spans="1:15">
      <c r="A7">
        <v>5</v>
      </c>
      <c r="B7" s="4" t="s">
        <v>28</v>
      </c>
      <c r="C7" s="4">
        <v>1000</v>
      </c>
      <c r="D7" s="4">
        <v>120</v>
      </c>
      <c r="E7" s="4">
        <v>303.7</v>
      </c>
      <c r="F7" s="4" t="s">
        <v>29</v>
      </c>
      <c r="G7" s="4" t="s">
        <v>30</v>
      </c>
      <c r="H7" s="4">
        <v>1</v>
      </c>
      <c r="J7" s="27"/>
      <c r="K7" s="4"/>
      <c r="L7" s="27"/>
      <c r="M7" s="27"/>
      <c r="N7" s="27"/>
      <c r="O7" s="27"/>
    </row>
    <row r="8" spans="1:15">
      <c r="A8">
        <v>6</v>
      </c>
      <c r="B8" s="4" t="s">
        <v>31</v>
      </c>
      <c r="C8" s="4">
        <v>1000</v>
      </c>
      <c r="D8" s="4">
        <v>50</v>
      </c>
      <c r="E8" s="4">
        <v>303.7</v>
      </c>
      <c r="F8" s="4" t="s">
        <v>32</v>
      </c>
      <c r="G8" s="4" t="s">
        <v>33</v>
      </c>
      <c r="H8" s="4">
        <v>1</v>
      </c>
      <c r="J8" s="27"/>
      <c r="K8" s="4"/>
      <c r="L8" s="27"/>
      <c r="M8" s="27"/>
      <c r="N8" s="27"/>
      <c r="O8" s="27"/>
    </row>
    <row r="9" spans="1:15">
      <c r="A9">
        <v>7</v>
      </c>
      <c r="B9" s="4" t="s">
        <v>34</v>
      </c>
      <c r="C9" s="4">
        <v>1000</v>
      </c>
      <c r="D9" s="4">
        <v>60</v>
      </c>
      <c r="E9" s="4">
        <v>303.7</v>
      </c>
      <c r="F9" s="4" t="s">
        <v>35</v>
      </c>
      <c r="G9" s="4" t="s">
        <v>36</v>
      </c>
      <c r="H9" s="4">
        <v>2</v>
      </c>
      <c r="J9" s="27"/>
      <c r="K9" s="4"/>
      <c r="L9" s="27"/>
      <c r="M9" s="27"/>
      <c r="N9" s="27"/>
      <c r="O9" s="27"/>
    </row>
    <row r="10" spans="1:15">
      <c r="A10">
        <v>8</v>
      </c>
      <c r="B10" s="4" t="s">
        <v>37</v>
      </c>
      <c r="C10" s="4">
        <v>1000</v>
      </c>
      <c r="D10" s="4">
        <v>50</v>
      </c>
      <c r="E10" s="4">
        <v>303.7</v>
      </c>
      <c r="F10" s="4" t="s">
        <v>38</v>
      </c>
      <c r="G10" s="4" t="s">
        <v>39</v>
      </c>
      <c r="H10" s="4">
        <v>2</v>
      </c>
      <c r="J10" s="27"/>
      <c r="K10" s="4"/>
      <c r="L10" s="27"/>
      <c r="M10" s="27"/>
      <c r="N10" s="27"/>
      <c r="O10" s="27"/>
    </row>
    <row r="11" spans="1:15">
      <c r="A11">
        <v>9</v>
      </c>
      <c r="B11" s="4" t="s">
        <v>40</v>
      </c>
      <c r="C11" s="4">
        <v>1000</v>
      </c>
      <c r="D11" s="4">
        <v>50</v>
      </c>
      <c r="E11" s="4">
        <v>303.7</v>
      </c>
      <c r="F11" s="4" t="s">
        <v>41</v>
      </c>
      <c r="G11" s="4" t="s">
        <v>42</v>
      </c>
      <c r="H11" s="4">
        <v>2</v>
      </c>
      <c r="J11" s="27"/>
      <c r="K11" s="4"/>
      <c r="L11" s="27"/>
      <c r="M11" s="27"/>
      <c r="N11" s="27"/>
      <c r="O11" s="27"/>
    </row>
    <row r="12" spans="1:15">
      <c r="A12">
        <v>10</v>
      </c>
      <c r="B12" s="4" t="s">
        <v>43</v>
      </c>
      <c r="C12" s="4">
        <v>1000</v>
      </c>
      <c r="D12" s="4">
        <v>50</v>
      </c>
      <c r="E12" s="4">
        <v>303.7</v>
      </c>
      <c r="F12" s="4" t="s">
        <v>44</v>
      </c>
      <c r="G12" s="4" t="s">
        <v>45</v>
      </c>
      <c r="H12" s="4">
        <v>2</v>
      </c>
      <c r="J12" s="27"/>
      <c r="K12" s="4"/>
      <c r="L12" s="27"/>
      <c r="M12" s="27"/>
      <c r="N12" s="27"/>
      <c r="O12" s="27"/>
    </row>
    <row r="13" spans="1:15">
      <c r="A13">
        <v>11</v>
      </c>
      <c r="B13" s="4" t="s">
        <v>46</v>
      </c>
      <c r="C13" s="4">
        <v>1000</v>
      </c>
      <c r="D13" s="4">
        <v>50</v>
      </c>
      <c r="E13" s="4">
        <v>303.7</v>
      </c>
      <c r="F13" s="4" t="s">
        <v>47</v>
      </c>
      <c r="G13" s="4" t="s">
        <v>48</v>
      </c>
      <c r="H13" s="4">
        <v>2</v>
      </c>
      <c r="J13" s="27"/>
      <c r="K13" s="4"/>
      <c r="L13" s="27"/>
      <c r="M13" s="27"/>
      <c r="N13" s="27"/>
      <c r="O13" s="27"/>
    </row>
    <row r="14" spans="1:15">
      <c r="A14">
        <v>12</v>
      </c>
      <c r="B14" s="4" t="s">
        <v>49</v>
      </c>
      <c r="C14" s="4">
        <v>1000</v>
      </c>
      <c r="D14" s="4">
        <v>50</v>
      </c>
      <c r="E14" s="4">
        <v>303.7</v>
      </c>
      <c r="F14" s="4" t="s">
        <v>50</v>
      </c>
      <c r="G14" s="4" t="s">
        <v>51</v>
      </c>
      <c r="H14" s="4">
        <v>2</v>
      </c>
      <c r="J14" s="27"/>
      <c r="K14" s="4"/>
      <c r="L14" s="27"/>
      <c r="M14" s="27"/>
      <c r="N14" s="27"/>
      <c r="O14" s="27"/>
    </row>
    <row r="15" spans="1:15">
      <c r="A15">
        <v>13</v>
      </c>
      <c r="B15" s="4" t="s">
        <v>52</v>
      </c>
      <c r="C15" s="4">
        <v>1000</v>
      </c>
      <c r="D15" s="4">
        <v>50</v>
      </c>
      <c r="E15" s="4">
        <v>303.7</v>
      </c>
      <c r="F15" s="4" t="s">
        <v>53</v>
      </c>
      <c r="G15" s="4" t="s">
        <v>54</v>
      </c>
      <c r="H15" s="4">
        <v>2</v>
      </c>
      <c r="J15" s="27"/>
      <c r="K15" s="4"/>
      <c r="L15" s="27"/>
      <c r="M15" s="27"/>
      <c r="N15" s="27"/>
      <c r="O15" s="27"/>
    </row>
    <row r="16" spans="1:15">
      <c r="A16">
        <v>14</v>
      </c>
      <c r="B16" s="4" t="s">
        <v>55</v>
      </c>
      <c r="C16" s="4">
        <v>1000</v>
      </c>
      <c r="D16" s="4">
        <v>50</v>
      </c>
      <c r="E16" s="4">
        <v>303.7</v>
      </c>
      <c r="F16" s="4" t="s">
        <v>56</v>
      </c>
      <c r="G16" s="4" t="s">
        <v>57</v>
      </c>
      <c r="H16" s="4">
        <v>3</v>
      </c>
      <c r="J16" s="27"/>
      <c r="K16" s="4"/>
      <c r="L16" s="27"/>
      <c r="M16" s="27"/>
      <c r="N16" s="27"/>
      <c r="O16" s="27"/>
    </row>
    <row r="17" spans="1:15">
      <c r="A17">
        <v>15</v>
      </c>
      <c r="B17" s="4" t="s">
        <v>58</v>
      </c>
      <c r="C17" s="4">
        <v>1000</v>
      </c>
      <c r="D17" s="4">
        <v>50</v>
      </c>
      <c r="E17" s="4">
        <v>303.7</v>
      </c>
      <c r="F17" s="4" t="s">
        <v>59</v>
      </c>
      <c r="G17" s="4" t="s">
        <v>60</v>
      </c>
      <c r="H17" s="4">
        <v>3</v>
      </c>
      <c r="J17" s="27"/>
      <c r="K17" s="4"/>
      <c r="L17" s="27"/>
      <c r="M17" s="27"/>
      <c r="N17" s="27"/>
      <c r="O17" s="27"/>
    </row>
    <row r="18" spans="1:15">
      <c r="A18">
        <v>16</v>
      </c>
      <c r="B18" s="4" t="s">
        <v>61</v>
      </c>
      <c r="C18" s="4">
        <v>1000</v>
      </c>
      <c r="D18" s="4">
        <v>130</v>
      </c>
      <c r="E18" s="4">
        <v>303.7</v>
      </c>
      <c r="F18" s="4" t="s">
        <v>62</v>
      </c>
      <c r="G18" s="4" t="s">
        <v>63</v>
      </c>
      <c r="H18" s="4">
        <v>3</v>
      </c>
      <c r="J18" s="27"/>
      <c r="K18" s="4"/>
      <c r="L18" s="27"/>
      <c r="M18" s="27"/>
      <c r="N18" s="27"/>
      <c r="O18" s="27"/>
    </row>
    <row r="19" spans="1:15">
      <c r="A19">
        <v>17</v>
      </c>
      <c r="B19" s="4" t="s">
        <v>64</v>
      </c>
      <c r="C19" s="4">
        <v>1000</v>
      </c>
      <c r="D19" s="4">
        <v>130</v>
      </c>
      <c r="E19" s="4">
        <v>303.7</v>
      </c>
      <c r="F19" s="4" t="s">
        <v>65</v>
      </c>
      <c r="G19" s="4" t="s">
        <v>66</v>
      </c>
      <c r="H19" s="4">
        <v>3</v>
      </c>
      <c r="J19" s="27"/>
      <c r="K19" s="4"/>
      <c r="L19" s="27"/>
      <c r="M19" s="27"/>
      <c r="N19" s="27"/>
      <c r="O19" s="27"/>
    </row>
    <row r="20" spans="1:15">
      <c r="A20">
        <v>18</v>
      </c>
      <c r="B20" s="4" t="s">
        <v>67</v>
      </c>
      <c r="C20" s="4">
        <v>1000</v>
      </c>
      <c r="D20" s="4">
        <v>50</v>
      </c>
      <c r="E20" s="4">
        <v>303.7</v>
      </c>
      <c r="F20" s="4" t="s">
        <v>68</v>
      </c>
      <c r="G20" s="4" t="s">
        <v>69</v>
      </c>
      <c r="H20" s="4">
        <v>3</v>
      </c>
      <c r="J20" s="27"/>
      <c r="K20" s="4"/>
      <c r="L20" s="27"/>
      <c r="M20" s="27"/>
      <c r="N20" s="27"/>
      <c r="O20" s="27"/>
    </row>
    <row r="21" spans="1:15">
      <c r="A21">
        <v>19</v>
      </c>
      <c r="B21" s="4" t="s">
        <v>70</v>
      </c>
      <c r="C21" s="4">
        <v>1000</v>
      </c>
      <c r="D21" s="4">
        <v>130</v>
      </c>
      <c r="E21" s="4">
        <v>303.7</v>
      </c>
      <c r="F21" s="4" t="s">
        <v>71</v>
      </c>
      <c r="G21" s="4" t="s">
        <v>72</v>
      </c>
      <c r="H21" s="4">
        <v>3</v>
      </c>
      <c r="J21" s="27"/>
      <c r="K21" s="4"/>
      <c r="L21" s="27"/>
      <c r="M21" s="27"/>
      <c r="N21" s="27"/>
      <c r="O21" s="27"/>
    </row>
    <row r="22" spans="1:15">
      <c r="A22">
        <v>20</v>
      </c>
      <c r="B22" s="4" t="s">
        <v>73</v>
      </c>
      <c r="C22" s="4">
        <v>1000</v>
      </c>
      <c r="D22" s="4">
        <v>50</v>
      </c>
      <c r="E22" s="4">
        <v>303.7</v>
      </c>
      <c r="F22" s="4" t="s">
        <v>74</v>
      </c>
      <c r="G22" s="4" t="s">
        <v>75</v>
      </c>
      <c r="H22" s="4">
        <v>3</v>
      </c>
      <c r="J22" s="27"/>
      <c r="K22" s="4"/>
      <c r="L22" s="27"/>
      <c r="M22" s="27"/>
      <c r="N22" s="27"/>
      <c r="O22" s="27"/>
    </row>
    <row r="23" spans="1:15">
      <c r="A23">
        <v>21</v>
      </c>
      <c r="B23" s="4" t="s">
        <v>76</v>
      </c>
      <c r="C23" s="4">
        <v>1000</v>
      </c>
      <c r="D23" s="4">
        <v>30</v>
      </c>
      <c r="E23" s="4">
        <v>303.7</v>
      </c>
      <c r="F23" s="4" t="s">
        <v>77</v>
      </c>
      <c r="G23" s="4" t="s">
        <v>78</v>
      </c>
      <c r="H23" s="4">
        <v>3</v>
      </c>
      <c r="J23" s="27"/>
      <c r="K23" s="4"/>
      <c r="L23" s="27"/>
      <c r="M23" s="27"/>
      <c r="N23" s="27"/>
      <c r="O23" s="27"/>
    </row>
    <row r="24" spans="1:15">
      <c r="A24">
        <v>22</v>
      </c>
      <c r="B24" s="4" t="s">
        <v>79</v>
      </c>
      <c r="C24" s="4">
        <v>1000</v>
      </c>
      <c r="D24" s="4">
        <v>30</v>
      </c>
      <c r="E24" s="4">
        <v>303.7</v>
      </c>
      <c r="F24" s="4" t="s">
        <v>80</v>
      </c>
      <c r="G24" s="4" t="s">
        <v>81</v>
      </c>
      <c r="H24" s="4">
        <v>4</v>
      </c>
      <c r="J24" s="27"/>
      <c r="K24" s="4"/>
      <c r="L24" s="27"/>
      <c r="M24" s="27"/>
      <c r="N24" s="27"/>
      <c r="O24" s="27"/>
    </row>
    <row r="25" spans="1:15">
      <c r="A25">
        <v>23</v>
      </c>
      <c r="B25" s="4" t="s">
        <v>82</v>
      </c>
      <c r="C25" s="4">
        <v>1000</v>
      </c>
      <c r="D25" s="4">
        <v>50</v>
      </c>
      <c r="E25" s="4">
        <v>303.7</v>
      </c>
      <c r="F25" s="4" t="s">
        <v>83</v>
      </c>
      <c r="G25" s="4" t="s">
        <v>84</v>
      </c>
      <c r="H25" s="4">
        <v>4</v>
      </c>
      <c r="J25" s="27"/>
      <c r="K25" s="4"/>
      <c r="L25" s="27"/>
      <c r="M25" s="27"/>
      <c r="N25" s="27"/>
      <c r="O25" s="27"/>
    </row>
    <row r="26" spans="1:15">
      <c r="A26">
        <v>24</v>
      </c>
      <c r="B26" s="4" t="s">
        <v>85</v>
      </c>
      <c r="C26" s="4">
        <v>1000</v>
      </c>
      <c r="D26" s="4">
        <v>50</v>
      </c>
      <c r="E26" s="4">
        <v>303.7</v>
      </c>
      <c r="F26" s="4" t="s">
        <v>86</v>
      </c>
      <c r="G26" s="4" t="s">
        <v>87</v>
      </c>
      <c r="H26" s="4">
        <v>4</v>
      </c>
      <c r="J26" s="27"/>
      <c r="K26" s="4"/>
      <c r="L26" s="27"/>
      <c r="M26" s="27"/>
      <c r="N26" s="27"/>
      <c r="O26" s="27"/>
    </row>
    <row r="27" spans="1:15">
      <c r="A27">
        <v>25</v>
      </c>
      <c r="B27" s="4" t="s">
        <v>88</v>
      </c>
      <c r="C27" s="4">
        <v>1000</v>
      </c>
      <c r="D27" s="4">
        <v>50</v>
      </c>
      <c r="E27" s="4">
        <v>303.7</v>
      </c>
      <c r="F27" s="4" t="s">
        <v>89</v>
      </c>
      <c r="G27" s="4" t="s">
        <v>90</v>
      </c>
      <c r="H27" s="4">
        <v>4</v>
      </c>
      <c r="J27" s="27"/>
      <c r="K27" s="4"/>
      <c r="L27" s="27"/>
      <c r="M27" s="27"/>
      <c r="N27" s="27"/>
      <c r="O27" s="27"/>
    </row>
    <row r="28" spans="1:15">
      <c r="A28">
        <v>26</v>
      </c>
      <c r="B28" s="4" t="s">
        <v>91</v>
      </c>
      <c r="C28" s="4">
        <v>1000</v>
      </c>
      <c r="D28" s="4">
        <v>50</v>
      </c>
      <c r="E28" s="4">
        <v>303.7</v>
      </c>
      <c r="F28" s="4" t="s">
        <v>92</v>
      </c>
      <c r="G28" s="4" t="s">
        <v>93</v>
      </c>
      <c r="H28" s="4">
        <v>4</v>
      </c>
      <c r="J28" s="27"/>
      <c r="K28" s="4"/>
      <c r="L28" s="27"/>
      <c r="M28" s="27"/>
      <c r="N28" s="27"/>
      <c r="O28" s="27"/>
    </row>
    <row r="29" spans="1:15">
      <c r="A29">
        <v>27</v>
      </c>
      <c r="B29" s="4" t="s">
        <v>94</v>
      </c>
      <c r="C29" s="4">
        <v>1000</v>
      </c>
      <c r="D29" s="4">
        <v>50</v>
      </c>
      <c r="E29" s="4">
        <v>303.7</v>
      </c>
      <c r="F29" s="4" t="s">
        <v>95</v>
      </c>
      <c r="G29" s="4" t="s">
        <v>96</v>
      </c>
      <c r="H29" s="4">
        <v>4</v>
      </c>
      <c r="J29" s="27"/>
      <c r="K29" s="4"/>
      <c r="L29" s="27"/>
      <c r="M29" s="27"/>
      <c r="N29" s="27"/>
      <c r="O29" s="27"/>
    </row>
    <row r="30" spans="1:15">
      <c r="A30">
        <v>28</v>
      </c>
      <c r="B30" s="4" t="s">
        <v>97</v>
      </c>
      <c r="C30" s="4">
        <v>1000</v>
      </c>
      <c r="D30" s="4">
        <v>50</v>
      </c>
      <c r="E30" s="4">
        <v>303.7</v>
      </c>
      <c r="F30" s="4" t="s">
        <v>98</v>
      </c>
      <c r="G30" s="4" t="s">
        <v>99</v>
      </c>
      <c r="H30" s="4">
        <v>4</v>
      </c>
      <c r="J30" s="27"/>
      <c r="K30" s="4"/>
      <c r="L30" s="27"/>
      <c r="M30" s="27"/>
      <c r="N30" s="27"/>
      <c r="O30" s="27"/>
    </row>
    <row r="31" spans="1:15">
      <c r="A31">
        <v>29</v>
      </c>
      <c r="B31" s="4" t="s">
        <v>100</v>
      </c>
      <c r="C31" s="4">
        <v>1000</v>
      </c>
      <c r="D31" s="4">
        <v>50</v>
      </c>
      <c r="E31" s="4">
        <v>303.7</v>
      </c>
      <c r="F31" s="4" t="s">
        <v>101</v>
      </c>
      <c r="G31" s="4" t="s">
        <v>102</v>
      </c>
      <c r="H31" s="4">
        <v>4</v>
      </c>
      <c r="J31" s="27"/>
      <c r="K31" s="4"/>
      <c r="L31" s="27"/>
      <c r="M31" s="27"/>
      <c r="N31" s="27"/>
      <c r="O31" s="27"/>
    </row>
    <row r="32" spans="1:15">
      <c r="A32">
        <v>30</v>
      </c>
      <c r="B32" s="4" t="s">
        <v>103</v>
      </c>
      <c r="C32" s="4">
        <v>1000</v>
      </c>
      <c r="D32" s="4">
        <v>50</v>
      </c>
      <c r="E32" s="4">
        <v>303.7</v>
      </c>
      <c r="F32" s="4" t="s">
        <v>104</v>
      </c>
      <c r="G32" s="4" t="s">
        <v>105</v>
      </c>
      <c r="H32" s="4">
        <v>4</v>
      </c>
      <c r="J32" s="27"/>
      <c r="K32" s="4"/>
      <c r="L32" s="27"/>
      <c r="M32" s="27"/>
      <c r="N32" s="27"/>
      <c r="O32" s="27"/>
    </row>
    <row r="33" spans="1:15">
      <c r="A33">
        <v>31</v>
      </c>
      <c r="B33" s="4" t="s">
        <v>106</v>
      </c>
      <c r="C33" s="4">
        <v>1000</v>
      </c>
      <c r="D33" s="4">
        <v>50</v>
      </c>
      <c r="E33" s="4">
        <v>303.7</v>
      </c>
      <c r="F33" s="4" t="s">
        <v>107</v>
      </c>
      <c r="G33" s="4" t="s">
        <v>108</v>
      </c>
      <c r="H33" s="4">
        <v>5</v>
      </c>
      <c r="J33" s="27"/>
      <c r="K33" s="4"/>
      <c r="L33" s="27"/>
      <c r="M33" s="27"/>
      <c r="N33" s="27"/>
      <c r="O33" s="27"/>
    </row>
    <row r="34" spans="1:15">
      <c r="A34">
        <v>32</v>
      </c>
      <c r="B34" s="4" t="s">
        <v>109</v>
      </c>
      <c r="C34" s="4">
        <v>1000</v>
      </c>
      <c r="D34" s="4">
        <v>130</v>
      </c>
      <c r="E34" s="4">
        <v>303.7</v>
      </c>
      <c r="F34" s="4" t="s">
        <v>110</v>
      </c>
      <c r="G34" s="4" t="s">
        <v>111</v>
      </c>
      <c r="H34" s="4">
        <v>5</v>
      </c>
      <c r="J34" s="27"/>
      <c r="K34" s="4"/>
      <c r="L34" s="27"/>
      <c r="M34" s="27"/>
      <c r="N34" s="27"/>
      <c r="O34" s="27"/>
    </row>
    <row r="35" spans="1:15">
      <c r="A35">
        <v>33</v>
      </c>
      <c r="B35" s="4" t="s">
        <v>112</v>
      </c>
      <c r="C35" s="4">
        <v>1000</v>
      </c>
      <c r="D35" s="4">
        <v>130</v>
      </c>
      <c r="E35" s="4">
        <v>303.7</v>
      </c>
      <c r="F35" s="4" t="s">
        <v>113</v>
      </c>
      <c r="G35" s="4" t="s">
        <v>114</v>
      </c>
      <c r="H35" s="4">
        <v>5</v>
      </c>
      <c r="J35" s="27"/>
      <c r="K35" s="4"/>
      <c r="L35" s="27"/>
      <c r="M35" s="27"/>
      <c r="N35" s="27"/>
      <c r="O35" s="27"/>
    </row>
    <row r="36" spans="1:15">
      <c r="A36">
        <v>34</v>
      </c>
      <c r="B36" s="4" t="s">
        <v>115</v>
      </c>
      <c r="C36" s="4">
        <v>1000</v>
      </c>
      <c r="D36" s="4">
        <v>130</v>
      </c>
      <c r="E36" s="4">
        <v>303.7</v>
      </c>
      <c r="F36" s="4" t="s">
        <v>116</v>
      </c>
      <c r="G36" s="4" t="s">
        <v>117</v>
      </c>
      <c r="H36" s="4">
        <v>5</v>
      </c>
      <c r="J36" s="27"/>
      <c r="K36" s="4"/>
      <c r="L36" s="27"/>
      <c r="M36" s="27"/>
      <c r="N36" s="27"/>
      <c r="O36" s="27"/>
    </row>
    <row r="37" spans="1:15">
      <c r="A37">
        <v>35</v>
      </c>
      <c r="B37" s="4" t="s">
        <v>118</v>
      </c>
      <c r="C37" s="4">
        <v>1000</v>
      </c>
      <c r="D37" s="4">
        <v>50</v>
      </c>
      <c r="E37" s="4">
        <v>303.7</v>
      </c>
      <c r="F37" s="4" t="s">
        <v>119</v>
      </c>
      <c r="G37" s="4" t="s">
        <v>120</v>
      </c>
      <c r="H37" s="4">
        <v>5</v>
      </c>
      <c r="J37" s="27"/>
      <c r="K37" s="4"/>
      <c r="L37" s="27"/>
      <c r="M37" s="27"/>
      <c r="N37" s="27"/>
      <c r="O37" s="27"/>
    </row>
    <row r="38" spans="1:15">
      <c r="A38">
        <v>36</v>
      </c>
      <c r="B38" s="4" t="s">
        <v>121</v>
      </c>
      <c r="C38" s="4">
        <v>1000</v>
      </c>
      <c r="D38" s="4">
        <v>50</v>
      </c>
      <c r="E38" s="4">
        <v>303.7</v>
      </c>
      <c r="F38" s="4" t="s">
        <v>122</v>
      </c>
      <c r="G38" s="4" t="s">
        <v>123</v>
      </c>
      <c r="H38" s="4">
        <v>5</v>
      </c>
      <c r="J38" s="27"/>
      <c r="K38" s="4"/>
      <c r="L38" s="27"/>
      <c r="M38" s="27"/>
      <c r="N38" s="27"/>
      <c r="O38" s="27"/>
    </row>
    <row r="39" spans="1:15">
      <c r="A39">
        <v>37</v>
      </c>
      <c r="B39" s="4" t="s">
        <v>124</v>
      </c>
      <c r="C39" s="4">
        <v>1000</v>
      </c>
      <c r="D39" s="4">
        <v>50</v>
      </c>
      <c r="E39" s="4">
        <v>303.7</v>
      </c>
      <c r="F39" s="4" t="s">
        <v>125</v>
      </c>
      <c r="G39" s="4" t="s">
        <v>126</v>
      </c>
      <c r="H39" s="4">
        <v>5</v>
      </c>
      <c r="J39" s="27"/>
      <c r="K39" s="4"/>
      <c r="L39" s="27"/>
      <c r="M39" s="27"/>
      <c r="N39" s="27"/>
      <c r="O39" s="27"/>
    </row>
    <row r="40" spans="1:15">
      <c r="A40">
        <v>38</v>
      </c>
      <c r="B40" s="4" t="s">
        <v>127</v>
      </c>
      <c r="C40" s="4">
        <v>1000</v>
      </c>
      <c r="D40" s="4">
        <v>50</v>
      </c>
      <c r="E40" s="4">
        <v>303.7</v>
      </c>
      <c r="F40" s="4" t="s">
        <v>128</v>
      </c>
      <c r="G40" s="4" t="s">
        <v>129</v>
      </c>
      <c r="H40" s="4">
        <v>5</v>
      </c>
      <c r="J40" s="27"/>
      <c r="K40" s="4"/>
      <c r="L40" s="27"/>
      <c r="M40" s="27"/>
      <c r="N40" s="27"/>
      <c r="O40" s="27"/>
    </row>
    <row r="41" spans="1:15">
      <c r="A41">
        <v>39</v>
      </c>
      <c r="B41" s="4" t="s">
        <v>130</v>
      </c>
      <c r="C41" s="4">
        <v>1000</v>
      </c>
      <c r="D41" s="4">
        <v>50</v>
      </c>
      <c r="E41" s="4">
        <v>303.7</v>
      </c>
      <c r="F41" s="4" t="s">
        <v>131</v>
      </c>
      <c r="G41" s="4" t="s">
        <v>132</v>
      </c>
      <c r="H41" s="4">
        <v>5</v>
      </c>
      <c r="J41" s="27"/>
      <c r="K41" s="4"/>
      <c r="L41" s="27"/>
      <c r="M41" s="27"/>
      <c r="N41" s="27"/>
      <c r="O41" s="27"/>
    </row>
    <row r="42" spans="1:15">
      <c r="A42">
        <v>40</v>
      </c>
      <c r="B42" s="4" t="s">
        <v>133</v>
      </c>
      <c r="C42" s="4">
        <v>1000</v>
      </c>
      <c r="D42" s="4">
        <v>130</v>
      </c>
      <c r="E42" s="4">
        <v>303.7</v>
      </c>
      <c r="F42" s="4" t="s">
        <v>134</v>
      </c>
      <c r="G42" s="4" t="s">
        <v>135</v>
      </c>
      <c r="H42" s="4">
        <v>5</v>
      </c>
      <c r="J42" s="27"/>
      <c r="K42" s="4"/>
      <c r="L42" s="27"/>
      <c r="M42" s="27"/>
      <c r="N42" s="27"/>
      <c r="O42" s="27"/>
    </row>
    <row r="43" spans="1:15">
      <c r="A43">
        <v>41</v>
      </c>
      <c r="B43" s="4" t="s">
        <v>136</v>
      </c>
      <c r="C43" s="4">
        <v>1000</v>
      </c>
      <c r="D43" s="4">
        <v>90</v>
      </c>
      <c r="E43" s="4">
        <v>303.7</v>
      </c>
      <c r="F43" s="4" t="s">
        <v>137</v>
      </c>
      <c r="G43" s="4" t="s">
        <v>138</v>
      </c>
      <c r="H43" s="4">
        <v>5</v>
      </c>
    </row>
  </sheetData>
  <conditionalFormatting sqref="B1:B6 B8:B43 B45:B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60"/>
  <sheetViews>
    <sheetView zoomScale="115" zoomScaleNormal="115" workbookViewId="0">
      <pane xSplit="7" ySplit="2" topLeftCell="H33" activePane="bottomRight" state="frozen"/>
      <selection/>
      <selection pane="topRight"/>
      <selection pane="bottomLeft"/>
      <selection pane="bottomRight" activeCell="F58" sqref="F58"/>
    </sheetView>
  </sheetViews>
  <sheetFormatPr defaultColWidth="9" defaultRowHeight="14.25"/>
  <cols>
    <col min="1" max="1" width="9.54166666666667" style="11"/>
    <col min="2" max="2" width="22.625" style="2" customWidth="1"/>
    <col min="3" max="3" width="22.7166666666667" style="2" customWidth="1"/>
    <col min="4" max="4" width="14.625" style="2" customWidth="1"/>
    <col min="5" max="5" width="11" style="2" customWidth="1"/>
    <col min="6" max="9" width="14.625" style="2" customWidth="1"/>
    <col min="10" max="12" width="16.0916666666667" style="2" customWidth="1"/>
    <col min="13" max="13" width="41.8166666666667" style="11" customWidth="1"/>
    <col min="14" max="14" width="9.54166666666667" style="11"/>
    <col min="15" max="15" width="10" style="11"/>
    <col min="16" max="16384" width="9" style="11"/>
  </cols>
  <sheetData>
    <row r="1" spans="1:21">
      <c r="A1" s="12" t="s">
        <v>139</v>
      </c>
      <c r="B1" s="12" t="s">
        <v>140</v>
      </c>
      <c r="C1" s="12" t="s">
        <v>141</v>
      </c>
      <c r="D1" s="12" t="s">
        <v>142</v>
      </c>
      <c r="E1" s="12" t="s">
        <v>143</v>
      </c>
      <c r="F1" s="12" t="s">
        <v>144</v>
      </c>
      <c r="G1" s="12" t="s">
        <v>145</v>
      </c>
      <c r="H1" s="12" t="s">
        <v>146</v>
      </c>
      <c r="I1" s="12" t="s">
        <v>147</v>
      </c>
      <c r="J1" s="12" t="s">
        <v>148</v>
      </c>
      <c r="K1" s="12" t="s">
        <v>149</v>
      </c>
      <c r="L1" s="12" t="s">
        <v>150</v>
      </c>
      <c r="M1" s="13" t="s">
        <v>151</v>
      </c>
      <c r="N1" s="13" t="s">
        <v>152</v>
      </c>
      <c r="O1" s="13" t="s">
        <v>153</v>
      </c>
      <c r="P1" s="13" t="s">
        <v>154</v>
      </c>
      <c r="Q1" s="13" t="s">
        <v>155</v>
      </c>
      <c r="R1" s="13" t="s">
        <v>156</v>
      </c>
      <c r="S1" s="13" t="s">
        <v>157</v>
      </c>
      <c r="T1" s="13" t="s">
        <v>158</v>
      </c>
      <c r="U1" s="13" t="s">
        <v>159</v>
      </c>
    </row>
    <row r="2" spans="1:21">
      <c r="A2" s="12" t="s">
        <v>8</v>
      </c>
      <c r="B2" s="12" t="s">
        <v>160</v>
      </c>
      <c r="C2" s="12"/>
      <c r="D2" s="12" t="s">
        <v>9</v>
      </c>
      <c r="E2" s="12" t="s">
        <v>161</v>
      </c>
      <c r="F2" s="12"/>
      <c r="G2" s="12"/>
      <c r="H2" s="12"/>
      <c r="I2" s="12"/>
      <c r="J2" s="12" t="s">
        <v>162</v>
      </c>
      <c r="K2" s="12" t="s">
        <v>163</v>
      </c>
      <c r="L2" s="12" t="s">
        <v>164</v>
      </c>
      <c r="M2" s="13"/>
      <c r="N2" s="13" t="s">
        <v>165</v>
      </c>
      <c r="O2" s="13" t="s">
        <v>166</v>
      </c>
      <c r="P2" s="13" t="s">
        <v>167</v>
      </c>
      <c r="Q2" s="13" t="s">
        <v>168</v>
      </c>
      <c r="R2" s="13" t="s">
        <v>169</v>
      </c>
      <c r="S2" s="13" t="s">
        <v>170</v>
      </c>
      <c r="T2" s="13" t="s">
        <v>171</v>
      </c>
      <c r="U2" s="13" t="s">
        <v>172</v>
      </c>
    </row>
    <row r="3" spans="1:21">
      <c r="A3" s="11">
        <f>70000000+E3*10000+G3*1000+H3*100+I3</f>
        <v>70015101</v>
      </c>
      <c r="B3" s="14" t="s">
        <v>173</v>
      </c>
      <c r="D3" s="2" t="str">
        <f>E3&amp;(VLOOKUP(F3,编号表!$E$1:$G$8,2,0))&amp;G3&amp;"_"&amp;H3&amp;"_"&amp;I3</f>
        <v>1N5_1_1</v>
      </c>
      <c r="E3" s="2">
        <v>1</v>
      </c>
      <c r="F3" s="2" t="s">
        <v>174</v>
      </c>
      <c r="G3" s="2">
        <v>5</v>
      </c>
      <c r="H3" s="2">
        <v>1</v>
      </c>
      <c r="I3" s="2">
        <f>COUNTIFS($E$3:E3,E3,$H$3:H3,H3)</f>
        <v>1</v>
      </c>
      <c r="N3" s="11">
        <v>1001302</v>
      </c>
    </row>
    <row r="4" spans="1:21">
      <c r="A4" s="11">
        <f t="shared" ref="A4:A67" si="0">70000000+E4*10000+G4*1000+H4*100+I4</f>
        <v>70015102</v>
      </c>
      <c r="B4" s="14" t="s">
        <v>175</v>
      </c>
      <c r="D4" s="2" t="str">
        <f>E4&amp;(VLOOKUP(F4,编号表!$E$1:$G$8,2,0))&amp;G4&amp;"_"&amp;H4&amp;"_"&amp;I4</f>
        <v>1N5_1_2</v>
      </c>
      <c r="E4" s="2">
        <v>1</v>
      </c>
      <c r="F4" s="2" t="s">
        <v>174</v>
      </c>
      <c r="G4" s="2">
        <v>5</v>
      </c>
      <c r="H4" s="2">
        <v>1</v>
      </c>
      <c r="I4" s="2">
        <f>COUNTIFS($E$3:E4,E4,$H$3:H4,H4)</f>
        <v>2</v>
      </c>
      <c r="N4" s="11">
        <v>1001302</v>
      </c>
    </row>
    <row r="5" spans="1:21">
      <c r="A5" s="11">
        <f t="shared" si="0"/>
        <v>70015103</v>
      </c>
      <c r="B5" s="14" t="s">
        <v>176</v>
      </c>
      <c r="D5" s="2" t="str">
        <f>E5&amp;(VLOOKUP(F5,编号表!$E$1:$G$8,2,0))&amp;G5&amp;"_"&amp;H5&amp;"_"&amp;I5</f>
        <v>1N5_1_3</v>
      </c>
      <c r="E5" s="2">
        <v>1</v>
      </c>
      <c r="F5" s="2" t="s">
        <v>174</v>
      </c>
      <c r="G5" s="2">
        <v>5</v>
      </c>
      <c r="H5" s="2">
        <v>1</v>
      </c>
      <c r="I5" s="2">
        <f>COUNTIFS($E$3:E5,E5,$H$3:H5,H5)</f>
        <v>3</v>
      </c>
      <c r="N5" s="11">
        <v>1001302</v>
      </c>
    </row>
    <row r="6" spans="1:21">
      <c r="A6" s="11">
        <f t="shared" si="0"/>
        <v>70015104</v>
      </c>
      <c r="B6" s="14" t="s">
        <v>177</v>
      </c>
      <c r="D6" s="2" t="str">
        <f>E6&amp;(VLOOKUP(F6,编号表!$E$1:$G$8,2,0))&amp;G6&amp;"_"&amp;H6&amp;"_"&amp;I6</f>
        <v>1N5_1_4</v>
      </c>
      <c r="E6" s="2">
        <v>1</v>
      </c>
      <c r="F6" s="2" t="s">
        <v>174</v>
      </c>
      <c r="G6" s="2">
        <v>5</v>
      </c>
      <c r="H6" s="2">
        <v>1</v>
      </c>
      <c r="I6" s="2">
        <f>COUNTIFS($E$3:E6,E6,$H$3:H6,H6)</f>
        <v>4</v>
      </c>
      <c r="N6" s="11">
        <v>1001302</v>
      </c>
    </row>
    <row r="7" spans="1:21">
      <c r="A7" s="11">
        <f t="shared" si="0"/>
        <v>70015105</v>
      </c>
      <c r="B7" s="14" t="s">
        <v>178</v>
      </c>
      <c r="D7" s="2" t="str">
        <f>E7&amp;(VLOOKUP(F7,编号表!$E$1:$G$8,2,0))&amp;G7&amp;"_"&amp;H7&amp;"_"&amp;I7</f>
        <v>1N5_1_5</v>
      </c>
      <c r="E7" s="2">
        <v>1</v>
      </c>
      <c r="F7" s="2" t="s">
        <v>174</v>
      </c>
      <c r="G7" s="2">
        <v>5</v>
      </c>
      <c r="H7" s="2">
        <v>1</v>
      </c>
      <c r="I7" s="2">
        <f>COUNTIFS($E$3:E7,E7,$H$3:H7,H7)</f>
        <v>5</v>
      </c>
      <c r="N7" s="11">
        <v>1001302</v>
      </c>
    </row>
    <row r="8" spans="1:21">
      <c r="A8" s="11">
        <f t="shared" si="0"/>
        <v>70015201</v>
      </c>
      <c r="B8" s="14" t="s">
        <v>179</v>
      </c>
      <c r="D8" s="2" t="str">
        <f>E8&amp;(VLOOKUP(F8,编号表!$E$1:$G$8,2,0))&amp;G8&amp;"_"&amp;H8&amp;"_"&amp;I8</f>
        <v>1N5_2_1</v>
      </c>
      <c r="E8" s="2">
        <v>1</v>
      </c>
      <c r="F8" s="2" t="s">
        <v>174</v>
      </c>
      <c r="G8" s="2">
        <v>5</v>
      </c>
      <c r="H8" s="2">
        <v>2</v>
      </c>
      <c r="I8" s="2">
        <f>COUNTIFS($E$3:E8,E8,$H$3:H8,H8)</f>
        <v>1</v>
      </c>
      <c r="N8" s="11">
        <v>1001403</v>
      </c>
    </row>
    <row r="9" spans="1:21">
      <c r="A9" s="11">
        <f t="shared" si="0"/>
        <v>70015202</v>
      </c>
      <c r="B9" s="14" t="s">
        <v>180</v>
      </c>
      <c r="D9" s="2" t="str">
        <f>E9&amp;(VLOOKUP(F9,编号表!$E$1:$G$8,2,0))&amp;G9&amp;"_"&amp;H9&amp;"_"&amp;I9</f>
        <v>1N5_2_2</v>
      </c>
      <c r="E9" s="2">
        <v>1</v>
      </c>
      <c r="F9" s="2" t="s">
        <v>174</v>
      </c>
      <c r="G9" s="2">
        <v>5</v>
      </c>
      <c r="H9" s="2">
        <v>2</v>
      </c>
      <c r="I9" s="2">
        <f>COUNTIFS($E$3:E9,E9,$H$3:H9,H9)</f>
        <v>2</v>
      </c>
      <c r="N9" s="11">
        <v>1001403</v>
      </c>
    </row>
    <row r="10" spans="1:21">
      <c r="A10" s="11">
        <f t="shared" si="0"/>
        <v>70015203</v>
      </c>
      <c r="B10" s="14" t="s">
        <v>181</v>
      </c>
      <c r="D10" s="2" t="str">
        <f>E10&amp;(VLOOKUP(F10,编号表!$E$1:$G$8,2,0))&amp;G10&amp;"_"&amp;H10&amp;"_"&amp;I10</f>
        <v>1N5_2_3</v>
      </c>
      <c r="E10" s="2">
        <v>1</v>
      </c>
      <c r="F10" s="2" t="s">
        <v>174</v>
      </c>
      <c r="G10" s="2">
        <v>5</v>
      </c>
      <c r="H10" s="2">
        <v>2</v>
      </c>
      <c r="I10" s="2">
        <f>COUNTIFS($E$3:E10,E10,$H$3:H10,H10)</f>
        <v>3</v>
      </c>
      <c r="N10" s="11">
        <v>1001403</v>
      </c>
    </row>
    <row r="11" spans="1:21">
      <c r="A11" s="11">
        <f t="shared" si="0"/>
        <v>70015204</v>
      </c>
      <c r="B11" s="14" t="s">
        <v>182</v>
      </c>
      <c r="D11" s="2" t="str">
        <f>E11&amp;(VLOOKUP(F11,编号表!$E$1:$G$8,2,0))&amp;G11&amp;"_"&amp;H11&amp;"_"&amp;I11</f>
        <v>1N5_2_4</v>
      </c>
      <c r="E11" s="2">
        <v>1</v>
      </c>
      <c r="F11" s="2" t="s">
        <v>174</v>
      </c>
      <c r="G11" s="2">
        <v>5</v>
      </c>
      <c r="H11" s="2">
        <v>2</v>
      </c>
      <c r="I11" s="2">
        <f>COUNTIFS($E$3:E11,E11,$H$3:H11,H11)</f>
        <v>4</v>
      </c>
      <c r="N11" s="11">
        <v>1001403</v>
      </c>
    </row>
    <row r="12" spans="1:21">
      <c r="A12" s="11">
        <f t="shared" si="0"/>
        <v>70015205</v>
      </c>
      <c r="B12" s="14" t="s">
        <v>183</v>
      </c>
      <c r="D12" s="2" t="str">
        <f>E12&amp;(VLOOKUP(F12,编号表!$E$1:$G$8,2,0))&amp;G12&amp;"_"&amp;H12&amp;"_"&amp;I12</f>
        <v>1N5_2_5</v>
      </c>
      <c r="E12" s="2">
        <v>1</v>
      </c>
      <c r="F12" s="2" t="s">
        <v>174</v>
      </c>
      <c r="G12" s="2">
        <v>5</v>
      </c>
      <c r="H12" s="2">
        <v>2</v>
      </c>
      <c r="I12" s="2">
        <f>COUNTIFS($E$3:E12,E12,$H$3:H12,H12)</f>
        <v>5</v>
      </c>
      <c r="N12" s="11">
        <v>1001403</v>
      </c>
    </row>
    <row r="13" spans="1:21">
      <c r="A13" s="11">
        <f t="shared" si="0"/>
        <v>70015301</v>
      </c>
      <c r="B13" s="14" t="s">
        <v>184</v>
      </c>
      <c r="D13" s="2" t="str">
        <f>E13&amp;(VLOOKUP(F13,编号表!$E$1:$G$8,2,0))&amp;G13&amp;"_"&amp;H13&amp;"_"&amp;I13</f>
        <v>1N5_3_1</v>
      </c>
      <c r="E13" s="2">
        <v>1</v>
      </c>
      <c r="F13" s="2" t="s">
        <v>174</v>
      </c>
      <c r="G13" s="2">
        <v>5</v>
      </c>
      <c r="H13" s="2">
        <v>3</v>
      </c>
      <c r="I13" s="2">
        <f>COUNTIFS($E$3:E13,E13,$H$3:H13,H13)</f>
        <v>1</v>
      </c>
      <c r="N13" s="11">
        <v>1001203</v>
      </c>
    </row>
    <row r="14" spans="1:21">
      <c r="A14" s="11">
        <f t="shared" si="0"/>
        <v>70015302</v>
      </c>
      <c r="B14" s="14" t="s">
        <v>185</v>
      </c>
      <c r="D14" s="2" t="str">
        <f>E14&amp;(VLOOKUP(F14,编号表!$E$1:$G$8,2,0))&amp;G14&amp;"_"&amp;H14&amp;"_"&amp;I14</f>
        <v>1N5_3_2</v>
      </c>
      <c r="E14" s="2">
        <v>1</v>
      </c>
      <c r="F14" s="2" t="s">
        <v>174</v>
      </c>
      <c r="G14" s="2">
        <v>5</v>
      </c>
      <c r="H14" s="2">
        <v>3</v>
      </c>
      <c r="I14" s="2">
        <f>COUNTIFS($E$3:E14,E14,$H$3:H14,H14)</f>
        <v>2</v>
      </c>
      <c r="N14" s="11">
        <v>1001203</v>
      </c>
    </row>
    <row r="15" spans="1:21">
      <c r="A15" s="11">
        <f t="shared" si="0"/>
        <v>70015303</v>
      </c>
      <c r="B15" s="14" t="s">
        <v>186</v>
      </c>
      <c r="D15" s="2" t="str">
        <f>E15&amp;(VLOOKUP(F15,编号表!$E$1:$G$8,2,0))&amp;G15&amp;"_"&amp;H15&amp;"_"&amp;I15</f>
        <v>1N5_3_3</v>
      </c>
      <c r="E15" s="2">
        <v>1</v>
      </c>
      <c r="F15" s="2" t="s">
        <v>174</v>
      </c>
      <c r="G15" s="2">
        <v>5</v>
      </c>
      <c r="H15" s="2">
        <v>3</v>
      </c>
      <c r="I15" s="2">
        <f>COUNTIFS($E$3:E15,E15,$H$3:H15,H15)</f>
        <v>3</v>
      </c>
      <c r="N15" s="11">
        <v>1001203</v>
      </c>
    </row>
    <row r="16" spans="1:21">
      <c r="A16" s="11">
        <f t="shared" si="0"/>
        <v>70015304</v>
      </c>
      <c r="B16" s="14" t="s">
        <v>187</v>
      </c>
      <c r="D16" s="2" t="str">
        <f>E16&amp;(VLOOKUP(F16,编号表!$E$1:$G$8,2,0))&amp;G16&amp;"_"&amp;H16&amp;"_"&amp;I16</f>
        <v>1N5_3_4</v>
      </c>
      <c r="E16" s="2">
        <v>1</v>
      </c>
      <c r="F16" s="2" t="s">
        <v>174</v>
      </c>
      <c r="G16" s="2">
        <v>5</v>
      </c>
      <c r="H16" s="2">
        <v>3</v>
      </c>
      <c r="I16" s="2">
        <f>COUNTIFS($E$3:E16,E16,$H$3:H16,H16)</f>
        <v>4</v>
      </c>
      <c r="N16" s="11">
        <v>1001203</v>
      </c>
    </row>
    <row r="17" spans="1:14">
      <c r="A17" s="11">
        <f t="shared" si="0"/>
        <v>70015305</v>
      </c>
      <c r="B17" s="14" t="s">
        <v>188</v>
      </c>
      <c r="D17" s="2" t="str">
        <f>E17&amp;(VLOOKUP(F17,编号表!$E$1:$G$8,2,0))&amp;G17&amp;"_"&amp;H17&amp;"_"&amp;I17</f>
        <v>1N5_3_5</v>
      </c>
      <c r="E17" s="2">
        <v>1</v>
      </c>
      <c r="F17" s="2" t="s">
        <v>174</v>
      </c>
      <c r="G17" s="2">
        <v>5</v>
      </c>
      <c r="H17" s="2">
        <v>3</v>
      </c>
      <c r="I17" s="2">
        <f>COUNTIFS($E$3:E17,E17,$H$3:H17,H17)</f>
        <v>5</v>
      </c>
      <c r="N17" s="11">
        <v>1001203</v>
      </c>
    </row>
    <row r="18" spans="1:14">
      <c r="A18" s="11">
        <f t="shared" si="0"/>
        <v>70011306</v>
      </c>
      <c r="B18" s="15" t="s">
        <v>189</v>
      </c>
      <c r="D18" s="2" t="str">
        <f>E18&amp;(VLOOKUP(F18,编号表!$E$1:$G$8,2,0))&amp;G18&amp;"_"&amp;H18&amp;"_"&amp;I18</f>
        <v>1T1_3_6</v>
      </c>
      <c r="E18" s="2">
        <v>1</v>
      </c>
      <c r="F18" s="2" t="s">
        <v>190</v>
      </c>
      <c r="G18" s="2">
        <v>1</v>
      </c>
      <c r="H18" s="2">
        <v>3</v>
      </c>
      <c r="I18" s="2">
        <f>COUNTIFS($E$3:E18,E18,$H$3:H18,H18)</f>
        <v>6</v>
      </c>
    </row>
    <row r="19" spans="1:14">
      <c r="A19" s="11">
        <f t="shared" si="0"/>
        <v>70011307</v>
      </c>
      <c r="B19" s="16" t="s">
        <v>19</v>
      </c>
      <c r="C19" s="2" t="s">
        <v>191</v>
      </c>
      <c r="D19" s="2" t="str">
        <f>E19&amp;(VLOOKUP(F19,编号表!$E$1:$G$8,2,0))&amp;G19&amp;"_"&amp;H19&amp;"_"&amp;I19</f>
        <v>1T1_3_7</v>
      </c>
      <c r="E19" s="2">
        <v>1</v>
      </c>
      <c r="F19" s="2" t="s">
        <v>190</v>
      </c>
      <c r="G19" s="2">
        <v>1</v>
      </c>
      <c r="H19" s="2">
        <v>3</v>
      </c>
      <c r="I19" s="2">
        <f>COUNTIFS($E$3:E19,E19,$H$3:H19,H19)</f>
        <v>7</v>
      </c>
      <c r="L19" s="2">
        <v>187</v>
      </c>
    </row>
    <row r="20" spans="1:14">
      <c r="A20" s="11">
        <f t="shared" si="0"/>
        <v>70011401</v>
      </c>
      <c r="B20" s="17" t="s">
        <v>192</v>
      </c>
      <c r="D20" s="2" t="str">
        <f>E20&amp;(VLOOKUP(F20,编号表!$E$1:$G$8,2,0))&amp;G20&amp;"_"&amp;H20&amp;"_"&amp;I20</f>
        <v>1P1_4_1</v>
      </c>
      <c r="E20" s="2">
        <v>1</v>
      </c>
      <c r="F20" s="2" t="s">
        <v>193</v>
      </c>
      <c r="G20" s="2">
        <v>1</v>
      </c>
      <c r="H20" s="2">
        <v>4</v>
      </c>
      <c r="I20" s="2">
        <f>COUNTIFS($E$3:E20,E20,$H$3:H20,H20)</f>
        <v>1</v>
      </c>
    </row>
    <row r="21" spans="1:14">
      <c r="A21" s="11">
        <f t="shared" si="0"/>
        <v>70011402</v>
      </c>
      <c r="B21" s="17" t="s">
        <v>194</v>
      </c>
      <c r="D21" s="2" t="str">
        <f>E21&amp;(VLOOKUP(F21,编号表!$E$1:$G$8,2,0))&amp;G21&amp;"_"&amp;H21&amp;"_"&amp;I21</f>
        <v>1P1_4_2</v>
      </c>
      <c r="E21" s="2">
        <v>1</v>
      </c>
      <c r="F21" s="2" t="s">
        <v>193</v>
      </c>
      <c r="G21" s="2">
        <v>1</v>
      </c>
      <c r="H21" s="2">
        <v>4</v>
      </c>
      <c r="I21" s="2">
        <f>COUNTIFS($E$3:E21,E21,$H$3:H21,H21)</f>
        <v>2</v>
      </c>
    </row>
    <row r="22" spans="1:14">
      <c r="A22" s="11">
        <f t="shared" si="0"/>
        <v>70013501</v>
      </c>
      <c r="B22" s="17" t="s">
        <v>195</v>
      </c>
      <c r="D22" s="2" t="str">
        <f>E22&amp;(VLOOKUP(F22,编号表!$E$1:$G$8,2,0))&amp;G22&amp;"_"&amp;H22&amp;"_"&amp;I22</f>
        <v>1P3_5_1</v>
      </c>
      <c r="E22" s="2">
        <v>1</v>
      </c>
      <c r="F22" s="2" t="s">
        <v>193</v>
      </c>
      <c r="G22" s="2">
        <v>3</v>
      </c>
      <c r="H22" s="2">
        <v>5</v>
      </c>
      <c r="I22" s="2">
        <f>COUNTIFS($E$3:E22,E22,$H$3:H22,H22)</f>
        <v>1</v>
      </c>
      <c r="N22" s="11">
        <v>1001202</v>
      </c>
    </row>
    <row r="23" spans="1:14">
      <c r="A23" s="11">
        <f t="shared" si="0"/>
        <v>70013502</v>
      </c>
      <c r="B23" s="17" t="s">
        <v>196</v>
      </c>
      <c r="D23" s="2" t="str">
        <f>E23&amp;(VLOOKUP(F23,编号表!$E$1:$G$8,2,0))&amp;G23&amp;"_"&amp;H23&amp;"_"&amp;I23</f>
        <v>1P3_5_2</v>
      </c>
      <c r="E23" s="2">
        <v>1</v>
      </c>
      <c r="F23" s="2" t="s">
        <v>193</v>
      </c>
      <c r="G23" s="2">
        <v>3</v>
      </c>
      <c r="H23" s="2">
        <v>5</v>
      </c>
      <c r="I23" s="2">
        <f>COUNTIFS($E$3:E23,E23,$H$3:H23,H23)</f>
        <v>2</v>
      </c>
      <c r="N23" s="11">
        <v>1001202</v>
      </c>
    </row>
    <row r="24" spans="1:14">
      <c r="A24" s="11">
        <f t="shared" si="0"/>
        <v>70011601</v>
      </c>
      <c r="B24" s="17" t="s">
        <v>197</v>
      </c>
      <c r="D24" s="2" t="str">
        <f>E24&amp;(VLOOKUP(F24,编号表!$E$1:$G$8,2,0))&amp;G24&amp;"_"&amp;H24&amp;"_"&amp;I24</f>
        <v>1P1_6_1</v>
      </c>
      <c r="E24" s="2">
        <v>1</v>
      </c>
      <c r="F24" s="2" t="s">
        <v>193</v>
      </c>
      <c r="G24" s="2">
        <v>1</v>
      </c>
      <c r="H24" s="2">
        <v>6</v>
      </c>
      <c r="I24" s="2">
        <f>COUNTIFS($E$3:E24,E24,$H$3:H24,H24)</f>
        <v>1</v>
      </c>
      <c r="N24" s="11">
        <v>1001004</v>
      </c>
    </row>
    <row r="25" spans="1:14">
      <c r="A25" s="11">
        <f t="shared" si="0"/>
        <v>70011602</v>
      </c>
      <c r="B25" s="17" t="s">
        <v>198</v>
      </c>
      <c r="D25" s="2" t="str">
        <f>E25&amp;(VLOOKUP(F25,编号表!$E$1:$G$8,2,0))&amp;G25&amp;"_"&amp;H25&amp;"_"&amp;I25</f>
        <v>1P1_6_2</v>
      </c>
      <c r="E25" s="2">
        <v>1</v>
      </c>
      <c r="F25" s="2" t="s">
        <v>193</v>
      </c>
      <c r="G25" s="2">
        <v>1</v>
      </c>
      <c r="H25" s="2">
        <v>6</v>
      </c>
      <c r="I25" s="2">
        <f>COUNTIFS($E$3:E25,E25,$H$3:H25,H25)</f>
        <v>2</v>
      </c>
      <c r="K25" s="2">
        <v>1</v>
      </c>
    </row>
    <row r="26" spans="1:14">
      <c r="A26" s="11">
        <f t="shared" si="0"/>
        <v>70011603</v>
      </c>
      <c r="B26" s="17" t="s">
        <v>199</v>
      </c>
      <c r="D26" s="2" t="str">
        <f>E26&amp;(VLOOKUP(F26,编号表!$E$1:$G$8,2,0))&amp;G26&amp;"_"&amp;H26&amp;"_"&amp;I26</f>
        <v>1P1_6_3</v>
      </c>
      <c r="E26" s="2">
        <v>1</v>
      </c>
      <c r="F26" s="2" t="s">
        <v>193</v>
      </c>
      <c r="G26" s="2">
        <v>1</v>
      </c>
      <c r="H26" s="2">
        <v>6</v>
      </c>
      <c r="I26" s="2">
        <f>COUNTIFS($E$3:E26,E26,$H$3:H26,H26)</f>
        <v>3</v>
      </c>
    </row>
    <row r="27" spans="1:14">
      <c r="A27" s="11">
        <f t="shared" si="0"/>
        <v>70011604</v>
      </c>
      <c r="B27" s="17" t="s">
        <v>200</v>
      </c>
      <c r="D27" s="2" t="str">
        <f>E27&amp;(VLOOKUP(F27,编号表!$E$1:$G$8,2,0))&amp;G27&amp;"_"&amp;H27&amp;"_"&amp;I27</f>
        <v>1P1_6_4</v>
      </c>
      <c r="E27" s="2">
        <v>1</v>
      </c>
      <c r="F27" s="2" t="s">
        <v>193</v>
      </c>
      <c r="G27" s="2">
        <v>1</v>
      </c>
      <c r="H27" s="2">
        <v>6</v>
      </c>
      <c r="I27" s="2">
        <f>COUNTIFS($E$3:E27,E27,$H$3:H27,H27)</f>
        <v>4</v>
      </c>
    </row>
    <row r="28" spans="1:14">
      <c r="A28" s="11">
        <f t="shared" si="0"/>
        <v>70013701</v>
      </c>
      <c r="B28" s="17" t="s">
        <v>201</v>
      </c>
      <c r="D28" s="2" t="str">
        <f>E28&amp;(VLOOKUP(F28,编号表!$E$1:$G$8,2,0))&amp;G28&amp;"_"&amp;H28&amp;"_"&amp;I28</f>
        <v>1P3_7_1</v>
      </c>
      <c r="E28" s="2">
        <v>1</v>
      </c>
      <c r="F28" s="2" t="s">
        <v>193</v>
      </c>
      <c r="G28" s="2">
        <v>3</v>
      </c>
      <c r="H28" s="2">
        <v>7</v>
      </c>
      <c r="I28" s="2">
        <f>COUNTIFS($E$3:E28,E28,$H$3:H28,H28)</f>
        <v>1</v>
      </c>
      <c r="N28" s="11">
        <v>1001202</v>
      </c>
    </row>
    <row r="29" spans="1:14">
      <c r="A29" s="11">
        <f t="shared" si="0"/>
        <v>70011702</v>
      </c>
      <c r="B29" s="17" t="s">
        <v>202</v>
      </c>
      <c r="D29" s="2" t="str">
        <f>E29&amp;(VLOOKUP(F29,编号表!$E$1:$G$8,2,0))&amp;G29&amp;"_"&amp;H29&amp;"_"&amp;I29</f>
        <v>1P1_7_2</v>
      </c>
      <c r="E29" s="2">
        <v>1</v>
      </c>
      <c r="F29" s="2" t="s">
        <v>193</v>
      </c>
      <c r="G29" s="2">
        <v>1</v>
      </c>
      <c r="H29" s="2">
        <v>7</v>
      </c>
      <c r="I29" s="2">
        <v>2</v>
      </c>
      <c r="N29" s="11">
        <v>1001005</v>
      </c>
    </row>
    <row r="30" spans="1:14">
      <c r="A30" s="11">
        <f t="shared" si="0"/>
        <v>70012703</v>
      </c>
      <c r="B30" s="17" t="s">
        <v>203</v>
      </c>
      <c r="D30" s="2" t="str">
        <f>E30&amp;(VLOOKUP(F30,编号表!$E$1:$G$8,2,0))&amp;G30&amp;"_"&amp;H30&amp;"_"&amp;I30</f>
        <v>1P2_7_3</v>
      </c>
      <c r="E30" s="2">
        <v>1</v>
      </c>
      <c r="F30" s="2" t="s">
        <v>193</v>
      </c>
      <c r="G30" s="2">
        <v>2</v>
      </c>
      <c r="H30" s="2">
        <v>7</v>
      </c>
      <c r="I30" s="2">
        <f>COUNTIFS($E$3:E30,E30,$H$3:H30,H30)</f>
        <v>3</v>
      </c>
      <c r="N30" s="11">
        <v>1001202</v>
      </c>
    </row>
    <row r="31" spans="1:14">
      <c r="A31" s="11">
        <f t="shared" si="0"/>
        <v>70011704</v>
      </c>
      <c r="B31" s="17" t="s">
        <v>204</v>
      </c>
      <c r="D31" s="2" t="str">
        <f>E31&amp;(VLOOKUP(F31,编号表!$E$1:$G$8,2,0))&amp;G31&amp;"_"&amp;H31&amp;"_"&amp;I31</f>
        <v>1P1_7_4</v>
      </c>
      <c r="E31" s="2">
        <v>1</v>
      </c>
      <c r="F31" s="2" t="s">
        <v>193</v>
      </c>
      <c r="G31" s="2">
        <v>1</v>
      </c>
      <c r="H31" s="2">
        <v>7</v>
      </c>
      <c r="I31" s="2">
        <f>COUNTIFS($E$3:E31,E31,$H$3:H31,H31)</f>
        <v>4</v>
      </c>
    </row>
    <row r="32" spans="1:14">
      <c r="A32" s="11">
        <f t="shared" si="0"/>
        <v>70014705</v>
      </c>
      <c r="B32" s="17" t="s">
        <v>205</v>
      </c>
      <c r="D32" s="2" t="str">
        <f>E32&amp;(VLOOKUP(F32,编号表!$E$1:$G$8,2,0))&amp;G32&amp;"_"&amp;H32&amp;"_"&amp;I32</f>
        <v>1P4_7_5</v>
      </c>
      <c r="E32" s="2">
        <v>1</v>
      </c>
      <c r="F32" s="2" t="s">
        <v>193</v>
      </c>
      <c r="G32" s="2">
        <v>4</v>
      </c>
      <c r="H32" s="2">
        <v>7</v>
      </c>
      <c r="I32" s="2">
        <f>COUNTIFS($E$3:E32,E32,$H$3:H32,H32)</f>
        <v>5</v>
      </c>
      <c r="N32" s="11">
        <v>1001202</v>
      </c>
    </row>
    <row r="33" spans="1:14">
      <c r="A33" s="11">
        <f t="shared" si="0"/>
        <v>70011706</v>
      </c>
      <c r="B33" s="17" t="s">
        <v>206</v>
      </c>
      <c r="D33" s="2" t="str">
        <f>E33&amp;(VLOOKUP(F33,编号表!$E$1:$G$8,2,0))&amp;G33&amp;"_"&amp;H33&amp;"_"&amp;I33</f>
        <v>1P1_7_6</v>
      </c>
      <c r="E33" s="2">
        <v>1</v>
      </c>
      <c r="F33" s="2" t="s">
        <v>193</v>
      </c>
      <c r="G33" s="2">
        <v>1</v>
      </c>
      <c r="H33" s="2">
        <v>7</v>
      </c>
      <c r="I33" s="2">
        <f>COUNTIFS($E$3:E33,E33,$H$3:H33,H33)</f>
        <v>6</v>
      </c>
    </row>
    <row r="34" spans="1:14">
      <c r="A34" s="11">
        <f t="shared" si="0"/>
        <v>70015707</v>
      </c>
      <c r="B34" s="14" t="s">
        <v>207</v>
      </c>
      <c r="D34" s="2" t="str">
        <f>E34&amp;(VLOOKUP(F34,编号表!$E$1:$G$8,2,0))&amp;G34&amp;"_"&amp;H34&amp;"_"&amp;I34</f>
        <v>1N5_7_7</v>
      </c>
      <c r="E34" s="2">
        <v>1</v>
      </c>
      <c r="F34" s="2" t="s">
        <v>174</v>
      </c>
      <c r="G34" s="2">
        <v>5</v>
      </c>
      <c r="H34" s="2">
        <v>7</v>
      </c>
      <c r="I34" s="2">
        <f>COUNTIFS($E$3:E34,E34,$H$3:H34,H34)</f>
        <v>7</v>
      </c>
      <c r="N34" s="11">
        <v>1001302</v>
      </c>
    </row>
    <row r="35" spans="1:14">
      <c r="A35" s="11">
        <f t="shared" si="0"/>
        <v>70014801</v>
      </c>
      <c r="B35" s="14" t="s">
        <v>208</v>
      </c>
      <c r="D35" s="2" t="str">
        <f>E35&amp;(VLOOKUP(F35,编号表!$E$1:$G$8,2,0))&amp;G35&amp;"_"&amp;H35&amp;"_"&amp;I35</f>
        <v>1N4_8_1</v>
      </c>
      <c r="E35" s="2">
        <v>1</v>
      </c>
      <c r="F35" s="2" t="s">
        <v>174</v>
      </c>
      <c r="G35" s="2">
        <v>4</v>
      </c>
      <c r="H35" s="2">
        <v>8</v>
      </c>
      <c r="I35" s="2">
        <f>COUNTIFS($E$3:E35,E35,$H$3:H35,H35)</f>
        <v>1</v>
      </c>
      <c r="N35" s="11">
        <v>1001302</v>
      </c>
    </row>
    <row r="36" spans="1:14">
      <c r="A36" s="11">
        <f t="shared" si="0"/>
        <v>70014802</v>
      </c>
      <c r="B36" s="14" t="s">
        <v>209</v>
      </c>
      <c r="D36" s="2" t="str">
        <f>E36&amp;(VLOOKUP(F36,编号表!$E$1:$G$8,2,0))&amp;G36&amp;"_"&amp;H36&amp;"_"&amp;I36</f>
        <v>1N4_8_2</v>
      </c>
      <c r="E36" s="2">
        <v>1</v>
      </c>
      <c r="F36" s="2" t="s">
        <v>174</v>
      </c>
      <c r="G36" s="2">
        <v>4</v>
      </c>
      <c r="H36" s="2">
        <v>8</v>
      </c>
      <c r="I36" s="2">
        <f>COUNTIFS($E$3:E36,E36,$H$3:H36,H36)</f>
        <v>2</v>
      </c>
      <c r="N36" s="11">
        <v>1001203</v>
      </c>
    </row>
    <row r="37" spans="1:14">
      <c r="A37" s="11">
        <f t="shared" si="0"/>
        <v>70016803</v>
      </c>
      <c r="B37" s="17" t="s">
        <v>210</v>
      </c>
      <c r="D37" s="2" t="str">
        <f>E37&amp;(VLOOKUP(F37,编号表!$E$1:$G$8,2,0))&amp;G37&amp;"_"&amp;H37&amp;"_"&amp;I37</f>
        <v>1P6_8_3</v>
      </c>
      <c r="E37" s="2">
        <v>1</v>
      </c>
      <c r="F37" s="2" t="s">
        <v>193</v>
      </c>
      <c r="G37" s="2">
        <v>6</v>
      </c>
      <c r="H37" s="2">
        <v>8</v>
      </c>
      <c r="I37" s="2">
        <f>COUNTIFS($E$3:E37,E37,$H$3:H37,H37)</f>
        <v>3</v>
      </c>
      <c r="N37" s="11">
        <v>1001202</v>
      </c>
    </row>
    <row r="38" spans="1:14">
      <c r="A38" s="11">
        <f t="shared" si="0"/>
        <v>70015804</v>
      </c>
      <c r="B38" s="14" t="s">
        <v>211</v>
      </c>
      <c r="D38" s="2" t="str">
        <f>E38&amp;(VLOOKUP(F38,编号表!$E$1:$G$8,2,0))&amp;G38&amp;"_"&amp;H38&amp;"_"&amp;I38</f>
        <v>1N5_8_4</v>
      </c>
      <c r="E38" s="2">
        <v>1</v>
      </c>
      <c r="F38" s="2" t="s">
        <v>174</v>
      </c>
      <c r="G38" s="2">
        <v>5</v>
      </c>
      <c r="H38" s="2">
        <v>8</v>
      </c>
      <c r="I38" s="2">
        <f>COUNTIFS($E$3:E38,E38,$H$3:H38,H38)</f>
        <v>4</v>
      </c>
      <c r="N38" s="11">
        <v>1001403</v>
      </c>
    </row>
    <row r="39" spans="1:14">
      <c r="A39" s="11">
        <f t="shared" si="0"/>
        <v>70014901</v>
      </c>
      <c r="B39" s="14" t="s">
        <v>212</v>
      </c>
      <c r="D39" s="2" t="str">
        <f>E39&amp;(VLOOKUP(F39,编号表!$E$1:$G$8,2,0))&amp;G39&amp;"_"&amp;H39&amp;"_"&amp;I39</f>
        <v>1N4_9_1</v>
      </c>
      <c r="E39" s="2">
        <v>1</v>
      </c>
      <c r="F39" s="2" t="s">
        <v>174</v>
      </c>
      <c r="G39" s="2">
        <v>4</v>
      </c>
      <c r="H39" s="2">
        <v>9</v>
      </c>
      <c r="I39" s="2">
        <f>COUNTIFS($E$3:E39,E39,$H$3:H39,H39)</f>
        <v>1</v>
      </c>
      <c r="N39" s="11">
        <v>1001403</v>
      </c>
    </row>
    <row r="40" spans="1:14">
      <c r="A40" s="11">
        <f t="shared" si="0"/>
        <v>70013902</v>
      </c>
      <c r="B40" s="17" t="s">
        <v>213</v>
      </c>
      <c r="D40" s="2" t="str">
        <f>E40&amp;(VLOOKUP(F40,编号表!$E$1:$G$8,2,0))&amp;G40&amp;"_"&amp;H40&amp;"_"&amp;I40</f>
        <v>1P3_9_2</v>
      </c>
      <c r="E40" s="2">
        <v>1</v>
      </c>
      <c r="F40" s="2" t="s">
        <v>193</v>
      </c>
      <c r="G40" s="2">
        <v>3</v>
      </c>
      <c r="H40" s="2">
        <v>9</v>
      </c>
      <c r="I40" s="2">
        <f>COUNTIFS($E$3:E40,E40,$H$3:H40,H40)</f>
        <v>2</v>
      </c>
      <c r="N40" s="11">
        <v>1001202</v>
      </c>
    </row>
    <row r="41" spans="1:14">
      <c r="A41" s="11">
        <f t="shared" si="0"/>
        <v>70013903</v>
      </c>
      <c r="B41" s="17" t="s">
        <v>214</v>
      </c>
      <c r="D41" s="2" t="str">
        <f>E41&amp;(VLOOKUP(F41,编号表!$E$1:$G$8,2,0))&amp;G41&amp;"_"&amp;H41&amp;"_"&amp;I41</f>
        <v>1P3_9_3</v>
      </c>
      <c r="E41" s="2">
        <v>1</v>
      </c>
      <c r="F41" s="2" t="s">
        <v>193</v>
      </c>
      <c r="G41" s="2">
        <v>3</v>
      </c>
      <c r="H41" s="2">
        <v>9</v>
      </c>
      <c r="I41" s="2">
        <f>COUNTIFS($E$3:E41,E41,$H$3:H41,H41)</f>
        <v>3</v>
      </c>
      <c r="N41" s="11">
        <v>1001202</v>
      </c>
    </row>
    <row r="42" spans="1:14">
      <c r="A42" s="11">
        <f t="shared" si="0"/>
        <v>70014904</v>
      </c>
      <c r="B42" s="17" t="s">
        <v>215</v>
      </c>
      <c r="D42" s="2" t="str">
        <f>E42&amp;(VLOOKUP(F42,编号表!$E$1:$G$8,2,0))&amp;G42&amp;"_"&amp;H42&amp;"_"&amp;I42</f>
        <v>1P4_9_4</v>
      </c>
      <c r="E42" s="2">
        <v>1</v>
      </c>
      <c r="F42" s="2" t="s">
        <v>193</v>
      </c>
      <c r="G42" s="2">
        <v>4</v>
      </c>
      <c r="H42" s="2">
        <v>9</v>
      </c>
      <c r="I42" s="2">
        <f>COUNTIFS($E$3:E42,E42,$H$3:H42,H42)</f>
        <v>4</v>
      </c>
      <c r="N42" s="11">
        <v>1001202</v>
      </c>
    </row>
    <row r="43" spans="1:14">
      <c r="A43" s="11">
        <f t="shared" si="0"/>
        <v>70012905</v>
      </c>
      <c r="B43" s="14" t="s">
        <v>216</v>
      </c>
      <c r="D43" s="2" t="str">
        <f>E43&amp;(VLOOKUP(F43,编号表!$E$1:$G$8,2,0))&amp;G43&amp;"_"&amp;H43&amp;"_"&amp;I43</f>
        <v>1N2_9_5</v>
      </c>
      <c r="E43" s="2">
        <v>1</v>
      </c>
      <c r="F43" s="2" t="s">
        <v>174</v>
      </c>
      <c r="G43" s="2">
        <v>2</v>
      </c>
      <c r="H43" s="2">
        <v>9</v>
      </c>
      <c r="I43" s="2">
        <f>COUNTIFS($E$3:E43,E43,$H$3:H43,H43)</f>
        <v>5</v>
      </c>
      <c r="N43" s="11">
        <v>1001403</v>
      </c>
    </row>
    <row r="44" spans="1:14">
      <c r="A44" s="11">
        <f t="shared" si="0"/>
        <v>70012906</v>
      </c>
      <c r="B44" s="14" t="s">
        <v>217</v>
      </c>
      <c r="D44" s="2" t="str">
        <f>E44&amp;(VLOOKUP(F44,编号表!$E$1:$G$8,2,0))&amp;G44&amp;"_"&amp;H44&amp;"_"&amp;I44</f>
        <v>1N2_9_6</v>
      </c>
      <c r="E44" s="2">
        <v>1</v>
      </c>
      <c r="F44" s="2" t="s">
        <v>174</v>
      </c>
      <c r="G44" s="2">
        <v>2</v>
      </c>
      <c r="H44" s="2">
        <v>9</v>
      </c>
      <c r="I44" s="2">
        <f>COUNTIFS($E$3:E44,E44,$H$3:H44,H44)</f>
        <v>6</v>
      </c>
    </row>
    <row r="45" spans="1:14">
      <c r="A45" s="11">
        <f t="shared" si="0"/>
        <v>70012907</v>
      </c>
      <c r="B45" s="14" t="s">
        <v>218</v>
      </c>
      <c r="D45" s="2" t="str">
        <f>E45&amp;(VLOOKUP(F45,编号表!$E$1:$G$8,2,0))&amp;G45&amp;"_"&amp;H45&amp;"_"&amp;I45</f>
        <v>1N2_9_7</v>
      </c>
      <c r="E45" s="2">
        <v>1</v>
      </c>
      <c r="F45" s="2" t="s">
        <v>174</v>
      </c>
      <c r="G45" s="2">
        <v>2</v>
      </c>
      <c r="H45" s="2">
        <v>9</v>
      </c>
      <c r="I45" s="2">
        <f>COUNTIFS($E$3:E45,E45,$H$3:H45,H45)</f>
        <v>7</v>
      </c>
    </row>
    <row r="46" spans="1:14">
      <c r="A46" s="11">
        <f t="shared" si="0"/>
        <v>70014908</v>
      </c>
      <c r="B46" s="14" t="s">
        <v>219</v>
      </c>
      <c r="D46" s="2" t="str">
        <f>E46&amp;(VLOOKUP(F46,编号表!$E$1:$G$8,2,0))&amp;G46&amp;"_"&amp;H46&amp;"_"&amp;I46</f>
        <v>1N4_9_8</v>
      </c>
      <c r="E46" s="2">
        <v>1</v>
      </c>
      <c r="F46" s="2" t="s">
        <v>174</v>
      </c>
      <c r="G46" s="2">
        <v>4</v>
      </c>
      <c r="H46" s="2">
        <v>9</v>
      </c>
      <c r="I46" s="2">
        <f>COUNTIFS($E$3:E46,E46,$H$3:H46,H46)</f>
        <v>8</v>
      </c>
      <c r="N46" s="11">
        <v>1001203</v>
      </c>
    </row>
    <row r="47" spans="1:14">
      <c r="A47" s="11">
        <f t="shared" si="0"/>
        <v>70014909</v>
      </c>
      <c r="B47" s="14" t="s">
        <v>220</v>
      </c>
      <c r="D47" s="2" t="str">
        <f>E47&amp;(VLOOKUP(F47,编号表!$E$1:$G$8,2,0))&amp;G47&amp;"_"&amp;H47&amp;"_"&amp;I47</f>
        <v>1N4_9_9</v>
      </c>
      <c r="E47" s="2">
        <v>1</v>
      </c>
      <c r="F47" s="2" t="s">
        <v>174</v>
      </c>
      <c r="G47" s="2">
        <v>4</v>
      </c>
      <c r="H47" s="2">
        <v>9</v>
      </c>
      <c r="I47" s="2">
        <f>COUNTIFS($E$3:E47,E47,$H$3:H47,H47)</f>
        <v>9</v>
      </c>
      <c r="N47" s="11">
        <v>1001403</v>
      </c>
    </row>
    <row r="48" spans="1:14">
      <c r="A48" s="11">
        <f t="shared" si="0"/>
        <v>70010001</v>
      </c>
      <c r="B48" s="18" t="s">
        <v>221</v>
      </c>
      <c r="D48" s="2" t="str">
        <f>E48&amp;(VLOOKUP(F48,编号表!$E$1:$G$8,2,0))&amp;G48&amp;"_"&amp;H48&amp;"_"&amp;I48</f>
        <v>1J0_0_1</v>
      </c>
      <c r="E48" s="2">
        <v>1</v>
      </c>
      <c r="F48" s="2" t="s">
        <v>222</v>
      </c>
      <c r="G48" s="2">
        <v>0</v>
      </c>
      <c r="H48" s="2">
        <v>0</v>
      </c>
      <c r="I48" s="2">
        <f>COUNTIFS($E$3:E48,E48,$H$3:H48,H48)</f>
        <v>1</v>
      </c>
      <c r="J48" s="2">
        <v>1</v>
      </c>
    </row>
    <row r="49" spans="1:17">
      <c r="A49" s="11">
        <f t="shared" si="0"/>
        <v>70023001</v>
      </c>
      <c r="B49" s="16" t="s">
        <v>22</v>
      </c>
      <c r="C49" s="2" t="s">
        <v>223</v>
      </c>
      <c r="D49" s="2" t="str">
        <f>E49&amp;(VLOOKUP(F49,编号表!$E$1:$G$8,2,0))&amp;G49&amp;"_"&amp;H49&amp;"_"&amp;I49</f>
        <v>2T3_0_1</v>
      </c>
      <c r="E49" s="2">
        <v>2</v>
      </c>
      <c r="F49" s="2" t="s">
        <v>190</v>
      </c>
      <c r="G49" s="2">
        <v>3</v>
      </c>
      <c r="H49" s="2">
        <v>0</v>
      </c>
      <c r="I49" s="2">
        <f>COUNTIFS($E$3:E49,E49,$H$3:H49,H49)</f>
        <v>1</v>
      </c>
      <c r="L49" s="2">
        <v>103</v>
      </c>
    </row>
    <row r="50" spans="1:17">
      <c r="A50" s="11">
        <f t="shared" si="0"/>
        <v>70021002</v>
      </c>
      <c r="B50" s="15" t="s">
        <v>224</v>
      </c>
      <c r="D50" s="2" t="str">
        <f>E50&amp;(VLOOKUP(F50,编号表!$E$1:$G$8,2,0))&amp;G50&amp;"_"&amp;H50&amp;"_"&amp;I50</f>
        <v>2T1_0_2</v>
      </c>
      <c r="E50" s="2">
        <v>2</v>
      </c>
      <c r="F50" s="2" t="s">
        <v>190</v>
      </c>
      <c r="G50" s="2">
        <v>1</v>
      </c>
      <c r="H50" s="2">
        <v>0</v>
      </c>
      <c r="I50" s="2">
        <f>COUNTIFS($E$3:E50,E50,$H$3:H50,H50)</f>
        <v>2</v>
      </c>
    </row>
    <row r="51" spans="1:17">
      <c r="A51" s="11">
        <f t="shared" si="0"/>
        <v>70023003</v>
      </c>
      <c r="B51" s="16" t="s">
        <v>37</v>
      </c>
      <c r="C51" s="2" t="s">
        <v>225</v>
      </c>
      <c r="D51" s="2" t="str">
        <f>E51&amp;(VLOOKUP(F51,编号表!$E$1:$G$8,2,0))&amp;G51&amp;"_"&amp;H51&amp;"_"&amp;I51</f>
        <v>2T3_0_3</v>
      </c>
      <c r="E51" s="2">
        <v>2</v>
      </c>
      <c r="F51" s="2" t="s">
        <v>190</v>
      </c>
      <c r="G51" s="2">
        <v>3</v>
      </c>
      <c r="H51" s="2">
        <v>0</v>
      </c>
      <c r="I51" s="2">
        <f>COUNTIFS($E$3:E51,E51,$H$3:H51,H51)</f>
        <v>3</v>
      </c>
      <c r="L51" s="2">
        <v>105</v>
      </c>
    </row>
    <row r="52" spans="1:17">
      <c r="A52" s="11">
        <f t="shared" si="0"/>
        <v>70021004</v>
      </c>
      <c r="B52" s="15" t="s">
        <v>226</v>
      </c>
      <c r="D52" s="2" t="str">
        <f>E52&amp;(VLOOKUP(F52,编号表!$E$1:$G$8,2,0))&amp;G52&amp;"_"&amp;H52&amp;"_"&amp;I52</f>
        <v>2T1_0_4</v>
      </c>
      <c r="E52" s="2">
        <v>2</v>
      </c>
      <c r="F52" s="2" t="s">
        <v>190</v>
      </c>
      <c r="G52" s="2">
        <v>1</v>
      </c>
      <c r="H52" s="2">
        <v>0</v>
      </c>
      <c r="I52" s="2">
        <f>COUNTIFS($E$3:E52,E52,$H$3:H52,H52)</f>
        <v>4</v>
      </c>
    </row>
    <row r="53" spans="1:17">
      <c r="A53" s="11">
        <f t="shared" si="0"/>
        <v>70023005</v>
      </c>
      <c r="B53" s="16" t="s">
        <v>49</v>
      </c>
      <c r="C53" s="2" t="s">
        <v>227</v>
      </c>
      <c r="D53" s="2" t="str">
        <f>E53&amp;(VLOOKUP(F53,编号表!$E$1:$G$8,2,0))&amp;G53&amp;"_"&amp;H53&amp;"_"&amp;I53</f>
        <v>2T3_0_5</v>
      </c>
      <c r="E53" s="2">
        <v>2</v>
      </c>
      <c r="F53" s="2" t="s">
        <v>190</v>
      </c>
      <c r="G53" s="2">
        <v>3</v>
      </c>
      <c r="H53" s="2">
        <v>0</v>
      </c>
      <c r="I53" s="2">
        <f>COUNTIFS($E$3:E53,E53,$H$3:H53,H53)</f>
        <v>5</v>
      </c>
      <c r="L53" s="2">
        <v>106</v>
      </c>
    </row>
    <row r="54" spans="1:17">
      <c r="A54" s="11">
        <f t="shared" si="0"/>
        <v>70021006</v>
      </c>
      <c r="B54" s="15" t="s">
        <v>228</v>
      </c>
      <c r="D54" s="2" t="str">
        <f>E54&amp;(VLOOKUP(F54,编号表!$E$1:$G$8,2,0))&amp;G54&amp;"_"&amp;H54&amp;"_"&amp;I54</f>
        <v>2T1_0_6</v>
      </c>
      <c r="E54" s="2">
        <v>2</v>
      </c>
      <c r="F54" s="2" t="s">
        <v>190</v>
      </c>
      <c r="G54" s="2">
        <v>1</v>
      </c>
      <c r="H54" s="2">
        <v>0</v>
      </c>
      <c r="I54" s="2">
        <f>COUNTIFS($E$3:E54,E54,$H$3:H54,H54)</f>
        <v>6</v>
      </c>
    </row>
    <row r="55" spans="1:17">
      <c r="A55" s="11">
        <f t="shared" si="0"/>
        <v>70023007</v>
      </c>
      <c r="B55" s="16" t="s">
        <v>31</v>
      </c>
      <c r="C55" s="2" t="s">
        <v>229</v>
      </c>
      <c r="D55" s="2" t="str">
        <f>E55&amp;(VLOOKUP(F55,编号表!$E$1:$G$8,2,0))&amp;G55&amp;"_"&amp;H55&amp;"_"&amp;I55</f>
        <v>2T3_0_7</v>
      </c>
      <c r="E55" s="2">
        <v>2</v>
      </c>
      <c r="F55" s="2" t="s">
        <v>190</v>
      </c>
      <c r="G55" s="2">
        <v>3</v>
      </c>
      <c r="H55" s="2">
        <v>0</v>
      </c>
      <c r="I55" s="2">
        <f>COUNTIFS($E$3:E55,E55,$H$3:H55,H55)</f>
        <v>7</v>
      </c>
      <c r="L55" s="2">
        <v>104</v>
      </c>
    </row>
    <row r="56" spans="1:17">
      <c r="A56" s="11">
        <f t="shared" si="0"/>
        <v>70021008</v>
      </c>
      <c r="B56" s="15" t="s">
        <v>230</v>
      </c>
      <c r="D56" s="2" t="str">
        <f>E56&amp;(VLOOKUP(F56,编号表!$E$1:$G$8,2,0))&amp;G56&amp;"_"&amp;H56&amp;"_"&amp;I56</f>
        <v>2T1_0_8</v>
      </c>
      <c r="E56" s="2">
        <v>2</v>
      </c>
      <c r="F56" s="2" t="s">
        <v>190</v>
      </c>
      <c r="G56" s="2">
        <v>1</v>
      </c>
      <c r="H56" s="2">
        <v>0</v>
      </c>
      <c r="I56" s="2">
        <f>COUNTIFS($E$3:E56,E56,$H$3:H56,H56)</f>
        <v>8</v>
      </c>
    </row>
    <row r="57" spans="1:17">
      <c r="A57" s="11">
        <f t="shared" si="0"/>
        <v>70023009</v>
      </c>
      <c r="B57" s="16" t="s">
        <v>16</v>
      </c>
      <c r="C57" s="2" t="s">
        <v>189</v>
      </c>
      <c r="D57" s="2" t="str">
        <f>E57&amp;(VLOOKUP(F57,编号表!$E$1:$G$8,2,0))&amp;G57&amp;"_"&amp;H57&amp;"_"&amp;I57</f>
        <v>2T3_0_9</v>
      </c>
      <c r="E57" s="2">
        <v>2</v>
      </c>
      <c r="F57" s="2" t="s">
        <v>190</v>
      </c>
      <c r="G57" s="2">
        <v>3</v>
      </c>
      <c r="H57" s="2">
        <v>0</v>
      </c>
      <c r="I57" s="2">
        <f>COUNTIFS($E$3:E57,E57,$H$3:H57,H57)</f>
        <v>9</v>
      </c>
      <c r="L57" s="2">
        <v>188</v>
      </c>
    </row>
    <row r="58" spans="1:17">
      <c r="A58" s="11">
        <f t="shared" si="0"/>
        <v>70021010</v>
      </c>
      <c r="B58" s="15" t="s">
        <v>191</v>
      </c>
      <c r="D58" s="2" t="str">
        <f>E58&amp;(VLOOKUP(F58,编号表!$E$1:$G$8,2,0))&amp;G58&amp;"_"&amp;H58&amp;"_"&amp;I58</f>
        <v>2T1_0_10</v>
      </c>
      <c r="E58" s="2">
        <v>2</v>
      </c>
      <c r="F58" s="2" t="s">
        <v>190</v>
      </c>
      <c r="G58" s="2">
        <v>1</v>
      </c>
      <c r="H58" s="2">
        <v>0</v>
      </c>
      <c r="I58" s="2">
        <f>COUNTIFS($E$3:E58,E58,$H$3:H58,H58)</f>
        <v>10</v>
      </c>
    </row>
    <row r="59" spans="1:17">
      <c r="A59" s="11">
        <f t="shared" ref="A59:A77" si="1">70000000+E59*10000+G59*1000+H59*100+I59</f>
        <v>70028101</v>
      </c>
      <c r="B59" s="14" t="s">
        <v>231</v>
      </c>
      <c r="D59" s="2" t="str">
        <f>E59&amp;(VLOOKUP(F59,编号表!$E$1:$G$8,2,0))&amp;G59&amp;"_"&amp;H59&amp;"_"&amp;I59</f>
        <v>2N8_1_1</v>
      </c>
      <c r="E59" s="2">
        <v>2</v>
      </c>
      <c r="F59" s="2" t="s">
        <v>174</v>
      </c>
      <c r="G59" s="2">
        <v>8</v>
      </c>
      <c r="H59" s="2">
        <v>1</v>
      </c>
      <c r="I59" s="2">
        <f>COUNTIFS($E$3:E59,E59,$H$3:H59,H59)</f>
        <v>1</v>
      </c>
      <c r="N59" s="11">
        <v>1002303</v>
      </c>
      <c r="O59" s="11">
        <v>1002304</v>
      </c>
      <c r="P59" s="11">
        <v>1002305</v>
      </c>
      <c r="Q59" s="11">
        <v>1002001</v>
      </c>
    </row>
    <row r="60" spans="1:17">
      <c r="A60" s="11">
        <f t="shared" si="1"/>
        <v>70028102</v>
      </c>
      <c r="B60" s="14" t="s">
        <v>232</v>
      </c>
      <c r="D60" s="2" t="str">
        <f>E60&amp;(VLOOKUP(F60,编号表!$E$1:$G$8,2,0))&amp;G60&amp;"_"&amp;H60&amp;"_"&amp;I60</f>
        <v>2N8_1_2</v>
      </c>
      <c r="E60" s="2">
        <v>2</v>
      </c>
      <c r="F60" s="2" t="s">
        <v>174</v>
      </c>
      <c r="G60" s="2">
        <v>8</v>
      </c>
      <c r="H60" s="2">
        <v>1</v>
      </c>
      <c r="I60" s="2">
        <f>COUNTIFS($E$3:E60,E60,$H$3:H60,H60)</f>
        <v>2</v>
      </c>
      <c r="N60" s="11">
        <v>1002303</v>
      </c>
      <c r="O60" s="11">
        <v>1002304</v>
      </c>
      <c r="P60" s="11">
        <v>1002305</v>
      </c>
      <c r="Q60" s="11">
        <v>1002101</v>
      </c>
    </row>
    <row r="61" spans="1:17">
      <c r="A61" s="11">
        <f t="shared" si="1"/>
        <v>70028103</v>
      </c>
      <c r="B61" s="14" t="s">
        <v>233</v>
      </c>
      <c r="D61" s="2" t="str">
        <f>E61&amp;(VLOOKUP(F61,编号表!$E$1:$G$8,2,0))&amp;G61&amp;"_"&amp;H61&amp;"_"&amp;I61</f>
        <v>2N8_1_3</v>
      </c>
      <c r="E61" s="2">
        <v>2</v>
      </c>
      <c r="F61" s="2" t="s">
        <v>174</v>
      </c>
      <c r="G61" s="2">
        <v>8</v>
      </c>
      <c r="H61" s="2">
        <v>1</v>
      </c>
      <c r="I61" s="2">
        <f>COUNTIFS($E$3:E61,E61,$H$3:H61,H61)</f>
        <v>3</v>
      </c>
      <c r="N61" s="11">
        <v>1002303</v>
      </c>
      <c r="O61" s="11">
        <v>1002304</v>
      </c>
      <c r="P61" s="11">
        <v>1002305</v>
      </c>
    </row>
    <row r="62" spans="1:17">
      <c r="A62" s="11">
        <f t="shared" si="1"/>
        <v>70028104</v>
      </c>
      <c r="B62" s="14" t="s">
        <v>234</v>
      </c>
      <c r="D62" s="2" t="str">
        <f>E62&amp;(VLOOKUP(F62,编号表!$E$1:$G$8,2,0))&amp;G62&amp;"_"&amp;H62&amp;"_"&amp;I62</f>
        <v>2N8_1_4</v>
      </c>
      <c r="E62" s="2">
        <v>2</v>
      </c>
      <c r="F62" s="2" t="s">
        <v>174</v>
      </c>
      <c r="G62" s="2">
        <v>8</v>
      </c>
      <c r="H62" s="2">
        <v>1</v>
      </c>
      <c r="I62" s="2">
        <f>COUNTIFS($E$3:E62,E62,$H$3:H62,H62)</f>
        <v>4</v>
      </c>
      <c r="N62" s="11">
        <v>1002304</v>
      </c>
      <c r="O62" s="11">
        <v>1002305</v>
      </c>
      <c r="P62" s="11">
        <v>1002306</v>
      </c>
    </row>
    <row r="63" spans="1:17">
      <c r="A63" s="11">
        <f t="shared" si="1"/>
        <v>70028105</v>
      </c>
      <c r="B63" s="14" t="s">
        <v>235</v>
      </c>
      <c r="D63" s="2" t="str">
        <f>E63&amp;(VLOOKUP(F63,编号表!$E$1:$G$8,2,0))&amp;G63&amp;"_"&amp;H63&amp;"_"&amp;I63</f>
        <v>2N8_1_5</v>
      </c>
      <c r="E63" s="2">
        <v>2</v>
      </c>
      <c r="F63" s="2" t="s">
        <v>174</v>
      </c>
      <c r="G63" s="2">
        <v>8</v>
      </c>
      <c r="H63" s="2">
        <v>1</v>
      </c>
      <c r="I63" s="2">
        <f>COUNTIFS($E$3:E63,E63,$H$3:H63,H63)</f>
        <v>5</v>
      </c>
      <c r="N63" s="11">
        <v>1002304</v>
      </c>
      <c r="O63" s="11">
        <v>1002305</v>
      </c>
      <c r="P63" s="11">
        <v>1002306</v>
      </c>
    </row>
    <row r="64" spans="1:17">
      <c r="A64" s="11">
        <f t="shared" si="1"/>
        <v>70028106</v>
      </c>
      <c r="B64" s="14" t="s">
        <v>236</v>
      </c>
      <c r="D64" s="2" t="str">
        <f>E64&amp;(VLOOKUP(F64,编号表!$E$1:$G$8,2,0))&amp;G64&amp;"_"&amp;H64&amp;"_"&amp;I64</f>
        <v>2N8_1_6</v>
      </c>
      <c r="E64" s="2">
        <v>2</v>
      </c>
      <c r="F64" s="2" t="s">
        <v>174</v>
      </c>
      <c r="G64" s="2">
        <v>8</v>
      </c>
      <c r="H64" s="2">
        <v>1</v>
      </c>
      <c r="I64" s="2">
        <f>COUNTIFS($E$3:E64,E64,$H$3:H64,H64)</f>
        <v>6</v>
      </c>
      <c r="N64" s="11">
        <v>1002304</v>
      </c>
      <c r="O64" s="11">
        <v>1002305</v>
      </c>
      <c r="P64" s="11">
        <v>1002306</v>
      </c>
    </row>
    <row r="65" spans="1:16">
      <c r="A65" s="11">
        <f t="shared" si="1"/>
        <v>70026107</v>
      </c>
      <c r="B65" s="14" t="s">
        <v>237</v>
      </c>
      <c r="D65" s="2" t="str">
        <f>E65&amp;(VLOOKUP(F65,编号表!$E$1:$G$8,2,0))&amp;G65&amp;"_"&amp;H65&amp;"_"&amp;I65</f>
        <v>2N6_1_7</v>
      </c>
      <c r="E65" s="2">
        <v>2</v>
      </c>
      <c r="F65" s="2" t="s">
        <v>174</v>
      </c>
      <c r="G65" s="2">
        <v>6</v>
      </c>
      <c r="H65" s="2">
        <v>1</v>
      </c>
      <c r="I65" s="2">
        <f>COUNTIFS($E$3:E65,E65,$H$3:H65,H65)</f>
        <v>7</v>
      </c>
      <c r="N65" s="11">
        <v>1002304</v>
      </c>
      <c r="O65" s="11">
        <v>1002305</v>
      </c>
      <c r="P65" s="11">
        <v>1002306</v>
      </c>
    </row>
    <row r="66" spans="1:16">
      <c r="A66" s="11">
        <f t="shared" si="1"/>
        <v>70028108</v>
      </c>
      <c r="B66" s="14" t="s">
        <v>238</v>
      </c>
      <c r="D66" s="2" t="str">
        <f>E66&amp;(VLOOKUP(F66,编号表!$E$1:$G$8,2,0))&amp;G66&amp;"_"&amp;H66&amp;"_"&amp;I66</f>
        <v>2N8_1_8</v>
      </c>
      <c r="E66" s="2">
        <v>2</v>
      </c>
      <c r="F66" s="2" t="s">
        <v>174</v>
      </c>
      <c r="G66" s="2">
        <v>8</v>
      </c>
      <c r="H66" s="2">
        <v>1</v>
      </c>
      <c r="I66" s="2">
        <f>COUNTIFS($E$3:E66,E66,$H$3:H66,H66)</f>
        <v>8</v>
      </c>
      <c r="N66" s="11">
        <v>1002304</v>
      </c>
      <c r="O66" s="11">
        <v>1002305</v>
      </c>
      <c r="P66" s="11">
        <v>1002306</v>
      </c>
    </row>
    <row r="67" spans="1:16">
      <c r="A67" s="11">
        <f t="shared" si="1"/>
        <v>70028109</v>
      </c>
      <c r="B67" s="14" t="s">
        <v>239</v>
      </c>
      <c r="D67" s="2" t="str">
        <f>E67&amp;(VLOOKUP(F67,编号表!$E$1:$G$8,2,0))&amp;G67&amp;"_"&amp;H67&amp;"_"&amp;I67</f>
        <v>2N8_1_9</v>
      </c>
      <c r="E67" s="2">
        <v>2</v>
      </c>
      <c r="F67" s="2" t="s">
        <v>174</v>
      </c>
      <c r="G67" s="2">
        <v>8</v>
      </c>
      <c r="H67" s="2">
        <v>1</v>
      </c>
      <c r="I67" s="2">
        <f>COUNTIFS($E$3:E67,E67,$H$3:H67,H67)</f>
        <v>9</v>
      </c>
      <c r="N67" s="11">
        <v>1002304</v>
      </c>
      <c r="O67" s="11">
        <v>1002305</v>
      </c>
      <c r="P67" s="11">
        <v>1002306</v>
      </c>
    </row>
    <row r="68" spans="1:16">
      <c r="A68" s="11">
        <f t="shared" si="1"/>
        <v>70028110</v>
      </c>
      <c r="B68" s="14" t="s">
        <v>240</v>
      </c>
      <c r="D68" s="2" t="str">
        <f>E68&amp;(VLOOKUP(F68,编号表!$E$1:$G$8,2,0))&amp;G68&amp;"_"&amp;H68&amp;"_"&amp;I68</f>
        <v>2N8_1_10</v>
      </c>
      <c r="E68" s="2">
        <v>2</v>
      </c>
      <c r="F68" s="2" t="s">
        <v>174</v>
      </c>
      <c r="G68" s="2">
        <v>8</v>
      </c>
      <c r="H68" s="2">
        <v>1</v>
      </c>
      <c r="I68" s="2">
        <f>COUNTIFS($E$3:E68,E68,$H$3:H68,H68)</f>
        <v>10</v>
      </c>
      <c r="N68" s="11">
        <v>1002304</v>
      </c>
      <c r="O68" s="11">
        <v>1002305</v>
      </c>
      <c r="P68" s="11">
        <v>1002306</v>
      </c>
    </row>
    <row r="69" spans="1:16">
      <c r="A69" s="11">
        <f t="shared" si="1"/>
        <v>70028111</v>
      </c>
      <c r="B69" s="14" t="s">
        <v>241</v>
      </c>
      <c r="D69" s="2" t="str">
        <f>E69&amp;(VLOOKUP(F69,编号表!$E$1:$G$8,2,0))&amp;G69&amp;"_"&amp;H69&amp;"_"&amp;I69</f>
        <v>2N8_1_11</v>
      </c>
      <c r="E69" s="2">
        <v>2</v>
      </c>
      <c r="F69" s="2" t="s">
        <v>174</v>
      </c>
      <c r="G69" s="2">
        <v>8</v>
      </c>
      <c r="H69" s="2">
        <v>1</v>
      </c>
      <c r="I69" s="2">
        <f>COUNTIFS($E$3:E69,E69,$H$3:H69,H69)</f>
        <v>11</v>
      </c>
      <c r="N69" s="11">
        <v>1002304</v>
      </c>
      <c r="O69" s="11">
        <v>1002305</v>
      </c>
      <c r="P69" s="11">
        <v>1002306</v>
      </c>
    </row>
    <row r="70" spans="1:16">
      <c r="A70" s="11">
        <f t="shared" si="1"/>
        <v>70028112</v>
      </c>
      <c r="B70" s="14" t="s">
        <v>242</v>
      </c>
      <c r="D70" s="2" t="str">
        <f>E70&amp;(VLOOKUP(F70,编号表!$E$1:$G$8,2,0))&amp;G70&amp;"_"&amp;H70&amp;"_"&amp;I70</f>
        <v>2N8_1_12</v>
      </c>
      <c r="E70" s="2">
        <v>2</v>
      </c>
      <c r="F70" s="2" t="s">
        <v>174</v>
      </c>
      <c r="G70" s="2">
        <v>8</v>
      </c>
      <c r="H70" s="2">
        <v>1</v>
      </c>
      <c r="I70" s="2">
        <f>COUNTIFS($E$3:E70,E70,$H$3:H70,H70)</f>
        <v>12</v>
      </c>
      <c r="N70" s="11">
        <v>1002304</v>
      </c>
      <c r="O70" s="11">
        <v>1002305</v>
      </c>
      <c r="P70" s="11">
        <v>1002306</v>
      </c>
    </row>
    <row r="71" spans="1:16">
      <c r="A71" s="11">
        <f t="shared" si="1"/>
        <v>70026113</v>
      </c>
      <c r="B71" s="14" t="s">
        <v>243</v>
      </c>
      <c r="D71" s="2" t="str">
        <f>E71&amp;(VLOOKUP(F71,编号表!$E$1:$G$8,2,0))&amp;G71&amp;"_"&amp;H71&amp;"_"&amp;I71</f>
        <v>2N6_1_13</v>
      </c>
      <c r="E71" s="2">
        <v>2</v>
      </c>
      <c r="F71" s="2" t="s">
        <v>174</v>
      </c>
      <c r="G71" s="2">
        <v>6</v>
      </c>
      <c r="H71" s="2">
        <v>1</v>
      </c>
      <c r="I71" s="2">
        <f>COUNTIFS($E$3:E71,E71,$H$3:H71,H71)</f>
        <v>13</v>
      </c>
      <c r="N71" s="11">
        <v>1002305</v>
      </c>
      <c r="O71" s="11">
        <v>1002306</v>
      </c>
    </row>
    <row r="72" spans="1:16">
      <c r="A72" s="11">
        <f t="shared" si="1"/>
        <v>70023114</v>
      </c>
      <c r="B72" s="14" t="s">
        <v>244</v>
      </c>
      <c r="D72" s="2" t="str">
        <f>E72&amp;(VLOOKUP(F72,编号表!$E$1:$G$8,2,0))&amp;G72&amp;"_"&amp;H72&amp;"_"&amp;I72</f>
        <v>2N3_1_14</v>
      </c>
      <c r="E72" s="2">
        <v>2</v>
      </c>
      <c r="F72" s="2" t="s">
        <v>174</v>
      </c>
      <c r="G72" s="2">
        <v>3</v>
      </c>
      <c r="H72" s="2">
        <v>1</v>
      </c>
      <c r="I72" s="2">
        <f>COUNTIFS($E$3:E72,E72,$H$3:H72,H72)</f>
        <v>14</v>
      </c>
      <c r="N72" s="11">
        <v>1002302</v>
      </c>
      <c r="O72" s="11">
        <v>1002305</v>
      </c>
      <c r="P72" s="11">
        <v>1002306</v>
      </c>
    </row>
    <row r="73" spans="1:16">
      <c r="A73" s="11">
        <f t="shared" si="1"/>
        <v>70028115</v>
      </c>
      <c r="B73" s="14" t="s">
        <v>245</v>
      </c>
      <c r="D73" s="2" t="str">
        <f>E73&amp;(VLOOKUP(F73,编号表!$E$1:$G$8,2,0))&amp;G73&amp;"_"&amp;H73&amp;"_"&amp;I73</f>
        <v>2N8_1_15</v>
      </c>
      <c r="E73" s="2">
        <v>2</v>
      </c>
      <c r="F73" s="2" t="s">
        <v>174</v>
      </c>
      <c r="G73" s="2">
        <v>8</v>
      </c>
      <c r="H73" s="2">
        <v>1</v>
      </c>
      <c r="I73" s="2">
        <f>COUNTIFS($E$3:E73,E73,$H$3:H73,H73)</f>
        <v>15</v>
      </c>
      <c r="N73" s="11">
        <v>1002302</v>
      </c>
      <c r="O73" s="11">
        <v>1002305</v>
      </c>
      <c r="P73" s="11">
        <v>1002306</v>
      </c>
    </row>
    <row r="74" spans="1:16">
      <c r="A74" s="11">
        <f t="shared" si="1"/>
        <v>70028116</v>
      </c>
      <c r="B74" s="14" t="s">
        <v>246</v>
      </c>
      <c r="D74" s="2" t="str">
        <f>E74&amp;(VLOOKUP(F74,编号表!$E$1:$G$8,2,0))&amp;G74&amp;"_"&amp;H74&amp;"_"&amp;I74</f>
        <v>2N8_1_16</v>
      </c>
      <c r="E74" s="2">
        <v>2</v>
      </c>
      <c r="F74" s="2" t="s">
        <v>174</v>
      </c>
      <c r="G74" s="2">
        <v>8</v>
      </c>
      <c r="H74" s="2">
        <v>1</v>
      </c>
      <c r="I74" s="2">
        <f>COUNTIFS($E$3:E74,E74,$H$3:H74,H74)</f>
        <v>16</v>
      </c>
      <c r="N74" s="11">
        <v>1002302</v>
      </c>
      <c r="O74" s="11">
        <v>1002303</v>
      </c>
      <c r="P74" s="11">
        <v>1002306</v>
      </c>
    </row>
    <row r="75" spans="1:16">
      <c r="A75" s="11">
        <f t="shared" si="1"/>
        <v>70028117</v>
      </c>
      <c r="B75" s="14" t="s">
        <v>247</v>
      </c>
      <c r="D75" s="2" t="str">
        <f>E75&amp;(VLOOKUP(F75,编号表!$E$1:$G$8,2,0))&amp;G75&amp;"_"&amp;H75&amp;"_"&amp;I75</f>
        <v>2N8_1_17</v>
      </c>
      <c r="E75" s="2">
        <v>2</v>
      </c>
      <c r="F75" s="2" t="s">
        <v>174</v>
      </c>
      <c r="G75" s="2">
        <v>8</v>
      </c>
      <c r="H75" s="2">
        <v>1</v>
      </c>
      <c r="I75" s="2">
        <f>COUNTIFS($E$3:E75,E75,$H$3:H75,H75)</f>
        <v>17</v>
      </c>
      <c r="N75" s="11">
        <v>1002302</v>
      </c>
      <c r="O75" s="11">
        <v>1002303</v>
      </c>
      <c r="P75" s="11">
        <v>1002306</v>
      </c>
    </row>
    <row r="76" spans="1:16">
      <c r="A76" s="11">
        <f t="shared" si="1"/>
        <v>70028118</v>
      </c>
      <c r="B76" s="14" t="s">
        <v>248</v>
      </c>
      <c r="D76" s="2" t="str">
        <f>E76&amp;(VLOOKUP(F76,编号表!$E$1:$G$8,2,0))&amp;G76&amp;"_"&amp;H76&amp;"_"&amp;I76</f>
        <v>2N8_1_18</v>
      </c>
      <c r="E76" s="2">
        <v>2</v>
      </c>
      <c r="F76" s="2" t="s">
        <v>174</v>
      </c>
      <c r="G76" s="2">
        <v>8</v>
      </c>
      <c r="H76" s="2">
        <v>1</v>
      </c>
      <c r="I76" s="2">
        <f>COUNTIFS($E$3:E76,E76,$H$3:H76,H76)</f>
        <v>18</v>
      </c>
      <c r="N76" s="11">
        <v>1002302</v>
      </c>
      <c r="O76" s="11">
        <v>1002303</v>
      </c>
      <c r="P76" s="11">
        <v>1002306</v>
      </c>
    </row>
    <row r="77" spans="1:16">
      <c r="A77" s="11">
        <f t="shared" si="1"/>
        <v>70026119</v>
      </c>
      <c r="B77" s="14" t="s">
        <v>249</v>
      </c>
      <c r="D77" s="2" t="str">
        <f>E77&amp;(VLOOKUP(F77,编号表!$E$1:$G$8,2,0))&amp;G77&amp;"_"&amp;H77&amp;"_"&amp;I77</f>
        <v>2N6_1_19</v>
      </c>
      <c r="E77" s="2">
        <v>2</v>
      </c>
      <c r="F77" s="2" t="s">
        <v>174</v>
      </c>
      <c r="G77" s="2">
        <v>6</v>
      </c>
      <c r="H77" s="2">
        <v>1</v>
      </c>
      <c r="I77" s="2">
        <f>COUNTIFS($E$3:E77,E77,$H$3:H77,H77)</f>
        <v>19</v>
      </c>
      <c r="N77" s="11">
        <v>1002302</v>
      </c>
      <c r="O77" s="11">
        <v>1002303</v>
      </c>
      <c r="P77" s="11">
        <v>1002306</v>
      </c>
    </row>
    <row r="78" spans="1:16">
      <c r="A78" s="11">
        <f t="shared" ref="A78:A141" si="2">70000000+E78*10000+G78*1000+H78*100+I78</f>
        <v>70023120</v>
      </c>
      <c r="B78" s="14" t="s">
        <v>250</v>
      </c>
      <c r="D78" s="2" t="str">
        <f>E78&amp;(VLOOKUP(F78,编号表!$E$1:$G$8,2,0))&amp;G78&amp;"_"&amp;H78&amp;"_"&amp;I78</f>
        <v>2N3_1_20</v>
      </c>
      <c r="E78" s="2">
        <v>2</v>
      </c>
      <c r="F78" s="2" t="s">
        <v>174</v>
      </c>
      <c r="G78" s="2">
        <v>3</v>
      </c>
      <c r="H78" s="2">
        <v>1</v>
      </c>
      <c r="I78" s="2">
        <f>COUNTIFS($E$3:E78,E78,$H$3:H78,H78)</f>
        <v>20</v>
      </c>
      <c r="N78" s="11">
        <v>1002302</v>
      </c>
      <c r="O78" s="11">
        <v>1002303</v>
      </c>
      <c r="P78" s="11">
        <v>1002306</v>
      </c>
    </row>
    <row r="79" spans="1:16">
      <c r="A79" s="11">
        <f t="shared" si="2"/>
        <v>70028121</v>
      </c>
      <c r="B79" s="14" t="s">
        <v>251</v>
      </c>
      <c r="D79" s="2" t="str">
        <f>E79&amp;(VLOOKUP(F79,编号表!$E$1:$G$8,2,0))&amp;G79&amp;"_"&amp;H79&amp;"_"&amp;I79</f>
        <v>2N8_1_21</v>
      </c>
      <c r="E79" s="2">
        <v>2</v>
      </c>
      <c r="F79" s="2" t="s">
        <v>174</v>
      </c>
      <c r="G79" s="2">
        <v>8</v>
      </c>
      <c r="H79" s="2">
        <v>1</v>
      </c>
      <c r="I79" s="2">
        <f>COUNTIFS($E$3:E79,E79,$H$3:H79,H79)</f>
        <v>21</v>
      </c>
      <c r="N79" s="11">
        <v>1002302</v>
      </c>
      <c r="O79" s="11">
        <v>1002303</v>
      </c>
      <c r="P79" s="11">
        <v>1002306</v>
      </c>
    </row>
    <row r="80" spans="1:16">
      <c r="A80" s="11">
        <f t="shared" si="2"/>
        <v>70028122</v>
      </c>
      <c r="B80" s="14" t="s">
        <v>252</v>
      </c>
      <c r="D80" s="2" t="str">
        <f>E80&amp;(VLOOKUP(F80,编号表!$E$1:$G$8,2,0))&amp;G80&amp;"_"&amp;H80&amp;"_"&amp;I80</f>
        <v>2N8_1_22</v>
      </c>
      <c r="E80" s="2">
        <v>2</v>
      </c>
      <c r="F80" s="2" t="s">
        <v>174</v>
      </c>
      <c r="G80" s="2">
        <v>8</v>
      </c>
      <c r="H80" s="2">
        <v>1</v>
      </c>
      <c r="I80" s="2">
        <f>COUNTIFS($E$3:E80,E80,$H$3:H80,H80)</f>
        <v>22</v>
      </c>
      <c r="N80" s="11">
        <v>1002302</v>
      </c>
      <c r="O80" s="11">
        <v>1002303</v>
      </c>
    </row>
    <row r="81" spans="1:17">
      <c r="A81" s="11">
        <f t="shared" si="2"/>
        <v>70028123</v>
      </c>
      <c r="B81" s="14" t="s">
        <v>253</v>
      </c>
      <c r="D81" s="2" t="str">
        <f>E81&amp;(VLOOKUP(F81,编号表!$E$1:$G$8,2,0))&amp;G81&amp;"_"&amp;H81&amp;"_"&amp;I81</f>
        <v>2N8_1_23</v>
      </c>
      <c r="E81" s="2">
        <v>2</v>
      </c>
      <c r="F81" s="2" t="s">
        <v>174</v>
      </c>
      <c r="G81" s="2">
        <v>8</v>
      </c>
      <c r="H81" s="2">
        <v>1</v>
      </c>
      <c r="I81" s="2">
        <f>COUNTIFS($E$3:E81,E81,$H$3:H81,H81)</f>
        <v>23</v>
      </c>
      <c r="N81" s="11">
        <v>1002302</v>
      </c>
      <c r="O81" s="11">
        <v>1002303</v>
      </c>
    </row>
    <row r="82" spans="1:17">
      <c r="A82" s="11">
        <f t="shared" si="2"/>
        <v>70026124</v>
      </c>
      <c r="B82" s="14" t="s">
        <v>254</v>
      </c>
      <c r="D82" s="2" t="str">
        <f>E82&amp;(VLOOKUP(F82,编号表!$E$1:$G$8,2,0))&amp;G82&amp;"_"&amp;H82&amp;"_"&amp;I82</f>
        <v>2N6_1_24</v>
      </c>
      <c r="E82" s="2">
        <v>2</v>
      </c>
      <c r="F82" s="2" t="s">
        <v>174</v>
      </c>
      <c r="G82" s="2">
        <v>6</v>
      </c>
      <c r="H82" s="2">
        <v>1</v>
      </c>
      <c r="I82" s="2">
        <f>COUNTIFS($E$3:E82,E82,$H$3:H82,H82)</f>
        <v>24</v>
      </c>
      <c r="N82" s="11">
        <v>1002302</v>
      </c>
      <c r="O82" s="11">
        <v>1002303</v>
      </c>
    </row>
    <row r="83" spans="1:17">
      <c r="A83" s="11">
        <f t="shared" si="2"/>
        <v>70023125</v>
      </c>
      <c r="B83" s="14" t="s">
        <v>255</v>
      </c>
      <c r="D83" s="2" t="str">
        <f>E83&amp;(VLOOKUP(F83,编号表!$E$1:$G$8,2,0))&amp;G83&amp;"_"&amp;H83&amp;"_"&amp;I83</f>
        <v>2N3_1_25</v>
      </c>
      <c r="E83" s="2">
        <v>2</v>
      </c>
      <c r="F83" s="2" t="s">
        <v>174</v>
      </c>
      <c r="G83" s="2">
        <v>3</v>
      </c>
      <c r="H83" s="2">
        <v>1</v>
      </c>
      <c r="I83" s="2">
        <f>COUNTIFS($E$3:E83,E83,$H$3:H83,H83)</f>
        <v>25</v>
      </c>
      <c r="N83" s="11">
        <v>1002302</v>
      </c>
      <c r="O83" s="11">
        <v>1002303</v>
      </c>
      <c r="P83" s="11">
        <v>1002304</v>
      </c>
    </row>
    <row r="84" spans="1:17">
      <c r="A84" s="11">
        <f t="shared" si="2"/>
        <v>70028126</v>
      </c>
      <c r="B84" s="14" t="s">
        <v>256</v>
      </c>
      <c r="D84" s="2" t="str">
        <f>E84&amp;(VLOOKUP(F84,编号表!$E$1:$G$8,2,0))&amp;G84&amp;"_"&amp;H84&amp;"_"&amp;I84</f>
        <v>2N8_1_26</v>
      </c>
      <c r="E84" s="2">
        <v>2</v>
      </c>
      <c r="F84" s="2" t="s">
        <v>174</v>
      </c>
      <c r="G84" s="2">
        <v>8</v>
      </c>
      <c r="H84" s="2">
        <v>1</v>
      </c>
      <c r="I84" s="2">
        <f>COUNTIFS($E$3:E84,E84,$H$3:H84,H84)</f>
        <v>26</v>
      </c>
      <c r="N84" s="11">
        <v>1002302</v>
      </c>
      <c r="O84" s="11">
        <v>1002303</v>
      </c>
      <c r="P84" s="11">
        <v>1002304</v>
      </c>
    </row>
    <row r="85" spans="1:17">
      <c r="A85" s="11">
        <f t="shared" si="2"/>
        <v>70028127</v>
      </c>
      <c r="B85" s="14" t="s">
        <v>257</v>
      </c>
      <c r="D85" s="2" t="str">
        <f>E85&amp;(VLOOKUP(F85,编号表!$E$1:$G$8,2,0))&amp;G85&amp;"_"&amp;H85&amp;"_"&amp;I85</f>
        <v>2N8_1_27</v>
      </c>
      <c r="E85" s="2">
        <v>2</v>
      </c>
      <c r="F85" s="2" t="s">
        <v>174</v>
      </c>
      <c r="G85" s="2">
        <v>8</v>
      </c>
      <c r="H85" s="2">
        <v>1</v>
      </c>
      <c r="I85" s="2">
        <f>COUNTIFS($E$3:E85,E85,$H$3:H85,H85)</f>
        <v>27</v>
      </c>
      <c r="N85" s="11">
        <v>1002302</v>
      </c>
      <c r="O85" s="11">
        <v>1002303</v>
      </c>
      <c r="P85" s="11">
        <v>1002304</v>
      </c>
    </row>
    <row r="86" spans="1:17">
      <c r="A86" s="11">
        <f t="shared" si="2"/>
        <v>70026128</v>
      </c>
      <c r="B86" s="14" t="s">
        <v>258</v>
      </c>
      <c r="D86" s="2" t="str">
        <f>E86&amp;(VLOOKUP(F86,编号表!$E$1:$G$8,2,0))&amp;G86&amp;"_"&amp;H86&amp;"_"&amp;I86</f>
        <v>2N6_1_28</v>
      </c>
      <c r="E86" s="2">
        <v>2</v>
      </c>
      <c r="F86" s="2" t="s">
        <v>174</v>
      </c>
      <c r="G86" s="2">
        <v>6</v>
      </c>
      <c r="H86" s="2">
        <v>1</v>
      </c>
      <c r="I86" s="2">
        <f>COUNTIFS($E$3:E86,E86,$H$3:H86,H86)</f>
        <v>28</v>
      </c>
      <c r="N86" s="11">
        <v>1002303</v>
      </c>
      <c r="O86" s="11">
        <v>1002304</v>
      </c>
      <c r="P86" s="11">
        <v>1002305</v>
      </c>
    </row>
    <row r="87" spans="1:17">
      <c r="A87" s="11">
        <f t="shared" si="2"/>
        <v>70023129</v>
      </c>
      <c r="B87" s="14" t="s">
        <v>259</v>
      </c>
      <c r="D87" s="2" t="str">
        <f>E87&amp;(VLOOKUP(F87,编号表!$E$1:$G$8,2,0))&amp;G87&amp;"_"&amp;H87&amp;"_"&amp;I87</f>
        <v>2N3_1_29</v>
      </c>
      <c r="E87" s="2">
        <v>2</v>
      </c>
      <c r="F87" s="2" t="s">
        <v>174</v>
      </c>
      <c r="G87" s="2">
        <v>3</v>
      </c>
      <c r="H87" s="2">
        <v>1</v>
      </c>
      <c r="I87" s="2">
        <f>COUNTIFS($E$3:E87,E87,$H$3:H87,H87)</f>
        <v>29</v>
      </c>
      <c r="N87" s="11">
        <v>1002303</v>
      </c>
      <c r="O87" s="11">
        <v>1002304</v>
      </c>
      <c r="P87" s="11">
        <v>1002305</v>
      </c>
    </row>
    <row r="88" spans="1:17">
      <c r="A88" s="11">
        <f t="shared" si="2"/>
        <v>70028130</v>
      </c>
      <c r="B88" s="14" t="s">
        <v>260</v>
      </c>
      <c r="D88" s="2" t="str">
        <f>E88&amp;(VLOOKUP(F88,编号表!$E$1:$G$8,2,0))&amp;G88&amp;"_"&amp;H88&amp;"_"&amp;I88</f>
        <v>2N8_1_30</v>
      </c>
      <c r="E88" s="2">
        <v>2</v>
      </c>
      <c r="F88" s="2" t="s">
        <v>174</v>
      </c>
      <c r="G88" s="2">
        <v>8</v>
      </c>
      <c r="H88" s="2">
        <v>1</v>
      </c>
      <c r="I88" s="2">
        <f>COUNTIFS($E$3:E88,E88,$H$3:H88,H88)</f>
        <v>30</v>
      </c>
      <c r="N88" s="11">
        <v>1002303</v>
      </c>
      <c r="O88" s="11">
        <v>1002304</v>
      </c>
      <c r="P88" s="11">
        <v>1002305</v>
      </c>
    </row>
    <row r="89" spans="1:17">
      <c r="A89" s="11">
        <f t="shared" si="2"/>
        <v>70026131</v>
      </c>
      <c r="B89" s="14" t="s">
        <v>261</v>
      </c>
      <c r="D89" s="2" t="str">
        <f>E89&amp;(VLOOKUP(F89,编号表!$E$1:$G$8,2,0))&amp;G89&amp;"_"&amp;H89&amp;"_"&amp;I89</f>
        <v>2N6_1_31</v>
      </c>
      <c r="E89" s="2">
        <v>2</v>
      </c>
      <c r="F89" s="2" t="s">
        <v>174</v>
      </c>
      <c r="G89" s="2">
        <v>6</v>
      </c>
      <c r="H89" s="2">
        <v>1</v>
      </c>
      <c r="I89" s="2">
        <f>COUNTIFS($E$3:E89,E89,$H$3:H89,H89)</f>
        <v>31</v>
      </c>
      <c r="N89" s="11">
        <v>1002303</v>
      </c>
      <c r="O89" s="11">
        <v>1002304</v>
      </c>
      <c r="P89" s="11">
        <v>1002305</v>
      </c>
    </row>
    <row r="90" spans="1:17">
      <c r="A90" s="11">
        <f t="shared" si="2"/>
        <v>70023132</v>
      </c>
      <c r="B90" s="14" t="s">
        <v>262</v>
      </c>
      <c r="D90" s="2" t="str">
        <f>E90&amp;(VLOOKUP(F90,编号表!$E$1:$G$8,2,0))&amp;G90&amp;"_"&amp;H90&amp;"_"&amp;I90</f>
        <v>2N3_1_32</v>
      </c>
      <c r="E90" s="2">
        <v>2</v>
      </c>
      <c r="F90" s="2" t="s">
        <v>174</v>
      </c>
      <c r="G90" s="2">
        <v>3</v>
      </c>
      <c r="H90" s="2">
        <v>1</v>
      </c>
      <c r="I90" s="2">
        <f>COUNTIFS($E$3:E90,E90,$H$3:H90,H90)</f>
        <v>32</v>
      </c>
      <c r="N90" s="11">
        <v>1002303</v>
      </c>
      <c r="O90" s="11">
        <v>1002304</v>
      </c>
      <c r="P90" s="11">
        <v>1002305</v>
      </c>
    </row>
    <row r="91" spans="1:17">
      <c r="A91" s="11">
        <f t="shared" si="2"/>
        <v>70027133</v>
      </c>
      <c r="B91" s="14" t="s">
        <v>263</v>
      </c>
      <c r="D91" s="2" t="str">
        <f>E91&amp;(VLOOKUP(F91,编号表!$E$1:$G$8,2,0))&amp;G91&amp;"_"&amp;H91&amp;"_"&amp;I91</f>
        <v>2N7_1_33</v>
      </c>
      <c r="E91" s="2">
        <v>2</v>
      </c>
      <c r="F91" s="2" t="s">
        <v>174</v>
      </c>
      <c r="G91" s="2">
        <v>7</v>
      </c>
      <c r="H91" s="2">
        <v>1</v>
      </c>
      <c r="I91" s="2">
        <f>COUNTIFS($E$3:E91,E91,$H$3:H91,H91)</f>
        <v>33</v>
      </c>
      <c r="N91" s="11">
        <v>1002303</v>
      </c>
      <c r="O91" s="11">
        <v>1002304</v>
      </c>
      <c r="P91" s="11">
        <v>1002305</v>
      </c>
    </row>
    <row r="92" spans="1:17">
      <c r="A92" s="11">
        <f t="shared" si="2"/>
        <v>70023134</v>
      </c>
      <c r="B92" s="14" t="s">
        <v>264</v>
      </c>
      <c r="D92" s="2" t="str">
        <f>E92&amp;(VLOOKUP(F92,编号表!$E$1:$G$8,2,0))&amp;G92&amp;"_"&amp;H92&amp;"_"&amp;I92</f>
        <v>2N3_1_34</v>
      </c>
      <c r="E92" s="2">
        <v>2</v>
      </c>
      <c r="F92" s="2" t="s">
        <v>174</v>
      </c>
      <c r="G92" s="2">
        <v>3</v>
      </c>
      <c r="H92" s="2">
        <v>1</v>
      </c>
      <c r="I92" s="2">
        <f>COUNTIFS($E$3:E92,E92,$H$3:H92,H92)</f>
        <v>34</v>
      </c>
      <c r="N92" s="11">
        <v>1002303</v>
      </c>
      <c r="O92" s="11">
        <v>1002304</v>
      </c>
      <c r="P92" s="11">
        <v>1002305</v>
      </c>
    </row>
    <row r="93" spans="1:17">
      <c r="A93" s="11">
        <f t="shared" si="2"/>
        <v>70024201</v>
      </c>
      <c r="B93" s="14" t="s">
        <v>265</v>
      </c>
      <c r="D93" s="2" t="str">
        <f>E93&amp;(VLOOKUP(F93,编号表!$E$1:$G$8,2,0))&amp;G93&amp;"_"&amp;H93&amp;"_"&amp;I93</f>
        <v>2N4_2_1</v>
      </c>
      <c r="E93" s="2">
        <v>2</v>
      </c>
      <c r="F93" s="2" t="s">
        <v>174</v>
      </c>
      <c r="G93" s="2">
        <v>4</v>
      </c>
      <c r="H93" s="2">
        <v>2</v>
      </c>
      <c r="I93" s="2">
        <f>COUNTIFS($E$3:E93,E93,$H$3:H93,H93)</f>
        <v>1</v>
      </c>
      <c r="N93" s="11">
        <v>1002308</v>
      </c>
      <c r="O93" s="11">
        <v>1002309</v>
      </c>
      <c r="P93" s="11">
        <v>1002311</v>
      </c>
      <c r="Q93" s="11">
        <v>1002001</v>
      </c>
    </row>
    <row r="94" spans="1:17">
      <c r="A94" s="11">
        <f t="shared" si="2"/>
        <v>70028202</v>
      </c>
      <c r="B94" s="14" t="s">
        <v>266</v>
      </c>
      <c r="D94" s="2" t="str">
        <f>E94&amp;(VLOOKUP(F94,编号表!$E$1:$G$8,2,0))&amp;G94&amp;"_"&amp;H94&amp;"_"&amp;I94</f>
        <v>2N8_2_2</v>
      </c>
      <c r="E94" s="2">
        <v>2</v>
      </c>
      <c r="F94" s="2" t="s">
        <v>174</v>
      </c>
      <c r="G94" s="2">
        <v>8</v>
      </c>
      <c r="H94" s="2">
        <v>2</v>
      </c>
      <c r="I94" s="2">
        <f>COUNTIFS($E$3:E94,E94,$H$3:H94,H94)</f>
        <v>2</v>
      </c>
      <c r="N94" s="11">
        <v>1002308</v>
      </c>
      <c r="O94" s="11">
        <v>1002309</v>
      </c>
      <c r="P94" s="11">
        <v>1002311</v>
      </c>
      <c r="Q94" s="11">
        <v>1002102</v>
      </c>
    </row>
    <row r="95" spans="1:17">
      <c r="A95" s="11">
        <f t="shared" si="2"/>
        <v>70028203</v>
      </c>
      <c r="B95" s="14" t="s">
        <v>267</v>
      </c>
      <c r="D95" s="2" t="str">
        <f>E95&amp;(VLOOKUP(F95,编号表!$E$1:$G$8,2,0))&amp;G95&amp;"_"&amp;H95&amp;"_"&amp;I95</f>
        <v>2N8_2_3</v>
      </c>
      <c r="E95" s="2">
        <v>2</v>
      </c>
      <c r="F95" s="2" t="s">
        <v>174</v>
      </c>
      <c r="G95" s="2">
        <v>8</v>
      </c>
      <c r="H95" s="2">
        <v>2</v>
      </c>
      <c r="I95" s="2">
        <f>COUNTIFS($E$3:E95,E95,$H$3:H95,H95)</f>
        <v>3</v>
      </c>
      <c r="N95" s="11">
        <v>1002308</v>
      </c>
      <c r="O95" s="11">
        <v>1002309</v>
      </c>
      <c r="P95" s="11">
        <v>1002311</v>
      </c>
    </row>
    <row r="96" spans="1:17">
      <c r="A96" s="11">
        <f t="shared" si="2"/>
        <v>70028204</v>
      </c>
      <c r="B96" s="14" t="s">
        <v>268</v>
      </c>
      <c r="D96" s="2" t="str">
        <f>E96&amp;(VLOOKUP(F96,编号表!$E$1:$G$8,2,0))&amp;G96&amp;"_"&amp;H96&amp;"_"&amp;I96</f>
        <v>2N8_2_4</v>
      </c>
      <c r="E96" s="2">
        <v>2</v>
      </c>
      <c r="F96" s="2" t="s">
        <v>174</v>
      </c>
      <c r="G96" s="2">
        <v>8</v>
      </c>
      <c r="H96" s="2">
        <v>2</v>
      </c>
      <c r="I96" s="2">
        <f>COUNTIFS($E$3:E96,E96,$H$3:H96,H96)</f>
        <v>4</v>
      </c>
      <c r="N96" s="11">
        <v>1002308</v>
      </c>
      <c r="O96" s="11">
        <v>1002309</v>
      </c>
      <c r="P96" s="11">
        <v>1002311</v>
      </c>
    </row>
    <row r="97" spans="1:16">
      <c r="A97" s="11">
        <f t="shared" si="2"/>
        <v>70028205</v>
      </c>
      <c r="B97" s="14" t="s">
        <v>269</v>
      </c>
      <c r="D97" s="2" t="str">
        <f>E97&amp;(VLOOKUP(F97,编号表!$E$1:$G$8,2,0))&amp;G97&amp;"_"&amp;H97&amp;"_"&amp;I97</f>
        <v>2N8_2_5</v>
      </c>
      <c r="E97" s="2">
        <v>2</v>
      </c>
      <c r="F97" s="2" t="s">
        <v>174</v>
      </c>
      <c r="G97" s="2">
        <v>8</v>
      </c>
      <c r="H97" s="2">
        <v>2</v>
      </c>
      <c r="I97" s="2">
        <f>COUNTIFS($E$3:E97,E97,$H$3:H97,H97)</f>
        <v>5</v>
      </c>
      <c r="N97" s="11">
        <v>1002308</v>
      </c>
      <c r="O97" s="11">
        <v>1002309</v>
      </c>
      <c r="P97" s="11">
        <v>1002311</v>
      </c>
    </row>
    <row r="98" spans="1:16">
      <c r="A98" s="11">
        <f t="shared" si="2"/>
        <v>70028206</v>
      </c>
      <c r="B98" s="14" t="s">
        <v>270</v>
      </c>
      <c r="D98" s="2" t="str">
        <f>E98&amp;(VLOOKUP(F98,编号表!$E$1:$G$8,2,0))&amp;G98&amp;"_"&amp;H98&amp;"_"&amp;I98</f>
        <v>2N8_2_6</v>
      </c>
      <c r="E98" s="2">
        <v>2</v>
      </c>
      <c r="F98" s="2" t="s">
        <v>174</v>
      </c>
      <c r="G98" s="2">
        <v>8</v>
      </c>
      <c r="H98" s="2">
        <v>2</v>
      </c>
      <c r="I98" s="2">
        <f>COUNTIFS($E$3:E98,E98,$H$3:H98,H98)</f>
        <v>6</v>
      </c>
      <c r="N98" s="11">
        <v>1002308</v>
      </c>
      <c r="O98" s="11">
        <v>1002309</v>
      </c>
      <c r="P98" s="11">
        <v>1002311</v>
      </c>
    </row>
    <row r="99" spans="1:16">
      <c r="A99" s="11">
        <f t="shared" si="2"/>
        <v>70028207</v>
      </c>
      <c r="B99" s="14" t="s">
        <v>271</v>
      </c>
      <c r="D99" s="2" t="str">
        <f>E99&amp;(VLOOKUP(F99,编号表!$E$1:$G$8,2,0))&amp;G99&amp;"_"&amp;H99&amp;"_"&amp;I99</f>
        <v>2N8_2_7</v>
      </c>
      <c r="E99" s="2">
        <v>2</v>
      </c>
      <c r="F99" s="2" t="s">
        <v>174</v>
      </c>
      <c r="G99" s="2">
        <v>8</v>
      </c>
      <c r="H99" s="2">
        <v>2</v>
      </c>
      <c r="I99" s="2">
        <f>COUNTIFS($E$3:E99,E99,$H$3:H99,H99)</f>
        <v>7</v>
      </c>
      <c r="N99" s="11">
        <v>1002308</v>
      </c>
      <c r="O99" s="11">
        <v>1002309</v>
      </c>
      <c r="P99" s="11">
        <v>1002311</v>
      </c>
    </row>
    <row r="100" spans="1:16">
      <c r="A100" s="11">
        <f t="shared" si="2"/>
        <v>70028208</v>
      </c>
      <c r="B100" s="14" t="s">
        <v>272</v>
      </c>
      <c r="D100" s="2" t="str">
        <f>E100&amp;(VLOOKUP(F100,编号表!$E$1:$G$8,2,0))&amp;G100&amp;"_"&amp;H100&amp;"_"&amp;I100</f>
        <v>2N8_2_8</v>
      </c>
      <c r="E100" s="2">
        <v>2</v>
      </c>
      <c r="F100" s="2" t="s">
        <v>174</v>
      </c>
      <c r="G100" s="2">
        <v>8</v>
      </c>
      <c r="H100" s="2">
        <v>2</v>
      </c>
      <c r="I100" s="2">
        <f>COUNTIFS($E$3:E100,E100,$H$3:H100,H100)</f>
        <v>8</v>
      </c>
      <c r="N100" s="11">
        <v>1002308</v>
      </c>
      <c r="O100" s="11">
        <v>1002309</v>
      </c>
      <c r="P100" s="11">
        <v>1002311</v>
      </c>
    </row>
    <row r="101" spans="1:16">
      <c r="A101" s="11">
        <f t="shared" si="2"/>
        <v>70024209</v>
      </c>
      <c r="B101" s="14" t="s">
        <v>273</v>
      </c>
      <c r="D101" s="2" t="str">
        <f>E101&amp;(VLOOKUP(F101,编号表!$E$1:$G$8,2,0))&amp;G101&amp;"_"&amp;H101&amp;"_"&amp;I101</f>
        <v>2N4_2_9</v>
      </c>
      <c r="E101" s="2">
        <v>2</v>
      </c>
      <c r="F101" s="2" t="s">
        <v>174</v>
      </c>
      <c r="G101" s="2">
        <v>4</v>
      </c>
      <c r="H101" s="2">
        <v>2</v>
      </c>
      <c r="I101" s="2">
        <f>COUNTIFS($E$3:E101,E101,$H$3:H101,H101)</f>
        <v>9</v>
      </c>
      <c r="N101" s="11">
        <v>1002308</v>
      </c>
      <c r="O101" s="11">
        <v>1002309</v>
      </c>
      <c r="P101" s="11">
        <v>1002311</v>
      </c>
    </row>
    <row r="102" spans="1:16">
      <c r="A102" s="11">
        <f t="shared" si="2"/>
        <v>70028210</v>
      </c>
      <c r="B102" s="14" t="s">
        <v>274</v>
      </c>
      <c r="D102" s="2" t="str">
        <f>E102&amp;(VLOOKUP(F102,编号表!$E$1:$G$8,2,0))&amp;G102&amp;"_"&amp;H102&amp;"_"&amp;I102</f>
        <v>2N8_2_10</v>
      </c>
      <c r="E102" s="2">
        <v>2</v>
      </c>
      <c r="F102" s="2" t="s">
        <v>174</v>
      </c>
      <c r="G102" s="2">
        <v>8</v>
      </c>
      <c r="H102" s="2">
        <v>2</v>
      </c>
      <c r="I102" s="2">
        <f>COUNTIFS($E$3:E102,E102,$H$3:H102,H102)</f>
        <v>10</v>
      </c>
      <c r="N102" s="11">
        <v>1002308</v>
      </c>
      <c r="O102" s="11">
        <v>1002309</v>
      </c>
      <c r="P102" s="11">
        <v>1002311</v>
      </c>
    </row>
    <row r="103" spans="1:16">
      <c r="A103" s="11">
        <f t="shared" si="2"/>
        <v>70028211</v>
      </c>
      <c r="B103" s="14" t="s">
        <v>275</v>
      </c>
      <c r="D103" s="2" t="str">
        <f>E103&amp;(VLOOKUP(F103,编号表!$E$1:$G$8,2,0))&amp;G103&amp;"_"&amp;H103&amp;"_"&amp;I103</f>
        <v>2N8_2_11</v>
      </c>
      <c r="E103" s="2">
        <v>2</v>
      </c>
      <c r="F103" s="2" t="s">
        <v>174</v>
      </c>
      <c r="G103" s="2">
        <v>8</v>
      </c>
      <c r="H103" s="2">
        <v>2</v>
      </c>
      <c r="I103" s="2">
        <f>COUNTIFS($E$3:E103,E103,$H$3:H103,H103)</f>
        <v>11</v>
      </c>
      <c r="N103" s="11">
        <v>1002308</v>
      </c>
      <c r="O103" s="11">
        <v>1002309</v>
      </c>
      <c r="P103" s="11">
        <v>1002311</v>
      </c>
    </row>
    <row r="104" spans="1:16">
      <c r="A104" s="11">
        <f t="shared" si="2"/>
        <v>70028212</v>
      </c>
      <c r="B104" s="14" t="s">
        <v>276</v>
      </c>
      <c r="D104" s="2" t="str">
        <f>E104&amp;(VLOOKUP(F104,编号表!$E$1:$G$8,2,0))&amp;G104&amp;"_"&amp;H104&amp;"_"&amp;I104</f>
        <v>2N8_2_12</v>
      </c>
      <c r="E104" s="2">
        <v>2</v>
      </c>
      <c r="F104" s="2" t="s">
        <v>174</v>
      </c>
      <c r="G104" s="2">
        <v>8</v>
      </c>
      <c r="H104" s="2">
        <v>2</v>
      </c>
      <c r="I104" s="2">
        <f>COUNTIFS($E$3:E104,E104,$H$3:H104,H104)</f>
        <v>12</v>
      </c>
      <c r="N104" s="11">
        <v>1002308</v>
      </c>
      <c r="O104" s="11">
        <v>1002309</v>
      </c>
      <c r="P104" s="11">
        <v>1002311</v>
      </c>
    </row>
    <row r="105" spans="1:16">
      <c r="A105" s="11">
        <f t="shared" si="2"/>
        <v>70028213</v>
      </c>
      <c r="B105" s="14" t="s">
        <v>277</v>
      </c>
      <c r="D105" s="2" t="str">
        <f>E105&amp;(VLOOKUP(F105,编号表!$E$1:$G$8,2,0))&amp;G105&amp;"_"&amp;H105&amp;"_"&amp;I105</f>
        <v>2N8_2_13</v>
      </c>
      <c r="E105" s="2">
        <v>2</v>
      </c>
      <c r="F105" s="2" t="s">
        <v>174</v>
      </c>
      <c r="G105" s="2">
        <v>8</v>
      </c>
      <c r="H105" s="2">
        <v>2</v>
      </c>
      <c r="I105" s="2">
        <f>COUNTIFS($E$3:E105,E105,$H$3:H105,H105)</f>
        <v>13</v>
      </c>
      <c r="N105" s="11">
        <v>1002307</v>
      </c>
      <c r="O105" s="11">
        <v>1002309</v>
      </c>
      <c r="P105" s="11">
        <v>1002310</v>
      </c>
    </row>
    <row r="106" spans="1:16">
      <c r="A106" s="11">
        <f t="shared" si="2"/>
        <v>70028214</v>
      </c>
      <c r="B106" s="14" t="s">
        <v>278</v>
      </c>
      <c r="D106" s="2" t="str">
        <f>E106&amp;(VLOOKUP(F106,编号表!$E$1:$G$8,2,0))&amp;G106&amp;"_"&amp;H106&amp;"_"&amp;I106</f>
        <v>2N8_2_14</v>
      </c>
      <c r="E106" s="2">
        <v>2</v>
      </c>
      <c r="F106" s="2" t="s">
        <v>174</v>
      </c>
      <c r="G106" s="2">
        <v>8</v>
      </c>
      <c r="H106" s="2">
        <v>2</v>
      </c>
      <c r="I106" s="2">
        <f>COUNTIFS($E$3:E106,E106,$H$3:H106,H106)</f>
        <v>14</v>
      </c>
      <c r="N106" s="11">
        <v>1002307</v>
      </c>
      <c r="O106" s="11">
        <v>1002309</v>
      </c>
      <c r="P106" s="11">
        <v>1002310</v>
      </c>
    </row>
    <row r="107" spans="1:16">
      <c r="A107" s="11">
        <f t="shared" si="2"/>
        <v>70028215</v>
      </c>
      <c r="B107" s="14" t="s">
        <v>279</v>
      </c>
      <c r="D107" s="2" t="str">
        <f>E107&amp;(VLOOKUP(F107,编号表!$E$1:$G$8,2,0))&amp;G107&amp;"_"&amp;H107&amp;"_"&amp;I107</f>
        <v>2N8_2_15</v>
      </c>
      <c r="E107" s="2">
        <v>2</v>
      </c>
      <c r="F107" s="2" t="s">
        <v>174</v>
      </c>
      <c r="G107" s="2">
        <v>8</v>
      </c>
      <c r="H107" s="2">
        <v>2</v>
      </c>
      <c r="I107" s="2">
        <f>COUNTIFS($E$3:E107,E107,$H$3:H107,H107)</f>
        <v>15</v>
      </c>
      <c r="N107" s="11">
        <v>1002307</v>
      </c>
      <c r="O107" s="11">
        <v>1002309</v>
      </c>
      <c r="P107" s="11">
        <v>1002310</v>
      </c>
    </row>
    <row r="108" spans="1:16">
      <c r="A108" s="11">
        <f t="shared" si="2"/>
        <v>70024216</v>
      </c>
      <c r="B108" s="14" t="s">
        <v>280</v>
      </c>
      <c r="D108" s="2" t="str">
        <f>E108&amp;(VLOOKUP(F108,编号表!$E$1:$G$8,2,0))&amp;G108&amp;"_"&amp;H108&amp;"_"&amp;I108</f>
        <v>2N4_2_16</v>
      </c>
      <c r="E108" s="2">
        <v>2</v>
      </c>
      <c r="F108" s="2" t="s">
        <v>174</v>
      </c>
      <c r="G108" s="2">
        <v>4</v>
      </c>
      <c r="H108" s="2">
        <v>2</v>
      </c>
      <c r="I108" s="2">
        <f>COUNTIFS($E$3:E108,E108,$H$3:H108,H108)</f>
        <v>16</v>
      </c>
      <c r="N108" s="11">
        <v>1002307</v>
      </c>
      <c r="O108" s="11">
        <v>1002309</v>
      </c>
      <c r="P108" s="11">
        <v>1002310</v>
      </c>
    </row>
    <row r="109" spans="1:16">
      <c r="A109" s="11">
        <f t="shared" si="2"/>
        <v>70028217</v>
      </c>
      <c r="B109" s="14" t="s">
        <v>281</v>
      </c>
      <c r="D109" s="2" t="str">
        <f>E109&amp;(VLOOKUP(F109,编号表!$E$1:$G$8,2,0))&amp;G109&amp;"_"&amp;H109&amp;"_"&amp;I109</f>
        <v>2N8_2_17</v>
      </c>
      <c r="E109" s="2">
        <v>2</v>
      </c>
      <c r="F109" s="2" t="s">
        <v>174</v>
      </c>
      <c r="G109" s="2">
        <v>8</v>
      </c>
      <c r="H109" s="2">
        <v>2</v>
      </c>
      <c r="I109" s="2">
        <f>COUNTIFS($E$3:E109,E109,$H$3:H109,H109)</f>
        <v>17</v>
      </c>
      <c r="N109" s="11">
        <v>1002307</v>
      </c>
      <c r="O109" s="11">
        <v>1002309</v>
      </c>
      <c r="P109" s="11">
        <v>1002310</v>
      </c>
    </row>
    <row r="110" spans="1:16">
      <c r="A110" s="11">
        <f t="shared" si="2"/>
        <v>70028218</v>
      </c>
      <c r="B110" s="14" t="s">
        <v>282</v>
      </c>
      <c r="D110" s="2" t="str">
        <f>E110&amp;(VLOOKUP(F110,编号表!$E$1:$G$8,2,0))&amp;G110&amp;"_"&amp;H110&amp;"_"&amp;I110</f>
        <v>2N8_2_18</v>
      </c>
      <c r="E110" s="2">
        <v>2</v>
      </c>
      <c r="F110" s="2" t="s">
        <v>174</v>
      </c>
      <c r="G110" s="2">
        <v>8</v>
      </c>
      <c r="H110" s="2">
        <v>2</v>
      </c>
      <c r="I110" s="2">
        <f>COUNTIFS($E$3:E110,E110,$H$3:H110,H110)</f>
        <v>18</v>
      </c>
      <c r="N110" s="11">
        <v>1002307</v>
      </c>
      <c r="O110" s="11">
        <v>1002309</v>
      </c>
      <c r="P110" s="11">
        <v>1002310</v>
      </c>
    </row>
    <row r="111" spans="1:16">
      <c r="A111" s="11">
        <f t="shared" si="2"/>
        <v>70028219</v>
      </c>
      <c r="B111" s="14" t="s">
        <v>283</v>
      </c>
      <c r="D111" s="2" t="str">
        <f>E111&amp;(VLOOKUP(F111,编号表!$E$1:$G$8,2,0))&amp;G111&amp;"_"&amp;H111&amp;"_"&amp;I111</f>
        <v>2N8_2_19</v>
      </c>
      <c r="E111" s="2">
        <v>2</v>
      </c>
      <c r="F111" s="2" t="s">
        <v>174</v>
      </c>
      <c r="G111" s="2">
        <v>8</v>
      </c>
      <c r="H111" s="2">
        <v>2</v>
      </c>
      <c r="I111" s="2">
        <f>COUNTIFS($E$3:E111,E111,$H$3:H111,H111)</f>
        <v>19</v>
      </c>
      <c r="N111" s="11">
        <v>1002307</v>
      </c>
      <c r="O111" s="11">
        <v>1002309</v>
      </c>
      <c r="P111" s="11">
        <v>1002310</v>
      </c>
    </row>
    <row r="112" spans="1:16">
      <c r="A112" s="11">
        <f t="shared" si="2"/>
        <v>70028220</v>
      </c>
      <c r="B112" s="14" t="s">
        <v>284</v>
      </c>
      <c r="D112" s="2" t="str">
        <f>E112&amp;(VLOOKUP(F112,编号表!$E$1:$G$8,2,0))&amp;G112&amp;"_"&amp;H112&amp;"_"&amp;I112</f>
        <v>2N8_2_20</v>
      </c>
      <c r="E112" s="2">
        <v>2</v>
      </c>
      <c r="F112" s="2" t="s">
        <v>174</v>
      </c>
      <c r="G112" s="2">
        <v>8</v>
      </c>
      <c r="H112" s="2">
        <v>2</v>
      </c>
      <c r="I112" s="2">
        <f>COUNTIFS($E$3:E112,E112,$H$3:H112,H112)</f>
        <v>20</v>
      </c>
      <c r="N112" s="11">
        <v>1002307</v>
      </c>
      <c r="O112" s="11">
        <v>1002309</v>
      </c>
      <c r="P112" s="11">
        <v>1002310</v>
      </c>
    </row>
    <row r="113" spans="1:17">
      <c r="A113" s="11">
        <f t="shared" si="2"/>
        <v>70028221</v>
      </c>
      <c r="B113" s="14" t="s">
        <v>285</v>
      </c>
      <c r="D113" s="2" t="str">
        <f>E113&amp;(VLOOKUP(F113,编号表!$E$1:$G$8,2,0))&amp;G113&amp;"_"&amp;H113&amp;"_"&amp;I113</f>
        <v>2N8_2_21</v>
      </c>
      <c r="E113" s="2">
        <v>2</v>
      </c>
      <c r="F113" s="2" t="s">
        <v>174</v>
      </c>
      <c r="G113" s="2">
        <v>8</v>
      </c>
      <c r="H113" s="2">
        <v>2</v>
      </c>
      <c r="I113" s="2">
        <f>COUNTIFS($E$3:E113,E113,$H$3:H113,H113)</f>
        <v>21</v>
      </c>
      <c r="N113" s="11">
        <v>1002307</v>
      </c>
      <c r="O113" s="11">
        <v>1002309</v>
      </c>
      <c r="P113" s="11">
        <v>1002310</v>
      </c>
    </row>
    <row r="114" spans="1:17">
      <c r="A114" s="11">
        <f t="shared" si="2"/>
        <v>70024222</v>
      </c>
      <c r="B114" s="14" t="s">
        <v>286</v>
      </c>
      <c r="D114" s="2" t="str">
        <f>E114&amp;(VLOOKUP(F114,编号表!$E$1:$G$8,2,0))&amp;G114&amp;"_"&amp;H114&amp;"_"&amp;I114</f>
        <v>2N4_2_22</v>
      </c>
      <c r="E114" s="2">
        <v>2</v>
      </c>
      <c r="F114" s="2" t="s">
        <v>174</v>
      </c>
      <c r="G114" s="2">
        <v>4</v>
      </c>
      <c r="H114" s="2">
        <v>2</v>
      </c>
      <c r="I114" s="2">
        <f>COUNTIFS($E$3:E114,E114,$H$3:H114,H114)</f>
        <v>22</v>
      </c>
      <c r="N114" s="11">
        <v>1002307</v>
      </c>
      <c r="O114" s="11">
        <v>1002309</v>
      </c>
      <c r="P114" s="11">
        <v>1002310</v>
      </c>
    </row>
    <row r="115" spans="1:17">
      <c r="A115" s="11">
        <f t="shared" si="2"/>
        <v>70028223</v>
      </c>
      <c r="B115" s="14" t="s">
        <v>287</v>
      </c>
      <c r="D115" s="2" t="str">
        <f>E115&amp;(VLOOKUP(F115,编号表!$E$1:$G$8,2,0))&amp;G115&amp;"_"&amp;H115&amp;"_"&amp;I115</f>
        <v>2N8_2_23</v>
      </c>
      <c r="E115" s="2">
        <v>2</v>
      </c>
      <c r="F115" s="2" t="s">
        <v>174</v>
      </c>
      <c r="G115" s="2">
        <v>8</v>
      </c>
      <c r="H115" s="2">
        <v>2</v>
      </c>
      <c r="I115" s="2">
        <f>COUNTIFS($E$3:E115,E115,$H$3:H115,H115)</f>
        <v>23</v>
      </c>
      <c r="N115" s="11">
        <v>1002307</v>
      </c>
      <c r="O115" s="11">
        <v>1002309</v>
      </c>
      <c r="P115" s="11">
        <v>1002310</v>
      </c>
    </row>
    <row r="116" spans="1:17">
      <c r="A116" s="11">
        <f t="shared" si="2"/>
        <v>70028224</v>
      </c>
      <c r="B116" s="14" t="s">
        <v>288</v>
      </c>
      <c r="D116" s="2" t="str">
        <f>E116&amp;(VLOOKUP(F116,编号表!$E$1:$G$8,2,0))&amp;G116&amp;"_"&amp;H116&amp;"_"&amp;I116</f>
        <v>2N8_2_24</v>
      </c>
      <c r="E116" s="2">
        <v>2</v>
      </c>
      <c r="F116" s="2" t="s">
        <v>174</v>
      </c>
      <c r="G116" s="2">
        <v>8</v>
      </c>
      <c r="H116" s="2">
        <v>2</v>
      </c>
      <c r="I116" s="2">
        <f>COUNTIFS($E$3:E116,E116,$H$3:H116,H116)</f>
        <v>24</v>
      </c>
      <c r="N116" s="11">
        <v>1002307</v>
      </c>
      <c r="O116" s="11">
        <v>1002310</v>
      </c>
    </row>
    <row r="117" spans="1:17">
      <c r="A117" s="11">
        <f t="shared" si="2"/>
        <v>70028225</v>
      </c>
      <c r="B117" s="14" t="s">
        <v>289</v>
      </c>
      <c r="D117" s="2" t="str">
        <f>E117&amp;(VLOOKUP(F117,编号表!$E$1:$G$8,2,0))&amp;G117&amp;"_"&amp;H117&amp;"_"&amp;I117</f>
        <v>2N8_2_25</v>
      </c>
      <c r="E117" s="2">
        <v>2</v>
      </c>
      <c r="F117" s="2" t="s">
        <v>174</v>
      </c>
      <c r="G117" s="2">
        <v>8</v>
      </c>
      <c r="H117" s="2">
        <v>2</v>
      </c>
      <c r="I117" s="2">
        <f>COUNTIFS($E$3:E117,E117,$H$3:H117,H117)</f>
        <v>25</v>
      </c>
      <c r="N117" s="11">
        <v>1002307</v>
      </c>
      <c r="O117" s="11">
        <v>1002308</v>
      </c>
      <c r="P117" s="11">
        <v>1002310</v>
      </c>
    </row>
    <row r="118" spans="1:17">
      <c r="A118" s="11">
        <f t="shared" si="2"/>
        <v>70028226</v>
      </c>
      <c r="B118" s="14" t="s">
        <v>290</v>
      </c>
      <c r="D118" s="2" t="str">
        <f>E118&amp;(VLOOKUP(F118,编号表!$E$1:$G$8,2,0))&amp;G118&amp;"_"&amp;H118&amp;"_"&amp;I118</f>
        <v>2N8_2_26</v>
      </c>
      <c r="E118" s="2">
        <v>2</v>
      </c>
      <c r="F118" s="2" t="s">
        <v>174</v>
      </c>
      <c r="G118" s="2">
        <v>8</v>
      </c>
      <c r="H118" s="2">
        <v>2</v>
      </c>
      <c r="I118" s="2">
        <f>COUNTIFS($E$3:E118,E118,$H$3:H118,H118)</f>
        <v>26</v>
      </c>
      <c r="N118" s="11">
        <v>1002307</v>
      </c>
      <c r="O118" s="11">
        <v>1002308</v>
      </c>
      <c r="P118" s="11">
        <v>1002310</v>
      </c>
    </row>
    <row r="119" spans="1:17">
      <c r="A119" s="11">
        <f t="shared" si="2"/>
        <v>70024227</v>
      </c>
      <c r="B119" s="14" t="s">
        <v>291</v>
      </c>
      <c r="D119" s="2" t="str">
        <f>E119&amp;(VLOOKUP(F119,编号表!$E$1:$G$8,2,0))&amp;G119&amp;"_"&amp;H119&amp;"_"&amp;I119</f>
        <v>2N4_2_27</v>
      </c>
      <c r="E119" s="2">
        <v>2</v>
      </c>
      <c r="F119" s="2" t="s">
        <v>174</v>
      </c>
      <c r="G119" s="2">
        <v>4</v>
      </c>
      <c r="H119" s="2">
        <v>2</v>
      </c>
      <c r="I119" s="2">
        <f>COUNTIFS($E$3:E119,E119,$H$3:H119,H119)</f>
        <v>27</v>
      </c>
      <c r="N119" s="11">
        <v>1002307</v>
      </c>
      <c r="O119" s="11">
        <v>1002308</v>
      </c>
      <c r="P119" s="11">
        <v>1002310</v>
      </c>
    </row>
    <row r="120" spans="1:17">
      <c r="A120" s="11">
        <f t="shared" si="2"/>
        <v>70028228</v>
      </c>
      <c r="B120" s="14" t="s">
        <v>292</v>
      </c>
      <c r="D120" s="2" t="str">
        <f>E120&amp;(VLOOKUP(F120,编号表!$E$1:$G$8,2,0))&amp;G120&amp;"_"&amp;H120&amp;"_"&amp;I120</f>
        <v>2N8_2_28</v>
      </c>
      <c r="E120" s="2">
        <v>2</v>
      </c>
      <c r="F120" s="2" t="s">
        <v>174</v>
      </c>
      <c r="G120" s="2">
        <v>8</v>
      </c>
      <c r="H120" s="2">
        <v>2</v>
      </c>
      <c r="I120" s="2">
        <f>COUNTIFS($E$3:E120,E120,$H$3:H120,H120)</f>
        <v>28</v>
      </c>
      <c r="N120" s="11">
        <v>1002307</v>
      </c>
      <c r="O120" s="11">
        <v>1002308</v>
      </c>
      <c r="P120" s="11">
        <v>1002310</v>
      </c>
    </row>
    <row r="121" spans="1:17">
      <c r="A121" s="11">
        <f t="shared" si="2"/>
        <v>70028229</v>
      </c>
      <c r="B121" s="14" t="s">
        <v>293</v>
      </c>
      <c r="D121" s="2" t="str">
        <f>E121&amp;(VLOOKUP(F121,编号表!$E$1:$G$8,2,0))&amp;G121&amp;"_"&amp;H121&amp;"_"&amp;I121</f>
        <v>2N8_2_29</v>
      </c>
      <c r="E121" s="2">
        <v>2</v>
      </c>
      <c r="F121" s="2" t="s">
        <v>174</v>
      </c>
      <c r="G121" s="2">
        <v>8</v>
      </c>
      <c r="H121" s="2">
        <v>2</v>
      </c>
      <c r="I121" s="2">
        <f>COUNTIFS($E$3:E121,E121,$H$3:H121,H121)</f>
        <v>29</v>
      </c>
      <c r="N121" s="11">
        <v>1002307</v>
      </c>
      <c r="O121" s="11">
        <v>1002308</v>
      </c>
      <c r="P121" s="11">
        <v>1002310</v>
      </c>
    </row>
    <row r="122" spans="1:17">
      <c r="A122" s="11">
        <f t="shared" si="2"/>
        <v>70028230</v>
      </c>
      <c r="B122" s="14" t="s">
        <v>294</v>
      </c>
      <c r="D122" s="2" t="str">
        <f>E122&amp;(VLOOKUP(F122,编号表!$E$1:$G$8,2,0))&amp;G122&amp;"_"&amp;H122&amp;"_"&amp;I122</f>
        <v>2N8_2_30</v>
      </c>
      <c r="E122" s="2">
        <v>2</v>
      </c>
      <c r="F122" s="2" t="s">
        <v>174</v>
      </c>
      <c r="G122" s="2">
        <v>8</v>
      </c>
      <c r="H122" s="2">
        <v>2</v>
      </c>
      <c r="I122" s="2">
        <f>COUNTIFS($E$3:E122,E122,$H$3:H122,H122)</f>
        <v>30</v>
      </c>
      <c r="N122" s="11">
        <v>1002307</v>
      </c>
      <c r="O122" s="11">
        <v>1002308</v>
      </c>
      <c r="P122" s="11">
        <v>1002310</v>
      </c>
    </row>
    <row r="123" spans="1:17">
      <c r="A123" s="11">
        <f t="shared" si="2"/>
        <v>70024231</v>
      </c>
      <c r="B123" s="14" t="s">
        <v>295</v>
      </c>
      <c r="D123" s="2" t="str">
        <f>E123&amp;(VLOOKUP(F123,编号表!$E$1:$G$8,2,0))&amp;G123&amp;"_"&amp;H123&amp;"_"&amp;I123</f>
        <v>2N4_2_31</v>
      </c>
      <c r="E123" s="2">
        <v>2</v>
      </c>
      <c r="F123" s="2" t="s">
        <v>174</v>
      </c>
      <c r="G123" s="2">
        <v>4</v>
      </c>
      <c r="H123" s="2">
        <v>2</v>
      </c>
      <c r="I123" s="2">
        <f>COUNTIFS($E$3:E123,E123,$H$3:H123,H123)</f>
        <v>31</v>
      </c>
      <c r="N123" s="11">
        <v>1002307</v>
      </c>
      <c r="O123" s="11">
        <v>1002308</v>
      </c>
      <c r="P123" s="11">
        <v>1002310</v>
      </c>
    </row>
    <row r="124" spans="1:17">
      <c r="A124" s="11">
        <f t="shared" si="2"/>
        <v>70028232</v>
      </c>
      <c r="B124" s="14" t="s">
        <v>296</v>
      </c>
      <c r="D124" s="2" t="str">
        <f>E124&amp;(VLOOKUP(F124,编号表!$E$1:$G$8,2,0))&amp;G124&amp;"_"&amp;H124&amp;"_"&amp;I124</f>
        <v>2N8_2_32</v>
      </c>
      <c r="E124" s="2">
        <v>2</v>
      </c>
      <c r="F124" s="2" t="s">
        <v>174</v>
      </c>
      <c r="G124" s="2">
        <v>8</v>
      </c>
      <c r="H124" s="2">
        <v>2</v>
      </c>
      <c r="I124" s="2">
        <f>COUNTIFS($E$3:E124,E124,$H$3:H124,H124)</f>
        <v>32</v>
      </c>
      <c r="N124" s="11">
        <v>1002308</v>
      </c>
      <c r="O124" s="11">
        <v>1002310</v>
      </c>
    </row>
    <row r="125" spans="1:17">
      <c r="A125" s="11">
        <f t="shared" si="2"/>
        <v>70028233</v>
      </c>
      <c r="B125" s="14" t="s">
        <v>297</v>
      </c>
      <c r="D125" s="2" t="str">
        <f>E125&amp;(VLOOKUP(F125,编号表!$E$1:$G$8,2,0))&amp;G125&amp;"_"&amp;H125&amp;"_"&amp;I125</f>
        <v>2N8_2_33</v>
      </c>
      <c r="E125" s="2">
        <v>2</v>
      </c>
      <c r="F125" s="2" t="s">
        <v>174</v>
      </c>
      <c r="G125" s="2">
        <v>8</v>
      </c>
      <c r="H125" s="2">
        <v>2</v>
      </c>
      <c r="I125" s="2">
        <f>COUNTIFS($E$3:E125,E125,$H$3:H125,H125)</f>
        <v>33</v>
      </c>
      <c r="N125" s="11">
        <v>1002308</v>
      </c>
      <c r="O125" s="11">
        <v>1002310</v>
      </c>
    </row>
    <row r="126" spans="1:17">
      <c r="A126" s="11">
        <f t="shared" si="2"/>
        <v>70024234</v>
      </c>
      <c r="B126" s="14" t="s">
        <v>298</v>
      </c>
      <c r="D126" s="2" t="str">
        <f>E126&amp;(VLOOKUP(F126,编号表!$E$1:$G$8,2,0))&amp;G126&amp;"_"&amp;H126&amp;"_"&amp;I126</f>
        <v>2N4_2_34</v>
      </c>
      <c r="E126" s="2">
        <v>2</v>
      </c>
      <c r="F126" s="2" t="s">
        <v>174</v>
      </c>
      <c r="G126" s="2">
        <v>4</v>
      </c>
      <c r="H126" s="2">
        <v>2</v>
      </c>
      <c r="I126" s="2">
        <f>COUNTIFS($E$3:E126,E126,$H$3:H126,H126)</f>
        <v>34</v>
      </c>
      <c r="N126" s="11">
        <v>1002308</v>
      </c>
      <c r="O126" s="11">
        <v>1002310</v>
      </c>
    </row>
    <row r="127" spans="1:17">
      <c r="A127" s="11">
        <f t="shared" si="2"/>
        <v>70028235</v>
      </c>
      <c r="B127" s="14" t="s">
        <v>299</v>
      </c>
      <c r="D127" s="2" t="str">
        <f>E127&amp;(VLOOKUP(F127,编号表!$E$1:$G$8,2,0))&amp;G127&amp;"_"&amp;H127&amp;"_"&amp;I127</f>
        <v>2N8_2_35</v>
      </c>
      <c r="E127" s="2">
        <v>2</v>
      </c>
      <c r="F127" s="2" t="s">
        <v>174</v>
      </c>
      <c r="G127" s="2">
        <v>8</v>
      </c>
      <c r="H127" s="2">
        <v>2</v>
      </c>
      <c r="I127" s="2">
        <f>COUNTIFS($E$3:E127,E127,$H$3:H127,H127)</f>
        <v>35</v>
      </c>
      <c r="N127" s="11">
        <v>1002308</v>
      </c>
      <c r="O127" s="11">
        <v>1002310</v>
      </c>
    </row>
    <row r="128" spans="1:17">
      <c r="A128" s="11">
        <f t="shared" si="2"/>
        <v>70026301</v>
      </c>
      <c r="B128" s="14" t="s">
        <v>300</v>
      </c>
      <c r="D128" s="2" t="str">
        <f>E128&amp;(VLOOKUP(F128,编号表!$E$1:$G$8,2,0))&amp;G128&amp;"_"&amp;H128&amp;"_"&amp;I128</f>
        <v>2N6_3_1</v>
      </c>
      <c r="E128" s="2">
        <v>2</v>
      </c>
      <c r="F128" s="2" t="s">
        <v>174</v>
      </c>
      <c r="G128" s="2">
        <v>6</v>
      </c>
      <c r="H128" s="2">
        <v>3</v>
      </c>
      <c r="I128" s="2">
        <f>COUNTIFS($E$3:E128,E128,$H$3:H128,H128)</f>
        <v>1</v>
      </c>
      <c r="N128" s="11">
        <v>1002313</v>
      </c>
      <c r="O128" s="11">
        <v>1002314</v>
      </c>
      <c r="P128" s="11">
        <v>1002316</v>
      </c>
      <c r="Q128" s="19">
        <v>1002001</v>
      </c>
    </row>
    <row r="129" spans="1:17">
      <c r="A129" s="11">
        <f t="shared" si="2"/>
        <v>70023302</v>
      </c>
      <c r="B129" s="14" t="s">
        <v>301</v>
      </c>
      <c r="D129" s="2" t="str">
        <f>E129&amp;(VLOOKUP(F129,编号表!$E$1:$G$8,2,0))&amp;G129&amp;"_"&amp;H129&amp;"_"&amp;I129</f>
        <v>2N3_3_2</v>
      </c>
      <c r="E129" s="2">
        <v>2</v>
      </c>
      <c r="F129" s="2" t="s">
        <v>174</v>
      </c>
      <c r="G129" s="2">
        <v>3</v>
      </c>
      <c r="H129" s="2">
        <v>3</v>
      </c>
      <c r="I129" s="2">
        <f>COUNTIFS($E$3:E129,E129,$H$3:H129,H129)</f>
        <v>2</v>
      </c>
      <c r="N129" s="11">
        <v>1002313</v>
      </c>
      <c r="O129" s="11">
        <v>1002314</v>
      </c>
      <c r="P129" s="11">
        <v>1002316</v>
      </c>
      <c r="Q129" s="20">
        <v>1002103</v>
      </c>
    </row>
    <row r="130" spans="1:17">
      <c r="A130" s="11">
        <f t="shared" si="2"/>
        <v>70028303</v>
      </c>
      <c r="B130" s="14" t="s">
        <v>302</v>
      </c>
      <c r="D130" s="2" t="str">
        <f>E130&amp;(VLOOKUP(F130,编号表!$E$1:$G$8,2,0))&amp;G130&amp;"_"&amp;H130&amp;"_"&amp;I130</f>
        <v>2N8_3_3</v>
      </c>
      <c r="E130" s="2">
        <v>2</v>
      </c>
      <c r="F130" s="2" t="s">
        <v>174</v>
      </c>
      <c r="G130" s="2">
        <v>8</v>
      </c>
      <c r="H130" s="2">
        <v>3</v>
      </c>
      <c r="I130" s="2">
        <f>COUNTIFS($E$3:E130,E130,$H$3:H130,H130)</f>
        <v>3</v>
      </c>
      <c r="N130" s="11">
        <v>1002313</v>
      </c>
      <c r="O130" s="11">
        <v>1002314</v>
      </c>
      <c r="P130" s="11">
        <v>1002316</v>
      </c>
    </row>
    <row r="131" spans="1:17">
      <c r="A131" s="11">
        <f t="shared" si="2"/>
        <v>70026304</v>
      </c>
      <c r="B131" s="14" t="s">
        <v>303</v>
      </c>
      <c r="D131" s="2" t="str">
        <f>E131&amp;(VLOOKUP(F131,编号表!$E$1:$G$8,2,0))&amp;G131&amp;"_"&amp;H131&amp;"_"&amp;I131</f>
        <v>2N6_3_4</v>
      </c>
      <c r="E131" s="2">
        <v>2</v>
      </c>
      <c r="F131" s="2" t="s">
        <v>174</v>
      </c>
      <c r="G131" s="2">
        <v>6</v>
      </c>
      <c r="H131" s="2">
        <v>3</v>
      </c>
      <c r="I131" s="2">
        <f>COUNTIFS($E$3:E131,E131,$H$3:H131,H131)</f>
        <v>4</v>
      </c>
      <c r="N131" s="11">
        <v>1002313</v>
      </c>
      <c r="O131" s="11">
        <v>1002314</v>
      </c>
      <c r="P131" s="11">
        <v>1002316</v>
      </c>
    </row>
    <row r="132" spans="1:17">
      <c r="A132" s="11">
        <f t="shared" si="2"/>
        <v>70023305</v>
      </c>
      <c r="B132" s="14" t="s">
        <v>304</v>
      </c>
      <c r="D132" s="2" t="str">
        <f>E132&amp;(VLOOKUP(F132,编号表!$E$1:$G$8,2,0))&amp;G132&amp;"_"&amp;H132&amp;"_"&amp;I132</f>
        <v>2N3_3_5</v>
      </c>
      <c r="E132" s="2">
        <v>2</v>
      </c>
      <c r="F132" s="2" t="s">
        <v>174</v>
      </c>
      <c r="G132" s="2">
        <v>3</v>
      </c>
      <c r="H132" s="2">
        <v>3</v>
      </c>
      <c r="I132" s="2">
        <f>COUNTIFS($E$3:E132,E132,$H$3:H132,H132)</f>
        <v>5</v>
      </c>
      <c r="N132" s="11">
        <v>1002313</v>
      </c>
      <c r="O132" s="11">
        <v>1002314</v>
      </c>
      <c r="P132" s="11">
        <v>1002316</v>
      </c>
    </row>
    <row r="133" spans="1:17">
      <c r="A133" s="11">
        <f t="shared" si="2"/>
        <v>70028306</v>
      </c>
      <c r="B133" s="14" t="s">
        <v>305</v>
      </c>
      <c r="D133" s="2" t="str">
        <f>E133&amp;(VLOOKUP(F133,编号表!$E$1:$G$8,2,0))&amp;G133&amp;"_"&amp;H133&amp;"_"&amp;I133</f>
        <v>2N8_3_6</v>
      </c>
      <c r="E133" s="2">
        <v>2</v>
      </c>
      <c r="F133" s="2" t="s">
        <v>174</v>
      </c>
      <c r="G133" s="2">
        <v>8</v>
      </c>
      <c r="H133" s="2">
        <v>3</v>
      </c>
      <c r="I133" s="2">
        <f>COUNTIFS($E$3:E133,E133,$H$3:H133,H133)</f>
        <v>6</v>
      </c>
      <c r="K133" s="11"/>
      <c r="N133" s="11">
        <v>1002313</v>
      </c>
      <c r="O133" s="11">
        <v>1002314</v>
      </c>
      <c r="P133" s="11">
        <v>1002316</v>
      </c>
    </row>
    <row r="134" spans="1:17">
      <c r="A134" s="11">
        <f t="shared" si="2"/>
        <v>70028307</v>
      </c>
      <c r="B134" s="14" t="s">
        <v>306</v>
      </c>
      <c r="D134" s="2" t="str">
        <f>E134&amp;(VLOOKUP(F134,编号表!$E$1:$G$8,2,0))&amp;G134&amp;"_"&amp;H134&amp;"_"&amp;I134</f>
        <v>2N8_3_7</v>
      </c>
      <c r="E134" s="2">
        <v>2</v>
      </c>
      <c r="F134" s="2" t="s">
        <v>174</v>
      </c>
      <c r="G134" s="2">
        <v>8</v>
      </c>
      <c r="H134" s="2">
        <v>3</v>
      </c>
      <c r="I134" s="2">
        <f>COUNTIFS($E$3:E134,E134,$H$3:H134,H134)</f>
        <v>7</v>
      </c>
      <c r="K134" s="11"/>
      <c r="N134" s="11">
        <v>1002313</v>
      </c>
      <c r="O134" s="11">
        <v>1002314</v>
      </c>
      <c r="P134" s="11">
        <v>1002316</v>
      </c>
    </row>
    <row r="135" spans="1:17">
      <c r="A135" s="11">
        <f t="shared" si="2"/>
        <v>70026308</v>
      </c>
      <c r="B135" s="14" t="s">
        <v>307</v>
      </c>
      <c r="D135" s="2" t="str">
        <f>E135&amp;(VLOOKUP(F135,编号表!$E$1:$G$8,2,0))&amp;G135&amp;"_"&amp;H135&amp;"_"&amp;I135</f>
        <v>2N6_3_8</v>
      </c>
      <c r="E135" s="2">
        <v>2</v>
      </c>
      <c r="F135" s="2" t="s">
        <v>174</v>
      </c>
      <c r="G135" s="2">
        <v>6</v>
      </c>
      <c r="H135" s="2">
        <v>3</v>
      </c>
      <c r="I135" s="2">
        <f>COUNTIFS($E$3:E135,E135,$H$3:H135,H135)</f>
        <v>8</v>
      </c>
      <c r="K135" s="11"/>
      <c r="N135" s="11">
        <v>1002313</v>
      </c>
      <c r="O135" s="11">
        <v>1002314</v>
      </c>
      <c r="P135" s="11">
        <v>1002316</v>
      </c>
    </row>
    <row r="136" spans="1:17">
      <c r="A136" s="11">
        <f t="shared" si="2"/>
        <v>70023309</v>
      </c>
      <c r="B136" s="14" t="s">
        <v>308</v>
      </c>
      <c r="D136" s="2" t="str">
        <f>E136&amp;(VLOOKUP(F136,编号表!$E$1:$G$8,2,0))&amp;G136&amp;"_"&amp;H136&amp;"_"&amp;I136</f>
        <v>2N3_3_9</v>
      </c>
      <c r="E136" s="2">
        <v>2</v>
      </c>
      <c r="F136" s="2" t="s">
        <v>174</v>
      </c>
      <c r="G136" s="2">
        <v>3</v>
      </c>
      <c r="H136" s="2">
        <v>3</v>
      </c>
      <c r="I136" s="2">
        <f>COUNTIFS($E$3:E136,E136,$H$3:H136,H136)</f>
        <v>9</v>
      </c>
      <c r="N136" s="11">
        <v>1002314</v>
      </c>
      <c r="O136" s="11">
        <v>1002316</v>
      </c>
    </row>
    <row r="137" spans="1:17">
      <c r="A137" s="11">
        <f t="shared" si="2"/>
        <v>70028310</v>
      </c>
      <c r="B137" s="14" t="s">
        <v>309</v>
      </c>
      <c r="D137" s="2" t="str">
        <f>E137&amp;(VLOOKUP(F137,编号表!$E$1:$G$8,2,0))&amp;G137&amp;"_"&amp;H137&amp;"_"&amp;I137</f>
        <v>2N8_3_10</v>
      </c>
      <c r="E137" s="2">
        <v>2</v>
      </c>
      <c r="F137" s="2" t="s">
        <v>174</v>
      </c>
      <c r="G137" s="2">
        <v>8</v>
      </c>
      <c r="H137" s="2">
        <v>3</v>
      </c>
      <c r="I137" s="2">
        <f>COUNTIFS($E$3:E137,E137,$H$3:H137,H137)</f>
        <v>10</v>
      </c>
      <c r="N137" s="11">
        <v>1002314</v>
      </c>
      <c r="O137" s="11">
        <v>1002316</v>
      </c>
    </row>
    <row r="138" spans="1:17">
      <c r="A138" s="11">
        <f t="shared" si="2"/>
        <v>70028311</v>
      </c>
      <c r="B138" s="14" t="s">
        <v>310</v>
      </c>
      <c r="D138" s="2" t="str">
        <f>E138&amp;(VLOOKUP(F138,编号表!$E$1:$G$8,2,0))&amp;G138&amp;"_"&amp;H138&amp;"_"&amp;I138</f>
        <v>2N8_3_11</v>
      </c>
      <c r="E138" s="2">
        <v>2</v>
      </c>
      <c r="F138" s="2" t="s">
        <v>174</v>
      </c>
      <c r="G138" s="2">
        <v>8</v>
      </c>
      <c r="H138" s="2">
        <v>3</v>
      </c>
      <c r="I138" s="2">
        <f>COUNTIFS($E$3:E138,E138,$H$3:H138,H138)</f>
        <v>11</v>
      </c>
      <c r="N138" s="11">
        <v>1002314</v>
      </c>
      <c r="O138" s="11">
        <v>1002316</v>
      </c>
    </row>
    <row r="139" spans="1:17">
      <c r="A139" s="11">
        <f t="shared" si="2"/>
        <v>70028312</v>
      </c>
      <c r="B139" s="14" t="s">
        <v>311</v>
      </c>
      <c r="D139" s="2" t="str">
        <f>E139&amp;(VLOOKUP(F139,编号表!$E$1:$G$8,2,0))&amp;G139&amp;"_"&amp;H139&amp;"_"&amp;I139</f>
        <v>2N8_3_12</v>
      </c>
      <c r="E139" s="2">
        <v>2</v>
      </c>
      <c r="F139" s="2" t="s">
        <v>174</v>
      </c>
      <c r="G139" s="2">
        <v>8</v>
      </c>
      <c r="H139" s="2">
        <v>3</v>
      </c>
      <c r="I139" s="2">
        <f>COUNTIFS($E$3:E139,E139,$H$3:H139,H139)</f>
        <v>12</v>
      </c>
      <c r="N139" s="11">
        <v>1002314</v>
      </c>
      <c r="O139" s="11">
        <v>1002316</v>
      </c>
    </row>
    <row r="140" spans="1:17">
      <c r="A140" s="11">
        <f t="shared" si="2"/>
        <v>70026313</v>
      </c>
      <c r="B140" s="14" t="s">
        <v>312</v>
      </c>
      <c r="D140" s="2" t="str">
        <f>E140&amp;(VLOOKUP(F140,编号表!$E$1:$G$8,2,0))&amp;G140&amp;"_"&amp;H140&amp;"_"&amp;I140</f>
        <v>2N6_3_13</v>
      </c>
      <c r="E140" s="2">
        <v>2</v>
      </c>
      <c r="F140" s="2" t="s">
        <v>174</v>
      </c>
      <c r="G140" s="2">
        <v>6</v>
      </c>
      <c r="H140" s="2">
        <v>3</v>
      </c>
      <c r="I140" s="2">
        <f>COUNTIFS($E$3:E140,E140,$H$3:H140,H140)</f>
        <v>13</v>
      </c>
      <c r="N140" s="11">
        <v>1002314</v>
      </c>
      <c r="O140" s="11">
        <v>1002316</v>
      </c>
    </row>
    <row r="141" spans="1:17">
      <c r="A141" s="11">
        <f t="shared" si="2"/>
        <v>70023314</v>
      </c>
      <c r="B141" s="14" t="s">
        <v>313</v>
      </c>
      <c r="D141" s="2" t="str">
        <f>E141&amp;(VLOOKUP(F141,编号表!$E$1:$G$8,2,0))&amp;G141&amp;"_"&amp;H141&amp;"_"&amp;I141</f>
        <v>2N3_3_14</v>
      </c>
      <c r="E141" s="2">
        <v>2</v>
      </c>
      <c r="F141" s="2" t="s">
        <v>174</v>
      </c>
      <c r="G141" s="2">
        <v>3</v>
      </c>
      <c r="H141" s="2">
        <v>3</v>
      </c>
      <c r="I141" s="2">
        <f>COUNTIFS($E$3:E141,E141,$H$3:H141,H141)</f>
        <v>14</v>
      </c>
      <c r="N141" s="11">
        <v>1002314</v>
      </c>
      <c r="O141" s="11">
        <v>1002316</v>
      </c>
    </row>
    <row r="142" spans="1:17">
      <c r="A142" s="11">
        <f t="shared" ref="A142:A205" si="3">70000000+E142*10000+G142*1000+H142*100+I142</f>
        <v>70028315</v>
      </c>
      <c r="B142" s="14" t="s">
        <v>314</v>
      </c>
      <c r="D142" s="2" t="str">
        <f>E142&amp;(VLOOKUP(F142,编号表!$E$1:$G$8,2,0))&amp;G142&amp;"_"&amp;H142&amp;"_"&amp;I142</f>
        <v>2N8_3_15</v>
      </c>
      <c r="E142" s="2">
        <v>2</v>
      </c>
      <c r="F142" s="2" t="s">
        <v>174</v>
      </c>
      <c r="G142" s="2">
        <v>8</v>
      </c>
      <c r="H142" s="2">
        <v>3</v>
      </c>
      <c r="I142" s="2">
        <f>COUNTIFS($E$3:E142,E142,$H$3:H142,H142)</f>
        <v>15</v>
      </c>
      <c r="N142" s="11">
        <v>1002314</v>
      </c>
      <c r="O142" s="11">
        <v>1002316</v>
      </c>
    </row>
    <row r="143" spans="1:17">
      <c r="A143" s="11">
        <f t="shared" si="3"/>
        <v>70028316</v>
      </c>
      <c r="B143" s="14" t="s">
        <v>315</v>
      </c>
      <c r="D143" s="2" t="str">
        <f>E143&amp;(VLOOKUP(F143,编号表!$E$1:$G$8,2,0))&amp;G143&amp;"_"&amp;H143&amp;"_"&amp;I143</f>
        <v>2N8_3_16</v>
      </c>
      <c r="E143" s="2">
        <v>2</v>
      </c>
      <c r="F143" s="2" t="s">
        <v>174</v>
      </c>
      <c r="G143" s="2">
        <v>8</v>
      </c>
      <c r="H143" s="2">
        <v>3</v>
      </c>
      <c r="I143" s="2">
        <f>COUNTIFS($E$3:E143,E143,$H$3:H143,H143)</f>
        <v>16</v>
      </c>
      <c r="N143" s="11">
        <v>1002316</v>
      </c>
    </row>
    <row r="144" spans="1:17">
      <c r="A144" s="11">
        <f t="shared" si="3"/>
        <v>70028317</v>
      </c>
      <c r="B144" s="14" t="s">
        <v>316</v>
      </c>
      <c r="D144" s="2" t="str">
        <f>E144&amp;(VLOOKUP(F144,编号表!$E$1:$G$8,2,0))&amp;G144&amp;"_"&amp;H144&amp;"_"&amp;I144</f>
        <v>2N8_3_17</v>
      </c>
      <c r="E144" s="2">
        <v>2</v>
      </c>
      <c r="F144" s="2" t="s">
        <v>174</v>
      </c>
      <c r="G144" s="2">
        <v>8</v>
      </c>
      <c r="H144" s="2">
        <v>3</v>
      </c>
      <c r="I144" s="2">
        <f>COUNTIFS($E$3:E144,E144,$H$3:H144,H144)</f>
        <v>17</v>
      </c>
      <c r="N144" s="11">
        <v>1002316</v>
      </c>
    </row>
    <row r="145" spans="1:16">
      <c r="A145" s="11">
        <f t="shared" si="3"/>
        <v>70028318</v>
      </c>
      <c r="B145" s="14" t="s">
        <v>317</v>
      </c>
      <c r="D145" s="2" t="str">
        <f>E145&amp;(VLOOKUP(F145,编号表!$E$1:$G$8,2,0))&amp;G145&amp;"_"&amp;H145&amp;"_"&amp;I145</f>
        <v>2N8_3_18</v>
      </c>
      <c r="E145" s="2">
        <v>2</v>
      </c>
      <c r="F145" s="2" t="s">
        <v>174</v>
      </c>
      <c r="G145" s="2">
        <v>8</v>
      </c>
      <c r="H145" s="2">
        <v>3</v>
      </c>
      <c r="I145" s="2">
        <f>COUNTIFS($E$3:E145,E145,$H$3:H145,H145)</f>
        <v>18</v>
      </c>
      <c r="N145" s="11">
        <v>1002316</v>
      </c>
    </row>
    <row r="146" spans="1:16">
      <c r="A146" s="11">
        <f t="shared" si="3"/>
        <v>70026319</v>
      </c>
      <c r="B146" s="14" t="s">
        <v>318</v>
      </c>
      <c r="D146" s="2" t="str">
        <f>E146&amp;(VLOOKUP(F146,编号表!$E$1:$G$8,2,0))&amp;G146&amp;"_"&amp;H146&amp;"_"&amp;I146</f>
        <v>2N6_3_19</v>
      </c>
      <c r="E146" s="2">
        <v>2</v>
      </c>
      <c r="F146" s="2" t="s">
        <v>174</v>
      </c>
      <c r="G146" s="2">
        <v>6</v>
      </c>
      <c r="H146" s="2">
        <v>3</v>
      </c>
      <c r="I146" s="2">
        <f>COUNTIFS($E$3:E146,E146,$H$3:H146,H146)</f>
        <v>19</v>
      </c>
      <c r="N146" s="11">
        <v>1002316</v>
      </c>
    </row>
    <row r="147" spans="1:16">
      <c r="A147" s="11">
        <f t="shared" si="3"/>
        <v>70023320</v>
      </c>
      <c r="B147" s="14" t="s">
        <v>319</v>
      </c>
      <c r="D147" s="2" t="str">
        <f>E147&amp;(VLOOKUP(F147,编号表!$E$1:$G$8,2,0))&amp;G147&amp;"_"&amp;H147&amp;"_"&amp;I147</f>
        <v>2N3_3_20</v>
      </c>
      <c r="E147" s="2">
        <v>2</v>
      </c>
      <c r="F147" s="2" t="s">
        <v>174</v>
      </c>
      <c r="G147" s="2">
        <v>3</v>
      </c>
      <c r="H147" s="2">
        <v>3</v>
      </c>
      <c r="I147" s="2">
        <f>COUNTIFS($E$3:E147,E147,$H$3:H147,H147)</f>
        <v>20</v>
      </c>
      <c r="N147" s="11">
        <v>1002316</v>
      </c>
    </row>
    <row r="148" spans="1:16">
      <c r="A148" s="11">
        <f t="shared" si="3"/>
        <v>70028321</v>
      </c>
      <c r="B148" s="14" t="s">
        <v>320</v>
      </c>
      <c r="D148" s="2" t="str">
        <f>E148&amp;(VLOOKUP(F148,编号表!$E$1:$G$8,2,0))&amp;G148&amp;"_"&amp;H148&amp;"_"&amp;I148</f>
        <v>2N8_3_21</v>
      </c>
      <c r="E148" s="2">
        <v>2</v>
      </c>
      <c r="F148" s="2" t="s">
        <v>174</v>
      </c>
      <c r="G148" s="2">
        <v>8</v>
      </c>
      <c r="H148" s="2">
        <v>3</v>
      </c>
      <c r="I148" s="2">
        <f>COUNTIFS($E$3:E148,E148,$H$3:H148,H148)</f>
        <v>21</v>
      </c>
      <c r="N148" s="11">
        <v>1002316</v>
      </c>
    </row>
    <row r="149" spans="1:16">
      <c r="A149" s="11">
        <f t="shared" si="3"/>
        <v>70028322</v>
      </c>
      <c r="B149" s="14" t="s">
        <v>321</v>
      </c>
      <c r="D149" s="2" t="str">
        <f>E149&amp;(VLOOKUP(F149,编号表!$E$1:$G$8,2,0))&amp;G149&amp;"_"&amp;H149&amp;"_"&amp;I149</f>
        <v>2N8_3_22</v>
      </c>
      <c r="E149" s="2">
        <v>2</v>
      </c>
      <c r="F149" s="2" t="s">
        <v>174</v>
      </c>
      <c r="G149" s="2">
        <v>8</v>
      </c>
      <c r="H149" s="2">
        <v>3</v>
      </c>
      <c r="I149" s="2">
        <f>COUNTIFS($E$3:E149,E149,$H$3:H149,H149)</f>
        <v>22</v>
      </c>
      <c r="N149" s="11">
        <v>1002316</v>
      </c>
    </row>
    <row r="150" spans="1:16">
      <c r="A150" s="11">
        <f t="shared" si="3"/>
        <v>70028323</v>
      </c>
      <c r="B150" s="14" t="s">
        <v>322</v>
      </c>
      <c r="D150" s="2" t="str">
        <f>E150&amp;(VLOOKUP(F150,编号表!$E$1:$G$8,2,0))&amp;G150&amp;"_"&amp;H150&amp;"_"&amp;I150</f>
        <v>2N8_3_23</v>
      </c>
      <c r="E150" s="2">
        <v>2</v>
      </c>
      <c r="F150" s="2" t="s">
        <v>174</v>
      </c>
      <c r="G150" s="2">
        <v>8</v>
      </c>
      <c r="H150" s="2">
        <v>3</v>
      </c>
      <c r="I150" s="2">
        <f>COUNTIFS($E$3:E150,E150,$H$3:H150,H150)</f>
        <v>23</v>
      </c>
      <c r="N150" s="11">
        <v>1002316</v>
      </c>
    </row>
    <row r="151" spans="1:16">
      <c r="A151" s="11">
        <f t="shared" si="3"/>
        <v>70028324</v>
      </c>
      <c r="B151" s="14" t="s">
        <v>323</v>
      </c>
      <c r="D151" s="2" t="str">
        <f>E151&amp;(VLOOKUP(F151,编号表!$E$1:$G$8,2,0))&amp;G151&amp;"_"&amp;H151&amp;"_"&amp;I151</f>
        <v>2N8_3_24</v>
      </c>
      <c r="E151" s="2">
        <v>2</v>
      </c>
      <c r="F151" s="2" t="s">
        <v>174</v>
      </c>
      <c r="G151" s="2">
        <v>8</v>
      </c>
      <c r="H151" s="2">
        <v>3</v>
      </c>
      <c r="I151" s="2">
        <f>COUNTIFS($E$3:E151,E151,$H$3:H151,H151)</f>
        <v>24</v>
      </c>
      <c r="N151" s="11">
        <v>1002312</v>
      </c>
    </row>
    <row r="152" spans="1:16">
      <c r="A152" s="11">
        <f t="shared" si="3"/>
        <v>70028325</v>
      </c>
      <c r="B152" s="14" t="s">
        <v>324</v>
      </c>
      <c r="D152" s="2" t="str">
        <f>E152&amp;(VLOOKUP(F152,编号表!$E$1:$G$8,2,0))&amp;G152&amp;"_"&amp;H152&amp;"_"&amp;I152</f>
        <v>2N8_3_25</v>
      </c>
      <c r="E152" s="2">
        <v>2</v>
      </c>
      <c r="F152" s="2" t="s">
        <v>174</v>
      </c>
      <c r="G152" s="2">
        <v>8</v>
      </c>
      <c r="H152" s="2">
        <v>3</v>
      </c>
      <c r="I152" s="2">
        <f>COUNTIFS($E$3:E152,E152,$H$3:H152,H152)</f>
        <v>25</v>
      </c>
      <c r="N152" s="11">
        <v>1002312</v>
      </c>
      <c r="O152" s="11">
        <v>1002315</v>
      </c>
    </row>
    <row r="153" spans="1:16">
      <c r="A153" s="11">
        <f t="shared" si="3"/>
        <v>70026326</v>
      </c>
      <c r="B153" s="14" t="s">
        <v>325</v>
      </c>
      <c r="D153" s="2" t="str">
        <f>E153&amp;(VLOOKUP(F153,编号表!$E$1:$G$8,2,0))&amp;G153&amp;"_"&amp;H153&amp;"_"&amp;I153</f>
        <v>2N6_3_26</v>
      </c>
      <c r="E153" s="2">
        <v>2</v>
      </c>
      <c r="F153" s="2" t="s">
        <v>174</v>
      </c>
      <c r="G153" s="2">
        <v>6</v>
      </c>
      <c r="H153" s="2">
        <v>3</v>
      </c>
      <c r="I153" s="2">
        <f>COUNTIFS($E$3:E153,E153,$H$3:H153,H153)</f>
        <v>26</v>
      </c>
      <c r="N153" s="11">
        <v>1002312</v>
      </c>
      <c r="O153" s="11">
        <v>1002315</v>
      </c>
    </row>
    <row r="154" spans="1:16">
      <c r="A154" s="11">
        <f t="shared" si="3"/>
        <v>70023327</v>
      </c>
      <c r="B154" s="14" t="s">
        <v>326</v>
      </c>
      <c r="D154" s="2" t="str">
        <f>E154&amp;(VLOOKUP(F154,编号表!$E$1:$G$8,2,0))&amp;G154&amp;"_"&amp;H154&amp;"_"&amp;I154</f>
        <v>2N3_3_27</v>
      </c>
      <c r="E154" s="2">
        <v>2</v>
      </c>
      <c r="F154" s="2" t="s">
        <v>174</v>
      </c>
      <c r="G154" s="2">
        <v>3</v>
      </c>
      <c r="H154" s="2">
        <v>3</v>
      </c>
      <c r="I154" s="2">
        <f>COUNTIFS($E$3:E154,E154,$H$3:H154,H154)</f>
        <v>27</v>
      </c>
      <c r="N154" s="11">
        <v>1002312</v>
      </c>
      <c r="O154" s="11">
        <v>1002315</v>
      </c>
    </row>
    <row r="155" spans="1:16">
      <c r="A155" s="11">
        <f t="shared" si="3"/>
        <v>70028328</v>
      </c>
      <c r="B155" s="14" t="s">
        <v>327</v>
      </c>
      <c r="D155" s="2" t="str">
        <f>E155&amp;(VLOOKUP(F155,编号表!$E$1:$G$8,2,0))&amp;G155&amp;"_"&amp;H155&amp;"_"&amp;I155</f>
        <v>2N8_3_28</v>
      </c>
      <c r="E155" s="2">
        <v>2</v>
      </c>
      <c r="F155" s="2" t="s">
        <v>174</v>
      </c>
      <c r="G155" s="2">
        <v>8</v>
      </c>
      <c r="H155" s="2">
        <v>3</v>
      </c>
      <c r="I155" s="2">
        <f>COUNTIFS($E$3:E155,E155,$H$3:H155,H155)</f>
        <v>28</v>
      </c>
      <c r="N155" s="11">
        <v>1002312</v>
      </c>
      <c r="O155" s="11">
        <v>1002315</v>
      </c>
    </row>
    <row r="156" spans="1:16">
      <c r="A156" s="11">
        <f t="shared" si="3"/>
        <v>70028329</v>
      </c>
      <c r="B156" s="14" t="s">
        <v>328</v>
      </c>
      <c r="D156" s="2" t="str">
        <f>E156&amp;(VLOOKUP(F156,编号表!$E$1:$G$8,2,0))&amp;G156&amp;"_"&amp;H156&amp;"_"&amp;I156</f>
        <v>2N8_3_29</v>
      </c>
      <c r="E156" s="2">
        <v>2</v>
      </c>
      <c r="F156" s="2" t="s">
        <v>174</v>
      </c>
      <c r="G156" s="2">
        <v>8</v>
      </c>
      <c r="H156" s="2">
        <v>3</v>
      </c>
      <c r="I156" s="2">
        <f>COUNTIFS($E$3:E156,E156,$H$3:H156,H156)</f>
        <v>29</v>
      </c>
      <c r="N156" s="11">
        <v>1002312</v>
      </c>
      <c r="O156" s="11">
        <v>1002315</v>
      </c>
    </row>
    <row r="157" spans="1:16">
      <c r="A157" s="11">
        <f t="shared" si="3"/>
        <v>70028330</v>
      </c>
      <c r="B157" s="14" t="s">
        <v>329</v>
      </c>
      <c r="D157" s="2" t="str">
        <f>E157&amp;(VLOOKUP(F157,编号表!$E$1:$G$8,2,0))&amp;G157&amp;"_"&amp;H157&amp;"_"&amp;I157</f>
        <v>2N8_3_30</v>
      </c>
      <c r="E157" s="2">
        <v>2</v>
      </c>
      <c r="F157" s="2" t="s">
        <v>174</v>
      </c>
      <c r="G157" s="2">
        <v>8</v>
      </c>
      <c r="H157" s="2">
        <v>3</v>
      </c>
      <c r="I157" s="2">
        <f>COUNTIFS($E$3:E157,E157,$H$3:H157,H157)</f>
        <v>30</v>
      </c>
      <c r="N157" s="11">
        <v>1002312</v>
      </c>
      <c r="O157" s="11">
        <v>1002315</v>
      </c>
    </row>
    <row r="158" spans="1:16">
      <c r="A158" s="11">
        <f t="shared" si="3"/>
        <v>70028331</v>
      </c>
      <c r="B158" s="14" t="s">
        <v>330</v>
      </c>
      <c r="D158" s="2" t="str">
        <f>E158&amp;(VLOOKUP(F158,编号表!$E$1:$G$8,2,0))&amp;G158&amp;"_"&amp;H158&amp;"_"&amp;I158</f>
        <v>2N8_3_31</v>
      </c>
      <c r="E158" s="2">
        <v>2</v>
      </c>
      <c r="F158" s="2" t="s">
        <v>174</v>
      </c>
      <c r="G158" s="2">
        <v>8</v>
      </c>
      <c r="H158" s="2">
        <v>3</v>
      </c>
      <c r="I158" s="2">
        <f>COUNTIFS($E$3:E158,E158,$H$3:H158,H158)</f>
        <v>31</v>
      </c>
      <c r="N158" s="11">
        <v>1002312</v>
      </c>
      <c r="O158" s="11">
        <v>1002315</v>
      </c>
    </row>
    <row r="159" spans="1:16">
      <c r="A159" s="11">
        <f t="shared" si="3"/>
        <v>70028332</v>
      </c>
      <c r="B159" s="14" t="s">
        <v>331</v>
      </c>
      <c r="D159" s="2" t="str">
        <f>E159&amp;(VLOOKUP(F159,编号表!$E$1:$G$8,2,0))&amp;G159&amp;"_"&amp;H159&amp;"_"&amp;I159</f>
        <v>2N8_3_32</v>
      </c>
      <c r="E159" s="2">
        <v>2</v>
      </c>
      <c r="F159" s="2" t="s">
        <v>174</v>
      </c>
      <c r="G159" s="2">
        <v>8</v>
      </c>
      <c r="H159" s="2">
        <v>3</v>
      </c>
      <c r="I159" s="2">
        <f>COUNTIFS($E$3:E159,E159,$H$3:H159,H159)</f>
        <v>32</v>
      </c>
      <c r="N159" s="11">
        <v>1002312</v>
      </c>
      <c r="O159" s="11">
        <v>1002313</v>
      </c>
      <c r="P159" s="11">
        <v>1002315</v>
      </c>
    </row>
    <row r="160" spans="1:16">
      <c r="A160" s="11">
        <f t="shared" si="3"/>
        <v>70028333</v>
      </c>
      <c r="B160" s="14" t="s">
        <v>332</v>
      </c>
      <c r="D160" s="2" t="str">
        <f>E160&amp;(VLOOKUP(F160,编号表!$E$1:$G$8,2,0))&amp;G160&amp;"_"&amp;H160&amp;"_"&amp;I160</f>
        <v>2N8_3_33</v>
      </c>
      <c r="E160" s="2">
        <v>2</v>
      </c>
      <c r="F160" s="2" t="s">
        <v>174</v>
      </c>
      <c r="G160" s="2">
        <v>8</v>
      </c>
      <c r="H160" s="2">
        <v>3</v>
      </c>
      <c r="I160" s="2">
        <f>COUNTIFS($E$3:E160,E160,$H$3:H160,H160)</f>
        <v>33</v>
      </c>
      <c r="N160" s="11">
        <v>1002312</v>
      </c>
      <c r="O160" s="11">
        <v>1002313</v>
      </c>
      <c r="P160" s="11">
        <v>1002315</v>
      </c>
    </row>
    <row r="161" spans="1:17">
      <c r="A161" s="11">
        <f t="shared" si="3"/>
        <v>70026334</v>
      </c>
      <c r="B161" s="14" t="s">
        <v>333</v>
      </c>
      <c r="D161" s="2" t="str">
        <f>E161&amp;(VLOOKUP(F161,编号表!$E$1:$G$8,2,0))&amp;G161&amp;"_"&amp;H161&amp;"_"&amp;I161</f>
        <v>2N6_3_34</v>
      </c>
      <c r="E161" s="2">
        <v>2</v>
      </c>
      <c r="F161" s="2" t="s">
        <v>174</v>
      </c>
      <c r="G161" s="2">
        <v>6</v>
      </c>
      <c r="H161" s="2">
        <v>3</v>
      </c>
      <c r="I161" s="2">
        <f>COUNTIFS($E$3:E161,E161,$H$3:H161,H161)</f>
        <v>34</v>
      </c>
      <c r="N161" s="11">
        <v>1002312</v>
      </c>
      <c r="O161" s="11">
        <v>1002313</v>
      </c>
      <c r="P161" s="11">
        <v>1002315</v>
      </c>
    </row>
    <row r="162" spans="1:17">
      <c r="A162" s="11">
        <f t="shared" si="3"/>
        <v>70023335</v>
      </c>
      <c r="B162" s="14" t="s">
        <v>334</v>
      </c>
      <c r="D162" s="2" t="str">
        <f>E162&amp;(VLOOKUP(F162,编号表!$E$1:$G$8,2,0))&amp;G162&amp;"_"&amp;H162&amp;"_"&amp;I162</f>
        <v>2N3_3_35</v>
      </c>
      <c r="E162" s="2">
        <v>2</v>
      </c>
      <c r="F162" s="2" t="s">
        <v>174</v>
      </c>
      <c r="G162" s="2">
        <v>3</v>
      </c>
      <c r="H162" s="2">
        <v>3</v>
      </c>
      <c r="I162" s="2">
        <f>COUNTIFS($E$3:E162,E162,$H$3:H162,H162)</f>
        <v>35</v>
      </c>
      <c r="N162" s="11">
        <v>1002312</v>
      </c>
      <c r="O162" s="11">
        <v>1002313</v>
      </c>
      <c r="P162" s="11">
        <v>1002315</v>
      </c>
    </row>
    <row r="163" spans="1:17">
      <c r="A163" s="11">
        <f t="shared" si="3"/>
        <v>70028336</v>
      </c>
      <c r="B163" s="14" t="s">
        <v>335</v>
      </c>
      <c r="D163" s="2" t="str">
        <f>E163&amp;(VLOOKUP(F163,编号表!$E$1:$G$8,2,0))&amp;G163&amp;"_"&amp;H163&amp;"_"&amp;I163</f>
        <v>2N8_3_36</v>
      </c>
      <c r="E163" s="2">
        <v>2</v>
      </c>
      <c r="F163" s="2" t="s">
        <v>174</v>
      </c>
      <c r="G163" s="2">
        <v>8</v>
      </c>
      <c r="H163" s="2">
        <v>3</v>
      </c>
      <c r="I163" s="2">
        <f>COUNTIFS($E$3:E163,E163,$H$3:H163,H163)</f>
        <v>36</v>
      </c>
      <c r="N163" s="11">
        <v>1002312</v>
      </c>
      <c r="O163" s="11">
        <v>1002313</v>
      </c>
      <c r="P163" s="11">
        <v>1002315</v>
      </c>
    </row>
    <row r="164" spans="1:17">
      <c r="A164" s="11">
        <f t="shared" si="3"/>
        <v>70028337</v>
      </c>
      <c r="B164" s="14" t="s">
        <v>336</v>
      </c>
      <c r="D164" s="2" t="str">
        <f>E164&amp;(VLOOKUP(F164,编号表!$E$1:$G$8,2,0))&amp;G164&amp;"_"&amp;H164&amp;"_"&amp;I164</f>
        <v>2N8_3_37</v>
      </c>
      <c r="E164" s="2">
        <v>2</v>
      </c>
      <c r="F164" s="2" t="s">
        <v>174</v>
      </c>
      <c r="G164" s="2">
        <v>8</v>
      </c>
      <c r="H164" s="2">
        <v>3</v>
      </c>
      <c r="I164" s="2">
        <f>COUNTIFS($E$3:E164,E164,$H$3:H164,H164)</f>
        <v>37</v>
      </c>
      <c r="N164" s="11">
        <v>1002312</v>
      </c>
      <c r="O164" s="11">
        <v>1002313</v>
      </c>
      <c r="P164" s="11">
        <v>1002315</v>
      </c>
    </row>
    <row r="165" spans="1:17">
      <c r="A165" s="11">
        <f t="shared" si="3"/>
        <v>70028338</v>
      </c>
      <c r="B165" s="14" t="s">
        <v>337</v>
      </c>
      <c r="D165" s="2" t="str">
        <f>E165&amp;(VLOOKUP(F165,编号表!$E$1:$G$8,2,0))&amp;G165&amp;"_"&amp;H165&amp;"_"&amp;I165</f>
        <v>2N8_3_38</v>
      </c>
      <c r="E165" s="2">
        <v>2</v>
      </c>
      <c r="F165" s="2" t="s">
        <v>174</v>
      </c>
      <c r="G165" s="2">
        <v>8</v>
      </c>
      <c r="H165" s="2">
        <v>3</v>
      </c>
      <c r="I165" s="2">
        <f>COUNTIFS($E$3:E165,E165,$H$3:H165,H165)</f>
        <v>38</v>
      </c>
      <c r="N165" s="11">
        <v>1002312</v>
      </c>
      <c r="O165" s="11">
        <v>1002313</v>
      </c>
      <c r="P165" s="11">
        <v>1002315</v>
      </c>
    </row>
    <row r="166" spans="1:17">
      <c r="A166" s="11">
        <f t="shared" si="3"/>
        <v>70028339</v>
      </c>
      <c r="B166" s="14" t="s">
        <v>338</v>
      </c>
      <c r="D166" s="2" t="str">
        <f>E166&amp;(VLOOKUP(F166,编号表!$E$1:$G$8,2,0))&amp;G166&amp;"_"&amp;H166&amp;"_"&amp;I166</f>
        <v>2N8_3_39</v>
      </c>
      <c r="E166" s="2">
        <v>2</v>
      </c>
      <c r="F166" s="2" t="s">
        <v>174</v>
      </c>
      <c r="G166" s="2">
        <v>8</v>
      </c>
      <c r="H166" s="2">
        <v>3</v>
      </c>
      <c r="I166" s="2">
        <f>COUNTIFS($E$3:E166,E166,$H$3:H166,H166)</f>
        <v>39</v>
      </c>
      <c r="N166" s="11">
        <v>1002312</v>
      </c>
      <c r="O166" s="11">
        <v>1002313</v>
      </c>
      <c r="P166" s="11">
        <v>1002314</v>
      </c>
      <c r="Q166" s="11">
        <v>1002315</v>
      </c>
    </row>
    <row r="167" spans="1:17">
      <c r="A167" s="11">
        <f t="shared" si="3"/>
        <v>70028340</v>
      </c>
      <c r="B167" s="14" t="s">
        <v>339</v>
      </c>
      <c r="D167" s="2" t="str">
        <f>E167&amp;(VLOOKUP(F167,编号表!$E$1:$G$8,2,0))&amp;G167&amp;"_"&amp;H167&amp;"_"&amp;I167</f>
        <v>2N8_3_40</v>
      </c>
      <c r="E167" s="2">
        <v>2</v>
      </c>
      <c r="F167" s="2" t="s">
        <v>174</v>
      </c>
      <c r="G167" s="2">
        <v>8</v>
      </c>
      <c r="H167" s="2">
        <v>3</v>
      </c>
      <c r="I167" s="2">
        <f>COUNTIFS($E$3:E167,E167,$H$3:H167,H167)</f>
        <v>40</v>
      </c>
      <c r="N167" s="11">
        <v>1002312</v>
      </c>
      <c r="O167" s="11">
        <v>1002313</v>
      </c>
      <c r="P167" s="11">
        <v>1002314</v>
      </c>
      <c r="Q167" s="11">
        <v>1002315</v>
      </c>
    </row>
    <row r="168" spans="1:17">
      <c r="A168" s="11">
        <f t="shared" si="3"/>
        <v>70028341</v>
      </c>
      <c r="B168" s="14" t="s">
        <v>340</v>
      </c>
      <c r="D168" s="2" t="str">
        <f>E168&amp;(VLOOKUP(F168,编号表!$E$1:$G$8,2,0))&amp;G168&amp;"_"&amp;H168&amp;"_"&amp;I168</f>
        <v>2N8_3_41</v>
      </c>
      <c r="E168" s="2">
        <v>2</v>
      </c>
      <c r="F168" s="2" t="s">
        <v>174</v>
      </c>
      <c r="G168" s="2">
        <v>8</v>
      </c>
      <c r="H168" s="2">
        <v>3</v>
      </c>
      <c r="I168" s="2">
        <f>COUNTIFS($E$3:E168,E168,$H$3:H168,H168)</f>
        <v>41</v>
      </c>
      <c r="N168" s="11">
        <v>1002312</v>
      </c>
      <c r="O168" s="11">
        <v>1002313</v>
      </c>
      <c r="P168" s="11">
        <v>1002314</v>
      </c>
      <c r="Q168" s="11">
        <v>1002315</v>
      </c>
    </row>
    <row r="169" spans="1:17">
      <c r="A169" s="11">
        <f t="shared" si="3"/>
        <v>70028342</v>
      </c>
      <c r="B169" s="14" t="s">
        <v>341</v>
      </c>
      <c r="D169" s="2" t="str">
        <f>E169&amp;(VLOOKUP(F169,编号表!$E$1:$G$8,2,0))&amp;G169&amp;"_"&amp;H169&amp;"_"&amp;I169</f>
        <v>2N8_3_42</v>
      </c>
      <c r="E169" s="2">
        <v>2</v>
      </c>
      <c r="F169" s="2" t="s">
        <v>174</v>
      </c>
      <c r="G169" s="2">
        <v>8</v>
      </c>
      <c r="H169" s="2">
        <v>3</v>
      </c>
      <c r="I169" s="2">
        <f>COUNTIFS($E$3:E169,E169,$H$3:H169,H169)</f>
        <v>42</v>
      </c>
      <c r="N169" s="11">
        <v>1002312</v>
      </c>
      <c r="O169" s="11">
        <v>1002313</v>
      </c>
      <c r="P169" s="11">
        <v>1002314</v>
      </c>
      <c r="Q169" s="11">
        <v>1002315</v>
      </c>
    </row>
    <row r="170" spans="1:17">
      <c r="A170" s="11">
        <f t="shared" si="3"/>
        <v>70028343</v>
      </c>
      <c r="B170" s="14" t="s">
        <v>342</v>
      </c>
      <c r="D170" s="2" t="str">
        <f>E170&amp;(VLOOKUP(F170,编号表!$E$1:$G$8,2,0))&amp;G170&amp;"_"&amp;H170&amp;"_"&amp;I170</f>
        <v>2N8_3_43</v>
      </c>
      <c r="E170" s="2">
        <v>2</v>
      </c>
      <c r="F170" s="2" t="s">
        <v>174</v>
      </c>
      <c r="G170" s="2">
        <v>8</v>
      </c>
      <c r="H170" s="2">
        <v>3</v>
      </c>
      <c r="I170" s="2">
        <f>COUNTIFS($E$3:E170,E170,$H$3:H170,H170)</f>
        <v>43</v>
      </c>
      <c r="N170" s="11">
        <v>1002312</v>
      </c>
      <c r="O170" s="11">
        <v>1002313</v>
      </c>
      <c r="P170" s="11">
        <v>1002314</v>
      </c>
      <c r="Q170" s="11">
        <v>1002315</v>
      </c>
    </row>
    <row r="171" spans="1:17">
      <c r="A171" s="11">
        <f t="shared" si="3"/>
        <v>70027401</v>
      </c>
      <c r="B171" s="14" t="s">
        <v>343</v>
      </c>
      <c r="D171" s="2" t="str">
        <f>E171&amp;(VLOOKUP(F171,编号表!$E$1:$G$8,2,0))&amp;G171&amp;"_"&amp;H171&amp;"_"&amp;I171</f>
        <v>2N7_4_1</v>
      </c>
      <c r="E171" s="2">
        <v>2</v>
      </c>
      <c r="F171" s="2" t="s">
        <v>174</v>
      </c>
      <c r="G171" s="2">
        <v>7</v>
      </c>
      <c r="H171" s="2">
        <v>4</v>
      </c>
      <c r="I171" s="2">
        <f>COUNTIFS($E$3:E171,E171,$H$3:H171,H171)</f>
        <v>1</v>
      </c>
      <c r="N171" s="11">
        <v>1002318</v>
      </c>
      <c r="O171" s="11">
        <v>1002320</v>
      </c>
      <c r="P171" s="19">
        <v>1002001</v>
      </c>
    </row>
    <row r="172" spans="1:17">
      <c r="A172" s="11">
        <f t="shared" si="3"/>
        <v>70023402</v>
      </c>
      <c r="B172" s="14" t="s">
        <v>344</v>
      </c>
      <c r="D172" s="2" t="str">
        <f>E172&amp;(VLOOKUP(F172,编号表!$E$1:$G$8,2,0))&amp;G172&amp;"_"&amp;H172&amp;"_"&amp;I172</f>
        <v>2N3_4_2</v>
      </c>
      <c r="E172" s="2">
        <v>2</v>
      </c>
      <c r="F172" s="2" t="s">
        <v>174</v>
      </c>
      <c r="G172" s="2">
        <v>3</v>
      </c>
      <c r="H172" s="2">
        <v>4</v>
      </c>
      <c r="I172" s="2">
        <f>COUNTIFS($E$3:E172,E172,$H$3:H172,H172)</f>
        <v>2</v>
      </c>
      <c r="N172" s="11">
        <v>1002318</v>
      </c>
      <c r="O172" s="11">
        <v>1002320</v>
      </c>
      <c r="P172" s="11">
        <v>1002104</v>
      </c>
    </row>
    <row r="173" spans="1:17">
      <c r="A173" s="11">
        <f t="shared" si="3"/>
        <v>70028403</v>
      </c>
      <c r="B173" s="14" t="s">
        <v>345</v>
      </c>
      <c r="D173" s="2" t="str">
        <f>E173&amp;(VLOOKUP(F173,编号表!$E$1:$G$8,2,0))&amp;G173&amp;"_"&amp;H173&amp;"_"&amp;I173</f>
        <v>2N8_4_3</v>
      </c>
      <c r="E173" s="2">
        <v>2</v>
      </c>
      <c r="F173" s="2" t="s">
        <v>174</v>
      </c>
      <c r="G173" s="2">
        <v>8</v>
      </c>
      <c r="H173" s="2">
        <v>4</v>
      </c>
      <c r="I173" s="2">
        <f>COUNTIFS($E$3:E173,E173,$H$3:H173,H173)</f>
        <v>3</v>
      </c>
      <c r="N173" s="11">
        <v>1002318</v>
      </c>
      <c r="O173" s="11">
        <v>1002320</v>
      </c>
      <c r="P173" s="11">
        <v>1002105</v>
      </c>
    </row>
    <row r="174" spans="1:17">
      <c r="A174" s="11">
        <f t="shared" si="3"/>
        <v>70026404</v>
      </c>
      <c r="B174" s="14" t="s">
        <v>346</v>
      </c>
      <c r="D174" s="2" t="str">
        <f>E174&amp;(VLOOKUP(F174,编号表!$E$1:$G$8,2,0))&amp;G174&amp;"_"&amp;H174&amp;"_"&amp;I174</f>
        <v>2N6_4_4</v>
      </c>
      <c r="E174" s="2">
        <v>2</v>
      </c>
      <c r="F174" s="2" t="s">
        <v>174</v>
      </c>
      <c r="G174" s="2">
        <v>6</v>
      </c>
      <c r="H174" s="2">
        <v>4</v>
      </c>
      <c r="I174" s="2">
        <f>COUNTIFS($E$3:E174,E174,$H$3:H174,H174)</f>
        <v>4</v>
      </c>
      <c r="N174" s="11">
        <v>1002318</v>
      </c>
      <c r="O174" s="11">
        <v>1002320</v>
      </c>
    </row>
    <row r="175" spans="1:17">
      <c r="A175" s="11">
        <f t="shared" si="3"/>
        <v>70023405</v>
      </c>
      <c r="B175" s="14" t="s">
        <v>347</v>
      </c>
      <c r="D175" s="2" t="str">
        <f>E175&amp;(VLOOKUP(F175,编号表!$E$1:$G$8,2,0))&amp;G175&amp;"_"&amp;H175&amp;"_"&amp;I175</f>
        <v>2N3_4_5</v>
      </c>
      <c r="E175" s="2">
        <v>2</v>
      </c>
      <c r="F175" s="2" t="s">
        <v>174</v>
      </c>
      <c r="G175" s="2">
        <v>3</v>
      </c>
      <c r="H175" s="2">
        <v>4</v>
      </c>
      <c r="I175" s="2">
        <f>COUNTIFS($E$3:E175,E175,$H$3:H175,H175)</f>
        <v>5</v>
      </c>
      <c r="N175" s="11">
        <v>1002318</v>
      </c>
      <c r="O175" s="11">
        <v>1002320</v>
      </c>
    </row>
    <row r="176" spans="1:17">
      <c r="A176" s="11">
        <f t="shared" si="3"/>
        <v>70028406</v>
      </c>
      <c r="B176" s="14" t="s">
        <v>348</v>
      </c>
      <c r="D176" s="2" t="str">
        <f>E176&amp;(VLOOKUP(F176,编号表!$E$1:$G$8,2,0))&amp;G176&amp;"_"&amp;H176&amp;"_"&amp;I176</f>
        <v>2N8_4_6</v>
      </c>
      <c r="E176" s="2">
        <v>2</v>
      </c>
      <c r="F176" s="2" t="s">
        <v>174</v>
      </c>
      <c r="G176" s="2">
        <v>8</v>
      </c>
      <c r="H176" s="2">
        <v>4</v>
      </c>
      <c r="I176" s="2">
        <f>COUNTIFS($E$3:E176,E176,$H$3:H176,H176)</f>
        <v>6</v>
      </c>
      <c r="N176" s="11">
        <v>1002318</v>
      </c>
      <c r="O176" s="11">
        <v>1002320</v>
      </c>
    </row>
    <row r="177" spans="1:16">
      <c r="A177" s="11">
        <f t="shared" si="3"/>
        <v>70028407</v>
      </c>
      <c r="B177" s="14" t="s">
        <v>349</v>
      </c>
      <c r="D177" s="2" t="str">
        <f>E177&amp;(VLOOKUP(F177,编号表!$E$1:$G$8,2,0))&amp;G177&amp;"_"&amp;H177&amp;"_"&amp;I177</f>
        <v>2N8_4_7</v>
      </c>
      <c r="E177" s="2">
        <v>2</v>
      </c>
      <c r="F177" s="2" t="s">
        <v>174</v>
      </c>
      <c r="G177" s="2">
        <v>8</v>
      </c>
      <c r="H177" s="2">
        <v>4</v>
      </c>
      <c r="I177" s="2">
        <f>COUNTIFS($E$3:E177,E177,$H$3:H177,H177)</f>
        <v>7</v>
      </c>
      <c r="N177" s="11">
        <v>1002318</v>
      </c>
      <c r="O177" s="11">
        <v>1002320</v>
      </c>
    </row>
    <row r="178" spans="1:16">
      <c r="A178" s="11">
        <f t="shared" si="3"/>
        <v>70026408</v>
      </c>
      <c r="B178" s="14" t="s">
        <v>350</v>
      </c>
      <c r="D178" s="2" t="str">
        <f>E178&amp;(VLOOKUP(F178,编号表!$E$1:$G$8,2,0))&amp;G178&amp;"_"&amp;H178&amp;"_"&amp;I178</f>
        <v>2N6_4_8</v>
      </c>
      <c r="E178" s="2">
        <v>2</v>
      </c>
      <c r="F178" s="2" t="s">
        <v>174</v>
      </c>
      <c r="G178" s="2">
        <v>6</v>
      </c>
      <c r="H178" s="2">
        <v>4</v>
      </c>
      <c r="I178" s="2">
        <f>COUNTIFS($E$3:E178,E178,$H$3:H178,H178)</f>
        <v>8</v>
      </c>
      <c r="N178" s="11">
        <v>1002318</v>
      </c>
      <c r="O178" s="11">
        <v>1002320</v>
      </c>
    </row>
    <row r="179" spans="1:16">
      <c r="A179" s="11">
        <f t="shared" si="3"/>
        <v>70023409</v>
      </c>
      <c r="B179" s="14" t="s">
        <v>351</v>
      </c>
      <c r="D179" s="2" t="str">
        <f>E179&amp;(VLOOKUP(F179,编号表!$E$1:$G$8,2,0))&amp;G179&amp;"_"&amp;H179&amp;"_"&amp;I179</f>
        <v>2N3_4_9</v>
      </c>
      <c r="E179" s="2">
        <v>2</v>
      </c>
      <c r="F179" s="2" t="s">
        <v>174</v>
      </c>
      <c r="G179" s="2">
        <v>3</v>
      </c>
      <c r="H179" s="2">
        <v>4</v>
      </c>
      <c r="I179" s="2">
        <f>COUNTIFS($E$3:E179,E179,$H$3:H179,H179)</f>
        <v>9</v>
      </c>
      <c r="N179" s="11">
        <v>1002318</v>
      </c>
      <c r="O179" s="11">
        <v>1002320</v>
      </c>
    </row>
    <row r="180" spans="1:16">
      <c r="A180" s="11">
        <f t="shared" si="3"/>
        <v>70028410</v>
      </c>
      <c r="B180" s="14" t="s">
        <v>352</v>
      </c>
      <c r="D180" s="2" t="str">
        <f>E180&amp;(VLOOKUP(F180,编号表!$E$1:$G$8,2,0))&amp;G180&amp;"_"&amp;H180&amp;"_"&amp;I180</f>
        <v>2N8_4_10</v>
      </c>
      <c r="E180" s="2">
        <v>2</v>
      </c>
      <c r="F180" s="2" t="s">
        <v>174</v>
      </c>
      <c r="G180" s="2">
        <v>8</v>
      </c>
      <c r="H180" s="2">
        <v>4</v>
      </c>
      <c r="I180" s="2">
        <f>COUNTIFS($E$3:E180,E180,$H$3:H180,H180)</f>
        <v>10</v>
      </c>
      <c r="N180" s="11">
        <v>1002318</v>
      </c>
      <c r="O180" s="11">
        <v>1002320</v>
      </c>
    </row>
    <row r="181" spans="1:16">
      <c r="A181" s="11">
        <f t="shared" si="3"/>
        <v>70028411</v>
      </c>
      <c r="B181" s="14" t="s">
        <v>353</v>
      </c>
      <c r="D181" s="2" t="str">
        <f>E181&amp;(VLOOKUP(F181,编号表!$E$1:$G$8,2,0))&amp;G181&amp;"_"&amp;H181&amp;"_"&amp;I181</f>
        <v>2N8_4_11</v>
      </c>
      <c r="E181" s="2">
        <v>2</v>
      </c>
      <c r="F181" s="2" t="s">
        <v>174</v>
      </c>
      <c r="G181" s="2">
        <v>8</v>
      </c>
      <c r="H181" s="2">
        <v>4</v>
      </c>
      <c r="I181" s="2">
        <f>COUNTIFS($E$3:E181,E181,$H$3:H181,H181)</f>
        <v>11</v>
      </c>
      <c r="N181" s="11">
        <v>1002318</v>
      </c>
      <c r="O181" s="11">
        <v>1002320</v>
      </c>
    </row>
    <row r="182" spans="1:16">
      <c r="A182" s="11">
        <f t="shared" si="3"/>
        <v>70028412</v>
      </c>
      <c r="B182" s="14" t="s">
        <v>354</v>
      </c>
      <c r="D182" s="2" t="str">
        <f>E182&amp;(VLOOKUP(F182,编号表!$E$1:$G$8,2,0))&amp;G182&amp;"_"&amp;H182&amp;"_"&amp;I182</f>
        <v>2N8_4_12</v>
      </c>
      <c r="E182" s="2">
        <v>2</v>
      </c>
      <c r="F182" s="2" t="s">
        <v>174</v>
      </c>
      <c r="G182" s="2">
        <v>8</v>
      </c>
      <c r="H182" s="2">
        <v>4</v>
      </c>
      <c r="I182" s="2">
        <f>COUNTIFS($E$3:E182,E182,$H$3:H182,H182)</f>
        <v>12</v>
      </c>
      <c r="N182" s="11">
        <v>1002318</v>
      </c>
      <c r="O182" s="11">
        <v>1002320</v>
      </c>
    </row>
    <row r="183" spans="1:16">
      <c r="A183" s="11">
        <f t="shared" si="3"/>
        <v>70026413</v>
      </c>
      <c r="B183" s="14" t="s">
        <v>355</v>
      </c>
      <c r="D183" s="2" t="str">
        <f>E183&amp;(VLOOKUP(F183,编号表!$E$1:$G$8,2,0))&amp;G183&amp;"_"&amp;H183&amp;"_"&amp;I183</f>
        <v>2N6_4_13</v>
      </c>
      <c r="E183" s="2">
        <v>2</v>
      </c>
      <c r="F183" s="2" t="s">
        <v>174</v>
      </c>
      <c r="G183" s="2">
        <v>6</v>
      </c>
      <c r="H183" s="2">
        <v>4</v>
      </c>
      <c r="I183" s="2">
        <f>COUNTIFS($E$3:E183,E183,$H$3:H183,H183)</f>
        <v>13</v>
      </c>
      <c r="N183" s="11">
        <v>1002318</v>
      </c>
      <c r="O183" s="11">
        <v>1002320</v>
      </c>
    </row>
    <row r="184" spans="1:16">
      <c r="A184" s="11">
        <f t="shared" si="3"/>
        <v>70023414</v>
      </c>
      <c r="B184" s="14" t="s">
        <v>356</v>
      </c>
      <c r="D184" s="2" t="str">
        <f>E184&amp;(VLOOKUP(F184,编号表!$E$1:$G$8,2,0))&amp;G184&amp;"_"&amp;H184&amp;"_"&amp;I184</f>
        <v>2N3_4_14</v>
      </c>
      <c r="E184" s="2">
        <v>2</v>
      </c>
      <c r="F184" s="2" t="s">
        <v>174</v>
      </c>
      <c r="G184" s="2">
        <v>3</v>
      </c>
      <c r="H184" s="2">
        <v>4</v>
      </c>
      <c r="I184" s="2">
        <f>COUNTIFS($E$3:E184,E184,$H$3:H184,H184)</f>
        <v>14</v>
      </c>
      <c r="N184" s="11">
        <v>1002318</v>
      </c>
      <c r="O184" s="11">
        <v>1002320</v>
      </c>
    </row>
    <row r="185" spans="1:16">
      <c r="A185" s="11">
        <f t="shared" si="3"/>
        <v>70028415</v>
      </c>
      <c r="B185" s="14" t="s">
        <v>357</v>
      </c>
      <c r="D185" s="2" t="str">
        <f>E185&amp;(VLOOKUP(F185,编号表!$E$1:$G$8,2,0))&amp;G185&amp;"_"&amp;H185&amp;"_"&amp;I185</f>
        <v>2N8_4_15</v>
      </c>
      <c r="E185" s="2">
        <v>2</v>
      </c>
      <c r="F185" s="2" t="s">
        <v>174</v>
      </c>
      <c r="G185" s="2">
        <v>8</v>
      </c>
      <c r="H185" s="2">
        <v>4</v>
      </c>
      <c r="I185" s="2">
        <f>COUNTIFS($E$3:E185,E185,$H$3:H185,H185)</f>
        <v>15</v>
      </c>
      <c r="N185" s="11">
        <v>1002318</v>
      </c>
      <c r="O185" s="11">
        <v>1002320</v>
      </c>
    </row>
    <row r="186" spans="1:16">
      <c r="A186" s="11">
        <f t="shared" si="3"/>
        <v>70028416</v>
      </c>
      <c r="B186" s="14" t="s">
        <v>358</v>
      </c>
      <c r="D186" s="2" t="str">
        <f>E186&amp;(VLOOKUP(F186,编号表!$E$1:$G$8,2,0))&amp;G186&amp;"_"&amp;H186&amp;"_"&amp;I186</f>
        <v>2N8_4_16</v>
      </c>
      <c r="E186" s="2">
        <v>2</v>
      </c>
      <c r="F186" s="2" t="s">
        <v>174</v>
      </c>
      <c r="G186" s="2">
        <v>8</v>
      </c>
      <c r="H186" s="2">
        <v>4</v>
      </c>
      <c r="I186" s="2">
        <f>COUNTIFS($E$3:E186,E186,$H$3:H186,H186)</f>
        <v>16</v>
      </c>
      <c r="N186" s="11">
        <v>1002318</v>
      </c>
      <c r="O186" s="11">
        <v>1002320</v>
      </c>
    </row>
    <row r="187" spans="1:16">
      <c r="A187" s="11">
        <f t="shared" si="3"/>
        <v>70028417</v>
      </c>
      <c r="B187" s="14" t="s">
        <v>359</v>
      </c>
      <c r="D187" s="2" t="str">
        <f>E187&amp;(VLOOKUP(F187,编号表!$E$1:$G$8,2,0))&amp;G187&amp;"_"&amp;H187&amp;"_"&amp;I187</f>
        <v>2N8_4_17</v>
      </c>
      <c r="E187" s="2">
        <v>2</v>
      </c>
      <c r="F187" s="2" t="s">
        <v>174</v>
      </c>
      <c r="G187" s="2">
        <v>8</v>
      </c>
      <c r="H187" s="2">
        <v>4</v>
      </c>
      <c r="I187" s="2">
        <f>COUNTIFS($E$3:E187,E187,$H$3:H187,H187)</f>
        <v>17</v>
      </c>
      <c r="N187" s="11">
        <v>1002318</v>
      </c>
      <c r="O187" s="11">
        <v>1002320</v>
      </c>
    </row>
    <row r="188" spans="1:16">
      <c r="A188" s="11">
        <f t="shared" si="3"/>
        <v>70028418</v>
      </c>
      <c r="B188" s="14" t="s">
        <v>360</v>
      </c>
      <c r="D188" s="2" t="str">
        <f>E188&amp;(VLOOKUP(F188,编号表!$E$1:$G$8,2,0))&amp;G188&amp;"_"&amp;H188&amp;"_"&amp;I188</f>
        <v>2N8_4_18</v>
      </c>
      <c r="E188" s="2">
        <v>2</v>
      </c>
      <c r="F188" s="2" t="s">
        <v>174</v>
      </c>
      <c r="G188" s="2">
        <v>8</v>
      </c>
      <c r="H188" s="2">
        <v>4</v>
      </c>
      <c r="I188" s="2">
        <f>COUNTIFS($E$3:E188,E188,$H$3:H188,H188)</f>
        <v>18</v>
      </c>
      <c r="N188" s="11">
        <v>1002317</v>
      </c>
      <c r="O188" s="11">
        <v>1002318</v>
      </c>
      <c r="P188" s="11">
        <v>1002320</v>
      </c>
    </row>
    <row r="189" spans="1:16">
      <c r="A189" s="11">
        <f t="shared" si="3"/>
        <v>70026419</v>
      </c>
      <c r="B189" s="14" t="s">
        <v>361</v>
      </c>
      <c r="D189" s="2" t="str">
        <f>E189&amp;(VLOOKUP(F189,编号表!$E$1:$G$8,2,0))&amp;G189&amp;"_"&amp;H189&amp;"_"&amp;I189</f>
        <v>2N6_4_19</v>
      </c>
      <c r="E189" s="2">
        <v>2</v>
      </c>
      <c r="F189" s="2" t="s">
        <v>174</v>
      </c>
      <c r="G189" s="2">
        <v>6</v>
      </c>
      <c r="H189" s="2">
        <v>4</v>
      </c>
      <c r="I189" s="2">
        <f>COUNTIFS($E$3:E189,E189,$H$3:H189,H189)</f>
        <v>19</v>
      </c>
      <c r="N189" s="11">
        <v>1002317</v>
      </c>
      <c r="O189" s="11">
        <v>1002320</v>
      </c>
    </row>
    <row r="190" spans="1:16">
      <c r="A190" s="11">
        <f t="shared" si="3"/>
        <v>70023420</v>
      </c>
      <c r="B190" s="14" t="s">
        <v>362</v>
      </c>
      <c r="D190" s="2" t="str">
        <f>E190&amp;(VLOOKUP(F190,编号表!$E$1:$G$8,2,0))&amp;G190&amp;"_"&amp;H190&amp;"_"&amp;I190</f>
        <v>2N3_4_20</v>
      </c>
      <c r="E190" s="2">
        <v>2</v>
      </c>
      <c r="F190" s="2" t="s">
        <v>174</v>
      </c>
      <c r="G190" s="2">
        <v>3</v>
      </c>
      <c r="H190" s="2">
        <v>4</v>
      </c>
      <c r="I190" s="2">
        <f>COUNTIFS($E$3:E190,E190,$H$3:H190,H190)</f>
        <v>20</v>
      </c>
      <c r="N190" s="11">
        <v>1002317</v>
      </c>
      <c r="O190" s="11">
        <v>1002319</v>
      </c>
      <c r="P190" s="11">
        <v>1002320</v>
      </c>
    </row>
    <row r="191" spans="1:16">
      <c r="A191" s="11">
        <f t="shared" si="3"/>
        <v>70028421</v>
      </c>
      <c r="B191" s="14" t="s">
        <v>363</v>
      </c>
      <c r="D191" s="2" t="str">
        <f>E191&amp;(VLOOKUP(F191,编号表!$E$1:$G$8,2,0))&amp;G191&amp;"_"&amp;H191&amp;"_"&amp;I191</f>
        <v>2N8_4_21</v>
      </c>
      <c r="E191" s="2">
        <v>2</v>
      </c>
      <c r="F191" s="2" t="s">
        <v>174</v>
      </c>
      <c r="G191" s="2">
        <v>8</v>
      </c>
      <c r="H191" s="2">
        <v>4</v>
      </c>
      <c r="I191" s="2">
        <f>COUNTIFS($E$3:E191,E191,$H$3:H191,H191)</f>
        <v>21</v>
      </c>
      <c r="N191" s="11">
        <v>1002317</v>
      </c>
      <c r="O191" s="11">
        <v>1002319</v>
      </c>
      <c r="P191" s="11">
        <v>1002320</v>
      </c>
    </row>
    <row r="192" spans="1:16">
      <c r="A192" s="11">
        <f t="shared" si="3"/>
        <v>70028422</v>
      </c>
      <c r="B192" s="14" t="s">
        <v>364</v>
      </c>
      <c r="D192" s="2" t="str">
        <f>E192&amp;(VLOOKUP(F192,编号表!$E$1:$G$8,2,0))&amp;G192&amp;"_"&amp;H192&amp;"_"&amp;I192</f>
        <v>2N8_4_22</v>
      </c>
      <c r="E192" s="2">
        <v>2</v>
      </c>
      <c r="F192" s="2" t="s">
        <v>174</v>
      </c>
      <c r="G192" s="2">
        <v>8</v>
      </c>
      <c r="H192" s="2">
        <v>4</v>
      </c>
      <c r="I192" s="2">
        <f>COUNTIFS($E$3:E192,E192,$H$3:H192,H192)</f>
        <v>22</v>
      </c>
      <c r="N192" s="11">
        <v>1002317</v>
      </c>
      <c r="O192" s="11">
        <v>1002319</v>
      </c>
      <c r="P192" s="11">
        <v>1002320</v>
      </c>
    </row>
    <row r="193" spans="1:16">
      <c r="A193" s="11">
        <f t="shared" si="3"/>
        <v>70028423</v>
      </c>
      <c r="B193" s="14" t="s">
        <v>365</v>
      </c>
      <c r="D193" s="2" t="str">
        <f>E193&amp;(VLOOKUP(F193,编号表!$E$1:$G$8,2,0))&amp;G193&amp;"_"&amp;H193&amp;"_"&amp;I193</f>
        <v>2N8_4_23</v>
      </c>
      <c r="E193" s="2">
        <v>2</v>
      </c>
      <c r="F193" s="2" t="s">
        <v>174</v>
      </c>
      <c r="G193" s="2">
        <v>8</v>
      </c>
      <c r="H193" s="2">
        <v>4</v>
      </c>
      <c r="I193" s="2">
        <f>COUNTIFS($E$3:E193,E193,$H$3:H193,H193)</f>
        <v>23</v>
      </c>
      <c r="N193" s="11">
        <v>1002317</v>
      </c>
      <c r="O193" s="11">
        <v>1002319</v>
      </c>
      <c r="P193" s="11">
        <v>1002320</v>
      </c>
    </row>
    <row r="194" spans="1:16">
      <c r="A194" s="11">
        <f t="shared" si="3"/>
        <v>70028424</v>
      </c>
      <c r="B194" s="14" t="s">
        <v>366</v>
      </c>
      <c r="D194" s="2" t="str">
        <f>E194&amp;(VLOOKUP(F194,编号表!$E$1:$G$8,2,0))&amp;G194&amp;"_"&amp;H194&amp;"_"&amp;I194</f>
        <v>2N8_4_24</v>
      </c>
      <c r="E194" s="2">
        <v>2</v>
      </c>
      <c r="F194" s="2" t="s">
        <v>174</v>
      </c>
      <c r="G194" s="2">
        <v>8</v>
      </c>
      <c r="H194" s="2">
        <v>4</v>
      </c>
      <c r="I194" s="2">
        <f>COUNTIFS($E$3:E194,E194,$H$3:H194,H194)</f>
        <v>24</v>
      </c>
      <c r="N194" s="11">
        <v>1002317</v>
      </c>
      <c r="O194" s="11">
        <v>1002319</v>
      </c>
      <c r="P194" s="11">
        <v>1002320</v>
      </c>
    </row>
    <row r="195" spans="1:16">
      <c r="A195" s="11">
        <f t="shared" si="3"/>
        <v>70028425</v>
      </c>
      <c r="B195" s="14" t="s">
        <v>367</v>
      </c>
      <c r="D195" s="2" t="str">
        <f>E195&amp;(VLOOKUP(F195,编号表!$E$1:$G$8,2,0))&amp;G195&amp;"_"&amp;H195&amp;"_"&amp;I195</f>
        <v>2N8_4_25</v>
      </c>
      <c r="E195" s="2">
        <v>2</v>
      </c>
      <c r="F195" s="2" t="s">
        <v>174</v>
      </c>
      <c r="G195" s="2">
        <v>8</v>
      </c>
      <c r="H195" s="2">
        <v>4</v>
      </c>
      <c r="I195" s="2">
        <f>COUNTIFS($E$3:E195,E195,$H$3:H195,H195)</f>
        <v>25</v>
      </c>
      <c r="N195" s="11">
        <v>1002317</v>
      </c>
      <c r="O195" s="11">
        <v>1002319</v>
      </c>
    </row>
    <row r="196" spans="1:16">
      <c r="A196" s="11">
        <f t="shared" si="3"/>
        <v>70026426</v>
      </c>
      <c r="B196" s="14" t="s">
        <v>368</v>
      </c>
      <c r="D196" s="2" t="str">
        <f>E196&amp;(VLOOKUP(F196,编号表!$E$1:$G$8,2,0))&amp;G196&amp;"_"&amp;H196&amp;"_"&amp;I196</f>
        <v>2N6_4_26</v>
      </c>
      <c r="E196" s="2">
        <v>2</v>
      </c>
      <c r="F196" s="2" t="s">
        <v>174</v>
      </c>
      <c r="G196" s="2">
        <v>6</v>
      </c>
      <c r="H196" s="2">
        <v>4</v>
      </c>
      <c r="I196" s="2">
        <f>COUNTIFS($E$3:E196,E196,$H$3:H196,H196)</f>
        <v>26</v>
      </c>
      <c r="N196" s="11">
        <v>1002317</v>
      </c>
      <c r="O196" s="11">
        <v>1002319</v>
      </c>
    </row>
    <row r="197" spans="1:16">
      <c r="A197" s="11">
        <f t="shared" si="3"/>
        <v>70023427</v>
      </c>
      <c r="B197" s="14" t="s">
        <v>369</v>
      </c>
      <c r="D197" s="2" t="str">
        <f>E197&amp;(VLOOKUP(F197,编号表!$E$1:$G$8,2,0))&amp;G197&amp;"_"&amp;H197&amp;"_"&amp;I197</f>
        <v>2N3_4_27</v>
      </c>
      <c r="E197" s="2">
        <v>2</v>
      </c>
      <c r="F197" s="2" t="s">
        <v>174</v>
      </c>
      <c r="G197" s="2">
        <v>3</v>
      </c>
      <c r="H197" s="2">
        <v>4</v>
      </c>
      <c r="I197" s="2">
        <f>COUNTIFS($E$3:E197,E197,$H$3:H197,H197)</f>
        <v>27</v>
      </c>
      <c r="N197" s="11">
        <v>1002317</v>
      </c>
      <c r="O197" s="11">
        <v>1002319</v>
      </c>
    </row>
    <row r="198" spans="1:16">
      <c r="A198" s="11">
        <f t="shared" si="3"/>
        <v>70028428</v>
      </c>
      <c r="B198" s="14" t="s">
        <v>370</v>
      </c>
      <c r="D198" s="2" t="str">
        <f>E198&amp;(VLOOKUP(F198,编号表!$E$1:$G$8,2,0))&amp;G198&amp;"_"&amp;H198&amp;"_"&amp;I198</f>
        <v>2N8_4_28</v>
      </c>
      <c r="E198" s="2">
        <v>2</v>
      </c>
      <c r="F198" s="2" t="s">
        <v>174</v>
      </c>
      <c r="G198" s="2">
        <v>8</v>
      </c>
      <c r="H198" s="2">
        <v>4</v>
      </c>
      <c r="I198" s="2">
        <f>COUNTIFS($E$3:E198,E198,$H$3:H198,H198)</f>
        <v>28</v>
      </c>
      <c r="N198" s="11">
        <v>1002317</v>
      </c>
      <c r="O198" s="11">
        <v>1002319</v>
      </c>
    </row>
    <row r="199" spans="1:16">
      <c r="A199" s="11">
        <f t="shared" si="3"/>
        <v>70028429</v>
      </c>
      <c r="B199" s="14" t="s">
        <v>371</v>
      </c>
      <c r="D199" s="2" t="str">
        <f>E199&amp;(VLOOKUP(F199,编号表!$E$1:$G$8,2,0))&amp;G199&amp;"_"&amp;H199&amp;"_"&amp;I199</f>
        <v>2N8_4_29</v>
      </c>
      <c r="E199" s="2">
        <v>2</v>
      </c>
      <c r="F199" s="2" t="s">
        <v>174</v>
      </c>
      <c r="G199" s="2">
        <v>8</v>
      </c>
      <c r="H199" s="2">
        <v>4</v>
      </c>
      <c r="I199" s="2">
        <f>COUNTIFS($E$3:E199,E199,$H$3:H199,H199)</f>
        <v>29</v>
      </c>
      <c r="N199" s="11">
        <v>1002317</v>
      </c>
      <c r="O199" s="11">
        <v>1002319</v>
      </c>
    </row>
    <row r="200" spans="1:16">
      <c r="A200" s="11">
        <f t="shared" si="3"/>
        <v>70028430</v>
      </c>
      <c r="B200" s="14" t="s">
        <v>372</v>
      </c>
      <c r="D200" s="2" t="str">
        <f>E200&amp;(VLOOKUP(F200,编号表!$E$1:$G$8,2,0))&amp;G200&amp;"_"&amp;H200&amp;"_"&amp;I200</f>
        <v>2N8_4_30</v>
      </c>
      <c r="E200" s="2">
        <v>2</v>
      </c>
      <c r="F200" s="2" t="s">
        <v>174</v>
      </c>
      <c r="G200" s="2">
        <v>8</v>
      </c>
      <c r="H200" s="2">
        <v>4</v>
      </c>
      <c r="I200" s="2">
        <f>COUNTIFS($E$3:E200,E200,$H$3:H200,H200)</f>
        <v>30</v>
      </c>
      <c r="N200" s="11">
        <v>1002317</v>
      </c>
      <c r="O200" s="11">
        <v>1002319</v>
      </c>
    </row>
    <row r="201" spans="1:16">
      <c r="A201" s="11">
        <f t="shared" si="3"/>
        <v>70028431</v>
      </c>
      <c r="B201" s="14" t="s">
        <v>373</v>
      </c>
      <c r="D201" s="2" t="str">
        <f>E201&amp;(VLOOKUP(F201,编号表!$E$1:$G$8,2,0))&amp;G201&amp;"_"&amp;H201&amp;"_"&amp;I201</f>
        <v>2N8_4_31</v>
      </c>
      <c r="E201" s="2">
        <v>2</v>
      </c>
      <c r="F201" s="2" t="s">
        <v>174</v>
      </c>
      <c r="G201" s="2">
        <v>8</v>
      </c>
      <c r="H201" s="2">
        <v>4</v>
      </c>
      <c r="I201" s="2">
        <f>COUNTIFS($E$3:E201,E201,$H$3:H201,H201)</f>
        <v>31</v>
      </c>
      <c r="N201" s="11">
        <v>1002317</v>
      </c>
      <c r="O201" s="11">
        <v>1002319</v>
      </c>
    </row>
    <row r="202" spans="1:16">
      <c r="A202" s="11">
        <f t="shared" si="3"/>
        <v>70028432</v>
      </c>
      <c r="B202" s="14" t="s">
        <v>374</v>
      </c>
      <c r="D202" s="2" t="str">
        <f>E202&amp;(VLOOKUP(F202,编号表!$E$1:$G$8,2,0))&amp;G202&amp;"_"&amp;H202&amp;"_"&amp;I202</f>
        <v>2N8_4_32</v>
      </c>
      <c r="E202" s="2">
        <v>2</v>
      </c>
      <c r="F202" s="2" t="s">
        <v>174</v>
      </c>
      <c r="G202" s="2">
        <v>8</v>
      </c>
      <c r="H202" s="2">
        <v>4</v>
      </c>
      <c r="I202" s="2">
        <f>COUNTIFS($E$3:E202,E202,$H$3:H202,H202)</f>
        <v>32</v>
      </c>
      <c r="N202" s="11">
        <v>1002317</v>
      </c>
      <c r="O202" s="11">
        <v>1002319</v>
      </c>
    </row>
    <row r="203" spans="1:16">
      <c r="A203" s="11">
        <f t="shared" si="3"/>
        <v>70028433</v>
      </c>
      <c r="B203" s="14" t="s">
        <v>375</v>
      </c>
      <c r="D203" s="2" t="str">
        <f>E203&amp;(VLOOKUP(F203,编号表!$E$1:$G$8,2,0))&amp;G203&amp;"_"&amp;H203&amp;"_"&amp;I203</f>
        <v>2N8_4_33</v>
      </c>
      <c r="E203" s="2">
        <v>2</v>
      </c>
      <c r="F203" s="2" t="s">
        <v>174</v>
      </c>
      <c r="G203" s="2">
        <v>8</v>
      </c>
      <c r="H203" s="2">
        <v>4</v>
      </c>
      <c r="I203" s="2">
        <f>COUNTIFS($E$3:E203,E203,$H$3:H203,H203)</f>
        <v>33</v>
      </c>
      <c r="N203" s="11">
        <v>1002317</v>
      </c>
      <c r="O203" s="11">
        <v>1002319</v>
      </c>
    </row>
    <row r="204" spans="1:16">
      <c r="A204" s="11">
        <f t="shared" si="3"/>
        <v>70026434</v>
      </c>
      <c r="B204" s="14" t="s">
        <v>376</v>
      </c>
      <c r="D204" s="2" t="str">
        <f>E204&amp;(VLOOKUP(F204,编号表!$E$1:$G$8,2,0))&amp;G204&amp;"_"&amp;H204&amp;"_"&amp;I204</f>
        <v>2N6_4_34</v>
      </c>
      <c r="E204" s="2">
        <v>2</v>
      </c>
      <c r="F204" s="2" t="s">
        <v>174</v>
      </c>
      <c r="G204" s="2">
        <v>6</v>
      </c>
      <c r="H204" s="2">
        <v>4</v>
      </c>
      <c r="I204" s="2">
        <f>COUNTIFS($E$3:E204,E204,$H$3:H204,H204)</f>
        <v>34</v>
      </c>
      <c r="N204" s="11">
        <v>1002317</v>
      </c>
      <c r="O204" s="11">
        <v>1002319</v>
      </c>
    </row>
    <row r="205" spans="1:16">
      <c r="A205" s="11">
        <f t="shared" si="3"/>
        <v>70023435</v>
      </c>
      <c r="B205" s="14" t="s">
        <v>377</v>
      </c>
      <c r="D205" s="2" t="str">
        <f>E205&amp;(VLOOKUP(F205,编号表!$E$1:$G$8,2,0))&amp;G205&amp;"_"&amp;H205&amp;"_"&amp;I205</f>
        <v>2N3_4_35</v>
      </c>
      <c r="E205" s="2">
        <v>2</v>
      </c>
      <c r="F205" s="2" t="s">
        <v>174</v>
      </c>
      <c r="G205" s="2">
        <v>3</v>
      </c>
      <c r="H205" s="2">
        <v>4</v>
      </c>
      <c r="I205" s="2">
        <f>COUNTIFS($E$3:E205,E205,$H$3:H205,H205)</f>
        <v>35</v>
      </c>
      <c r="N205" s="11">
        <v>1002317</v>
      </c>
      <c r="O205" s="11">
        <v>1002319</v>
      </c>
    </row>
    <row r="206" spans="1:16">
      <c r="A206" s="11">
        <f t="shared" ref="A206:A269" si="4">70000000+E206*10000+G206*1000+H206*100+I206</f>
        <v>70028436</v>
      </c>
      <c r="B206" s="14" t="s">
        <v>378</v>
      </c>
      <c r="D206" s="2" t="str">
        <f>E206&amp;(VLOOKUP(F206,编号表!$E$1:$G$8,2,0))&amp;G206&amp;"_"&amp;H206&amp;"_"&amp;I206</f>
        <v>2N8_4_36</v>
      </c>
      <c r="E206" s="2">
        <v>2</v>
      </c>
      <c r="F206" s="2" t="s">
        <v>174</v>
      </c>
      <c r="G206" s="2">
        <v>8</v>
      </c>
      <c r="H206" s="2">
        <v>4</v>
      </c>
      <c r="I206" s="2">
        <f>COUNTIFS($E$3:E206,E206,$H$3:H206,H206)</f>
        <v>36</v>
      </c>
      <c r="N206" s="11">
        <v>1002317</v>
      </c>
      <c r="O206" s="11">
        <v>1002318</v>
      </c>
      <c r="P206" s="11">
        <v>1002319</v>
      </c>
    </row>
    <row r="207" spans="1:16">
      <c r="A207" s="11">
        <f t="shared" si="4"/>
        <v>70028437</v>
      </c>
      <c r="B207" s="14" t="s">
        <v>379</v>
      </c>
      <c r="D207" s="2" t="str">
        <f>E207&amp;(VLOOKUP(F207,编号表!$E$1:$G$8,2,0))&amp;G207&amp;"_"&amp;H207&amp;"_"&amp;I207</f>
        <v>2N8_4_37</v>
      </c>
      <c r="E207" s="2">
        <v>2</v>
      </c>
      <c r="F207" s="2" t="s">
        <v>174</v>
      </c>
      <c r="G207" s="2">
        <v>8</v>
      </c>
      <c r="H207" s="2">
        <v>4</v>
      </c>
      <c r="I207" s="2">
        <f>COUNTIFS($E$3:E207,E207,$H$3:H207,H207)</f>
        <v>37</v>
      </c>
      <c r="N207" s="11">
        <v>1002317</v>
      </c>
      <c r="O207" s="11">
        <v>1002318</v>
      </c>
      <c r="P207" s="11">
        <v>1002319</v>
      </c>
    </row>
    <row r="208" spans="1:16">
      <c r="A208" s="11">
        <f t="shared" si="4"/>
        <v>70028438</v>
      </c>
      <c r="B208" s="14" t="s">
        <v>380</v>
      </c>
      <c r="D208" s="2" t="str">
        <f>E208&amp;(VLOOKUP(F208,编号表!$E$1:$G$8,2,0))&amp;G208&amp;"_"&amp;H208&amp;"_"&amp;I208</f>
        <v>2N8_4_38</v>
      </c>
      <c r="E208" s="2">
        <v>2</v>
      </c>
      <c r="F208" s="2" t="s">
        <v>174</v>
      </c>
      <c r="G208" s="2">
        <v>8</v>
      </c>
      <c r="H208" s="2">
        <v>4</v>
      </c>
      <c r="I208" s="2">
        <f>COUNTIFS($E$3:E208,E208,$H$3:H208,H208)</f>
        <v>38</v>
      </c>
      <c r="N208" s="11">
        <v>1002317</v>
      </c>
      <c r="O208" s="11">
        <v>1002318</v>
      </c>
      <c r="P208" s="11">
        <v>1002319</v>
      </c>
    </row>
    <row r="209" spans="1:16">
      <c r="A209" s="11">
        <f t="shared" si="4"/>
        <v>70028439</v>
      </c>
      <c r="B209" s="14" t="s">
        <v>381</v>
      </c>
      <c r="D209" s="2" t="str">
        <f>E209&amp;(VLOOKUP(F209,编号表!$E$1:$G$8,2,0))&amp;G209&amp;"_"&amp;H209&amp;"_"&amp;I209</f>
        <v>2N8_4_39</v>
      </c>
      <c r="E209" s="2">
        <v>2</v>
      </c>
      <c r="F209" s="2" t="s">
        <v>174</v>
      </c>
      <c r="G209" s="2">
        <v>8</v>
      </c>
      <c r="H209" s="2">
        <v>4</v>
      </c>
      <c r="I209" s="2">
        <f>COUNTIFS($E$3:E209,E209,$H$3:H209,H209)</f>
        <v>39</v>
      </c>
      <c r="N209" s="11">
        <v>1002317</v>
      </c>
      <c r="O209" s="11">
        <v>1002318</v>
      </c>
      <c r="P209" s="11">
        <v>1002319</v>
      </c>
    </row>
    <row r="210" spans="1:16">
      <c r="A210" s="11">
        <f t="shared" si="4"/>
        <v>70028440</v>
      </c>
      <c r="B210" s="14" t="s">
        <v>382</v>
      </c>
      <c r="D210" s="2" t="str">
        <f>E210&amp;(VLOOKUP(F210,编号表!$E$1:$G$8,2,0))&amp;G210&amp;"_"&amp;H210&amp;"_"&amp;I210</f>
        <v>2N8_4_40</v>
      </c>
      <c r="E210" s="2">
        <v>2</v>
      </c>
      <c r="F210" s="2" t="s">
        <v>174</v>
      </c>
      <c r="G210" s="2">
        <v>8</v>
      </c>
      <c r="H210" s="2">
        <v>4</v>
      </c>
      <c r="I210" s="2">
        <f>COUNTIFS($E$3:E210,E210,$H$3:H210,H210)</f>
        <v>40</v>
      </c>
      <c r="N210" s="11">
        <v>1002317</v>
      </c>
      <c r="O210" s="11">
        <v>1002318</v>
      </c>
      <c r="P210" s="11">
        <v>1002319</v>
      </c>
    </row>
    <row r="211" spans="1:16">
      <c r="A211" s="11">
        <f t="shared" si="4"/>
        <v>70028441</v>
      </c>
      <c r="B211" s="14" t="s">
        <v>383</v>
      </c>
      <c r="D211" s="2" t="str">
        <f>E211&amp;(VLOOKUP(F211,编号表!$E$1:$G$8,2,0))&amp;G211&amp;"_"&amp;H211&amp;"_"&amp;I211</f>
        <v>2N8_4_41</v>
      </c>
      <c r="E211" s="2">
        <v>2</v>
      </c>
      <c r="F211" s="2" t="s">
        <v>174</v>
      </c>
      <c r="G211" s="2">
        <v>8</v>
      </c>
      <c r="H211" s="2">
        <v>4</v>
      </c>
      <c r="I211" s="2">
        <f>COUNTIFS($E$3:E211,E211,$H$3:H211,H211)</f>
        <v>41</v>
      </c>
      <c r="N211" s="11">
        <v>1002317</v>
      </c>
      <c r="O211" s="11">
        <v>1002318</v>
      </c>
      <c r="P211" s="11">
        <v>1002319</v>
      </c>
    </row>
    <row r="212" spans="1:16">
      <c r="A212" s="11">
        <f t="shared" si="4"/>
        <v>70028442</v>
      </c>
      <c r="B212" s="14" t="s">
        <v>384</v>
      </c>
      <c r="D212" s="2" t="str">
        <f>E212&amp;(VLOOKUP(F212,编号表!$E$1:$G$8,2,0))&amp;G212&amp;"_"&amp;H212&amp;"_"&amp;I212</f>
        <v>2N8_4_42</v>
      </c>
      <c r="E212" s="2">
        <v>2</v>
      </c>
      <c r="F212" s="2" t="s">
        <v>174</v>
      </c>
      <c r="G212" s="2">
        <v>8</v>
      </c>
      <c r="H212" s="2">
        <v>4</v>
      </c>
      <c r="I212" s="2">
        <f>COUNTIFS($E$3:E212,E212,$H$3:H212,H212)</f>
        <v>42</v>
      </c>
      <c r="N212" s="11">
        <v>1002317</v>
      </c>
      <c r="O212" s="11">
        <v>1002318</v>
      </c>
      <c r="P212" s="11">
        <v>1002319</v>
      </c>
    </row>
    <row r="213" spans="1:16">
      <c r="A213" s="11">
        <f t="shared" si="4"/>
        <v>70021501</v>
      </c>
      <c r="B213" s="17" t="s">
        <v>385</v>
      </c>
      <c r="D213" s="2" t="str">
        <f>E213&amp;(VLOOKUP(F213,编号表!$E$1:$G$8,2,0))&amp;G213&amp;"_"&amp;H213&amp;"_"&amp;I213</f>
        <v>2P1_5_1</v>
      </c>
      <c r="E213" s="2">
        <v>2</v>
      </c>
      <c r="F213" s="2" t="s">
        <v>193</v>
      </c>
      <c r="G213" s="2">
        <v>1</v>
      </c>
      <c r="H213" s="2">
        <v>5</v>
      </c>
      <c r="I213" s="2">
        <f>COUNTIFS($E$3:E213,E213,$H$3:H213,H213)</f>
        <v>1</v>
      </c>
      <c r="O213" s="20"/>
    </row>
    <row r="214" spans="1:16">
      <c r="A214" s="11">
        <f t="shared" si="4"/>
        <v>70021502</v>
      </c>
      <c r="B214" s="17" t="s">
        <v>386</v>
      </c>
      <c r="D214" s="2" t="str">
        <f>E214&amp;(VLOOKUP(F214,编号表!$E$1:$G$8,2,0))&amp;G214&amp;"_"&amp;H214&amp;"_"&amp;I214</f>
        <v>2P1_5_2</v>
      </c>
      <c r="E214" s="2">
        <v>2</v>
      </c>
      <c r="F214" s="2" t="s">
        <v>193</v>
      </c>
      <c r="G214" s="2">
        <v>1</v>
      </c>
      <c r="H214" s="2">
        <v>5</v>
      </c>
      <c r="I214" s="2">
        <f>COUNTIFS($E$3:E214,E214,$H$3:H214,H214)</f>
        <v>2</v>
      </c>
      <c r="O214" s="20"/>
    </row>
    <row r="215" spans="1:16">
      <c r="A215" s="11">
        <f t="shared" si="4"/>
        <v>70021503</v>
      </c>
      <c r="B215" s="17" t="s">
        <v>387</v>
      </c>
      <c r="D215" s="2" t="str">
        <f>E215&amp;(VLOOKUP(F215,编号表!$E$1:$G$8,2,0))&amp;G215&amp;"_"&amp;H215&amp;"_"&amp;I215</f>
        <v>2P1_5_3</v>
      </c>
      <c r="E215" s="2">
        <v>2</v>
      </c>
      <c r="F215" s="2" t="s">
        <v>193</v>
      </c>
      <c r="G215" s="2">
        <v>1</v>
      </c>
      <c r="H215" s="2">
        <v>5</v>
      </c>
      <c r="I215" s="2">
        <f>COUNTIFS($E$3:E215,E215,$H$3:H215,H215)</f>
        <v>3</v>
      </c>
      <c r="O215" s="20"/>
    </row>
    <row r="216" spans="1:16">
      <c r="A216" s="11">
        <f t="shared" si="4"/>
        <v>70021504</v>
      </c>
      <c r="B216" s="17" t="s">
        <v>388</v>
      </c>
      <c r="D216" s="2" t="str">
        <f>E216&amp;(VLOOKUP(F216,编号表!$E$1:$G$8,2,0))&amp;G216&amp;"_"&amp;H216&amp;"_"&amp;I216</f>
        <v>2P1_5_4</v>
      </c>
      <c r="E216" s="2">
        <v>2</v>
      </c>
      <c r="F216" s="2" t="s">
        <v>193</v>
      </c>
      <c r="G216" s="2">
        <v>1</v>
      </c>
      <c r="H216" s="2">
        <v>5</v>
      </c>
      <c r="I216" s="2">
        <f>COUNTIFS($E$3:E216,E216,$H$3:H216,H216)</f>
        <v>4</v>
      </c>
      <c r="O216" s="20"/>
    </row>
    <row r="217" spans="1:16">
      <c r="A217" s="11">
        <f t="shared" si="4"/>
        <v>70027505</v>
      </c>
      <c r="B217" s="17" t="s">
        <v>389</v>
      </c>
      <c r="D217" s="2" t="str">
        <f>E217&amp;(VLOOKUP(F217,编号表!$E$1:$G$8,2,0))&amp;G217&amp;"_"&amp;H217&amp;"_"&amp;I217</f>
        <v>2P7_5_5</v>
      </c>
      <c r="E217" s="2">
        <v>2</v>
      </c>
      <c r="F217" s="2" t="s">
        <v>193</v>
      </c>
      <c r="G217" s="2">
        <v>7</v>
      </c>
      <c r="H217" s="2">
        <v>5</v>
      </c>
      <c r="I217" s="2">
        <f>COUNTIFS($E$3:E217,E217,$H$3:H217,H217)</f>
        <v>5</v>
      </c>
      <c r="N217" s="11">
        <v>1002301</v>
      </c>
      <c r="O217" s="20"/>
    </row>
    <row r="218" spans="1:16">
      <c r="A218" s="11">
        <f t="shared" si="4"/>
        <v>70021506</v>
      </c>
      <c r="B218" s="17" t="s">
        <v>390</v>
      </c>
      <c r="D218" s="2" t="str">
        <f>E218&amp;(VLOOKUP(F218,编号表!$E$1:$G$8,2,0))&amp;G218&amp;"_"&amp;H218&amp;"_"&amp;I218</f>
        <v>2P1_5_6</v>
      </c>
      <c r="E218" s="2">
        <v>2</v>
      </c>
      <c r="F218" s="2" t="s">
        <v>193</v>
      </c>
      <c r="G218" s="2">
        <v>1</v>
      </c>
      <c r="H218" s="2">
        <v>5</v>
      </c>
      <c r="I218" s="2">
        <f>COUNTIFS($E$3:E218,E218,$H$3:H218,H218)</f>
        <v>6</v>
      </c>
      <c r="O218" s="20"/>
    </row>
    <row r="219" spans="1:16">
      <c r="A219" s="11">
        <f t="shared" si="4"/>
        <v>70022507</v>
      </c>
      <c r="B219" s="17" t="s">
        <v>391</v>
      </c>
      <c r="D219" s="2" t="str">
        <f>E219&amp;(VLOOKUP(F219,编号表!$E$1:$G$8,2,0))&amp;G219&amp;"_"&amp;H219&amp;"_"&amp;I219</f>
        <v>2P2_5_7</v>
      </c>
      <c r="E219" s="2">
        <v>2</v>
      </c>
      <c r="F219" s="2" t="s">
        <v>193</v>
      </c>
      <c r="G219" s="2">
        <v>2</v>
      </c>
      <c r="H219" s="2">
        <v>5</v>
      </c>
      <c r="I219" s="2">
        <f>COUNTIFS($E$3:E219,E219,$H$3:H219,H219)</f>
        <v>7</v>
      </c>
      <c r="N219" s="11">
        <v>1002301</v>
      </c>
      <c r="O219" s="20"/>
    </row>
    <row r="220" spans="1:16">
      <c r="A220" s="11">
        <f t="shared" si="4"/>
        <v>70022508</v>
      </c>
      <c r="B220" s="17" t="s">
        <v>392</v>
      </c>
      <c r="D220" s="2" t="str">
        <f>E220&amp;(VLOOKUP(F220,编号表!$E$1:$G$8,2,0))&amp;G220&amp;"_"&amp;H220&amp;"_"&amp;I220</f>
        <v>2P2_5_8</v>
      </c>
      <c r="E220" s="2">
        <v>2</v>
      </c>
      <c r="F220" s="2" t="s">
        <v>193</v>
      </c>
      <c r="G220" s="2">
        <v>2</v>
      </c>
      <c r="H220" s="2">
        <v>5</v>
      </c>
      <c r="I220" s="2">
        <f>COUNTIFS($E$3:E220,E220,$H$3:H220,H220)</f>
        <v>8</v>
      </c>
      <c r="N220" s="11">
        <v>1002301</v>
      </c>
      <c r="O220" s="20"/>
    </row>
    <row r="221" spans="1:16">
      <c r="A221" s="11">
        <f t="shared" si="4"/>
        <v>70024509</v>
      </c>
      <c r="B221" s="17" t="s">
        <v>393</v>
      </c>
      <c r="D221" s="2" t="str">
        <f>E221&amp;(VLOOKUP(F221,编号表!$E$1:$G$8,2,0))&amp;G221&amp;"_"&amp;H221&amp;"_"&amp;I221</f>
        <v>2P4_5_9</v>
      </c>
      <c r="E221" s="2">
        <v>2</v>
      </c>
      <c r="F221" s="2" t="s">
        <v>193</v>
      </c>
      <c r="G221" s="2">
        <v>4</v>
      </c>
      <c r="H221" s="2">
        <v>5</v>
      </c>
      <c r="I221" s="2">
        <f>COUNTIFS($E$3:E221,E221,$H$3:H221,H221)</f>
        <v>9</v>
      </c>
      <c r="N221" s="11">
        <v>1002301</v>
      </c>
      <c r="O221" s="20"/>
    </row>
    <row r="222" spans="1:16">
      <c r="A222" s="11">
        <f t="shared" si="4"/>
        <v>70028510</v>
      </c>
      <c r="B222" s="17" t="s">
        <v>394</v>
      </c>
      <c r="D222" s="2" t="str">
        <f>E222&amp;(VLOOKUP(F222,编号表!$E$1:$G$8,2,0))&amp;G222&amp;"_"&amp;H222&amp;"_"&amp;I222</f>
        <v>2P8_5_10</v>
      </c>
      <c r="E222" s="2">
        <v>2</v>
      </c>
      <c r="F222" s="2" t="s">
        <v>193</v>
      </c>
      <c r="G222" s="2">
        <v>8</v>
      </c>
      <c r="H222" s="2">
        <v>5</v>
      </c>
      <c r="I222" s="2">
        <f>COUNTIFS($E$3:E222,E222,$H$3:H222,H222)</f>
        <v>10</v>
      </c>
      <c r="N222" s="11">
        <v>1002301</v>
      </c>
      <c r="O222" s="20"/>
    </row>
    <row r="223" spans="1:16">
      <c r="A223" s="11">
        <f t="shared" si="4"/>
        <v>70021511</v>
      </c>
      <c r="B223" s="17" t="s">
        <v>395</v>
      </c>
      <c r="D223" s="2" t="str">
        <f>E223&amp;(VLOOKUP(F223,编号表!$E$1:$G$8,2,0))&amp;G223&amp;"_"&amp;H223&amp;"_"&amp;I223</f>
        <v>2P1_5_11</v>
      </c>
      <c r="E223" s="2">
        <v>2</v>
      </c>
      <c r="F223" s="2" t="s">
        <v>193</v>
      </c>
      <c r="G223" s="2">
        <v>1</v>
      </c>
      <c r="H223" s="2">
        <v>5</v>
      </c>
      <c r="I223" s="2">
        <f>COUNTIFS($E$3:E223,E223,$H$3:H223,H223)</f>
        <v>11</v>
      </c>
      <c r="O223" s="20"/>
    </row>
    <row r="224" spans="1:16">
      <c r="A224" s="11">
        <f t="shared" si="4"/>
        <v>70021512</v>
      </c>
      <c r="B224" s="17" t="s">
        <v>396</v>
      </c>
      <c r="D224" s="2" t="str">
        <f>E224&amp;(VLOOKUP(F224,编号表!$E$1:$G$8,2,0))&amp;G224&amp;"_"&amp;H224&amp;"_"&amp;I224</f>
        <v>2P1_5_12</v>
      </c>
      <c r="E224" s="2">
        <v>2</v>
      </c>
      <c r="F224" s="2" t="s">
        <v>193</v>
      </c>
      <c r="G224" s="2">
        <v>1</v>
      </c>
      <c r="H224" s="2">
        <v>5</v>
      </c>
      <c r="I224" s="2">
        <f>COUNTIFS($E$3:E224,E224,$H$3:H224,H224)</f>
        <v>12</v>
      </c>
      <c r="O224" s="20"/>
    </row>
    <row r="225" spans="1:15">
      <c r="A225" s="11">
        <f t="shared" si="4"/>
        <v>70021513</v>
      </c>
      <c r="B225" s="17" t="s">
        <v>397</v>
      </c>
      <c r="D225" s="2" t="str">
        <f>E225&amp;(VLOOKUP(F225,编号表!$E$1:$G$8,2,0))&amp;G225&amp;"_"&amp;H225&amp;"_"&amp;I225</f>
        <v>2P1_5_13</v>
      </c>
      <c r="E225" s="2">
        <v>2</v>
      </c>
      <c r="F225" s="2" t="s">
        <v>193</v>
      </c>
      <c r="G225" s="2">
        <v>1</v>
      </c>
      <c r="H225" s="2">
        <v>5</v>
      </c>
      <c r="I225" s="2">
        <f>COUNTIFS($E$3:E225,E225,$H$3:H225,H225)</f>
        <v>13</v>
      </c>
      <c r="O225" s="20"/>
    </row>
    <row r="226" spans="1:15">
      <c r="A226" s="11">
        <f t="shared" si="4"/>
        <v>70021514</v>
      </c>
      <c r="B226" s="17" t="s">
        <v>398</v>
      </c>
      <c r="D226" s="2" t="str">
        <f>E226&amp;(VLOOKUP(F226,编号表!$E$1:$G$8,2,0))&amp;G226&amp;"_"&amp;H226&amp;"_"&amp;I226</f>
        <v>2P1_5_14</v>
      </c>
      <c r="E226" s="2">
        <v>2</v>
      </c>
      <c r="F226" s="2" t="s">
        <v>193</v>
      </c>
      <c r="G226" s="2">
        <v>1</v>
      </c>
      <c r="H226" s="2">
        <v>5</v>
      </c>
      <c r="I226" s="2">
        <f>COUNTIFS($E$3:E226,E226,$H$3:H226,H226)</f>
        <v>14</v>
      </c>
      <c r="O226" s="20"/>
    </row>
    <row r="227" spans="1:15">
      <c r="A227" s="11">
        <f t="shared" si="4"/>
        <v>70021515</v>
      </c>
      <c r="B227" s="17" t="s">
        <v>399</v>
      </c>
      <c r="D227" s="2" t="str">
        <f>E227&amp;(VLOOKUP(F227,编号表!$E$1:$G$8,2,0))&amp;G227&amp;"_"&amp;H227&amp;"_"&amp;I227</f>
        <v>2P1_5_15</v>
      </c>
      <c r="E227" s="2">
        <v>2</v>
      </c>
      <c r="F227" s="2" t="s">
        <v>193</v>
      </c>
      <c r="G227" s="2">
        <v>1</v>
      </c>
      <c r="H227" s="2">
        <v>5</v>
      </c>
      <c r="I227" s="2">
        <f>COUNTIFS($E$3:E227,E227,$H$3:H227,H227)</f>
        <v>15</v>
      </c>
      <c r="O227" s="20"/>
    </row>
    <row r="228" spans="1:15">
      <c r="A228" s="11">
        <f t="shared" si="4"/>
        <v>70022516</v>
      </c>
      <c r="B228" s="17" t="s">
        <v>400</v>
      </c>
      <c r="D228" s="2" t="str">
        <f>E228&amp;(VLOOKUP(F228,编号表!$E$1:$G$8,2,0))&amp;G228&amp;"_"&amp;H228&amp;"_"&amp;I228</f>
        <v>2P2_5_16</v>
      </c>
      <c r="E228" s="2">
        <v>2</v>
      </c>
      <c r="F228" s="2" t="s">
        <v>193</v>
      </c>
      <c r="G228" s="2">
        <v>2</v>
      </c>
      <c r="H228" s="2">
        <v>5</v>
      </c>
      <c r="I228" s="2">
        <f>COUNTIFS($E$3:E228,E228,$H$3:H228,H228)</f>
        <v>16</v>
      </c>
      <c r="N228" s="11">
        <v>1002301</v>
      </c>
      <c r="O228" s="20"/>
    </row>
    <row r="229" spans="1:15">
      <c r="A229" s="11">
        <f t="shared" si="4"/>
        <v>70022517</v>
      </c>
      <c r="B229" s="17" t="s">
        <v>401</v>
      </c>
      <c r="D229" s="2" t="str">
        <f>E229&amp;(VLOOKUP(F229,编号表!$E$1:$G$8,2,0))&amp;G229&amp;"_"&amp;H229&amp;"_"&amp;I229</f>
        <v>2P2_5_17</v>
      </c>
      <c r="E229" s="2">
        <v>2</v>
      </c>
      <c r="F229" s="2" t="s">
        <v>193</v>
      </c>
      <c r="G229" s="2">
        <v>2</v>
      </c>
      <c r="H229" s="2">
        <v>5</v>
      </c>
      <c r="I229" s="2">
        <f>COUNTIFS($E$3:E229,E229,$H$3:H229,H229)</f>
        <v>17</v>
      </c>
      <c r="N229" s="11">
        <v>1002301</v>
      </c>
      <c r="O229" s="20"/>
    </row>
    <row r="230" spans="1:15">
      <c r="A230" s="11">
        <f t="shared" si="4"/>
        <v>70021518</v>
      </c>
      <c r="B230" s="17" t="s">
        <v>402</v>
      </c>
      <c r="D230" s="2" t="str">
        <f>E230&amp;(VLOOKUP(F230,编号表!$E$1:$G$8,2,0))&amp;G230&amp;"_"&amp;H230&amp;"_"&amp;I230</f>
        <v>2P1_5_18</v>
      </c>
      <c r="E230" s="2">
        <v>2</v>
      </c>
      <c r="F230" s="2" t="s">
        <v>193</v>
      </c>
      <c r="G230" s="2">
        <v>1</v>
      </c>
      <c r="H230" s="2">
        <v>5</v>
      </c>
      <c r="I230" s="2">
        <f>COUNTIFS($E$3:E230,E230,$H$3:H230,H230)</f>
        <v>18</v>
      </c>
      <c r="O230" s="20"/>
    </row>
    <row r="231" spans="1:15">
      <c r="A231" s="11">
        <f t="shared" si="4"/>
        <v>70021519</v>
      </c>
      <c r="B231" s="17" t="s">
        <v>403</v>
      </c>
      <c r="D231" s="2" t="str">
        <f>E231&amp;(VLOOKUP(F231,编号表!$E$1:$G$8,2,0))&amp;G231&amp;"_"&amp;H231&amp;"_"&amp;I231</f>
        <v>2P1_5_19</v>
      </c>
      <c r="E231" s="2">
        <v>2</v>
      </c>
      <c r="F231" s="2" t="s">
        <v>193</v>
      </c>
      <c r="G231" s="2">
        <v>1</v>
      </c>
      <c r="H231" s="2">
        <v>5</v>
      </c>
      <c r="I231" s="2">
        <f>COUNTIFS($E$3:E231,E231,$H$3:H231,H231)</f>
        <v>19</v>
      </c>
      <c r="O231" s="20"/>
    </row>
    <row r="232" spans="1:15">
      <c r="A232" s="11">
        <f t="shared" si="4"/>
        <v>70021520</v>
      </c>
      <c r="B232" s="17" t="s">
        <v>404</v>
      </c>
      <c r="D232" s="2" t="str">
        <f>E232&amp;(VLOOKUP(F232,编号表!$E$1:$G$8,2,0))&amp;G232&amp;"_"&amp;H232&amp;"_"&amp;I232</f>
        <v>2P1_5_20</v>
      </c>
      <c r="E232" s="2">
        <v>2</v>
      </c>
      <c r="F232" s="2" t="s">
        <v>193</v>
      </c>
      <c r="G232" s="2">
        <v>1</v>
      </c>
      <c r="H232" s="2">
        <v>5</v>
      </c>
      <c r="I232" s="2">
        <f>COUNTIFS($E$3:E232,E232,$H$3:H232,H232)</f>
        <v>20</v>
      </c>
      <c r="O232" s="20"/>
    </row>
    <row r="233" spans="1:15">
      <c r="A233" s="11">
        <f t="shared" si="4"/>
        <v>70021521</v>
      </c>
      <c r="B233" s="17" t="s">
        <v>405</v>
      </c>
      <c r="D233" s="2" t="str">
        <f>E233&amp;(VLOOKUP(F233,编号表!$E$1:$G$8,2,0))&amp;G233&amp;"_"&amp;H233&amp;"_"&amp;I233</f>
        <v>2P1_5_21</v>
      </c>
      <c r="E233" s="2">
        <v>2</v>
      </c>
      <c r="F233" s="2" t="s">
        <v>193</v>
      </c>
      <c r="G233" s="2">
        <v>1</v>
      </c>
      <c r="H233" s="2">
        <v>5</v>
      </c>
      <c r="I233" s="2">
        <f>COUNTIFS($E$3:E233,E233,$H$3:H233,H233)</f>
        <v>21</v>
      </c>
      <c r="O233" s="20"/>
    </row>
    <row r="234" spans="1:15">
      <c r="A234" s="11">
        <f t="shared" si="4"/>
        <v>70021522</v>
      </c>
      <c r="B234" s="17" t="s">
        <v>406</v>
      </c>
      <c r="D234" s="2" t="str">
        <f>E234&amp;(VLOOKUP(F234,编号表!$E$1:$G$8,2,0))&amp;G234&amp;"_"&amp;H234&amp;"_"&amp;I234</f>
        <v>2P1_5_22</v>
      </c>
      <c r="E234" s="2">
        <v>2</v>
      </c>
      <c r="F234" s="2" t="s">
        <v>193</v>
      </c>
      <c r="G234" s="2">
        <v>1</v>
      </c>
      <c r="H234" s="2">
        <v>5</v>
      </c>
      <c r="I234" s="2">
        <f>COUNTIFS($E$3:E234,E234,$H$3:H234,H234)</f>
        <v>22</v>
      </c>
      <c r="O234" s="20"/>
    </row>
    <row r="235" spans="1:15">
      <c r="A235" s="11">
        <f t="shared" si="4"/>
        <v>70021523</v>
      </c>
      <c r="B235" s="17" t="s">
        <v>407</v>
      </c>
      <c r="D235" s="2" t="str">
        <f>E235&amp;(VLOOKUP(F235,编号表!$E$1:$G$8,2,0))&amp;G235&amp;"_"&amp;H235&amp;"_"&amp;I235</f>
        <v>2P1_5_23</v>
      </c>
      <c r="E235" s="2">
        <v>2</v>
      </c>
      <c r="F235" s="2" t="s">
        <v>193</v>
      </c>
      <c r="G235" s="2">
        <v>1</v>
      </c>
      <c r="H235" s="2">
        <v>5</v>
      </c>
      <c r="I235" s="2">
        <f>COUNTIFS($E$3:E235,E235,$H$3:H235,H235)</f>
        <v>23</v>
      </c>
      <c r="O235" s="20"/>
    </row>
    <row r="236" spans="1:15">
      <c r="A236" s="11">
        <f t="shared" si="4"/>
        <v>70021524</v>
      </c>
      <c r="B236" s="17" t="s">
        <v>408</v>
      </c>
      <c r="D236" s="2" t="str">
        <f>E236&amp;(VLOOKUP(F236,编号表!$E$1:$G$8,2,0))&amp;G236&amp;"_"&amp;H236&amp;"_"&amp;I236</f>
        <v>2P1_5_24</v>
      </c>
      <c r="E236" s="2">
        <v>2</v>
      </c>
      <c r="F236" s="2" t="s">
        <v>193</v>
      </c>
      <c r="G236" s="2">
        <v>1</v>
      </c>
      <c r="H236" s="2">
        <v>5</v>
      </c>
      <c r="I236" s="2">
        <f>COUNTIFS($E$3:E236,E236,$H$3:H236,H236)</f>
        <v>24</v>
      </c>
      <c r="K236" s="2">
        <v>1</v>
      </c>
      <c r="O236" s="20"/>
    </row>
    <row r="237" spans="1:15">
      <c r="A237" s="11">
        <f t="shared" si="4"/>
        <v>70021525</v>
      </c>
      <c r="B237" s="17" t="s">
        <v>409</v>
      </c>
      <c r="D237" s="2" t="str">
        <f>E237&amp;(VLOOKUP(F237,编号表!$E$1:$G$8,2,0))&amp;G237&amp;"_"&amp;H237&amp;"_"&amp;I237</f>
        <v>2P1_5_25</v>
      </c>
      <c r="E237" s="2">
        <v>2</v>
      </c>
      <c r="F237" s="2" t="s">
        <v>193</v>
      </c>
      <c r="G237" s="2">
        <v>1</v>
      </c>
      <c r="H237" s="2">
        <v>5</v>
      </c>
      <c r="I237" s="2">
        <f>COUNTIFS($E$3:E237,E237,$H$3:H237,H237)</f>
        <v>25</v>
      </c>
      <c r="O237" s="20"/>
    </row>
    <row r="238" spans="1:15">
      <c r="A238" s="11">
        <f t="shared" si="4"/>
        <v>70021526</v>
      </c>
      <c r="B238" s="17" t="s">
        <v>410</v>
      </c>
      <c r="D238" s="2" t="str">
        <f>E238&amp;(VLOOKUP(F238,编号表!$E$1:$G$8,2,0))&amp;G238&amp;"_"&amp;H238&amp;"_"&amp;I238</f>
        <v>2P1_5_26</v>
      </c>
      <c r="E238" s="2">
        <v>2</v>
      </c>
      <c r="F238" s="2" t="s">
        <v>193</v>
      </c>
      <c r="G238" s="2">
        <v>1</v>
      </c>
      <c r="H238" s="2">
        <v>5</v>
      </c>
      <c r="I238" s="2">
        <f>COUNTIFS($E$3:E238,E238,$H$3:H238,H238)</f>
        <v>26</v>
      </c>
      <c r="O238" s="20"/>
    </row>
    <row r="239" spans="1:15">
      <c r="A239" s="11">
        <f t="shared" si="4"/>
        <v>70021527</v>
      </c>
      <c r="B239" s="17" t="s">
        <v>411</v>
      </c>
      <c r="D239" s="2" t="str">
        <f>E239&amp;(VLOOKUP(F239,编号表!$E$1:$G$8,2,0))&amp;G239&amp;"_"&amp;H239&amp;"_"&amp;I239</f>
        <v>2P1_5_27</v>
      </c>
      <c r="E239" s="2">
        <v>2</v>
      </c>
      <c r="F239" s="2" t="s">
        <v>193</v>
      </c>
      <c r="G239" s="2">
        <v>1</v>
      </c>
      <c r="H239" s="2">
        <v>5</v>
      </c>
      <c r="I239" s="2">
        <f>COUNTIFS($E$3:E239,E239,$H$3:H239,H239)</f>
        <v>27</v>
      </c>
      <c r="O239" s="20"/>
    </row>
    <row r="240" spans="1:15">
      <c r="A240" s="11">
        <f t="shared" si="4"/>
        <v>70021528</v>
      </c>
      <c r="B240" s="17" t="s">
        <v>412</v>
      </c>
      <c r="D240" s="2" t="str">
        <f>E240&amp;(VLOOKUP(F240,编号表!$E$1:$G$8,2,0))&amp;G240&amp;"_"&amp;H240&amp;"_"&amp;I240</f>
        <v>2P1_5_28</v>
      </c>
      <c r="E240" s="2">
        <v>2</v>
      </c>
      <c r="F240" s="2" t="s">
        <v>193</v>
      </c>
      <c r="G240" s="2">
        <v>1</v>
      </c>
      <c r="H240" s="2">
        <v>5</v>
      </c>
      <c r="I240" s="2">
        <f>COUNTIFS($E$3:E240,E240,$H$3:H240,H240)</f>
        <v>28</v>
      </c>
      <c r="O240" s="20"/>
    </row>
    <row r="241" spans="1:15">
      <c r="A241" s="11">
        <f t="shared" si="4"/>
        <v>70021529</v>
      </c>
      <c r="B241" s="17" t="s">
        <v>413</v>
      </c>
      <c r="D241" s="2" t="str">
        <f>E241&amp;(VLOOKUP(F241,编号表!$E$1:$G$8,2,0))&amp;G241&amp;"_"&amp;H241&amp;"_"&amp;I241</f>
        <v>2P1_5_29</v>
      </c>
      <c r="E241" s="2">
        <v>2</v>
      </c>
      <c r="F241" s="2" t="s">
        <v>193</v>
      </c>
      <c r="G241" s="2">
        <v>1</v>
      </c>
      <c r="H241" s="2">
        <v>5</v>
      </c>
      <c r="I241" s="2">
        <f>COUNTIFS($E$3:E241,E241,$H$3:H241,H241)</f>
        <v>29</v>
      </c>
      <c r="O241" s="20"/>
    </row>
    <row r="242" spans="1:15">
      <c r="A242" s="11">
        <f t="shared" si="4"/>
        <v>70021530</v>
      </c>
      <c r="B242" s="17" t="s">
        <v>414</v>
      </c>
      <c r="D242" s="2" t="str">
        <f>E242&amp;(VLOOKUP(F242,编号表!$E$1:$G$8,2,0))&amp;G242&amp;"_"&amp;H242&amp;"_"&amp;I242</f>
        <v>2P1_5_30</v>
      </c>
      <c r="E242" s="2">
        <v>2</v>
      </c>
      <c r="F242" s="2" t="s">
        <v>193</v>
      </c>
      <c r="G242" s="2">
        <v>1</v>
      </c>
      <c r="H242" s="2">
        <v>5</v>
      </c>
      <c r="I242" s="2">
        <f>COUNTIFS($E$3:E242,E242,$H$3:H242,H242)</f>
        <v>30</v>
      </c>
      <c r="O242" s="20"/>
    </row>
    <row r="243" spans="1:15">
      <c r="A243" s="11">
        <f t="shared" si="4"/>
        <v>70023531</v>
      </c>
      <c r="B243" s="17" t="s">
        <v>415</v>
      </c>
      <c r="D243" s="2" t="str">
        <f>E243&amp;(VLOOKUP(F243,编号表!$E$1:$G$8,2,0))&amp;G243&amp;"_"&amp;H243&amp;"_"&amp;I243</f>
        <v>2P3_5_31</v>
      </c>
      <c r="E243" s="2">
        <v>2</v>
      </c>
      <c r="F243" s="2" t="s">
        <v>193</v>
      </c>
      <c r="G243" s="2">
        <v>3</v>
      </c>
      <c r="H243" s="2">
        <v>5</v>
      </c>
      <c r="I243" s="2">
        <f>COUNTIFS($E$3:E243,E243,$H$3:H243,H243)</f>
        <v>31</v>
      </c>
      <c r="N243" s="11">
        <v>1002301</v>
      </c>
      <c r="O243" s="20"/>
    </row>
    <row r="244" spans="1:15">
      <c r="A244" s="11">
        <f t="shared" si="4"/>
        <v>70024532</v>
      </c>
      <c r="B244" s="17" t="s">
        <v>416</v>
      </c>
      <c r="D244" s="2" t="str">
        <f>E244&amp;(VLOOKUP(F244,编号表!$E$1:$G$8,2,0))&amp;G244&amp;"_"&amp;H244&amp;"_"&amp;I244</f>
        <v>2P4_5_32</v>
      </c>
      <c r="E244" s="2">
        <v>2</v>
      </c>
      <c r="F244" s="2" t="s">
        <v>193</v>
      </c>
      <c r="G244" s="2">
        <v>4</v>
      </c>
      <c r="H244" s="2">
        <v>5</v>
      </c>
      <c r="I244" s="2">
        <f>COUNTIFS($E$3:E244,E244,$H$3:H244,H244)</f>
        <v>32</v>
      </c>
      <c r="O244" s="20"/>
    </row>
    <row r="245" spans="1:15">
      <c r="A245" s="11">
        <f t="shared" si="4"/>
        <v>70021533</v>
      </c>
      <c r="B245" s="17" t="s">
        <v>417</v>
      </c>
      <c r="D245" s="2" t="str">
        <f>E245&amp;(VLOOKUP(F245,编号表!$E$1:$G$8,2,0))&amp;G245&amp;"_"&amp;H245&amp;"_"&amp;I245</f>
        <v>2P1_5_33</v>
      </c>
      <c r="E245" s="2">
        <v>2</v>
      </c>
      <c r="F245" s="2" t="s">
        <v>193</v>
      </c>
      <c r="G245" s="2">
        <v>1</v>
      </c>
      <c r="H245" s="2">
        <v>5</v>
      </c>
      <c r="I245" s="2">
        <f>COUNTIFS($E$3:E245,E245,$H$3:H245,H245)</f>
        <v>33</v>
      </c>
      <c r="O245" s="20"/>
    </row>
    <row r="246" spans="1:15">
      <c r="A246" s="11">
        <f t="shared" si="4"/>
        <v>70021534</v>
      </c>
      <c r="B246" s="17" t="s">
        <v>418</v>
      </c>
      <c r="D246" s="2" t="str">
        <f>E246&amp;(VLOOKUP(F246,编号表!$E$1:$G$8,2,0))&amp;G246&amp;"_"&amp;H246&amp;"_"&amp;I246</f>
        <v>2P1_5_34</v>
      </c>
      <c r="E246" s="2">
        <v>2</v>
      </c>
      <c r="F246" s="2" t="s">
        <v>193</v>
      </c>
      <c r="G246" s="2">
        <v>1</v>
      </c>
      <c r="H246" s="2">
        <v>5</v>
      </c>
      <c r="I246" s="2">
        <f>COUNTIFS($E$3:E246,E246,$H$3:H246,H246)</f>
        <v>34</v>
      </c>
      <c r="O246" s="20"/>
    </row>
    <row r="247" spans="1:15">
      <c r="A247" s="11">
        <f t="shared" si="4"/>
        <v>70021535</v>
      </c>
      <c r="B247" s="17" t="s">
        <v>419</v>
      </c>
      <c r="D247" s="2" t="str">
        <f>E247&amp;(VLOOKUP(F247,编号表!$E$1:$G$8,2,0))&amp;G247&amp;"_"&amp;H247&amp;"_"&amp;I247</f>
        <v>2P1_5_35</v>
      </c>
      <c r="E247" s="2">
        <v>2</v>
      </c>
      <c r="F247" s="2" t="s">
        <v>193</v>
      </c>
      <c r="G247" s="2">
        <v>1</v>
      </c>
      <c r="H247" s="2">
        <v>5</v>
      </c>
      <c r="I247" s="2">
        <f>COUNTIFS($E$3:E247,E247,$H$3:H247,H247)</f>
        <v>35</v>
      </c>
      <c r="O247" s="20"/>
    </row>
    <row r="248" spans="1:15">
      <c r="A248" s="11">
        <f t="shared" si="4"/>
        <v>70022536</v>
      </c>
      <c r="B248" s="17" t="s">
        <v>420</v>
      </c>
      <c r="D248" s="2" t="str">
        <f>E248&amp;(VLOOKUP(F248,编号表!$E$1:$G$8,2,0))&amp;G248&amp;"_"&amp;H248&amp;"_"&amp;I248</f>
        <v>2P2_5_36</v>
      </c>
      <c r="E248" s="2">
        <v>2</v>
      </c>
      <c r="F248" s="2" t="s">
        <v>193</v>
      </c>
      <c r="G248" s="2">
        <v>2</v>
      </c>
      <c r="H248" s="2">
        <v>5</v>
      </c>
      <c r="I248" s="2">
        <f>COUNTIFS($E$3:E248,E248,$H$3:H248,H248)</f>
        <v>36</v>
      </c>
      <c r="O248" s="20"/>
    </row>
    <row r="249" spans="1:15">
      <c r="A249" s="11">
        <f t="shared" si="4"/>
        <v>70024537</v>
      </c>
      <c r="B249" s="17" t="s">
        <v>421</v>
      </c>
      <c r="D249" s="2" t="str">
        <f>E249&amp;(VLOOKUP(F249,编号表!$E$1:$G$8,2,0))&amp;G249&amp;"_"&amp;H249&amp;"_"&amp;I249</f>
        <v>2P4_5_37</v>
      </c>
      <c r="E249" s="2">
        <v>2</v>
      </c>
      <c r="F249" s="2" t="s">
        <v>193</v>
      </c>
      <c r="G249" s="2">
        <v>4</v>
      </c>
      <c r="H249" s="2">
        <v>5</v>
      </c>
      <c r="I249" s="2">
        <f>COUNTIFS($E$3:E249,E249,$H$3:H249,H249)</f>
        <v>37</v>
      </c>
      <c r="O249" s="20"/>
    </row>
    <row r="250" spans="1:15">
      <c r="A250" s="11">
        <f t="shared" si="4"/>
        <v>70022538</v>
      </c>
      <c r="B250" s="17" t="s">
        <v>422</v>
      </c>
      <c r="D250" s="2" t="str">
        <f>E250&amp;(VLOOKUP(F250,编号表!$E$1:$G$8,2,0))&amp;G250&amp;"_"&amp;H250&amp;"_"&amp;I250</f>
        <v>2P2_5_38</v>
      </c>
      <c r="E250" s="2">
        <v>2</v>
      </c>
      <c r="F250" s="2" t="s">
        <v>193</v>
      </c>
      <c r="G250" s="2">
        <v>2</v>
      </c>
      <c r="H250" s="2">
        <v>5</v>
      </c>
      <c r="I250" s="2">
        <f>COUNTIFS($E$3:E250,E250,$H$3:H250,H250)</f>
        <v>38</v>
      </c>
      <c r="O250" s="20"/>
    </row>
    <row r="251" spans="1:15">
      <c r="A251" s="11">
        <f t="shared" si="4"/>
        <v>70026539</v>
      </c>
      <c r="B251" s="17" t="s">
        <v>423</v>
      </c>
      <c r="D251" s="2" t="str">
        <f>E251&amp;(VLOOKUP(F251,编号表!$E$1:$G$8,2,0))&amp;G251&amp;"_"&amp;H251&amp;"_"&amp;I251</f>
        <v>2P6_5_39</v>
      </c>
      <c r="E251" s="2">
        <v>2</v>
      </c>
      <c r="F251" s="2" t="s">
        <v>193</v>
      </c>
      <c r="G251" s="2">
        <v>6</v>
      </c>
      <c r="H251" s="2">
        <v>5</v>
      </c>
      <c r="I251" s="2">
        <f>COUNTIFS($E$3:E251,E251,$H$3:H251,H251)</f>
        <v>39</v>
      </c>
      <c r="O251" s="20"/>
    </row>
    <row r="252" spans="1:15">
      <c r="A252" s="11">
        <f t="shared" si="4"/>
        <v>70021540</v>
      </c>
      <c r="B252" s="17" t="s">
        <v>424</v>
      </c>
      <c r="D252" s="2" t="str">
        <f>E252&amp;(VLOOKUP(F252,编号表!$E$1:$G$8,2,0))&amp;G252&amp;"_"&amp;H252&amp;"_"&amp;I252</f>
        <v>2P1_5_40</v>
      </c>
      <c r="E252" s="2">
        <v>2</v>
      </c>
      <c r="F252" s="2" t="s">
        <v>193</v>
      </c>
      <c r="G252" s="2">
        <v>1</v>
      </c>
      <c r="H252" s="2">
        <v>5</v>
      </c>
      <c r="I252" s="2">
        <f>COUNTIFS($E$3:E252,E252,$H$3:H252,H252)</f>
        <v>40</v>
      </c>
      <c r="O252" s="20"/>
    </row>
    <row r="253" spans="1:15">
      <c r="A253" s="11">
        <f t="shared" si="4"/>
        <v>70021541</v>
      </c>
      <c r="B253" s="17" t="s">
        <v>425</v>
      </c>
      <c r="D253" s="2" t="str">
        <f>E253&amp;(VLOOKUP(F253,编号表!$E$1:$G$8,2,0))&amp;G253&amp;"_"&amp;H253&amp;"_"&amp;I253</f>
        <v>2P1_5_41</v>
      </c>
      <c r="E253" s="2">
        <v>2</v>
      </c>
      <c r="F253" s="2" t="s">
        <v>193</v>
      </c>
      <c r="G253" s="2">
        <v>1</v>
      </c>
      <c r="H253" s="2">
        <v>5</v>
      </c>
      <c r="I253" s="2">
        <f>COUNTIFS($E$3:E253,E253,$H$3:H253,H253)</f>
        <v>41</v>
      </c>
      <c r="O253" s="20"/>
    </row>
    <row r="254" spans="1:15">
      <c r="A254" s="11">
        <f t="shared" si="4"/>
        <v>70021542</v>
      </c>
      <c r="B254" s="17" t="s">
        <v>426</v>
      </c>
      <c r="D254" s="2" t="str">
        <f>E254&amp;(VLOOKUP(F254,编号表!$E$1:$G$8,2,0))&amp;G254&amp;"_"&amp;H254&amp;"_"&amp;I254</f>
        <v>2P1_5_42</v>
      </c>
      <c r="E254" s="2">
        <v>2</v>
      </c>
      <c r="F254" s="2" t="s">
        <v>193</v>
      </c>
      <c r="G254" s="2">
        <v>1</v>
      </c>
      <c r="H254" s="2">
        <v>5</v>
      </c>
      <c r="I254" s="2">
        <f>COUNTIFS($E$3:E254,E254,$H$3:H254,H254)</f>
        <v>42</v>
      </c>
      <c r="O254" s="20"/>
    </row>
    <row r="255" spans="1:15">
      <c r="A255" s="11">
        <f t="shared" ref="A255:A295" si="5">70000000+E255*10000+G255*1000+H255*100+I255</f>
        <v>70021601</v>
      </c>
      <c r="B255" s="17" t="s">
        <v>427</v>
      </c>
      <c r="D255" s="2" t="str">
        <f>E255&amp;(VLOOKUP(F255,编号表!$E$1:$G$8,2,0))&amp;G255&amp;"_"&amp;H255&amp;"_"&amp;I255</f>
        <v>2P1_6_1</v>
      </c>
      <c r="E255" s="2">
        <v>2</v>
      </c>
      <c r="F255" s="2" t="s">
        <v>193</v>
      </c>
      <c r="G255" s="2">
        <v>1</v>
      </c>
      <c r="H255" s="2">
        <v>6</v>
      </c>
      <c r="I255" s="2">
        <f>COUNTIFS($E$3:E255,E255,$H$3:H255,H255)</f>
        <v>1</v>
      </c>
      <c r="O255" s="20"/>
    </row>
    <row r="256" spans="1:15">
      <c r="A256" s="11">
        <f t="shared" si="5"/>
        <v>70021602</v>
      </c>
      <c r="B256" s="17" t="s">
        <v>428</v>
      </c>
      <c r="D256" s="2" t="str">
        <f>E256&amp;(VLOOKUP(F256,编号表!$E$1:$G$8,2,0))&amp;G256&amp;"_"&amp;H256&amp;"_"&amp;I256</f>
        <v>2P1_6_2</v>
      </c>
      <c r="E256" s="2">
        <v>2</v>
      </c>
      <c r="F256" s="2" t="s">
        <v>193</v>
      </c>
      <c r="G256" s="2">
        <v>1</v>
      </c>
      <c r="H256" s="2">
        <v>6</v>
      </c>
      <c r="I256" s="2">
        <f>COUNTIFS($E$3:E256,E256,$H$3:H256,H256)</f>
        <v>2</v>
      </c>
      <c r="O256" s="20"/>
    </row>
    <row r="257" spans="1:15">
      <c r="A257" s="11">
        <f t="shared" si="5"/>
        <v>70021603</v>
      </c>
      <c r="B257" s="17" t="s">
        <v>429</v>
      </c>
      <c r="D257" s="2" t="str">
        <f>E257&amp;(VLOOKUP(F257,编号表!$E$1:$G$8,2,0))&amp;G257&amp;"_"&amp;H257&amp;"_"&amp;I257</f>
        <v>2P1_6_3</v>
      </c>
      <c r="E257" s="2">
        <v>2</v>
      </c>
      <c r="F257" s="2" t="s">
        <v>193</v>
      </c>
      <c r="G257" s="2">
        <v>1</v>
      </c>
      <c r="H257" s="2">
        <v>6</v>
      </c>
      <c r="I257" s="2">
        <f>COUNTIFS($E$3:E257,E257,$H$3:H257,H257)</f>
        <v>3</v>
      </c>
      <c r="O257" s="20"/>
    </row>
    <row r="258" spans="1:15">
      <c r="A258" s="11">
        <f t="shared" si="5"/>
        <v>70021604</v>
      </c>
      <c r="B258" s="17" t="s">
        <v>430</v>
      </c>
      <c r="D258" s="2" t="str">
        <f>E258&amp;(VLOOKUP(F258,编号表!$E$1:$G$8,2,0))&amp;G258&amp;"_"&amp;H258&amp;"_"&amp;I258</f>
        <v>2P1_6_4</v>
      </c>
      <c r="E258" s="2">
        <v>2</v>
      </c>
      <c r="F258" s="2" t="s">
        <v>193</v>
      </c>
      <c r="G258" s="2">
        <v>1</v>
      </c>
      <c r="H258" s="2">
        <v>6</v>
      </c>
      <c r="I258" s="2">
        <f>COUNTIFS($E$3:E258,E258,$H$3:H258,H258)</f>
        <v>4</v>
      </c>
      <c r="O258" s="20"/>
    </row>
    <row r="259" spans="1:15">
      <c r="A259" s="11">
        <f t="shared" si="5"/>
        <v>70021605</v>
      </c>
      <c r="B259" s="17" t="s">
        <v>431</v>
      </c>
      <c r="D259" s="2" t="str">
        <f>E259&amp;(VLOOKUP(F259,编号表!$E$1:$G$8,2,0))&amp;G259&amp;"_"&amp;H259&amp;"_"&amp;I259</f>
        <v>2P1_6_5</v>
      </c>
      <c r="E259" s="2">
        <v>2</v>
      </c>
      <c r="F259" s="2" t="s">
        <v>193</v>
      </c>
      <c r="G259" s="2">
        <v>1</v>
      </c>
      <c r="H259" s="2">
        <v>6</v>
      </c>
      <c r="I259" s="2">
        <f>COUNTIFS($E$3:E259,E259,$H$3:H259,H259)</f>
        <v>5</v>
      </c>
      <c r="O259" s="20"/>
    </row>
    <row r="260" spans="1:15">
      <c r="A260" s="11">
        <f t="shared" si="5"/>
        <v>70021606</v>
      </c>
      <c r="B260" s="17" t="s">
        <v>432</v>
      </c>
      <c r="D260" s="2" t="str">
        <f>E260&amp;(VLOOKUP(F260,编号表!$E$1:$G$8,2,0))&amp;G260&amp;"_"&amp;H260&amp;"_"&amp;I260</f>
        <v>2P1_6_6</v>
      </c>
      <c r="E260" s="2">
        <v>2</v>
      </c>
      <c r="F260" s="2" t="s">
        <v>193</v>
      </c>
      <c r="G260" s="2">
        <v>1</v>
      </c>
      <c r="H260" s="2">
        <v>6</v>
      </c>
      <c r="I260" s="2">
        <f>COUNTIFS($E$3:E260,E260,$H$3:H260,H260)</f>
        <v>6</v>
      </c>
      <c r="O260" s="20"/>
    </row>
    <row r="261" spans="1:15">
      <c r="A261" s="11">
        <f t="shared" si="5"/>
        <v>70021607</v>
      </c>
      <c r="B261" s="17" t="s">
        <v>433</v>
      </c>
      <c r="D261" s="2" t="str">
        <f>E261&amp;(VLOOKUP(F261,编号表!$E$1:$G$8,2,0))&amp;G261&amp;"_"&amp;H261&amp;"_"&amp;I261</f>
        <v>2P1_6_7</v>
      </c>
      <c r="E261" s="2">
        <v>2</v>
      </c>
      <c r="F261" s="2" t="s">
        <v>193</v>
      </c>
      <c r="G261" s="2">
        <v>1</v>
      </c>
      <c r="H261" s="2">
        <v>6</v>
      </c>
      <c r="I261" s="2">
        <f>COUNTIFS($E$3:E261,E261,$H$3:H261,H261)</f>
        <v>7</v>
      </c>
      <c r="O261" s="20"/>
    </row>
    <row r="262" spans="1:15">
      <c r="A262" s="11">
        <f t="shared" si="5"/>
        <v>70021608</v>
      </c>
      <c r="B262" s="17" t="s">
        <v>434</v>
      </c>
      <c r="D262" s="2" t="str">
        <f>E262&amp;(VLOOKUP(F262,编号表!$E$1:$G$8,2,0))&amp;G262&amp;"_"&amp;H262&amp;"_"&amp;I262</f>
        <v>2P1_6_8</v>
      </c>
      <c r="E262" s="2">
        <v>2</v>
      </c>
      <c r="F262" s="2" t="s">
        <v>193</v>
      </c>
      <c r="G262" s="2">
        <v>1</v>
      </c>
      <c r="H262" s="2">
        <v>6</v>
      </c>
      <c r="I262" s="2">
        <f>COUNTIFS($E$3:E262,E262,$H$3:H262,H262)</f>
        <v>8</v>
      </c>
      <c r="O262" s="20"/>
    </row>
    <row r="263" spans="1:15">
      <c r="A263" s="11">
        <f t="shared" si="5"/>
        <v>70021609</v>
      </c>
      <c r="B263" s="17" t="s">
        <v>435</v>
      </c>
      <c r="D263" s="2" t="str">
        <f>E263&amp;(VLOOKUP(F263,编号表!$E$1:$G$8,2,0))&amp;G263&amp;"_"&amp;H263&amp;"_"&amp;I263</f>
        <v>2P1_6_9</v>
      </c>
      <c r="E263" s="2">
        <v>2</v>
      </c>
      <c r="F263" s="2" t="s">
        <v>193</v>
      </c>
      <c r="G263" s="2">
        <v>1</v>
      </c>
      <c r="H263" s="2">
        <v>6</v>
      </c>
      <c r="I263" s="2">
        <f>COUNTIFS($E$3:E263,E263,$H$3:H263,H263)</f>
        <v>9</v>
      </c>
      <c r="O263" s="20"/>
    </row>
    <row r="264" spans="1:15">
      <c r="A264" s="11">
        <f t="shared" si="5"/>
        <v>70021610</v>
      </c>
      <c r="B264" s="17" t="s">
        <v>436</v>
      </c>
      <c r="D264" s="2" t="str">
        <f>E264&amp;(VLOOKUP(F264,编号表!$E$1:$G$8,2,0))&amp;G264&amp;"_"&amp;H264&amp;"_"&amp;I264</f>
        <v>2P1_6_10</v>
      </c>
      <c r="E264" s="2">
        <v>2</v>
      </c>
      <c r="F264" s="2" t="s">
        <v>193</v>
      </c>
      <c r="G264" s="2">
        <v>1</v>
      </c>
      <c r="H264" s="2">
        <v>6</v>
      </c>
      <c r="I264" s="2">
        <f>COUNTIFS($E$3:E264,E264,$H$3:H264,H264)</f>
        <v>10</v>
      </c>
      <c r="O264" s="20"/>
    </row>
    <row r="265" spans="1:15">
      <c r="A265" s="11">
        <f t="shared" si="5"/>
        <v>70021611</v>
      </c>
      <c r="B265" s="17" t="s">
        <v>437</v>
      </c>
      <c r="D265" s="2" t="str">
        <f>E265&amp;(VLOOKUP(F265,编号表!$E$1:$G$8,2,0))&amp;G265&amp;"_"&amp;H265&amp;"_"&amp;I265</f>
        <v>2P1_6_11</v>
      </c>
      <c r="E265" s="2">
        <v>2</v>
      </c>
      <c r="F265" s="2" t="s">
        <v>193</v>
      </c>
      <c r="G265" s="2">
        <v>1</v>
      </c>
      <c r="H265" s="2">
        <v>6</v>
      </c>
      <c r="I265" s="2">
        <f>COUNTIFS($E$3:E265,E265,$H$3:H265,H265)</f>
        <v>11</v>
      </c>
      <c r="O265" s="20"/>
    </row>
    <row r="266" spans="1:15">
      <c r="A266" s="11">
        <f t="shared" si="5"/>
        <v>70021612</v>
      </c>
      <c r="B266" s="17" t="s">
        <v>438</v>
      </c>
      <c r="D266" s="2" t="str">
        <f>E266&amp;(VLOOKUP(F266,编号表!$E$1:$G$8,2,0))&amp;G266&amp;"_"&amp;H266&amp;"_"&amp;I266</f>
        <v>2P1_6_12</v>
      </c>
      <c r="E266" s="2">
        <v>2</v>
      </c>
      <c r="F266" s="2" t="s">
        <v>193</v>
      </c>
      <c r="G266" s="2">
        <v>1</v>
      </c>
      <c r="H266" s="2">
        <v>6</v>
      </c>
      <c r="I266" s="2">
        <f>COUNTIFS($E$3:E266,E266,$H$3:H266,H266)</f>
        <v>12</v>
      </c>
      <c r="O266" s="20"/>
    </row>
    <row r="267" spans="1:15">
      <c r="A267" s="11">
        <f t="shared" si="5"/>
        <v>70021613</v>
      </c>
      <c r="B267" s="17" t="s">
        <v>439</v>
      </c>
      <c r="D267" s="2" t="str">
        <f>E267&amp;(VLOOKUP(F267,编号表!$E$1:$G$8,2,0))&amp;G267&amp;"_"&amp;H267&amp;"_"&amp;I267</f>
        <v>2P1_6_13</v>
      </c>
      <c r="E267" s="2">
        <v>2</v>
      </c>
      <c r="F267" s="2" t="s">
        <v>193</v>
      </c>
      <c r="G267" s="2">
        <v>1</v>
      </c>
      <c r="H267" s="2">
        <v>6</v>
      </c>
      <c r="I267" s="2">
        <f>COUNTIFS($E$3:E267,E267,$H$3:H267,H267)</f>
        <v>13</v>
      </c>
      <c r="O267" s="20"/>
    </row>
    <row r="268" spans="1:15">
      <c r="A268" s="11">
        <f t="shared" si="5"/>
        <v>70021614</v>
      </c>
      <c r="B268" s="17" t="s">
        <v>440</v>
      </c>
      <c r="D268" s="2" t="str">
        <f>E268&amp;(VLOOKUP(F268,编号表!$E$1:$G$8,2,0))&amp;G268&amp;"_"&amp;H268&amp;"_"&amp;I268</f>
        <v>2P1_6_14</v>
      </c>
      <c r="E268" s="2">
        <v>2</v>
      </c>
      <c r="F268" s="2" t="s">
        <v>193</v>
      </c>
      <c r="G268" s="2">
        <v>1</v>
      </c>
      <c r="H268" s="2">
        <v>6</v>
      </c>
      <c r="I268" s="2">
        <f>COUNTIFS($E$3:E268,E268,$H$3:H268,H268)</f>
        <v>14</v>
      </c>
      <c r="O268" s="20"/>
    </row>
    <row r="269" spans="1:15">
      <c r="A269" s="11">
        <f t="shared" si="5"/>
        <v>70021615</v>
      </c>
      <c r="B269" s="17" t="s">
        <v>441</v>
      </c>
      <c r="D269" s="2" t="str">
        <f>E269&amp;(VLOOKUP(F269,编号表!$E$1:$G$8,2,0))&amp;G269&amp;"_"&amp;H269&amp;"_"&amp;I269</f>
        <v>2P1_6_15</v>
      </c>
      <c r="E269" s="2">
        <v>2</v>
      </c>
      <c r="F269" s="2" t="s">
        <v>193</v>
      </c>
      <c r="G269" s="2">
        <v>1</v>
      </c>
      <c r="H269" s="2">
        <v>6</v>
      </c>
      <c r="I269" s="2">
        <f>COUNTIFS($E$3:E269,E269,$H$3:H269,H269)</f>
        <v>15</v>
      </c>
      <c r="O269" s="20"/>
    </row>
    <row r="270" spans="1:15">
      <c r="A270" s="11">
        <f t="shared" si="5"/>
        <v>70021616</v>
      </c>
      <c r="B270" s="17" t="s">
        <v>442</v>
      </c>
      <c r="D270" s="2" t="str">
        <f>E270&amp;(VLOOKUP(F270,编号表!$E$1:$G$8,2,0))&amp;G270&amp;"_"&amp;H270&amp;"_"&amp;I270</f>
        <v>2P1_6_16</v>
      </c>
      <c r="E270" s="2">
        <v>2</v>
      </c>
      <c r="F270" s="2" t="s">
        <v>193</v>
      </c>
      <c r="G270" s="2">
        <v>1</v>
      </c>
      <c r="H270" s="2">
        <v>6</v>
      </c>
      <c r="I270" s="2">
        <f>COUNTIFS($E$3:E270,E270,$H$3:H270,H270)</f>
        <v>16</v>
      </c>
      <c r="O270" s="20"/>
    </row>
    <row r="271" spans="1:15">
      <c r="A271" s="11">
        <f t="shared" si="5"/>
        <v>70021617</v>
      </c>
      <c r="B271" s="17" t="s">
        <v>443</v>
      </c>
      <c r="D271" s="2" t="str">
        <f>E271&amp;(VLOOKUP(F271,编号表!$E$1:$G$8,2,0))&amp;G271&amp;"_"&amp;H271&amp;"_"&amp;I271</f>
        <v>2P1_6_17</v>
      </c>
      <c r="E271" s="2">
        <v>2</v>
      </c>
      <c r="F271" s="2" t="s">
        <v>193</v>
      </c>
      <c r="G271" s="2">
        <v>1</v>
      </c>
      <c r="H271" s="2">
        <v>6</v>
      </c>
      <c r="I271" s="2">
        <f>COUNTIFS($E$3:E271,E271,$H$3:H271,H271)</f>
        <v>17</v>
      </c>
      <c r="O271" s="20"/>
    </row>
    <row r="272" spans="1:15">
      <c r="A272" s="11">
        <f t="shared" si="5"/>
        <v>70021618</v>
      </c>
      <c r="B272" s="17" t="s">
        <v>444</v>
      </c>
      <c r="D272" s="2" t="str">
        <f>E272&amp;(VLOOKUP(F272,编号表!$E$1:$G$8,2,0))&amp;G272&amp;"_"&amp;H272&amp;"_"&amp;I272</f>
        <v>2P1_6_18</v>
      </c>
      <c r="E272" s="2">
        <v>2</v>
      </c>
      <c r="F272" s="2" t="s">
        <v>193</v>
      </c>
      <c r="G272" s="2">
        <v>1</v>
      </c>
      <c r="H272" s="2">
        <v>6</v>
      </c>
      <c r="I272" s="2">
        <f>COUNTIFS($E$3:E272,E272,$H$3:H272,H272)</f>
        <v>18</v>
      </c>
      <c r="O272" s="20"/>
    </row>
    <row r="273" spans="1:15">
      <c r="A273" s="11">
        <f t="shared" si="5"/>
        <v>70021619</v>
      </c>
      <c r="B273" s="17" t="s">
        <v>445</v>
      </c>
      <c r="D273" s="2" t="str">
        <f>E273&amp;(VLOOKUP(F273,编号表!$E$1:$G$8,2,0))&amp;G273&amp;"_"&amp;H273&amp;"_"&amp;I273</f>
        <v>2P1_6_19</v>
      </c>
      <c r="E273" s="2">
        <v>2</v>
      </c>
      <c r="F273" s="2" t="s">
        <v>193</v>
      </c>
      <c r="G273" s="2">
        <v>1</v>
      </c>
      <c r="H273" s="2">
        <v>6</v>
      </c>
      <c r="I273" s="2">
        <f>COUNTIFS($E$3:E273,E273,$H$3:H273,H273)</f>
        <v>19</v>
      </c>
      <c r="O273" s="20"/>
    </row>
    <row r="274" spans="1:15">
      <c r="A274" s="11">
        <f t="shared" si="5"/>
        <v>70021620</v>
      </c>
      <c r="B274" s="17" t="s">
        <v>446</v>
      </c>
      <c r="D274" s="2" t="str">
        <f>E274&amp;(VLOOKUP(F274,编号表!$E$1:$G$8,2,0))&amp;G274&amp;"_"&amp;H274&amp;"_"&amp;I274</f>
        <v>2P1_6_20</v>
      </c>
      <c r="E274" s="2">
        <v>2</v>
      </c>
      <c r="F274" s="2" t="s">
        <v>193</v>
      </c>
      <c r="G274" s="2">
        <v>1</v>
      </c>
      <c r="H274" s="2">
        <v>6</v>
      </c>
      <c r="I274" s="2">
        <f>COUNTIFS($E$3:E274,E274,$H$3:H274,H274)</f>
        <v>20</v>
      </c>
      <c r="O274" s="20"/>
    </row>
    <row r="275" spans="1:15">
      <c r="A275" s="11">
        <f t="shared" si="5"/>
        <v>70021621</v>
      </c>
      <c r="B275" s="17" t="s">
        <v>447</v>
      </c>
      <c r="D275" s="2" t="str">
        <f>E275&amp;(VLOOKUP(F275,编号表!$E$1:$G$8,2,0))&amp;G275&amp;"_"&amp;H275&amp;"_"&amp;I275</f>
        <v>2P1_6_21</v>
      </c>
      <c r="E275" s="2">
        <v>2</v>
      </c>
      <c r="F275" s="2" t="s">
        <v>193</v>
      </c>
      <c r="G275" s="2">
        <v>1</v>
      </c>
      <c r="H275" s="2">
        <v>6</v>
      </c>
      <c r="I275" s="2">
        <f>COUNTIFS($E$3:E275,E275,$H$3:H275,H275)</f>
        <v>21</v>
      </c>
      <c r="O275" s="20"/>
    </row>
    <row r="276" spans="1:15">
      <c r="A276" s="11">
        <f t="shared" si="5"/>
        <v>70021622</v>
      </c>
      <c r="B276" s="17" t="s">
        <v>448</v>
      </c>
      <c r="D276" s="2" t="str">
        <f>E276&amp;(VLOOKUP(F276,编号表!$E$1:$G$8,2,0))&amp;G276&amp;"_"&amp;H276&amp;"_"&amp;I276</f>
        <v>2P1_6_22</v>
      </c>
      <c r="E276" s="2">
        <v>2</v>
      </c>
      <c r="F276" s="2" t="s">
        <v>193</v>
      </c>
      <c r="G276" s="2">
        <v>1</v>
      </c>
      <c r="H276" s="2">
        <v>6</v>
      </c>
      <c r="I276" s="2">
        <f>COUNTIFS($E$3:E276,E276,$H$3:H276,H276)</f>
        <v>22</v>
      </c>
      <c r="O276" s="20"/>
    </row>
    <row r="277" spans="1:15">
      <c r="A277" s="11">
        <f t="shared" si="5"/>
        <v>70021623</v>
      </c>
      <c r="B277" s="17" t="s">
        <v>449</v>
      </c>
      <c r="D277" s="2" t="str">
        <f>E277&amp;(VLOOKUP(F277,编号表!$E$1:$G$8,2,0))&amp;G277&amp;"_"&amp;H277&amp;"_"&amp;I277</f>
        <v>2P1_6_23</v>
      </c>
      <c r="E277" s="2">
        <v>2</v>
      </c>
      <c r="F277" s="2" t="s">
        <v>193</v>
      </c>
      <c r="G277" s="2">
        <v>1</v>
      </c>
      <c r="H277" s="2">
        <v>6</v>
      </c>
      <c r="I277" s="2">
        <f>COUNTIFS($E$3:E277,E277,$H$3:H277,H277)</f>
        <v>23</v>
      </c>
      <c r="O277" s="20"/>
    </row>
    <row r="278" spans="1:15">
      <c r="A278" s="11">
        <f t="shared" si="5"/>
        <v>70021624</v>
      </c>
      <c r="B278" s="17" t="s">
        <v>450</v>
      </c>
      <c r="D278" s="2" t="str">
        <f>E278&amp;(VLOOKUP(F278,编号表!$E$1:$G$8,2,0))&amp;G278&amp;"_"&amp;H278&amp;"_"&amp;I278</f>
        <v>2P1_6_24</v>
      </c>
      <c r="E278" s="2">
        <v>2</v>
      </c>
      <c r="F278" s="2" t="s">
        <v>193</v>
      </c>
      <c r="G278" s="2">
        <v>1</v>
      </c>
      <c r="H278" s="2">
        <v>6</v>
      </c>
      <c r="I278" s="2">
        <f>COUNTIFS($E$3:E278,E278,$H$3:H278,H278)</f>
        <v>24</v>
      </c>
      <c r="O278" s="20"/>
    </row>
    <row r="279" spans="1:15">
      <c r="A279" s="11">
        <f t="shared" si="5"/>
        <v>70021625</v>
      </c>
      <c r="B279" s="17" t="s">
        <v>451</v>
      </c>
      <c r="D279" s="2" t="str">
        <f>E279&amp;(VLOOKUP(F279,编号表!$E$1:$G$8,2,0))&amp;G279&amp;"_"&amp;H279&amp;"_"&amp;I279</f>
        <v>2P1_6_25</v>
      </c>
      <c r="E279" s="2">
        <v>2</v>
      </c>
      <c r="F279" s="2" t="s">
        <v>193</v>
      </c>
      <c r="G279" s="2">
        <v>1</v>
      </c>
      <c r="H279" s="2">
        <v>6</v>
      </c>
      <c r="I279" s="2">
        <f>COUNTIFS($E$3:E279,E279,$H$3:H279,H279)</f>
        <v>25</v>
      </c>
      <c r="O279" s="20"/>
    </row>
    <row r="280" spans="1:15">
      <c r="A280" s="11">
        <f t="shared" si="5"/>
        <v>70021626</v>
      </c>
      <c r="B280" s="17" t="s">
        <v>452</v>
      </c>
      <c r="D280" s="2" t="str">
        <f>E280&amp;(VLOOKUP(F280,编号表!$E$1:$G$8,2,0))&amp;G280&amp;"_"&amp;H280&amp;"_"&amp;I280</f>
        <v>2P1_6_26</v>
      </c>
      <c r="E280" s="2">
        <v>2</v>
      </c>
      <c r="F280" s="2" t="s">
        <v>193</v>
      </c>
      <c r="G280" s="2">
        <v>1</v>
      </c>
      <c r="H280" s="2">
        <v>6</v>
      </c>
      <c r="I280" s="2">
        <f>COUNTIFS($E$3:E280,E280,$H$3:H280,H280)</f>
        <v>26</v>
      </c>
      <c r="O280" s="20"/>
    </row>
    <row r="281" spans="1:15">
      <c r="A281" s="11">
        <f t="shared" si="5"/>
        <v>70021627</v>
      </c>
      <c r="B281" s="17" t="s">
        <v>453</v>
      </c>
      <c r="D281" s="2" t="str">
        <f>E281&amp;(VLOOKUP(F281,编号表!$E$1:$G$8,2,0))&amp;G281&amp;"_"&amp;H281&amp;"_"&amp;I281</f>
        <v>2P1_6_27</v>
      </c>
      <c r="E281" s="2">
        <v>2</v>
      </c>
      <c r="F281" s="2" t="s">
        <v>193</v>
      </c>
      <c r="G281" s="2">
        <v>1</v>
      </c>
      <c r="H281" s="2">
        <v>6</v>
      </c>
      <c r="I281" s="2">
        <f>COUNTIFS($E$3:E281,E281,$H$3:H281,H281)</f>
        <v>27</v>
      </c>
      <c r="O281" s="20"/>
    </row>
    <row r="282" spans="1:15">
      <c r="A282" s="11">
        <f t="shared" ref="A282:A315" si="6">70000000+E282*10000+G282*1000+H282*100+I282</f>
        <v>70021628</v>
      </c>
      <c r="B282" s="17" t="s">
        <v>454</v>
      </c>
      <c r="D282" s="2" t="str">
        <f>E282&amp;(VLOOKUP(F282,编号表!$E$1:$G$8,2,0))&amp;G282&amp;"_"&amp;H282&amp;"_"&amp;I282</f>
        <v>2P1_6_28</v>
      </c>
      <c r="E282" s="2">
        <v>2</v>
      </c>
      <c r="F282" s="2" t="s">
        <v>193</v>
      </c>
      <c r="G282" s="2">
        <v>1</v>
      </c>
      <c r="H282" s="2">
        <v>6</v>
      </c>
      <c r="I282" s="2">
        <f>COUNTIFS($E$3:E282,E282,$H$3:H282,H282)</f>
        <v>28</v>
      </c>
      <c r="O282" s="20"/>
    </row>
    <row r="283" spans="1:15">
      <c r="A283" s="11">
        <f t="shared" si="6"/>
        <v>70021629</v>
      </c>
      <c r="B283" s="17" t="s">
        <v>455</v>
      </c>
      <c r="D283" s="2" t="str">
        <f>E283&amp;(VLOOKUP(F283,编号表!$E$1:$G$8,2,0))&amp;G283&amp;"_"&amp;H283&amp;"_"&amp;I283</f>
        <v>2P1_6_29</v>
      </c>
      <c r="E283" s="2">
        <v>2</v>
      </c>
      <c r="F283" s="2" t="s">
        <v>193</v>
      </c>
      <c r="G283" s="2">
        <v>1</v>
      </c>
      <c r="H283" s="2">
        <v>6</v>
      </c>
      <c r="I283" s="2">
        <f>COUNTIFS($E$3:E283,E283,$H$3:H283,H283)</f>
        <v>29</v>
      </c>
      <c r="O283" s="20"/>
    </row>
    <row r="284" spans="1:15">
      <c r="A284" s="11">
        <f t="shared" si="6"/>
        <v>70021630</v>
      </c>
      <c r="B284" s="17" t="s">
        <v>456</v>
      </c>
      <c r="D284" s="2" t="str">
        <f>E284&amp;(VLOOKUP(F284,编号表!$E$1:$G$8,2,0))&amp;G284&amp;"_"&amp;H284&amp;"_"&amp;I284</f>
        <v>2P1_6_30</v>
      </c>
      <c r="E284" s="2">
        <v>2</v>
      </c>
      <c r="F284" s="2" t="s">
        <v>193</v>
      </c>
      <c r="G284" s="2">
        <v>1</v>
      </c>
      <c r="H284" s="2">
        <v>6</v>
      </c>
      <c r="I284" s="2">
        <f>COUNTIFS($E$3:E284,E284,$H$3:H284,H284)</f>
        <v>30</v>
      </c>
      <c r="O284" s="20"/>
    </row>
    <row r="285" spans="1:15">
      <c r="A285" s="11">
        <f t="shared" si="6"/>
        <v>70021631</v>
      </c>
      <c r="B285" s="17" t="s">
        <v>457</v>
      </c>
      <c r="D285" s="2" t="str">
        <f>E285&amp;(VLOOKUP(F285,编号表!$E$1:$G$8,2,0))&amp;G285&amp;"_"&amp;H285&amp;"_"&amp;I285</f>
        <v>2P1_6_31</v>
      </c>
      <c r="E285" s="2">
        <v>2</v>
      </c>
      <c r="F285" s="2" t="s">
        <v>193</v>
      </c>
      <c r="G285" s="2">
        <v>1</v>
      </c>
      <c r="H285" s="2">
        <v>6</v>
      </c>
      <c r="I285" s="2">
        <f>COUNTIFS($E$3:E285,E285,$H$3:H285,H285)</f>
        <v>31</v>
      </c>
      <c r="O285" s="20"/>
    </row>
    <row r="286" spans="1:15">
      <c r="A286" s="11">
        <f t="shared" si="6"/>
        <v>70021632</v>
      </c>
      <c r="B286" s="17" t="s">
        <v>458</v>
      </c>
      <c r="D286" s="2" t="str">
        <f>E286&amp;(VLOOKUP(F286,编号表!$E$1:$G$8,2,0))&amp;G286&amp;"_"&amp;H286&amp;"_"&amp;I286</f>
        <v>2P1_6_32</v>
      </c>
      <c r="E286" s="2">
        <v>2</v>
      </c>
      <c r="F286" s="2" t="s">
        <v>193</v>
      </c>
      <c r="G286" s="2">
        <v>1</v>
      </c>
      <c r="H286" s="2">
        <v>6</v>
      </c>
      <c r="I286" s="2">
        <f>COUNTIFS($E$3:E286,E286,$H$3:H286,H286)</f>
        <v>32</v>
      </c>
      <c r="O286" s="20"/>
    </row>
    <row r="287" spans="1:15">
      <c r="A287" s="11">
        <f t="shared" si="6"/>
        <v>70021633</v>
      </c>
      <c r="B287" s="17" t="s">
        <v>459</v>
      </c>
      <c r="D287" s="2" t="str">
        <f>E287&amp;(VLOOKUP(F287,编号表!$E$1:$G$8,2,0))&amp;G287&amp;"_"&amp;H287&amp;"_"&amp;I287</f>
        <v>2P1_6_33</v>
      </c>
      <c r="E287" s="2">
        <v>2</v>
      </c>
      <c r="F287" s="2" t="s">
        <v>193</v>
      </c>
      <c r="G287" s="2">
        <v>1</v>
      </c>
      <c r="H287" s="2">
        <v>6</v>
      </c>
      <c r="I287" s="2">
        <f>COUNTIFS($E$3:E287,E287,$H$3:H287,H287)</f>
        <v>33</v>
      </c>
      <c r="O287" s="20"/>
    </row>
    <row r="288" spans="1:15">
      <c r="A288" s="11">
        <f t="shared" si="6"/>
        <v>70021634</v>
      </c>
      <c r="B288" s="17" t="s">
        <v>460</v>
      </c>
      <c r="D288" s="2" t="str">
        <f>E288&amp;(VLOOKUP(F288,编号表!$E$1:$G$8,2,0))&amp;G288&amp;"_"&amp;H288&amp;"_"&amp;I288</f>
        <v>2P1_6_34</v>
      </c>
      <c r="E288" s="2">
        <v>2</v>
      </c>
      <c r="F288" s="2" t="s">
        <v>193</v>
      </c>
      <c r="G288" s="2">
        <v>1</v>
      </c>
      <c r="H288" s="2">
        <v>6</v>
      </c>
      <c r="I288" s="2">
        <f>COUNTIFS($E$3:E288,E288,$H$3:H288,H288)</f>
        <v>34</v>
      </c>
      <c r="O288" s="20"/>
    </row>
    <row r="289" spans="1:19">
      <c r="A289" s="11">
        <f t="shared" si="6"/>
        <v>70021635</v>
      </c>
      <c r="B289" s="17" t="s">
        <v>461</v>
      </c>
      <c r="D289" s="2" t="str">
        <f>E289&amp;(VLOOKUP(F289,编号表!$E$1:$G$8,2,0))&amp;G289&amp;"_"&amp;H289&amp;"_"&amp;I289</f>
        <v>2P1_6_35</v>
      </c>
      <c r="E289" s="2">
        <v>2</v>
      </c>
      <c r="F289" s="2" t="s">
        <v>193</v>
      </c>
      <c r="G289" s="2">
        <v>1</v>
      </c>
      <c r="H289" s="2">
        <v>6</v>
      </c>
      <c r="I289" s="2">
        <f>COUNTIFS($E$3:E289,E289,$H$3:H289,H289)</f>
        <v>35</v>
      </c>
      <c r="O289" s="20"/>
    </row>
    <row r="290" spans="1:19">
      <c r="A290" s="11">
        <f t="shared" si="6"/>
        <v>70021636</v>
      </c>
      <c r="B290" s="17" t="s">
        <v>462</v>
      </c>
      <c r="D290" s="2" t="str">
        <f>E290&amp;(VLOOKUP(F290,编号表!$E$1:$G$8,2,0))&amp;G290&amp;"_"&amp;H290&amp;"_"&amp;I290</f>
        <v>2P1_6_36</v>
      </c>
      <c r="E290" s="2">
        <v>2</v>
      </c>
      <c r="F290" s="2" t="s">
        <v>193</v>
      </c>
      <c r="G290" s="2">
        <v>1</v>
      </c>
      <c r="H290" s="2">
        <v>6</v>
      </c>
      <c r="I290" s="2">
        <f>COUNTIFS($E$3:E290,E290,$H$3:H290,H290)</f>
        <v>36</v>
      </c>
      <c r="O290" s="20"/>
    </row>
    <row r="291" spans="1:19">
      <c r="A291" s="11">
        <f t="shared" si="6"/>
        <v>70021637</v>
      </c>
      <c r="B291" s="17" t="s">
        <v>463</v>
      </c>
      <c r="D291" s="2" t="str">
        <f>E291&amp;(VLOOKUP(F291,编号表!$E$1:$G$8,2,0))&amp;G291&amp;"_"&amp;H291&amp;"_"&amp;I291</f>
        <v>2P1_6_37</v>
      </c>
      <c r="E291" s="2">
        <v>2</v>
      </c>
      <c r="F291" s="2" t="s">
        <v>193</v>
      </c>
      <c r="G291" s="2">
        <v>1</v>
      </c>
      <c r="H291" s="2">
        <v>6</v>
      </c>
      <c r="I291" s="2">
        <f>COUNTIFS($E$3:E291,E291,$H$3:H291,H291)</f>
        <v>37</v>
      </c>
      <c r="O291" s="20"/>
    </row>
    <row r="292" spans="1:19">
      <c r="A292" s="11">
        <f t="shared" si="6"/>
        <v>70021638</v>
      </c>
      <c r="B292" s="17" t="s">
        <v>464</v>
      </c>
      <c r="D292" s="2" t="str">
        <f>E292&amp;(VLOOKUP(F292,编号表!$E$1:$G$8,2,0))&amp;G292&amp;"_"&amp;H292&amp;"_"&amp;I292</f>
        <v>2P1_6_38</v>
      </c>
      <c r="E292" s="2">
        <v>2</v>
      </c>
      <c r="F292" s="2" t="s">
        <v>193</v>
      </c>
      <c r="G292" s="2">
        <v>1</v>
      </c>
      <c r="H292" s="2">
        <v>6</v>
      </c>
      <c r="I292" s="2">
        <f>COUNTIFS($E$3:E292,E292,$H$3:H292,H292)</f>
        <v>38</v>
      </c>
      <c r="O292" s="20"/>
    </row>
    <row r="293" spans="1:19">
      <c r="A293" s="11">
        <f t="shared" si="6"/>
        <v>70021639</v>
      </c>
      <c r="B293" s="17" t="s">
        <v>465</v>
      </c>
      <c r="D293" s="2" t="str">
        <f>E293&amp;(VLOOKUP(F293,编号表!$E$1:$G$8,2,0))&amp;G293&amp;"_"&amp;H293&amp;"_"&amp;I293</f>
        <v>2P1_6_39</v>
      </c>
      <c r="E293" s="2">
        <v>2</v>
      </c>
      <c r="F293" s="2" t="s">
        <v>193</v>
      </c>
      <c r="G293" s="2">
        <v>1</v>
      </c>
      <c r="H293" s="2">
        <v>6</v>
      </c>
      <c r="I293" s="2">
        <f>COUNTIFS($E$3:E293,E293,$H$3:H293,H293)</f>
        <v>39</v>
      </c>
      <c r="O293" s="20"/>
    </row>
    <row r="294" spans="1:19">
      <c r="A294" s="11">
        <f t="shared" si="6"/>
        <v>70021640</v>
      </c>
      <c r="B294" s="17" t="s">
        <v>466</v>
      </c>
      <c r="D294" s="2" t="str">
        <f>E294&amp;(VLOOKUP(F294,编号表!$E$1:$G$8,2,0))&amp;G294&amp;"_"&amp;H294&amp;"_"&amp;I294</f>
        <v>2P1_6_40</v>
      </c>
      <c r="E294" s="2">
        <v>2</v>
      </c>
      <c r="F294" s="2" t="s">
        <v>193</v>
      </c>
      <c r="G294" s="2">
        <v>1</v>
      </c>
      <c r="H294" s="2">
        <v>6</v>
      </c>
      <c r="I294" s="2">
        <f>COUNTIFS($E$3:E294,E294,$H$3:H294,H294)</f>
        <v>40</v>
      </c>
      <c r="O294" s="20"/>
    </row>
    <row r="295" spans="1:19">
      <c r="A295" s="11">
        <f t="shared" si="6"/>
        <v>70021641</v>
      </c>
      <c r="B295" s="17" t="s">
        <v>467</v>
      </c>
      <c r="D295" s="2" t="str">
        <f>E295&amp;(VLOOKUP(F295,编号表!$E$1:$G$8,2,0))&amp;G295&amp;"_"&amp;H295&amp;"_"&amp;I295</f>
        <v>2P1_6_41</v>
      </c>
      <c r="E295" s="2">
        <v>2</v>
      </c>
      <c r="F295" s="2" t="s">
        <v>193</v>
      </c>
      <c r="G295" s="2">
        <v>1</v>
      </c>
      <c r="H295" s="2">
        <v>6</v>
      </c>
      <c r="I295" s="2">
        <f>COUNTIFS($E$3:E295,E295,$H$3:H295,H295)</f>
        <v>41</v>
      </c>
      <c r="O295" s="20"/>
    </row>
    <row r="296" spans="1:19">
      <c r="A296" s="11">
        <f t="shared" si="6"/>
        <v>70021642</v>
      </c>
      <c r="B296" s="17" t="s">
        <v>468</v>
      </c>
      <c r="D296" s="2" t="str">
        <f>E296&amp;(VLOOKUP(F296,编号表!$E$1:$G$8,2,0))&amp;G296&amp;"_"&amp;H296&amp;"_"&amp;I296</f>
        <v>2P1_6_42</v>
      </c>
      <c r="E296" s="2">
        <v>2</v>
      </c>
      <c r="F296" s="2" t="s">
        <v>193</v>
      </c>
      <c r="G296" s="2">
        <v>1</v>
      </c>
      <c r="H296" s="2">
        <v>6</v>
      </c>
      <c r="I296" s="2">
        <f>COUNTIFS($E$3:E296,E296,$H$3:H296,H296)</f>
        <v>42</v>
      </c>
      <c r="O296" s="20"/>
    </row>
    <row r="297" spans="1:19">
      <c r="A297" s="11">
        <f t="shared" si="6"/>
        <v>70021643</v>
      </c>
      <c r="B297" s="17" t="s">
        <v>469</v>
      </c>
      <c r="D297" s="2" t="str">
        <f>E297&amp;(VLOOKUP(F297,编号表!$E$1:$G$8,2,0))&amp;G297&amp;"_"&amp;H297&amp;"_"&amp;I297</f>
        <v>2P1_6_43</v>
      </c>
      <c r="E297" s="2">
        <v>2</v>
      </c>
      <c r="F297" s="2" t="s">
        <v>193</v>
      </c>
      <c r="G297" s="2">
        <v>1</v>
      </c>
      <c r="H297" s="2">
        <v>6</v>
      </c>
      <c r="I297" s="2">
        <f>COUNTIFS($E$3:E297,E297,$H$3:H297,H297)</f>
        <v>43</v>
      </c>
      <c r="O297" s="20"/>
    </row>
    <row r="298" spans="1:19">
      <c r="A298" s="11">
        <f t="shared" si="6"/>
        <v>70021644</v>
      </c>
      <c r="B298" s="17" t="s">
        <v>470</v>
      </c>
      <c r="D298" s="2" t="str">
        <f>E298&amp;(VLOOKUP(F298,编号表!$E$1:$G$8,2,0))&amp;G298&amp;"_"&amp;H298&amp;"_"&amp;I298</f>
        <v>2P1_6_44</v>
      </c>
      <c r="E298" s="2">
        <v>2</v>
      </c>
      <c r="F298" s="2" t="s">
        <v>193</v>
      </c>
      <c r="G298" s="2">
        <v>1</v>
      </c>
      <c r="H298" s="2">
        <v>6</v>
      </c>
      <c r="I298" s="2">
        <f>COUNTIFS($E$3:E298,E298,$H$3:H298,H298)</f>
        <v>44</v>
      </c>
      <c r="O298" s="20"/>
    </row>
    <row r="299" spans="1:19">
      <c r="A299" s="11">
        <f t="shared" si="6"/>
        <v>70021645</v>
      </c>
      <c r="B299" s="17" t="s">
        <v>471</v>
      </c>
      <c r="D299" s="2" t="str">
        <f>E299&amp;(VLOOKUP(F299,编号表!$E$1:$G$8,2,0))&amp;G299&amp;"_"&amp;H299&amp;"_"&amp;I299</f>
        <v>2P1_6_45</v>
      </c>
      <c r="E299" s="2">
        <v>2</v>
      </c>
      <c r="F299" s="2" t="s">
        <v>193</v>
      </c>
      <c r="G299" s="2">
        <v>1</v>
      </c>
      <c r="H299" s="2">
        <v>6</v>
      </c>
      <c r="I299" s="2">
        <f>COUNTIFS($E$3:E299,E299,$H$3:H299,H299)</f>
        <v>45</v>
      </c>
      <c r="O299" s="20"/>
    </row>
    <row r="300" spans="1:19">
      <c r="A300" s="11">
        <f t="shared" si="6"/>
        <v>70021646</v>
      </c>
      <c r="B300" s="17" t="s">
        <v>472</v>
      </c>
      <c r="D300" s="2" t="str">
        <f>E300&amp;(VLOOKUP(F300,编号表!$E$1:$G$8,2,0))&amp;G300&amp;"_"&amp;H300&amp;"_"&amp;I300</f>
        <v>2P1_6_46</v>
      </c>
      <c r="E300" s="2">
        <v>2</v>
      </c>
      <c r="F300" s="2" t="s">
        <v>193</v>
      </c>
      <c r="G300" s="2">
        <v>1</v>
      </c>
      <c r="H300" s="2">
        <v>6</v>
      </c>
      <c r="I300" s="2">
        <f>COUNTIFS($E$3:E300,E300,$H$3:H300,H300)</f>
        <v>46</v>
      </c>
      <c r="O300" s="20"/>
    </row>
    <row r="301" spans="1:19">
      <c r="A301" s="11">
        <f t="shared" si="6"/>
        <v>70021011</v>
      </c>
      <c r="B301" s="18" t="s">
        <v>473</v>
      </c>
      <c r="D301" s="2" t="str">
        <f>E301&amp;(VLOOKUP(F301,编号表!$E$1:$G$8,2,0))&amp;G301&amp;"_"&amp;H301&amp;"_"&amp;I301</f>
        <v>2J1_0_11</v>
      </c>
      <c r="E301" s="2">
        <v>2</v>
      </c>
      <c r="F301" s="2" t="s">
        <v>222</v>
      </c>
      <c r="G301" s="2">
        <v>1</v>
      </c>
      <c r="H301" s="2">
        <v>0</v>
      </c>
      <c r="I301" s="2">
        <f>COUNTIFS($E$3:E301,E301,$H$3:H301,H301)</f>
        <v>11</v>
      </c>
      <c r="J301" s="2">
        <v>1</v>
      </c>
      <c r="O301" s="20"/>
    </row>
    <row r="302" spans="1:19">
      <c r="A302" s="11">
        <f t="shared" si="6"/>
        <v>70033101</v>
      </c>
      <c r="B302" s="14" t="s">
        <v>474</v>
      </c>
      <c r="D302" s="2" t="str">
        <f>E302&amp;(VLOOKUP(F302,编号表!$E$1:$G$8,2,0))&amp;G302&amp;"_"&amp;H302&amp;"_"&amp;I302</f>
        <v>3N3_1_1</v>
      </c>
      <c r="E302" s="2">
        <v>3</v>
      </c>
      <c r="F302" s="2" t="s">
        <v>174</v>
      </c>
      <c r="G302" s="2">
        <v>3</v>
      </c>
      <c r="H302" s="2">
        <v>1</v>
      </c>
      <c r="I302" s="2">
        <f>COUNTIFS($E$3:E302,E302,$H$3:H302,H302)</f>
        <v>1</v>
      </c>
      <c r="N302" s="11">
        <v>1003201</v>
      </c>
      <c r="O302" s="20">
        <v>1003301</v>
      </c>
      <c r="P302" s="20">
        <v>1003401</v>
      </c>
      <c r="Q302" s="20">
        <v>1003501</v>
      </c>
      <c r="R302" s="20">
        <v>1003601</v>
      </c>
      <c r="S302" s="11">
        <v>1003001</v>
      </c>
    </row>
    <row r="303" spans="1:19">
      <c r="A303" s="11">
        <f t="shared" si="6"/>
        <v>70034102</v>
      </c>
      <c r="B303" s="14" t="s">
        <v>475</v>
      </c>
      <c r="D303" s="2" t="str">
        <f>E303&amp;(VLOOKUP(F303,编号表!$E$1:$G$8,2,0))&amp;G303&amp;"_"&amp;H303&amp;"_"&amp;I303</f>
        <v>3N4_1_2</v>
      </c>
      <c r="E303" s="2">
        <v>3</v>
      </c>
      <c r="F303" s="2" t="s">
        <v>174</v>
      </c>
      <c r="G303" s="2">
        <v>4</v>
      </c>
      <c r="H303" s="2">
        <v>1</v>
      </c>
      <c r="I303" s="2">
        <f>COUNTIFS($E$3:E303,E303,$H$3:H303,H303)</f>
        <v>2</v>
      </c>
      <c r="N303" s="11">
        <v>1003201</v>
      </c>
      <c r="O303" s="20">
        <v>1003301</v>
      </c>
      <c r="P303" s="11">
        <v>1003401</v>
      </c>
      <c r="Q303" s="11">
        <v>1003501</v>
      </c>
      <c r="R303" s="11">
        <v>1003601</v>
      </c>
      <c r="S303" s="11">
        <v>1003101</v>
      </c>
    </row>
    <row r="304" spans="1:19">
      <c r="A304" s="11">
        <f t="shared" si="6"/>
        <v>70032103</v>
      </c>
      <c r="B304" s="14" t="s">
        <v>476</v>
      </c>
      <c r="D304" s="2" t="str">
        <f>E304&amp;(VLOOKUP(F304,编号表!$E$1:$G$8,2,0))&amp;G304&amp;"_"&amp;H304&amp;"_"&amp;I304</f>
        <v>3N2_1_3</v>
      </c>
      <c r="E304" s="2">
        <v>3</v>
      </c>
      <c r="F304" s="2" t="s">
        <v>174</v>
      </c>
      <c r="G304" s="2">
        <v>2</v>
      </c>
      <c r="H304" s="2">
        <v>1</v>
      </c>
      <c r="I304" s="2">
        <f>COUNTIFS($E$3:E304,E304,$H$3:H304,H304)</f>
        <v>3</v>
      </c>
      <c r="N304" s="11">
        <v>1003201</v>
      </c>
      <c r="O304" s="20">
        <v>1003301</v>
      </c>
    </row>
    <row r="305" spans="1:18">
      <c r="A305" s="11">
        <f t="shared" si="6"/>
        <v>70032104</v>
      </c>
      <c r="B305" s="14" t="s">
        <v>477</v>
      </c>
      <c r="D305" s="2" t="str">
        <f>E305&amp;(VLOOKUP(F305,编号表!$E$1:$G$8,2,0))&amp;G305&amp;"_"&amp;H305&amp;"_"&amp;I305</f>
        <v>3N2_1_4</v>
      </c>
      <c r="E305" s="2">
        <v>3</v>
      </c>
      <c r="F305" s="2" t="s">
        <v>174</v>
      </c>
      <c r="G305" s="2">
        <v>2</v>
      </c>
      <c r="H305" s="2">
        <v>1</v>
      </c>
      <c r="I305" s="2">
        <f>COUNTIFS($E$3:E305,E305,$H$3:H305,H305)</f>
        <v>4</v>
      </c>
      <c r="N305" s="11">
        <v>1003201</v>
      </c>
      <c r="O305" s="20">
        <v>1003301</v>
      </c>
    </row>
    <row r="306" spans="1:18">
      <c r="A306" s="11">
        <f t="shared" si="6"/>
        <v>70035105</v>
      </c>
      <c r="B306" s="14" t="s">
        <v>478</v>
      </c>
      <c r="D306" s="2" t="str">
        <f>E306&amp;(VLOOKUP(F306,编号表!$E$1:$G$8,2,0))&amp;G306&amp;"_"&amp;H306&amp;"_"&amp;I306</f>
        <v>3N5_1_5</v>
      </c>
      <c r="E306" s="2">
        <v>3</v>
      </c>
      <c r="F306" s="2" t="s">
        <v>174</v>
      </c>
      <c r="G306" s="2">
        <v>5</v>
      </c>
      <c r="H306" s="2">
        <v>1</v>
      </c>
      <c r="I306" s="2">
        <f>COUNTIFS($E$3:E306,E306,$H$3:H306,H306)</f>
        <v>5</v>
      </c>
      <c r="N306" s="11">
        <v>1003201</v>
      </c>
      <c r="O306" s="20">
        <v>1003301</v>
      </c>
      <c r="P306" s="11">
        <v>1003401</v>
      </c>
      <c r="Q306" s="11">
        <v>1003501</v>
      </c>
      <c r="R306" s="11">
        <v>1003601</v>
      </c>
    </row>
    <row r="307" spans="1:18">
      <c r="A307" s="11">
        <f t="shared" si="6"/>
        <v>70032106</v>
      </c>
      <c r="B307" s="14" t="s">
        <v>479</v>
      </c>
      <c r="D307" s="2" t="str">
        <f>E307&amp;(VLOOKUP(F307,编号表!$E$1:$G$8,2,0))&amp;G307&amp;"_"&amp;H307&amp;"_"&amp;I307</f>
        <v>3N2_1_6</v>
      </c>
      <c r="E307" s="2">
        <v>3</v>
      </c>
      <c r="F307" s="2" t="s">
        <v>174</v>
      </c>
      <c r="G307" s="2">
        <v>2</v>
      </c>
      <c r="H307" s="2">
        <v>1</v>
      </c>
      <c r="I307" s="2">
        <f>COUNTIFS($E$3:E307,E307,$H$3:H307,H307)</f>
        <v>6</v>
      </c>
      <c r="N307" s="11">
        <v>1003201</v>
      </c>
      <c r="O307" s="20">
        <v>1003301</v>
      </c>
    </row>
    <row r="308" spans="1:18">
      <c r="A308" s="11">
        <f t="shared" si="6"/>
        <v>70032107</v>
      </c>
      <c r="B308" s="14" t="s">
        <v>480</v>
      </c>
      <c r="D308" s="2" t="str">
        <f>E308&amp;(VLOOKUP(F308,编号表!$E$1:$G$8,2,0))&amp;G308&amp;"_"&amp;H308&amp;"_"&amp;I308</f>
        <v>3N2_1_7</v>
      </c>
      <c r="E308" s="2">
        <v>3</v>
      </c>
      <c r="F308" s="2" t="s">
        <v>174</v>
      </c>
      <c r="G308" s="2">
        <v>2</v>
      </c>
      <c r="H308" s="2">
        <v>1</v>
      </c>
      <c r="I308" s="2">
        <f>COUNTIFS($E$3:E308,E308,$H$3:H308,H308)</f>
        <v>7</v>
      </c>
      <c r="N308" s="11">
        <v>1003201</v>
      </c>
      <c r="O308" s="20">
        <v>1003301</v>
      </c>
    </row>
    <row r="309" spans="1:18">
      <c r="A309" s="11">
        <f t="shared" si="6"/>
        <v>70032108</v>
      </c>
      <c r="B309" s="14" t="s">
        <v>481</v>
      </c>
      <c r="D309" s="2" t="str">
        <f>E309&amp;(VLOOKUP(F309,编号表!$E$1:$G$8,2,0))&amp;G309&amp;"_"&amp;H309&amp;"_"&amp;I309</f>
        <v>3N2_1_8</v>
      </c>
      <c r="E309" s="2">
        <v>3</v>
      </c>
      <c r="F309" s="2" t="s">
        <v>174</v>
      </c>
      <c r="G309" s="2">
        <v>2</v>
      </c>
      <c r="H309" s="2">
        <v>1</v>
      </c>
      <c r="I309" s="2">
        <f>COUNTIFS($E$3:E309,E309,$H$3:H309,H309)</f>
        <v>8</v>
      </c>
      <c r="N309" s="11">
        <v>1003201</v>
      </c>
      <c r="O309" s="20">
        <v>1003301</v>
      </c>
    </row>
    <row r="310" spans="1:18">
      <c r="A310" s="11">
        <f t="shared" si="6"/>
        <v>70032109</v>
      </c>
      <c r="B310" s="14" t="s">
        <v>482</v>
      </c>
      <c r="D310" s="2" t="str">
        <f>E310&amp;(VLOOKUP(F310,编号表!$E$1:$G$8,2,0))&amp;G310&amp;"_"&amp;H310&amp;"_"&amp;I310</f>
        <v>3N2_1_9</v>
      </c>
      <c r="E310" s="2">
        <v>3</v>
      </c>
      <c r="F310" s="2" t="s">
        <v>174</v>
      </c>
      <c r="G310" s="2">
        <v>2</v>
      </c>
      <c r="H310" s="2">
        <v>1</v>
      </c>
      <c r="I310" s="2">
        <f>COUNTIFS($E$3:E310,E310,$H$3:H310,H310)</f>
        <v>9</v>
      </c>
      <c r="N310" s="11">
        <v>1003201</v>
      </c>
      <c r="O310" s="20">
        <v>1003301</v>
      </c>
    </row>
    <row r="311" spans="1:18">
      <c r="A311" s="11">
        <f t="shared" si="6"/>
        <v>70032110</v>
      </c>
      <c r="B311" s="14" t="s">
        <v>483</v>
      </c>
      <c r="D311" s="2" t="str">
        <f>E311&amp;(VLOOKUP(F311,编号表!$E$1:$G$8,2,0))&amp;G311&amp;"_"&amp;H311&amp;"_"&amp;I311</f>
        <v>3N2_1_10</v>
      </c>
      <c r="E311" s="2">
        <v>3</v>
      </c>
      <c r="F311" s="2" t="s">
        <v>174</v>
      </c>
      <c r="G311" s="2">
        <v>2</v>
      </c>
      <c r="H311" s="2">
        <v>1</v>
      </c>
      <c r="I311" s="2">
        <f>COUNTIFS($E$3:E311,E311,$H$3:H311,H311)</f>
        <v>10</v>
      </c>
      <c r="N311" s="11">
        <v>1003501</v>
      </c>
      <c r="O311" s="11">
        <v>1003601</v>
      </c>
    </row>
    <row r="312" spans="1:18">
      <c r="A312" s="11">
        <f t="shared" si="6"/>
        <v>70032111</v>
      </c>
      <c r="B312" s="14" t="s">
        <v>484</v>
      </c>
      <c r="D312" s="2" t="str">
        <f>E312&amp;(VLOOKUP(F312,编号表!$E$1:$G$8,2,0))&amp;G312&amp;"_"&amp;H312&amp;"_"&amp;I312</f>
        <v>3N2_1_11</v>
      </c>
      <c r="E312" s="2">
        <v>3</v>
      </c>
      <c r="F312" s="2" t="s">
        <v>174</v>
      </c>
      <c r="G312" s="2">
        <v>2</v>
      </c>
      <c r="H312" s="2">
        <v>1</v>
      </c>
      <c r="I312" s="2">
        <f>COUNTIFS($E$3:E312,E312,$H$3:H312,H312)</f>
        <v>11</v>
      </c>
      <c r="N312" s="11">
        <v>1003501</v>
      </c>
      <c r="O312" s="11">
        <v>1003601</v>
      </c>
    </row>
    <row r="313" spans="1:18">
      <c r="A313" s="11">
        <f t="shared" si="6"/>
        <v>70034112</v>
      </c>
      <c r="B313" s="14" t="s">
        <v>485</v>
      </c>
      <c r="D313" s="2" t="str">
        <f>E313&amp;(VLOOKUP(F313,编号表!$E$1:$G$8,2,0))&amp;G313&amp;"_"&amp;H313&amp;"_"&amp;I313</f>
        <v>3N4_1_12</v>
      </c>
      <c r="E313" s="2">
        <v>3</v>
      </c>
      <c r="F313" s="2" t="s">
        <v>174</v>
      </c>
      <c r="G313" s="2">
        <v>4</v>
      </c>
      <c r="H313" s="2">
        <v>1</v>
      </c>
      <c r="I313" s="2">
        <f>COUNTIFS($E$3:E313,E313,$H$3:H313,H313)</f>
        <v>12</v>
      </c>
      <c r="N313" s="11">
        <v>1003201</v>
      </c>
      <c r="O313" s="11">
        <v>1003401</v>
      </c>
      <c r="P313" s="11">
        <v>1003501</v>
      </c>
      <c r="Q313" s="11">
        <v>1003601</v>
      </c>
    </row>
    <row r="314" spans="1:18">
      <c r="A314" s="11">
        <f t="shared" si="6"/>
        <v>70034113</v>
      </c>
      <c r="B314" s="14" t="s">
        <v>486</v>
      </c>
      <c r="D314" s="2" t="str">
        <f>E314&amp;(VLOOKUP(F314,编号表!$E$1:$G$8,2,0))&amp;G314&amp;"_"&amp;H314&amp;"_"&amp;I314</f>
        <v>3N4_1_13</v>
      </c>
      <c r="E314" s="2">
        <v>3</v>
      </c>
      <c r="F314" s="2" t="s">
        <v>174</v>
      </c>
      <c r="G314" s="2">
        <v>4</v>
      </c>
      <c r="H314" s="2">
        <v>1</v>
      </c>
      <c r="I314" s="2">
        <f>COUNTIFS($E$3:E314,E314,$H$3:H314,H314)</f>
        <v>13</v>
      </c>
      <c r="N314" s="11">
        <v>1003201</v>
      </c>
      <c r="O314" s="11">
        <v>1003401</v>
      </c>
      <c r="P314" s="11">
        <v>1003501</v>
      </c>
      <c r="Q314" s="11">
        <v>1003601</v>
      </c>
    </row>
    <row r="315" spans="1:18">
      <c r="A315" s="11">
        <f t="shared" si="6"/>
        <v>70034114</v>
      </c>
      <c r="B315" s="14" t="s">
        <v>487</v>
      </c>
      <c r="D315" s="2" t="str">
        <f>E315&amp;(VLOOKUP(F315,编号表!$E$1:$G$8,2,0))&amp;G315&amp;"_"&amp;H315&amp;"_"&amp;I315</f>
        <v>3N4_1_14</v>
      </c>
      <c r="E315" s="2">
        <v>3</v>
      </c>
      <c r="F315" s="2" t="s">
        <v>174</v>
      </c>
      <c r="G315" s="2">
        <v>4</v>
      </c>
      <c r="H315" s="2">
        <v>1</v>
      </c>
      <c r="I315" s="2">
        <f>COUNTIFS($E$3:E315,E315,$H$3:H315,H315)</f>
        <v>14</v>
      </c>
      <c r="N315" s="11">
        <v>1003201</v>
      </c>
      <c r="O315" s="11">
        <v>1003401</v>
      </c>
      <c r="P315" s="11">
        <v>1003501</v>
      </c>
      <c r="Q315" s="11">
        <v>1003601</v>
      </c>
    </row>
    <row r="316" spans="1:18">
      <c r="A316" s="11">
        <f t="shared" ref="A316:A379" si="7">70000000+E316*10000+G316*1000+H316*100+I316</f>
        <v>70034115</v>
      </c>
      <c r="B316" s="14" t="s">
        <v>488</v>
      </c>
      <c r="D316" s="2" t="str">
        <f>E316&amp;(VLOOKUP(F316,编号表!$E$1:$G$8,2,0))&amp;G316&amp;"_"&amp;H316&amp;"_"&amp;I316</f>
        <v>3N4_1_15</v>
      </c>
      <c r="E316" s="2">
        <v>3</v>
      </c>
      <c r="F316" s="2" t="s">
        <v>174</v>
      </c>
      <c r="G316" s="2">
        <v>4</v>
      </c>
      <c r="H316" s="2">
        <v>1</v>
      </c>
      <c r="I316" s="2">
        <f>COUNTIFS($E$3:E316,E316,$H$3:H316,H316)</f>
        <v>15</v>
      </c>
      <c r="N316" s="11">
        <v>1003201</v>
      </c>
      <c r="O316" s="11">
        <v>1003401</v>
      </c>
      <c r="P316" s="11">
        <v>1003501</v>
      </c>
      <c r="Q316" s="11">
        <v>1003601</v>
      </c>
    </row>
    <row r="317" spans="1:18">
      <c r="A317" s="11">
        <f t="shared" si="7"/>
        <v>70034116</v>
      </c>
      <c r="B317" s="14" t="s">
        <v>489</v>
      </c>
      <c r="D317" s="2" t="str">
        <f>E317&amp;(VLOOKUP(F317,编号表!$E$1:$G$8,2,0))&amp;G317&amp;"_"&amp;H317&amp;"_"&amp;I317</f>
        <v>3N4_1_16</v>
      </c>
      <c r="E317" s="2">
        <v>3</v>
      </c>
      <c r="F317" s="2" t="s">
        <v>174</v>
      </c>
      <c r="G317" s="2">
        <v>4</v>
      </c>
      <c r="H317" s="2">
        <v>1</v>
      </c>
      <c r="I317" s="2">
        <f>COUNTIFS($E$3:E317,E317,$H$3:H317,H317)</f>
        <v>16</v>
      </c>
      <c r="N317" s="11">
        <v>1003201</v>
      </c>
      <c r="O317" s="11">
        <v>1003401</v>
      </c>
      <c r="P317" s="11">
        <v>1003501</v>
      </c>
      <c r="Q317" s="11">
        <v>1003601</v>
      </c>
    </row>
    <row r="318" spans="1:18">
      <c r="A318" s="11">
        <f t="shared" si="7"/>
        <v>70033201</v>
      </c>
      <c r="B318" s="14" t="s">
        <v>490</v>
      </c>
      <c r="D318" s="2" t="str">
        <f>E318&amp;(VLOOKUP(F318,编号表!$E$1:$G$8,2,0))&amp;G318&amp;"_"&amp;H318&amp;"_"&amp;I318</f>
        <v>3N3_2_1</v>
      </c>
      <c r="E318" s="2">
        <v>3</v>
      </c>
      <c r="F318" s="2" t="s">
        <v>174</v>
      </c>
      <c r="G318" s="2">
        <v>3</v>
      </c>
      <c r="H318" s="2">
        <v>2</v>
      </c>
      <c r="I318" s="2">
        <f>COUNTIFS($E$3:E318,E318,$H$3:H318,H318)</f>
        <v>1</v>
      </c>
      <c r="N318" s="11">
        <v>1003201</v>
      </c>
      <c r="O318" s="11">
        <v>1003401</v>
      </c>
      <c r="P318" s="11">
        <v>1003501</v>
      </c>
      <c r="Q318" s="11">
        <v>1003601</v>
      </c>
    </row>
    <row r="319" spans="1:18">
      <c r="A319" s="11">
        <f t="shared" si="7"/>
        <v>70034202</v>
      </c>
      <c r="B319" s="14" t="s">
        <v>491</v>
      </c>
      <c r="D319" s="2" t="str">
        <f>E319&amp;(VLOOKUP(F319,编号表!$E$1:$G$8,2,0))&amp;G319&amp;"_"&amp;H319&amp;"_"&amp;I319</f>
        <v>3N4_2_2</v>
      </c>
      <c r="E319" s="2">
        <v>3</v>
      </c>
      <c r="F319" s="2" t="s">
        <v>174</v>
      </c>
      <c r="G319" s="2">
        <v>4</v>
      </c>
      <c r="H319" s="2">
        <v>2</v>
      </c>
      <c r="I319" s="2">
        <f>COUNTIFS($E$3:E319,E319,$H$3:H319,H319)</f>
        <v>2</v>
      </c>
      <c r="N319" s="11">
        <v>1003201</v>
      </c>
      <c r="O319" s="11">
        <v>1003401</v>
      </c>
      <c r="P319" s="11">
        <v>1003501</v>
      </c>
      <c r="Q319" s="11">
        <v>1003601</v>
      </c>
    </row>
    <row r="320" spans="1:18">
      <c r="A320" s="11">
        <f t="shared" si="7"/>
        <v>70034203</v>
      </c>
      <c r="B320" s="14" t="s">
        <v>492</v>
      </c>
      <c r="D320" s="2" t="str">
        <f>E320&amp;(VLOOKUP(F320,编号表!$E$1:$G$8,2,0))&amp;G320&amp;"_"&amp;H320&amp;"_"&amp;I320</f>
        <v>3N4_2_3</v>
      </c>
      <c r="E320" s="2">
        <v>3</v>
      </c>
      <c r="F320" s="2" t="s">
        <v>174</v>
      </c>
      <c r="G320" s="2">
        <v>4</v>
      </c>
      <c r="H320" s="2">
        <v>2</v>
      </c>
      <c r="I320" s="2">
        <f>COUNTIFS($E$3:E320,E320,$H$3:H320,H320)</f>
        <v>3</v>
      </c>
      <c r="N320" s="11">
        <v>1003201</v>
      </c>
      <c r="O320" s="20">
        <v>1003301</v>
      </c>
      <c r="P320" s="11">
        <v>1003401</v>
      </c>
      <c r="Q320" s="11">
        <v>1003501</v>
      </c>
      <c r="R320" s="11">
        <v>1003601</v>
      </c>
    </row>
    <row r="321" spans="1:18">
      <c r="A321" s="11">
        <f t="shared" si="7"/>
        <v>70035204</v>
      </c>
      <c r="B321" s="14" t="s">
        <v>493</v>
      </c>
      <c r="D321" s="2" t="str">
        <f>E321&amp;(VLOOKUP(F321,编号表!$E$1:$G$8,2,0))&amp;G321&amp;"_"&amp;H321&amp;"_"&amp;I321</f>
        <v>3N5_2_4</v>
      </c>
      <c r="E321" s="2">
        <v>3</v>
      </c>
      <c r="F321" s="2" t="s">
        <v>174</v>
      </c>
      <c r="G321" s="2">
        <v>5</v>
      </c>
      <c r="H321" s="2">
        <v>2</v>
      </c>
      <c r="I321" s="2">
        <f>COUNTIFS($E$3:E321,E321,$H$3:H321,H321)</f>
        <v>4</v>
      </c>
      <c r="N321" s="11">
        <v>1003201</v>
      </c>
      <c r="O321" s="20">
        <v>1003301</v>
      </c>
      <c r="P321" s="11">
        <v>1003401</v>
      </c>
      <c r="Q321" s="11">
        <v>1003501</v>
      </c>
      <c r="R321" s="11">
        <v>1003601</v>
      </c>
    </row>
    <row r="322" spans="1:18">
      <c r="A322" s="11">
        <f t="shared" si="7"/>
        <v>70034205</v>
      </c>
      <c r="B322" s="14" t="s">
        <v>494</v>
      </c>
      <c r="D322" s="2" t="str">
        <f>E322&amp;(VLOOKUP(F322,编号表!$E$1:$G$8,2,0))&amp;G322&amp;"_"&amp;H322&amp;"_"&amp;I322</f>
        <v>3N4_2_5</v>
      </c>
      <c r="E322" s="2">
        <v>3</v>
      </c>
      <c r="F322" s="2" t="s">
        <v>174</v>
      </c>
      <c r="G322" s="2">
        <v>4</v>
      </c>
      <c r="H322" s="2">
        <v>2</v>
      </c>
      <c r="I322" s="2">
        <f>COUNTIFS($E$3:E322,E322,$H$3:H322,H322)</f>
        <v>5</v>
      </c>
      <c r="N322" s="11">
        <v>1003201</v>
      </c>
      <c r="O322" s="20">
        <v>1003301</v>
      </c>
      <c r="P322" s="11">
        <v>1003401</v>
      </c>
      <c r="Q322" s="11">
        <v>1003501</v>
      </c>
      <c r="R322" s="11">
        <v>1003601</v>
      </c>
    </row>
    <row r="323" spans="1:18">
      <c r="A323" s="11">
        <f t="shared" si="7"/>
        <v>70033301</v>
      </c>
      <c r="B323" s="16" t="s">
        <v>19</v>
      </c>
      <c r="C323" s="2" t="s">
        <v>224</v>
      </c>
      <c r="D323" s="2" t="str">
        <f>E323&amp;(VLOOKUP(F323,编号表!$E$1:$G$8,2,0))&amp;G323&amp;"_"&amp;H323&amp;"_"&amp;I323</f>
        <v>3T3_3_1</v>
      </c>
      <c r="E323" s="2">
        <v>3</v>
      </c>
      <c r="F323" s="2" t="s">
        <v>190</v>
      </c>
      <c r="G323" s="2">
        <v>3</v>
      </c>
      <c r="H323" s="2">
        <v>3</v>
      </c>
      <c r="I323" s="2">
        <f>COUNTIFS($E$3:E323,E323,$H$3:H323,H323)</f>
        <v>1</v>
      </c>
      <c r="L323" s="2">
        <v>107</v>
      </c>
      <c r="O323" s="20"/>
    </row>
    <row r="324" spans="1:18">
      <c r="A324" s="11">
        <f t="shared" si="7"/>
        <v>70031302</v>
      </c>
      <c r="B324" s="15" t="s">
        <v>223</v>
      </c>
      <c r="D324" s="2" t="str">
        <f>E324&amp;(VLOOKUP(F324,编号表!$E$1:$G$8,2,0))&amp;G324&amp;"_"&amp;H324&amp;"_"&amp;I324</f>
        <v>3T1_3_2</v>
      </c>
      <c r="E324" s="2">
        <v>3</v>
      </c>
      <c r="F324" s="2" t="s">
        <v>190</v>
      </c>
      <c r="G324" s="2">
        <v>1</v>
      </c>
      <c r="H324" s="2">
        <v>3</v>
      </c>
      <c r="I324" s="2">
        <f>COUNTIFS($E$3:E324,E324,$H$3:H324,H324)</f>
        <v>2</v>
      </c>
      <c r="K324" s="2">
        <v>1</v>
      </c>
      <c r="O324" s="20"/>
    </row>
    <row r="325" spans="1:18">
      <c r="A325" s="11">
        <f t="shared" si="7"/>
        <v>70033303</v>
      </c>
      <c r="B325" s="14" t="s">
        <v>495</v>
      </c>
      <c r="D325" s="2" t="str">
        <f>E325&amp;(VLOOKUP(F325,编号表!$E$1:$G$8,2,0))&amp;G325&amp;"_"&amp;H325&amp;"_"&amp;I325</f>
        <v>3N3_3_3</v>
      </c>
      <c r="E325" s="2">
        <v>3</v>
      </c>
      <c r="F325" s="2" t="s">
        <v>174</v>
      </c>
      <c r="G325" s="2">
        <v>3</v>
      </c>
      <c r="H325" s="2">
        <v>3</v>
      </c>
      <c r="I325" s="2">
        <f>COUNTIFS($E$3:E325,E325,$H$3:H325,H325)</f>
        <v>3</v>
      </c>
      <c r="N325" s="11">
        <v>1003201</v>
      </c>
      <c r="O325" s="20">
        <v>1003301</v>
      </c>
      <c r="P325" s="11">
        <v>1003401</v>
      </c>
      <c r="Q325" s="11">
        <v>1003501</v>
      </c>
      <c r="R325" s="11">
        <v>1003601</v>
      </c>
    </row>
    <row r="326" spans="1:18">
      <c r="A326" s="11">
        <f t="shared" si="7"/>
        <v>70033304</v>
      </c>
      <c r="B326" s="14" t="s">
        <v>496</v>
      </c>
      <c r="D326" s="2" t="str">
        <f>E326&amp;(VLOOKUP(F326,编号表!$E$1:$G$8,2,0))&amp;G326&amp;"_"&amp;H326&amp;"_"&amp;I326</f>
        <v>3N3_3_4</v>
      </c>
      <c r="E326" s="2">
        <v>3</v>
      </c>
      <c r="F326" s="2" t="s">
        <v>174</v>
      </c>
      <c r="G326" s="2">
        <v>3</v>
      </c>
      <c r="H326" s="2">
        <v>3</v>
      </c>
      <c r="I326" s="2">
        <f>COUNTIFS($E$3:E326,E326,$H$3:H326,H326)</f>
        <v>4</v>
      </c>
      <c r="N326" s="11">
        <v>1003201</v>
      </c>
      <c r="O326" s="20">
        <v>1003301</v>
      </c>
      <c r="P326" s="11">
        <v>1003401</v>
      </c>
      <c r="Q326" s="11">
        <v>1003501</v>
      </c>
      <c r="R326" s="11">
        <v>1003601</v>
      </c>
    </row>
    <row r="327" spans="1:18">
      <c r="A327" s="11">
        <f t="shared" si="7"/>
        <v>70033305</v>
      </c>
      <c r="B327" s="14" t="s">
        <v>497</v>
      </c>
      <c r="D327" s="2" t="str">
        <f>E327&amp;(VLOOKUP(F327,编号表!$E$1:$G$8,2,0))&amp;G327&amp;"_"&amp;H327&amp;"_"&amp;I327</f>
        <v>3N3_3_5</v>
      </c>
      <c r="E327" s="2">
        <v>3</v>
      </c>
      <c r="F327" s="2" t="s">
        <v>174</v>
      </c>
      <c r="G327" s="2">
        <v>3</v>
      </c>
      <c r="H327" s="2">
        <v>3</v>
      </c>
      <c r="I327" s="2">
        <f>COUNTIFS($E$3:E327,E327,$H$3:H327,H327)</f>
        <v>5</v>
      </c>
      <c r="N327" s="11">
        <v>1003201</v>
      </c>
      <c r="O327" s="20">
        <v>1003301</v>
      </c>
      <c r="P327" s="11">
        <v>1003601</v>
      </c>
    </row>
    <row r="328" spans="1:18">
      <c r="A328" s="11">
        <f t="shared" si="7"/>
        <v>70033306</v>
      </c>
      <c r="B328" s="14" t="s">
        <v>498</v>
      </c>
      <c r="D328" s="2" t="str">
        <f>E328&amp;(VLOOKUP(F328,编号表!$E$1:$G$8,2,0))&amp;G328&amp;"_"&amp;H328&amp;"_"&amp;I328</f>
        <v>3N3_3_6</v>
      </c>
      <c r="E328" s="2">
        <v>3</v>
      </c>
      <c r="F328" s="2" t="s">
        <v>174</v>
      </c>
      <c r="G328" s="2">
        <v>3</v>
      </c>
      <c r="H328" s="2">
        <v>3</v>
      </c>
      <c r="I328" s="2">
        <f>COUNTIFS($E$3:E328,E328,$H$3:H328,H328)</f>
        <v>6</v>
      </c>
      <c r="N328" s="11">
        <v>1003201</v>
      </c>
      <c r="O328" s="20">
        <v>1003301</v>
      </c>
      <c r="P328" s="11">
        <v>1003601</v>
      </c>
    </row>
    <row r="329" spans="1:18">
      <c r="A329" s="11">
        <f t="shared" si="7"/>
        <v>70033307</v>
      </c>
      <c r="B329" s="14" t="s">
        <v>499</v>
      </c>
      <c r="D329" s="2" t="str">
        <f>E329&amp;(VLOOKUP(F329,编号表!$E$1:$G$8,2,0))&amp;G329&amp;"_"&amp;H329&amp;"_"&amp;I329</f>
        <v>3N3_3_7</v>
      </c>
      <c r="E329" s="2">
        <v>3</v>
      </c>
      <c r="F329" s="2" t="s">
        <v>174</v>
      </c>
      <c r="G329" s="2">
        <v>3</v>
      </c>
      <c r="H329" s="2">
        <v>3</v>
      </c>
      <c r="I329" s="2">
        <f>COUNTIFS($E$3:E329,E329,$H$3:H329,H329)</f>
        <v>7</v>
      </c>
      <c r="N329" s="11">
        <v>1003201</v>
      </c>
      <c r="O329" s="20">
        <v>1003301</v>
      </c>
      <c r="P329" s="11">
        <v>1003601</v>
      </c>
    </row>
    <row r="330" spans="1:18">
      <c r="A330" s="11">
        <f t="shared" si="7"/>
        <v>70034308</v>
      </c>
      <c r="B330" s="14" t="s">
        <v>500</v>
      </c>
      <c r="D330" s="2" t="str">
        <f>E330&amp;(VLOOKUP(F330,编号表!$E$1:$G$8,2,0))&amp;G330&amp;"_"&amp;H330&amp;"_"&amp;I330</f>
        <v>3N4_3_8</v>
      </c>
      <c r="E330" s="2">
        <v>3</v>
      </c>
      <c r="F330" s="2" t="s">
        <v>174</v>
      </c>
      <c r="G330" s="2">
        <v>4</v>
      </c>
      <c r="H330" s="2">
        <v>3</v>
      </c>
      <c r="I330" s="2">
        <f>COUNTIFS($E$3:E330,E330,$H$3:H330,H330)</f>
        <v>8</v>
      </c>
      <c r="N330" s="11">
        <v>1003201</v>
      </c>
      <c r="O330" s="20">
        <v>1003301</v>
      </c>
      <c r="P330" s="11">
        <v>1003501</v>
      </c>
      <c r="Q330" s="11">
        <v>1003601</v>
      </c>
    </row>
    <row r="331" spans="1:18">
      <c r="A331" s="11">
        <f t="shared" si="7"/>
        <v>70034309</v>
      </c>
      <c r="B331" s="14" t="s">
        <v>501</v>
      </c>
      <c r="D331" s="2" t="str">
        <f>E331&amp;(VLOOKUP(F331,编号表!$E$1:$G$8,2,0))&amp;G331&amp;"_"&amp;H331&amp;"_"&amp;I331</f>
        <v>3N4_3_9</v>
      </c>
      <c r="E331" s="2">
        <v>3</v>
      </c>
      <c r="F331" s="2" t="s">
        <v>174</v>
      </c>
      <c r="G331" s="2">
        <v>4</v>
      </c>
      <c r="H331" s="2">
        <v>3</v>
      </c>
      <c r="I331" s="2">
        <f>COUNTIFS($E$3:E331,E331,$H$3:H331,H331)</f>
        <v>9</v>
      </c>
      <c r="N331" s="11">
        <v>1003201</v>
      </c>
      <c r="O331" s="20">
        <v>1003301</v>
      </c>
      <c r="P331" s="11">
        <v>1003501</v>
      </c>
      <c r="Q331" s="11">
        <v>1003601</v>
      </c>
    </row>
    <row r="332" spans="1:18">
      <c r="A332" s="11">
        <f t="shared" si="7"/>
        <v>70035310</v>
      </c>
      <c r="B332" s="14" t="s">
        <v>502</v>
      </c>
      <c r="D332" s="2" t="str">
        <f>E332&amp;(VLOOKUP(F332,编号表!$E$1:$G$8,2,0))&amp;G332&amp;"_"&amp;H332&amp;"_"&amp;I332</f>
        <v>3N5_3_10</v>
      </c>
      <c r="E332" s="2">
        <v>3</v>
      </c>
      <c r="F332" s="2" t="s">
        <v>174</v>
      </c>
      <c r="G332" s="2">
        <v>5</v>
      </c>
      <c r="H332" s="2">
        <v>3</v>
      </c>
      <c r="I332" s="2">
        <f>COUNTIFS($E$3:E332,E332,$H$3:H332,H332)</f>
        <v>10</v>
      </c>
      <c r="N332" s="11">
        <v>1003201</v>
      </c>
      <c r="O332" s="20">
        <v>1003301</v>
      </c>
      <c r="P332" s="11">
        <v>1003501</v>
      </c>
      <c r="Q332" s="11">
        <v>1003601</v>
      </c>
    </row>
    <row r="333" spans="1:18">
      <c r="A333" s="11">
        <f t="shared" si="7"/>
        <v>70034311</v>
      </c>
      <c r="B333" s="14" t="s">
        <v>503</v>
      </c>
      <c r="D333" s="2" t="str">
        <f>E333&amp;(VLOOKUP(F333,编号表!$E$1:$G$8,2,0))&amp;G333&amp;"_"&amp;H333&amp;"_"&amp;I333</f>
        <v>3N4_3_11</v>
      </c>
      <c r="E333" s="2">
        <v>3</v>
      </c>
      <c r="F333" s="2" t="s">
        <v>174</v>
      </c>
      <c r="G333" s="2">
        <v>4</v>
      </c>
      <c r="H333" s="2">
        <v>3</v>
      </c>
      <c r="I333" s="2">
        <f>COUNTIFS($E$3:E333,E333,$H$3:H333,H333)</f>
        <v>11</v>
      </c>
      <c r="N333" s="11">
        <v>1003201</v>
      </c>
      <c r="O333" s="20">
        <v>1003301</v>
      </c>
      <c r="P333" s="11">
        <v>1003501</v>
      </c>
      <c r="Q333" s="11">
        <v>1003601</v>
      </c>
    </row>
    <row r="334" spans="1:18">
      <c r="A334" s="11">
        <f t="shared" si="7"/>
        <v>70034312</v>
      </c>
      <c r="B334" s="14" t="s">
        <v>504</v>
      </c>
      <c r="D334" s="2" t="str">
        <f>E334&amp;(VLOOKUP(F334,编号表!$E$1:$G$8,2,0))&amp;G334&amp;"_"&amp;H334&amp;"_"&amp;I334</f>
        <v>3N4_3_12</v>
      </c>
      <c r="E334" s="2">
        <v>3</v>
      </c>
      <c r="F334" s="2" t="s">
        <v>174</v>
      </c>
      <c r="G334" s="2">
        <v>4</v>
      </c>
      <c r="H334" s="2">
        <v>3</v>
      </c>
      <c r="I334" s="2">
        <f>COUNTIFS($E$3:E334,E334,$H$3:H334,H334)</f>
        <v>12</v>
      </c>
      <c r="N334" s="11">
        <v>1003201</v>
      </c>
      <c r="O334" s="20">
        <v>1003301</v>
      </c>
      <c r="P334" s="11">
        <v>1003501</v>
      </c>
      <c r="Q334" s="11">
        <v>1003601</v>
      </c>
    </row>
    <row r="335" spans="1:18">
      <c r="A335" s="11">
        <f t="shared" si="7"/>
        <v>70033313</v>
      </c>
      <c r="B335" s="14" t="s">
        <v>505</v>
      </c>
      <c r="D335" s="2" t="str">
        <f>E335&amp;(VLOOKUP(F335,编号表!$E$1:$G$8,2,0))&amp;G335&amp;"_"&amp;H335&amp;"_"&amp;I335</f>
        <v>3N3_3_13</v>
      </c>
      <c r="E335" s="2">
        <v>3</v>
      </c>
      <c r="F335" s="2" t="s">
        <v>174</v>
      </c>
      <c r="G335" s="2">
        <v>3</v>
      </c>
      <c r="H335" s="2">
        <v>3</v>
      </c>
      <c r="I335" s="2">
        <f>COUNTIFS($E$3:E335,E335,$H$3:H335,H335)</f>
        <v>13</v>
      </c>
      <c r="N335" s="11">
        <v>1003201</v>
      </c>
      <c r="O335" s="20">
        <v>1003301</v>
      </c>
      <c r="P335" s="11">
        <v>1003501</v>
      </c>
      <c r="Q335" s="11">
        <v>1003601</v>
      </c>
    </row>
    <row r="336" spans="1:18">
      <c r="A336" s="11">
        <f t="shared" si="7"/>
        <v>70033314</v>
      </c>
      <c r="B336" s="14" t="s">
        <v>506</v>
      </c>
      <c r="D336" s="2" t="str">
        <f>E336&amp;(VLOOKUP(F336,编号表!$E$1:$G$8,2,0))&amp;G336&amp;"_"&amp;H336&amp;"_"&amp;I336</f>
        <v>3N3_3_14</v>
      </c>
      <c r="E336" s="2">
        <v>3</v>
      </c>
      <c r="F336" s="2" t="s">
        <v>174</v>
      </c>
      <c r="G336" s="2">
        <v>3</v>
      </c>
      <c r="H336" s="2">
        <v>3</v>
      </c>
      <c r="I336" s="2">
        <f>COUNTIFS($E$3:E336,E336,$H$3:H336,H336)</f>
        <v>14</v>
      </c>
      <c r="N336" s="11">
        <v>1003201</v>
      </c>
      <c r="O336" s="11">
        <v>1003301</v>
      </c>
      <c r="P336" s="11">
        <v>1003501</v>
      </c>
      <c r="Q336" s="11">
        <v>1003601</v>
      </c>
    </row>
    <row r="337" spans="1:17">
      <c r="A337" s="11">
        <f t="shared" si="7"/>
        <v>70031315</v>
      </c>
      <c r="B337" s="15" t="s">
        <v>507</v>
      </c>
      <c r="D337" s="2" t="str">
        <f>E337&amp;(VLOOKUP(F337,编号表!$E$1:$G$8,2,0))&amp;G337&amp;"_"&amp;H337&amp;"_"&amp;I337</f>
        <v>3T1_3_15</v>
      </c>
      <c r="E337" s="2">
        <v>3</v>
      </c>
      <c r="F337" s="2" t="s">
        <v>190</v>
      </c>
      <c r="G337" s="2">
        <v>1</v>
      </c>
      <c r="H337" s="2">
        <v>3</v>
      </c>
      <c r="I337" s="2">
        <f>COUNTIFS($E$3:E337,E337,$H$3:H337,H337)</f>
        <v>15</v>
      </c>
    </row>
    <row r="338" spans="1:17">
      <c r="A338" s="11">
        <f t="shared" si="7"/>
        <v>70033316</v>
      </c>
      <c r="B338" s="16" t="s">
        <v>25</v>
      </c>
      <c r="C338" s="2" t="s">
        <v>508</v>
      </c>
      <c r="D338" s="2" t="str">
        <f>E338&amp;(VLOOKUP(F338,编号表!$E$1:$G$8,2,0))&amp;G338&amp;"_"&amp;H338&amp;"_"&amp;I338</f>
        <v>3T3_3_16</v>
      </c>
      <c r="E338" s="2">
        <v>3</v>
      </c>
      <c r="F338" s="2" t="s">
        <v>190</v>
      </c>
      <c r="G338" s="2">
        <v>3</v>
      </c>
      <c r="H338" s="2">
        <v>3</v>
      </c>
      <c r="I338" s="2">
        <f>COUNTIFS($E$3:E338,E338,$H$3:H338,H338)</f>
        <v>16</v>
      </c>
      <c r="L338" s="2">
        <v>108</v>
      </c>
    </row>
    <row r="339" spans="1:17">
      <c r="A339" s="11">
        <f t="shared" si="7"/>
        <v>70032401</v>
      </c>
      <c r="B339" s="14" t="s">
        <v>509</v>
      </c>
      <c r="D339" s="2" t="str">
        <f>E339&amp;(VLOOKUP(F339,编号表!$E$1:$G$8,2,0))&amp;G339&amp;"_"&amp;H339&amp;"_"&amp;I339</f>
        <v>3N2_4_1</v>
      </c>
      <c r="E339" s="2">
        <v>3</v>
      </c>
      <c r="F339" s="2" t="s">
        <v>174</v>
      </c>
      <c r="G339" s="2">
        <v>2</v>
      </c>
      <c r="H339" s="2">
        <v>4</v>
      </c>
      <c r="I339" s="2">
        <f>COUNTIFS($E$3:E339,E339,$H$3:H339,H339)</f>
        <v>1</v>
      </c>
      <c r="N339" s="11">
        <v>1003501</v>
      </c>
      <c r="O339" s="11">
        <v>1003601</v>
      </c>
    </row>
    <row r="340" spans="1:17">
      <c r="A340" s="11">
        <f t="shared" si="7"/>
        <v>70032402</v>
      </c>
      <c r="B340" s="14" t="s">
        <v>510</v>
      </c>
      <c r="D340" s="2" t="str">
        <f>E340&amp;(VLOOKUP(F340,编号表!$E$1:$G$8,2,0))&amp;G340&amp;"_"&amp;H340&amp;"_"&amp;I340</f>
        <v>3N2_4_2</v>
      </c>
      <c r="E340" s="2">
        <v>3</v>
      </c>
      <c r="F340" s="2" t="s">
        <v>174</v>
      </c>
      <c r="G340" s="2">
        <v>2</v>
      </c>
      <c r="H340" s="2">
        <v>4</v>
      </c>
      <c r="I340" s="2">
        <f>COUNTIFS($E$3:E340,E340,$H$3:H340,H340)</f>
        <v>2</v>
      </c>
      <c r="N340" s="11">
        <v>1003501</v>
      </c>
      <c r="O340" s="11">
        <v>1003601</v>
      </c>
    </row>
    <row r="341" spans="1:17">
      <c r="A341" s="11">
        <f t="shared" si="7"/>
        <v>70033403</v>
      </c>
      <c r="B341" s="14" t="s">
        <v>511</v>
      </c>
      <c r="D341" s="2" t="str">
        <f>E341&amp;(VLOOKUP(F341,编号表!$E$1:$G$8,2,0))&amp;G341&amp;"_"&amp;H341&amp;"_"&amp;I341</f>
        <v>3N3_4_3</v>
      </c>
      <c r="E341" s="2">
        <v>3</v>
      </c>
      <c r="F341" s="2" t="s">
        <v>174</v>
      </c>
      <c r="G341" s="2">
        <v>3</v>
      </c>
      <c r="H341" s="2">
        <v>4</v>
      </c>
      <c r="I341" s="2">
        <f>COUNTIFS($E$3:E341,E341,$H$3:H341,H341)</f>
        <v>3</v>
      </c>
      <c r="N341" s="11">
        <v>1003201</v>
      </c>
      <c r="O341" s="11">
        <v>1003301</v>
      </c>
      <c r="P341" s="11">
        <v>1003501</v>
      </c>
      <c r="Q341" s="11">
        <v>1003601</v>
      </c>
    </row>
    <row r="342" spans="1:17">
      <c r="A342" s="11">
        <f t="shared" si="7"/>
        <v>70032404</v>
      </c>
      <c r="B342" s="14" t="s">
        <v>512</v>
      </c>
      <c r="D342" s="2" t="str">
        <f>E342&amp;(VLOOKUP(F342,编号表!$E$1:$G$8,2,0))&amp;G342&amp;"_"&amp;H342&amp;"_"&amp;I342</f>
        <v>3N2_4_4</v>
      </c>
      <c r="E342" s="2">
        <v>3</v>
      </c>
      <c r="F342" s="2" t="s">
        <v>174</v>
      </c>
      <c r="G342" s="2">
        <v>2</v>
      </c>
      <c r="H342" s="2">
        <v>4</v>
      </c>
      <c r="I342" s="2">
        <f>COUNTIFS($E$3:E342,E342,$H$3:H342,H342)</f>
        <v>4</v>
      </c>
      <c r="N342" s="11">
        <v>1003501</v>
      </c>
      <c r="O342" s="11">
        <v>1003601</v>
      </c>
    </row>
    <row r="343" spans="1:17">
      <c r="A343" s="11">
        <f t="shared" si="7"/>
        <v>70034405</v>
      </c>
      <c r="B343" s="14" t="s">
        <v>513</v>
      </c>
      <c r="D343" s="2" t="str">
        <f>E343&amp;(VLOOKUP(F343,编号表!$E$1:$G$8,2,0))&amp;G343&amp;"_"&amp;H343&amp;"_"&amp;I343</f>
        <v>3N4_4_5</v>
      </c>
      <c r="E343" s="2">
        <v>3</v>
      </c>
      <c r="F343" s="2" t="s">
        <v>174</v>
      </c>
      <c r="G343" s="2">
        <v>4</v>
      </c>
      <c r="H343" s="2">
        <v>4</v>
      </c>
      <c r="I343" s="2">
        <f>COUNTIFS($E$3:E343,E343,$H$3:H343,H343)</f>
        <v>5</v>
      </c>
      <c r="N343" s="11">
        <v>1003501</v>
      </c>
      <c r="O343" s="11">
        <v>1003601</v>
      </c>
    </row>
    <row r="344" spans="1:17">
      <c r="A344" s="11">
        <f t="shared" si="7"/>
        <v>70035406</v>
      </c>
      <c r="B344" s="14" t="s">
        <v>514</v>
      </c>
      <c r="D344" s="2" t="str">
        <f>E344&amp;(VLOOKUP(F344,编号表!$E$1:$G$8,2,0))&amp;G344&amp;"_"&amp;H344&amp;"_"&amp;I344</f>
        <v>3N5_4_6</v>
      </c>
      <c r="E344" s="2">
        <v>3</v>
      </c>
      <c r="F344" s="2" t="s">
        <v>174</v>
      </c>
      <c r="G344" s="2">
        <v>5</v>
      </c>
      <c r="H344" s="2">
        <v>4</v>
      </c>
      <c r="I344" s="2">
        <f>COUNTIFS($E$3:E344,E344,$H$3:H344,H344)</f>
        <v>6</v>
      </c>
      <c r="N344" s="11">
        <v>1003301</v>
      </c>
      <c r="O344" s="11">
        <v>1003401</v>
      </c>
      <c r="P344" s="11">
        <v>1003501</v>
      </c>
      <c r="Q344" s="11">
        <v>1003601</v>
      </c>
    </row>
    <row r="345" spans="1:17">
      <c r="A345" s="11">
        <f t="shared" si="7"/>
        <v>70033407</v>
      </c>
      <c r="B345" s="14" t="s">
        <v>515</v>
      </c>
      <c r="D345" s="2" t="str">
        <f>E345&amp;(VLOOKUP(F345,编号表!$E$1:$G$8,2,0))&amp;G345&amp;"_"&amp;H345&amp;"_"&amp;I345</f>
        <v>3N3_4_7</v>
      </c>
      <c r="E345" s="2">
        <v>3</v>
      </c>
      <c r="F345" s="2" t="s">
        <v>174</v>
      </c>
      <c r="G345" s="2">
        <v>3</v>
      </c>
      <c r="H345" s="2">
        <v>4</v>
      </c>
      <c r="I345" s="2">
        <f>COUNTIFS($E$3:E345,E345,$H$3:H345,H345)</f>
        <v>7</v>
      </c>
      <c r="N345" s="11">
        <v>1003301</v>
      </c>
      <c r="O345" s="11">
        <v>1003401</v>
      </c>
      <c r="P345" s="11">
        <v>1003501</v>
      </c>
      <c r="Q345" s="11">
        <v>1003601</v>
      </c>
    </row>
    <row r="346" spans="1:17">
      <c r="A346" s="11">
        <f t="shared" si="7"/>
        <v>70033408</v>
      </c>
      <c r="B346" s="14" t="s">
        <v>516</v>
      </c>
      <c r="D346" s="2" t="str">
        <f>E346&amp;(VLOOKUP(F346,编号表!$E$1:$G$8,2,0))&amp;G346&amp;"_"&amp;H346&amp;"_"&amp;I346</f>
        <v>3N3_4_8</v>
      </c>
      <c r="E346" s="2">
        <v>3</v>
      </c>
      <c r="F346" s="2" t="s">
        <v>174</v>
      </c>
      <c r="G346" s="2">
        <v>3</v>
      </c>
      <c r="H346" s="2">
        <v>4</v>
      </c>
      <c r="I346" s="2">
        <f>COUNTIFS($E$3:E346,E346,$H$3:H346,H346)</f>
        <v>8</v>
      </c>
      <c r="N346" s="11">
        <v>1003301</v>
      </c>
      <c r="O346" s="11">
        <v>1003401</v>
      </c>
      <c r="P346" s="11">
        <v>1003501</v>
      </c>
      <c r="Q346" s="11">
        <v>1003601</v>
      </c>
    </row>
    <row r="347" spans="1:17">
      <c r="A347" s="11">
        <f t="shared" si="7"/>
        <v>70033409</v>
      </c>
      <c r="B347" s="14" t="s">
        <v>517</v>
      </c>
      <c r="D347" s="2" t="str">
        <f>E347&amp;(VLOOKUP(F347,编号表!$E$1:$G$8,2,0))&amp;G347&amp;"_"&amp;H347&amp;"_"&amp;I347</f>
        <v>3N3_4_9</v>
      </c>
      <c r="E347" s="2">
        <v>3</v>
      </c>
      <c r="F347" s="2" t="s">
        <v>174</v>
      </c>
      <c r="G347" s="2">
        <v>3</v>
      </c>
      <c r="H347" s="2">
        <v>4</v>
      </c>
      <c r="I347" s="2">
        <f>COUNTIFS($E$3:E347,E347,$H$3:H347,H347)</f>
        <v>9</v>
      </c>
      <c r="N347" s="11">
        <v>1003301</v>
      </c>
      <c r="O347" s="11">
        <v>1003401</v>
      </c>
      <c r="P347" s="11">
        <v>1003501</v>
      </c>
      <c r="Q347" s="11">
        <v>1003601</v>
      </c>
    </row>
    <row r="348" spans="1:17">
      <c r="A348" s="11">
        <f t="shared" si="7"/>
        <v>70033410</v>
      </c>
      <c r="B348" s="14" t="s">
        <v>518</v>
      </c>
      <c r="D348" s="2" t="str">
        <f>E348&amp;(VLOOKUP(F348,编号表!$E$1:$G$8,2,0))&amp;G348&amp;"_"&amp;H348&amp;"_"&amp;I348</f>
        <v>3N3_4_10</v>
      </c>
      <c r="E348" s="2">
        <v>3</v>
      </c>
      <c r="F348" s="2" t="s">
        <v>174</v>
      </c>
      <c r="G348" s="2">
        <v>3</v>
      </c>
      <c r="H348" s="2">
        <v>4</v>
      </c>
      <c r="I348" s="2">
        <f>COUNTIFS($E$3:E348,E348,$H$3:H348,H348)</f>
        <v>10</v>
      </c>
      <c r="N348" s="11">
        <v>1003301</v>
      </c>
      <c r="O348" s="11">
        <v>1003401</v>
      </c>
      <c r="P348" s="11">
        <v>1003501</v>
      </c>
      <c r="Q348" s="11">
        <v>1003601</v>
      </c>
    </row>
    <row r="349" spans="1:17">
      <c r="A349" s="11">
        <f t="shared" si="7"/>
        <v>70035411</v>
      </c>
      <c r="B349" s="14" t="s">
        <v>519</v>
      </c>
      <c r="D349" s="2" t="str">
        <f>E349&amp;(VLOOKUP(F349,编号表!$E$1:$G$8,2,0))&amp;G349&amp;"_"&amp;H349&amp;"_"&amp;I349</f>
        <v>3N5_4_11</v>
      </c>
      <c r="E349" s="2">
        <v>3</v>
      </c>
      <c r="F349" s="2" t="s">
        <v>174</v>
      </c>
      <c r="G349" s="2">
        <v>5</v>
      </c>
      <c r="H349" s="2">
        <v>4</v>
      </c>
      <c r="I349" s="2">
        <f>COUNTIFS($E$3:E349,E349,$H$3:H349,H349)</f>
        <v>11</v>
      </c>
      <c r="N349" s="11">
        <v>1003301</v>
      </c>
      <c r="O349" s="11">
        <v>1003401</v>
      </c>
      <c r="P349" s="11">
        <v>1003501</v>
      </c>
      <c r="Q349" s="11">
        <v>1003601</v>
      </c>
    </row>
    <row r="350" spans="1:17">
      <c r="A350" s="11">
        <f t="shared" si="7"/>
        <v>70033412</v>
      </c>
      <c r="B350" s="14" t="s">
        <v>520</v>
      </c>
      <c r="D350" s="2" t="str">
        <f>E350&amp;(VLOOKUP(F350,编号表!$E$1:$G$8,2,0))&amp;G350&amp;"_"&amp;H350&amp;"_"&amp;I350</f>
        <v>3N3_4_12</v>
      </c>
      <c r="E350" s="2">
        <v>3</v>
      </c>
      <c r="F350" s="2" t="s">
        <v>174</v>
      </c>
      <c r="G350" s="2">
        <v>3</v>
      </c>
      <c r="H350" s="2">
        <v>4</v>
      </c>
      <c r="I350" s="2">
        <f>COUNTIFS($E$3:E350,E350,$H$3:H350,H350)</f>
        <v>12</v>
      </c>
      <c r="N350" s="11">
        <v>1003301</v>
      </c>
      <c r="O350" s="11">
        <v>1003401</v>
      </c>
      <c r="P350" s="11">
        <v>1003501</v>
      </c>
      <c r="Q350" s="11">
        <v>1003601</v>
      </c>
    </row>
    <row r="351" spans="1:17">
      <c r="A351" s="11">
        <f t="shared" si="7"/>
        <v>70034501</v>
      </c>
      <c r="B351" s="14" t="s">
        <v>521</v>
      </c>
      <c r="D351" s="2" t="str">
        <f>E351&amp;(VLOOKUP(F351,编号表!$E$1:$G$8,2,0))&amp;G351&amp;"_"&amp;H351&amp;"_"&amp;I351</f>
        <v>3N4_5_1</v>
      </c>
      <c r="E351" s="2">
        <v>3</v>
      </c>
      <c r="F351" s="2" t="s">
        <v>174</v>
      </c>
      <c r="G351" s="2">
        <v>4</v>
      </c>
      <c r="H351" s="2">
        <v>5</v>
      </c>
      <c r="I351" s="2">
        <f>COUNTIFS($E$3:E351,E351,$H$3:H351,H351)</f>
        <v>1</v>
      </c>
      <c r="N351" s="11">
        <v>1003301</v>
      </c>
      <c r="O351" s="11">
        <v>1003401</v>
      </c>
      <c r="P351" s="11">
        <v>1003501</v>
      </c>
      <c r="Q351" s="11">
        <v>1003601</v>
      </c>
    </row>
    <row r="352" spans="1:17">
      <c r="A352" s="11">
        <f t="shared" si="7"/>
        <v>70034502</v>
      </c>
      <c r="B352" s="14" t="s">
        <v>522</v>
      </c>
      <c r="D352" s="2" t="str">
        <f>E352&amp;(VLOOKUP(F352,编号表!$E$1:$G$8,2,0))&amp;G352&amp;"_"&amp;H352&amp;"_"&amp;I352</f>
        <v>3N4_5_2</v>
      </c>
      <c r="E352" s="2">
        <v>3</v>
      </c>
      <c r="F352" s="2" t="s">
        <v>174</v>
      </c>
      <c r="G352" s="2">
        <v>4</v>
      </c>
      <c r="H352" s="2">
        <v>5</v>
      </c>
      <c r="I352" s="2">
        <f>COUNTIFS($E$3:E352,E352,$H$3:H352,H352)</f>
        <v>2</v>
      </c>
      <c r="N352" s="11">
        <v>1003301</v>
      </c>
      <c r="O352" s="11">
        <v>1003401</v>
      </c>
      <c r="P352" s="11">
        <v>1003501</v>
      </c>
      <c r="Q352" s="11">
        <v>1003601</v>
      </c>
    </row>
    <row r="353" spans="1:19">
      <c r="A353" s="11">
        <f t="shared" si="7"/>
        <v>70034503</v>
      </c>
      <c r="B353" s="14" t="s">
        <v>523</v>
      </c>
      <c r="D353" s="2" t="str">
        <f>E353&amp;(VLOOKUP(F353,编号表!$E$1:$G$8,2,0))&amp;G353&amp;"_"&amp;H353&amp;"_"&amp;I353</f>
        <v>3N4_5_3</v>
      </c>
      <c r="E353" s="2">
        <v>3</v>
      </c>
      <c r="F353" s="2" t="s">
        <v>174</v>
      </c>
      <c r="G353" s="2">
        <v>4</v>
      </c>
      <c r="H353" s="2">
        <v>5</v>
      </c>
      <c r="I353" s="2">
        <f>COUNTIFS($E$3:E353,E353,$H$3:H353,H353)</f>
        <v>3</v>
      </c>
      <c r="N353" s="11">
        <v>1003301</v>
      </c>
      <c r="O353" s="11">
        <v>1003401</v>
      </c>
      <c r="P353" s="11">
        <v>1003501</v>
      </c>
      <c r="Q353" s="11">
        <v>1003601</v>
      </c>
    </row>
    <row r="354" spans="1:19">
      <c r="A354" s="11">
        <f t="shared" si="7"/>
        <v>70034504</v>
      </c>
      <c r="B354" s="14" t="s">
        <v>524</v>
      </c>
      <c r="D354" s="2" t="str">
        <f>E354&amp;(VLOOKUP(F354,编号表!$E$1:$G$8,2,0))&amp;G354&amp;"_"&amp;H354&amp;"_"&amp;I354</f>
        <v>3N4_5_4</v>
      </c>
      <c r="E354" s="2">
        <v>3</v>
      </c>
      <c r="F354" s="2" t="s">
        <v>174</v>
      </c>
      <c r="G354" s="2">
        <v>4</v>
      </c>
      <c r="H354" s="2">
        <v>5</v>
      </c>
      <c r="I354" s="2">
        <f>COUNTIFS($E$3:E354,E354,$H$3:H354,H354)</f>
        <v>4</v>
      </c>
      <c r="N354" s="11">
        <v>1003301</v>
      </c>
      <c r="O354" s="11">
        <v>1003401</v>
      </c>
      <c r="P354" s="11">
        <v>1003501</v>
      </c>
      <c r="Q354" s="11">
        <v>1003601</v>
      </c>
    </row>
    <row r="355" spans="1:19">
      <c r="A355" s="11">
        <f t="shared" si="7"/>
        <v>70033505</v>
      </c>
      <c r="B355" s="14" t="s">
        <v>525</v>
      </c>
      <c r="D355" s="2" t="str">
        <f>E355&amp;(VLOOKUP(F355,编号表!$E$1:$G$8,2,0))&amp;G355&amp;"_"&amp;H355&amp;"_"&amp;I355</f>
        <v>3N3_5_5</v>
      </c>
      <c r="E355" s="2">
        <v>3</v>
      </c>
      <c r="F355" s="2" t="s">
        <v>174</v>
      </c>
      <c r="G355" s="2">
        <v>3</v>
      </c>
      <c r="H355" s="2">
        <v>5</v>
      </c>
      <c r="I355" s="2">
        <f>COUNTIFS($E$3:E355,E355,$H$3:H355,H355)</f>
        <v>5</v>
      </c>
      <c r="N355" s="11">
        <v>1003301</v>
      </c>
      <c r="O355" s="11">
        <v>1003401</v>
      </c>
      <c r="P355" s="11">
        <v>1003501</v>
      </c>
      <c r="Q355" s="11">
        <v>1003601</v>
      </c>
    </row>
    <row r="356" spans="1:19">
      <c r="A356" s="11">
        <f t="shared" si="7"/>
        <v>70033506</v>
      </c>
      <c r="B356" s="14" t="s">
        <v>526</v>
      </c>
      <c r="D356" s="2" t="str">
        <f>E356&amp;(VLOOKUP(F356,编号表!$E$1:$G$8,2,0))&amp;G356&amp;"_"&amp;H356&amp;"_"&amp;I356</f>
        <v>3N3_5_6</v>
      </c>
      <c r="E356" s="2">
        <v>3</v>
      </c>
      <c r="F356" s="2" t="s">
        <v>174</v>
      </c>
      <c r="G356" s="2">
        <v>3</v>
      </c>
      <c r="H356" s="2">
        <v>5</v>
      </c>
      <c r="I356" s="2">
        <f>COUNTIFS($E$3:E356,E356,$H$3:H356,H356)</f>
        <v>6</v>
      </c>
      <c r="N356" s="11">
        <v>1003301</v>
      </c>
      <c r="O356" s="11">
        <v>1003401</v>
      </c>
      <c r="P356" s="11">
        <v>1003501</v>
      </c>
      <c r="Q356" s="11">
        <v>1003601</v>
      </c>
    </row>
    <row r="357" spans="1:19">
      <c r="A357" s="11">
        <f t="shared" si="7"/>
        <v>70033507</v>
      </c>
      <c r="B357" s="14" t="s">
        <v>527</v>
      </c>
      <c r="D357" s="2" t="str">
        <f>E357&amp;(VLOOKUP(F357,编号表!$E$1:$G$8,2,0))&amp;G357&amp;"_"&amp;H357&amp;"_"&amp;I357</f>
        <v>3N3_5_7</v>
      </c>
      <c r="E357" s="2">
        <v>3</v>
      </c>
      <c r="F357" s="2" t="s">
        <v>174</v>
      </c>
      <c r="G357" s="2">
        <v>3</v>
      </c>
      <c r="H357" s="2">
        <v>5</v>
      </c>
      <c r="I357" s="2">
        <f>COUNTIFS($E$3:E357,E357,$H$3:H357,H357)</f>
        <v>7</v>
      </c>
      <c r="N357" s="11">
        <v>1003301</v>
      </c>
      <c r="O357" s="11">
        <v>1003401</v>
      </c>
      <c r="P357" s="11">
        <v>1003501</v>
      </c>
      <c r="Q357" s="11">
        <v>1003601</v>
      </c>
    </row>
    <row r="358" spans="1:19">
      <c r="A358" s="11">
        <f t="shared" si="7"/>
        <v>70033508</v>
      </c>
      <c r="B358" s="14" t="s">
        <v>528</v>
      </c>
      <c r="D358" s="2" t="str">
        <f>E358&amp;(VLOOKUP(F358,编号表!$E$1:$G$8,2,0))&amp;G358&amp;"_"&amp;H358&amp;"_"&amp;I358</f>
        <v>3N3_5_8</v>
      </c>
      <c r="E358" s="2">
        <v>3</v>
      </c>
      <c r="F358" s="2" t="s">
        <v>174</v>
      </c>
      <c r="G358" s="2">
        <v>3</v>
      </c>
      <c r="H358" s="2">
        <v>5</v>
      </c>
      <c r="I358" s="2">
        <f>COUNTIFS($E$3:E358,E358,$H$3:H358,H358)</f>
        <v>8</v>
      </c>
      <c r="N358" s="11">
        <v>1003301</v>
      </c>
      <c r="O358" s="11">
        <v>1003401</v>
      </c>
      <c r="P358" s="11">
        <v>1003501</v>
      </c>
      <c r="Q358" s="11">
        <v>1003601</v>
      </c>
    </row>
    <row r="359" spans="1:19">
      <c r="A359" s="11">
        <f t="shared" si="7"/>
        <v>70033509</v>
      </c>
      <c r="B359" s="14" t="s">
        <v>529</v>
      </c>
      <c r="D359" s="2" t="str">
        <f>E359&amp;(VLOOKUP(F359,编号表!$E$1:$G$8,2,0))&amp;G359&amp;"_"&amp;H359&amp;"_"&amp;I359</f>
        <v>3N3_5_9</v>
      </c>
      <c r="E359" s="2">
        <v>3</v>
      </c>
      <c r="F359" s="2" t="s">
        <v>174</v>
      </c>
      <c r="G359" s="2">
        <v>3</v>
      </c>
      <c r="H359" s="2">
        <v>5</v>
      </c>
      <c r="I359" s="2">
        <f>COUNTIFS($E$3:E359,E359,$H$3:H359,H359)</f>
        <v>9</v>
      </c>
      <c r="N359" s="11">
        <v>1003301</v>
      </c>
      <c r="O359" s="11">
        <v>1003401</v>
      </c>
      <c r="P359" s="11">
        <v>1003501</v>
      </c>
      <c r="Q359" s="11">
        <v>1003601</v>
      </c>
    </row>
    <row r="360" spans="1:19">
      <c r="A360" s="11">
        <f t="shared" si="7"/>
        <v>70030001</v>
      </c>
      <c r="B360" s="18" t="s">
        <v>530</v>
      </c>
      <c r="D360" s="2" t="str">
        <f>E360&amp;(VLOOKUP(F360,编号表!$E$1:$G$8,2,0))&amp;G360&amp;"_"&amp;H360&amp;"_"&amp;I360</f>
        <v>3J0_0_1</v>
      </c>
      <c r="E360" s="2">
        <v>3</v>
      </c>
      <c r="F360" s="2" t="s">
        <v>222</v>
      </c>
      <c r="G360" s="2">
        <v>0</v>
      </c>
      <c r="H360" s="2">
        <v>0</v>
      </c>
      <c r="I360" s="2">
        <f>COUNTIFS($E$3:E360,E360,$H$3:H360,H360)</f>
        <v>1</v>
      </c>
      <c r="J360" s="2">
        <v>1</v>
      </c>
    </row>
    <row r="361" spans="1:19">
      <c r="A361" s="11">
        <f t="shared" si="7"/>
        <v>70042101</v>
      </c>
      <c r="B361" s="14" t="s">
        <v>531</v>
      </c>
      <c r="D361" s="2" t="str">
        <f>E361&amp;(VLOOKUP(F361,编号表!$E$1:$G$8,2,0))&amp;G361&amp;"_"&amp;H361&amp;"_"&amp;I361</f>
        <v>4N2_1_1</v>
      </c>
      <c r="E361" s="2">
        <v>4</v>
      </c>
      <c r="F361" s="2" t="s">
        <v>174</v>
      </c>
      <c r="G361" s="2">
        <v>2</v>
      </c>
      <c r="H361" s="2">
        <v>1</v>
      </c>
      <c r="I361" s="2">
        <f>COUNTIFS($E$3:E361,E361,$H$3:H361,H361)</f>
        <v>1</v>
      </c>
      <c r="N361" s="11">
        <v>1004201</v>
      </c>
      <c r="O361" s="11">
        <v>1004301</v>
      </c>
      <c r="P361" s="11">
        <v>1004001</v>
      </c>
    </row>
    <row r="362" spans="1:19">
      <c r="A362" s="11">
        <f t="shared" si="7"/>
        <v>70043102</v>
      </c>
      <c r="B362" s="14" t="s">
        <v>532</v>
      </c>
      <c r="D362" s="2" t="str">
        <f>E362&amp;(VLOOKUP(F362,编号表!$E$1:$G$8,2,0))&amp;G362&amp;"_"&amp;H362&amp;"_"&amp;I362</f>
        <v>4N3_1_2</v>
      </c>
      <c r="E362" s="2">
        <v>4</v>
      </c>
      <c r="F362" s="2" t="s">
        <v>174</v>
      </c>
      <c r="G362" s="2">
        <v>3</v>
      </c>
      <c r="H362" s="2">
        <v>1</v>
      </c>
      <c r="I362" s="2">
        <f>COUNTIFS($E$3:E362,E362,$H$3:H362,H362)</f>
        <v>2</v>
      </c>
      <c r="N362" s="11">
        <v>1004301</v>
      </c>
      <c r="O362" s="11">
        <v>1004401</v>
      </c>
      <c r="P362" s="11">
        <v>1004501</v>
      </c>
      <c r="Q362" s="11">
        <v>1004601</v>
      </c>
      <c r="R362" s="11">
        <v>1004701</v>
      </c>
      <c r="S362" s="11">
        <v>1004101</v>
      </c>
    </row>
    <row r="363" spans="1:19">
      <c r="A363" s="11">
        <f t="shared" si="7"/>
        <v>70044103</v>
      </c>
      <c r="B363" s="14" t="s">
        <v>533</v>
      </c>
      <c r="D363" s="2" t="str">
        <f>E363&amp;(VLOOKUP(F363,编号表!$E$1:$G$8,2,0))&amp;G363&amp;"_"&amp;H363&amp;"_"&amp;I363</f>
        <v>4N4_1_3</v>
      </c>
      <c r="E363" s="2">
        <v>4</v>
      </c>
      <c r="F363" s="2" t="s">
        <v>174</v>
      </c>
      <c r="G363" s="2">
        <v>4</v>
      </c>
      <c r="H363" s="2">
        <v>1</v>
      </c>
      <c r="I363" s="2">
        <f>COUNTIFS($E$3:E363,E363,$H$3:H363,H363)</f>
        <v>3</v>
      </c>
      <c r="N363" s="11">
        <v>1004301</v>
      </c>
      <c r="O363" s="11">
        <v>1004401</v>
      </c>
      <c r="P363" s="11">
        <v>1004501</v>
      </c>
      <c r="Q363" s="11">
        <v>1004601</v>
      </c>
      <c r="R363" s="11">
        <v>1004701</v>
      </c>
      <c r="S363" s="11">
        <v>1004102</v>
      </c>
    </row>
    <row r="364" spans="1:19">
      <c r="A364" s="11">
        <f t="shared" si="7"/>
        <v>70043104</v>
      </c>
      <c r="B364" s="14" t="s">
        <v>534</v>
      </c>
      <c r="D364" s="2" t="str">
        <f>E364&amp;(VLOOKUP(F364,编号表!$E$1:$G$8,2,0))&amp;G364&amp;"_"&amp;H364&amp;"_"&amp;I364</f>
        <v>4N3_1_4</v>
      </c>
      <c r="E364" s="2">
        <v>4</v>
      </c>
      <c r="F364" s="2" t="s">
        <v>174</v>
      </c>
      <c r="G364" s="2">
        <v>3</v>
      </c>
      <c r="H364" s="2">
        <v>1</v>
      </c>
      <c r="I364" s="2">
        <f>COUNTIFS($E$3:E364,E364,$H$3:H364,H364)</f>
        <v>4</v>
      </c>
      <c r="N364" s="11">
        <v>1004301</v>
      </c>
      <c r="O364" s="11">
        <v>1004401</v>
      </c>
      <c r="P364" s="11">
        <v>1004501</v>
      </c>
      <c r="Q364" s="11">
        <v>1004601</v>
      </c>
      <c r="R364" s="11">
        <v>1004701</v>
      </c>
    </row>
    <row r="365" spans="1:19">
      <c r="A365" s="11">
        <f t="shared" si="7"/>
        <v>70043105</v>
      </c>
      <c r="B365" s="14" t="s">
        <v>535</v>
      </c>
      <c r="D365" s="2" t="str">
        <f>E365&amp;(VLOOKUP(F365,编号表!$E$1:$G$8,2,0))&amp;G365&amp;"_"&amp;H365&amp;"_"&amp;I365</f>
        <v>4N3_1_5</v>
      </c>
      <c r="E365" s="2">
        <v>4</v>
      </c>
      <c r="F365" s="2" t="s">
        <v>174</v>
      </c>
      <c r="G365" s="2">
        <v>3</v>
      </c>
      <c r="H365" s="2">
        <v>1</v>
      </c>
      <c r="I365" s="2">
        <f>COUNTIFS($E$3:E365,E365,$H$3:H365,H365)</f>
        <v>5</v>
      </c>
      <c r="N365" s="11">
        <v>1004301</v>
      </c>
      <c r="O365" s="11">
        <v>1004401</v>
      </c>
      <c r="P365" s="11">
        <v>1004501</v>
      </c>
      <c r="Q365" s="11">
        <v>1004601</v>
      </c>
      <c r="R365" s="11">
        <v>1004701</v>
      </c>
    </row>
    <row r="366" spans="1:19">
      <c r="A366" s="11">
        <f t="shared" si="7"/>
        <v>70043106</v>
      </c>
      <c r="B366" s="14" t="s">
        <v>536</v>
      </c>
      <c r="D366" s="2" t="str">
        <f>E366&amp;(VLOOKUP(F366,编号表!$E$1:$G$8,2,0))&amp;G366&amp;"_"&amp;H366&amp;"_"&amp;I366</f>
        <v>4N3_1_6</v>
      </c>
      <c r="E366" s="2">
        <v>4</v>
      </c>
      <c r="F366" s="2" t="s">
        <v>174</v>
      </c>
      <c r="G366" s="2">
        <v>3</v>
      </c>
      <c r="H366" s="2">
        <v>1</v>
      </c>
      <c r="I366" s="2">
        <f>COUNTIFS($E$3:E366,E366,$H$3:H366,H366)</f>
        <v>6</v>
      </c>
      <c r="N366" s="11">
        <v>1004301</v>
      </c>
      <c r="O366" s="11">
        <v>1004401</v>
      </c>
      <c r="P366" s="11">
        <v>1004501</v>
      </c>
      <c r="Q366" s="11">
        <v>1004601</v>
      </c>
      <c r="R366" s="11">
        <v>1004701</v>
      </c>
    </row>
    <row r="367" spans="1:19">
      <c r="A367" s="11">
        <f t="shared" si="7"/>
        <v>70045107</v>
      </c>
      <c r="B367" s="14" t="s">
        <v>537</v>
      </c>
      <c r="D367" s="2" t="str">
        <f>E367&amp;(VLOOKUP(F367,编号表!$E$1:$G$8,2,0))&amp;G367&amp;"_"&amp;H367&amp;"_"&amp;I367</f>
        <v>4N5_1_7</v>
      </c>
      <c r="E367" s="2">
        <v>4</v>
      </c>
      <c r="F367" s="2" t="s">
        <v>174</v>
      </c>
      <c r="G367" s="2">
        <v>5</v>
      </c>
      <c r="H367" s="2">
        <v>1</v>
      </c>
      <c r="I367" s="2">
        <f>COUNTIFS($E$3:E367,E367,$H$3:H367,H367)</f>
        <v>7</v>
      </c>
      <c r="N367" s="11">
        <v>1004301</v>
      </c>
      <c r="O367" s="11">
        <v>1004401</v>
      </c>
      <c r="P367" s="11">
        <v>1004501</v>
      </c>
      <c r="Q367" s="11">
        <v>1004601</v>
      </c>
      <c r="R367" s="11">
        <v>1004701</v>
      </c>
    </row>
    <row r="368" spans="1:19">
      <c r="A368" s="11">
        <f t="shared" si="7"/>
        <v>70044108</v>
      </c>
      <c r="B368" s="14" t="s">
        <v>538</v>
      </c>
      <c r="D368" s="2" t="str">
        <f>E368&amp;(VLOOKUP(F368,编号表!$E$1:$G$8,2,0))&amp;G368&amp;"_"&amp;H368&amp;"_"&amp;I368</f>
        <v>4N4_1_8</v>
      </c>
      <c r="E368" s="2">
        <v>4</v>
      </c>
      <c r="F368" s="2" t="s">
        <v>174</v>
      </c>
      <c r="G368" s="2">
        <v>4</v>
      </c>
      <c r="H368" s="2">
        <v>1</v>
      </c>
      <c r="I368" s="2">
        <f>COUNTIFS($E$3:E368,E368,$H$3:H368,H368)</f>
        <v>8</v>
      </c>
      <c r="N368" s="11">
        <v>1004301</v>
      </c>
      <c r="O368" s="11">
        <v>1004401</v>
      </c>
      <c r="P368" s="11">
        <v>1004501</v>
      </c>
      <c r="Q368" s="11">
        <v>1004601</v>
      </c>
      <c r="R368" s="11">
        <v>1004701</v>
      </c>
    </row>
    <row r="369" spans="1:20">
      <c r="A369" s="11">
        <f t="shared" si="7"/>
        <v>70043109</v>
      </c>
      <c r="B369" s="14" t="s">
        <v>539</v>
      </c>
      <c r="D369" s="2" t="str">
        <f>E369&amp;(VLOOKUP(F369,编号表!$E$1:$G$8,2,0))&amp;G369&amp;"_"&amp;H369&amp;"_"&amp;I369</f>
        <v>4N3_1_9</v>
      </c>
      <c r="E369" s="2">
        <v>4</v>
      </c>
      <c r="F369" s="2" t="s">
        <v>174</v>
      </c>
      <c r="G369" s="2">
        <v>3</v>
      </c>
      <c r="H369" s="2">
        <v>1</v>
      </c>
      <c r="I369" s="2">
        <f>COUNTIFS($E$3:E369,E369,$H$3:H369,H369)</f>
        <v>9</v>
      </c>
      <c r="N369" s="11">
        <v>1004301</v>
      </c>
      <c r="O369" s="11">
        <v>1004401</v>
      </c>
      <c r="P369" s="11">
        <v>1004501</v>
      </c>
      <c r="Q369" s="11">
        <v>1004601</v>
      </c>
      <c r="R369" s="11">
        <v>1004701</v>
      </c>
    </row>
    <row r="370" spans="1:20">
      <c r="A370" s="11">
        <f t="shared" si="7"/>
        <v>70043110</v>
      </c>
      <c r="B370" s="14" t="s">
        <v>540</v>
      </c>
      <c r="D370" s="2" t="str">
        <f>E370&amp;(VLOOKUP(F370,编号表!$E$1:$G$8,2,0))&amp;G370&amp;"_"&amp;H370&amp;"_"&amp;I370</f>
        <v>4N3_1_10</v>
      </c>
      <c r="E370" s="2">
        <v>4</v>
      </c>
      <c r="F370" s="2" t="s">
        <v>174</v>
      </c>
      <c r="G370" s="2">
        <v>3</v>
      </c>
      <c r="H370" s="2">
        <v>1</v>
      </c>
      <c r="I370" s="2">
        <f>COUNTIFS($E$3:E370,E370,$H$3:H370,H370)</f>
        <v>10</v>
      </c>
      <c r="N370" s="11">
        <v>1004201</v>
      </c>
      <c r="O370" s="11">
        <v>1004301</v>
      </c>
      <c r="P370" s="11">
        <v>1004401</v>
      </c>
      <c r="Q370" s="11">
        <v>1004501</v>
      </c>
      <c r="R370" s="11">
        <v>1004601</v>
      </c>
      <c r="S370" s="11">
        <v>1004701</v>
      </c>
    </row>
    <row r="371" spans="1:20">
      <c r="A371" s="11">
        <f t="shared" si="7"/>
        <v>70043111</v>
      </c>
      <c r="B371" s="14" t="s">
        <v>541</v>
      </c>
      <c r="D371" s="2" t="str">
        <f>E371&amp;(VLOOKUP(F371,编号表!$E$1:$G$8,2,0))&amp;G371&amp;"_"&amp;H371&amp;"_"&amp;I371</f>
        <v>4N3_1_11</v>
      </c>
      <c r="E371" s="2">
        <v>4</v>
      </c>
      <c r="F371" s="2" t="s">
        <v>174</v>
      </c>
      <c r="G371" s="2">
        <v>3</v>
      </c>
      <c r="H371" s="2">
        <v>1</v>
      </c>
      <c r="I371" s="2">
        <f>COUNTIFS($E$3:E371,E371,$H$3:H371,H371)</f>
        <v>11</v>
      </c>
      <c r="N371" s="11">
        <v>1004201</v>
      </c>
      <c r="O371" s="11">
        <v>1004301</v>
      </c>
      <c r="P371" s="11">
        <v>1004401</v>
      </c>
      <c r="Q371" s="11">
        <v>1004501</v>
      </c>
      <c r="R371" s="11">
        <v>1004601</v>
      </c>
      <c r="S371" s="11">
        <v>1004701</v>
      </c>
    </row>
    <row r="372" spans="1:20">
      <c r="A372" s="11">
        <f t="shared" si="7"/>
        <v>70043112</v>
      </c>
      <c r="B372" s="14" t="s">
        <v>542</v>
      </c>
      <c r="D372" s="2" t="str">
        <f>E372&amp;(VLOOKUP(F372,编号表!$E$1:$G$8,2,0))&amp;G372&amp;"_"&amp;H372&amp;"_"&amp;I372</f>
        <v>4N3_1_12</v>
      </c>
      <c r="E372" s="2">
        <v>4</v>
      </c>
      <c r="F372" s="2" t="s">
        <v>174</v>
      </c>
      <c r="G372" s="2">
        <v>3</v>
      </c>
      <c r="H372" s="2">
        <v>1</v>
      </c>
      <c r="I372" s="2">
        <f>COUNTIFS($E$3:E372,E372,$H$3:H372,H372)</f>
        <v>12</v>
      </c>
      <c r="N372" s="11">
        <v>1004201</v>
      </c>
      <c r="O372" s="11">
        <v>1004401</v>
      </c>
      <c r="P372" s="11">
        <v>1004501</v>
      </c>
      <c r="Q372" s="11">
        <v>1004601</v>
      </c>
      <c r="R372" s="11">
        <v>1004701</v>
      </c>
      <c r="T372"/>
    </row>
    <row r="373" spans="1:20">
      <c r="A373" s="11">
        <f t="shared" si="7"/>
        <v>70043201</v>
      </c>
      <c r="B373" s="14" t="s">
        <v>543</v>
      </c>
      <c r="D373" s="2" t="str">
        <f>E373&amp;(VLOOKUP(F373,编号表!$E$1:$G$8,2,0))&amp;G373&amp;"_"&amp;H373&amp;"_"&amp;I373</f>
        <v>4N3_2_1</v>
      </c>
      <c r="E373" s="2">
        <v>4</v>
      </c>
      <c r="F373" s="2" t="s">
        <v>174</v>
      </c>
      <c r="G373" s="2">
        <v>3</v>
      </c>
      <c r="H373" s="2">
        <v>2</v>
      </c>
      <c r="I373" s="2">
        <f>COUNTIFS($E$3:E373,E373,$H$3:H373,H373)</f>
        <v>1</v>
      </c>
      <c r="N373" s="11">
        <v>1004201</v>
      </c>
      <c r="O373" s="11">
        <v>1004401</v>
      </c>
      <c r="P373" s="11">
        <v>1004501</v>
      </c>
      <c r="Q373" s="11">
        <v>1004601</v>
      </c>
      <c r="R373" s="11">
        <v>1004701</v>
      </c>
      <c r="T373"/>
    </row>
    <row r="374" spans="1:20">
      <c r="A374" s="11">
        <f t="shared" si="7"/>
        <v>70043202</v>
      </c>
      <c r="B374" s="14" t="s">
        <v>544</v>
      </c>
      <c r="D374" s="2" t="str">
        <f>E374&amp;(VLOOKUP(F374,编号表!$E$1:$G$8,2,0))&amp;G374&amp;"_"&amp;H374&amp;"_"&amp;I374</f>
        <v>4N3_2_2</v>
      </c>
      <c r="E374" s="2">
        <v>4</v>
      </c>
      <c r="F374" s="2" t="s">
        <v>174</v>
      </c>
      <c r="G374" s="2">
        <v>3</v>
      </c>
      <c r="H374" s="2">
        <v>2</v>
      </c>
      <c r="I374" s="2">
        <f>COUNTIFS($E$3:E374,E374,$H$3:H374,H374)</f>
        <v>2</v>
      </c>
      <c r="N374" s="11">
        <v>1004201</v>
      </c>
      <c r="O374" s="11">
        <v>1004401</v>
      </c>
      <c r="P374" s="11">
        <v>1004501</v>
      </c>
      <c r="Q374" s="11">
        <v>1004601</v>
      </c>
      <c r="R374" s="11">
        <v>1004701</v>
      </c>
      <c r="T374"/>
    </row>
    <row r="375" spans="1:20">
      <c r="A375" s="11">
        <f t="shared" si="7"/>
        <v>70043203</v>
      </c>
      <c r="B375" s="14" t="s">
        <v>545</v>
      </c>
      <c r="D375" s="2" t="str">
        <f>E375&amp;(VLOOKUP(F375,编号表!$E$1:$G$8,2,0))&amp;G375&amp;"_"&amp;H375&amp;"_"&amp;I375</f>
        <v>4N3_2_3</v>
      </c>
      <c r="E375" s="2">
        <v>4</v>
      </c>
      <c r="F375" s="2" t="s">
        <v>174</v>
      </c>
      <c r="G375" s="2">
        <v>3</v>
      </c>
      <c r="H375" s="2">
        <v>2</v>
      </c>
      <c r="I375" s="2">
        <f>COUNTIFS($E$3:E375,E375,$H$3:H375,H375)</f>
        <v>3</v>
      </c>
      <c r="N375" s="11">
        <v>1004201</v>
      </c>
      <c r="O375" s="11">
        <v>1004401</v>
      </c>
      <c r="P375" s="11">
        <v>1004501</v>
      </c>
      <c r="Q375" s="11">
        <v>1004601</v>
      </c>
      <c r="R375" s="11">
        <v>1004701</v>
      </c>
      <c r="T375"/>
    </row>
    <row r="376" spans="1:20">
      <c r="A376" s="11">
        <f t="shared" si="7"/>
        <v>70043204</v>
      </c>
      <c r="B376" s="14" t="s">
        <v>546</v>
      </c>
      <c r="D376" s="2" t="str">
        <f>E376&amp;(VLOOKUP(F376,编号表!$E$1:$G$8,2,0))&amp;G376&amp;"_"&amp;H376&amp;"_"&amp;I376</f>
        <v>4N3_2_4</v>
      </c>
      <c r="E376" s="2">
        <v>4</v>
      </c>
      <c r="F376" s="2" t="s">
        <v>174</v>
      </c>
      <c r="G376" s="2">
        <v>3</v>
      </c>
      <c r="H376" s="2">
        <v>2</v>
      </c>
      <c r="I376" s="2">
        <f>COUNTIFS($E$3:E376,E376,$H$3:H376,H376)</f>
        <v>4</v>
      </c>
      <c r="N376" s="11">
        <v>1004201</v>
      </c>
      <c r="O376" s="11">
        <v>1004401</v>
      </c>
      <c r="P376" s="11">
        <v>1004501</v>
      </c>
      <c r="Q376" s="11">
        <v>1004601</v>
      </c>
      <c r="R376" s="11">
        <v>1004701</v>
      </c>
      <c r="T376"/>
    </row>
    <row r="377" spans="1:20">
      <c r="A377" s="11">
        <f t="shared" si="7"/>
        <v>70043205</v>
      </c>
      <c r="B377" s="14" t="s">
        <v>547</v>
      </c>
      <c r="D377" s="2" t="str">
        <f>E377&amp;(VLOOKUP(F377,编号表!$E$1:$G$8,2,0))&amp;G377&amp;"_"&amp;H377&amp;"_"&amp;I377</f>
        <v>4N3_2_5</v>
      </c>
      <c r="E377" s="2">
        <v>4</v>
      </c>
      <c r="F377" s="2" t="s">
        <v>174</v>
      </c>
      <c r="G377" s="2">
        <v>3</v>
      </c>
      <c r="H377" s="2">
        <v>2</v>
      </c>
      <c r="I377" s="2">
        <f>COUNTIFS($E$3:E377,E377,$H$3:H377,H377)</f>
        <v>5</v>
      </c>
      <c r="N377" s="11">
        <v>1004201</v>
      </c>
      <c r="O377" s="11">
        <v>1004401</v>
      </c>
      <c r="P377" s="11">
        <v>1004501</v>
      </c>
      <c r="Q377" s="11">
        <v>1004601</v>
      </c>
      <c r="R377" s="11">
        <v>1004701</v>
      </c>
    </row>
    <row r="378" spans="1:20">
      <c r="A378" s="11">
        <f t="shared" si="7"/>
        <v>70043206</v>
      </c>
      <c r="B378" s="14" t="s">
        <v>548</v>
      </c>
      <c r="D378" s="2" t="str">
        <f>E378&amp;(VLOOKUP(F378,编号表!$E$1:$G$8,2,0))&amp;G378&amp;"_"&amp;H378&amp;"_"&amp;I378</f>
        <v>4N3_2_6</v>
      </c>
      <c r="E378" s="2">
        <v>4</v>
      </c>
      <c r="F378" s="2" t="s">
        <v>174</v>
      </c>
      <c r="G378" s="2">
        <v>3</v>
      </c>
      <c r="H378" s="2">
        <v>2</v>
      </c>
      <c r="I378" s="2">
        <f>COUNTIFS($E$3:E378,E378,$H$3:H378,H378)</f>
        <v>6</v>
      </c>
      <c r="N378" s="11">
        <v>1004201</v>
      </c>
      <c r="O378" s="11">
        <v>1004401</v>
      </c>
      <c r="P378" s="11">
        <v>1004501</v>
      </c>
      <c r="Q378" s="11">
        <v>1004601</v>
      </c>
      <c r="R378" s="11">
        <v>1004701</v>
      </c>
      <c r="T378"/>
    </row>
    <row r="379" spans="1:20">
      <c r="A379" s="11">
        <f t="shared" si="7"/>
        <v>70043207</v>
      </c>
      <c r="B379" s="14" t="s">
        <v>549</v>
      </c>
      <c r="D379" s="2" t="str">
        <f>E379&amp;(VLOOKUP(F379,编号表!$E$1:$G$8,2,0))&amp;G379&amp;"_"&amp;H379&amp;"_"&amp;I379</f>
        <v>4N3_2_7</v>
      </c>
      <c r="E379" s="2">
        <v>4</v>
      </c>
      <c r="F379" s="2" t="s">
        <v>174</v>
      </c>
      <c r="G379" s="2">
        <v>3</v>
      </c>
      <c r="H379" s="2">
        <v>2</v>
      </c>
      <c r="I379" s="2">
        <f>COUNTIFS($E$3:E379,E379,$H$3:H379,H379)</f>
        <v>7</v>
      </c>
      <c r="N379" s="11">
        <v>1004201</v>
      </c>
      <c r="O379" s="11">
        <v>1004401</v>
      </c>
      <c r="P379" s="11">
        <v>1004501</v>
      </c>
      <c r="Q379" s="11">
        <v>1004601</v>
      </c>
      <c r="R379" s="11">
        <v>1004701</v>
      </c>
      <c r="T379"/>
    </row>
    <row r="380" spans="1:20">
      <c r="A380" s="11">
        <f t="shared" ref="A380:A443" si="8">70000000+E380*10000+G380*1000+H380*100+I380</f>
        <v>70043301</v>
      </c>
      <c r="B380" s="14" t="s">
        <v>550</v>
      </c>
      <c r="D380" s="2" t="str">
        <f>E380&amp;(VLOOKUP(F380,编号表!$E$1:$G$8,2,0))&amp;G380&amp;"_"&amp;H380&amp;"_"&amp;I380</f>
        <v>4N3_3_1</v>
      </c>
      <c r="E380" s="2">
        <v>4</v>
      </c>
      <c r="F380" s="2" t="s">
        <v>174</v>
      </c>
      <c r="G380" s="2">
        <v>3</v>
      </c>
      <c r="H380" s="2">
        <v>3</v>
      </c>
      <c r="I380" s="2">
        <f>COUNTIFS($E$3:E380,E380,$H$3:H380,H380)</f>
        <v>1</v>
      </c>
      <c r="N380" s="11">
        <v>1004201</v>
      </c>
      <c r="O380" s="11">
        <v>1004301</v>
      </c>
      <c r="P380" s="11">
        <v>1004401</v>
      </c>
      <c r="Q380" s="11">
        <v>1004501</v>
      </c>
      <c r="R380" s="11">
        <v>1004601</v>
      </c>
      <c r="S380" s="11">
        <v>1004701</v>
      </c>
    </row>
    <row r="381" spans="1:20">
      <c r="A381" s="11">
        <f t="shared" si="8"/>
        <v>70044302</v>
      </c>
      <c r="B381" s="14" t="s">
        <v>551</v>
      </c>
      <c r="D381" s="2" t="str">
        <f>E381&amp;(VLOOKUP(F381,编号表!$E$1:$G$8,2,0))&amp;G381&amp;"_"&amp;H381&amp;"_"&amp;I381</f>
        <v>4N4_3_2</v>
      </c>
      <c r="E381" s="2">
        <v>4</v>
      </c>
      <c r="F381" s="2" t="s">
        <v>174</v>
      </c>
      <c r="G381" s="2">
        <v>4</v>
      </c>
      <c r="H381" s="2">
        <v>3</v>
      </c>
      <c r="I381" s="2">
        <f>COUNTIFS($E$3:E381,E381,$H$3:H381,H381)</f>
        <v>2</v>
      </c>
      <c r="N381" s="11">
        <v>1004201</v>
      </c>
      <c r="O381" s="11">
        <v>1004301</v>
      </c>
      <c r="P381" s="11">
        <v>1004401</v>
      </c>
      <c r="Q381" s="11">
        <v>1004501</v>
      </c>
      <c r="R381" s="11">
        <v>1004601</v>
      </c>
      <c r="S381" s="11">
        <v>1004701</v>
      </c>
      <c r="T381"/>
    </row>
    <row r="382" spans="1:20">
      <c r="A382" s="11">
        <f t="shared" si="8"/>
        <v>70043303</v>
      </c>
      <c r="B382" s="14" t="s">
        <v>552</v>
      </c>
      <c r="D382" s="2" t="str">
        <f>E382&amp;(VLOOKUP(F382,编号表!$E$1:$G$8,2,0))&amp;G382&amp;"_"&amp;H382&amp;"_"&amp;I382</f>
        <v>4N3_3_3</v>
      </c>
      <c r="E382" s="2">
        <v>4</v>
      </c>
      <c r="F382" s="2" t="s">
        <v>174</v>
      </c>
      <c r="G382" s="2">
        <v>3</v>
      </c>
      <c r="H382" s="2">
        <v>3</v>
      </c>
      <c r="I382" s="2">
        <f>COUNTIFS($E$3:E382,E382,$H$3:H382,H382)</f>
        <v>3</v>
      </c>
      <c r="N382" s="11">
        <v>1004201</v>
      </c>
      <c r="O382" s="11">
        <v>1004301</v>
      </c>
      <c r="P382" s="11">
        <v>1004401</v>
      </c>
      <c r="Q382" s="11">
        <v>1004501</v>
      </c>
      <c r="R382" s="11">
        <v>1004601</v>
      </c>
      <c r="S382" s="11">
        <v>1004701</v>
      </c>
      <c r="T382"/>
    </row>
    <row r="383" spans="1:20">
      <c r="A383" s="11">
        <f t="shared" si="8"/>
        <v>70043401</v>
      </c>
      <c r="B383" s="16" t="s">
        <v>22</v>
      </c>
      <c r="C383" s="2" t="s">
        <v>507</v>
      </c>
      <c r="D383" s="2" t="str">
        <f>E383&amp;(VLOOKUP(F383,编号表!$E$1:$G$8,2,0))&amp;G383&amp;"_"&amp;H383&amp;"_"&amp;I383</f>
        <v>4T3_4_1</v>
      </c>
      <c r="E383" s="2">
        <v>4</v>
      </c>
      <c r="F383" s="2" t="s">
        <v>190</v>
      </c>
      <c r="G383" s="2">
        <v>3</v>
      </c>
      <c r="H383" s="2">
        <v>4</v>
      </c>
      <c r="I383" s="2">
        <f>COUNTIFS($E$3:E383,E383,$H$3:H383,H383)</f>
        <v>1</v>
      </c>
      <c r="L383" s="2">
        <v>109</v>
      </c>
      <c r="N383" s="21"/>
      <c r="O383" s="21"/>
      <c r="P383" s="22"/>
      <c r="Q383" s="21"/>
      <c r="R383" s="21"/>
      <c r="S383" s="21"/>
    </row>
    <row r="384" spans="1:20">
      <c r="A384" s="11">
        <f t="shared" si="8"/>
        <v>70041402</v>
      </c>
      <c r="B384" s="15" t="s">
        <v>508</v>
      </c>
      <c r="D384" s="2" t="str">
        <f>E384&amp;(VLOOKUP(F384,编号表!$E$1:$G$8,2,0))&amp;G384&amp;"_"&amp;H384&amp;"_"&amp;I384</f>
        <v>4T1_4_2</v>
      </c>
      <c r="E384" s="2">
        <v>4</v>
      </c>
      <c r="F384" s="2" t="s">
        <v>190</v>
      </c>
      <c r="G384" s="2">
        <v>1</v>
      </c>
      <c r="H384" s="2">
        <v>4</v>
      </c>
      <c r="I384" s="2">
        <f>COUNTIFS($E$3:E384,E384,$H$3:H384,H384)</f>
        <v>2</v>
      </c>
      <c r="K384" s="2">
        <v>1</v>
      </c>
      <c r="N384" s="21"/>
      <c r="O384" s="21"/>
      <c r="P384" s="22"/>
      <c r="Q384" s="21"/>
      <c r="R384" s="21"/>
      <c r="S384" s="21"/>
    </row>
    <row r="385" spans="1:18">
      <c r="A385" s="11">
        <f t="shared" si="8"/>
        <v>70043403</v>
      </c>
      <c r="B385" s="14" t="s">
        <v>553</v>
      </c>
      <c r="D385" s="2" t="str">
        <f>E385&amp;(VLOOKUP(F385,编号表!$E$1:$G$8,2,0))&amp;G385&amp;"_"&amp;H385&amp;"_"&amp;I385</f>
        <v>4N3_4_3</v>
      </c>
      <c r="E385" s="2">
        <v>4</v>
      </c>
      <c r="F385" s="2" t="s">
        <v>174</v>
      </c>
      <c r="G385" s="2">
        <v>3</v>
      </c>
      <c r="H385" s="2">
        <v>4</v>
      </c>
      <c r="I385" s="2">
        <f>COUNTIFS($E$3:E385,E385,$H$3:H385,H385)</f>
        <v>3</v>
      </c>
      <c r="N385" s="11">
        <v>1004301</v>
      </c>
      <c r="O385" s="11">
        <v>1004401</v>
      </c>
      <c r="P385" s="11">
        <v>1004501</v>
      </c>
      <c r="Q385" s="11">
        <v>1004601</v>
      </c>
      <c r="R385" s="11">
        <v>1004701</v>
      </c>
    </row>
    <row r="386" spans="1:18">
      <c r="A386" s="11">
        <f t="shared" si="8"/>
        <v>70043404</v>
      </c>
      <c r="B386" s="14" t="s">
        <v>554</v>
      </c>
      <c r="D386" s="2" t="str">
        <f>E386&amp;(VLOOKUP(F386,编号表!$E$1:$G$8,2,0))&amp;G386&amp;"_"&amp;H386&amp;"_"&amp;I386</f>
        <v>4N3_4_4</v>
      </c>
      <c r="E386" s="2">
        <v>4</v>
      </c>
      <c r="F386" s="2" t="s">
        <v>174</v>
      </c>
      <c r="G386" s="2">
        <v>3</v>
      </c>
      <c r="H386" s="2">
        <v>4</v>
      </c>
      <c r="I386" s="2">
        <f>COUNTIFS($E$3:E386,E386,$H$3:H386,H386)</f>
        <v>4</v>
      </c>
      <c r="N386" s="11">
        <v>1004301</v>
      </c>
      <c r="O386" s="11">
        <v>1004501</v>
      </c>
      <c r="P386" s="11">
        <v>1004601</v>
      </c>
      <c r="Q386" s="11">
        <v>1004701</v>
      </c>
    </row>
    <row r="387" spans="1:18">
      <c r="A387" s="11">
        <f t="shared" si="8"/>
        <v>70043405</v>
      </c>
      <c r="B387" s="14" t="s">
        <v>555</v>
      </c>
      <c r="D387" s="2" t="str">
        <f>E387&amp;(VLOOKUP(F387,编号表!$E$1:$G$8,2,0))&amp;G387&amp;"_"&amp;H387&amp;"_"&amp;I387</f>
        <v>4N3_4_5</v>
      </c>
      <c r="E387" s="2">
        <v>4</v>
      </c>
      <c r="F387" s="2" t="s">
        <v>174</v>
      </c>
      <c r="G387" s="2">
        <v>3</v>
      </c>
      <c r="H387" s="2">
        <v>4</v>
      </c>
      <c r="I387" s="2">
        <f>COUNTIFS($E$3:E387,E387,$H$3:H387,H387)</f>
        <v>5</v>
      </c>
      <c r="N387" s="11">
        <v>1004301</v>
      </c>
      <c r="O387" s="11">
        <v>1004501</v>
      </c>
      <c r="P387" s="11">
        <v>1004601</v>
      </c>
      <c r="Q387" s="11">
        <v>1004701</v>
      </c>
    </row>
    <row r="388" spans="1:18">
      <c r="A388" s="11">
        <f t="shared" si="8"/>
        <v>70043406</v>
      </c>
      <c r="B388" s="14" t="s">
        <v>556</v>
      </c>
      <c r="D388" s="2" t="str">
        <f>E388&amp;(VLOOKUP(F388,编号表!$E$1:$G$8,2,0))&amp;G388&amp;"_"&amp;H388&amp;"_"&amp;I388</f>
        <v>4N3_4_6</v>
      </c>
      <c r="E388" s="2">
        <v>4</v>
      </c>
      <c r="F388" s="2" t="s">
        <v>174</v>
      </c>
      <c r="G388" s="2">
        <v>3</v>
      </c>
      <c r="H388" s="2">
        <v>4</v>
      </c>
      <c r="I388" s="2">
        <f>COUNTIFS($E$3:E388,E388,$H$3:H388,H388)</f>
        <v>6</v>
      </c>
      <c r="N388" s="11">
        <v>1004301</v>
      </c>
      <c r="O388" s="11">
        <v>1004501</v>
      </c>
      <c r="P388" s="11">
        <v>1004601</v>
      </c>
      <c r="Q388" s="11">
        <v>1004701</v>
      </c>
    </row>
    <row r="389" spans="1:18">
      <c r="A389" s="11">
        <f t="shared" si="8"/>
        <v>70043407</v>
      </c>
      <c r="B389" s="14" t="s">
        <v>557</v>
      </c>
      <c r="D389" s="2" t="str">
        <f>E389&amp;(VLOOKUP(F389,编号表!$E$1:$G$8,2,0))&amp;G389&amp;"_"&amp;H389&amp;"_"&amp;I389</f>
        <v>4N3_4_7</v>
      </c>
      <c r="E389" s="2">
        <v>4</v>
      </c>
      <c r="F389" s="2" t="s">
        <v>174</v>
      </c>
      <c r="G389" s="2">
        <v>3</v>
      </c>
      <c r="H389" s="2">
        <v>4</v>
      </c>
      <c r="I389" s="2">
        <f>COUNTIFS($E$3:E389,E389,$H$3:H389,H389)</f>
        <v>7</v>
      </c>
      <c r="N389" s="11">
        <v>1004301</v>
      </c>
      <c r="O389" s="11">
        <v>1004501</v>
      </c>
      <c r="P389" s="11">
        <v>1004601</v>
      </c>
      <c r="Q389" s="11">
        <v>1004701</v>
      </c>
    </row>
    <row r="390" spans="1:18">
      <c r="A390" s="11">
        <f t="shared" si="8"/>
        <v>70043408</v>
      </c>
      <c r="B390" s="14" t="s">
        <v>558</v>
      </c>
      <c r="D390" s="2" t="str">
        <f>E390&amp;(VLOOKUP(F390,编号表!$E$1:$G$8,2,0))&amp;G390&amp;"_"&amp;H390&amp;"_"&amp;I390</f>
        <v>4N3_4_8</v>
      </c>
      <c r="E390" s="2">
        <v>4</v>
      </c>
      <c r="F390" s="2" t="s">
        <v>174</v>
      </c>
      <c r="G390" s="2">
        <v>3</v>
      </c>
      <c r="H390" s="2">
        <v>4</v>
      </c>
      <c r="I390" s="2">
        <f>COUNTIFS($E$3:E390,E390,$H$3:H390,H390)</f>
        <v>8</v>
      </c>
      <c r="N390" s="11">
        <v>1004301</v>
      </c>
      <c r="O390" s="11">
        <v>1004501</v>
      </c>
      <c r="P390" s="11">
        <v>1004601</v>
      </c>
      <c r="Q390" s="11">
        <v>1004701</v>
      </c>
    </row>
    <row r="391" spans="1:18">
      <c r="A391" s="11">
        <f t="shared" si="8"/>
        <v>70043409</v>
      </c>
      <c r="B391" s="14" t="s">
        <v>559</v>
      </c>
      <c r="D391" s="2" t="str">
        <f>E391&amp;(VLOOKUP(F391,编号表!$E$1:$G$8,2,0))&amp;G391&amp;"_"&amp;H391&amp;"_"&amp;I391</f>
        <v>4N3_4_9</v>
      </c>
      <c r="E391" s="2">
        <v>4</v>
      </c>
      <c r="F391" s="2" t="s">
        <v>174</v>
      </c>
      <c r="G391" s="2">
        <v>3</v>
      </c>
      <c r="H391" s="2">
        <v>4</v>
      </c>
      <c r="I391" s="2">
        <f>COUNTIFS($E$3:E391,E391,$H$3:H391,H391)</f>
        <v>9</v>
      </c>
      <c r="N391" s="11">
        <v>1004301</v>
      </c>
      <c r="O391" s="11">
        <v>1004501</v>
      </c>
      <c r="P391" s="11">
        <v>1004601</v>
      </c>
      <c r="Q391" s="11">
        <v>1004701</v>
      </c>
    </row>
    <row r="392" spans="1:18">
      <c r="A392" s="11">
        <f t="shared" si="8"/>
        <v>70043410</v>
      </c>
      <c r="B392" s="14" t="s">
        <v>560</v>
      </c>
      <c r="D392" s="2" t="str">
        <f>E392&amp;(VLOOKUP(F392,编号表!$E$1:$G$8,2,0))&amp;G392&amp;"_"&amp;H392&amp;"_"&amp;I392</f>
        <v>4N3_4_10</v>
      </c>
      <c r="E392" s="2">
        <v>4</v>
      </c>
      <c r="F392" s="2" t="s">
        <v>174</v>
      </c>
      <c r="G392" s="2">
        <v>3</v>
      </c>
      <c r="H392" s="2">
        <v>4</v>
      </c>
      <c r="I392" s="2">
        <f>COUNTIFS($E$3:E392,E392,$H$3:H392,H392)</f>
        <v>10</v>
      </c>
      <c r="N392" s="11">
        <v>1004301</v>
      </c>
      <c r="O392" s="11">
        <v>1004501</v>
      </c>
      <c r="P392" s="11">
        <v>1004601</v>
      </c>
      <c r="Q392" s="11">
        <v>1004701</v>
      </c>
    </row>
    <row r="393" spans="1:18">
      <c r="A393" s="11">
        <f t="shared" si="8"/>
        <v>70043411</v>
      </c>
      <c r="B393" s="14" t="s">
        <v>561</v>
      </c>
      <c r="D393" s="2" t="str">
        <f>E393&amp;(VLOOKUP(F393,编号表!$E$1:$G$8,2,0))&amp;G393&amp;"_"&amp;H393&amp;"_"&amp;I393</f>
        <v>4N3_4_11</v>
      </c>
      <c r="E393" s="2">
        <v>4</v>
      </c>
      <c r="F393" s="2" t="s">
        <v>174</v>
      </c>
      <c r="G393" s="2">
        <v>3</v>
      </c>
      <c r="H393" s="2">
        <v>4</v>
      </c>
      <c r="I393" s="2">
        <f>COUNTIFS($E$3:E393,E393,$H$3:H393,H393)</f>
        <v>11</v>
      </c>
      <c r="N393" s="11">
        <v>1004201</v>
      </c>
      <c r="O393" s="11">
        <v>1004301</v>
      </c>
      <c r="P393" s="11">
        <v>1004501</v>
      </c>
      <c r="Q393" s="11">
        <v>1004601</v>
      </c>
      <c r="R393" s="11">
        <v>1004701</v>
      </c>
    </row>
    <row r="394" spans="1:18">
      <c r="A394" s="11">
        <f t="shared" si="8"/>
        <v>70043412</v>
      </c>
      <c r="B394" s="14" t="s">
        <v>562</v>
      </c>
      <c r="D394" s="2" t="str">
        <f>E394&amp;(VLOOKUP(F394,编号表!$E$1:$G$8,2,0))&amp;G394&amp;"_"&amp;H394&amp;"_"&amp;I394</f>
        <v>4N3_4_12</v>
      </c>
      <c r="E394" s="2">
        <v>4</v>
      </c>
      <c r="F394" s="2" t="s">
        <v>174</v>
      </c>
      <c r="G394" s="2">
        <v>3</v>
      </c>
      <c r="H394" s="2">
        <v>4</v>
      </c>
      <c r="I394" s="2">
        <f>COUNTIFS($E$3:E394,E394,$H$3:H394,H394)</f>
        <v>12</v>
      </c>
      <c r="N394" s="11">
        <v>1004201</v>
      </c>
      <c r="O394" s="11">
        <v>1004301</v>
      </c>
      <c r="P394" s="11">
        <v>1004401</v>
      </c>
      <c r="Q394" s="11">
        <v>1004501</v>
      </c>
      <c r="R394" s="11">
        <v>1004701</v>
      </c>
    </row>
    <row r="395" spans="1:18">
      <c r="A395" s="11">
        <f t="shared" si="8"/>
        <v>70043413</v>
      </c>
      <c r="B395" s="14" t="s">
        <v>563</v>
      </c>
      <c r="D395" s="2" t="str">
        <f>E395&amp;(VLOOKUP(F395,编号表!$E$1:$G$8,2,0))&amp;G395&amp;"_"&amp;H395&amp;"_"&amp;I395</f>
        <v>4N3_4_13</v>
      </c>
      <c r="E395" s="2">
        <v>4</v>
      </c>
      <c r="F395" s="2" t="s">
        <v>174</v>
      </c>
      <c r="G395" s="2">
        <v>3</v>
      </c>
      <c r="H395" s="2">
        <v>4</v>
      </c>
      <c r="I395" s="2">
        <f>COUNTIFS($E$3:E395,E395,$H$3:H395,H395)</f>
        <v>13</v>
      </c>
      <c r="N395" s="11">
        <v>1004201</v>
      </c>
      <c r="O395" s="11">
        <v>1004301</v>
      </c>
      <c r="P395" s="11">
        <v>1004401</v>
      </c>
      <c r="Q395" s="11">
        <v>1004501</v>
      </c>
      <c r="R395" s="11">
        <v>1004701</v>
      </c>
    </row>
    <row r="396" spans="1:18">
      <c r="A396" s="11">
        <f t="shared" si="8"/>
        <v>70043414</v>
      </c>
      <c r="B396" s="14" t="s">
        <v>564</v>
      </c>
      <c r="D396" s="2" t="str">
        <f>E396&amp;(VLOOKUP(F396,编号表!$E$1:$G$8,2,0))&amp;G396&amp;"_"&amp;H396&amp;"_"&amp;I396</f>
        <v>4N3_4_14</v>
      </c>
      <c r="E396" s="2">
        <v>4</v>
      </c>
      <c r="F396" s="2" t="s">
        <v>174</v>
      </c>
      <c r="G396" s="2">
        <v>3</v>
      </c>
      <c r="H396" s="2">
        <v>4</v>
      </c>
      <c r="I396" s="2">
        <f>COUNTIFS($E$3:E396,E396,$H$3:H396,H396)</f>
        <v>14</v>
      </c>
      <c r="N396" s="11">
        <v>1004201</v>
      </c>
      <c r="O396" s="11">
        <v>1004301</v>
      </c>
      <c r="P396" s="11">
        <v>1004401</v>
      </c>
      <c r="Q396" s="11">
        <v>1004501</v>
      </c>
      <c r="R396" s="11">
        <v>1004701</v>
      </c>
    </row>
    <row r="397" spans="1:18">
      <c r="A397" s="11">
        <f t="shared" si="8"/>
        <v>70043415</v>
      </c>
      <c r="B397" s="14" t="s">
        <v>565</v>
      </c>
      <c r="D397" s="2" t="str">
        <f>E397&amp;(VLOOKUP(F397,编号表!$E$1:$G$8,2,0))&amp;G397&amp;"_"&amp;H397&amp;"_"&amp;I397</f>
        <v>4N3_4_15</v>
      </c>
      <c r="E397" s="2">
        <v>4</v>
      </c>
      <c r="F397" s="2" t="s">
        <v>174</v>
      </c>
      <c r="G397" s="2">
        <v>3</v>
      </c>
      <c r="H397" s="2">
        <v>4</v>
      </c>
      <c r="I397" s="2">
        <f>COUNTIFS($E$3:E397,E397,$H$3:H397,H397)</f>
        <v>15</v>
      </c>
      <c r="N397" s="11">
        <v>1004201</v>
      </c>
      <c r="O397" s="11">
        <v>1004301</v>
      </c>
      <c r="P397" s="11">
        <v>1004401</v>
      </c>
      <c r="Q397" s="11">
        <v>1004501</v>
      </c>
      <c r="R397" s="11">
        <v>1004701</v>
      </c>
    </row>
    <row r="398" spans="1:18">
      <c r="A398" s="11">
        <f t="shared" si="8"/>
        <v>70043416</v>
      </c>
      <c r="B398" s="14" t="s">
        <v>566</v>
      </c>
      <c r="D398" s="2" t="str">
        <f>E398&amp;(VLOOKUP(F398,编号表!$E$1:$G$8,2,0))&amp;G398&amp;"_"&amp;H398&amp;"_"&amp;I398</f>
        <v>4N3_4_16</v>
      </c>
      <c r="E398" s="2">
        <v>4</v>
      </c>
      <c r="F398" s="2" t="s">
        <v>174</v>
      </c>
      <c r="G398" s="2">
        <v>3</v>
      </c>
      <c r="H398" s="2">
        <v>4</v>
      </c>
      <c r="I398" s="2">
        <f>COUNTIFS($E$3:E398,E398,$H$3:H398,H398)</f>
        <v>16</v>
      </c>
      <c r="N398" s="11">
        <v>1004201</v>
      </c>
      <c r="O398" s="11">
        <v>1004301</v>
      </c>
      <c r="P398" s="11">
        <v>1004401</v>
      </c>
      <c r="Q398" s="11">
        <v>1004501</v>
      </c>
      <c r="R398" s="11">
        <v>1004701</v>
      </c>
    </row>
    <row r="399" spans="1:18">
      <c r="A399" s="11">
        <f t="shared" si="8"/>
        <v>70041417</v>
      </c>
      <c r="B399" s="15" t="s">
        <v>567</v>
      </c>
      <c r="D399" s="2" t="str">
        <f>E399&amp;(VLOOKUP(F399,编号表!$E$1:$G$8,2,0))&amp;G399&amp;"_"&amp;H399&amp;"_"&amp;I399</f>
        <v>4T1_4_17</v>
      </c>
      <c r="E399" s="2">
        <v>4</v>
      </c>
      <c r="F399" s="2" t="s">
        <v>190</v>
      </c>
      <c r="G399" s="2">
        <v>1</v>
      </c>
      <c r="H399" s="2">
        <v>4</v>
      </c>
      <c r="I399" s="2">
        <f>COUNTIFS($E$3:E399,E399,$H$3:H399,H399)</f>
        <v>17</v>
      </c>
    </row>
    <row r="400" spans="1:18">
      <c r="A400" s="11">
        <f t="shared" si="8"/>
        <v>70043418</v>
      </c>
      <c r="B400" s="16" t="s">
        <v>28</v>
      </c>
      <c r="C400" s="2" t="s">
        <v>568</v>
      </c>
      <c r="D400" s="2" t="str">
        <f>E400&amp;(VLOOKUP(F400,编号表!$E$1:$G$8,2,0))&amp;G400&amp;"_"&amp;H400&amp;"_"&amp;I400</f>
        <v>4T3_4_18</v>
      </c>
      <c r="E400" s="2">
        <v>4</v>
      </c>
      <c r="F400" s="2" t="s">
        <v>190</v>
      </c>
      <c r="G400" s="2">
        <v>3</v>
      </c>
      <c r="H400" s="2">
        <v>4</v>
      </c>
      <c r="I400" s="2">
        <f>COUNTIFS($E$3:E400,E400,$H$3:H400,H400)</f>
        <v>18</v>
      </c>
      <c r="L400" s="2">
        <v>110</v>
      </c>
    </row>
    <row r="401" spans="1:19">
      <c r="A401" s="11">
        <f t="shared" si="8"/>
        <v>70044501</v>
      </c>
      <c r="B401" s="14" t="s">
        <v>569</v>
      </c>
      <c r="D401" s="2" t="str">
        <f>E401&amp;(VLOOKUP(F401,编号表!$E$1:$G$8,2,0))&amp;G401&amp;"_"&amp;H401&amp;"_"&amp;I401</f>
        <v>4N4_5_1</v>
      </c>
      <c r="E401" s="2">
        <v>4</v>
      </c>
      <c r="F401" s="2" t="s">
        <v>174</v>
      </c>
      <c r="G401" s="2">
        <v>4</v>
      </c>
      <c r="H401" s="2">
        <v>5</v>
      </c>
      <c r="I401" s="2">
        <f>COUNTIFS($E$3:E401,E401,$H$3:H401,H401)</f>
        <v>1</v>
      </c>
      <c r="N401" s="11">
        <v>1004201</v>
      </c>
      <c r="O401" s="11">
        <v>1004301</v>
      </c>
      <c r="P401" s="11">
        <v>1004401</v>
      </c>
      <c r="Q401" s="11">
        <v>1004501</v>
      </c>
      <c r="R401" s="11">
        <v>1004701</v>
      </c>
    </row>
    <row r="402" spans="1:19">
      <c r="A402" s="11">
        <f t="shared" si="8"/>
        <v>70044502</v>
      </c>
      <c r="B402" s="14" t="s">
        <v>570</v>
      </c>
      <c r="D402" s="2" t="str">
        <f>E402&amp;(VLOOKUP(F402,编号表!$E$1:$G$8,2,0))&amp;G402&amp;"_"&amp;H402&amp;"_"&amp;I402</f>
        <v>4N4_5_2</v>
      </c>
      <c r="E402" s="2">
        <v>4</v>
      </c>
      <c r="F402" s="2" t="s">
        <v>174</v>
      </c>
      <c r="G402" s="2">
        <v>4</v>
      </c>
      <c r="H402" s="2">
        <v>5</v>
      </c>
      <c r="I402" s="2">
        <f>COUNTIFS($E$3:E402,E402,$H$3:H402,H402)</f>
        <v>2</v>
      </c>
      <c r="N402" s="11">
        <v>1004201</v>
      </c>
      <c r="O402" s="11">
        <v>1004301</v>
      </c>
      <c r="P402" s="11">
        <v>1004401</v>
      </c>
      <c r="Q402" s="11">
        <v>1004501</v>
      </c>
      <c r="R402" s="11">
        <v>1004701</v>
      </c>
    </row>
    <row r="403" spans="1:19">
      <c r="A403" s="11">
        <f t="shared" si="8"/>
        <v>70043503</v>
      </c>
      <c r="B403" s="14" t="s">
        <v>571</v>
      </c>
      <c r="D403" s="2" t="str">
        <f>E403&amp;(VLOOKUP(F403,编号表!$E$1:$G$8,2,0))&amp;G403&amp;"_"&amp;H403&amp;"_"&amp;I403</f>
        <v>4N3_5_3</v>
      </c>
      <c r="E403" s="2">
        <v>4</v>
      </c>
      <c r="F403" s="2" t="s">
        <v>174</v>
      </c>
      <c r="G403" s="2">
        <v>3</v>
      </c>
      <c r="H403" s="2">
        <v>5</v>
      </c>
      <c r="I403" s="2">
        <f>COUNTIFS($E$3:E403,E403,$H$3:H403,H403)</f>
        <v>3</v>
      </c>
      <c r="N403" s="11">
        <v>1004201</v>
      </c>
      <c r="O403" s="11">
        <v>1004301</v>
      </c>
      <c r="P403" s="11">
        <v>1004401</v>
      </c>
      <c r="Q403" s="11">
        <v>1004501</v>
      </c>
      <c r="R403" s="11">
        <v>1004701</v>
      </c>
    </row>
    <row r="404" spans="1:19">
      <c r="A404" s="11">
        <f t="shared" si="8"/>
        <v>70042504</v>
      </c>
      <c r="B404" s="14" t="s">
        <v>572</v>
      </c>
      <c r="D404" s="2" t="str">
        <f>E404&amp;(VLOOKUP(F404,编号表!$E$1:$G$8,2,0))&amp;G404&amp;"_"&amp;H404&amp;"_"&amp;I404</f>
        <v>4N2_5_4</v>
      </c>
      <c r="E404" s="2">
        <v>4</v>
      </c>
      <c r="F404" s="2" t="s">
        <v>174</v>
      </c>
      <c r="G404" s="2">
        <v>2</v>
      </c>
      <c r="H404" s="2">
        <v>5</v>
      </c>
      <c r="I404" s="2">
        <f>COUNTIFS($E$3:E404,E404,$H$3:H404,H404)</f>
        <v>4</v>
      </c>
      <c r="N404" s="11">
        <v>1004201</v>
      </c>
      <c r="O404" s="11">
        <v>1004301</v>
      </c>
    </row>
    <row r="405" spans="1:19">
      <c r="A405" s="11">
        <f t="shared" si="8"/>
        <v>70042505</v>
      </c>
      <c r="B405" s="14" t="s">
        <v>573</v>
      </c>
      <c r="D405" s="2" t="str">
        <f>E405&amp;(VLOOKUP(F405,编号表!$E$1:$G$8,2,0))&amp;G405&amp;"_"&amp;H405&amp;"_"&amp;I405</f>
        <v>4N2_5_5</v>
      </c>
      <c r="E405" s="2">
        <v>4</v>
      </c>
      <c r="F405" s="2" t="s">
        <v>174</v>
      </c>
      <c r="G405" s="2">
        <v>2</v>
      </c>
      <c r="H405" s="2">
        <v>5</v>
      </c>
      <c r="I405" s="2">
        <f>COUNTIFS($E$3:E405,E405,$H$3:H405,H405)</f>
        <v>5</v>
      </c>
      <c r="N405" s="11">
        <v>1004201</v>
      </c>
      <c r="O405" s="11">
        <v>1004301</v>
      </c>
    </row>
    <row r="406" spans="1:19">
      <c r="A406" s="11">
        <f t="shared" si="8"/>
        <v>70042506</v>
      </c>
      <c r="B406" s="14" t="s">
        <v>574</v>
      </c>
      <c r="D406" s="2" t="str">
        <f>E406&amp;(VLOOKUP(F406,编号表!$E$1:$G$8,2,0))&amp;G406&amp;"_"&amp;H406&amp;"_"&amp;I406</f>
        <v>4N2_5_6</v>
      </c>
      <c r="E406" s="2">
        <v>4</v>
      </c>
      <c r="F406" s="2" t="s">
        <v>174</v>
      </c>
      <c r="G406" s="2">
        <v>2</v>
      </c>
      <c r="H406" s="2">
        <v>5</v>
      </c>
      <c r="I406" s="2">
        <f>COUNTIFS($E$3:E406,E406,$H$3:H406,H406)</f>
        <v>6</v>
      </c>
      <c r="N406" s="11">
        <v>1004601</v>
      </c>
      <c r="O406" s="11">
        <v>1004701</v>
      </c>
    </row>
    <row r="407" spans="1:19">
      <c r="A407" s="11">
        <f t="shared" si="8"/>
        <v>70043507</v>
      </c>
      <c r="B407" s="14" t="s">
        <v>575</v>
      </c>
      <c r="D407" s="2" t="str">
        <f>E407&amp;(VLOOKUP(F407,编号表!$E$1:$G$8,2,0))&amp;G407&amp;"_"&amp;H407&amp;"_"&amp;I407</f>
        <v>4N3_5_7</v>
      </c>
      <c r="E407" s="2">
        <v>4</v>
      </c>
      <c r="F407" s="2" t="s">
        <v>174</v>
      </c>
      <c r="G407" s="2">
        <v>3</v>
      </c>
      <c r="H407" s="2">
        <v>5</v>
      </c>
      <c r="I407" s="2">
        <f>COUNTIFS($E$3:E407,E407,$H$3:H407,H407)</f>
        <v>7</v>
      </c>
      <c r="N407" s="11">
        <v>1004201</v>
      </c>
      <c r="O407" s="11">
        <v>1004301</v>
      </c>
      <c r="P407" s="11">
        <v>1004401</v>
      </c>
      <c r="Q407" s="11">
        <v>1004501</v>
      </c>
      <c r="R407" s="11">
        <v>1004601</v>
      </c>
      <c r="S407" s="11">
        <v>1004701</v>
      </c>
    </row>
    <row r="408" spans="1:19">
      <c r="A408" s="11">
        <f t="shared" si="8"/>
        <v>70043508</v>
      </c>
      <c r="B408" s="14" t="s">
        <v>576</v>
      </c>
      <c r="D408" s="2" t="str">
        <f>E408&amp;(VLOOKUP(F408,编号表!$E$1:$G$8,2,0))&amp;G408&amp;"_"&amp;H408&amp;"_"&amp;I408</f>
        <v>4N3_5_8</v>
      </c>
      <c r="E408" s="2">
        <v>4</v>
      </c>
      <c r="F408" s="2" t="s">
        <v>174</v>
      </c>
      <c r="G408" s="2">
        <v>3</v>
      </c>
      <c r="H408" s="2">
        <v>5</v>
      </c>
      <c r="I408" s="2">
        <f>COUNTIFS($E$3:E408,E408,$H$3:H408,H408)</f>
        <v>8</v>
      </c>
      <c r="N408" s="11">
        <v>1004201</v>
      </c>
      <c r="O408" s="11">
        <v>1004301</v>
      </c>
      <c r="P408" s="11">
        <v>1004401</v>
      </c>
      <c r="Q408" s="11">
        <v>1004501</v>
      </c>
      <c r="R408" s="11">
        <v>1004601</v>
      </c>
      <c r="S408" s="11">
        <v>1004701</v>
      </c>
    </row>
    <row r="409" spans="1:19">
      <c r="A409" s="11">
        <f t="shared" si="8"/>
        <v>70043509</v>
      </c>
      <c r="B409" s="14" t="s">
        <v>577</v>
      </c>
      <c r="D409" s="2" t="str">
        <f>E409&amp;(VLOOKUP(F409,编号表!$E$1:$G$8,2,0))&amp;G409&amp;"_"&amp;H409&amp;"_"&amp;I409</f>
        <v>4N3_5_9</v>
      </c>
      <c r="E409" s="2">
        <v>4</v>
      </c>
      <c r="F409" s="2" t="s">
        <v>174</v>
      </c>
      <c r="G409" s="2">
        <v>3</v>
      </c>
      <c r="H409" s="2">
        <v>5</v>
      </c>
      <c r="I409" s="2">
        <f>COUNTIFS($E$3:E409,E409,$H$3:H409,H409)</f>
        <v>9</v>
      </c>
      <c r="N409" s="11">
        <v>1004201</v>
      </c>
      <c r="O409" s="11">
        <v>1004301</v>
      </c>
      <c r="P409" s="11">
        <v>1004401</v>
      </c>
      <c r="Q409" s="11">
        <v>1004501</v>
      </c>
      <c r="R409" s="11">
        <v>1004601</v>
      </c>
      <c r="S409" s="11">
        <v>1004701</v>
      </c>
    </row>
    <row r="410" spans="1:19">
      <c r="A410" s="11">
        <f t="shared" si="8"/>
        <v>70043510</v>
      </c>
      <c r="B410" s="14" t="s">
        <v>578</v>
      </c>
      <c r="D410" s="2" t="str">
        <f>E410&amp;(VLOOKUP(F410,编号表!$E$1:$G$8,2,0))&amp;G410&amp;"_"&amp;H410&amp;"_"&amp;I410</f>
        <v>4N3_5_10</v>
      </c>
      <c r="E410" s="2">
        <v>4</v>
      </c>
      <c r="F410" s="2" t="s">
        <v>174</v>
      </c>
      <c r="G410" s="2">
        <v>3</v>
      </c>
      <c r="H410" s="2">
        <v>5</v>
      </c>
      <c r="I410" s="2">
        <f>COUNTIFS($E$3:E410,E410,$H$3:H410,H410)</f>
        <v>10</v>
      </c>
      <c r="N410" s="11">
        <v>1004201</v>
      </c>
      <c r="O410" s="11">
        <v>1004301</v>
      </c>
      <c r="P410" s="11">
        <v>1004401</v>
      </c>
      <c r="Q410" s="11">
        <v>1004501</v>
      </c>
      <c r="R410" s="11">
        <v>1004601</v>
      </c>
      <c r="S410" s="11">
        <v>1004701</v>
      </c>
    </row>
    <row r="411" spans="1:19">
      <c r="A411" s="11">
        <f t="shared" si="8"/>
        <v>70042511</v>
      </c>
      <c r="B411" s="14" t="s">
        <v>579</v>
      </c>
      <c r="D411" s="2" t="str">
        <f>E411&amp;(VLOOKUP(F411,编号表!$E$1:$G$8,2,0))&amp;G411&amp;"_"&amp;H411&amp;"_"&amp;I411</f>
        <v>4N2_5_11</v>
      </c>
      <c r="E411" s="2">
        <v>4</v>
      </c>
      <c r="F411" s="2" t="s">
        <v>174</v>
      </c>
      <c r="G411" s="2">
        <v>2</v>
      </c>
      <c r="H411" s="2">
        <v>5</v>
      </c>
      <c r="I411" s="2">
        <f>COUNTIFS($E$3:E411,E411,$H$3:H411,H411)</f>
        <v>11</v>
      </c>
      <c r="N411" s="11">
        <v>1004601</v>
      </c>
      <c r="O411" s="11">
        <v>1004701</v>
      </c>
    </row>
    <row r="412" spans="1:19">
      <c r="A412" s="11">
        <f t="shared" si="8"/>
        <v>70042512</v>
      </c>
      <c r="B412" s="14" t="s">
        <v>580</v>
      </c>
      <c r="D412" s="2" t="str">
        <f>E412&amp;(VLOOKUP(F412,编号表!$E$1:$G$8,2,0))&amp;G412&amp;"_"&amp;H412&amp;"_"&amp;I412</f>
        <v>4N2_5_12</v>
      </c>
      <c r="E412" s="2">
        <v>4</v>
      </c>
      <c r="F412" s="2" t="s">
        <v>174</v>
      </c>
      <c r="G412" s="2">
        <v>2</v>
      </c>
      <c r="H412" s="2">
        <v>5</v>
      </c>
      <c r="I412" s="2">
        <f>COUNTIFS($E$3:E412,E412,$H$3:H412,H412)</f>
        <v>12</v>
      </c>
      <c r="N412" s="11">
        <v>1004601</v>
      </c>
      <c r="O412" s="11">
        <v>1004701</v>
      </c>
    </row>
    <row r="413" spans="1:19">
      <c r="A413" s="11">
        <f t="shared" si="8"/>
        <v>70042513</v>
      </c>
      <c r="B413" s="14" t="s">
        <v>581</v>
      </c>
      <c r="D413" s="2" t="str">
        <f>E413&amp;(VLOOKUP(F413,编号表!$E$1:$G$8,2,0))&amp;G413&amp;"_"&amp;H413&amp;"_"&amp;I413</f>
        <v>4N2_5_13</v>
      </c>
      <c r="E413" s="2">
        <v>4</v>
      </c>
      <c r="F413" s="2" t="s">
        <v>174</v>
      </c>
      <c r="G413" s="2">
        <v>2</v>
      </c>
      <c r="H413" s="2">
        <v>5</v>
      </c>
      <c r="I413" s="2">
        <f>COUNTIFS($E$3:E413,E413,$H$3:H413,H413)</f>
        <v>13</v>
      </c>
      <c r="N413" s="11">
        <v>1004601</v>
      </c>
      <c r="O413" s="11">
        <v>1004701</v>
      </c>
    </row>
    <row r="414" spans="1:19">
      <c r="A414" s="11">
        <f t="shared" si="8"/>
        <v>70042514</v>
      </c>
      <c r="B414" s="14" t="s">
        <v>582</v>
      </c>
      <c r="D414" s="2" t="str">
        <f>E414&amp;(VLOOKUP(F414,编号表!$E$1:$G$8,2,0))&amp;G414&amp;"_"&amp;H414&amp;"_"&amp;I414</f>
        <v>4N2_5_14</v>
      </c>
      <c r="E414" s="2">
        <v>4</v>
      </c>
      <c r="F414" s="2" t="s">
        <v>174</v>
      </c>
      <c r="G414" s="2">
        <v>2</v>
      </c>
      <c r="H414" s="2">
        <v>5</v>
      </c>
      <c r="I414" s="2">
        <f>COUNTIFS($E$3:E414,E414,$H$3:H414,H414)</f>
        <v>14</v>
      </c>
      <c r="N414" s="11">
        <v>1004601</v>
      </c>
      <c r="O414" s="11">
        <v>1004701</v>
      </c>
    </row>
    <row r="415" spans="1:19">
      <c r="A415" s="11">
        <f t="shared" si="8"/>
        <v>70042515</v>
      </c>
      <c r="B415" s="14" t="s">
        <v>583</v>
      </c>
      <c r="D415" s="2" t="str">
        <f>E415&amp;(VLOOKUP(F415,编号表!$E$1:$G$8,2,0))&amp;G415&amp;"_"&amp;H415&amp;"_"&amp;I415</f>
        <v>4N2_5_15</v>
      </c>
      <c r="E415" s="2">
        <v>4</v>
      </c>
      <c r="F415" s="2" t="s">
        <v>174</v>
      </c>
      <c r="G415" s="2">
        <v>2</v>
      </c>
      <c r="H415" s="2">
        <v>5</v>
      </c>
      <c r="I415" s="2">
        <f>COUNTIFS($E$3:E415,E415,$H$3:H415,H415)</f>
        <v>15</v>
      </c>
      <c r="N415" s="11">
        <v>1004601</v>
      </c>
      <c r="O415" s="11">
        <v>1004701</v>
      </c>
    </row>
    <row r="416" spans="1:19">
      <c r="A416" s="11">
        <f t="shared" si="8"/>
        <v>70043516</v>
      </c>
      <c r="B416" s="14" t="s">
        <v>584</v>
      </c>
      <c r="D416" s="2" t="str">
        <f>E416&amp;(VLOOKUP(F416,编号表!$E$1:$G$8,2,0))&amp;G416&amp;"_"&amp;H416&amp;"_"&amp;I416</f>
        <v>4N3_5_16</v>
      </c>
      <c r="E416" s="2">
        <v>4</v>
      </c>
      <c r="F416" s="2" t="s">
        <v>174</v>
      </c>
      <c r="G416" s="2">
        <v>3</v>
      </c>
      <c r="H416" s="2">
        <v>5</v>
      </c>
      <c r="I416" s="2">
        <f>COUNTIFS($E$3:E416,E416,$H$3:H416,H416)</f>
        <v>16</v>
      </c>
      <c r="N416" s="11">
        <v>1004201</v>
      </c>
      <c r="O416" s="11">
        <v>1004301</v>
      </c>
      <c r="P416" s="11">
        <v>1004401</v>
      </c>
      <c r="Q416" s="11">
        <v>1004501</v>
      </c>
      <c r="R416" s="11">
        <v>1004601</v>
      </c>
      <c r="S416" s="11">
        <v>1004701</v>
      </c>
    </row>
    <row r="417" spans="1:19">
      <c r="A417" s="11">
        <f t="shared" si="8"/>
        <v>70043601</v>
      </c>
      <c r="B417" s="14" t="s">
        <v>585</v>
      </c>
      <c r="D417" s="2" t="str">
        <f>E417&amp;(VLOOKUP(F417,编号表!$E$1:$G$8,2,0))&amp;G417&amp;"_"&amp;H417&amp;"_"&amp;I417</f>
        <v>4N3_6_1</v>
      </c>
      <c r="E417" s="2">
        <v>4</v>
      </c>
      <c r="F417" s="2" t="s">
        <v>174</v>
      </c>
      <c r="G417" s="2">
        <v>3</v>
      </c>
      <c r="H417" s="2">
        <v>6</v>
      </c>
      <c r="I417" s="2">
        <f>COUNTIFS($E$3:E417,E417,$H$3:H417,H417)</f>
        <v>1</v>
      </c>
      <c r="N417" s="11">
        <v>1004201</v>
      </c>
      <c r="O417" s="11">
        <v>1004301</v>
      </c>
      <c r="P417" s="11">
        <v>1004401</v>
      </c>
      <c r="Q417" s="11">
        <v>1004501</v>
      </c>
      <c r="R417" s="11">
        <v>1004601</v>
      </c>
      <c r="S417" s="11">
        <v>1004701</v>
      </c>
    </row>
    <row r="418" spans="1:19">
      <c r="A418" s="11">
        <f t="shared" si="8"/>
        <v>70043602</v>
      </c>
      <c r="B418" s="14" t="s">
        <v>586</v>
      </c>
      <c r="D418" s="2" t="str">
        <f>E418&amp;(VLOOKUP(F418,编号表!$E$1:$G$8,2,0))&amp;G418&amp;"_"&amp;H418&amp;"_"&amp;I418</f>
        <v>4N3_6_2</v>
      </c>
      <c r="E418" s="2">
        <v>4</v>
      </c>
      <c r="F418" s="2" t="s">
        <v>174</v>
      </c>
      <c r="G418" s="2">
        <v>3</v>
      </c>
      <c r="H418" s="2">
        <v>6</v>
      </c>
      <c r="I418" s="2">
        <f>COUNTIFS($E$3:E418,E418,$H$3:H418,H418)</f>
        <v>2</v>
      </c>
      <c r="N418" s="11">
        <v>1004201</v>
      </c>
      <c r="O418" s="11">
        <v>1004301</v>
      </c>
      <c r="P418" s="11">
        <v>1004401</v>
      </c>
      <c r="Q418" s="11">
        <v>1004501</v>
      </c>
      <c r="R418" s="11">
        <v>1004601</v>
      </c>
    </row>
    <row r="419" spans="1:19">
      <c r="A419" s="11">
        <f t="shared" si="8"/>
        <v>70043603</v>
      </c>
      <c r="B419" s="14" t="s">
        <v>587</v>
      </c>
      <c r="D419" s="2" t="str">
        <f>E419&amp;(VLOOKUP(F419,编号表!$E$1:$G$8,2,0))&amp;G419&amp;"_"&amp;H419&amp;"_"&amp;I419</f>
        <v>4N3_6_3</v>
      </c>
      <c r="E419" s="2">
        <v>4</v>
      </c>
      <c r="F419" s="2" t="s">
        <v>174</v>
      </c>
      <c r="G419" s="2">
        <v>3</v>
      </c>
      <c r="H419" s="2">
        <v>6</v>
      </c>
      <c r="I419" s="2">
        <f>COUNTIFS($E$3:E419,E419,$H$3:H419,H419)</f>
        <v>3</v>
      </c>
      <c r="N419" s="11">
        <v>1004201</v>
      </c>
      <c r="O419" s="11">
        <v>1004301</v>
      </c>
      <c r="P419" s="11">
        <v>1004501</v>
      </c>
      <c r="Q419" s="11">
        <v>1004601</v>
      </c>
    </row>
    <row r="420" spans="1:19">
      <c r="A420" s="11">
        <f t="shared" si="8"/>
        <v>70043604</v>
      </c>
      <c r="B420" s="14" t="s">
        <v>588</v>
      </c>
      <c r="D420" s="2" t="str">
        <f>E420&amp;(VLOOKUP(F420,编号表!$E$1:$G$8,2,0))&amp;G420&amp;"_"&amp;H420&amp;"_"&amp;I420</f>
        <v>4N3_6_4</v>
      </c>
      <c r="E420" s="2">
        <v>4</v>
      </c>
      <c r="F420" s="2" t="s">
        <v>174</v>
      </c>
      <c r="G420" s="2">
        <v>3</v>
      </c>
      <c r="H420" s="2">
        <v>6</v>
      </c>
      <c r="I420" s="2">
        <f>COUNTIFS($E$3:E420,E420,$H$3:H420,H420)</f>
        <v>4</v>
      </c>
      <c r="N420" s="11">
        <v>1004201</v>
      </c>
      <c r="O420" s="11">
        <v>1004301</v>
      </c>
      <c r="P420" s="11">
        <v>1004501</v>
      </c>
      <c r="Q420" s="11">
        <v>1004601</v>
      </c>
    </row>
    <row r="421" spans="1:19">
      <c r="A421" s="11">
        <f t="shared" si="8"/>
        <v>70043605</v>
      </c>
      <c r="B421" s="14" t="s">
        <v>589</v>
      </c>
      <c r="D421" s="2" t="str">
        <f>E421&amp;(VLOOKUP(F421,编号表!$E$1:$G$8,2,0))&amp;G421&amp;"_"&amp;H421&amp;"_"&amp;I421</f>
        <v>4N3_6_5</v>
      </c>
      <c r="E421" s="2">
        <v>4</v>
      </c>
      <c r="F421" s="2" t="s">
        <v>174</v>
      </c>
      <c r="G421" s="2">
        <v>3</v>
      </c>
      <c r="H421" s="2">
        <v>6</v>
      </c>
      <c r="I421" s="2">
        <f>COUNTIFS($E$3:E421,E421,$H$3:H421,H421)</f>
        <v>5</v>
      </c>
      <c r="N421" s="11">
        <v>1004201</v>
      </c>
      <c r="O421" s="11">
        <v>1004301</v>
      </c>
      <c r="P421" s="11">
        <v>1004501</v>
      </c>
      <c r="Q421" s="11">
        <v>1004601</v>
      </c>
    </row>
    <row r="422" spans="1:19">
      <c r="A422" s="11">
        <f t="shared" si="8"/>
        <v>70043606</v>
      </c>
      <c r="B422" s="14" t="s">
        <v>590</v>
      </c>
      <c r="D422" s="2" t="str">
        <f>E422&amp;(VLOOKUP(F422,编号表!$E$1:$G$8,2,0))&amp;G422&amp;"_"&amp;H422&amp;"_"&amp;I422</f>
        <v>4N3_6_6</v>
      </c>
      <c r="E422" s="2">
        <v>4</v>
      </c>
      <c r="F422" s="2" t="s">
        <v>174</v>
      </c>
      <c r="G422" s="2">
        <v>3</v>
      </c>
      <c r="H422" s="2">
        <v>6</v>
      </c>
      <c r="I422" s="2">
        <f>COUNTIFS($E$3:E422,E422,$H$3:H422,H422)</f>
        <v>6</v>
      </c>
      <c r="N422" s="11">
        <v>1004201</v>
      </c>
      <c r="O422" s="11">
        <v>1004301</v>
      </c>
      <c r="P422" s="11">
        <v>1004501</v>
      </c>
      <c r="Q422" s="11">
        <v>1004601</v>
      </c>
    </row>
    <row r="423" spans="1:19">
      <c r="A423" s="11">
        <f t="shared" si="8"/>
        <v>70043607</v>
      </c>
      <c r="B423" s="14" t="s">
        <v>591</v>
      </c>
      <c r="D423" s="2" t="str">
        <f>E423&amp;(VLOOKUP(F423,编号表!$E$1:$G$8,2,0))&amp;G423&amp;"_"&amp;H423&amp;"_"&amp;I423</f>
        <v>4N3_6_7</v>
      </c>
      <c r="E423" s="2">
        <v>4</v>
      </c>
      <c r="F423" s="2" t="s">
        <v>174</v>
      </c>
      <c r="G423" s="2">
        <v>3</v>
      </c>
      <c r="H423" s="2">
        <v>6</v>
      </c>
      <c r="I423" s="2">
        <f>COUNTIFS($E$3:E423,E423,$H$3:H423,H423)</f>
        <v>7</v>
      </c>
      <c r="N423" s="11">
        <v>1004201</v>
      </c>
      <c r="O423" s="11">
        <v>1004301</v>
      </c>
      <c r="P423" s="11">
        <v>1004501</v>
      </c>
      <c r="Q423" s="11">
        <v>1004601</v>
      </c>
    </row>
    <row r="424" spans="1:19">
      <c r="A424" s="11">
        <f t="shared" si="8"/>
        <v>70043608</v>
      </c>
      <c r="B424" s="14" t="s">
        <v>592</v>
      </c>
      <c r="D424" s="2" t="str">
        <f>E424&amp;(VLOOKUP(F424,编号表!$E$1:$G$8,2,0))&amp;G424&amp;"_"&amp;H424&amp;"_"&amp;I424</f>
        <v>4N3_6_8</v>
      </c>
      <c r="E424" s="2">
        <v>4</v>
      </c>
      <c r="F424" s="2" t="s">
        <v>174</v>
      </c>
      <c r="G424" s="2">
        <v>3</v>
      </c>
      <c r="H424" s="2">
        <v>6</v>
      </c>
      <c r="I424" s="2">
        <f>COUNTIFS($E$3:E424,E424,$H$3:H424,H424)</f>
        <v>8</v>
      </c>
      <c r="N424" s="11">
        <v>1004201</v>
      </c>
      <c r="O424" s="11">
        <v>1004301</v>
      </c>
      <c r="P424" s="11">
        <v>1004501</v>
      </c>
      <c r="Q424" s="11">
        <v>1004601</v>
      </c>
    </row>
    <row r="425" spans="1:19">
      <c r="A425" s="11">
        <f t="shared" si="8"/>
        <v>70044609</v>
      </c>
      <c r="B425" s="14" t="s">
        <v>593</v>
      </c>
      <c r="D425" s="2" t="str">
        <f>E425&amp;(VLOOKUP(F425,编号表!$E$1:$G$8,2,0))&amp;G425&amp;"_"&amp;H425&amp;"_"&amp;I425</f>
        <v>4N4_6_9</v>
      </c>
      <c r="E425" s="2">
        <v>4</v>
      </c>
      <c r="F425" s="2" t="s">
        <v>174</v>
      </c>
      <c r="G425" s="2">
        <v>4</v>
      </c>
      <c r="H425" s="2">
        <v>6</v>
      </c>
      <c r="I425" s="2">
        <f>COUNTIFS($E$3:E425,E425,$H$3:H425,H425)</f>
        <v>9</v>
      </c>
      <c r="N425" s="11">
        <v>1004201</v>
      </c>
      <c r="O425" s="11">
        <v>1004301</v>
      </c>
      <c r="P425" s="11">
        <v>1004501</v>
      </c>
      <c r="Q425" s="11">
        <v>1004601</v>
      </c>
    </row>
    <row r="426" spans="1:19">
      <c r="A426" s="11">
        <f t="shared" si="8"/>
        <v>70043610</v>
      </c>
      <c r="B426" s="14" t="s">
        <v>594</v>
      </c>
      <c r="D426" s="2" t="str">
        <f>E426&amp;(VLOOKUP(F426,编号表!$E$1:$G$8,2,0))&amp;G426&amp;"_"&amp;H426&amp;"_"&amp;I426</f>
        <v>4N3_6_10</v>
      </c>
      <c r="E426" s="2">
        <v>4</v>
      </c>
      <c r="F426" s="2" t="s">
        <v>174</v>
      </c>
      <c r="G426" s="2">
        <v>3</v>
      </c>
      <c r="H426" s="2">
        <v>6</v>
      </c>
      <c r="I426" s="2">
        <f>COUNTIFS($E$3:E426,E426,$H$3:H426,H426)</f>
        <v>10</v>
      </c>
      <c r="N426" s="11">
        <v>1004201</v>
      </c>
      <c r="O426" s="11">
        <v>1004301</v>
      </c>
      <c r="P426" s="11">
        <v>1004501</v>
      </c>
      <c r="Q426" s="11">
        <v>1004601</v>
      </c>
      <c r="R426" s="11">
        <v>1004701</v>
      </c>
    </row>
    <row r="427" spans="1:19">
      <c r="A427" s="11">
        <f t="shared" si="8"/>
        <v>70043611</v>
      </c>
      <c r="B427" s="14" t="s">
        <v>595</v>
      </c>
      <c r="D427" s="2" t="str">
        <f>E427&amp;(VLOOKUP(F427,编号表!$E$1:$G$8,2,0))&amp;G427&amp;"_"&amp;H427&amp;"_"&amp;I427</f>
        <v>4N3_6_11</v>
      </c>
      <c r="E427" s="2">
        <v>4</v>
      </c>
      <c r="F427" s="2" t="s">
        <v>174</v>
      </c>
      <c r="G427" s="2">
        <v>3</v>
      </c>
      <c r="H427" s="2">
        <v>6</v>
      </c>
      <c r="I427" s="2">
        <f>COUNTIFS($E$3:E427,E427,$H$3:H427,H427)</f>
        <v>11</v>
      </c>
      <c r="N427" s="11">
        <v>1004201</v>
      </c>
      <c r="O427" s="11">
        <v>1004301</v>
      </c>
      <c r="P427" s="11">
        <v>1004401</v>
      </c>
      <c r="Q427" s="11">
        <v>1004501</v>
      </c>
      <c r="R427" s="11">
        <v>1004601</v>
      </c>
      <c r="S427" s="11">
        <v>1004701</v>
      </c>
    </row>
    <row r="428" spans="1:19">
      <c r="A428" s="11">
        <f t="shared" si="8"/>
        <v>70043612</v>
      </c>
      <c r="B428" s="14" t="s">
        <v>596</v>
      </c>
      <c r="D428" s="2" t="str">
        <f>E428&amp;(VLOOKUP(F428,编号表!$E$1:$G$8,2,0))&amp;G428&amp;"_"&amp;H428&amp;"_"&amp;I428</f>
        <v>4N3_6_12</v>
      </c>
      <c r="E428" s="2">
        <v>4</v>
      </c>
      <c r="F428" s="2" t="s">
        <v>174</v>
      </c>
      <c r="G428" s="2">
        <v>3</v>
      </c>
      <c r="H428" s="2">
        <v>6</v>
      </c>
      <c r="I428" s="2">
        <f>COUNTIFS($E$3:E428,E428,$H$3:H428,H428)</f>
        <v>12</v>
      </c>
      <c r="N428" s="11">
        <v>1004201</v>
      </c>
      <c r="O428" s="11">
        <v>1004301</v>
      </c>
      <c r="P428" s="11">
        <v>1004401</v>
      </c>
      <c r="Q428" s="11">
        <v>1004501</v>
      </c>
      <c r="R428" s="11">
        <v>1004601</v>
      </c>
      <c r="S428" s="11">
        <v>1004701</v>
      </c>
    </row>
    <row r="429" spans="1:19">
      <c r="A429" s="11">
        <f t="shared" si="8"/>
        <v>70040001</v>
      </c>
      <c r="B429" s="18" t="s">
        <v>597</v>
      </c>
      <c r="D429" s="2" t="str">
        <f>E429&amp;(VLOOKUP(F429,编号表!$E$1:$G$8,2,0))&amp;G429&amp;"_"&amp;H429&amp;"_"&amp;I429</f>
        <v>4J0_0_1</v>
      </c>
      <c r="E429" s="2">
        <v>4</v>
      </c>
      <c r="F429" s="2" t="s">
        <v>222</v>
      </c>
      <c r="G429" s="2">
        <v>0</v>
      </c>
      <c r="H429" s="2">
        <v>0</v>
      </c>
      <c r="I429" s="2">
        <f>COUNTIFS($E$3:E429,E429,$H$3:H429,H429)</f>
        <v>1</v>
      </c>
      <c r="J429" s="2">
        <v>1</v>
      </c>
    </row>
    <row r="430" spans="1:19">
      <c r="A430" s="11">
        <f t="shared" si="8"/>
        <v>70055101</v>
      </c>
      <c r="B430" s="14" t="s">
        <v>598</v>
      </c>
      <c r="D430" s="2" t="str">
        <f>E430&amp;(VLOOKUP(F430,编号表!$E$1:$G$8,2,0))&amp;G430&amp;"_"&amp;H430&amp;"_"&amp;I430</f>
        <v>5N5_1_1</v>
      </c>
      <c r="E430" s="2">
        <v>5</v>
      </c>
      <c r="F430" s="2" t="s">
        <v>174</v>
      </c>
      <c r="G430" s="2">
        <v>5</v>
      </c>
      <c r="H430" s="2">
        <v>1</v>
      </c>
      <c r="I430" s="2">
        <f>COUNTIFS($E$3:E430,E430,$H$3:H430,H430)</f>
        <v>1</v>
      </c>
      <c r="N430" s="11">
        <v>1005201</v>
      </c>
      <c r="O430" s="11">
        <v>1005301</v>
      </c>
      <c r="P430" s="11">
        <v>1005401</v>
      </c>
      <c r="Q430" s="11">
        <v>1005001</v>
      </c>
    </row>
    <row r="431" spans="1:19">
      <c r="A431" s="11">
        <f t="shared" si="8"/>
        <v>70055102</v>
      </c>
      <c r="B431" s="14" t="s">
        <v>599</v>
      </c>
      <c r="D431" s="2" t="str">
        <f>E431&amp;(VLOOKUP(F431,编号表!$E$1:$G$8,2,0))&amp;G431&amp;"_"&amp;H431&amp;"_"&amp;I431</f>
        <v>5N5_1_2</v>
      </c>
      <c r="E431" s="2">
        <v>5</v>
      </c>
      <c r="F431" s="2" t="s">
        <v>174</v>
      </c>
      <c r="G431" s="2">
        <v>5</v>
      </c>
      <c r="H431" s="2">
        <v>1</v>
      </c>
      <c r="I431" s="2">
        <f>COUNTIFS($E$3:E431,E431,$H$3:H431,H431)</f>
        <v>2</v>
      </c>
      <c r="N431" s="11">
        <v>1005201</v>
      </c>
      <c r="O431" s="11">
        <v>1005301</v>
      </c>
      <c r="P431" s="11">
        <v>1005401</v>
      </c>
      <c r="Q431" s="11">
        <v>1005002</v>
      </c>
    </row>
    <row r="432" spans="1:19">
      <c r="A432" s="11">
        <f t="shared" si="8"/>
        <v>70053103</v>
      </c>
      <c r="B432" s="14" t="s">
        <v>600</v>
      </c>
      <c r="D432" s="2" t="str">
        <f>E432&amp;(VLOOKUP(F432,编号表!$E$1:$G$8,2,0))&amp;G432&amp;"_"&amp;H432&amp;"_"&amp;I432</f>
        <v>5N3_1_3</v>
      </c>
      <c r="E432" s="2">
        <v>5</v>
      </c>
      <c r="F432" s="2" t="s">
        <v>174</v>
      </c>
      <c r="G432" s="2">
        <v>3</v>
      </c>
      <c r="H432" s="2">
        <v>1</v>
      </c>
      <c r="I432" s="2">
        <f>COUNTIFS($E$3:E432,E432,$H$3:H432,H432)</f>
        <v>3</v>
      </c>
      <c r="N432" s="11">
        <v>1005201</v>
      </c>
      <c r="O432" s="11">
        <v>1005301</v>
      </c>
      <c r="P432" s="11">
        <v>1005401</v>
      </c>
      <c r="Q432" s="11">
        <v>1005101</v>
      </c>
    </row>
    <row r="433" spans="1:16">
      <c r="A433" s="11">
        <f t="shared" si="8"/>
        <v>70051201</v>
      </c>
      <c r="B433" s="14" t="s">
        <v>601</v>
      </c>
      <c r="D433" s="2" t="str">
        <f>E433&amp;(VLOOKUP(F433,编号表!$E$1:$G$8,2,0))&amp;G433&amp;"_"&amp;H433&amp;"_"&amp;I433</f>
        <v>5N1_2_1</v>
      </c>
      <c r="E433" s="2">
        <v>5</v>
      </c>
      <c r="F433" s="2" t="s">
        <v>174</v>
      </c>
      <c r="G433" s="2">
        <v>1</v>
      </c>
      <c r="H433" s="2">
        <v>2</v>
      </c>
      <c r="I433" s="2">
        <f>COUNTIFS($E$3:E433,E433,$H$3:H433,H433)</f>
        <v>1</v>
      </c>
      <c r="N433" s="11">
        <v>1005201</v>
      </c>
    </row>
    <row r="434" spans="1:16">
      <c r="A434" s="11">
        <f t="shared" si="8"/>
        <v>70051202</v>
      </c>
      <c r="B434" s="14" t="s">
        <v>602</v>
      </c>
      <c r="D434" s="2" t="str">
        <f>E434&amp;(VLOOKUP(F434,编号表!$E$1:$G$8,2,0))&amp;G434&amp;"_"&amp;H434&amp;"_"&amp;I434</f>
        <v>5N1_2_2</v>
      </c>
      <c r="E434" s="2">
        <v>5</v>
      </c>
      <c r="F434" s="2" t="s">
        <v>174</v>
      </c>
      <c r="G434" s="2">
        <v>1</v>
      </c>
      <c r="H434" s="2">
        <v>2</v>
      </c>
      <c r="I434" s="2">
        <f>COUNTIFS($E$3:E434,E434,$H$3:H434,H434)</f>
        <v>2</v>
      </c>
      <c r="N434" s="11">
        <v>1005201</v>
      </c>
    </row>
    <row r="435" spans="1:16">
      <c r="A435" s="11">
        <f t="shared" si="8"/>
        <v>70052203</v>
      </c>
      <c r="B435" s="14" t="s">
        <v>603</v>
      </c>
      <c r="D435" s="2" t="str">
        <f>E435&amp;(VLOOKUP(F435,编号表!$E$1:$G$8,2,0))&amp;G435&amp;"_"&amp;H435&amp;"_"&amp;I435</f>
        <v>5N2_2_3</v>
      </c>
      <c r="E435" s="2">
        <v>5</v>
      </c>
      <c r="F435" s="2" t="s">
        <v>174</v>
      </c>
      <c r="G435" s="2">
        <v>2</v>
      </c>
      <c r="H435" s="2">
        <v>2</v>
      </c>
      <c r="I435" s="2">
        <f>COUNTIFS($E$3:E435,E435,$H$3:H435,H435)</f>
        <v>3</v>
      </c>
      <c r="N435" s="11">
        <v>1005201</v>
      </c>
      <c r="O435" s="11">
        <v>1005301</v>
      </c>
      <c r="P435" s="11">
        <v>1005401</v>
      </c>
    </row>
    <row r="436" spans="1:16">
      <c r="A436" s="11">
        <f t="shared" si="8"/>
        <v>70051204</v>
      </c>
      <c r="B436" s="14" t="s">
        <v>604</v>
      </c>
      <c r="D436" s="2" t="str">
        <f>E436&amp;(VLOOKUP(F436,编号表!$E$1:$G$8,2,0))&amp;G436&amp;"_"&amp;H436&amp;"_"&amp;I436</f>
        <v>5N1_2_4</v>
      </c>
      <c r="E436" s="2">
        <v>5</v>
      </c>
      <c r="F436" s="2" t="s">
        <v>174</v>
      </c>
      <c r="G436" s="2">
        <v>1</v>
      </c>
      <c r="H436" s="2">
        <v>2</v>
      </c>
      <c r="I436" s="2">
        <f>COUNTIFS($E$3:E436,E436,$H$3:H436,H436)</f>
        <v>4</v>
      </c>
      <c r="N436" s="11">
        <v>1005401</v>
      </c>
    </row>
    <row r="437" spans="1:16">
      <c r="A437" s="11">
        <f t="shared" si="8"/>
        <v>70052205</v>
      </c>
      <c r="B437" s="14" t="s">
        <v>605</v>
      </c>
      <c r="D437" s="2" t="str">
        <f>E437&amp;(VLOOKUP(F437,编号表!$E$1:$G$8,2,0))&amp;G437&amp;"_"&amp;H437&amp;"_"&amp;I437</f>
        <v>5N2_2_5</v>
      </c>
      <c r="E437" s="2">
        <v>5</v>
      </c>
      <c r="F437" s="2" t="s">
        <v>174</v>
      </c>
      <c r="G437" s="2">
        <v>2</v>
      </c>
      <c r="H437" s="2">
        <v>2</v>
      </c>
      <c r="I437" s="2">
        <f>COUNTIFS($E$3:E437,E437,$H$3:H437,H437)</f>
        <v>5</v>
      </c>
      <c r="N437" s="11">
        <v>1005201</v>
      </c>
      <c r="O437" s="11">
        <v>1005301</v>
      </c>
      <c r="P437" s="11">
        <v>1005401</v>
      </c>
    </row>
    <row r="438" spans="1:16">
      <c r="A438" s="11">
        <f t="shared" si="8"/>
        <v>70052206</v>
      </c>
      <c r="B438" s="14" t="s">
        <v>606</v>
      </c>
      <c r="D438" s="2" t="str">
        <f>E438&amp;(VLOOKUP(F438,编号表!$E$1:$G$8,2,0))&amp;G438&amp;"_"&amp;H438&amp;"_"&amp;I438</f>
        <v>5N2_2_6</v>
      </c>
      <c r="E438" s="2">
        <v>5</v>
      </c>
      <c r="F438" s="2" t="s">
        <v>174</v>
      </c>
      <c r="G438" s="2">
        <v>2</v>
      </c>
      <c r="H438" s="2">
        <v>2</v>
      </c>
      <c r="I438" s="2">
        <f>COUNTIFS($E$3:E438,E438,$H$3:H438,H438)</f>
        <v>6</v>
      </c>
      <c r="N438" s="11">
        <v>1005201</v>
      </c>
      <c r="O438" s="11">
        <v>1005301</v>
      </c>
      <c r="P438" s="11">
        <v>1005401</v>
      </c>
    </row>
    <row r="439" spans="1:16">
      <c r="A439" s="11">
        <f t="shared" si="8"/>
        <v>70051301</v>
      </c>
      <c r="B439" s="14" t="s">
        <v>607</v>
      </c>
      <c r="D439" s="2" t="str">
        <f>E439&amp;(VLOOKUP(F439,编号表!$E$1:$G$8,2,0))&amp;G439&amp;"_"&amp;H439&amp;"_"&amp;I439</f>
        <v>5N1_3_1</v>
      </c>
      <c r="E439" s="2">
        <v>5</v>
      </c>
      <c r="F439" s="2" t="s">
        <v>174</v>
      </c>
      <c r="G439" s="2">
        <v>1</v>
      </c>
      <c r="H439" s="2">
        <v>3</v>
      </c>
      <c r="I439" s="2">
        <f>COUNTIFS($E$3:E439,E439,$H$3:H439,H439)</f>
        <v>1</v>
      </c>
      <c r="N439" s="11">
        <v>1005401</v>
      </c>
    </row>
    <row r="440" spans="1:16">
      <c r="A440" s="11">
        <f t="shared" si="8"/>
        <v>70051302</v>
      </c>
      <c r="B440" s="14" t="s">
        <v>608</v>
      </c>
      <c r="D440" s="2" t="str">
        <f>E440&amp;(VLOOKUP(F440,编号表!$E$1:$G$8,2,0))&amp;G440&amp;"_"&amp;H440&amp;"_"&amp;I440</f>
        <v>5N1_3_2</v>
      </c>
      <c r="E440" s="2">
        <v>5</v>
      </c>
      <c r="F440" s="2" t="s">
        <v>174</v>
      </c>
      <c r="G440" s="2">
        <v>1</v>
      </c>
      <c r="H440" s="2">
        <v>3</v>
      </c>
      <c r="I440" s="2">
        <f>COUNTIFS($E$3:E440,E440,$H$3:H440,H440)</f>
        <v>2</v>
      </c>
      <c r="N440" s="11">
        <v>1005201</v>
      </c>
    </row>
    <row r="441" spans="1:16">
      <c r="A441" s="11">
        <f t="shared" si="8"/>
        <v>70052303</v>
      </c>
      <c r="B441" s="14" t="s">
        <v>609</v>
      </c>
      <c r="D441" s="2" t="str">
        <f>E441&amp;(VLOOKUP(F441,编号表!$E$1:$G$8,2,0))&amp;G441&amp;"_"&amp;H441&amp;"_"&amp;I441</f>
        <v>5N2_3_3</v>
      </c>
      <c r="E441" s="2">
        <v>5</v>
      </c>
      <c r="F441" s="2" t="s">
        <v>174</v>
      </c>
      <c r="G441" s="2">
        <v>2</v>
      </c>
      <c r="H441" s="2">
        <v>3</v>
      </c>
      <c r="I441" s="2">
        <f>COUNTIFS($E$3:E441,E441,$H$3:H441,H441)</f>
        <v>3</v>
      </c>
      <c r="N441" s="11">
        <v>1005201</v>
      </c>
      <c r="O441" s="11">
        <v>1005301</v>
      </c>
      <c r="P441" s="11">
        <v>1005401</v>
      </c>
    </row>
    <row r="442" spans="1:16">
      <c r="A442" s="11">
        <f t="shared" si="8"/>
        <v>70052304</v>
      </c>
      <c r="B442" s="14" t="s">
        <v>610</v>
      </c>
      <c r="D442" s="2" t="str">
        <f>E442&amp;(VLOOKUP(F442,编号表!$E$1:$G$8,2,0))&amp;G442&amp;"_"&amp;H442&amp;"_"&amp;I442</f>
        <v>5N2_3_4</v>
      </c>
      <c r="E442" s="2">
        <v>5</v>
      </c>
      <c r="F442" s="2" t="s">
        <v>174</v>
      </c>
      <c r="G442" s="2">
        <v>2</v>
      </c>
      <c r="H442" s="2">
        <v>3</v>
      </c>
      <c r="I442" s="2">
        <f>COUNTIFS($E$3:E442,E442,$H$3:H442,H442)</f>
        <v>4</v>
      </c>
      <c r="N442" s="11">
        <v>1005201</v>
      </c>
      <c r="O442" s="11">
        <v>1005301</v>
      </c>
      <c r="P442" s="11">
        <v>1005401</v>
      </c>
    </row>
    <row r="443" spans="1:16">
      <c r="A443" s="11">
        <f t="shared" si="8"/>
        <v>70052305</v>
      </c>
      <c r="B443" s="14" t="s">
        <v>611</v>
      </c>
      <c r="D443" s="2" t="str">
        <f>E443&amp;(VLOOKUP(F443,编号表!$E$1:$G$8,2,0))&amp;G443&amp;"_"&amp;H443&amp;"_"&amp;I443</f>
        <v>5N2_3_5</v>
      </c>
      <c r="E443" s="2">
        <v>5</v>
      </c>
      <c r="F443" s="2" t="s">
        <v>174</v>
      </c>
      <c r="G443" s="2">
        <v>2</v>
      </c>
      <c r="H443" s="2">
        <v>3</v>
      </c>
      <c r="I443" s="2">
        <f>COUNTIFS($E$3:E443,E443,$H$3:H443,H443)</f>
        <v>5</v>
      </c>
      <c r="N443" s="11">
        <v>1005201</v>
      </c>
      <c r="O443" s="11">
        <v>1005301</v>
      </c>
      <c r="P443" s="11">
        <v>1005401</v>
      </c>
    </row>
    <row r="444" spans="1:16">
      <c r="A444" s="11">
        <f t="shared" ref="A444:A507" si="9">70000000+E444*10000+G444*1000+H444*100+I444</f>
        <v>70051306</v>
      </c>
      <c r="B444" s="14" t="s">
        <v>612</v>
      </c>
      <c r="D444" s="2" t="str">
        <f>E444&amp;(VLOOKUP(F444,编号表!$E$1:$G$8,2,0))&amp;G444&amp;"_"&amp;H444&amp;"_"&amp;I444</f>
        <v>5N1_3_6</v>
      </c>
      <c r="E444" s="2">
        <v>5</v>
      </c>
      <c r="F444" s="2" t="s">
        <v>174</v>
      </c>
      <c r="G444" s="2">
        <v>1</v>
      </c>
      <c r="H444" s="2">
        <v>3</v>
      </c>
      <c r="I444" s="2">
        <f>COUNTIFS($E$3:E444,E444,$H$3:H444,H444)</f>
        <v>6</v>
      </c>
      <c r="N444" s="11">
        <v>1005301</v>
      </c>
    </row>
    <row r="445" spans="1:16">
      <c r="A445" s="11">
        <f t="shared" si="9"/>
        <v>70052401</v>
      </c>
      <c r="B445" s="14" t="s">
        <v>613</v>
      </c>
      <c r="D445" s="2" t="str">
        <f>E445&amp;(VLOOKUP(F445,编号表!$E$1:$G$8,2,0))&amp;G445&amp;"_"&amp;H445&amp;"_"&amp;I445</f>
        <v>5N2_4_1</v>
      </c>
      <c r="E445" s="2">
        <v>5</v>
      </c>
      <c r="F445" s="2" t="s">
        <v>174</v>
      </c>
      <c r="G445" s="2">
        <v>2</v>
      </c>
      <c r="H445" s="2">
        <v>4</v>
      </c>
      <c r="I445" s="2">
        <f>COUNTIFS($E$3:E445,E445,$H$3:H445,H445)</f>
        <v>1</v>
      </c>
      <c r="N445" s="11">
        <v>1005201</v>
      </c>
      <c r="O445" s="11">
        <v>1005301</v>
      </c>
      <c r="P445" s="11">
        <v>1005401</v>
      </c>
    </row>
    <row r="446" spans="1:16">
      <c r="A446" s="11">
        <f t="shared" si="9"/>
        <v>70051402</v>
      </c>
      <c r="B446" s="14" t="s">
        <v>614</v>
      </c>
      <c r="D446" s="2" t="str">
        <f>E446&amp;(VLOOKUP(F446,编号表!$E$1:$G$8,2,0))&amp;G446&amp;"_"&amp;H446&amp;"_"&amp;I446</f>
        <v>5N1_4_2</v>
      </c>
      <c r="E446" s="2">
        <v>5</v>
      </c>
      <c r="F446" s="2" t="s">
        <v>174</v>
      </c>
      <c r="G446" s="2">
        <v>1</v>
      </c>
      <c r="H446" s="2">
        <v>4</v>
      </c>
      <c r="I446" s="2">
        <f>COUNTIFS($E$3:E446,E446,$H$3:H446,H446)</f>
        <v>2</v>
      </c>
      <c r="N446" s="11">
        <v>1005301</v>
      </c>
    </row>
    <row r="447" spans="1:16">
      <c r="A447" s="11">
        <f t="shared" si="9"/>
        <v>70051403</v>
      </c>
      <c r="B447" s="14" t="s">
        <v>615</v>
      </c>
      <c r="D447" s="2" t="str">
        <f>E447&amp;(VLOOKUP(F447,编号表!$E$1:$G$8,2,0))&amp;G447&amp;"_"&amp;H447&amp;"_"&amp;I447</f>
        <v>5N1_4_3</v>
      </c>
      <c r="E447" s="2">
        <v>5</v>
      </c>
      <c r="F447" s="2" t="s">
        <v>174</v>
      </c>
      <c r="G447" s="2">
        <v>1</v>
      </c>
      <c r="H447" s="2">
        <v>4</v>
      </c>
      <c r="I447" s="2">
        <f>COUNTIFS($E$3:E447,E447,$H$3:H447,H447)</f>
        <v>3</v>
      </c>
      <c r="N447" s="11">
        <v>1005301</v>
      </c>
    </row>
    <row r="448" spans="1:16">
      <c r="A448" s="11">
        <f t="shared" si="9"/>
        <v>70052404</v>
      </c>
      <c r="B448" s="14" t="s">
        <v>616</v>
      </c>
      <c r="D448" s="2" t="str">
        <f>E448&amp;(VLOOKUP(F448,编号表!$E$1:$G$8,2,0))&amp;G448&amp;"_"&amp;H448&amp;"_"&amp;I448</f>
        <v>5N2_4_4</v>
      </c>
      <c r="E448" s="2">
        <v>5</v>
      </c>
      <c r="F448" s="2" t="s">
        <v>174</v>
      </c>
      <c r="G448" s="2">
        <v>2</v>
      </c>
      <c r="H448" s="2">
        <v>4</v>
      </c>
      <c r="I448" s="2">
        <f>COUNTIFS($E$3:E448,E448,$H$3:H448,H448)</f>
        <v>4</v>
      </c>
      <c r="N448" s="11">
        <v>1005201</v>
      </c>
      <c r="O448" s="11">
        <v>1005301</v>
      </c>
      <c r="P448" s="11">
        <v>1005401</v>
      </c>
    </row>
    <row r="449" spans="1:20">
      <c r="A449" s="11">
        <f t="shared" si="9"/>
        <v>70052405</v>
      </c>
      <c r="B449" s="14" t="s">
        <v>617</v>
      </c>
      <c r="D449" s="2" t="str">
        <f>E449&amp;(VLOOKUP(F449,编号表!$E$1:$G$8,2,0))&amp;G449&amp;"_"&amp;H449&amp;"_"&amp;I449</f>
        <v>5N2_4_5</v>
      </c>
      <c r="E449" s="2">
        <v>5</v>
      </c>
      <c r="F449" s="2" t="s">
        <v>174</v>
      </c>
      <c r="G449" s="2">
        <v>2</v>
      </c>
      <c r="H449" s="2">
        <v>4</v>
      </c>
      <c r="I449" s="2">
        <f>COUNTIFS($E$3:E449,E449,$H$3:H449,H449)</f>
        <v>5</v>
      </c>
      <c r="N449" s="11">
        <v>1005201</v>
      </c>
      <c r="O449" s="11">
        <v>1005301</v>
      </c>
      <c r="P449" s="11">
        <v>1005401</v>
      </c>
    </row>
    <row r="450" spans="1:20">
      <c r="A450" s="11">
        <f t="shared" si="9"/>
        <v>70051406</v>
      </c>
      <c r="B450" s="14" t="s">
        <v>618</v>
      </c>
      <c r="D450" s="2" t="str">
        <f>E450&amp;(VLOOKUP(F450,编号表!$E$1:$G$8,2,0))&amp;G450&amp;"_"&amp;H450&amp;"_"&amp;I450</f>
        <v>5N1_4_6</v>
      </c>
      <c r="E450" s="2">
        <v>5</v>
      </c>
      <c r="F450" s="2" t="s">
        <v>174</v>
      </c>
      <c r="G450" s="2">
        <v>1</v>
      </c>
      <c r="H450" s="2">
        <v>4</v>
      </c>
      <c r="I450" s="2">
        <f>COUNTIFS($E$3:E450,E450,$H$3:H450,H450)</f>
        <v>6</v>
      </c>
      <c r="N450" s="11">
        <v>1005201</v>
      </c>
    </row>
    <row r="451" spans="1:20">
      <c r="A451" s="11">
        <f t="shared" si="9"/>
        <v>70051501</v>
      </c>
      <c r="B451" s="14" t="s">
        <v>619</v>
      </c>
      <c r="D451" s="2" t="str">
        <f>E451&amp;(VLOOKUP(F451,编号表!$E$1:$G$8,2,0))&amp;G451&amp;"_"&amp;H451&amp;"_"&amp;I451</f>
        <v>5N1_5_1</v>
      </c>
      <c r="E451" s="2">
        <v>5</v>
      </c>
      <c r="F451" s="2" t="s">
        <v>174</v>
      </c>
      <c r="G451" s="2">
        <v>1</v>
      </c>
      <c r="H451" s="2">
        <v>5</v>
      </c>
      <c r="I451" s="2">
        <f>COUNTIFS($E$3:E451,E451,$H$3:H451,H451)</f>
        <v>1</v>
      </c>
      <c r="N451" s="11">
        <v>1005201</v>
      </c>
    </row>
    <row r="452" spans="1:20">
      <c r="A452" s="11">
        <f t="shared" si="9"/>
        <v>70051502</v>
      </c>
      <c r="B452" s="14" t="s">
        <v>620</v>
      </c>
      <c r="D452" s="2" t="str">
        <f>E452&amp;(VLOOKUP(F452,编号表!$E$1:$G$8,2,0))&amp;G452&amp;"_"&amp;H452&amp;"_"&amp;I452</f>
        <v>5N1_5_2</v>
      </c>
      <c r="E452" s="2">
        <v>5</v>
      </c>
      <c r="F452" s="2" t="s">
        <v>174</v>
      </c>
      <c r="G452" s="2">
        <v>1</v>
      </c>
      <c r="H452" s="2">
        <v>5</v>
      </c>
      <c r="I452" s="2">
        <f>COUNTIFS($E$3:E452,E452,$H$3:H452,H452)</f>
        <v>2</v>
      </c>
      <c r="N452" s="11">
        <v>1005401</v>
      </c>
    </row>
    <row r="453" spans="1:20">
      <c r="A453" s="11">
        <f t="shared" si="9"/>
        <v>70052503</v>
      </c>
      <c r="B453" s="14" t="s">
        <v>621</v>
      </c>
      <c r="D453" s="2" t="str">
        <f>E453&amp;(VLOOKUP(F453,编号表!$E$1:$G$8,2,0))&amp;G453&amp;"_"&amp;H453&amp;"_"&amp;I453</f>
        <v>5N2_5_3</v>
      </c>
      <c r="E453" s="2">
        <v>5</v>
      </c>
      <c r="F453" s="2" t="s">
        <v>174</v>
      </c>
      <c r="G453" s="2">
        <v>2</v>
      </c>
      <c r="H453" s="2">
        <v>5</v>
      </c>
      <c r="I453" s="2">
        <f>COUNTIFS($E$3:E453,E453,$H$3:H453,H453)</f>
        <v>3</v>
      </c>
      <c r="N453" s="11">
        <v>1005201</v>
      </c>
      <c r="O453" s="11">
        <v>1005301</v>
      </c>
      <c r="P453" s="11">
        <v>1005401</v>
      </c>
    </row>
    <row r="454" spans="1:20">
      <c r="A454" s="11">
        <f t="shared" si="9"/>
        <v>70051504</v>
      </c>
      <c r="B454" s="15" t="s">
        <v>568</v>
      </c>
      <c r="D454" s="2" t="str">
        <f>E454&amp;(VLOOKUP(F454,编号表!$E$1:$G$8,2,0))&amp;G454&amp;"_"&amp;H454&amp;"_"&amp;I454</f>
        <v>5T1_5_4</v>
      </c>
      <c r="E454" s="2">
        <v>5</v>
      </c>
      <c r="F454" s="2" t="s">
        <v>190</v>
      </c>
      <c r="G454" s="2">
        <v>1</v>
      </c>
      <c r="H454" s="2">
        <v>5</v>
      </c>
      <c r="I454" s="2">
        <f>COUNTIFS($E$3:E454,E454,$H$3:H454,H454)</f>
        <v>4</v>
      </c>
      <c r="K454" s="2">
        <v>1</v>
      </c>
    </row>
    <row r="455" spans="1:20">
      <c r="A455" s="11">
        <f t="shared" si="9"/>
        <v>70052505</v>
      </c>
      <c r="B455" s="14" t="s">
        <v>622</v>
      </c>
      <c r="D455" s="2" t="str">
        <f>E455&amp;(VLOOKUP(F455,编号表!$E$1:$G$8,2,0))&amp;G455&amp;"_"&amp;H455&amp;"_"&amp;I455</f>
        <v>5N2_5_5</v>
      </c>
      <c r="E455" s="2">
        <v>5</v>
      </c>
      <c r="F455" s="2" t="s">
        <v>174</v>
      </c>
      <c r="G455" s="2">
        <v>2</v>
      </c>
      <c r="H455" s="2">
        <v>5</v>
      </c>
      <c r="I455" s="2">
        <f>COUNTIFS($E$3:E455,E455,$H$3:H455,H455)</f>
        <v>5</v>
      </c>
      <c r="N455" s="11">
        <v>1005201</v>
      </c>
      <c r="O455" s="11">
        <v>1005301</v>
      </c>
      <c r="P455" s="11">
        <v>1005401</v>
      </c>
    </row>
    <row r="456" spans="1:20">
      <c r="A456" s="11">
        <f t="shared" si="9"/>
        <v>70051506</v>
      </c>
      <c r="B456" s="14" t="s">
        <v>623</v>
      </c>
      <c r="D456" s="2" t="str">
        <f>E456&amp;(VLOOKUP(F456,编号表!$E$1:$G$8,2,0))&amp;G456&amp;"_"&amp;H456&amp;"_"&amp;I456</f>
        <v>5N1_5_6</v>
      </c>
      <c r="E456" s="2">
        <v>5</v>
      </c>
      <c r="F456" s="2" t="s">
        <v>174</v>
      </c>
      <c r="G456" s="2">
        <v>1</v>
      </c>
      <c r="H456" s="2">
        <v>5</v>
      </c>
      <c r="I456" s="2">
        <f>COUNTIFS($E$3:E456,E456,$H$3:H456,H456)</f>
        <v>6</v>
      </c>
      <c r="N456" s="11">
        <v>1005201</v>
      </c>
    </row>
    <row r="457" spans="1:20">
      <c r="A457" s="11">
        <f t="shared" si="9"/>
        <v>70052601</v>
      </c>
      <c r="B457" s="14" t="s">
        <v>624</v>
      </c>
      <c r="D457" s="2" t="str">
        <f>E457&amp;(VLOOKUP(F457,编号表!$E$1:$G$8,2,0))&amp;G457&amp;"_"&amp;H457&amp;"_"&amp;I457</f>
        <v>5N2_6_1</v>
      </c>
      <c r="E457" s="2">
        <v>5</v>
      </c>
      <c r="F457" s="2" t="s">
        <v>174</v>
      </c>
      <c r="G457" s="2">
        <v>2</v>
      </c>
      <c r="H457" s="2">
        <v>6</v>
      </c>
      <c r="I457" s="2">
        <f>COUNTIFS($E$3:E457,E457,$H$3:H457,H457)</f>
        <v>1</v>
      </c>
      <c r="N457" s="11">
        <v>1005201</v>
      </c>
      <c r="O457" s="11">
        <v>1005301</v>
      </c>
      <c r="P457" s="11">
        <v>1005401</v>
      </c>
    </row>
    <row r="458" spans="1:20">
      <c r="A458" s="11">
        <f t="shared" si="9"/>
        <v>70051602</v>
      </c>
      <c r="B458" s="14" t="s">
        <v>625</v>
      </c>
      <c r="D458" s="2" t="str">
        <f>E458&amp;(VLOOKUP(F458,编号表!$E$1:$G$8,2,0))&amp;G458&amp;"_"&amp;H458&amp;"_"&amp;I458</f>
        <v>5N1_6_2</v>
      </c>
      <c r="E458" s="2">
        <v>5</v>
      </c>
      <c r="F458" s="2" t="s">
        <v>174</v>
      </c>
      <c r="G458" s="2">
        <v>1</v>
      </c>
      <c r="H458" s="2">
        <v>6</v>
      </c>
      <c r="I458" s="2">
        <f>COUNTIFS($E$3:E458,E458,$H$3:H458,H458)</f>
        <v>2</v>
      </c>
      <c r="N458" s="11">
        <v>1005401</v>
      </c>
    </row>
    <row r="459" spans="1:20">
      <c r="A459" s="11">
        <f t="shared" si="9"/>
        <v>70053603</v>
      </c>
      <c r="B459" s="16" t="s">
        <v>25</v>
      </c>
      <c r="C459" s="2" t="s">
        <v>567</v>
      </c>
      <c r="D459" s="2" t="str">
        <f>E459&amp;(VLOOKUP(F459,编号表!$E$1:$G$8,2,0))&amp;G459&amp;"_"&amp;H459&amp;"_"&amp;I459</f>
        <v>5T3_6_3</v>
      </c>
      <c r="E459" s="2">
        <v>5</v>
      </c>
      <c r="F459" s="2" t="s">
        <v>190</v>
      </c>
      <c r="G459" s="2">
        <v>3</v>
      </c>
      <c r="H459" s="2">
        <v>6</v>
      </c>
      <c r="I459" s="2">
        <f>COUNTIFS($E$3:E459,E459,$H$3:H459,H459)</f>
        <v>3</v>
      </c>
      <c r="L459" s="2">
        <v>111</v>
      </c>
    </row>
    <row r="460" spans="1:20">
      <c r="A460" s="11">
        <f t="shared" si="9"/>
        <v>70051604</v>
      </c>
      <c r="B460" s="14" t="s">
        <v>626</v>
      </c>
      <c r="D460" s="2" t="str">
        <f>E460&amp;(VLOOKUP(F460,编号表!$E$1:$G$8,2,0))&amp;G460&amp;"_"&amp;H460&amp;"_"&amp;I460</f>
        <v>5N1_6_4</v>
      </c>
      <c r="E460" s="2">
        <v>5</v>
      </c>
      <c r="F460" s="2" t="s">
        <v>174</v>
      </c>
      <c r="G460" s="2">
        <v>1</v>
      </c>
      <c r="H460" s="2">
        <v>6</v>
      </c>
      <c r="I460" s="2">
        <f>COUNTIFS($E$3:E460,E460,$H$3:H460,H460)</f>
        <v>4</v>
      </c>
      <c r="N460" s="11">
        <v>1005401</v>
      </c>
    </row>
    <row r="461" spans="1:20">
      <c r="A461" s="11">
        <f t="shared" si="9"/>
        <v>70051605</v>
      </c>
      <c r="B461" s="14" t="s">
        <v>627</v>
      </c>
      <c r="D461" s="2" t="str">
        <f>E461&amp;(VLOOKUP(F461,编号表!$E$1:$G$8,2,0))&amp;G461&amp;"_"&amp;H461&amp;"_"&amp;I461</f>
        <v>5N1_6_5</v>
      </c>
      <c r="E461" s="2">
        <v>5</v>
      </c>
      <c r="F461" s="2" t="s">
        <v>174</v>
      </c>
      <c r="G461" s="2">
        <v>1</v>
      </c>
      <c r="H461" s="2">
        <v>6</v>
      </c>
      <c r="I461" s="2">
        <f>COUNTIFS($E$3:E461,E461,$H$3:H461,H461)</f>
        <v>5</v>
      </c>
      <c r="N461" s="11">
        <v>1005201</v>
      </c>
    </row>
    <row r="462" spans="1:20">
      <c r="A462" s="11">
        <f t="shared" si="9"/>
        <v>70050001</v>
      </c>
      <c r="B462" s="18" t="s">
        <v>628</v>
      </c>
      <c r="D462" s="2" t="str">
        <f>E462&amp;(VLOOKUP(F462,编号表!$E$1:$G$8,2,0))&amp;G462&amp;"_"&amp;H462&amp;"_"&amp;I462</f>
        <v>5J0_0_1</v>
      </c>
      <c r="E462" s="2">
        <v>5</v>
      </c>
      <c r="F462" s="2" t="s">
        <v>222</v>
      </c>
      <c r="G462" s="2">
        <v>0</v>
      </c>
      <c r="H462" s="2">
        <v>0</v>
      </c>
      <c r="I462" s="2">
        <f>COUNTIFS($E$3:E462,E462,$H$3:H462,H462)</f>
        <v>1</v>
      </c>
      <c r="J462" s="2">
        <v>1</v>
      </c>
    </row>
    <row r="463" spans="1:20">
      <c r="A463" s="11">
        <f t="shared" si="9"/>
        <v>70062101</v>
      </c>
      <c r="B463" s="14" t="s">
        <v>629</v>
      </c>
      <c r="D463" s="2" t="str">
        <f>E463&amp;(VLOOKUP(F463,编号表!$E$1:$G$8,2,0))&amp;G463&amp;"_"&amp;H463&amp;"_"&amp;I463</f>
        <v>6N2_1_1</v>
      </c>
      <c r="E463" s="2">
        <v>6</v>
      </c>
      <c r="F463" s="2" t="s">
        <v>174</v>
      </c>
      <c r="G463" s="2">
        <v>2</v>
      </c>
      <c r="H463" s="2">
        <v>1</v>
      </c>
      <c r="I463" s="2">
        <f>COUNTIFS($E$3:E463,E463,$H$3:H463,H463)</f>
        <v>1</v>
      </c>
      <c r="N463" s="23">
        <v>1006301</v>
      </c>
      <c r="O463" s="23">
        <v>1006401</v>
      </c>
      <c r="P463" s="23">
        <v>1006501</v>
      </c>
      <c r="Q463" s="23">
        <v>1006601</v>
      </c>
      <c r="R463" s="23">
        <v>1006701</v>
      </c>
      <c r="S463" s="23">
        <v>1006801</v>
      </c>
      <c r="T463" s="11">
        <v>1006001</v>
      </c>
    </row>
    <row r="464" spans="1:20">
      <c r="A464" s="11">
        <f t="shared" si="9"/>
        <v>70062102</v>
      </c>
      <c r="B464" s="14" t="s">
        <v>630</v>
      </c>
      <c r="D464" s="2" t="str">
        <f>E464&amp;(VLOOKUP(F464,编号表!$E$1:$G$8,2,0))&amp;G464&amp;"_"&amp;H464&amp;"_"&amp;I464</f>
        <v>6N2_1_2</v>
      </c>
      <c r="E464" s="2">
        <v>6</v>
      </c>
      <c r="F464" s="2" t="s">
        <v>174</v>
      </c>
      <c r="G464" s="2">
        <v>2</v>
      </c>
      <c r="H464" s="2">
        <v>1</v>
      </c>
      <c r="I464" s="2">
        <f>COUNTIFS($E$3:E464,E464,$H$3:H464,H464)</f>
        <v>2</v>
      </c>
      <c r="N464" s="23">
        <v>1006301</v>
      </c>
      <c r="O464" s="23">
        <v>1006401</v>
      </c>
      <c r="P464" s="23">
        <v>1006501</v>
      </c>
      <c r="Q464" s="23">
        <v>1006601</v>
      </c>
      <c r="R464" s="23">
        <v>1006701</v>
      </c>
      <c r="S464" s="23">
        <v>1006801</v>
      </c>
      <c r="T464" s="11">
        <v>1006002</v>
      </c>
    </row>
    <row r="465" spans="1:20">
      <c r="A465" s="11">
        <f t="shared" si="9"/>
        <v>70062103</v>
      </c>
      <c r="B465" s="14" t="s">
        <v>631</v>
      </c>
      <c r="D465" s="2" t="str">
        <f>E465&amp;(VLOOKUP(F465,编号表!$E$1:$G$8,2,0))&amp;G465&amp;"_"&amp;H465&amp;"_"&amp;I465</f>
        <v>6N2_1_3</v>
      </c>
      <c r="E465" s="2">
        <v>6</v>
      </c>
      <c r="F465" s="2" t="s">
        <v>174</v>
      </c>
      <c r="G465" s="2">
        <v>2</v>
      </c>
      <c r="H465" s="2">
        <v>1</v>
      </c>
      <c r="I465" s="2">
        <f>COUNTIFS($E$3:E465,E465,$H$3:H465,H465)</f>
        <v>3</v>
      </c>
      <c r="N465" s="23">
        <v>1006301</v>
      </c>
      <c r="O465" s="23">
        <v>1006401</v>
      </c>
      <c r="P465" s="23">
        <v>1006501</v>
      </c>
      <c r="Q465" s="23">
        <v>1006601</v>
      </c>
      <c r="R465" s="23">
        <v>1006701</v>
      </c>
      <c r="S465" s="23">
        <v>1006801</v>
      </c>
      <c r="T465" s="11">
        <v>1006003</v>
      </c>
    </row>
    <row r="466" spans="1:20">
      <c r="A466" s="11">
        <f t="shared" si="9"/>
        <v>70062104</v>
      </c>
      <c r="B466" s="14" t="s">
        <v>632</v>
      </c>
      <c r="D466" s="2" t="str">
        <f>E466&amp;(VLOOKUP(F466,编号表!$E$1:$G$8,2,0))&amp;G466&amp;"_"&amp;H466&amp;"_"&amp;I466</f>
        <v>6N2_1_4</v>
      </c>
      <c r="E466" s="2">
        <v>6</v>
      </c>
      <c r="F466" s="2" t="s">
        <v>174</v>
      </c>
      <c r="G466" s="2">
        <v>2</v>
      </c>
      <c r="H466" s="2">
        <v>1</v>
      </c>
      <c r="I466" s="2">
        <f>COUNTIFS($E$3:E466,E466,$H$3:H466,H466)</f>
        <v>4</v>
      </c>
      <c r="N466" s="23">
        <v>1006301</v>
      </c>
      <c r="O466" s="23">
        <v>1006401</v>
      </c>
      <c r="P466" s="23">
        <v>1006501</v>
      </c>
      <c r="Q466" s="23">
        <v>1006601</v>
      </c>
      <c r="R466" s="23">
        <v>1006801</v>
      </c>
      <c r="S466" s="11">
        <v>1006101</v>
      </c>
    </row>
    <row r="467" spans="1:20">
      <c r="A467" s="11">
        <f t="shared" si="9"/>
        <v>70062105</v>
      </c>
      <c r="B467" s="14" t="s">
        <v>633</v>
      </c>
      <c r="D467" s="2" t="str">
        <f>E467&amp;(VLOOKUP(F467,编号表!$E$1:$G$8,2,0))&amp;G467&amp;"_"&amp;H467&amp;"_"&amp;I467</f>
        <v>6N2_1_5</v>
      </c>
      <c r="E467" s="2">
        <v>6</v>
      </c>
      <c r="F467" s="2" t="s">
        <v>174</v>
      </c>
      <c r="G467" s="2">
        <v>2</v>
      </c>
      <c r="H467" s="2">
        <v>1</v>
      </c>
      <c r="I467" s="2">
        <f>COUNTIFS($E$3:E467,E467,$H$3:H467,H467)</f>
        <v>5</v>
      </c>
      <c r="N467" s="23">
        <v>1006301</v>
      </c>
      <c r="O467" s="23">
        <v>1006401</v>
      </c>
      <c r="P467" s="23">
        <v>1006501</v>
      </c>
      <c r="Q467" s="23">
        <v>1006601</v>
      </c>
      <c r="R467" s="23">
        <v>1006801</v>
      </c>
    </row>
    <row r="468" spans="1:20">
      <c r="A468" s="11">
        <f t="shared" si="9"/>
        <v>70062106</v>
      </c>
      <c r="B468" s="14" t="s">
        <v>634</v>
      </c>
      <c r="D468" s="2" t="str">
        <f>E468&amp;(VLOOKUP(F468,编号表!$E$1:$G$8,2,0))&amp;G468&amp;"_"&amp;H468&amp;"_"&amp;I468</f>
        <v>6N2_1_6</v>
      </c>
      <c r="E468" s="2">
        <v>6</v>
      </c>
      <c r="F468" s="2" t="s">
        <v>174</v>
      </c>
      <c r="G468" s="2">
        <v>2</v>
      </c>
      <c r="H468" s="2">
        <v>1</v>
      </c>
      <c r="I468" s="2">
        <f>COUNTIFS($E$3:E468,E468,$H$3:H468,H468)</f>
        <v>6</v>
      </c>
      <c r="N468" s="23">
        <v>1006301</v>
      </c>
      <c r="O468" s="23">
        <v>1006401</v>
      </c>
      <c r="P468" s="23">
        <v>1006501</v>
      </c>
      <c r="Q468" s="23">
        <v>1006601</v>
      </c>
      <c r="R468" s="23">
        <v>1006801</v>
      </c>
    </row>
    <row r="469" spans="1:20">
      <c r="A469" s="11">
        <f t="shared" si="9"/>
        <v>70063107</v>
      </c>
      <c r="B469" s="14" t="s">
        <v>635</v>
      </c>
      <c r="D469" s="2" t="str">
        <f>E469&amp;(VLOOKUP(F469,编号表!$E$1:$G$8,2,0))&amp;G469&amp;"_"&amp;H469&amp;"_"&amp;I469</f>
        <v>6N3_1_7</v>
      </c>
      <c r="E469" s="2">
        <v>6</v>
      </c>
      <c r="F469" s="2" t="s">
        <v>174</v>
      </c>
      <c r="G469" s="2">
        <v>3</v>
      </c>
      <c r="H469" s="2">
        <v>1</v>
      </c>
      <c r="I469" s="2">
        <f>COUNTIFS($E$3:E469,E469,$H$3:H469,H469)</f>
        <v>7</v>
      </c>
      <c r="N469" s="23">
        <v>1006301</v>
      </c>
      <c r="O469" s="23">
        <v>1006401</v>
      </c>
      <c r="P469" s="23">
        <v>1006501</v>
      </c>
      <c r="Q469" s="23">
        <v>1006601</v>
      </c>
      <c r="R469" s="23">
        <v>1006801</v>
      </c>
    </row>
    <row r="470" spans="1:20">
      <c r="A470" s="11">
        <f t="shared" si="9"/>
        <v>70064201</v>
      </c>
      <c r="B470" s="14" t="s">
        <v>636</v>
      </c>
      <c r="D470" s="2" t="str">
        <f>E470&amp;(VLOOKUP(F470,编号表!$E$1:$G$8,2,0))&amp;G470&amp;"_"&amp;H470&amp;"_"&amp;I470</f>
        <v>6N4_2_1</v>
      </c>
      <c r="E470" s="2">
        <v>6</v>
      </c>
      <c r="F470" s="2" t="s">
        <v>174</v>
      </c>
      <c r="G470" s="2">
        <v>4</v>
      </c>
      <c r="H470" s="2">
        <v>2</v>
      </c>
      <c r="I470" s="2">
        <f>COUNTIFS($E$3:E470,E470,$H$3:H470,H470)</f>
        <v>1</v>
      </c>
      <c r="N470" s="23">
        <v>1006301</v>
      </c>
      <c r="O470" s="23">
        <v>1006401</v>
      </c>
      <c r="P470" s="23">
        <v>1006501</v>
      </c>
      <c r="Q470" s="23">
        <v>1006601</v>
      </c>
      <c r="R470" s="23">
        <v>1006801</v>
      </c>
    </row>
    <row r="471" spans="1:20">
      <c r="A471" s="11">
        <f t="shared" si="9"/>
        <v>70064202</v>
      </c>
      <c r="B471" s="14" t="s">
        <v>637</v>
      </c>
      <c r="D471" s="2" t="str">
        <f>E471&amp;(VLOOKUP(F471,编号表!$E$1:$G$8,2,0))&amp;G471&amp;"_"&amp;H471&amp;"_"&amp;I471</f>
        <v>6N4_2_2</v>
      </c>
      <c r="E471" s="2">
        <v>6</v>
      </c>
      <c r="F471" s="2" t="s">
        <v>174</v>
      </c>
      <c r="G471" s="2">
        <v>4</v>
      </c>
      <c r="H471" s="2">
        <v>2</v>
      </c>
      <c r="I471" s="2">
        <f>COUNTIFS($E$3:E471,E471,$H$3:H471,H471)</f>
        <v>2</v>
      </c>
      <c r="N471" s="23">
        <v>1006301</v>
      </c>
      <c r="O471" s="23">
        <v>1006401</v>
      </c>
      <c r="P471" s="23">
        <v>1006501</v>
      </c>
      <c r="Q471" s="23">
        <v>1006601</v>
      </c>
      <c r="R471" s="23">
        <v>1006801</v>
      </c>
    </row>
    <row r="472" spans="1:20">
      <c r="A472" s="11">
        <f t="shared" si="9"/>
        <v>70064203</v>
      </c>
      <c r="B472" s="14" t="s">
        <v>638</v>
      </c>
      <c r="D472" s="2" t="str">
        <f>E472&amp;(VLOOKUP(F472,编号表!$E$1:$G$8,2,0))&amp;G472&amp;"_"&amp;H472&amp;"_"&amp;I472</f>
        <v>6N4_2_3</v>
      </c>
      <c r="E472" s="2">
        <v>6</v>
      </c>
      <c r="F472" s="2" t="s">
        <v>174</v>
      </c>
      <c r="G472" s="2">
        <v>4</v>
      </c>
      <c r="H472" s="2">
        <v>2</v>
      </c>
      <c r="I472" s="2">
        <f>COUNTIFS($E$3:E472,E472,$H$3:H472,H472)</f>
        <v>3</v>
      </c>
      <c r="N472" s="23">
        <v>1006301</v>
      </c>
      <c r="O472" s="23">
        <v>1006401</v>
      </c>
      <c r="P472" s="23">
        <v>1006501</v>
      </c>
      <c r="Q472" s="23">
        <v>1006601</v>
      </c>
      <c r="R472" s="23">
        <v>1006801</v>
      </c>
    </row>
    <row r="473" spans="1:20">
      <c r="A473" s="11">
        <f t="shared" si="9"/>
        <v>70064204</v>
      </c>
      <c r="B473" s="14" t="s">
        <v>639</v>
      </c>
      <c r="D473" s="2" t="str">
        <f>E473&amp;(VLOOKUP(F473,编号表!$E$1:$G$8,2,0))&amp;G473&amp;"_"&amp;H473&amp;"_"&amp;I473</f>
        <v>6N4_2_4</v>
      </c>
      <c r="E473" s="2">
        <v>6</v>
      </c>
      <c r="F473" s="2" t="s">
        <v>174</v>
      </c>
      <c r="G473" s="2">
        <v>4</v>
      </c>
      <c r="H473" s="2">
        <v>2</v>
      </c>
      <c r="I473" s="2">
        <f>COUNTIFS($E$3:E473,E473,$H$3:H473,H473)</f>
        <v>4</v>
      </c>
      <c r="N473" s="23">
        <v>1006201</v>
      </c>
      <c r="O473" s="23">
        <v>1006401</v>
      </c>
      <c r="P473" s="23">
        <v>1006501</v>
      </c>
      <c r="Q473" s="23">
        <v>1006601</v>
      </c>
      <c r="R473" s="23">
        <v>1006801</v>
      </c>
    </row>
    <row r="474" spans="1:20">
      <c r="A474" s="11">
        <f t="shared" si="9"/>
        <v>70064205</v>
      </c>
      <c r="B474" s="14" t="s">
        <v>640</v>
      </c>
      <c r="D474" s="2" t="str">
        <f>E474&amp;(VLOOKUP(F474,编号表!$E$1:$G$8,2,0))&amp;G474&amp;"_"&amp;H474&amp;"_"&amp;I474</f>
        <v>6N4_2_5</v>
      </c>
      <c r="E474" s="2">
        <v>6</v>
      </c>
      <c r="F474" s="2" t="s">
        <v>174</v>
      </c>
      <c r="G474" s="2">
        <v>4</v>
      </c>
      <c r="H474" s="2">
        <v>2</v>
      </c>
      <c r="I474" s="2">
        <f>COUNTIFS($E$3:E474,E474,$H$3:H474,H474)</f>
        <v>5</v>
      </c>
      <c r="N474" s="23">
        <v>1006201</v>
      </c>
      <c r="O474" s="23">
        <v>1006401</v>
      </c>
      <c r="P474" s="23">
        <v>1006501</v>
      </c>
      <c r="Q474" s="23">
        <v>1006601</v>
      </c>
      <c r="R474" s="23">
        <v>1006801</v>
      </c>
    </row>
    <row r="475" spans="1:20">
      <c r="A475" s="11">
        <f t="shared" si="9"/>
        <v>70064301</v>
      </c>
      <c r="B475" s="14" t="s">
        <v>641</v>
      </c>
      <c r="D475" s="2" t="str">
        <f>E475&amp;(VLOOKUP(F475,编号表!$E$1:$G$8,2,0))&amp;G475&amp;"_"&amp;H475&amp;"_"&amp;I475</f>
        <v>6N4_3_1</v>
      </c>
      <c r="E475" s="2">
        <v>6</v>
      </c>
      <c r="F475" s="2" t="s">
        <v>174</v>
      </c>
      <c r="G475" s="2">
        <v>4</v>
      </c>
      <c r="H475" s="2">
        <v>3</v>
      </c>
      <c r="I475" s="2">
        <f>COUNTIFS($E$3:E475,E475,$H$3:H475,H475)</f>
        <v>1</v>
      </c>
      <c r="N475" s="23">
        <v>1006201</v>
      </c>
      <c r="O475" s="23">
        <v>1006401</v>
      </c>
      <c r="P475" s="23">
        <v>1006501</v>
      </c>
      <c r="Q475" s="23">
        <v>1006601</v>
      </c>
      <c r="R475" s="23">
        <v>1006801</v>
      </c>
    </row>
    <row r="476" spans="1:20">
      <c r="A476" s="11">
        <f t="shared" si="9"/>
        <v>70064302</v>
      </c>
      <c r="B476" s="14" t="s">
        <v>642</v>
      </c>
      <c r="D476" s="2" t="str">
        <f>E476&amp;(VLOOKUP(F476,编号表!$E$1:$G$8,2,0))&amp;G476&amp;"_"&amp;H476&amp;"_"&amp;I476</f>
        <v>6N4_3_2</v>
      </c>
      <c r="E476" s="2">
        <v>6</v>
      </c>
      <c r="F476" s="2" t="s">
        <v>174</v>
      </c>
      <c r="G476" s="2">
        <v>4</v>
      </c>
      <c r="H476" s="2">
        <v>3</v>
      </c>
      <c r="I476" s="2">
        <f>COUNTIFS($E$3:E476,E476,$H$3:H476,H476)</f>
        <v>2</v>
      </c>
      <c r="N476" s="23">
        <v>1006201</v>
      </c>
      <c r="O476" s="23">
        <v>1006401</v>
      </c>
      <c r="P476" s="23">
        <v>1006501</v>
      </c>
      <c r="Q476" s="23">
        <v>1006601</v>
      </c>
      <c r="R476" s="23">
        <v>1006701</v>
      </c>
      <c r="S476" s="23">
        <v>1006801</v>
      </c>
    </row>
    <row r="477" spans="1:20">
      <c r="A477" s="11">
        <f t="shared" si="9"/>
        <v>70063303</v>
      </c>
      <c r="B477" s="14" t="s">
        <v>643</v>
      </c>
      <c r="D477" s="2" t="str">
        <f>E477&amp;(VLOOKUP(F477,编号表!$E$1:$G$8,2,0))&amp;G477&amp;"_"&amp;H477&amp;"_"&amp;I477</f>
        <v>6N3_3_3</v>
      </c>
      <c r="E477" s="2">
        <v>6</v>
      </c>
      <c r="F477" s="2" t="s">
        <v>174</v>
      </c>
      <c r="G477" s="2">
        <v>3</v>
      </c>
      <c r="H477" s="2">
        <v>3</v>
      </c>
      <c r="I477" s="2">
        <f>COUNTIFS($E$3:E477,E477,$H$3:H477,H477)</f>
        <v>3</v>
      </c>
      <c r="N477" s="23">
        <v>1006201</v>
      </c>
      <c r="O477" s="23">
        <v>1006401</v>
      </c>
      <c r="P477" s="23">
        <v>1006501</v>
      </c>
      <c r="Q477" s="23">
        <v>1006601</v>
      </c>
      <c r="R477" s="23">
        <v>1006701</v>
      </c>
      <c r="S477" s="23">
        <v>1006801</v>
      </c>
    </row>
    <row r="478" spans="1:20">
      <c r="A478" s="11">
        <f t="shared" si="9"/>
        <v>70064304</v>
      </c>
      <c r="B478" s="14" t="s">
        <v>644</v>
      </c>
      <c r="D478" s="2" t="str">
        <f>E478&amp;(VLOOKUP(F478,编号表!$E$1:$G$8,2,0))&amp;G478&amp;"_"&amp;H478&amp;"_"&amp;I478</f>
        <v>6N4_3_4</v>
      </c>
      <c r="E478" s="2">
        <v>6</v>
      </c>
      <c r="F478" s="2" t="s">
        <v>174</v>
      </c>
      <c r="G478" s="2">
        <v>4</v>
      </c>
      <c r="H478" s="2">
        <v>3</v>
      </c>
      <c r="I478" s="2">
        <f>COUNTIFS($E$3:E478,E478,$H$3:H478,H478)</f>
        <v>4</v>
      </c>
      <c r="N478" s="23">
        <v>1006201</v>
      </c>
      <c r="O478" s="23">
        <v>1006401</v>
      </c>
      <c r="P478" s="23">
        <v>1006501</v>
      </c>
      <c r="Q478" s="23">
        <v>1006601</v>
      </c>
      <c r="R478" s="23">
        <v>1006701</v>
      </c>
      <c r="S478" s="23">
        <v>1006801</v>
      </c>
    </row>
    <row r="479" spans="1:20">
      <c r="A479" s="11">
        <f t="shared" si="9"/>
        <v>70064305</v>
      </c>
      <c r="B479" s="14" t="s">
        <v>645</v>
      </c>
      <c r="D479" s="2" t="str">
        <f>E479&amp;(VLOOKUP(F479,编号表!$E$1:$G$8,2,0))&amp;G479&amp;"_"&amp;H479&amp;"_"&amp;I479</f>
        <v>6N4_3_5</v>
      </c>
      <c r="E479" s="2">
        <v>6</v>
      </c>
      <c r="F479" s="2" t="s">
        <v>174</v>
      </c>
      <c r="G479" s="2">
        <v>4</v>
      </c>
      <c r="H479" s="2">
        <v>3</v>
      </c>
      <c r="I479" s="2">
        <f>COUNTIFS($E$3:E479,E479,$H$3:H479,H479)</f>
        <v>5</v>
      </c>
      <c r="N479" s="23">
        <v>1006201</v>
      </c>
      <c r="O479" s="23">
        <v>1006401</v>
      </c>
      <c r="P479" s="23">
        <v>1006501</v>
      </c>
      <c r="Q479" s="23">
        <v>1006601</v>
      </c>
      <c r="R479" s="23">
        <v>1006701</v>
      </c>
      <c r="S479" s="23">
        <v>1006801</v>
      </c>
    </row>
    <row r="480" spans="1:20">
      <c r="A480" s="11">
        <f t="shared" si="9"/>
        <v>70063401</v>
      </c>
      <c r="B480" s="16" t="s">
        <v>19</v>
      </c>
      <c r="C480" s="2" t="s">
        <v>230</v>
      </c>
      <c r="D480" s="2" t="str">
        <f>E480&amp;(VLOOKUP(F480,编号表!$E$1:$G$8,2,0))&amp;G480&amp;"_"&amp;H480&amp;"_"&amp;I480</f>
        <v>6T3_4_1</v>
      </c>
      <c r="E480" s="2">
        <v>6</v>
      </c>
      <c r="F480" s="2" t="s">
        <v>190</v>
      </c>
      <c r="G480" s="2">
        <v>3</v>
      </c>
      <c r="H480" s="2">
        <v>4</v>
      </c>
      <c r="I480" s="2">
        <f>COUNTIFS($E$3:E480,E480,$H$3:H480,H480)</f>
        <v>1</v>
      </c>
      <c r="L480" s="2">
        <v>113</v>
      </c>
    </row>
    <row r="481" spans="1:20">
      <c r="A481" s="11">
        <f t="shared" si="9"/>
        <v>70061402</v>
      </c>
      <c r="B481" s="15" t="s">
        <v>229</v>
      </c>
      <c r="D481" s="2" t="str">
        <f>E481&amp;(VLOOKUP(F481,编号表!$E$1:$G$8,2,0))&amp;G481&amp;"_"&amp;H481&amp;"_"&amp;I481</f>
        <v>6T1_4_2</v>
      </c>
      <c r="E481" s="2">
        <v>6</v>
      </c>
      <c r="F481" s="2" t="s">
        <v>190</v>
      </c>
      <c r="G481" s="2">
        <v>1</v>
      </c>
      <c r="H481" s="2">
        <v>4</v>
      </c>
      <c r="I481" s="2">
        <f>COUNTIFS($E$3:E481,E481,$H$3:H481,H481)</f>
        <v>2</v>
      </c>
      <c r="K481" s="2">
        <v>1</v>
      </c>
    </row>
    <row r="482" spans="1:20">
      <c r="A482" s="11">
        <f t="shared" si="9"/>
        <v>70063403</v>
      </c>
      <c r="B482" s="14" t="s">
        <v>646</v>
      </c>
      <c r="D482" s="2" t="str">
        <f>E482&amp;(VLOOKUP(F482,编号表!$E$1:$G$8,2,0))&amp;G482&amp;"_"&amp;H482&amp;"_"&amp;I482</f>
        <v>6N3_4_3</v>
      </c>
      <c r="E482" s="2">
        <v>6</v>
      </c>
      <c r="F482" s="2" t="s">
        <v>174</v>
      </c>
      <c r="G482" s="2">
        <v>3</v>
      </c>
      <c r="H482" s="2">
        <v>4</v>
      </c>
      <c r="I482" s="2">
        <f>COUNTIFS($E$3:E482,E482,$H$3:H482,H482)</f>
        <v>3</v>
      </c>
      <c r="N482" s="23">
        <v>1006201</v>
      </c>
      <c r="O482" s="23">
        <v>1006401</v>
      </c>
      <c r="P482" s="23">
        <v>1006501</v>
      </c>
      <c r="Q482" s="23">
        <v>1006601</v>
      </c>
      <c r="R482" s="23">
        <v>1006701</v>
      </c>
      <c r="S482" s="23">
        <v>1006801</v>
      </c>
    </row>
    <row r="483" spans="1:20">
      <c r="A483" s="11">
        <f t="shared" si="9"/>
        <v>70063404</v>
      </c>
      <c r="B483" s="14" t="s">
        <v>647</v>
      </c>
      <c r="D483" s="2" t="str">
        <f>E483&amp;(VLOOKUP(F483,编号表!$E$1:$G$8,2,0))&amp;G483&amp;"_"&amp;H483&amp;"_"&amp;I483</f>
        <v>6N3_4_4</v>
      </c>
      <c r="E483" s="2">
        <v>6</v>
      </c>
      <c r="F483" s="2" t="s">
        <v>174</v>
      </c>
      <c r="G483" s="2">
        <v>3</v>
      </c>
      <c r="H483" s="2">
        <v>4</v>
      </c>
      <c r="I483" s="2">
        <f>COUNTIFS($E$3:E483,E483,$H$3:H483,H483)</f>
        <v>4</v>
      </c>
      <c r="N483" s="23">
        <v>1006201</v>
      </c>
      <c r="O483" s="23">
        <v>1006401</v>
      </c>
      <c r="P483" s="23">
        <v>1006501</v>
      </c>
      <c r="Q483" s="23">
        <v>1006601</v>
      </c>
      <c r="R483" s="23">
        <v>1006701</v>
      </c>
      <c r="S483" s="23">
        <v>1006801</v>
      </c>
    </row>
    <row r="484" spans="1:20">
      <c r="A484" s="11">
        <f t="shared" si="9"/>
        <v>70064405</v>
      </c>
      <c r="B484" s="14" t="s">
        <v>648</v>
      </c>
      <c r="D484" s="2" t="str">
        <f>E484&amp;(VLOOKUP(F484,编号表!$E$1:$G$8,2,0))&amp;G484&amp;"_"&amp;H484&amp;"_"&amp;I484</f>
        <v>6N4_4_5</v>
      </c>
      <c r="E484" s="2">
        <v>6</v>
      </c>
      <c r="F484" s="2" t="s">
        <v>174</v>
      </c>
      <c r="G484" s="2">
        <v>4</v>
      </c>
      <c r="H484" s="2">
        <v>4</v>
      </c>
      <c r="I484" s="2">
        <f>COUNTIFS($E$3:E484,E484,$H$3:H484,H484)</f>
        <v>5</v>
      </c>
      <c r="N484" s="23">
        <v>1006201</v>
      </c>
      <c r="O484" s="23">
        <v>1006401</v>
      </c>
      <c r="P484" s="23">
        <v>1006501</v>
      </c>
      <c r="Q484" s="23">
        <v>1006601</v>
      </c>
      <c r="R484" s="23">
        <v>1006701</v>
      </c>
      <c r="S484" s="23">
        <v>1006801</v>
      </c>
    </row>
    <row r="485" spans="1:20">
      <c r="A485" s="11">
        <f t="shared" si="9"/>
        <v>70063406</v>
      </c>
      <c r="B485" s="14" t="s">
        <v>649</v>
      </c>
      <c r="D485" s="2" t="str">
        <f>E485&amp;(VLOOKUP(F485,编号表!$E$1:$G$8,2,0))&amp;G485&amp;"_"&amp;H485&amp;"_"&amp;I485</f>
        <v>6N3_4_6</v>
      </c>
      <c r="E485" s="2">
        <v>6</v>
      </c>
      <c r="F485" s="2" t="s">
        <v>174</v>
      </c>
      <c r="G485" s="2">
        <v>3</v>
      </c>
      <c r="H485" s="2">
        <v>4</v>
      </c>
      <c r="I485" s="2">
        <f>COUNTIFS($E$3:E485,E485,$H$3:H485,H485)</f>
        <v>6</v>
      </c>
      <c r="N485" s="23">
        <v>1006201</v>
      </c>
      <c r="O485" s="23">
        <v>1006301</v>
      </c>
      <c r="P485" s="23">
        <v>1006501</v>
      </c>
      <c r="Q485" s="23">
        <v>1006601</v>
      </c>
      <c r="R485" s="23">
        <v>1006701</v>
      </c>
      <c r="S485" s="23">
        <v>1006801</v>
      </c>
    </row>
    <row r="486" spans="1:20">
      <c r="A486" s="11">
        <f t="shared" si="9"/>
        <v>70063407</v>
      </c>
      <c r="B486" s="14" t="s">
        <v>650</v>
      </c>
      <c r="D486" s="2" t="str">
        <f>E486&amp;(VLOOKUP(F486,编号表!$E$1:$G$8,2,0))&amp;G486&amp;"_"&amp;H486&amp;"_"&amp;I486</f>
        <v>6N3_4_7</v>
      </c>
      <c r="E486" s="2">
        <v>6</v>
      </c>
      <c r="F486" s="2" t="s">
        <v>174</v>
      </c>
      <c r="G486" s="2">
        <v>3</v>
      </c>
      <c r="H486" s="2">
        <v>4</v>
      </c>
      <c r="I486" s="2">
        <f>COUNTIFS($E$3:E486,E486,$H$3:H486,H486)</f>
        <v>7</v>
      </c>
      <c r="N486" s="23">
        <v>1006201</v>
      </c>
      <c r="O486" s="23">
        <v>1006301</v>
      </c>
      <c r="P486" s="23">
        <v>1006501</v>
      </c>
      <c r="Q486" s="23">
        <v>1006601</v>
      </c>
      <c r="R486" s="23">
        <v>1006701</v>
      </c>
      <c r="S486" s="23">
        <v>1006801</v>
      </c>
    </row>
    <row r="487" spans="1:20">
      <c r="A487" s="11">
        <f t="shared" si="9"/>
        <v>70063408</v>
      </c>
      <c r="B487" s="14" t="s">
        <v>651</v>
      </c>
      <c r="D487" s="2" t="str">
        <f>E487&amp;(VLOOKUP(F487,编号表!$E$1:$G$8,2,0))&amp;G487&amp;"_"&amp;H487&amp;"_"&amp;I487</f>
        <v>6N3_4_8</v>
      </c>
      <c r="E487" s="2">
        <v>6</v>
      </c>
      <c r="F487" s="2" t="s">
        <v>174</v>
      </c>
      <c r="G487" s="2">
        <v>3</v>
      </c>
      <c r="H487" s="2">
        <v>4</v>
      </c>
      <c r="I487" s="2">
        <f>COUNTIFS($E$3:E487,E487,$H$3:H487,H487)</f>
        <v>8</v>
      </c>
      <c r="N487" s="23">
        <v>1006201</v>
      </c>
      <c r="O487" s="23">
        <v>1006301</v>
      </c>
      <c r="P487" s="23">
        <v>1006501</v>
      </c>
      <c r="Q487" s="23">
        <v>1006601</v>
      </c>
      <c r="R487" s="23">
        <v>1006701</v>
      </c>
      <c r="S487" s="23">
        <v>1006801</v>
      </c>
    </row>
    <row r="488" spans="1:20">
      <c r="A488" s="11">
        <f t="shared" si="9"/>
        <v>70063409</v>
      </c>
      <c r="B488" s="14" t="s">
        <v>652</v>
      </c>
      <c r="D488" s="2" t="str">
        <f>E488&amp;(VLOOKUP(F488,编号表!$E$1:$G$8,2,0))&amp;G488&amp;"_"&amp;H488&amp;"_"&amp;I488</f>
        <v>6N3_4_9</v>
      </c>
      <c r="E488" s="2">
        <v>6</v>
      </c>
      <c r="F488" s="2" t="s">
        <v>174</v>
      </c>
      <c r="G488" s="2">
        <v>3</v>
      </c>
      <c r="H488" s="2">
        <v>4</v>
      </c>
      <c r="I488" s="2">
        <f>COUNTIFS($E$3:E488,E488,$H$3:H488,H488)</f>
        <v>9</v>
      </c>
      <c r="N488" s="23">
        <v>1006201</v>
      </c>
      <c r="O488" s="23">
        <v>1006301</v>
      </c>
      <c r="P488" s="23">
        <v>1006501</v>
      </c>
      <c r="Q488" s="23">
        <v>1006601</v>
      </c>
      <c r="R488" s="23">
        <v>1006701</v>
      </c>
      <c r="S488" s="23">
        <v>1006801</v>
      </c>
    </row>
    <row r="489" spans="1:20">
      <c r="A489" s="11">
        <f t="shared" si="9"/>
        <v>70063410</v>
      </c>
      <c r="B489" s="14" t="s">
        <v>653</v>
      </c>
      <c r="D489" s="2" t="str">
        <f>E489&amp;(VLOOKUP(F489,编号表!$E$1:$G$8,2,0))&amp;G489&amp;"_"&amp;H489&amp;"_"&amp;I489</f>
        <v>6N3_4_10</v>
      </c>
      <c r="E489" s="2">
        <v>6</v>
      </c>
      <c r="F489" s="2" t="s">
        <v>174</v>
      </c>
      <c r="G489" s="2">
        <v>3</v>
      </c>
      <c r="H489" s="2">
        <v>4</v>
      </c>
      <c r="I489" s="2">
        <f>COUNTIFS($E$3:E489,E489,$H$3:H489,H489)</f>
        <v>10</v>
      </c>
      <c r="N489" s="23">
        <v>1006201</v>
      </c>
      <c r="O489" s="23">
        <v>1006301</v>
      </c>
      <c r="P489" s="23">
        <v>1006501</v>
      </c>
      <c r="Q489" s="23">
        <v>1006601</v>
      </c>
      <c r="R489" s="23">
        <v>1006701</v>
      </c>
      <c r="T489" s="23"/>
    </row>
    <row r="490" spans="1:20">
      <c r="A490" s="11">
        <f t="shared" si="9"/>
        <v>70062411</v>
      </c>
      <c r="B490" s="14" t="s">
        <v>654</v>
      </c>
      <c r="D490" s="2" t="str">
        <f>E490&amp;(VLOOKUP(F490,编号表!$E$1:$G$8,2,0))&amp;G490&amp;"_"&amp;H490&amp;"_"&amp;I490</f>
        <v>6N2_4_11</v>
      </c>
      <c r="E490" s="2">
        <v>6</v>
      </c>
      <c r="F490" s="2" t="s">
        <v>174</v>
      </c>
      <c r="G490" s="2">
        <v>2</v>
      </c>
      <c r="H490" s="2">
        <v>4</v>
      </c>
      <c r="I490" s="2">
        <f>COUNTIFS($E$3:E490,E490,$H$3:H490,H490)</f>
        <v>11</v>
      </c>
      <c r="N490" s="23">
        <v>1006201</v>
      </c>
      <c r="O490" s="23">
        <v>1006301</v>
      </c>
      <c r="P490" s="23">
        <v>1006501</v>
      </c>
      <c r="Q490" s="23">
        <v>1006601</v>
      </c>
      <c r="R490" s="23">
        <v>1006701</v>
      </c>
      <c r="T490" s="23"/>
    </row>
    <row r="491" spans="1:20">
      <c r="A491" s="11">
        <f t="shared" si="9"/>
        <v>70063412</v>
      </c>
      <c r="B491" s="14" t="s">
        <v>655</v>
      </c>
      <c r="D491" s="2" t="str">
        <f>E491&amp;(VLOOKUP(F491,编号表!$E$1:$G$8,2,0))&amp;G491&amp;"_"&amp;H491&amp;"_"&amp;I491</f>
        <v>6N3_4_12</v>
      </c>
      <c r="E491" s="2">
        <v>6</v>
      </c>
      <c r="F491" s="2" t="s">
        <v>174</v>
      </c>
      <c r="G491" s="2">
        <v>3</v>
      </c>
      <c r="H491" s="2">
        <v>4</v>
      </c>
      <c r="I491" s="2">
        <f>COUNTIFS($E$3:E491,E491,$H$3:H491,H491)</f>
        <v>12</v>
      </c>
      <c r="N491" s="23">
        <v>1006201</v>
      </c>
      <c r="O491" s="23">
        <v>1006301</v>
      </c>
      <c r="P491" s="23">
        <v>1006501</v>
      </c>
      <c r="Q491" s="23">
        <v>1006601</v>
      </c>
      <c r="R491" s="23">
        <v>1006701</v>
      </c>
      <c r="T491" s="23"/>
    </row>
    <row r="492" spans="1:20">
      <c r="A492" s="11">
        <f t="shared" si="9"/>
        <v>70063413</v>
      </c>
      <c r="B492" s="14" t="s">
        <v>656</v>
      </c>
      <c r="D492" s="2" t="str">
        <f>E492&amp;(VLOOKUP(F492,编号表!$E$1:$G$8,2,0))&amp;G492&amp;"_"&amp;H492&amp;"_"&amp;I492</f>
        <v>6N3_4_13</v>
      </c>
      <c r="E492" s="2">
        <v>6</v>
      </c>
      <c r="F492" s="2" t="s">
        <v>174</v>
      </c>
      <c r="G492" s="2">
        <v>3</v>
      </c>
      <c r="H492" s="2">
        <v>4</v>
      </c>
      <c r="I492" s="2">
        <f>COUNTIFS($E$3:E492,E492,$H$3:H492,H492)</f>
        <v>13</v>
      </c>
      <c r="N492" s="23">
        <v>1006201</v>
      </c>
      <c r="O492" s="23">
        <v>1006301</v>
      </c>
      <c r="P492" s="23">
        <v>1006501</v>
      </c>
      <c r="Q492" s="23">
        <v>1006601</v>
      </c>
      <c r="R492" s="23">
        <v>1006701</v>
      </c>
      <c r="T492" s="23"/>
    </row>
    <row r="493" spans="1:20">
      <c r="A493" s="11">
        <f t="shared" si="9"/>
        <v>70063414</v>
      </c>
      <c r="B493" s="14" t="s">
        <v>657</v>
      </c>
      <c r="D493" s="2" t="str">
        <f>E493&amp;(VLOOKUP(F493,编号表!$E$1:$G$8,2,0))&amp;G493&amp;"_"&amp;H493&amp;"_"&amp;I493</f>
        <v>6N3_4_14</v>
      </c>
      <c r="E493" s="2">
        <v>6</v>
      </c>
      <c r="F493" s="2" t="s">
        <v>174</v>
      </c>
      <c r="G493" s="2">
        <v>3</v>
      </c>
      <c r="H493" s="2">
        <v>4</v>
      </c>
      <c r="I493" s="2">
        <f>COUNTIFS($E$3:E493,E493,$H$3:H493,H493)</f>
        <v>14</v>
      </c>
      <c r="N493" s="23">
        <v>1006201</v>
      </c>
      <c r="O493" s="23">
        <v>1006301</v>
      </c>
      <c r="P493" s="23">
        <v>1006501</v>
      </c>
      <c r="Q493" s="23">
        <v>1006601</v>
      </c>
      <c r="R493" s="23">
        <v>1006701</v>
      </c>
      <c r="T493" s="23"/>
    </row>
    <row r="494" spans="1:20">
      <c r="A494" s="11">
        <f t="shared" si="9"/>
        <v>70063415</v>
      </c>
      <c r="B494" s="14" t="s">
        <v>658</v>
      </c>
      <c r="D494" s="2" t="str">
        <f>E494&amp;(VLOOKUP(F494,编号表!$E$1:$G$8,2,0))&amp;G494&amp;"_"&amp;H494&amp;"_"&amp;I494</f>
        <v>6N3_4_15</v>
      </c>
      <c r="E494" s="2">
        <v>6</v>
      </c>
      <c r="F494" s="2" t="s">
        <v>174</v>
      </c>
      <c r="G494" s="2">
        <v>3</v>
      </c>
      <c r="H494" s="2">
        <v>4</v>
      </c>
      <c r="I494" s="2">
        <f>COUNTIFS($E$3:E494,E494,$H$3:H494,H494)</f>
        <v>15</v>
      </c>
      <c r="N494" s="23">
        <v>1006201</v>
      </c>
      <c r="O494" s="23">
        <v>1006301</v>
      </c>
      <c r="P494" s="23">
        <v>1006501</v>
      </c>
      <c r="Q494" s="23">
        <v>1006601</v>
      </c>
      <c r="R494" s="23">
        <v>1006701</v>
      </c>
      <c r="T494" s="23"/>
    </row>
    <row r="495" spans="1:20">
      <c r="A495" s="11">
        <f t="shared" si="9"/>
        <v>70063501</v>
      </c>
      <c r="B495" s="14" t="s">
        <v>659</v>
      </c>
      <c r="D495" s="2" t="str">
        <f>E495&amp;(VLOOKUP(F495,编号表!$E$1:$G$8,2,0))&amp;G495&amp;"_"&amp;H495&amp;"_"&amp;I495</f>
        <v>6N3_5_1</v>
      </c>
      <c r="E495" s="2">
        <v>6</v>
      </c>
      <c r="F495" s="2" t="s">
        <v>174</v>
      </c>
      <c r="G495" s="2">
        <v>3</v>
      </c>
      <c r="H495" s="2">
        <v>5</v>
      </c>
      <c r="I495" s="2">
        <f>COUNTIFS($E$3:E495,E495,$H$3:H495,H495)</f>
        <v>1</v>
      </c>
      <c r="N495" s="23">
        <v>1006201</v>
      </c>
      <c r="O495" s="23">
        <v>1006301</v>
      </c>
      <c r="P495" s="23">
        <v>1006401</v>
      </c>
      <c r="Q495" s="23">
        <v>1006601</v>
      </c>
      <c r="R495" s="23">
        <v>1006701</v>
      </c>
      <c r="S495" s="23"/>
    </row>
    <row r="496" spans="1:20">
      <c r="A496" s="11">
        <f t="shared" si="9"/>
        <v>70062502</v>
      </c>
      <c r="B496" s="14" t="s">
        <v>660</v>
      </c>
      <c r="D496" s="2" t="str">
        <f>E496&amp;(VLOOKUP(F496,编号表!$E$1:$G$8,2,0))&amp;G496&amp;"_"&amp;H496&amp;"_"&amp;I496</f>
        <v>6N2_5_2</v>
      </c>
      <c r="E496" s="2">
        <v>6</v>
      </c>
      <c r="F496" s="2" t="s">
        <v>174</v>
      </c>
      <c r="G496" s="2">
        <v>2</v>
      </c>
      <c r="H496" s="2">
        <v>5</v>
      </c>
      <c r="I496" s="2">
        <f>COUNTIFS($E$3:E496,E496,$H$3:H496,H496)</f>
        <v>2</v>
      </c>
      <c r="N496" s="23">
        <v>1006201</v>
      </c>
      <c r="O496" s="23">
        <v>1006301</v>
      </c>
      <c r="P496" s="23">
        <v>1006401</v>
      </c>
      <c r="Q496" s="23">
        <v>1006601</v>
      </c>
      <c r="R496" s="23">
        <v>1006701</v>
      </c>
      <c r="S496" s="23"/>
    </row>
    <row r="497" spans="1:19">
      <c r="A497" s="11">
        <f t="shared" si="9"/>
        <v>70064503</v>
      </c>
      <c r="B497" s="14" t="s">
        <v>661</v>
      </c>
      <c r="D497" s="2" t="str">
        <f>E497&amp;(VLOOKUP(F497,编号表!$E$1:$G$8,2,0))&amp;G497&amp;"_"&amp;H497&amp;"_"&amp;I497</f>
        <v>6N4_5_3</v>
      </c>
      <c r="E497" s="2">
        <v>6</v>
      </c>
      <c r="F497" s="2" t="s">
        <v>174</v>
      </c>
      <c r="G497" s="2">
        <v>4</v>
      </c>
      <c r="H497" s="2">
        <v>5</v>
      </c>
      <c r="I497" s="2">
        <f>COUNTIFS($E$3:E497,E497,$H$3:H497,H497)</f>
        <v>3</v>
      </c>
      <c r="N497" s="23">
        <v>1006201</v>
      </c>
      <c r="O497" s="23">
        <v>1006301</v>
      </c>
      <c r="P497" s="23">
        <v>1006401</v>
      </c>
      <c r="Q497" s="23">
        <v>1006601</v>
      </c>
      <c r="R497" s="23">
        <v>1006701</v>
      </c>
      <c r="S497" s="23"/>
    </row>
    <row r="498" spans="1:19">
      <c r="A498" s="11">
        <f t="shared" si="9"/>
        <v>70063504</v>
      </c>
      <c r="B498" s="14" t="s">
        <v>662</v>
      </c>
      <c r="D498" s="2" t="str">
        <f>E498&amp;(VLOOKUP(F498,编号表!$E$1:$G$8,2,0))&amp;G498&amp;"_"&amp;H498&amp;"_"&amp;I498</f>
        <v>6N3_5_4</v>
      </c>
      <c r="E498" s="2">
        <v>6</v>
      </c>
      <c r="F498" s="2" t="s">
        <v>174</v>
      </c>
      <c r="G498" s="2">
        <v>3</v>
      </c>
      <c r="H498" s="2">
        <v>5</v>
      </c>
      <c r="I498" s="2">
        <f>COUNTIFS($E$3:E498,E498,$H$3:H498,H498)</f>
        <v>4</v>
      </c>
      <c r="N498" s="23">
        <v>1006201</v>
      </c>
      <c r="O498" s="23">
        <v>1006301</v>
      </c>
      <c r="P498" s="23">
        <v>1006401</v>
      </c>
      <c r="Q498" s="23">
        <v>1006601</v>
      </c>
      <c r="R498" s="23">
        <v>1006701</v>
      </c>
      <c r="S498" s="23"/>
    </row>
    <row r="499" spans="1:19">
      <c r="A499" s="11">
        <f t="shared" si="9"/>
        <v>70062505</v>
      </c>
      <c r="B499" s="14" t="s">
        <v>663</v>
      </c>
      <c r="D499" s="2" t="str">
        <f>E499&amp;(VLOOKUP(F499,编号表!$E$1:$G$8,2,0))&amp;G499&amp;"_"&amp;H499&amp;"_"&amp;I499</f>
        <v>6N2_5_5</v>
      </c>
      <c r="E499" s="2">
        <v>6</v>
      </c>
      <c r="F499" s="2" t="s">
        <v>174</v>
      </c>
      <c r="G499" s="2">
        <v>2</v>
      </c>
      <c r="H499" s="2">
        <v>5</v>
      </c>
      <c r="I499" s="2">
        <f>COUNTIFS($E$3:E499,E499,$H$3:H499,H499)</f>
        <v>5</v>
      </c>
      <c r="N499" s="23">
        <v>1006201</v>
      </c>
      <c r="O499" s="23">
        <v>1006301</v>
      </c>
      <c r="P499" s="23">
        <v>1006401</v>
      </c>
      <c r="Q499" s="23">
        <v>1006601</v>
      </c>
      <c r="R499" s="23">
        <v>1006701</v>
      </c>
      <c r="S499" s="23">
        <v>1006801</v>
      </c>
    </row>
    <row r="500" spans="1:19">
      <c r="A500" s="11">
        <f t="shared" si="9"/>
        <v>70062506</v>
      </c>
      <c r="B500" s="14" t="s">
        <v>664</v>
      </c>
      <c r="D500" s="2" t="str">
        <f>E500&amp;(VLOOKUP(F500,编号表!$E$1:$G$8,2,0))&amp;G500&amp;"_"&amp;H500&amp;"_"&amp;I500</f>
        <v>6N2_5_6</v>
      </c>
      <c r="E500" s="2">
        <v>6</v>
      </c>
      <c r="F500" s="2" t="s">
        <v>174</v>
      </c>
      <c r="G500" s="2">
        <v>2</v>
      </c>
      <c r="H500" s="2">
        <v>5</v>
      </c>
      <c r="I500" s="2">
        <f>COUNTIFS($E$3:E500,E500,$H$3:H500,H500)</f>
        <v>6</v>
      </c>
      <c r="N500" s="23">
        <v>1006201</v>
      </c>
      <c r="O500" s="23">
        <v>1006301</v>
      </c>
      <c r="P500" s="23">
        <v>1006401</v>
      </c>
      <c r="Q500" s="23">
        <v>1006601</v>
      </c>
      <c r="R500" s="23">
        <v>1006701</v>
      </c>
      <c r="S500" s="23">
        <v>1006801</v>
      </c>
    </row>
    <row r="501" spans="1:19">
      <c r="A501" s="11">
        <f t="shared" si="9"/>
        <v>70063507</v>
      </c>
      <c r="B501" s="14" t="s">
        <v>665</v>
      </c>
      <c r="D501" s="2" t="str">
        <f>E501&amp;(VLOOKUP(F501,编号表!$E$1:$G$8,2,0))&amp;G501&amp;"_"&amp;H501&amp;"_"&amp;I501</f>
        <v>6N3_5_7</v>
      </c>
      <c r="E501" s="2">
        <v>6</v>
      </c>
      <c r="F501" s="2" t="s">
        <v>174</v>
      </c>
      <c r="G501" s="2">
        <v>3</v>
      </c>
      <c r="H501" s="2">
        <v>5</v>
      </c>
      <c r="I501" s="2">
        <f>COUNTIFS($E$3:E501,E501,$H$3:H501,H501)</f>
        <v>7</v>
      </c>
      <c r="N501" s="23">
        <v>1006201</v>
      </c>
      <c r="O501" s="23">
        <v>1006301</v>
      </c>
      <c r="P501" s="23">
        <v>1006401</v>
      </c>
      <c r="Q501" s="23">
        <v>1006601</v>
      </c>
      <c r="R501" s="23">
        <v>1006701</v>
      </c>
      <c r="S501" s="23">
        <v>1006801</v>
      </c>
    </row>
    <row r="502" spans="1:19">
      <c r="A502" s="11">
        <f t="shared" si="9"/>
        <v>70063601</v>
      </c>
      <c r="B502" s="14" t="s">
        <v>666</v>
      </c>
      <c r="D502" s="2" t="str">
        <f>E502&amp;(VLOOKUP(F502,编号表!$E$1:$G$8,2,0))&amp;G502&amp;"_"&amp;H502&amp;"_"&amp;I502</f>
        <v>6N3_6_1</v>
      </c>
      <c r="E502" s="2">
        <v>6</v>
      </c>
      <c r="F502" s="2" t="s">
        <v>174</v>
      </c>
      <c r="G502" s="2">
        <v>3</v>
      </c>
      <c r="H502" s="2">
        <v>6</v>
      </c>
      <c r="I502" s="2">
        <f>COUNTIFS($E$3:E502,E502,$H$3:H502,H502)</f>
        <v>1</v>
      </c>
      <c r="N502" s="23">
        <v>1006201</v>
      </c>
      <c r="O502" s="23">
        <v>1006301</v>
      </c>
      <c r="P502" s="23">
        <v>1006401</v>
      </c>
      <c r="Q502" s="23">
        <v>1006601</v>
      </c>
      <c r="R502" s="23">
        <v>1006701</v>
      </c>
      <c r="S502" s="23">
        <v>1006801</v>
      </c>
    </row>
    <row r="503" spans="1:19">
      <c r="A503" s="11">
        <f t="shared" si="9"/>
        <v>70063602</v>
      </c>
      <c r="B503" s="14" t="s">
        <v>667</v>
      </c>
      <c r="D503" s="2" t="str">
        <f>E503&amp;(VLOOKUP(F503,编号表!$E$1:$G$8,2,0))&amp;G503&amp;"_"&amp;H503&amp;"_"&amp;I503</f>
        <v>6N3_6_2</v>
      </c>
      <c r="E503" s="2">
        <v>6</v>
      </c>
      <c r="F503" s="2" t="s">
        <v>174</v>
      </c>
      <c r="G503" s="2">
        <v>3</v>
      </c>
      <c r="H503" s="2">
        <v>6</v>
      </c>
      <c r="I503" s="2">
        <f>COUNTIFS($E$3:E503,E503,$H$3:H503,H503)</f>
        <v>2</v>
      </c>
      <c r="N503" s="23">
        <v>1006201</v>
      </c>
      <c r="O503" s="23">
        <v>1006301</v>
      </c>
      <c r="P503" s="23">
        <v>1006401</v>
      </c>
      <c r="Q503" s="23">
        <v>1006601</v>
      </c>
      <c r="R503" s="23">
        <v>1006701</v>
      </c>
      <c r="S503" s="23">
        <v>1006801</v>
      </c>
    </row>
    <row r="504" spans="1:19">
      <c r="A504" s="11">
        <f t="shared" si="9"/>
        <v>70064603</v>
      </c>
      <c r="B504" s="14" t="s">
        <v>668</v>
      </c>
      <c r="D504" s="2" t="str">
        <f>E504&amp;(VLOOKUP(F504,编号表!$E$1:$G$8,2,0))&amp;G504&amp;"_"&amp;H504&amp;"_"&amp;I504</f>
        <v>6N4_6_3</v>
      </c>
      <c r="E504" s="2">
        <v>6</v>
      </c>
      <c r="F504" s="2" t="s">
        <v>174</v>
      </c>
      <c r="G504" s="2">
        <v>4</v>
      </c>
      <c r="H504" s="2">
        <v>6</v>
      </c>
      <c r="I504" s="2">
        <f>COUNTIFS($E$3:E504,E504,$H$3:H504,H504)</f>
        <v>3</v>
      </c>
      <c r="N504" s="23">
        <v>1006201</v>
      </c>
      <c r="O504" s="23">
        <v>1006301</v>
      </c>
      <c r="P504" s="23">
        <v>1006401</v>
      </c>
      <c r="Q504" s="23">
        <v>1006601</v>
      </c>
      <c r="R504" s="23">
        <v>1006701</v>
      </c>
      <c r="S504" s="23">
        <v>1006801</v>
      </c>
    </row>
    <row r="505" spans="1:19">
      <c r="A505" s="11">
        <f t="shared" si="9"/>
        <v>70063604</v>
      </c>
      <c r="B505" s="14" t="s">
        <v>669</v>
      </c>
      <c r="D505" s="2" t="str">
        <f>E505&amp;(VLOOKUP(F505,编号表!$E$1:$G$8,2,0))&amp;G505&amp;"_"&amp;H505&amp;"_"&amp;I505</f>
        <v>6N3_6_4</v>
      </c>
      <c r="E505" s="2">
        <v>6</v>
      </c>
      <c r="F505" s="2" t="s">
        <v>174</v>
      </c>
      <c r="G505" s="2">
        <v>3</v>
      </c>
      <c r="H505" s="2">
        <v>6</v>
      </c>
      <c r="I505" s="2">
        <f>COUNTIFS($E$3:E505,E505,$H$3:H505,H505)</f>
        <v>4</v>
      </c>
      <c r="N505" s="23">
        <v>1006201</v>
      </c>
      <c r="O505" s="23">
        <v>1006301</v>
      </c>
      <c r="P505" s="23">
        <v>1006401</v>
      </c>
      <c r="Q505" s="23">
        <v>1006501</v>
      </c>
      <c r="R505" s="23">
        <v>1006701</v>
      </c>
      <c r="S505" s="23">
        <v>1006801</v>
      </c>
    </row>
    <row r="506" spans="1:19">
      <c r="A506" s="11">
        <f t="shared" si="9"/>
        <v>70063605</v>
      </c>
      <c r="B506" s="14" t="s">
        <v>670</v>
      </c>
      <c r="D506" s="2" t="str">
        <f>E506&amp;(VLOOKUP(F506,编号表!$E$1:$G$8,2,0))&amp;G506&amp;"_"&amp;H506&amp;"_"&amp;I506</f>
        <v>6N3_6_5</v>
      </c>
      <c r="E506" s="2">
        <v>6</v>
      </c>
      <c r="F506" s="2" t="s">
        <v>174</v>
      </c>
      <c r="G506" s="2">
        <v>3</v>
      </c>
      <c r="H506" s="2">
        <v>6</v>
      </c>
      <c r="I506" s="2">
        <f>COUNTIFS($E$3:E506,E506,$H$3:H506,H506)</f>
        <v>5</v>
      </c>
      <c r="N506" s="23">
        <v>1006201</v>
      </c>
      <c r="O506" s="23">
        <v>1006301</v>
      </c>
      <c r="P506" s="23">
        <v>1006401</v>
      </c>
      <c r="Q506" s="23">
        <v>1006501</v>
      </c>
      <c r="R506" s="23">
        <v>1006701</v>
      </c>
      <c r="S506" s="23">
        <v>1006801</v>
      </c>
    </row>
    <row r="507" spans="1:19">
      <c r="A507" s="11">
        <f t="shared" si="9"/>
        <v>70065606</v>
      </c>
      <c r="B507" s="14" t="s">
        <v>671</v>
      </c>
      <c r="D507" s="2" t="str">
        <f>E507&amp;(VLOOKUP(F507,编号表!$E$1:$G$8,2,0))&amp;G507&amp;"_"&amp;H507&amp;"_"&amp;I507</f>
        <v>6N5_6_6</v>
      </c>
      <c r="E507" s="2">
        <v>6</v>
      </c>
      <c r="F507" s="2" t="s">
        <v>174</v>
      </c>
      <c r="G507" s="2">
        <v>5</v>
      </c>
      <c r="H507" s="2">
        <v>6</v>
      </c>
      <c r="I507" s="2">
        <f>COUNTIFS($E$3:E507,E507,$H$3:H507,H507)</f>
        <v>6</v>
      </c>
      <c r="N507" s="23">
        <v>1006201</v>
      </c>
      <c r="O507" s="23">
        <v>1006301</v>
      </c>
      <c r="P507" s="23">
        <v>1006401</v>
      </c>
      <c r="Q507" s="23">
        <v>1006501</v>
      </c>
      <c r="R507" s="23">
        <v>1006701</v>
      </c>
      <c r="S507" s="23">
        <v>1006801</v>
      </c>
    </row>
    <row r="508" spans="1:19">
      <c r="A508" s="11">
        <f t="shared" ref="A508:A520" si="10">70000000+E508*10000+G508*1000+H508*100+I508</f>
        <v>70065607</v>
      </c>
      <c r="B508" s="14" t="s">
        <v>672</v>
      </c>
      <c r="D508" s="2" t="str">
        <f>E508&amp;(VLOOKUP(F508,编号表!$E$1:$G$8,2,0))&amp;G508&amp;"_"&amp;H508&amp;"_"&amp;I508</f>
        <v>6N5_6_7</v>
      </c>
      <c r="E508" s="2">
        <v>6</v>
      </c>
      <c r="F508" s="2" t="s">
        <v>174</v>
      </c>
      <c r="G508" s="2">
        <v>5</v>
      </c>
      <c r="H508" s="2">
        <v>6</v>
      </c>
      <c r="I508" s="2">
        <f>COUNTIFS($E$3:E508,E508,$H$3:H508,H508)</f>
        <v>7</v>
      </c>
      <c r="N508" s="23">
        <v>1006201</v>
      </c>
      <c r="O508" s="23">
        <v>1006301</v>
      </c>
      <c r="P508" s="23">
        <v>1006401</v>
      </c>
      <c r="Q508" s="23">
        <v>1006501</v>
      </c>
      <c r="R508" s="23">
        <v>1006701</v>
      </c>
      <c r="S508" s="23">
        <v>1006801</v>
      </c>
    </row>
    <row r="509" spans="1:19">
      <c r="A509" s="11">
        <f t="shared" si="10"/>
        <v>70064608</v>
      </c>
      <c r="B509" s="14" t="s">
        <v>673</v>
      </c>
      <c r="D509" s="2" t="str">
        <f>E509&amp;(VLOOKUP(F509,编号表!$E$1:$G$8,2,0))&amp;G509&amp;"_"&amp;H509&amp;"_"&amp;I509</f>
        <v>6N4_6_8</v>
      </c>
      <c r="E509" s="2">
        <v>6</v>
      </c>
      <c r="F509" s="2" t="s">
        <v>174</v>
      </c>
      <c r="G509" s="2">
        <v>4</v>
      </c>
      <c r="H509" s="2">
        <v>6</v>
      </c>
      <c r="I509" s="2">
        <f>COUNTIFS($E$3:E509,E509,$H$3:H509,H509)</f>
        <v>8</v>
      </c>
      <c r="N509" s="23">
        <v>1006201</v>
      </c>
      <c r="O509" s="23">
        <v>1006301</v>
      </c>
      <c r="P509" s="23">
        <v>1006401</v>
      </c>
      <c r="Q509" s="23">
        <v>1006501</v>
      </c>
      <c r="R509" s="23">
        <v>1006701</v>
      </c>
      <c r="S509" s="23">
        <v>1006801</v>
      </c>
    </row>
    <row r="510" spans="1:19">
      <c r="A510" s="11">
        <f t="shared" si="10"/>
        <v>70064701</v>
      </c>
      <c r="B510" s="14" t="s">
        <v>674</v>
      </c>
      <c r="D510" s="2" t="str">
        <f>E510&amp;(VLOOKUP(F510,编号表!$E$1:$G$8,2,0))&amp;G510&amp;"_"&amp;H510&amp;"_"&amp;I510</f>
        <v>6N4_7_1</v>
      </c>
      <c r="E510" s="2">
        <v>6</v>
      </c>
      <c r="F510" s="2" t="s">
        <v>174</v>
      </c>
      <c r="G510" s="2">
        <v>4</v>
      </c>
      <c r="H510" s="2">
        <v>7</v>
      </c>
      <c r="I510" s="2">
        <f>COUNTIFS($E$3:E510,E510,$H$3:H510,H510)</f>
        <v>1</v>
      </c>
      <c r="N510" s="23">
        <v>1006201</v>
      </c>
      <c r="O510" s="23">
        <v>1006301</v>
      </c>
      <c r="P510" s="23">
        <v>1006401</v>
      </c>
      <c r="Q510" s="23">
        <v>1006501</v>
      </c>
      <c r="R510" s="23">
        <v>1006701</v>
      </c>
      <c r="S510" s="23">
        <v>1006801</v>
      </c>
    </row>
    <row r="511" spans="1:19">
      <c r="A511" s="11">
        <f t="shared" si="10"/>
        <v>70064702</v>
      </c>
      <c r="B511" s="14" t="s">
        <v>675</v>
      </c>
      <c r="D511" s="2" t="str">
        <f>E511&amp;(VLOOKUP(F511,编号表!$E$1:$G$8,2,0))&amp;G511&amp;"_"&amp;H511&amp;"_"&amp;I511</f>
        <v>6N4_7_2</v>
      </c>
      <c r="E511" s="2">
        <v>6</v>
      </c>
      <c r="F511" s="2" t="s">
        <v>174</v>
      </c>
      <c r="G511" s="2">
        <v>4</v>
      </c>
      <c r="H511" s="2">
        <v>7</v>
      </c>
      <c r="I511" s="2">
        <f>COUNTIFS($E$3:E511,E511,$H$3:H511,H511)</f>
        <v>2</v>
      </c>
      <c r="N511" s="23">
        <v>1006201</v>
      </c>
      <c r="O511" s="23">
        <v>1006301</v>
      </c>
      <c r="P511" s="23">
        <v>1006401</v>
      </c>
      <c r="Q511" s="23">
        <v>1006501</v>
      </c>
      <c r="R511" s="23">
        <v>1006701</v>
      </c>
      <c r="S511" s="23">
        <v>1006801</v>
      </c>
    </row>
    <row r="512" spans="1:19">
      <c r="A512" s="11">
        <f t="shared" si="10"/>
        <v>70064703</v>
      </c>
      <c r="B512" s="14" t="s">
        <v>676</v>
      </c>
      <c r="D512" s="2" t="str">
        <f>E512&amp;(VLOOKUP(F512,编号表!$E$1:$G$8,2,0))&amp;G512&amp;"_"&amp;H512&amp;"_"&amp;I512</f>
        <v>6N4_7_3</v>
      </c>
      <c r="E512" s="2">
        <v>6</v>
      </c>
      <c r="F512" s="2" t="s">
        <v>174</v>
      </c>
      <c r="G512" s="2">
        <v>4</v>
      </c>
      <c r="H512" s="2">
        <v>7</v>
      </c>
      <c r="I512" s="2">
        <f>COUNTIFS($E$3:E512,E512,$H$3:H512,H512)</f>
        <v>3</v>
      </c>
      <c r="N512" s="23">
        <v>1006201</v>
      </c>
      <c r="O512" s="23">
        <v>1006301</v>
      </c>
      <c r="P512" s="23">
        <v>1006401</v>
      </c>
      <c r="Q512" s="23">
        <v>1006501</v>
      </c>
      <c r="R512" s="23">
        <v>1006701</v>
      </c>
      <c r="S512" s="23">
        <v>1006801</v>
      </c>
    </row>
    <row r="513" spans="1:20">
      <c r="A513" s="11">
        <f t="shared" si="10"/>
        <v>70063704</v>
      </c>
      <c r="B513" s="14" t="s">
        <v>677</v>
      </c>
      <c r="D513" s="2" t="str">
        <f>E513&amp;(VLOOKUP(F513,编号表!$E$1:$G$8,2,0))&amp;G513&amp;"_"&amp;H513&amp;"_"&amp;I513</f>
        <v>6N3_7_4</v>
      </c>
      <c r="E513" s="2">
        <v>6</v>
      </c>
      <c r="F513" s="2" t="s">
        <v>174</v>
      </c>
      <c r="G513" s="2">
        <v>3</v>
      </c>
      <c r="H513" s="2">
        <v>7</v>
      </c>
      <c r="I513" s="2">
        <f>COUNTIFS($E$3:E513,E513,$H$3:H513,H513)</f>
        <v>4</v>
      </c>
      <c r="N513" s="23">
        <v>1006201</v>
      </c>
      <c r="O513" s="23">
        <v>1006301</v>
      </c>
      <c r="P513" s="23">
        <v>1006401</v>
      </c>
      <c r="Q513" s="23">
        <v>1006501</v>
      </c>
      <c r="R513" s="23">
        <v>1006701</v>
      </c>
      <c r="S513" s="23">
        <v>1006801</v>
      </c>
    </row>
    <row r="514" spans="1:20">
      <c r="A514" s="11">
        <f t="shared" si="10"/>
        <v>70063705</v>
      </c>
      <c r="B514" s="14" t="s">
        <v>678</v>
      </c>
      <c r="D514" s="2" t="str">
        <f>E514&amp;(VLOOKUP(F514,编号表!$E$1:$G$8,2,0))&amp;G514&amp;"_"&amp;H514&amp;"_"&amp;I514</f>
        <v>6N3_7_5</v>
      </c>
      <c r="E514" s="2">
        <v>6</v>
      </c>
      <c r="F514" s="2" t="s">
        <v>174</v>
      </c>
      <c r="G514" s="2">
        <v>3</v>
      </c>
      <c r="H514" s="2">
        <v>7</v>
      </c>
      <c r="I514" s="2">
        <f>COUNTIFS($E$3:E514,E514,$H$3:H514,H514)</f>
        <v>5</v>
      </c>
      <c r="N514" s="23">
        <v>1006201</v>
      </c>
      <c r="O514" s="23">
        <v>1006301</v>
      </c>
      <c r="P514" s="23">
        <v>1006401</v>
      </c>
      <c r="Q514" s="23">
        <v>1006501</v>
      </c>
      <c r="R514" s="23">
        <v>1006701</v>
      </c>
      <c r="S514" s="23">
        <v>1006801</v>
      </c>
    </row>
    <row r="515" spans="1:20">
      <c r="A515" s="11">
        <f t="shared" si="10"/>
        <v>70063706</v>
      </c>
      <c r="B515" s="14" t="s">
        <v>679</v>
      </c>
      <c r="D515" s="2" t="str">
        <f>E515&amp;(VLOOKUP(F515,编号表!$E$1:$G$8,2,0))&amp;G515&amp;"_"&amp;H515&amp;"_"&amp;I515</f>
        <v>6N3_7_6</v>
      </c>
      <c r="E515" s="2">
        <v>6</v>
      </c>
      <c r="F515" s="2" t="s">
        <v>174</v>
      </c>
      <c r="G515" s="2">
        <v>3</v>
      </c>
      <c r="H515" s="2">
        <v>7</v>
      </c>
      <c r="I515" s="2">
        <f>COUNTIFS($E$3:E515,E515,$H$3:H515,H515)</f>
        <v>6</v>
      </c>
      <c r="N515" s="23">
        <v>1006201</v>
      </c>
      <c r="O515" s="23">
        <v>1006301</v>
      </c>
      <c r="P515" s="23">
        <v>1006401</v>
      </c>
      <c r="Q515" s="23">
        <v>1006501</v>
      </c>
      <c r="R515" s="23">
        <v>1006601</v>
      </c>
      <c r="S515" s="23">
        <v>1006701</v>
      </c>
      <c r="T515" s="23"/>
    </row>
    <row r="516" spans="1:20">
      <c r="A516" s="11">
        <f t="shared" si="10"/>
        <v>70063707</v>
      </c>
      <c r="B516" s="14" t="s">
        <v>680</v>
      </c>
      <c r="D516" s="2" t="str">
        <f>E516&amp;(VLOOKUP(F516,编号表!$E$1:$G$8,2,0))&amp;G516&amp;"_"&amp;H516&amp;"_"&amp;I516</f>
        <v>6N3_7_7</v>
      </c>
      <c r="E516" s="2">
        <v>6</v>
      </c>
      <c r="F516" s="2" t="s">
        <v>174</v>
      </c>
      <c r="G516" s="2">
        <v>3</v>
      </c>
      <c r="H516" s="2">
        <v>7</v>
      </c>
      <c r="I516" s="2">
        <f>COUNTIFS($E$3:E516,E516,$H$3:H516,H516)</f>
        <v>7</v>
      </c>
      <c r="N516" s="23">
        <v>1006201</v>
      </c>
      <c r="O516" s="23">
        <v>1006301</v>
      </c>
      <c r="P516" s="23">
        <v>1006401</v>
      </c>
      <c r="Q516" s="23">
        <v>1006501</v>
      </c>
      <c r="R516" s="23">
        <v>1006601</v>
      </c>
      <c r="S516" s="23">
        <v>1006701</v>
      </c>
      <c r="T516" s="23"/>
    </row>
    <row r="517" spans="1:20">
      <c r="A517" s="11">
        <f t="shared" si="10"/>
        <v>70063708</v>
      </c>
      <c r="B517" s="14" t="s">
        <v>681</v>
      </c>
      <c r="D517" s="2" t="str">
        <f>E517&amp;(VLOOKUP(F517,编号表!$E$1:$G$8,2,0))&amp;G517&amp;"_"&amp;H517&amp;"_"&amp;I517</f>
        <v>6N3_7_8</v>
      </c>
      <c r="E517" s="2">
        <v>6</v>
      </c>
      <c r="F517" s="2" t="s">
        <v>174</v>
      </c>
      <c r="G517" s="2">
        <v>3</v>
      </c>
      <c r="H517" s="2">
        <v>7</v>
      </c>
      <c r="I517" s="2">
        <f>COUNTIFS($E$3:E517,E517,$H$3:H517,H517)</f>
        <v>8</v>
      </c>
      <c r="N517" s="23">
        <v>1006201</v>
      </c>
      <c r="O517" s="23">
        <v>1006301</v>
      </c>
      <c r="P517" s="23">
        <v>1006401</v>
      </c>
      <c r="Q517" s="23">
        <v>1006501</v>
      </c>
      <c r="R517" s="23">
        <v>1006601</v>
      </c>
      <c r="S517" s="23">
        <v>1006701</v>
      </c>
      <c r="T517" s="23"/>
    </row>
    <row r="518" spans="1:20">
      <c r="A518" s="11">
        <f t="shared" si="10"/>
        <v>70061709</v>
      </c>
      <c r="B518" s="15" t="s">
        <v>682</v>
      </c>
      <c r="D518" s="2" t="str">
        <f>E518&amp;(VLOOKUP(F518,编号表!$E$1:$G$8,2,0))&amp;G518&amp;"_"&amp;H518&amp;"_"&amp;I518</f>
        <v>6T1_7_9</v>
      </c>
      <c r="E518" s="2">
        <v>6</v>
      </c>
      <c r="F518" s="2" t="s">
        <v>190</v>
      </c>
      <c r="G518" s="2">
        <v>1</v>
      </c>
      <c r="H518" s="2">
        <v>7</v>
      </c>
      <c r="I518" s="2">
        <f>COUNTIFS($E$3:E518,E518,$H$3:H518,H518)</f>
        <v>9</v>
      </c>
    </row>
    <row r="519" spans="1:20">
      <c r="A519" s="11">
        <f t="shared" si="10"/>
        <v>70063710</v>
      </c>
      <c r="B519" s="16" t="s">
        <v>34</v>
      </c>
      <c r="C519" s="2" t="s">
        <v>683</v>
      </c>
      <c r="D519" s="2" t="str">
        <f>E519&amp;(VLOOKUP(F519,编号表!$E$1:$G$8,2,0))&amp;G519&amp;"_"&amp;H519&amp;"_"&amp;I519</f>
        <v>6T3_7_10</v>
      </c>
      <c r="E519" s="2">
        <v>6</v>
      </c>
      <c r="F519" s="2" t="s">
        <v>190</v>
      </c>
      <c r="G519" s="2">
        <v>3</v>
      </c>
      <c r="H519" s="2">
        <v>7</v>
      </c>
      <c r="I519" s="2">
        <f>COUNTIFS($E$3:E519,E519,$H$3:H519,H519)</f>
        <v>10</v>
      </c>
      <c r="L519" s="2">
        <v>114</v>
      </c>
    </row>
    <row r="520" spans="1:20">
      <c r="A520" s="11">
        <f t="shared" si="10"/>
        <v>70060001</v>
      </c>
      <c r="B520" s="18" t="s">
        <v>684</v>
      </c>
      <c r="D520" s="2" t="str">
        <f>E520&amp;(VLOOKUP(F520,编号表!$E$1:$G$8,2,0))&amp;G520&amp;"_"&amp;H520&amp;"_"&amp;I520</f>
        <v>6J0_0_1</v>
      </c>
      <c r="E520" s="2">
        <v>6</v>
      </c>
      <c r="F520" s="2" t="s">
        <v>222</v>
      </c>
      <c r="G520" s="2">
        <v>0</v>
      </c>
      <c r="H520" s="2">
        <v>0</v>
      </c>
      <c r="I520" s="2">
        <f>COUNTIFS($E$3:E520,E520,$H$3:H520,H520)</f>
        <v>1</v>
      </c>
      <c r="J520" s="2">
        <v>1</v>
      </c>
    </row>
    <row r="521" spans="1:20">
      <c r="A521" s="11">
        <f t="shared" ref="A519:A572" si="11">70000000+E521*10000+G521*1000+H521*100+I521</f>
        <v>70074101</v>
      </c>
      <c r="B521" s="14" t="s">
        <v>685</v>
      </c>
      <c r="D521" s="2" t="str">
        <f>E521&amp;(VLOOKUP(F521,编号表!$E$1:$G$8,2,0))&amp;G521&amp;"_"&amp;H521&amp;"_"&amp;I521</f>
        <v>7N4_1_1</v>
      </c>
      <c r="E521" s="2">
        <v>7</v>
      </c>
      <c r="F521" s="2" t="s">
        <v>174</v>
      </c>
      <c r="G521" s="2">
        <v>4</v>
      </c>
      <c r="H521" s="2">
        <v>1</v>
      </c>
      <c r="I521" s="2">
        <f>COUNTIFS($E$3:E521,E521,$H$3:H521,H521)</f>
        <v>1</v>
      </c>
      <c r="N521" s="11">
        <v>1007201</v>
      </c>
      <c r="O521" s="11">
        <v>1007301</v>
      </c>
      <c r="P521" s="11">
        <v>1007401</v>
      </c>
      <c r="Q521" s="11">
        <v>1007001</v>
      </c>
    </row>
    <row r="522" spans="1:20">
      <c r="A522" s="11">
        <f t="shared" si="11"/>
        <v>70074102</v>
      </c>
      <c r="B522" s="14" t="s">
        <v>686</v>
      </c>
      <c r="D522" s="2" t="str">
        <f>E522&amp;(VLOOKUP(F522,编号表!$E$1:$G$8,2,0))&amp;G522&amp;"_"&amp;H522&amp;"_"&amp;I522</f>
        <v>7N4_1_2</v>
      </c>
      <c r="E522" s="2">
        <v>7</v>
      </c>
      <c r="F522" s="2" t="s">
        <v>174</v>
      </c>
      <c r="G522" s="2">
        <v>4</v>
      </c>
      <c r="H522" s="2">
        <v>1</v>
      </c>
      <c r="I522" s="2">
        <f>COUNTIFS($E$3:E522,E522,$H$3:H522,H522)</f>
        <v>2</v>
      </c>
      <c r="N522" s="11">
        <v>1007201</v>
      </c>
      <c r="O522" s="11">
        <v>1007301</v>
      </c>
      <c r="P522" s="11">
        <v>1007401</v>
      </c>
      <c r="Q522" s="11">
        <v>1007002</v>
      </c>
    </row>
    <row r="523" spans="1:20">
      <c r="A523" s="11">
        <f t="shared" si="11"/>
        <v>70074103</v>
      </c>
      <c r="B523" s="14" t="s">
        <v>687</v>
      </c>
      <c r="D523" s="2" t="str">
        <f>E523&amp;(VLOOKUP(F523,编号表!$E$1:$G$8,2,0))&amp;G523&amp;"_"&amp;H523&amp;"_"&amp;I523</f>
        <v>7N4_1_3</v>
      </c>
      <c r="E523" s="2">
        <v>7</v>
      </c>
      <c r="F523" s="2" t="s">
        <v>174</v>
      </c>
      <c r="G523" s="2">
        <v>4</v>
      </c>
      <c r="H523" s="2">
        <v>1</v>
      </c>
      <c r="I523" s="2">
        <f>COUNTIFS($E$3:E523,E523,$H$3:H523,H523)</f>
        <v>3</v>
      </c>
      <c r="N523" s="11">
        <v>1007201</v>
      </c>
      <c r="O523" s="11">
        <v>1007301</v>
      </c>
      <c r="P523" s="11">
        <v>1007401</v>
      </c>
      <c r="Q523" s="11">
        <v>1007003</v>
      </c>
    </row>
    <row r="524" spans="1:20">
      <c r="A524" s="11">
        <f t="shared" si="11"/>
        <v>70073104</v>
      </c>
      <c r="B524" s="14" t="s">
        <v>688</v>
      </c>
      <c r="D524" s="2" t="str">
        <f>E524&amp;(VLOOKUP(F524,编号表!$E$1:$G$8,2,0))&amp;G524&amp;"_"&amp;H524&amp;"_"&amp;I524</f>
        <v>7N3_1_4</v>
      </c>
      <c r="E524" s="2">
        <v>7</v>
      </c>
      <c r="F524" s="2" t="s">
        <v>174</v>
      </c>
      <c r="G524" s="2">
        <v>3</v>
      </c>
      <c r="H524" s="2">
        <v>1</v>
      </c>
      <c r="I524" s="2">
        <f>COUNTIFS($E$3:E524,E524,$H$3:H524,H524)</f>
        <v>4</v>
      </c>
      <c r="N524" s="11">
        <v>1007201</v>
      </c>
      <c r="O524" s="11">
        <v>1007301</v>
      </c>
      <c r="P524" s="11">
        <v>1007401</v>
      </c>
      <c r="Q524" s="11">
        <v>1007101</v>
      </c>
    </row>
    <row r="525" spans="1:20">
      <c r="A525" s="11">
        <f t="shared" si="11"/>
        <v>70074201</v>
      </c>
      <c r="B525" s="14" t="s">
        <v>689</v>
      </c>
      <c r="D525" s="2" t="str">
        <f>E525&amp;(VLOOKUP(F525,编号表!$E$1:$G$8,2,0))&amp;G525&amp;"_"&amp;H525&amp;"_"&amp;I525</f>
        <v>7N4_2_1</v>
      </c>
      <c r="E525" s="2">
        <v>7</v>
      </c>
      <c r="F525" s="2" t="s">
        <v>174</v>
      </c>
      <c r="G525" s="2">
        <v>4</v>
      </c>
      <c r="H525" s="2">
        <v>2</v>
      </c>
      <c r="I525" s="2">
        <f>COUNTIFS($E$3:E525,E525,$H$3:H525,H525)</f>
        <v>1</v>
      </c>
      <c r="N525" s="11">
        <v>1007201</v>
      </c>
      <c r="O525" s="11">
        <v>1007301</v>
      </c>
      <c r="P525" s="11">
        <v>1007401</v>
      </c>
    </row>
    <row r="526" spans="1:20">
      <c r="A526" s="11">
        <f t="shared" si="11"/>
        <v>70074202</v>
      </c>
      <c r="B526" s="14" t="s">
        <v>690</v>
      </c>
      <c r="D526" s="2" t="str">
        <f>E526&amp;(VLOOKUP(F526,编号表!$E$1:$G$8,2,0))&amp;G526&amp;"_"&amp;H526&amp;"_"&amp;I526</f>
        <v>7N4_2_2</v>
      </c>
      <c r="E526" s="2">
        <v>7</v>
      </c>
      <c r="F526" s="2" t="s">
        <v>174</v>
      </c>
      <c r="G526" s="2">
        <v>4</v>
      </c>
      <c r="H526" s="2">
        <v>2</v>
      </c>
      <c r="I526" s="2">
        <f>COUNTIFS($E$3:E526,E526,$H$3:H526,H526)</f>
        <v>2</v>
      </c>
      <c r="N526" s="11">
        <v>1007201</v>
      </c>
      <c r="O526" s="11">
        <v>1007301</v>
      </c>
      <c r="P526" s="11">
        <v>1007401</v>
      </c>
    </row>
    <row r="527" spans="1:20">
      <c r="A527" s="11">
        <f t="shared" si="11"/>
        <v>70074203</v>
      </c>
      <c r="B527" s="14" t="s">
        <v>691</v>
      </c>
      <c r="D527" s="2" t="str">
        <f>E527&amp;(VLOOKUP(F527,编号表!$E$1:$G$8,2,0))&amp;G527&amp;"_"&amp;H527&amp;"_"&amp;I527</f>
        <v>7N4_2_3</v>
      </c>
      <c r="E527" s="2">
        <v>7</v>
      </c>
      <c r="F527" s="2" t="s">
        <v>174</v>
      </c>
      <c r="G527" s="2">
        <v>4</v>
      </c>
      <c r="H527" s="2">
        <v>2</v>
      </c>
      <c r="I527" s="2">
        <f>COUNTIFS($E$3:E527,E527,$H$3:H527,H527)</f>
        <v>3</v>
      </c>
      <c r="N527" s="11">
        <v>1007201</v>
      </c>
      <c r="O527" s="11">
        <v>1007301</v>
      </c>
      <c r="P527" s="11">
        <v>1007401</v>
      </c>
    </row>
    <row r="528" spans="1:20">
      <c r="A528" s="11">
        <f t="shared" si="11"/>
        <v>70073204</v>
      </c>
      <c r="B528" s="14" t="s">
        <v>692</v>
      </c>
      <c r="D528" s="2" t="str">
        <f>E528&amp;(VLOOKUP(F528,编号表!$E$1:$G$8,2,0))&amp;G528&amp;"_"&amp;H528&amp;"_"&amp;I528</f>
        <v>7N3_2_4</v>
      </c>
      <c r="E528" s="2">
        <v>7</v>
      </c>
      <c r="F528" s="2" t="s">
        <v>174</v>
      </c>
      <c r="G528" s="2">
        <v>3</v>
      </c>
      <c r="H528" s="2">
        <v>2</v>
      </c>
      <c r="I528" s="2">
        <f>COUNTIFS($E$3:E528,E528,$H$3:H528,H528)</f>
        <v>4</v>
      </c>
      <c r="N528" s="11">
        <v>1007201</v>
      </c>
      <c r="O528" s="11">
        <v>1007301</v>
      </c>
      <c r="P528" s="11">
        <v>1007401</v>
      </c>
    </row>
    <row r="529" spans="1:18">
      <c r="A529" s="11">
        <f t="shared" si="11"/>
        <v>70074301</v>
      </c>
      <c r="B529" s="14" t="s">
        <v>693</v>
      </c>
      <c r="D529" s="2" t="str">
        <f>E529&amp;(VLOOKUP(F529,编号表!$E$1:$G$8,2,0))&amp;G529&amp;"_"&amp;H529&amp;"_"&amp;I529</f>
        <v>7N4_3_1</v>
      </c>
      <c r="E529" s="2">
        <v>7</v>
      </c>
      <c r="F529" s="2" t="s">
        <v>174</v>
      </c>
      <c r="G529" s="2">
        <v>4</v>
      </c>
      <c r="H529" s="2">
        <v>3</v>
      </c>
      <c r="I529" s="2">
        <f>COUNTIFS($E$3:E529,E529,$H$3:H529,H529)</f>
        <v>1</v>
      </c>
      <c r="N529" s="11">
        <v>1007201</v>
      </c>
      <c r="O529" s="11">
        <v>1007301</v>
      </c>
      <c r="P529" s="11">
        <v>1007401</v>
      </c>
    </row>
    <row r="530" spans="1:18">
      <c r="A530" s="11">
        <f t="shared" si="11"/>
        <v>70074302</v>
      </c>
      <c r="B530" s="14" t="s">
        <v>694</v>
      </c>
      <c r="D530" s="2" t="str">
        <f>E530&amp;(VLOOKUP(F530,编号表!$E$1:$G$8,2,0))&amp;G530&amp;"_"&amp;H530&amp;"_"&amp;I530</f>
        <v>7N4_3_2</v>
      </c>
      <c r="E530" s="2">
        <v>7</v>
      </c>
      <c r="F530" s="2" t="s">
        <v>174</v>
      </c>
      <c r="G530" s="2">
        <v>4</v>
      </c>
      <c r="H530" s="2">
        <v>3</v>
      </c>
      <c r="I530" s="2">
        <f>COUNTIFS($E$3:E530,E530,$H$3:H530,H530)</f>
        <v>2</v>
      </c>
      <c r="N530" s="11">
        <v>1007201</v>
      </c>
      <c r="O530" s="11">
        <v>1007301</v>
      </c>
      <c r="P530" s="11">
        <v>1007401</v>
      </c>
    </row>
    <row r="531" spans="1:18">
      <c r="A531" s="11">
        <f t="shared" si="11"/>
        <v>70074303</v>
      </c>
      <c r="B531" s="14" t="s">
        <v>695</v>
      </c>
      <c r="D531" s="2" t="str">
        <f>E531&amp;(VLOOKUP(F531,编号表!$E$1:$G$8,2,0))&amp;G531&amp;"_"&amp;H531&amp;"_"&amp;I531</f>
        <v>7N4_3_3</v>
      </c>
      <c r="E531" s="2">
        <v>7</v>
      </c>
      <c r="F531" s="2" t="s">
        <v>174</v>
      </c>
      <c r="G531" s="2">
        <v>4</v>
      </c>
      <c r="H531" s="2">
        <v>3</v>
      </c>
      <c r="I531" s="2">
        <f>COUNTIFS($E$3:E531,E531,$H$3:H531,H531)</f>
        <v>3</v>
      </c>
      <c r="N531" s="11">
        <v>1007201</v>
      </c>
      <c r="O531" s="11">
        <v>1007301</v>
      </c>
      <c r="P531" s="11">
        <v>1007401</v>
      </c>
    </row>
    <row r="532" spans="1:18">
      <c r="A532" s="11">
        <f t="shared" si="11"/>
        <v>70073304</v>
      </c>
      <c r="B532" s="14" t="s">
        <v>696</v>
      </c>
      <c r="D532" s="2" t="str">
        <f>E532&amp;(VLOOKUP(F532,编号表!$E$1:$G$8,2,0))&amp;G532&amp;"_"&amp;H532&amp;"_"&amp;I532</f>
        <v>7N3_3_4</v>
      </c>
      <c r="E532" s="2">
        <v>7</v>
      </c>
      <c r="F532" s="2" t="s">
        <v>174</v>
      </c>
      <c r="G532" s="2">
        <v>3</v>
      </c>
      <c r="H532" s="2">
        <v>3</v>
      </c>
      <c r="I532" s="2">
        <f>COUNTIFS($E$3:E532,E532,$H$3:H532,H532)</f>
        <v>4</v>
      </c>
      <c r="N532" s="11">
        <v>1007201</v>
      </c>
      <c r="O532" s="11">
        <v>1007301</v>
      </c>
      <c r="P532" s="11">
        <v>1007401</v>
      </c>
    </row>
    <row r="533" spans="1:18">
      <c r="A533" s="11">
        <f t="shared" si="11"/>
        <v>70071401</v>
      </c>
      <c r="B533" s="15" t="s">
        <v>683</v>
      </c>
      <c r="D533" s="2" t="str">
        <f>E533&amp;(VLOOKUP(F533,编号表!$E$1:$G$8,2,0))&amp;G533&amp;"_"&amp;H533&amp;"_"&amp;I533</f>
        <v>7T1_4_1</v>
      </c>
      <c r="E533" s="2">
        <v>7</v>
      </c>
      <c r="F533" s="2" t="s">
        <v>190</v>
      </c>
      <c r="G533" s="2">
        <v>1</v>
      </c>
      <c r="H533" s="2">
        <v>4</v>
      </c>
      <c r="I533" s="2">
        <f>COUNTIFS($E$3:E533,E533,$H$3:H533,H533)</f>
        <v>1</v>
      </c>
      <c r="K533" s="2">
        <v>1</v>
      </c>
    </row>
    <row r="534" spans="1:18">
      <c r="A534" s="11">
        <f t="shared" si="11"/>
        <v>70073402</v>
      </c>
      <c r="B534" s="16" t="s">
        <v>31</v>
      </c>
      <c r="C534" s="2" t="s">
        <v>682</v>
      </c>
      <c r="D534" s="2" t="str">
        <f>E534&amp;(VLOOKUP(F534,编号表!$E$1:$G$8,2,0))&amp;G534&amp;"_"&amp;H534&amp;"_"&amp;I534</f>
        <v>7T3_4_2</v>
      </c>
      <c r="E534" s="2">
        <v>7</v>
      </c>
      <c r="F534" s="2" t="s">
        <v>190</v>
      </c>
      <c r="G534" s="2">
        <v>3</v>
      </c>
      <c r="H534" s="2">
        <v>4</v>
      </c>
      <c r="I534" s="2">
        <f>COUNTIFS($E$3:E534,E534,$H$3:H534,H534)</f>
        <v>2</v>
      </c>
      <c r="L534" s="2">
        <v>115</v>
      </c>
    </row>
    <row r="535" spans="1:18">
      <c r="A535" s="11">
        <f t="shared" si="11"/>
        <v>70073403</v>
      </c>
      <c r="B535" s="14" t="s">
        <v>697</v>
      </c>
      <c r="D535" s="2" t="str">
        <f>E535&amp;(VLOOKUP(F535,编号表!$E$1:$G$8,2,0))&amp;G535&amp;"_"&amp;H535&amp;"_"&amp;I535</f>
        <v>7N3_4_3</v>
      </c>
      <c r="E535" s="2">
        <v>7</v>
      </c>
      <c r="F535" s="2" t="s">
        <v>174</v>
      </c>
      <c r="G535" s="2">
        <v>3</v>
      </c>
      <c r="H535" s="2">
        <v>4</v>
      </c>
      <c r="I535" s="2">
        <f>COUNTIFS($E$3:E535,E535,$H$3:H535,H535)</f>
        <v>3</v>
      </c>
      <c r="N535" s="11">
        <v>1007201</v>
      </c>
      <c r="O535" s="11">
        <v>1007301</v>
      </c>
      <c r="P535" s="11">
        <v>1007401</v>
      </c>
    </row>
    <row r="536" spans="1:18">
      <c r="A536" s="11">
        <f t="shared" si="11"/>
        <v>70073404</v>
      </c>
      <c r="B536" s="14" t="s">
        <v>698</v>
      </c>
      <c r="D536" s="2" t="str">
        <f>E536&amp;(VLOOKUP(F536,编号表!$E$1:$G$8,2,0))&amp;G536&amp;"_"&amp;H536&amp;"_"&amp;I536</f>
        <v>7N3_4_4</v>
      </c>
      <c r="E536" s="2">
        <v>7</v>
      </c>
      <c r="F536" s="2" t="s">
        <v>174</v>
      </c>
      <c r="G536" s="2">
        <v>3</v>
      </c>
      <c r="H536" s="2">
        <v>4</v>
      </c>
      <c r="I536" s="2">
        <f>COUNTIFS($E$3:E536,E536,$H$3:H536,H536)</f>
        <v>4</v>
      </c>
      <c r="N536" s="11">
        <v>1007201</v>
      </c>
      <c r="O536" s="11">
        <v>1007301</v>
      </c>
      <c r="P536" s="11">
        <v>1007401</v>
      </c>
    </row>
    <row r="537" spans="1:18">
      <c r="A537" s="11">
        <f t="shared" si="11"/>
        <v>70073405</v>
      </c>
      <c r="B537" s="14" t="s">
        <v>699</v>
      </c>
      <c r="D537" s="2" t="str">
        <f>E537&amp;(VLOOKUP(F537,编号表!$E$1:$G$8,2,0))&amp;G537&amp;"_"&amp;H537&amp;"_"&amp;I537</f>
        <v>7N3_4_5</v>
      </c>
      <c r="E537" s="2">
        <v>7</v>
      </c>
      <c r="F537" s="2" t="s">
        <v>174</v>
      </c>
      <c r="G537" s="2">
        <v>3</v>
      </c>
      <c r="H537" s="2">
        <v>4</v>
      </c>
      <c r="I537" s="2">
        <f>COUNTIFS($E$3:E537,E537,$H$3:H537,H537)</f>
        <v>5</v>
      </c>
      <c r="N537" s="11">
        <v>1007201</v>
      </c>
      <c r="O537" s="11">
        <v>1007301</v>
      </c>
      <c r="P537" s="11">
        <v>1007401</v>
      </c>
    </row>
    <row r="538" spans="1:18">
      <c r="A538" s="11">
        <f t="shared" si="11"/>
        <v>70070001</v>
      </c>
      <c r="B538" s="18" t="s">
        <v>700</v>
      </c>
      <c r="D538" s="2" t="str">
        <f>E538&amp;(VLOOKUP(F538,编号表!$E$1:$G$8,2,0))&amp;G538&amp;"_"&amp;H538&amp;"_"&amp;I538</f>
        <v>7J0_0_1</v>
      </c>
      <c r="E538" s="2">
        <v>7</v>
      </c>
      <c r="F538" s="2" t="s">
        <v>222</v>
      </c>
      <c r="G538" s="2">
        <v>0</v>
      </c>
      <c r="H538" s="2">
        <v>0</v>
      </c>
      <c r="I538" s="2">
        <f>COUNTIFS($E$3:E538,E538,$H$3:H538,H538)</f>
        <v>1</v>
      </c>
      <c r="J538" s="2">
        <v>1</v>
      </c>
    </row>
    <row r="539" spans="1:18">
      <c r="A539" s="11">
        <f t="shared" si="11"/>
        <v>70083101</v>
      </c>
      <c r="B539" s="14" t="s">
        <v>701</v>
      </c>
      <c r="D539" s="2" t="str">
        <f>E539&amp;(VLOOKUP(F539,编号表!$E$1:$G$8,2,0))&amp;G539&amp;"_"&amp;H539&amp;"_"&amp;I539</f>
        <v>8N3_1_1</v>
      </c>
      <c r="E539" s="2">
        <v>8</v>
      </c>
      <c r="F539" s="2" t="s">
        <v>174</v>
      </c>
      <c r="G539" s="2">
        <v>3</v>
      </c>
      <c r="H539" s="2">
        <v>1</v>
      </c>
      <c r="I539" s="2">
        <f>COUNTIFS($E$3:E539,E539,$H$3:H539,H539)</f>
        <v>1</v>
      </c>
      <c r="N539" s="11">
        <v>1008201</v>
      </c>
      <c r="O539" s="11">
        <v>1008301</v>
      </c>
      <c r="P539" s="11">
        <v>1008401</v>
      </c>
      <c r="Q539" s="11">
        <v>1008501</v>
      </c>
      <c r="R539" s="11">
        <v>1008001</v>
      </c>
    </row>
    <row r="540" spans="1:18">
      <c r="A540" s="11">
        <f t="shared" si="11"/>
        <v>70083102</v>
      </c>
      <c r="B540" s="14" t="s">
        <v>702</v>
      </c>
      <c r="D540" s="2" t="str">
        <f>E540&amp;(VLOOKUP(F540,编号表!$E$1:$G$8,2,0))&amp;G540&amp;"_"&amp;H540&amp;"_"&amp;I540</f>
        <v>8N3_1_2</v>
      </c>
      <c r="E540" s="2">
        <v>8</v>
      </c>
      <c r="F540" s="2" t="s">
        <v>174</v>
      </c>
      <c r="G540" s="2">
        <v>3</v>
      </c>
      <c r="H540" s="2">
        <v>1</v>
      </c>
      <c r="I540" s="2">
        <f>COUNTIFS($E$3:E540,E540,$H$3:H540,H540)</f>
        <v>2</v>
      </c>
      <c r="N540" s="11">
        <v>1008201</v>
      </c>
      <c r="O540" s="11">
        <v>1008301</v>
      </c>
      <c r="P540" s="11">
        <v>1008401</v>
      </c>
      <c r="Q540" s="11">
        <v>1008501</v>
      </c>
      <c r="R540" s="11">
        <v>1008002</v>
      </c>
    </row>
    <row r="541" spans="1:18">
      <c r="A541" s="11">
        <f t="shared" si="11"/>
        <v>70083103</v>
      </c>
      <c r="B541" s="14" t="s">
        <v>703</v>
      </c>
      <c r="D541" s="2" t="str">
        <f>E541&amp;(VLOOKUP(F541,编号表!$E$1:$G$8,2,0))&amp;G541&amp;"_"&amp;H541&amp;"_"&amp;I541</f>
        <v>8N3_1_3</v>
      </c>
      <c r="E541" s="2">
        <v>8</v>
      </c>
      <c r="F541" s="2" t="s">
        <v>174</v>
      </c>
      <c r="G541" s="2">
        <v>3</v>
      </c>
      <c r="H541" s="2">
        <v>1</v>
      </c>
      <c r="I541" s="2">
        <f>COUNTIFS($E$3:E541,E541,$H$3:H541,H541)</f>
        <v>3</v>
      </c>
      <c r="N541" s="11">
        <v>1008201</v>
      </c>
      <c r="O541" s="11">
        <v>1008301</v>
      </c>
      <c r="P541" s="11">
        <v>1008401</v>
      </c>
      <c r="Q541" s="11">
        <v>1008501</v>
      </c>
      <c r="R541" s="11">
        <v>1008101</v>
      </c>
    </row>
    <row r="542" spans="1:18">
      <c r="A542" s="11">
        <f t="shared" si="11"/>
        <v>70083104</v>
      </c>
      <c r="B542" s="14" t="s">
        <v>704</v>
      </c>
      <c r="D542" s="2" t="str">
        <f>E542&amp;(VLOOKUP(F542,编号表!$E$1:$G$8,2,0))&amp;G542&amp;"_"&amp;H542&amp;"_"&amp;I542</f>
        <v>8N3_1_4</v>
      </c>
      <c r="E542" s="2">
        <v>8</v>
      </c>
      <c r="F542" s="2" t="s">
        <v>174</v>
      </c>
      <c r="G542" s="2">
        <v>3</v>
      </c>
      <c r="H542" s="2">
        <v>1</v>
      </c>
      <c r="I542" s="2">
        <f>COUNTIFS($E$3:E542,E542,$H$3:H542,H542)</f>
        <v>4</v>
      </c>
      <c r="N542" s="11">
        <v>1008201</v>
      </c>
      <c r="O542" s="11">
        <v>1008301</v>
      </c>
      <c r="P542" s="11">
        <v>1008401</v>
      </c>
      <c r="Q542" s="11">
        <v>1008501</v>
      </c>
    </row>
    <row r="543" spans="1:18">
      <c r="A543" s="11">
        <f t="shared" si="11"/>
        <v>70084105</v>
      </c>
      <c r="B543" s="14" t="s">
        <v>705</v>
      </c>
      <c r="D543" s="2" t="str">
        <f>E543&amp;(VLOOKUP(F543,编号表!$E$1:$G$8,2,0))&amp;G543&amp;"_"&amp;H543&amp;"_"&amp;I543</f>
        <v>8N4_1_5</v>
      </c>
      <c r="E543" s="2">
        <v>8</v>
      </c>
      <c r="F543" s="2" t="s">
        <v>174</v>
      </c>
      <c r="G543" s="2">
        <v>4</v>
      </c>
      <c r="H543" s="2">
        <v>1</v>
      </c>
      <c r="I543" s="2">
        <f>COUNTIFS($E$3:E543,E543,$H$3:H543,H543)</f>
        <v>5</v>
      </c>
      <c r="N543" s="11">
        <v>1008201</v>
      </c>
      <c r="O543" s="11">
        <v>1008301</v>
      </c>
      <c r="P543" s="11">
        <v>1008401</v>
      </c>
      <c r="Q543" s="11">
        <v>1008501</v>
      </c>
    </row>
    <row r="544" spans="1:18">
      <c r="A544" s="11">
        <f t="shared" si="11"/>
        <v>70081106</v>
      </c>
      <c r="B544" s="14" t="s">
        <v>706</v>
      </c>
      <c r="D544" s="2" t="str">
        <f>E544&amp;(VLOOKUP(F544,编号表!$E$1:$G$8,2,0))&amp;G544&amp;"_"&amp;H544&amp;"_"&amp;I544</f>
        <v>8N1_1_6</v>
      </c>
      <c r="E544" s="2">
        <v>8</v>
      </c>
      <c r="F544" s="2" t="s">
        <v>174</v>
      </c>
      <c r="G544" s="2">
        <v>1</v>
      </c>
      <c r="H544" s="2">
        <v>1</v>
      </c>
      <c r="I544" s="2">
        <f>COUNTIFS($E$3:E544,E544,$H$3:H544,H544)</f>
        <v>6</v>
      </c>
      <c r="N544" s="11">
        <v>1008201</v>
      </c>
      <c r="O544" s="11">
        <v>1008301</v>
      </c>
      <c r="P544" s="11">
        <v>1008401</v>
      </c>
      <c r="Q544" s="11">
        <v>1008501</v>
      </c>
    </row>
    <row r="545" spans="1:17">
      <c r="A545" s="11">
        <f t="shared" si="11"/>
        <v>70082107</v>
      </c>
      <c r="B545" s="14" t="s">
        <v>707</v>
      </c>
      <c r="D545" s="2" t="str">
        <f>E545&amp;(VLOOKUP(F545,编号表!$E$1:$G$8,2,0))&amp;G545&amp;"_"&amp;H545&amp;"_"&amp;I545</f>
        <v>8N2_1_7</v>
      </c>
      <c r="E545" s="2">
        <v>8</v>
      </c>
      <c r="F545" s="2" t="s">
        <v>174</v>
      </c>
      <c r="G545" s="2">
        <v>2</v>
      </c>
      <c r="H545" s="2">
        <v>1</v>
      </c>
      <c r="I545" s="2">
        <f>COUNTIFS($E$3:E545,E545,$H$3:H545,H545)</f>
        <v>7</v>
      </c>
      <c r="N545" s="11">
        <v>1008201</v>
      </c>
      <c r="O545" s="11">
        <v>1008301</v>
      </c>
      <c r="P545" s="11">
        <v>1008401</v>
      </c>
      <c r="Q545" s="11">
        <v>1008501</v>
      </c>
    </row>
    <row r="546" spans="1:17">
      <c r="A546" s="11">
        <f t="shared" si="11"/>
        <v>70082108</v>
      </c>
      <c r="B546" s="14" t="s">
        <v>708</v>
      </c>
      <c r="D546" s="2" t="str">
        <f>E546&amp;(VLOOKUP(F546,编号表!$E$1:$G$8,2,0))&amp;G546&amp;"_"&amp;H546&amp;"_"&amp;I546</f>
        <v>8N2_1_8</v>
      </c>
      <c r="E546" s="2">
        <v>8</v>
      </c>
      <c r="F546" s="2" t="s">
        <v>174</v>
      </c>
      <c r="G546" s="2">
        <v>2</v>
      </c>
      <c r="H546" s="2">
        <v>1</v>
      </c>
      <c r="I546" s="2">
        <f>COUNTIFS($E$3:E546,E546,$H$3:H546,H546)</f>
        <v>8</v>
      </c>
      <c r="N546" s="11">
        <v>1008201</v>
      </c>
      <c r="O546" s="11">
        <v>1008301</v>
      </c>
      <c r="P546" s="11">
        <v>1008401</v>
      </c>
      <c r="Q546" s="11">
        <v>1008501</v>
      </c>
    </row>
    <row r="547" spans="1:17">
      <c r="A547" s="11">
        <f t="shared" si="11"/>
        <v>70082109</v>
      </c>
      <c r="B547" s="14" t="s">
        <v>709</v>
      </c>
      <c r="D547" s="2" t="str">
        <f>E547&amp;(VLOOKUP(F547,编号表!$E$1:$G$8,2,0))&amp;G547&amp;"_"&amp;H547&amp;"_"&amp;I547</f>
        <v>8N2_1_9</v>
      </c>
      <c r="E547" s="2">
        <v>8</v>
      </c>
      <c r="F547" s="2" t="s">
        <v>174</v>
      </c>
      <c r="G547" s="2">
        <v>2</v>
      </c>
      <c r="H547" s="2">
        <v>1</v>
      </c>
      <c r="I547" s="2">
        <f>COUNTIFS($E$3:E547,E547,$H$3:H547,H547)</f>
        <v>9</v>
      </c>
      <c r="N547" s="11">
        <v>1008201</v>
      </c>
      <c r="O547" s="11">
        <v>1008301</v>
      </c>
      <c r="P547" s="11">
        <v>1008401</v>
      </c>
      <c r="Q547" s="11">
        <v>1008501</v>
      </c>
    </row>
    <row r="548" spans="1:17">
      <c r="A548" s="11">
        <f t="shared" si="11"/>
        <v>70082110</v>
      </c>
      <c r="B548" s="14" t="s">
        <v>710</v>
      </c>
      <c r="D548" s="2" t="str">
        <f>E548&amp;(VLOOKUP(F548,编号表!$E$1:$G$8,2,0))&amp;G548&amp;"_"&amp;H548&amp;"_"&amp;I548</f>
        <v>8N2_1_10</v>
      </c>
      <c r="E548" s="2">
        <v>8</v>
      </c>
      <c r="F548" s="2" t="s">
        <v>174</v>
      </c>
      <c r="G548" s="2">
        <v>2</v>
      </c>
      <c r="H548" s="2">
        <v>1</v>
      </c>
      <c r="I548" s="2">
        <f>COUNTIFS($E$3:E548,E548,$H$3:H548,H548)</f>
        <v>10</v>
      </c>
      <c r="N548" s="11">
        <v>1008201</v>
      </c>
      <c r="O548" s="11">
        <v>1008301</v>
      </c>
      <c r="P548" s="11">
        <v>1008401</v>
      </c>
      <c r="Q548" s="11">
        <v>1008501</v>
      </c>
    </row>
    <row r="549" spans="1:17">
      <c r="A549" s="11">
        <f t="shared" si="11"/>
        <v>70083201</v>
      </c>
      <c r="B549" s="14" t="s">
        <v>711</v>
      </c>
      <c r="D549" s="2" t="str">
        <f>E549&amp;(VLOOKUP(F549,编号表!$E$1:$G$8,2,0))&amp;G549&amp;"_"&amp;H549&amp;"_"&amp;I549</f>
        <v>8N3_2_1</v>
      </c>
      <c r="E549" s="2">
        <v>8</v>
      </c>
      <c r="F549" s="2" t="s">
        <v>174</v>
      </c>
      <c r="G549" s="2">
        <v>3</v>
      </c>
      <c r="H549" s="2">
        <v>2</v>
      </c>
      <c r="I549" s="2">
        <f>COUNTIFS($E$3:E549,E549,$H$3:H549,H549)</f>
        <v>1</v>
      </c>
      <c r="N549" s="11">
        <v>1008201</v>
      </c>
      <c r="O549" s="11">
        <v>1008301</v>
      </c>
      <c r="P549" s="11">
        <v>1008401</v>
      </c>
      <c r="Q549" s="11">
        <v>1008501</v>
      </c>
    </row>
    <row r="550" spans="1:17">
      <c r="A550" s="11">
        <f t="shared" si="11"/>
        <v>70082202</v>
      </c>
      <c r="B550" s="14" t="s">
        <v>712</v>
      </c>
      <c r="D550" s="2" t="str">
        <f>E550&amp;(VLOOKUP(F550,编号表!$E$1:$G$8,2,0))&amp;G550&amp;"_"&amp;H550&amp;"_"&amp;I550</f>
        <v>8N2_2_2</v>
      </c>
      <c r="E550" s="2">
        <v>8</v>
      </c>
      <c r="F550" s="2" t="s">
        <v>174</v>
      </c>
      <c r="G550" s="2">
        <v>2</v>
      </c>
      <c r="H550" s="2">
        <v>2</v>
      </c>
      <c r="I550" s="2">
        <f>COUNTIFS($E$3:E550,E550,$H$3:H550,H550)</f>
        <v>2</v>
      </c>
      <c r="N550" s="11">
        <v>1008201</v>
      </c>
      <c r="O550" s="11">
        <v>1008301</v>
      </c>
      <c r="P550" s="11">
        <v>1008401</v>
      </c>
      <c r="Q550" s="11">
        <v>1008501</v>
      </c>
    </row>
    <row r="551" spans="1:17">
      <c r="A551" s="11">
        <f t="shared" si="11"/>
        <v>70082203</v>
      </c>
      <c r="B551" s="14" t="s">
        <v>713</v>
      </c>
      <c r="D551" s="2" t="str">
        <f>E551&amp;(VLOOKUP(F551,编号表!$E$1:$G$8,2,0))&amp;G551&amp;"_"&amp;H551&amp;"_"&amp;I551</f>
        <v>8N2_2_3</v>
      </c>
      <c r="E551" s="2">
        <v>8</v>
      </c>
      <c r="F551" s="2" t="s">
        <v>174</v>
      </c>
      <c r="G551" s="2">
        <v>2</v>
      </c>
      <c r="H551" s="2">
        <v>2</v>
      </c>
      <c r="I551" s="2">
        <f>COUNTIFS($E$3:E551,E551,$H$3:H551,H551)</f>
        <v>3</v>
      </c>
      <c r="N551" s="11">
        <v>1008201</v>
      </c>
      <c r="O551" s="11">
        <v>1008301</v>
      </c>
      <c r="P551" s="11">
        <v>1008401</v>
      </c>
      <c r="Q551" s="11">
        <v>1008501</v>
      </c>
    </row>
    <row r="552" spans="1:17">
      <c r="A552" s="11">
        <f t="shared" si="11"/>
        <v>70082204</v>
      </c>
      <c r="B552" s="14" t="s">
        <v>714</v>
      </c>
      <c r="D552" s="2" t="str">
        <f>E552&amp;(VLOOKUP(F552,编号表!$E$1:$G$8,2,0))&amp;G552&amp;"_"&amp;H552&amp;"_"&amp;I552</f>
        <v>8N2_2_4</v>
      </c>
      <c r="E552" s="2">
        <v>8</v>
      </c>
      <c r="F552" s="2" t="s">
        <v>174</v>
      </c>
      <c r="G552" s="2">
        <v>2</v>
      </c>
      <c r="H552" s="2">
        <v>2</v>
      </c>
      <c r="I552" s="2">
        <f>COUNTIFS($E$3:E552,E552,$H$3:H552,H552)</f>
        <v>4</v>
      </c>
      <c r="N552" s="11">
        <v>1008201</v>
      </c>
      <c r="O552" s="11">
        <v>1008301</v>
      </c>
      <c r="P552" s="11">
        <v>1008401</v>
      </c>
      <c r="Q552" s="11">
        <v>1008501</v>
      </c>
    </row>
    <row r="553" spans="1:17">
      <c r="A553" s="11">
        <f t="shared" si="11"/>
        <v>70083205</v>
      </c>
      <c r="B553" s="14" t="s">
        <v>715</v>
      </c>
      <c r="D553" s="2" t="str">
        <f>E553&amp;(VLOOKUP(F553,编号表!$E$1:$G$8,2,0))&amp;G553&amp;"_"&amp;H553&amp;"_"&amp;I553</f>
        <v>8N3_2_5</v>
      </c>
      <c r="E553" s="2">
        <v>8</v>
      </c>
      <c r="F553" s="2" t="s">
        <v>174</v>
      </c>
      <c r="G553" s="2">
        <v>3</v>
      </c>
      <c r="H553" s="2">
        <v>2</v>
      </c>
      <c r="I553" s="2">
        <f>COUNTIFS($E$3:E553,E553,$H$3:H553,H553)</f>
        <v>5</v>
      </c>
      <c r="N553" s="11">
        <v>1008201</v>
      </c>
      <c r="O553" s="11">
        <v>1008301</v>
      </c>
      <c r="P553" s="11">
        <v>1008401</v>
      </c>
      <c r="Q553" s="11">
        <v>1008501</v>
      </c>
    </row>
    <row r="554" spans="1:17">
      <c r="A554" s="11">
        <f t="shared" si="11"/>
        <v>70083206</v>
      </c>
      <c r="B554" s="14" t="s">
        <v>716</v>
      </c>
      <c r="D554" s="2" t="str">
        <f>E554&amp;(VLOOKUP(F554,编号表!$E$1:$G$8,2,0))&amp;G554&amp;"_"&amp;H554&amp;"_"&amp;I554</f>
        <v>8N3_2_6</v>
      </c>
      <c r="E554" s="2">
        <v>8</v>
      </c>
      <c r="F554" s="2" t="s">
        <v>174</v>
      </c>
      <c r="G554" s="2">
        <v>3</v>
      </c>
      <c r="H554" s="2">
        <v>2</v>
      </c>
      <c r="I554" s="2">
        <f>COUNTIFS($E$3:E554,E554,$H$3:H554,H554)</f>
        <v>6</v>
      </c>
      <c r="N554" s="11">
        <v>1008201</v>
      </c>
      <c r="O554" s="11">
        <v>1008301</v>
      </c>
      <c r="P554" s="11">
        <v>1008401</v>
      </c>
      <c r="Q554" s="11">
        <v>1008501</v>
      </c>
    </row>
    <row r="555" spans="1:17">
      <c r="A555" s="11">
        <f t="shared" si="11"/>
        <v>70083207</v>
      </c>
      <c r="B555" s="14" t="s">
        <v>717</v>
      </c>
      <c r="D555" s="2" t="str">
        <f>E555&amp;(VLOOKUP(F555,编号表!$E$1:$G$8,2,0))&amp;G555&amp;"_"&amp;H555&amp;"_"&amp;I555</f>
        <v>8N3_2_7</v>
      </c>
      <c r="E555" s="2">
        <v>8</v>
      </c>
      <c r="F555" s="2" t="s">
        <v>174</v>
      </c>
      <c r="G555" s="2">
        <v>3</v>
      </c>
      <c r="H555" s="2">
        <v>2</v>
      </c>
      <c r="I555" s="2">
        <f>COUNTIFS($E$3:E555,E555,$H$3:H555,H555)</f>
        <v>7</v>
      </c>
      <c r="N555" s="11">
        <v>1008201</v>
      </c>
      <c r="O555" s="11">
        <v>1008301</v>
      </c>
      <c r="P555" s="11">
        <v>1008401</v>
      </c>
      <c r="Q555" s="11">
        <v>1008501</v>
      </c>
    </row>
    <row r="556" spans="1:17">
      <c r="A556" s="11">
        <f t="shared" si="11"/>
        <v>70083208</v>
      </c>
      <c r="B556" s="14" t="s">
        <v>718</v>
      </c>
      <c r="D556" s="2" t="str">
        <f>E556&amp;(VLOOKUP(F556,编号表!$E$1:$G$8,2,0))&amp;G556&amp;"_"&amp;H556&amp;"_"&amp;I556</f>
        <v>8N3_2_8</v>
      </c>
      <c r="E556" s="2">
        <v>8</v>
      </c>
      <c r="F556" s="2" t="s">
        <v>174</v>
      </c>
      <c r="G556" s="2">
        <v>3</v>
      </c>
      <c r="H556" s="2">
        <v>2</v>
      </c>
      <c r="I556" s="2">
        <f>COUNTIFS($E$3:E556,E556,$H$3:H556,H556)</f>
        <v>8</v>
      </c>
      <c r="N556" s="11">
        <v>1008201</v>
      </c>
      <c r="O556" s="11">
        <v>1008301</v>
      </c>
      <c r="P556" s="11">
        <v>1008401</v>
      </c>
      <c r="Q556" s="11">
        <v>1008501</v>
      </c>
    </row>
    <row r="557" spans="1:17">
      <c r="A557" s="11">
        <f t="shared" si="11"/>
        <v>70083209</v>
      </c>
      <c r="B557" s="14" t="s">
        <v>719</v>
      </c>
      <c r="D557" s="2" t="str">
        <f>E557&amp;(VLOOKUP(F557,编号表!$E$1:$G$8,2,0))&amp;G557&amp;"_"&amp;H557&amp;"_"&amp;I557</f>
        <v>8N3_2_9</v>
      </c>
      <c r="E557" s="2">
        <v>8</v>
      </c>
      <c r="F557" s="2" t="s">
        <v>174</v>
      </c>
      <c r="G557" s="2">
        <v>3</v>
      </c>
      <c r="H557" s="2">
        <v>2</v>
      </c>
      <c r="I557" s="2">
        <f>COUNTIFS($E$3:E557,E557,$H$3:H557,H557)</f>
        <v>9</v>
      </c>
      <c r="N557" s="11">
        <v>1008201</v>
      </c>
      <c r="O557" s="11">
        <v>1008301</v>
      </c>
      <c r="P557" s="11">
        <v>1008401</v>
      </c>
      <c r="Q557" s="11">
        <v>1008501</v>
      </c>
    </row>
    <row r="558" spans="1:17">
      <c r="A558" s="11">
        <f t="shared" si="11"/>
        <v>70083210</v>
      </c>
      <c r="B558" s="14" t="s">
        <v>720</v>
      </c>
      <c r="D558" s="2" t="str">
        <f>E558&amp;(VLOOKUP(F558,编号表!$E$1:$G$8,2,0))&amp;G558&amp;"_"&amp;H558&amp;"_"&amp;I558</f>
        <v>8N3_2_10</v>
      </c>
      <c r="E558" s="2">
        <v>8</v>
      </c>
      <c r="F558" s="2" t="s">
        <v>174</v>
      </c>
      <c r="G558" s="2">
        <v>3</v>
      </c>
      <c r="H558" s="2">
        <v>2</v>
      </c>
      <c r="I558" s="2">
        <f>COUNTIFS($E$3:E558,E558,$H$3:H558,H558)</f>
        <v>10</v>
      </c>
      <c r="N558" s="11">
        <v>1008201</v>
      </c>
      <c r="O558" s="11">
        <v>1008301</v>
      </c>
      <c r="P558" s="11">
        <v>1008401</v>
      </c>
      <c r="Q558" s="11">
        <v>1008501</v>
      </c>
    </row>
    <row r="559" spans="1:17">
      <c r="A559" s="11">
        <f t="shared" si="11"/>
        <v>70084211</v>
      </c>
      <c r="B559" s="14" t="s">
        <v>721</v>
      </c>
      <c r="D559" s="2" t="str">
        <f>E559&amp;(VLOOKUP(F559,编号表!$E$1:$G$8,2,0))&amp;G559&amp;"_"&amp;H559&amp;"_"&amp;I559</f>
        <v>8N4_2_11</v>
      </c>
      <c r="E559" s="2">
        <v>8</v>
      </c>
      <c r="F559" s="2" t="s">
        <v>174</v>
      </c>
      <c r="G559" s="2">
        <v>4</v>
      </c>
      <c r="H559" s="2">
        <v>2</v>
      </c>
      <c r="I559" s="2">
        <f>COUNTIFS($E$3:E559,E559,$H$3:H559,H559)</f>
        <v>11</v>
      </c>
      <c r="N559" s="11">
        <v>1008201</v>
      </c>
      <c r="O559" s="11">
        <v>1008301</v>
      </c>
      <c r="P559" s="11">
        <v>1008401</v>
      </c>
      <c r="Q559" s="11">
        <v>1008501</v>
      </c>
    </row>
    <row r="560" spans="1:17">
      <c r="A560" s="11">
        <f t="shared" si="11"/>
        <v>70082212</v>
      </c>
      <c r="B560" s="14" t="s">
        <v>722</v>
      </c>
      <c r="D560" s="2" t="str">
        <f>E560&amp;(VLOOKUP(F560,编号表!$E$1:$G$8,2,0))&amp;G560&amp;"_"&amp;H560&amp;"_"&amp;I560</f>
        <v>8N2_2_12</v>
      </c>
      <c r="E560" s="2">
        <v>8</v>
      </c>
      <c r="F560" s="2" t="s">
        <v>174</v>
      </c>
      <c r="G560" s="2">
        <v>2</v>
      </c>
      <c r="H560" s="2">
        <v>2</v>
      </c>
      <c r="I560" s="2">
        <f>COUNTIFS($E$3:E560,E560,$H$3:H560,H560)</f>
        <v>12</v>
      </c>
      <c r="N560" s="11">
        <v>1008201</v>
      </c>
      <c r="O560" s="11">
        <v>1008301</v>
      </c>
      <c r="P560" s="11">
        <v>1008401</v>
      </c>
      <c r="Q560" s="11">
        <v>1008501</v>
      </c>
    </row>
    <row r="561" spans="1:17">
      <c r="A561" s="11">
        <f t="shared" si="11"/>
        <v>70084213</v>
      </c>
      <c r="B561" s="14" t="s">
        <v>723</v>
      </c>
      <c r="D561" s="2" t="str">
        <f>E561&amp;(VLOOKUP(F561,编号表!$E$1:$G$8,2,0))&amp;G561&amp;"_"&amp;H561&amp;"_"&amp;I561</f>
        <v>8N4_2_13</v>
      </c>
      <c r="E561" s="2">
        <v>8</v>
      </c>
      <c r="F561" s="2" t="s">
        <v>174</v>
      </c>
      <c r="G561" s="2">
        <v>4</v>
      </c>
      <c r="H561" s="2">
        <v>2</v>
      </c>
      <c r="I561" s="2">
        <f>COUNTIFS($E$3:E561,E561,$H$3:H561,H561)</f>
        <v>13</v>
      </c>
      <c r="N561" s="11">
        <v>1008201</v>
      </c>
      <c r="O561" s="11">
        <v>1008301</v>
      </c>
      <c r="P561" s="11">
        <v>1008401</v>
      </c>
      <c r="Q561" s="11">
        <v>1008501</v>
      </c>
    </row>
    <row r="562" spans="1:17">
      <c r="A562" s="11">
        <f t="shared" si="11"/>
        <v>70083301</v>
      </c>
      <c r="B562" s="16" t="s">
        <v>19</v>
      </c>
      <c r="C562" s="2" t="s">
        <v>226</v>
      </c>
      <c r="D562" s="2" t="str">
        <f>E562&amp;(VLOOKUP(F562,编号表!$E$1:$G$8,2,0))&amp;G562&amp;"_"&amp;H562&amp;"_"&amp;I562</f>
        <v>8T3_3_1</v>
      </c>
      <c r="E562" s="2">
        <v>8</v>
      </c>
      <c r="F562" s="2" t="s">
        <v>190</v>
      </c>
      <c r="G562" s="2">
        <v>3</v>
      </c>
      <c r="H562" s="2">
        <v>3</v>
      </c>
      <c r="I562" s="2">
        <f>COUNTIFS($E$3:E562,E562,$H$3:H562,H562)</f>
        <v>1</v>
      </c>
      <c r="L562" s="2">
        <v>117</v>
      </c>
    </row>
    <row r="563" spans="1:17">
      <c r="A563" s="11">
        <f t="shared" si="11"/>
        <v>70081302</v>
      </c>
      <c r="B563" s="15" t="s">
        <v>225</v>
      </c>
      <c r="D563" s="2" t="str">
        <f>E563&amp;(VLOOKUP(F563,编号表!$E$1:$G$8,2,0))&amp;G563&amp;"_"&amp;H563&amp;"_"&amp;I563</f>
        <v>8T1_3_2</v>
      </c>
      <c r="E563" s="2">
        <v>8</v>
      </c>
      <c r="F563" s="2" t="s">
        <v>190</v>
      </c>
      <c r="G563" s="2">
        <v>1</v>
      </c>
      <c r="H563" s="2">
        <v>3</v>
      </c>
      <c r="I563" s="2">
        <f>COUNTIFS($E$3:E563,E563,$H$3:H563,H563)</f>
        <v>2</v>
      </c>
      <c r="K563" s="2">
        <v>1</v>
      </c>
    </row>
    <row r="564" spans="1:17">
      <c r="A564" s="11">
        <f t="shared" si="11"/>
        <v>70083303</v>
      </c>
      <c r="B564" s="14" t="s">
        <v>724</v>
      </c>
      <c r="D564" s="2" t="str">
        <f>E564&amp;(VLOOKUP(F564,编号表!$E$1:$G$8,2,0))&amp;G564&amp;"_"&amp;H564&amp;"_"&amp;I564</f>
        <v>8N3_3_3</v>
      </c>
      <c r="E564" s="2">
        <v>8</v>
      </c>
      <c r="F564" s="2" t="s">
        <v>174</v>
      </c>
      <c r="G564" s="2">
        <v>3</v>
      </c>
      <c r="H564" s="2">
        <v>3</v>
      </c>
      <c r="I564" s="2">
        <f>COUNTIFS($E$3:E564,E564,$H$3:H564,H564)</f>
        <v>3</v>
      </c>
      <c r="N564" s="11">
        <v>1008201</v>
      </c>
      <c r="O564" s="11">
        <v>1008301</v>
      </c>
      <c r="P564" s="11">
        <v>1008401</v>
      </c>
      <c r="Q564" s="11">
        <v>1008501</v>
      </c>
    </row>
    <row r="565" spans="1:17">
      <c r="A565" s="11">
        <f t="shared" si="11"/>
        <v>70083304</v>
      </c>
      <c r="B565" s="14" t="s">
        <v>725</v>
      </c>
      <c r="D565" s="2" t="str">
        <f>E565&amp;(VLOOKUP(F565,编号表!$E$1:$G$8,2,0))&amp;G565&amp;"_"&amp;H565&amp;"_"&amp;I565</f>
        <v>8N3_3_4</v>
      </c>
      <c r="E565" s="2">
        <v>8</v>
      </c>
      <c r="F565" s="2" t="s">
        <v>174</v>
      </c>
      <c r="G565" s="2">
        <v>3</v>
      </c>
      <c r="H565" s="2">
        <v>3</v>
      </c>
      <c r="I565" s="2">
        <f>COUNTIFS($E$3:E565,E565,$H$3:H565,H565)</f>
        <v>4</v>
      </c>
      <c r="N565" s="11">
        <v>1008201</v>
      </c>
      <c r="O565" s="11">
        <v>1008301</v>
      </c>
      <c r="P565" s="11">
        <v>1008401</v>
      </c>
      <c r="Q565" s="11">
        <v>1008501</v>
      </c>
    </row>
    <row r="566" spans="1:17">
      <c r="A566" s="11">
        <f t="shared" si="11"/>
        <v>70084305</v>
      </c>
      <c r="B566" s="14" t="s">
        <v>726</v>
      </c>
      <c r="D566" s="2" t="str">
        <f>E566&amp;(VLOOKUP(F566,编号表!$E$1:$G$8,2,0))&amp;G566&amp;"_"&amp;H566&amp;"_"&amp;I566</f>
        <v>8N4_3_5</v>
      </c>
      <c r="E566" s="2">
        <v>8</v>
      </c>
      <c r="F566" s="2" t="s">
        <v>174</v>
      </c>
      <c r="G566" s="2">
        <v>4</v>
      </c>
      <c r="H566" s="2">
        <v>3</v>
      </c>
      <c r="I566" s="2">
        <f>COUNTIFS($E$3:E566,E566,$H$3:H566,H566)</f>
        <v>5</v>
      </c>
      <c r="N566" s="11">
        <v>1008201</v>
      </c>
      <c r="O566" s="11">
        <v>1008301</v>
      </c>
      <c r="P566" s="11">
        <v>1008401</v>
      </c>
      <c r="Q566" s="11">
        <v>1008501</v>
      </c>
    </row>
    <row r="567" spans="1:17">
      <c r="A567" s="11">
        <f t="shared" si="11"/>
        <v>70083306</v>
      </c>
      <c r="B567" s="14" t="s">
        <v>727</v>
      </c>
      <c r="D567" s="2" t="str">
        <f>E567&amp;(VLOOKUP(F567,编号表!$E$1:$G$8,2,0))&amp;G567&amp;"_"&amp;H567&amp;"_"&amp;I567</f>
        <v>8N3_3_6</v>
      </c>
      <c r="E567" s="2">
        <v>8</v>
      </c>
      <c r="F567" s="2" t="s">
        <v>174</v>
      </c>
      <c r="G567" s="2">
        <v>3</v>
      </c>
      <c r="H567" s="2">
        <v>3</v>
      </c>
      <c r="I567" s="2">
        <f>COUNTIFS($E$3:E567,E567,$H$3:H567,H567)</f>
        <v>6</v>
      </c>
      <c r="N567" s="11">
        <v>1008201</v>
      </c>
      <c r="O567" s="11">
        <v>1008301</v>
      </c>
      <c r="P567" s="11">
        <v>1008401</v>
      </c>
      <c r="Q567" s="11">
        <v>1008501</v>
      </c>
    </row>
    <row r="568" spans="1:17">
      <c r="A568" s="11">
        <f t="shared" si="11"/>
        <v>70083307</v>
      </c>
      <c r="B568" s="14" t="s">
        <v>728</v>
      </c>
      <c r="D568" s="2" t="str">
        <f>E568&amp;(VLOOKUP(F568,编号表!$E$1:$G$8,2,0))&amp;G568&amp;"_"&amp;H568&amp;"_"&amp;I568</f>
        <v>8N3_3_7</v>
      </c>
      <c r="E568" s="2">
        <v>8</v>
      </c>
      <c r="F568" s="2" t="s">
        <v>174</v>
      </c>
      <c r="G568" s="2">
        <v>3</v>
      </c>
      <c r="H568" s="2">
        <v>3</v>
      </c>
      <c r="I568" s="2">
        <f>COUNTIFS($E$3:E568,E568,$H$3:H568,H568)</f>
        <v>7</v>
      </c>
      <c r="N568" s="11">
        <v>1008201</v>
      </c>
      <c r="O568" s="11">
        <v>1008301</v>
      </c>
      <c r="P568" s="11">
        <v>1008401</v>
      </c>
      <c r="Q568" s="11">
        <v>1008501</v>
      </c>
    </row>
    <row r="569" spans="1:17">
      <c r="A569" s="11">
        <f t="shared" si="11"/>
        <v>70083308</v>
      </c>
      <c r="B569" s="14" t="s">
        <v>729</v>
      </c>
      <c r="D569" s="2" t="str">
        <f>E569&amp;(VLOOKUP(F569,编号表!$E$1:$G$8,2,0))&amp;G569&amp;"_"&amp;H569&amp;"_"&amp;I569</f>
        <v>8N3_3_8</v>
      </c>
      <c r="E569" s="2">
        <v>8</v>
      </c>
      <c r="F569" s="2" t="s">
        <v>174</v>
      </c>
      <c r="G569" s="2">
        <v>3</v>
      </c>
      <c r="H569" s="2">
        <v>3</v>
      </c>
      <c r="I569" s="2">
        <f>COUNTIFS($E$3:E569,E569,$H$3:H569,H569)</f>
        <v>8</v>
      </c>
      <c r="N569" s="11">
        <v>1008201</v>
      </c>
      <c r="O569" s="11">
        <v>1008301</v>
      </c>
      <c r="P569" s="11">
        <v>1008401</v>
      </c>
      <c r="Q569" s="11">
        <v>1008501</v>
      </c>
    </row>
    <row r="570" spans="1:17">
      <c r="A570" s="11">
        <f t="shared" si="11"/>
        <v>70083309</v>
      </c>
      <c r="B570" s="14" t="s">
        <v>730</v>
      </c>
      <c r="D570" s="2" t="str">
        <f>E570&amp;(VLOOKUP(F570,编号表!$E$1:$G$8,2,0))&amp;G570&amp;"_"&amp;H570&amp;"_"&amp;I570</f>
        <v>8N3_3_9</v>
      </c>
      <c r="E570" s="2">
        <v>8</v>
      </c>
      <c r="F570" s="2" t="s">
        <v>174</v>
      </c>
      <c r="G570" s="2">
        <v>3</v>
      </c>
      <c r="H570" s="2">
        <v>3</v>
      </c>
      <c r="I570" s="2">
        <f>COUNTIFS($E$3:E570,E570,$H$3:H570,H570)</f>
        <v>9</v>
      </c>
      <c r="N570" s="11">
        <v>1008201</v>
      </c>
      <c r="O570" s="11">
        <v>1008301</v>
      </c>
      <c r="P570" s="11">
        <v>1008401</v>
      </c>
      <c r="Q570" s="11">
        <v>1008501</v>
      </c>
    </row>
    <row r="571" spans="1:17">
      <c r="A571" s="11">
        <f t="shared" si="11"/>
        <v>70083310</v>
      </c>
      <c r="B571" s="14" t="s">
        <v>731</v>
      </c>
      <c r="D571" s="2" t="str">
        <f>E571&amp;(VLOOKUP(F571,编号表!$E$1:$G$8,2,0))&amp;G571&amp;"_"&amp;H571&amp;"_"&amp;I571</f>
        <v>8N3_3_10</v>
      </c>
      <c r="E571" s="2">
        <v>8</v>
      </c>
      <c r="F571" s="2" t="s">
        <v>174</v>
      </c>
      <c r="G571" s="2">
        <v>3</v>
      </c>
      <c r="H571" s="2">
        <v>3</v>
      </c>
      <c r="I571" s="2">
        <f>COUNTIFS($E$3:E571,E571,$H$3:H571,H571)</f>
        <v>10</v>
      </c>
      <c r="N571" s="11">
        <v>1008201</v>
      </c>
      <c r="O571" s="11">
        <v>1008301</v>
      </c>
      <c r="P571" s="11">
        <v>1008401</v>
      </c>
      <c r="Q571" s="11">
        <v>1008501</v>
      </c>
    </row>
    <row r="572" spans="1:17">
      <c r="A572" s="11">
        <f t="shared" si="11"/>
        <v>70084401</v>
      </c>
      <c r="B572" s="14" t="s">
        <v>732</v>
      </c>
      <c r="D572" s="2" t="str">
        <f>E572&amp;(VLOOKUP(F572,编号表!$E$1:$G$8,2,0))&amp;G572&amp;"_"&amp;H572&amp;"_"&amp;I572</f>
        <v>8N4_4_1</v>
      </c>
      <c r="E572" s="2">
        <v>8</v>
      </c>
      <c r="F572" s="2" t="s">
        <v>174</v>
      </c>
      <c r="G572" s="2">
        <v>4</v>
      </c>
      <c r="H572" s="2">
        <v>4</v>
      </c>
      <c r="I572" s="2">
        <f>COUNTIFS($E$3:E572,E572,$H$3:H572,H572)</f>
        <v>1</v>
      </c>
      <c r="N572" s="11">
        <v>1008201</v>
      </c>
      <c r="O572" s="11">
        <v>1008301</v>
      </c>
      <c r="P572" s="11">
        <v>1008401</v>
      </c>
      <c r="Q572" s="11">
        <v>1008501</v>
      </c>
    </row>
    <row r="573" spans="1:17">
      <c r="A573" s="11">
        <f t="shared" ref="A573:A636" si="12">70000000+E573*10000+G573*1000+H573*100+I573</f>
        <v>70084402</v>
      </c>
      <c r="B573" s="14" t="s">
        <v>733</v>
      </c>
      <c r="D573" s="2" t="str">
        <f>E573&amp;(VLOOKUP(F573,编号表!$E$1:$G$8,2,0))&amp;G573&amp;"_"&amp;H573&amp;"_"&amp;I573</f>
        <v>8N4_4_2</v>
      </c>
      <c r="E573" s="2">
        <v>8</v>
      </c>
      <c r="F573" s="2" t="s">
        <v>174</v>
      </c>
      <c r="G573" s="2">
        <v>4</v>
      </c>
      <c r="H573" s="2">
        <v>4</v>
      </c>
      <c r="I573" s="2">
        <f>COUNTIFS($E$3:E573,E573,$H$3:H573,H573)</f>
        <v>2</v>
      </c>
      <c r="N573" s="11">
        <v>1008201</v>
      </c>
      <c r="O573" s="11">
        <v>1008301</v>
      </c>
      <c r="P573" s="11">
        <v>1008401</v>
      </c>
      <c r="Q573" s="11">
        <v>1008501</v>
      </c>
    </row>
    <row r="574" spans="1:17">
      <c r="A574" s="11">
        <f t="shared" si="12"/>
        <v>70084403</v>
      </c>
      <c r="B574" s="14" t="s">
        <v>734</v>
      </c>
      <c r="D574" s="2" t="str">
        <f>E574&amp;(VLOOKUP(F574,编号表!$E$1:$G$8,2,0))&amp;G574&amp;"_"&amp;H574&amp;"_"&amp;I574</f>
        <v>8N4_4_3</v>
      </c>
      <c r="E574" s="2">
        <v>8</v>
      </c>
      <c r="F574" s="2" t="s">
        <v>174</v>
      </c>
      <c r="G574" s="2">
        <v>4</v>
      </c>
      <c r="H574" s="2">
        <v>4</v>
      </c>
      <c r="I574" s="2">
        <f>COUNTIFS($E$3:E574,E574,$H$3:H574,H574)</f>
        <v>3</v>
      </c>
      <c r="N574" s="11">
        <v>1008201</v>
      </c>
      <c r="O574" s="11">
        <v>1008301</v>
      </c>
      <c r="P574" s="11">
        <v>1008401</v>
      </c>
      <c r="Q574" s="11">
        <v>1008501</v>
      </c>
    </row>
    <row r="575" spans="1:17">
      <c r="A575" s="11">
        <f t="shared" si="12"/>
        <v>70083404</v>
      </c>
      <c r="B575" s="14" t="s">
        <v>735</v>
      </c>
      <c r="D575" s="2" t="str">
        <f>E575&amp;(VLOOKUP(F575,编号表!$E$1:$G$8,2,0))&amp;G575&amp;"_"&amp;H575&amp;"_"&amp;I575</f>
        <v>8N3_4_4</v>
      </c>
      <c r="E575" s="2">
        <v>8</v>
      </c>
      <c r="F575" s="2" t="s">
        <v>174</v>
      </c>
      <c r="G575" s="2">
        <v>3</v>
      </c>
      <c r="H575" s="2">
        <v>4</v>
      </c>
      <c r="I575" s="2">
        <f>COUNTIFS($E$3:E575,E575,$H$3:H575,H575)</f>
        <v>4</v>
      </c>
      <c r="N575" s="11">
        <v>1008201</v>
      </c>
      <c r="O575" s="11">
        <v>1008301</v>
      </c>
      <c r="P575" s="11">
        <v>1008401</v>
      </c>
      <c r="Q575" s="11">
        <v>1008501</v>
      </c>
    </row>
    <row r="576" spans="1:17">
      <c r="A576" s="11">
        <f t="shared" si="12"/>
        <v>70084405</v>
      </c>
      <c r="B576" s="14" t="s">
        <v>736</v>
      </c>
      <c r="D576" s="2" t="str">
        <f>E576&amp;(VLOOKUP(F576,编号表!$E$1:$G$8,2,0))&amp;G576&amp;"_"&amp;H576&amp;"_"&amp;I576</f>
        <v>8N4_4_5</v>
      </c>
      <c r="E576" s="2">
        <v>8</v>
      </c>
      <c r="F576" s="2" t="s">
        <v>174</v>
      </c>
      <c r="G576" s="2">
        <v>4</v>
      </c>
      <c r="H576" s="2">
        <v>4</v>
      </c>
      <c r="I576" s="2">
        <f>COUNTIFS($E$3:E576,E576,$H$3:H576,H576)</f>
        <v>5</v>
      </c>
      <c r="N576" s="11">
        <v>1008201</v>
      </c>
      <c r="O576" s="11">
        <v>1008301</v>
      </c>
      <c r="P576" s="11">
        <v>1008401</v>
      </c>
      <c r="Q576" s="11">
        <v>1008501</v>
      </c>
    </row>
    <row r="577" spans="1:17">
      <c r="A577" s="11">
        <f t="shared" si="12"/>
        <v>70083406</v>
      </c>
      <c r="B577" s="14" t="s">
        <v>737</v>
      </c>
      <c r="D577" s="2" t="str">
        <f>E577&amp;(VLOOKUP(F577,编号表!$E$1:$G$8,2,0))&amp;G577&amp;"_"&amp;H577&amp;"_"&amp;I577</f>
        <v>8N3_4_6</v>
      </c>
      <c r="E577" s="2">
        <v>8</v>
      </c>
      <c r="F577" s="2" t="s">
        <v>174</v>
      </c>
      <c r="G577" s="2">
        <v>3</v>
      </c>
      <c r="H577" s="2">
        <v>4</v>
      </c>
      <c r="I577" s="2">
        <f>COUNTIFS($E$3:E577,E577,$H$3:H577,H577)</f>
        <v>6</v>
      </c>
      <c r="N577" s="11">
        <v>1008201</v>
      </c>
      <c r="O577" s="11">
        <v>1008301</v>
      </c>
      <c r="P577" s="11">
        <v>1008401</v>
      </c>
      <c r="Q577" s="11">
        <v>1008501</v>
      </c>
    </row>
    <row r="578" spans="1:17">
      <c r="A578" s="11">
        <f t="shared" si="12"/>
        <v>70082407</v>
      </c>
      <c r="B578" s="14" t="s">
        <v>738</v>
      </c>
      <c r="D578" s="2" t="str">
        <f>E578&amp;(VLOOKUP(F578,编号表!$E$1:$G$8,2,0))&amp;G578&amp;"_"&amp;H578&amp;"_"&amp;I578</f>
        <v>8N2_4_7</v>
      </c>
      <c r="E578" s="2">
        <v>8</v>
      </c>
      <c r="F578" s="2" t="s">
        <v>174</v>
      </c>
      <c r="G578" s="2">
        <v>2</v>
      </c>
      <c r="H578" s="2">
        <v>4</v>
      </c>
      <c r="I578" s="2">
        <f>COUNTIFS($E$3:E578,E578,$H$3:H578,H578)</f>
        <v>7</v>
      </c>
      <c r="N578" s="11">
        <v>1008201</v>
      </c>
      <c r="O578" s="11">
        <v>1008301</v>
      </c>
      <c r="P578" s="11">
        <v>1008401</v>
      </c>
      <c r="Q578" s="11">
        <v>1008501</v>
      </c>
    </row>
    <row r="579" spans="1:17">
      <c r="A579" s="11">
        <f t="shared" si="12"/>
        <v>70082408</v>
      </c>
      <c r="B579" s="14" t="s">
        <v>739</v>
      </c>
      <c r="D579" s="2" t="str">
        <f>E579&amp;(VLOOKUP(F579,编号表!$E$1:$G$8,2,0))&amp;G579&amp;"_"&amp;H579&amp;"_"&amp;I579</f>
        <v>8N2_4_8</v>
      </c>
      <c r="E579" s="2">
        <v>8</v>
      </c>
      <c r="F579" s="2" t="s">
        <v>174</v>
      </c>
      <c r="G579" s="2">
        <v>2</v>
      </c>
      <c r="H579" s="2">
        <v>4</v>
      </c>
      <c r="I579" s="2">
        <f>COUNTIFS($E$3:E579,E579,$H$3:H579,H579)</f>
        <v>8</v>
      </c>
      <c r="N579" s="11">
        <v>1008201</v>
      </c>
      <c r="O579" s="11">
        <v>1008301</v>
      </c>
      <c r="P579" s="11">
        <v>1008401</v>
      </c>
      <c r="Q579" s="11">
        <v>1008501</v>
      </c>
    </row>
    <row r="580" spans="1:17">
      <c r="A580" s="11">
        <f t="shared" si="12"/>
        <v>70082409</v>
      </c>
      <c r="B580" s="14" t="s">
        <v>740</v>
      </c>
      <c r="D580" s="2" t="str">
        <f>E580&amp;(VLOOKUP(F580,编号表!$E$1:$G$8,2,0))&amp;G580&amp;"_"&amp;H580&amp;"_"&amp;I580</f>
        <v>8N2_4_9</v>
      </c>
      <c r="E580" s="2">
        <v>8</v>
      </c>
      <c r="F580" s="2" t="s">
        <v>174</v>
      </c>
      <c r="G580" s="2">
        <v>2</v>
      </c>
      <c r="H580" s="2">
        <v>4</v>
      </c>
      <c r="I580" s="2">
        <f>COUNTIFS($E$3:E580,E580,$H$3:H580,H580)</f>
        <v>9</v>
      </c>
      <c r="N580" s="11">
        <v>1008201</v>
      </c>
      <c r="O580" s="11">
        <v>1008301</v>
      </c>
      <c r="P580" s="11">
        <v>1008401</v>
      </c>
      <c r="Q580" s="11">
        <v>1008501</v>
      </c>
    </row>
    <row r="581" spans="1:17">
      <c r="A581" s="11">
        <f t="shared" si="12"/>
        <v>70082410</v>
      </c>
      <c r="B581" s="14" t="s">
        <v>741</v>
      </c>
      <c r="D581" s="2" t="str">
        <f>E581&amp;(VLOOKUP(F581,编号表!$E$1:$G$8,2,0))&amp;G581&amp;"_"&amp;H581&amp;"_"&amp;I581</f>
        <v>8N2_4_10</v>
      </c>
      <c r="E581" s="2">
        <v>8</v>
      </c>
      <c r="F581" s="2" t="s">
        <v>174</v>
      </c>
      <c r="G581" s="2">
        <v>2</v>
      </c>
      <c r="H581" s="2">
        <v>4</v>
      </c>
      <c r="I581" s="2">
        <f>COUNTIFS($E$3:E581,E581,$H$3:H581,H581)</f>
        <v>10</v>
      </c>
      <c r="N581" s="11">
        <v>1008201</v>
      </c>
      <c r="O581" s="11">
        <v>1008301</v>
      </c>
      <c r="P581" s="11">
        <v>1008401</v>
      </c>
      <c r="Q581" s="11">
        <v>1008501</v>
      </c>
    </row>
    <row r="582" spans="1:17">
      <c r="A582" s="11">
        <f t="shared" si="12"/>
        <v>70084411</v>
      </c>
      <c r="B582" s="14" t="s">
        <v>742</v>
      </c>
      <c r="D582" s="2" t="str">
        <f>E582&amp;(VLOOKUP(F582,编号表!$E$1:$G$8,2,0))&amp;G582&amp;"_"&amp;H582&amp;"_"&amp;I582</f>
        <v>8N4_4_11</v>
      </c>
      <c r="E582" s="2">
        <v>8</v>
      </c>
      <c r="F582" s="2" t="s">
        <v>174</v>
      </c>
      <c r="G582" s="2">
        <v>4</v>
      </c>
      <c r="H582" s="2">
        <v>4</v>
      </c>
      <c r="I582" s="2">
        <f>COUNTIFS($E$3:E582,E582,$H$3:H582,H582)</f>
        <v>11</v>
      </c>
      <c r="N582" s="11">
        <v>1008201</v>
      </c>
      <c r="O582" s="11">
        <v>1008301</v>
      </c>
      <c r="P582" s="11">
        <v>1008401</v>
      </c>
      <c r="Q582" s="11">
        <v>1008501</v>
      </c>
    </row>
    <row r="583" spans="1:17">
      <c r="A583" s="11">
        <f t="shared" si="12"/>
        <v>70083412</v>
      </c>
      <c r="B583" s="14" t="s">
        <v>743</v>
      </c>
      <c r="D583" s="2" t="str">
        <f>E583&amp;(VLOOKUP(F583,编号表!$E$1:$G$8,2,0))&amp;G583&amp;"_"&amp;H583&amp;"_"&amp;I583</f>
        <v>8N3_4_12</v>
      </c>
      <c r="E583" s="2">
        <v>8</v>
      </c>
      <c r="F583" s="2" t="s">
        <v>174</v>
      </c>
      <c r="G583" s="2">
        <v>3</v>
      </c>
      <c r="H583" s="2">
        <v>4</v>
      </c>
      <c r="I583" s="2">
        <f>COUNTIFS($E$3:E583,E583,$H$3:H583,H583)</f>
        <v>12</v>
      </c>
      <c r="N583" s="11">
        <v>1008201</v>
      </c>
      <c r="O583" s="11">
        <v>1008301</v>
      </c>
      <c r="P583" s="11">
        <v>1008401</v>
      </c>
      <c r="Q583" s="11">
        <v>1008501</v>
      </c>
    </row>
    <row r="584" spans="1:17">
      <c r="A584" s="11">
        <f t="shared" si="12"/>
        <v>70083413</v>
      </c>
      <c r="B584" s="14" t="s">
        <v>744</v>
      </c>
      <c r="D584" s="2" t="str">
        <f>E584&amp;(VLOOKUP(F584,编号表!$E$1:$G$8,2,0))&amp;G584&amp;"_"&amp;H584&amp;"_"&amp;I584</f>
        <v>8N3_4_13</v>
      </c>
      <c r="E584" s="2">
        <v>8</v>
      </c>
      <c r="F584" s="2" t="s">
        <v>174</v>
      </c>
      <c r="G584" s="2">
        <v>3</v>
      </c>
      <c r="H584" s="2">
        <v>4</v>
      </c>
      <c r="I584" s="2">
        <f>COUNTIFS($E$3:E584,E584,$H$3:H584,H584)</f>
        <v>13</v>
      </c>
      <c r="N584" s="11">
        <v>1008201</v>
      </c>
      <c r="O584" s="11">
        <v>1008301</v>
      </c>
      <c r="P584" s="11">
        <v>1008401</v>
      </c>
      <c r="Q584" s="11">
        <v>1008501</v>
      </c>
    </row>
    <row r="585" spans="1:17">
      <c r="A585" s="11">
        <f t="shared" si="12"/>
        <v>70083414</v>
      </c>
      <c r="B585" s="14" t="s">
        <v>745</v>
      </c>
      <c r="D585" s="2" t="str">
        <f>E585&amp;(VLOOKUP(F585,编号表!$E$1:$G$8,2,0))&amp;G585&amp;"_"&amp;H585&amp;"_"&amp;I585</f>
        <v>8N3_4_14</v>
      </c>
      <c r="E585" s="2">
        <v>8</v>
      </c>
      <c r="F585" s="2" t="s">
        <v>174</v>
      </c>
      <c r="G585" s="2">
        <v>3</v>
      </c>
      <c r="H585" s="2">
        <v>4</v>
      </c>
      <c r="I585" s="2">
        <f>COUNTIFS($E$3:E585,E585,$H$3:H585,H585)</f>
        <v>14</v>
      </c>
      <c r="N585" s="11">
        <v>1008201</v>
      </c>
      <c r="O585" s="11">
        <v>1008301</v>
      </c>
      <c r="P585" s="11">
        <v>1008401</v>
      </c>
      <c r="Q585" s="11">
        <v>1008501</v>
      </c>
    </row>
    <row r="586" spans="1:17">
      <c r="A586" s="11">
        <f t="shared" si="12"/>
        <v>70083415</v>
      </c>
      <c r="B586" s="14" t="s">
        <v>746</v>
      </c>
      <c r="D586" s="2" t="str">
        <f>E586&amp;(VLOOKUP(F586,编号表!$E$1:$G$8,2,0))&amp;G586&amp;"_"&amp;H586&amp;"_"&amp;I586</f>
        <v>8N3_4_15</v>
      </c>
      <c r="E586" s="2">
        <v>8</v>
      </c>
      <c r="F586" s="2" t="s">
        <v>174</v>
      </c>
      <c r="G586" s="2">
        <v>3</v>
      </c>
      <c r="H586" s="2">
        <v>4</v>
      </c>
      <c r="I586" s="2">
        <f>COUNTIFS($E$3:E586,E586,$H$3:H586,H586)</f>
        <v>15</v>
      </c>
      <c r="N586" s="11">
        <v>1008201</v>
      </c>
      <c r="O586" s="11">
        <v>1008301</v>
      </c>
      <c r="P586" s="11">
        <v>1008401</v>
      </c>
      <c r="Q586" s="11">
        <v>1008501</v>
      </c>
    </row>
    <row r="587" spans="1:17">
      <c r="A587" s="11">
        <f t="shared" si="12"/>
        <v>70084416</v>
      </c>
      <c r="B587" s="14" t="s">
        <v>747</v>
      </c>
      <c r="D587" s="2" t="str">
        <f>E587&amp;(VLOOKUP(F587,编号表!$E$1:$G$8,2,0))&amp;G587&amp;"_"&amp;H587&amp;"_"&amp;I587</f>
        <v>8N4_4_16</v>
      </c>
      <c r="E587" s="2">
        <v>8</v>
      </c>
      <c r="F587" s="2" t="s">
        <v>174</v>
      </c>
      <c r="G587" s="2">
        <v>4</v>
      </c>
      <c r="H587" s="2">
        <v>4</v>
      </c>
      <c r="I587" s="2">
        <f>COUNTIFS($E$3:E587,E587,$H$3:H587,H587)</f>
        <v>16</v>
      </c>
      <c r="N587" s="11">
        <v>1008201</v>
      </c>
      <c r="O587" s="11">
        <v>1008301</v>
      </c>
      <c r="P587" s="11">
        <v>1008401</v>
      </c>
      <c r="Q587" s="11">
        <v>1008501</v>
      </c>
    </row>
    <row r="588" spans="1:17">
      <c r="A588" s="11">
        <f t="shared" si="12"/>
        <v>70082501</v>
      </c>
      <c r="B588" s="14" t="s">
        <v>748</v>
      </c>
      <c r="D588" s="2" t="str">
        <f>E588&amp;(VLOOKUP(F588,编号表!$E$1:$G$8,2,0))&amp;G588&amp;"_"&amp;H588&amp;"_"&amp;I588</f>
        <v>8N2_5_1</v>
      </c>
      <c r="E588" s="2">
        <v>8</v>
      </c>
      <c r="F588" s="2" t="s">
        <v>174</v>
      </c>
      <c r="G588" s="2">
        <v>2</v>
      </c>
      <c r="H588" s="2">
        <v>5</v>
      </c>
      <c r="I588" s="2">
        <f>COUNTIFS($E$3:E588,E588,$H$3:H588,H588)</f>
        <v>1</v>
      </c>
      <c r="N588" s="11">
        <v>1008201</v>
      </c>
      <c r="O588" s="11">
        <v>1008301</v>
      </c>
      <c r="P588" s="11">
        <v>1008401</v>
      </c>
      <c r="Q588" s="11">
        <v>1008501</v>
      </c>
    </row>
    <row r="589" spans="1:17">
      <c r="A589" s="11">
        <f t="shared" si="12"/>
        <v>70081502</v>
      </c>
      <c r="B589" s="17" t="s">
        <v>749</v>
      </c>
      <c r="D589" s="2" t="str">
        <f>E589&amp;(VLOOKUP(F589,编号表!$E$1:$G$8,2,0))&amp;G589&amp;"_"&amp;H589&amp;"_"&amp;I589</f>
        <v>8P1_5_2</v>
      </c>
      <c r="E589" s="2">
        <v>8</v>
      </c>
      <c r="F589" s="2" t="s">
        <v>193</v>
      </c>
      <c r="G589" s="2">
        <v>1</v>
      </c>
      <c r="H589" s="2">
        <v>5</v>
      </c>
      <c r="I589" s="2">
        <f>COUNTIFS($E$3:E589,E589,$H$3:H589,H589)</f>
        <v>2</v>
      </c>
      <c r="N589" s="11">
        <v>1008201</v>
      </c>
      <c r="O589" s="11">
        <v>1008301</v>
      </c>
      <c r="P589" s="11">
        <v>1008401</v>
      </c>
      <c r="Q589" s="11">
        <v>1008501</v>
      </c>
    </row>
    <row r="590" spans="1:17">
      <c r="A590" s="11">
        <f t="shared" si="12"/>
        <v>70082503</v>
      </c>
      <c r="B590" s="14" t="s">
        <v>750</v>
      </c>
      <c r="D590" s="2" t="str">
        <f>E590&amp;(VLOOKUP(F590,编号表!$E$1:$G$8,2,0))&amp;G590&amp;"_"&amp;H590&amp;"_"&amp;I590</f>
        <v>8N2_5_3</v>
      </c>
      <c r="E590" s="2">
        <v>8</v>
      </c>
      <c r="F590" s="2" t="s">
        <v>174</v>
      </c>
      <c r="G590" s="2">
        <v>2</v>
      </c>
      <c r="H590" s="2">
        <v>5</v>
      </c>
      <c r="I590" s="2">
        <f>COUNTIFS($E$3:E590,E590,$H$3:H590,H590)</f>
        <v>3</v>
      </c>
      <c r="N590" s="11">
        <v>1008201</v>
      </c>
      <c r="O590" s="11">
        <v>1008301</v>
      </c>
      <c r="P590" s="11">
        <v>1008401</v>
      </c>
      <c r="Q590" s="11">
        <v>1008501</v>
      </c>
    </row>
    <row r="591" spans="1:17">
      <c r="A591" s="11">
        <f t="shared" si="12"/>
        <v>70082504</v>
      </c>
      <c r="B591" s="15" t="s">
        <v>751</v>
      </c>
      <c r="D591" s="2" t="str">
        <f>E591&amp;(VLOOKUP(F591,编号表!$E$1:$G$8,2,0))&amp;G591&amp;"_"&amp;H591&amp;"_"&amp;I591</f>
        <v>8T2_5_4</v>
      </c>
      <c r="E591" s="2">
        <v>8</v>
      </c>
      <c r="F591" s="2" t="s">
        <v>190</v>
      </c>
      <c r="G591" s="2">
        <v>2</v>
      </c>
      <c r="H591" s="2">
        <v>5</v>
      </c>
      <c r="I591" s="2">
        <f>COUNTIFS($E$3:E591,E591,$H$3:H591,H591)</f>
        <v>4</v>
      </c>
    </row>
    <row r="592" spans="1:17">
      <c r="A592" s="11">
        <f t="shared" si="12"/>
        <v>70082505</v>
      </c>
      <c r="B592" s="16" t="s">
        <v>40</v>
      </c>
      <c r="C592" s="2" t="s">
        <v>752</v>
      </c>
      <c r="D592" s="2" t="str">
        <f>E592&amp;(VLOOKUP(F592,编号表!$E$1:$G$8,2,0))&amp;G592&amp;"_"&amp;H592&amp;"_"&amp;I592</f>
        <v>8T2_5_5</v>
      </c>
      <c r="E592" s="2">
        <v>8</v>
      </c>
      <c r="F592" s="2" t="s">
        <v>190</v>
      </c>
      <c r="G592" s="2">
        <v>2</v>
      </c>
      <c r="H592" s="2">
        <v>5</v>
      </c>
      <c r="I592" s="2">
        <f>COUNTIFS($E$3:E592,E592,$H$3:H592,H592)</f>
        <v>5</v>
      </c>
      <c r="L592" s="2">
        <v>118</v>
      </c>
    </row>
    <row r="593" spans="1:19">
      <c r="A593" s="11">
        <f t="shared" si="12"/>
        <v>70080001</v>
      </c>
      <c r="B593" s="18" t="s">
        <v>753</v>
      </c>
      <c r="D593" s="2" t="str">
        <f>E593&amp;(VLOOKUP(F593,编号表!$E$1:$G$8,2,0))&amp;G593&amp;"_"&amp;H593&amp;"_"&amp;I593</f>
        <v>8J0_0_1</v>
      </c>
      <c r="E593" s="2">
        <v>8</v>
      </c>
      <c r="F593" s="2" t="s">
        <v>222</v>
      </c>
      <c r="G593" s="2">
        <v>0</v>
      </c>
      <c r="H593" s="2">
        <v>0</v>
      </c>
      <c r="I593" s="2">
        <f>COUNTIFS($E$3:E593,E593,$H$3:H593,H593)</f>
        <v>1</v>
      </c>
      <c r="J593" s="2">
        <v>1</v>
      </c>
    </row>
    <row r="594" spans="1:19">
      <c r="A594" s="11">
        <f t="shared" si="12"/>
        <v>70093101</v>
      </c>
      <c r="B594" s="16" t="s">
        <v>37</v>
      </c>
      <c r="C594" s="2" t="s">
        <v>751</v>
      </c>
      <c r="D594" s="2" t="str">
        <f>E594&amp;(VLOOKUP(F594,编号表!$E$1:$G$8,2,0))&amp;G594&amp;"_"&amp;H594&amp;"_"&amp;I594</f>
        <v>9T3_1_1</v>
      </c>
      <c r="E594" s="2">
        <v>9</v>
      </c>
      <c r="F594" s="2" t="s">
        <v>190</v>
      </c>
      <c r="G594" s="2">
        <v>3</v>
      </c>
      <c r="H594" s="2">
        <v>1</v>
      </c>
      <c r="I594" s="2">
        <f>COUNTIFS($E$3:E594,E594,$H$3:H594,H594)</f>
        <v>1</v>
      </c>
      <c r="L594" s="2">
        <v>119</v>
      </c>
    </row>
    <row r="595" spans="1:19">
      <c r="A595" s="11">
        <f t="shared" si="12"/>
        <v>70091102</v>
      </c>
      <c r="B595" s="15" t="s">
        <v>752</v>
      </c>
      <c r="D595" s="2" t="str">
        <f>E595&amp;(VLOOKUP(F595,编号表!$E$1:$G$8,2,0))&amp;G595&amp;"_"&amp;H595&amp;"_"&amp;I595</f>
        <v>9T1_1_2</v>
      </c>
      <c r="E595" s="2">
        <v>9</v>
      </c>
      <c r="F595" s="2" t="s">
        <v>190</v>
      </c>
      <c r="G595" s="2">
        <v>1</v>
      </c>
      <c r="H595" s="2">
        <v>1</v>
      </c>
      <c r="I595" s="2">
        <f>COUNTIFS($E$3:E595,E595,$H$3:H595,H595)</f>
        <v>2</v>
      </c>
      <c r="K595" s="2">
        <v>1</v>
      </c>
    </row>
    <row r="596" spans="1:19">
      <c r="A596" s="11">
        <f t="shared" si="12"/>
        <v>70093103</v>
      </c>
      <c r="B596" s="14" t="s">
        <v>754</v>
      </c>
      <c r="D596" s="2" t="str">
        <f>E596&amp;(VLOOKUP(F596,编号表!$E$1:$G$8,2,0))&amp;G596&amp;"_"&amp;H596&amp;"_"&amp;I596</f>
        <v>9N3_1_3</v>
      </c>
      <c r="E596" s="2">
        <v>9</v>
      </c>
      <c r="F596" s="2" t="s">
        <v>174</v>
      </c>
      <c r="G596" s="2">
        <v>3</v>
      </c>
      <c r="H596" s="2">
        <v>1</v>
      </c>
      <c r="I596" s="2">
        <f>COUNTIFS($E$3:E596,E596,$H$3:H596,H596)</f>
        <v>3</v>
      </c>
      <c r="N596" s="11">
        <v>1009201</v>
      </c>
      <c r="O596" s="11">
        <v>1009301</v>
      </c>
      <c r="P596" s="11">
        <v>1009401</v>
      </c>
      <c r="Q596" s="11">
        <v>1009501</v>
      </c>
      <c r="R596" s="11">
        <v>1009601</v>
      </c>
      <c r="S596" s="11">
        <v>1009001</v>
      </c>
    </row>
    <row r="597" spans="1:19">
      <c r="A597" s="11">
        <f t="shared" si="12"/>
        <v>70093104</v>
      </c>
      <c r="B597" s="14" t="s">
        <v>755</v>
      </c>
      <c r="D597" s="2" t="str">
        <f>E597&amp;(VLOOKUP(F597,编号表!$E$1:$G$8,2,0))&amp;G597&amp;"_"&amp;H597&amp;"_"&amp;I597</f>
        <v>9N3_1_4</v>
      </c>
      <c r="E597" s="2">
        <v>9</v>
      </c>
      <c r="F597" s="2" t="s">
        <v>174</v>
      </c>
      <c r="G597" s="2">
        <v>3</v>
      </c>
      <c r="H597" s="2">
        <v>1</v>
      </c>
      <c r="I597" s="2">
        <f>COUNTIFS($E$3:E597,E597,$H$3:H597,H597)</f>
        <v>4</v>
      </c>
      <c r="N597" s="11">
        <v>1009201</v>
      </c>
      <c r="O597" s="11">
        <v>1009301</v>
      </c>
      <c r="P597" s="11">
        <v>1009401</v>
      </c>
      <c r="Q597" s="11">
        <v>1009501</v>
      </c>
      <c r="R597" s="11">
        <v>1009601</v>
      </c>
      <c r="S597" s="11">
        <v>1009002</v>
      </c>
    </row>
    <row r="598" spans="1:19">
      <c r="A598" s="11">
        <f t="shared" si="12"/>
        <v>70093105</v>
      </c>
      <c r="B598" s="14" t="s">
        <v>756</v>
      </c>
      <c r="D598" s="2" t="str">
        <f>E598&amp;(VLOOKUP(F598,编号表!$E$1:$G$8,2,0))&amp;G598&amp;"_"&amp;H598&amp;"_"&amp;I598</f>
        <v>9N3_1_5</v>
      </c>
      <c r="E598" s="2">
        <v>9</v>
      </c>
      <c r="F598" s="2" t="s">
        <v>174</v>
      </c>
      <c r="G598" s="2">
        <v>3</v>
      </c>
      <c r="H598" s="2">
        <v>1</v>
      </c>
      <c r="I598" s="2">
        <f>COUNTIFS($E$3:E598,E598,$H$3:H598,H598)</f>
        <v>5</v>
      </c>
      <c r="N598" s="11">
        <v>1009201</v>
      </c>
      <c r="O598" s="11">
        <v>1009301</v>
      </c>
      <c r="P598" s="11">
        <v>1009401</v>
      </c>
      <c r="Q598" s="11">
        <v>1009501</v>
      </c>
      <c r="R598" s="11">
        <v>1009601</v>
      </c>
      <c r="S598" s="11">
        <v>1009101</v>
      </c>
    </row>
    <row r="599" spans="1:19">
      <c r="A599" s="11">
        <f t="shared" si="12"/>
        <v>70093106</v>
      </c>
      <c r="B599" s="14" t="s">
        <v>757</v>
      </c>
      <c r="D599" s="2" t="str">
        <f>E599&amp;(VLOOKUP(F599,编号表!$E$1:$G$8,2,0))&amp;G599&amp;"_"&amp;H599&amp;"_"&amp;I599</f>
        <v>9N3_1_6</v>
      </c>
      <c r="E599" s="2">
        <v>9</v>
      </c>
      <c r="F599" s="2" t="s">
        <v>174</v>
      </c>
      <c r="G599" s="2">
        <v>3</v>
      </c>
      <c r="H599" s="2">
        <v>1</v>
      </c>
      <c r="I599" s="2">
        <f>COUNTIFS($E$3:E599,E599,$H$3:H599,H599)</f>
        <v>6</v>
      </c>
      <c r="N599" s="11">
        <v>1009201</v>
      </c>
      <c r="O599" s="11">
        <v>1009301</v>
      </c>
      <c r="P599" s="11">
        <v>1009401</v>
      </c>
      <c r="Q599" s="11">
        <v>1009501</v>
      </c>
      <c r="R599" s="11">
        <v>1009601</v>
      </c>
    </row>
    <row r="600" spans="1:19">
      <c r="A600" s="11">
        <f t="shared" si="12"/>
        <v>70093107</v>
      </c>
      <c r="B600" s="14" t="s">
        <v>758</v>
      </c>
      <c r="D600" s="2" t="str">
        <f>E600&amp;(VLOOKUP(F600,编号表!$E$1:$G$8,2,0))&amp;G600&amp;"_"&amp;H600&amp;"_"&amp;I600</f>
        <v>9N3_1_7</v>
      </c>
      <c r="E600" s="2">
        <v>9</v>
      </c>
      <c r="F600" s="2" t="s">
        <v>174</v>
      </c>
      <c r="G600" s="2">
        <v>3</v>
      </c>
      <c r="H600" s="2">
        <v>1</v>
      </c>
      <c r="I600" s="2">
        <f>COUNTIFS($E$3:E600,E600,$H$3:H600,H600)</f>
        <v>7</v>
      </c>
      <c r="N600" s="11">
        <v>1009201</v>
      </c>
      <c r="O600" s="11">
        <v>1009301</v>
      </c>
      <c r="P600" s="11">
        <v>1009401</v>
      </c>
      <c r="Q600" s="11">
        <v>1009501</v>
      </c>
      <c r="R600" s="11">
        <v>1009601</v>
      </c>
    </row>
    <row r="601" spans="1:19">
      <c r="A601" s="11">
        <f t="shared" si="12"/>
        <v>70093108</v>
      </c>
      <c r="B601" s="14" t="s">
        <v>759</v>
      </c>
      <c r="D601" s="2" t="str">
        <f>E601&amp;(VLOOKUP(F601,编号表!$E$1:$G$8,2,0))&amp;G601&amp;"_"&amp;H601&amp;"_"&amp;I601</f>
        <v>9N3_1_8</v>
      </c>
      <c r="E601" s="2">
        <v>9</v>
      </c>
      <c r="F601" s="2" t="s">
        <v>174</v>
      </c>
      <c r="G601" s="2">
        <v>3</v>
      </c>
      <c r="H601" s="2">
        <v>1</v>
      </c>
      <c r="I601" s="2">
        <f>COUNTIFS($E$3:E601,E601,$H$3:H601,H601)</f>
        <v>8</v>
      </c>
      <c r="N601" s="11">
        <v>1009201</v>
      </c>
      <c r="O601" s="11">
        <v>1009301</v>
      </c>
      <c r="P601" s="11">
        <v>1009401</v>
      </c>
      <c r="Q601" s="11">
        <v>1009501</v>
      </c>
      <c r="R601" s="11">
        <v>1009601</v>
      </c>
    </row>
    <row r="602" spans="1:19">
      <c r="A602" s="11">
        <f t="shared" si="12"/>
        <v>70092109</v>
      </c>
      <c r="B602" s="14" t="s">
        <v>760</v>
      </c>
      <c r="D602" s="2" t="str">
        <f>E602&amp;(VLOOKUP(F602,编号表!$E$1:$G$8,2,0))&amp;G602&amp;"_"&amp;H602&amp;"_"&amp;I602</f>
        <v>9N2_1_9</v>
      </c>
      <c r="E602" s="2">
        <v>9</v>
      </c>
      <c r="F602" s="2" t="s">
        <v>174</v>
      </c>
      <c r="G602" s="2">
        <v>2</v>
      </c>
      <c r="H602" s="2">
        <v>1</v>
      </c>
      <c r="I602" s="2">
        <f>COUNTIFS($E$3:E602,E602,$H$3:H602,H602)</f>
        <v>9</v>
      </c>
      <c r="N602" s="11">
        <v>1009201</v>
      </c>
      <c r="O602" s="11">
        <v>1009301</v>
      </c>
      <c r="P602" s="11">
        <v>1009401</v>
      </c>
      <c r="Q602" s="11">
        <v>1009501</v>
      </c>
      <c r="R602" s="11">
        <v>1009601</v>
      </c>
    </row>
    <row r="603" spans="1:19">
      <c r="A603" s="11">
        <f t="shared" si="12"/>
        <v>70093110</v>
      </c>
      <c r="B603" s="14" t="s">
        <v>761</v>
      </c>
      <c r="D603" s="2" t="str">
        <f>E603&amp;(VLOOKUP(F603,编号表!$E$1:$G$8,2,0))&amp;G603&amp;"_"&amp;H603&amp;"_"&amp;I603</f>
        <v>9N3_1_10</v>
      </c>
      <c r="E603" s="2">
        <v>9</v>
      </c>
      <c r="F603" s="2" t="s">
        <v>174</v>
      </c>
      <c r="G603" s="2">
        <v>3</v>
      </c>
      <c r="H603" s="2">
        <v>1</v>
      </c>
      <c r="I603" s="2">
        <f>COUNTIFS($E$3:E603,E603,$H$3:H603,H603)</f>
        <v>10</v>
      </c>
      <c r="N603" s="11">
        <v>1009201</v>
      </c>
      <c r="O603" s="11">
        <v>1009301</v>
      </c>
      <c r="P603" s="11">
        <v>1009401</v>
      </c>
      <c r="Q603" s="11">
        <v>1009501</v>
      </c>
      <c r="R603" s="11">
        <v>1009601</v>
      </c>
    </row>
    <row r="604" spans="1:19">
      <c r="A604" s="11">
        <f t="shared" si="12"/>
        <v>70093111</v>
      </c>
      <c r="B604" s="14" t="s">
        <v>762</v>
      </c>
      <c r="D604" s="2" t="str">
        <f>E604&amp;(VLOOKUP(F604,编号表!$E$1:$G$8,2,0))&amp;G604&amp;"_"&amp;H604&amp;"_"&amp;I604</f>
        <v>9N3_1_11</v>
      </c>
      <c r="E604" s="2">
        <v>9</v>
      </c>
      <c r="F604" s="2" t="s">
        <v>174</v>
      </c>
      <c r="G604" s="2">
        <v>3</v>
      </c>
      <c r="H604" s="2">
        <v>1</v>
      </c>
      <c r="I604" s="2">
        <f>COUNTIFS($E$3:E604,E604,$H$3:H604,H604)</f>
        <v>11</v>
      </c>
      <c r="N604" s="11">
        <v>1009201</v>
      </c>
      <c r="O604" s="11">
        <v>1009301</v>
      </c>
      <c r="P604" s="11">
        <v>1009401</v>
      </c>
      <c r="Q604" s="11">
        <v>1009501</v>
      </c>
      <c r="R604" s="11">
        <v>1009601</v>
      </c>
    </row>
    <row r="605" spans="1:19">
      <c r="A605" s="11">
        <f t="shared" si="12"/>
        <v>70093112</v>
      </c>
      <c r="B605" s="14" t="s">
        <v>763</v>
      </c>
      <c r="D605" s="2" t="str">
        <f>E605&amp;(VLOOKUP(F605,编号表!$E$1:$G$8,2,0))&amp;G605&amp;"_"&amp;H605&amp;"_"&amp;I605</f>
        <v>9N3_1_12</v>
      </c>
      <c r="E605" s="2">
        <v>9</v>
      </c>
      <c r="F605" s="2" t="s">
        <v>174</v>
      </c>
      <c r="G605" s="2">
        <v>3</v>
      </c>
      <c r="H605" s="2">
        <v>1</v>
      </c>
      <c r="I605" s="2">
        <f>COUNTIFS($E$3:E605,E605,$H$3:H605,H605)</f>
        <v>12</v>
      </c>
      <c r="N605" s="11">
        <v>1009201</v>
      </c>
      <c r="O605" s="11">
        <v>1009301</v>
      </c>
      <c r="P605" s="11">
        <v>1009401</v>
      </c>
      <c r="Q605" s="11">
        <v>1009501</v>
      </c>
      <c r="R605" s="11">
        <v>1009601</v>
      </c>
    </row>
    <row r="606" spans="1:19">
      <c r="A606" s="11">
        <f t="shared" si="12"/>
        <v>70093113</v>
      </c>
      <c r="B606" s="14" t="s">
        <v>764</v>
      </c>
      <c r="D606" s="2" t="str">
        <f>E606&amp;(VLOOKUP(F606,编号表!$E$1:$G$8,2,0))&amp;G606&amp;"_"&amp;H606&amp;"_"&amp;I606</f>
        <v>9N3_1_13</v>
      </c>
      <c r="E606" s="2">
        <v>9</v>
      </c>
      <c r="F606" s="2" t="s">
        <v>174</v>
      </c>
      <c r="G606" s="2">
        <v>3</v>
      </c>
      <c r="H606" s="2">
        <v>1</v>
      </c>
      <c r="I606" s="2">
        <f>COUNTIFS($E$3:E606,E606,$H$3:H606,H606)</f>
        <v>13</v>
      </c>
      <c r="N606" s="11">
        <v>1009201</v>
      </c>
      <c r="O606" s="11">
        <v>1009301</v>
      </c>
      <c r="P606" s="11">
        <v>1009401</v>
      </c>
      <c r="Q606" s="11">
        <v>1009501</v>
      </c>
      <c r="R606" s="11">
        <v>1009601</v>
      </c>
    </row>
    <row r="607" spans="1:19">
      <c r="A607" s="11">
        <f t="shared" si="12"/>
        <v>70092201</v>
      </c>
      <c r="B607" s="14" t="s">
        <v>765</v>
      </c>
      <c r="D607" s="2" t="str">
        <f>E607&amp;(VLOOKUP(F607,编号表!$E$1:$G$8,2,0))&amp;G607&amp;"_"&amp;H607&amp;"_"&amp;I607</f>
        <v>9N2_2_1</v>
      </c>
      <c r="E607" s="2">
        <v>9</v>
      </c>
      <c r="F607" s="2" t="s">
        <v>174</v>
      </c>
      <c r="G607" s="2">
        <v>2</v>
      </c>
      <c r="H607" s="2">
        <v>2</v>
      </c>
      <c r="I607" s="2">
        <f>COUNTIFS($E$3:E607,E607,$H$3:H607,H607)</f>
        <v>1</v>
      </c>
      <c r="N607" s="11">
        <v>1009201</v>
      </c>
      <c r="O607" s="11">
        <v>1009301</v>
      </c>
      <c r="P607" s="11">
        <v>1009401</v>
      </c>
      <c r="Q607" s="11">
        <v>1009501</v>
      </c>
      <c r="R607" s="11">
        <v>1009601</v>
      </c>
    </row>
    <row r="608" spans="1:19">
      <c r="A608" s="11">
        <f t="shared" si="12"/>
        <v>70093202</v>
      </c>
      <c r="B608" s="14" t="s">
        <v>766</v>
      </c>
      <c r="D608" s="2" t="str">
        <f>E608&amp;(VLOOKUP(F608,编号表!$E$1:$G$8,2,0))&amp;G608&amp;"_"&amp;H608&amp;"_"&amp;I608</f>
        <v>9N3_2_2</v>
      </c>
      <c r="E608" s="2">
        <v>9</v>
      </c>
      <c r="F608" s="2" t="s">
        <v>174</v>
      </c>
      <c r="G608" s="2">
        <v>3</v>
      </c>
      <c r="H608" s="2">
        <v>2</v>
      </c>
      <c r="I608" s="2">
        <f>COUNTIFS($E$3:E608,E608,$H$3:H608,H608)</f>
        <v>2</v>
      </c>
      <c r="N608" s="11">
        <v>1009201</v>
      </c>
      <c r="O608" s="11">
        <v>1009301</v>
      </c>
      <c r="P608" s="11">
        <v>1009401</v>
      </c>
      <c r="Q608" s="11">
        <v>1009501</v>
      </c>
      <c r="R608" s="11">
        <v>1009601</v>
      </c>
    </row>
    <row r="609" spans="1:18">
      <c r="A609" s="11">
        <f t="shared" si="12"/>
        <v>70093203</v>
      </c>
      <c r="B609" s="14" t="s">
        <v>767</v>
      </c>
      <c r="D609" s="2" t="str">
        <f>E609&amp;(VLOOKUP(F609,编号表!$E$1:$G$8,2,0))&amp;G609&amp;"_"&amp;H609&amp;"_"&amp;I609</f>
        <v>9N3_2_3</v>
      </c>
      <c r="E609" s="2">
        <v>9</v>
      </c>
      <c r="F609" s="2" t="s">
        <v>174</v>
      </c>
      <c r="G609" s="2">
        <v>3</v>
      </c>
      <c r="H609" s="2">
        <v>2</v>
      </c>
      <c r="I609" s="2">
        <f>COUNTIFS($E$3:E609,E609,$H$3:H609,H609)</f>
        <v>3</v>
      </c>
      <c r="N609" s="11">
        <v>1009201</v>
      </c>
      <c r="O609" s="11">
        <v>1009301</v>
      </c>
      <c r="P609" s="11">
        <v>1009401</v>
      </c>
      <c r="Q609" s="11">
        <v>1009501</v>
      </c>
      <c r="R609" s="11">
        <v>1009601</v>
      </c>
    </row>
    <row r="610" spans="1:18">
      <c r="A610" s="11">
        <f t="shared" si="12"/>
        <v>70093204</v>
      </c>
      <c r="B610" s="14" t="s">
        <v>768</v>
      </c>
      <c r="D610" s="2" t="str">
        <f>E610&amp;(VLOOKUP(F610,编号表!$E$1:$G$8,2,0))&amp;G610&amp;"_"&amp;H610&amp;"_"&amp;I610</f>
        <v>9N3_2_4</v>
      </c>
      <c r="E610" s="2">
        <v>9</v>
      </c>
      <c r="F610" s="2" t="s">
        <v>174</v>
      </c>
      <c r="G610" s="2">
        <v>3</v>
      </c>
      <c r="H610" s="2">
        <v>2</v>
      </c>
      <c r="I610" s="2">
        <f>COUNTIFS($E$3:E610,E610,$H$3:H610,H610)</f>
        <v>4</v>
      </c>
      <c r="N610" s="11">
        <v>1009201</v>
      </c>
      <c r="O610" s="11">
        <v>1009301</v>
      </c>
      <c r="P610" s="11">
        <v>1009401</v>
      </c>
      <c r="Q610" s="11">
        <v>1009501</v>
      </c>
      <c r="R610" s="11">
        <v>1009601</v>
      </c>
    </row>
    <row r="611" spans="1:18">
      <c r="A611" s="11">
        <f t="shared" si="12"/>
        <v>70093205</v>
      </c>
      <c r="B611" s="14" t="s">
        <v>769</v>
      </c>
      <c r="D611" s="2" t="str">
        <f>E611&amp;(VLOOKUP(F611,编号表!$E$1:$G$8,2,0))&amp;G611&amp;"_"&amp;H611&amp;"_"&amp;I611</f>
        <v>9N3_2_5</v>
      </c>
      <c r="E611" s="2">
        <v>9</v>
      </c>
      <c r="F611" s="2" t="s">
        <v>174</v>
      </c>
      <c r="G611" s="2">
        <v>3</v>
      </c>
      <c r="H611" s="2">
        <v>2</v>
      </c>
      <c r="I611" s="2">
        <f>COUNTIFS($E$3:E611,E611,$H$3:H611,H611)</f>
        <v>5</v>
      </c>
      <c r="N611" s="11">
        <v>1009201</v>
      </c>
      <c r="O611" s="11">
        <v>1009301</v>
      </c>
      <c r="P611" s="11">
        <v>1009401</v>
      </c>
      <c r="Q611" s="11">
        <v>1009501</v>
      </c>
      <c r="R611" s="11">
        <v>1009601</v>
      </c>
    </row>
    <row r="612" spans="1:18">
      <c r="A612" s="11">
        <f t="shared" si="12"/>
        <v>70091206</v>
      </c>
      <c r="B612" s="14" t="s">
        <v>770</v>
      </c>
      <c r="D612" s="2" t="str">
        <f>E612&amp;(VLOOKUP(F612,编号表!$E$1:$G$8,2,0))&amp;G612&amp;"_"&amp;H612&amp;"_"&amp;I612</f>
        <v>9N1_2_6</v>
      </c>
      <c r="E612" s="2">
        <v>9</v>
      </c>
      <c r="F612" s="2" t="s">
        <v>174</v>
      </c>
      <c r="G612" s="2">
        <v>1</v>
      </c>
      <c r="H612" s="2">
        <v>2</v>
      </c>
      <c r="I612" s="2">
        <f>COUNTIFS($E$3:E612,E612,$H$3:H612,H612)</f>
        <v>6</v>
      </c>
      <c r="N612" s="11">
        <v>1009201</v>
      </c>
      <c r="O612" s="11">
        <v>1009301</v>
      </c>
      <c r="P612" s="11">
        <v>1009401</v>
      </c>
      <c r="Q612" s="11">
        <v>1009501</v>
      </c>
      <c r="R612" s="11">
        <v>1009601</v>
      </c>
    </row>
    <row r="613" spans="1:18">
      <c r="A613" s="11">
        <f t="shared" si="12"/>
        <v>70091207</v>
      </c>
      <c r="B613" s="14" t="s">
        <v>771</v>
      </c>
      <c r="D613" s="2" t="str">
        <f>E613&amp;(VLOOKUP(F613,编号表!$E$1:$G$8,2,0))&amp;G613&amp;"_"&amp;H613&amp;"_"&amp;I613</f>
        <v>9N1_2_7</v>
      </c>
      <c r="E613" s="2">
        <v>9</v>
      </c>
      <c r="F613" s="2" t="s">
        <v>174</v>
      </c>
      <c r="G613" s="2">
        <v>1</v>
      </c>
      <c r="H613" s="2">
        <v>2</v>
      </c>
      <c r="I613" s="2">
        <f>COUNTIFS($E$3:E613,E613,$H$3:H613,H613)</f>
        <v>7</v>
      </c>
      <c r="N613" s="11">
        <v>1009201</v>
      </c>
      <c r="O613" s="11">
        <v>1009301</v>
      </c>
      <c r="P613" s="11">
        <v>1009401</v>
      </c>
      <c r="Q613" s="11">
        <v>1009501</v>
      </c>
      <c r="R613" s="11">
        <v>1009601</v>
      </c>
    </row>
    <row r="614" spans="1:18">
      <c r="A614" s="11">
        <f t="shared" si="12"/>
        <v>70093208</v>
      </c>
      <c r="B614" s="14" t="s">
        <v>772</v>
      </c>
      <c r="D614" s="2" t="str">
        <f>E614&amp;(VLOOKUP(F614,编号表!$E$1:$G$8,2,0))&amp;G614&amp;"_"&amp;H614&amp;"_"&amp;I614</f>
        <v>9N3_2_8</v>
      </c>
      <c r="E614" s="2">
        <v>9</v>
      </c>
      <c r="F614" s="2" t="s">
        <v>174</v>
      </c>
      <c r="G614" s="2">
        <v>3</v>
      </c>
      <c r="H614" s="2">
        <v>2</v>
      </c>
      <c r="I614" s="2">
        <f>COUNTIFS($E$3:E614,E614,$H$3:H614,H614)</f>
        <v>8</v>
      </c>
      <c r="N614" s="11">
        <v>1009201</v>
      </c>
      <c r="O614" s="11">
        <v>1009301</v>
      </c>
      <c r="P614" s="11">
        <v>1009401</v>
      </c>
      <c r="Q614" s="11">
        <v>1009501</v>
      </c>
      <c r="R614" s="11">
        <v>1009601</v>
      </c>
    </row>
    <row r="615" spans="1:18">
      <c r="A615" s="11">
        <f t="shared" si="12"/>
        <v>70093301</v>
      </c>
      <c r="B615" s="14" t="s">
        <v>773</v>
      </c>
      <c r="D615" s="2" t="str">
        <f>E615&amp;(VLOOKUP(F615,编号表!$E$1:$G$8,2,0))&amp;G615&amp;"_"&amp;H615&amp;"_"&amp;I615</f>
        <v>9N3_3_1</v>
      </c>
      <c r="E615" s="2">
        <v>9</v>
      </c>
      <c r="F615" s="2" t="s">
        <v>174</v>
      </c>
      <c r="G615" s="2">
        <v>3</v>
      </c>
      <c r="H615" s="2">
        <v>3</v>
      </c>
      <c r="I615" s="2">
        <f>COUNTIFS($E$3:E615,E615,$H$3:H615,H615)</f>
        <v>1</v>
      </c>
      <c r="N615" s="11">
        <v>1009201</v>
      </c>
      <c r="O615" s="11">
        <v>1009301</v>
      </c>
      <c r="P615" s="11">
        <v>1009401</v>
      </c>
      <c r="Q615" s="11">
        <v>1009501</v>
      </c>
      <c r="R615" s="11">
        <v>1009601</v>
      </c>
    </row>
    <row r="616" spans="1:18">
      <c r="A616" s="11">
        <f t="shared" si="12"/>
        <v>70093302</v>
      </c>
      <c r="B616" s="14" t="s">
        <v>774</v>
      </c>
      <c r="D616" s="2" t="str">
        <f>E616&amp;(VLOOKUP(F616,编号表!$E$1:$G$8,2,0))&amp;G616&amp;"_"&amp;H616&amp;"_"&amp;I616</f>
        <v>9N3_3_2</v>
      </c>
      <c r="E616" s="2">
        <v>9</v>
      </c>
      <c r="F616" s="2" t="s">
        <v>174</v>
      </c>
      <c r="G616" s="2">
        <v>3</v>
      </c>
      <c r="H616" s="2">
        <v>3</v>
      </c>
      <c r="I616" s="2">
        <f>COUNTIFS($E$3:E616,E616,$H$3:H616,H616)</f>
        <v>2</v>
      </c>
      <c r="N616" s="11">
        <v>1009201</v>
      </c>
      <c r="O616" s="11">
        <v>1009301</v>
      </c>
      <c r="P616" s="11">
        <v>1009401</v>
      </c>
      <c r="Q616" s="11">
        <v>1009501</v>
      </c>
      <c r="R616" s="11">
        <v>1009601</v>
      </c>
    </row>
    <row r="617" spans="1:18">
      <c r="A617" s="11">
        <f t="shared" si="12"/>
        <v>70093303</v>
      </c>
      <c r="B617" s="14" t="s">
        <v>775</v>
      </c>
      <c r="D617" s="2" t="str">
        <f>E617&amp;(VLOOKUP(F617,编号表!$E$1:$G$8,2,0))&amp;G617&amp;"_"&amp;H617&amp;"_"&amp;I617</f>
        <v>9N3_3_3</v>
      </c>
      <c r="E617" s="2">
        <v>9</v>
      </c>
      <c r="F617" s="2" t="s">
        <v>174</v>
      </c>
      <c r="G617" s="2">
        <v>3</v>
      </c>
      <c r="H617" s="2">
        <v>3</v>
      </c>
      <c r="I617" s="2">
        <f>COUNTIFS($E$3:E617,E617,$H$3:H617,H617)</f>
        <v>3</v>
      </c>
      <c r="N617" s="11">
        <v>1009201</v>
      </c>
      <c r="O617" s="11">
        <v>1009301</v>
      </c>
      <c r="P617" s="11">
        <v>1009401</v>
      </c>
      <c r="Q617" s="11">
        <v>1009501</v>
      </c>
      <c r="R617" s="11">
        <v>1009601</v>
      </c>
    </row>
    <row r="618" spans="1:18">
      <c r="A618" s="11">
        <f t="shared" si="12"/>
        <v>70092304</v>
      </c>
      <c r="B618" s="14" t="s">
        <v>776</v>
      </c>
      <c r="D618" s="2" t="str">
        <f>E618&amp;(VLOOKUP(F618,编号表!$E$1:$G$8,2,0))&amp;G618&amp;"_"&amp;H618&amp;"_"&amp;I618</f>
        <v>9N2_3_4</v>
      </c>
      <c r="E618" s="2">
        <v>9</v>
      </c>
      <c r="F618" s="2" t="s">
        <v>174</v>
      </c>
      <c r="G618" s="2">
        <v>2</v>
      </c>
      <c r="H618" s="2">
        <v>3</v>
      </c>
      <c r="I618" s="2">
        <f>COUNTIFS($E$3:E618,E618,$H$3:H618,H618)</f>
        <v>4</v>
      </c>
      <c r="N618" s="11">
        <v>1009201</v>
      </c>
      <c r="O618" s="11">
        <v>1009301</v>
      </c>
      <c r="P618" s="11">
        <v>1009401</v>
      </c>
      <c r="Q618" s="11">
        <v>1009501</v>
      </c>
      <c r="R618" s="11">
        <v>1009601</v>
      </c>
    </row>
    <row r="619" spans="1:18">
      <c r="A619" s="11">
        <f t="shared" si="12"/>
        <v>70094305</v>
      </c>
      <c r="B619" s="14" t="s">
        <v>777</v>
      </c>
      <c r="D619" s="2" t="str">
        <f>E619&amp;(VLOOKUP(F619,编号表!$E$1:$G$8,2,0))&amp;G619&amp;"_"&amp;H619&amp;"_"&amp;I619</f>
        <v>9N4_3_5</v>
      </c>
      <c r="E619" s="2">
        <v>9</v>
      </c>
      <c r="F619" s="2" t="s">
        <v>174</v>
      </c>
      <c r="G619" s="2">
        <v>4</v>
      </c>
      <c r="H619" s="2">
        <v>3</v>
      </c>
      <c r="I619" s="2">
        <f>COUNTIFS($E$3:E619,E619,$H$3:H619,H619)</f>
        <v>5</v>
      </c>
      <c r="N619" s="11">
        <v>1009201</v>
      </c>
      <c r="O619" s="11">
        <v>1009301</v>
      </c>
      <c r="P619" s="11">
        <v>1009401</v>
      </c>
      <c r="Q619" s="11">
        <v>1009501</v>
      </c>
      <c r="R619" s="11">
        <v>1009601</v>
      </c>
    </row>
    <row r="620" spans="1:18">
      <c r="A620" s="11">
        <f t="shared" si="12"/>
        <v>70092306</v>
      </c>
      <c r="B620" s="14" t="s">
        <v>778</v>
      </c>
      <c r="D620" s="2" t="str">
        <f>E620&amp;(VLOOKUP(F620,编号表!$E$1:$G$8,2,0))&amp;G620&amp;"_"&amp;H620&amp;"_"&amp;I620</f>
        <v>9N2_3_6</v>
      </c>
      <c r="E620" s="2">
        <v>9</v>
      </c>
      <c r="F620" s="2" t="s">
        <v>174</v>
      </c>
      <c r="G620" s="2">
        <v>2</v>
      </c>
      <c r="H620" s="2">
        <v>3</v>
      </c>
      <c r="I620" s="2">
        <f>COUNTIFS($E$3:E620,E620,$H$3:H620,H620)</f>
        <v>6</v>
      </c>
      <c r="N620" s="11">
        <v>1009201</v>
      </c>
      <c r="O620" s="11">
        <v>1009301</v>
      </c>
      <c r="P620" s="11">
        <v>1009401</v>
      </c>
      <c r="Q620" s="11">
        <v>1009501</v>
      </c>
      <c r="R620" s="11">
        <v>1009601</v>
      </c>
    </row>
    <row r="621" spans="1:18">
      <c r="A621" s="11">
        <f t="shared" si="12"/>
        <v>70093307</v>
      </c>
      <c r="B621" s="14" t="s">
        <v>779</v>
      </c>
      <c r="D621" s="2" t="str">
        <f>E621&amp;(VLOOKUP(F621,编号表!$E$1:$G$8,2,0))&amp;G621&amp;"_"&amp;H621&amp;"_"&amp;I621</f>
        <v>9N3_3_7</v>
      </c>
      <c r="E621" s="2">
        <v>9</v>
      </c>
      <c r="F621" s="2" t="s">
        <v>174</v>
      </c>
      <c r="G621" s="2">
        <v>3</v>
      </c>
      <c r="H621" s="2">
        <v>3</v>
      </c>
      <c r="I621" s="2">
        <f>COUNTIFS($E$3:E621,E621,$H$3:H621,H621)</f>
        <v>7</v>
      </c>
      <c r="N621" s="11">
        <v>1009201</v>
      </c>
      <c r="O621" s="11">
        <v>1009301</v>
      </c>
      <c r="P621" s="11">
        <v>1009401</v>
      </c>
      <c r="Q621" s="11">
        <v>1009501</v>
      </c>
      <c r="R621" s="11">
        <v>1009601</v>
      </c>
    </row>
    <row r="622" spans="1:18">
      <c r="A622" s="11">
        <f t="shared" si="12"/>
        <v>70092308</v>
      </c>
      <c r="B622" s="14" t="s">
        <v>780</v>
      </c>
      <c r="D622" s="2" t="str">
        <f>E622&amp;(VLOOKUP(F622,编号表!$E$1:$G$8,2,0))&amp;G622&amp;"_"&amp;H622&amp;"_"&amp;I622</f>
        <v>9N2_3_8</v>
      </c>
      <c r="E622" s="2">
        <v>9</v>
      </c>
      <c r="F622" s="2" t="s">
        <v>174</v>
      </c>
      <c r="G622" s="2">
        <v>2</v>
      </c>
      <c r="H622" s="2">
        <v>3</v>
      </c>
      <c r="I622" s="2">
        <f>COUNTIFS($E$3:E622,E622,$H$3:H622,H622)</f>
        <v>8</v>
      </c>
      <c r="N622" s="11">
        <v>1009201</v>
      </c>
      <c r="O622" s="11">
        <v>1009301</v>
      </c>
      <c r="P622" s="11">
        <v>1009401</v>
      </c>
      <c r="Q622" s="11">
        <v>1009501</v>
      </c>
      <c r="R622" s="11">
        <v>1009601</v>
      </c>
    </row>
    <row r="623" spans="1:18">
      <c r="A623" s="11">
        <f t="shared" si="12"/>
        <v>70093309</v>
      </c>
      <c r="B623" s="14" t="s">
        <v>781</v>
      </c>
      <c r="D623" s="2" t="str">
        <f>E623&amp;(VLOOKUP(F623,编号表!$E$1:$G$8,2,0))&amp;G623&amp;"_"&amp;H623&amp;"_"&amp;I623</f>
        <v>9N3_3_9</v>
      </c>
      <c r="E623" s="2">
        <v>9</v>
      </c>
      <c r="F623" s="2" t="s">
        <v>174</v>
      </c>
      <c r="G623" s="2">
        <v>3</v>
      </c>
      <c r="H623" s="2">
        <v>3</v>
      </c>
      <c r="I623" s="2">
        <f>COUNTIFS($E$3:E623,E623,$H$3:H623,H623)</f>
        <v>9</v>
      </c>
      <c r="N623" s="11">
        <v>1009201</v>
      </c>
      <c r="O623" s="11">
        <v>1009301</v>
      </c>
      <c r="P623" s="11">
        <v>1009401</v>
      </c>
      <c r="Q623" s="11">
        <v>1009501</v>
      </c>
      <c r="R623" s="11">
        <v>1009601</v>
      </c>
    </row>
    <row r="624" spans="1:18">
      <c r="A624" s="11">
        <f t="shared" si="12"/>
        <v>70092310</v>
      </c>
      <c r="B624" s="14" t="s">
        <v>782</v>
      </c>
      <c r="D624" s="2" t="str">
        <f>E624&amp;(VLOOKUP(F624,编号表!$E$1:$G$8,2,0))&amp;G624&amp;"_"&amp;H624&amp;"_"&amp;I624</f>
        <v>9N2_3_10</v>
      </c>
      <c r="E624" s="2">
        <v>9</v>
      </c>
      <c r="F624" s="2" t="s">
        <v>174</v>
      </c>
      <c r="G624" s="2">
        <v>2</v>
      </c>
      <c r="H624" s="2">
        <v>3</v>
      </c>
      <c r="I624" s="2">
        <f>COUNTIFS($E$3:E624,E624,$H$3:H624,H624)</f>
        <v>10</v>
      </c>
      <c r="N624" s="11">
        <v>1009201</v>
      </c>
      <c r="O624" s="11">
        <v>1009301</v>
      </c>
      <c r="P624" s="11">
        <v>1009401</v>
      </c>
      <c r="Q624" s="11">
        <v>1009501</v>
      </c>
      <c r="R624" s="11">
        <v>1009601</v>
      </c>
    </row>
    <row r="625" spans="1:18">
      <c r="A625" s="11">
        <f t="shared" si="12"/>
        <v>70093311</v>
      </c>
      <c r="B625" s="14" t="s">
        <v>783</v>
      </c>
      <c r="D625" s="2" t="str">
        <f>E625&amp;(VLOOKUP(F625,编号表!$E$1:$G$8,2,0))&amp;G625&amp;"_"&amp;H625&amp;"_"&amp;I625</f>
        <v>9N3_3_11</v>
      </c>
      <c r="E625" s="2">
        <v>9</v>
      </c>
      <c r="F625" s="2" t="s">
        <v>174</v>
      </c>
      <c r="G625" s="2">
        <v>3</v>
      </c>
      <c r="H625" s="2">
        <v>3</v>
      </c>
      <c r="I625" s="2">
        <f>COUNTIFS($E$3:E625,E625,$H$3:H625,H625)</f>
        <v>11</v>
      </c>
      <c r="N625" s="11">
        <v>1009201</v>
      </c>
      <c r="O625" s="11">
        <v>1009301</v>
      </c>
      <c r="P625" s="11">
        <v>1009401</v>
      </c>
      <c r="Q625" s="11">
        <v>1009501</v>
      </c>
      <c r="R625" s="11">
        <v>1009601</v>
      </c>
    </row>
    <row r="626" spans="1:18">
      <c r="A626" s="11">
        <f t="shared" si="12"/>
        <v>70092312</v>
      </c>
      <c r="B626" s="14" t="s">
        <v>784</v>
      </c>
      <c r="D626" s="2" t="str">
        <f>E626&amp;(VLOOKUP(F626,编号表!$E$1:$G$8,2,0))&amp;G626&amp;"_"&amp;H626&amp;"_"&amp;I626</f>
        <v>9N2_3_12</v>
      </c>
      <c r="E626" s="2">
        <v>9</v>
      </c>
      <c r="F626" s="2" t="s">
        <v>174</v>
      </c>
      <c r="G626" s="2">
        <v>2</v>
      </c>
      <c r="H626" s="2">
        <v>3</v>
      </c>
      <c r="I626" s="2">
        <f>COUNTIFS($E$3:E626,E626,$H$3:H626,H626)</f>
        <v>12</v>
      </c>
      <c r="N626" s="11">
        <v>1009201</v>
      </c>
      <c r="O626" s="11">
        <v>1009301</v>
      </c>
      <c r="P626" s="11">
        <v>1009401</v>
      </c>
      <c r="Q626" s="11">
        <v>1009501</v>
      </c>
      <c r="R626" s="11">
        <v>1009601</v>
      </c>
    </row>
    <row r="627" spans="1:18">
      <c r="A627" s="11">
        <f t="shared" si="12"/>
        <v>70093313</v>
      </c>
      <c r="B627" s="14" t="s">
        <v>785</v>
      </c>
      <c r="D627" s="2" t="str">
        <f>E627&amp;(VLOOKUP(F627,编号表!$E$1:$G$8,2,0))&amp;G627&amp;"_"&amp;H627&amp;"_"&amp;I627</f>
        <v>9N3_3_13</v>
      </c>
      <c r="E627" s="2">
        <v>9</v>
      </c>
      <c r="F627" s="2" t="s">
        <v>174</v>
      </c>
      <c r="G627" s="2">
        <v>3</v>
      </c>
      <c r="H627" s="2">
        <v>3</v>
      </c>
      <c r="I627" s="2">
        <f>COUNTIFS($E$3:E627,E627,$H$3:H627,H627)</f>
        <v>13</v>
      </c>
      <c r="N627" s="11">
        <v>1009201</v>
      </c>
      <c r="O627" s="11">
        <v>1009301</v>
      </c>
      <c r="P627" s="11">
        <v>1009401</v>
      </c>
      <c r="Q627" s="11">
        <v>1009501</v>
      </c>
      <c r="R627" s="11">
        <v>1009601</v>
      </c>
    </row>
    <row r="628" spans="1:18">
      <c r="A628" s="11">
        <f t="shared" si="12"/>
        <v>70093401</v>
      </c>
      <c r="B628" s="14" t="s">
        <v>786</v>
      </c>
      <c r="D628" s="2" t="str">
        <f>E628&amp;(VLOOKUP(F628,编号表!$E$1:$G$8,2,0))&amp;G628&amp;"_"&amp;H628&amp;"_"&amp;I628</f>
        <v>9N3_4_1</v>
      </c>
      <c r="E628" s="2">
        <v>9</v>
      </c>
      <c r="F628" s="2" t="s">
        <v>174</v>
      </c>
      <c r="G628" s="2">
        <v>3</v>
      </c>
      <c r="H628" s="2">
        <v>4</v>
      </c>
      <c r="I628" s="2">
        <f>COUNTIFS($E$3:E628,E628,$H$3:H628,H628)</f>
        <v>1</v>
      </c>
      <c r="N628" s="11">
        <v>1009201</v>
      </c>
      <c r="O628" s="11">
        <v>1009301</v>
      </c>
      <c r="P628" s="11">
        <v>1009401</v>
      </c>
      <c r="Q628" s="11">
        <v>1009501</v>
      </c>
      <c r="R628" s="11">
        <v>1009601</v>
      </c>
    </row>
    <row r="629" spans="1:18">
      <c r="A629" s="11">
        <f t="shared" si="12"/>
        <v>70093402</v>
      </c>
      <c r="B629" s="14" t="s">
        <v>787</v>
      </c>
      <c r="D629" s="2" t="str">
        <f>E629&amp;(VLOOKUP(F629,编号表!$E$1:$G$8,2,0))&amp;G629&amp;"_"&amp;H629&amp;"_"&amp;I629</f>
        <v>9N3_4_2</v>
      </c>
      <c r="E629" s="2">
        <v>9</v>
      </c>
      <c r="F629" s="2" t="s">
        <v>174</v>
      </c>
      <c r="G629" s="2">
        <v>3</v>
      </c>
      <c r="H629" s="2">
        <v>4</v>
      </c>
      <c r="I629" s="2">
        <f>COUNTIFS($E$3:E629,E629,$H$3:H629,H629)</f>
        <v>2</v>
      </c>
      <c r="N629" s="11">
        <v>1009201</v>
      </c>
      <c r="O629" s="11">
        <v>1009301</v>
      </c>
      <c r="P629" s="11">
        <v>1009401</v>
      </c>
      <c r="Q629" s="11">
        <v>1009501</v>
      </c>
      <c r="R629" s="11">
        <v>1009601</v>
      </c>
    </row>
    <row r="630" spans="1:18">
      <c r="A630" s="11">
        <f t="shared" si="12"/>
        <v>70093403</v>
      </c>
      <c r="B630" s="14" t="s">
        <v>788</v>
      </c>
      <c r="D630" s="2" t="str">
        <f>E630&amp;(VLOOKUP(F630,编号表!$E$1:$G$8,2,0))&amp;G630&amp;"_"&amp;H630&amp;"_"&amp;I630</f>
        <v>9N3_4_3</v>
      </c>
      <c r="E630" s="2">
        <v>9</v>
      </c>
      <c r="F630" s="2" t="s">
        <v>174</v>
      </c>
      <c r="G630" s="2">
        <v>3</v>
      </c>
      <c r="H630" s="2">
        <v>4</v>
      </c>
      <c r="I630" s="2">
        <f>COUNTIFS($E$3:E630,E630,$H$3:H630,H630)</f>
        <v>3</v>
      </c>
      <c r="N630" s="11">
        <v>1009201</v>
      </c>
      <c r="O630" s="11">
        <v>1009301</v>
      </c>
      <c r="P630" s="11">
        <v>1009401</v>
      </c>
      <c r="Q630" s="11">
        <v>1009501</v>
      </c>
      <c r="R630" s="11">
        <v>1009601</v>
      </c>
    </row>
    <row r="631" spans="1:18">
      <c r="A631" s="11">
        <f t="shared" si="12"/>
        <v>70093404</v>
      </c>
      <c r="B631" s="14" t="s">
        <v>789</v>
      </c>
      <c r="D631" s="2" t="str">
        <f>E631&amp;(VLOOKUP(F631,编号表!$E$1:$G$8,2,0))&amp;G631&amp;"_"&amp;H631&amp;"_"&amp;I631</f>
        <v>9N3_4_4</v>
      </c>
      <c r="E631" s="2">
        <v>9</v>
      </c>
      <c r="F631" s="2" t="s">
        <v>174</v>
      </c>
      <c r="G631" s="2">
        <v>3</v>
      </c>
      <c r="H631" s="2">
        <v>4</v>
      </c>
      <c r="I631" s="2">
        <f>COUNTIFS($E$3:E631,E631,$H$3:H631,H631)</f>
        <v>4</v>
      </c>
      <c r="N631" s="11">
        <v>1009201</v>
      </c>
      <c r="O631" s="11">
        <v>1009301</v>
      </c>
      <c r="P631" s="11">
        <v>1009401</v>
      </c>
      <c r="Q631" s="11">
        <v>1009501</v>
      </c>
      <c r="R631" s="11">
        <v>1009601</v>
      </c>
    </row>
    <row r="632" spans="1:18">
      <c r="A632" s="11">
        <f t="shared" si="12"/>
        <v>70093405</v>
      </c>
      <c r="B632" s="14" t="s">
        <v>790</v>
      </c>
      <c r="D632" s="2" t="str">
        <f>E632&amp;(VLOOKUP(F632,编号表!$E$1:$G$8,2,0))&amp;G632&amp;"_"&amp;H632&amp;"_"&amp;I632</f>
        <v>9N3_4_5</v>
      </c>
      <c r="E632" s="2">
        <v>9</v>
      </c>
      <c r="F632" s="2" t="s">
        <v>174</v>
      </c>
      <c r="G632" s="2">
        <v>3</v>
      </c>
      <c r="H632" s="2">
        <v>4</v>
      </c>
      <c r="I632" s="2">
        <f>COUNTIFS($E$3:E632,E632,$H$3:H632,H632)</f>
        <v>5</v>
      </c>
      <c r="N632" s="11">
        <v>1009201</v>
      </c>
      <c r="O632" s="11">
        <v>1009301</v>
      </c>
      <c r="P632" s="11">
        <v>1009401</v>
      </c>
      <c r="Q632" s="11">
        <v>1009501</v>
      </c>
      <c r="R632" s="11">
        <v>1009601</v>
      </c>
    </row>
    <row r="633" spans="1:18">
      <c r="A633" s="11">
        <f t="shared" si="12"/>
        <v>70093406</v>
      </c>
      <c r="B633" s="14" t="s">
        <v>791</v>
      </c>
      <c r="D633" s="2" t="str">
        <f>E633&amp;(VLOOKUP(F633,编号表!$E$1:$G$8,2,0))&amp;G633&amp;"_"&amp;H633&amp;"_"&amp;I633</f>
        <v>9N3_4_6</v>
      </c>
      <c r="E633" s="2">
        <v>9</v>
      </c>
      <c r="F633" s="2" t="s">
        <v>174</v>
      </c>
      <c r="G633" s="2">
        <v>3</v>
      </c>
      <c r="H633" s="2">
        <v>4</v>
      </c>
      <c r="I633" s="2">
        <f>COUNTIFS($E$3:E633,E633,$H$3:H633,H633)</f>
        <v>6</v>
      </c>
      <c r="N633" s="11">
        <v>1009201</v>
      </c>
      <c r="O633" s="11">
        <v>1009301</v>
      </c>
      <c r="P633" s="11">
        <v>1009401</v>
      </c>
      <c r="Q633" s="11">
        <v>1009501</v>
      </c>
      <c r="R633" s="11">
        <v>1009601</v>
      </c>
    </row>
    <row r="634" spans="1:18">
      <c r="A634" s="11">
        <f t="shared" si="12"/>
        <v>70093407</v>
      </c>
      <c r="B634" s="14" t="s">
        <v>792</v>
      </c>
      <c r="D634" s="2" t="str">
        <f>E634&amp;(VLOOKUP(F634,编号表!$E$1:$G$8,2,0))&amp;G634&amp;"_"&amp;H634&amp;"_"&amp;I634</f>
        <v>9N3_4_7</v>
      </c>
      <c r="E634" s="2">
        <v>9</v>
      </c>
      <c r="F634" s="2" t="s">
        <v>174</v>
      </c>
      <c r="G634" s="2">
        <v>3</v>
      </c>
      <c r="H634" s="2">
        <v>4</v>
      </c>
      <c r="I634" s="2">
        <f>COUNTIFS($E$3:E634,E634,$H$3:H634,H634)</f>
        <v>7</v>
      </c>
      <c r="N634" s="11">
        <v>1009201</v>
      </c>
      <c r="O634" s="11">
        <v>1009301</v>
      </c>
      <c r="P634" s="11">
        <v>1009401</v>
      </c>
      <c r="Q634" s="11">
        <v>1009501</v>
      </c>
      <c r="R634" s="11">
        <v>1009601</v>
      </c>
    </row>
    <row r="635" spans="1:18">
      <c r="A635" s="11">
        <f t="shared" si="12"/>
        <v>70092408</v>
      </c>
      <c r="B635" s="14" t="s">
        <v>793</v>
      </c>
      <c r="D635" s="2" t="str">
        <f>E635&amp;(VLOOKUP(F635,编号表!$E$1:$G$8,2,0))&amp;G635&amp;"_"&amp;H635&amp;"_"&amp;I635</f>
        <v>9N2_4_8</v>
      </c>
      <c r="E635" s="2">
        <v>9</v>
      </c>
      <c r="F635" s="2" t="s">
        <v>174</v>
      </c>
      <c r="G635" s="2">
        <v>2</v>
      </c>
      <c r="H635" s="2">
        <v>4</v>
      </c>
      <c r="I635" s="2">
        <f>COUNTIFS($E$3:E635,E635,$H$3:H635,H635)</f>
        <v>8</v>
      </c>
      <c r="N635" s="11">
        <v>1009201</v>
      </c>
      <c r="O635" s="11">
        <v>1009301</v>
      </c>
      <c r="P635" s="11">
        <v>1009401</v>
      </c>
      <c r="Q635" s="11">
        <v>1009501</v>
      </c>
      <c r="R635" s="11">
        <v>1009601</v>
      </c>
    </row>
    <row r="636" spans="1:18">
      <c r="A636" s="11">
        <f t="shared" si="12"/>
        <v>70093409</v>
      </c>
      <c r="B636" s="14" t="s">
        <v>794</v>
      </c>
      <c r="D636" s="2" t="str">
        <f>E636&amp;(VLOOKUP(F636,编号表!$E$1:$G$8,2,0))&amp;G636&amp;"_"&amp;H636&amp;"_"&amp;I636</f>
        <v>9N3_4_9</v>
      </c>
      <c r="E636" s="2">
        <v>9</v>
      </c>
      <c r="F636" s="2" t="s">
        <v>174</v>
      </c>
      <c r="G636" s="2">
        <v>3</v>
      </c>
      <c r="H636" s="2">
        <v>4</v>
      </c>
      <c r="I636" s="2">
        <f>COUNTIFS($E$3:E636,E636,$H$3:H636,H636)</f>
        <v>9</v>
      </c>
      <c r="N636" s="11">
        <v>1009201</v>
      </c>
      <c r="O636" s="11">
        <v>1009301</v>
      </c>
      <c r="P636" s="11">
        <v>1009401</v>
      </c>
      <c r="Q636" s="11">
        <v>1009501</v>
      </c>
      <c r="R636" s="11">
        <v>1009601</v>
      </c>
    </row>
    <row r="637" spans="1:18">
      <c r="A637" s="11">
        <f t="shared" ref="A637:A700" si="13">70000000+E637*10000+G637*1000+H637*100+I637</f>
        <v>70093501</v>
      </c>
      <c r="B637" s="14" t="s">
        <v>795</v>
      </c>
      <c r="D637" s="2" t="str">
        <f>E637&amp;(VLOOKUP(F637,编号表!$E$1:$G$8,2,0))&amp;G637&amp;"_"&amp;H637&amp;"_"&amp;I637</f>
        <v>9N3_5_1</v>
      </c>
      <c r="E637" s="2">
        <v>9</v>
      </c>
      <c r="F637" s="2" t="s">
        <v>174</v>
      </c>
      <c r="G637" s="2">
        <v>3</v>
      </c>
      <c r="H637" s="2">
        <v>5</v>
      </c>
      <c r="I637" s="2">
        <f>COUNTIFS($E$3:E637,E637,$H$3:H637,H637)</f>
        <v>1</v>
      </c>
      <c r="N637" s="11">
        <v>1009201</v>
      </c>
      <c r="O637" s="11">
        <v>1009301</v>
      </c>
      <c r="P637" s="11">
        <v>1009401</v>
      </c>
      <c r="Q637" s="11">
        <v>1009501</v>
      </c>
      <c r="R637" s="11">
        <v>1009601</v>
      </c>
    </row>
    <row r="638" spans="1:18">
      <c r="A638" s="11">
        <f t="shared" si="13"/>
        <v>70092502</v>
      </c>
      <c r="B638" s="14" t="s">
        <v>796</v>
      </c>
      <c r="D638" s="2" t="str">
        <f>E638&amp;(VLOOKUP(F638,编号表!$E$1:$G$8,2,0))&amp;G638&amp;"_"&amp;H638&amp;"_"&amp;I638</f>
        <v>9N2_5_2</v>
      </c>
      <c r="E638" s="2">
        <v>9</v>
      </c>
      <c r="F638" s="2" t="s">
        <v>174</v>
      </c>
      <c r="G638" s="2">
        <v>2</v>
      </c>
      <c r="H638" s="2">
        <v>5</v>
      </c>
      <c r="I638" s="2">
        <f>COUNTIFS($E$3:E638,E638,$H$3:H638,H638)</f>
        <v>2</v>
      </c>
      <c r="N638" s="11">
        <v>1009201</v>
      </c>
      <c r="O638" s="11">
        <v>1009301</v>
      </c>
      <c r="P638" s="11">
        <v>1009401</v>
      </c>
      <c r="Q638" s="11">
        <v>1009501</v>
      </c>
      <c r="R638" s="11">
        <v>1009601</v>
      </c>
    </row>
    <row r="639" spans="1:18">
      <c r="A639" s="11">
        <f t="shared" si="13"/>
        <v>70092503</v>
      </c>
      <c r="B639" s="14" t="s">
        <v>797</v>
      </c>
      <c r="D639" s="2" t="str">
        <f>E639&amp;(VLOOKUP(F639,编号表!$E$1:$G$8,2,0))&amp;G639&amp;"_"&amp;H639&amp;"_"&amp;I639</f>
        <v>9N2_5_3</v>
      </c>
      <c r="E639" s="2">
        <v>9</v>
      </c>
      <c r="F639" s="2" t="s">
        <v>174</v>
      </c>
      <c r="G639" s="2">
        <v>2</v>
      </c>
      <c r="H639" s="2">
        <v>5</v>
      </c>
      <c r="I639" s="2">
        <f>COUNTIFS($E$3:E639,E639,$H$3:H639,H639)</f>
        <v>3</v>
      </c>
      <c r="N639" s="11">
        <v>1009201</v>
      </c>
      <c r="O639" s="11">
        <v>1009301</v>
      </c>
      <c r="P639" s="11">
        <v>1009401</v>
      </c>
      <c r="Q639" s="11">
        <v>1009501</v>
      </c>
      <c r="R639" s="11">
        <v>1009601</v>
      </c>
    </row>
    <row r="640" spans="1:18">
      <c r="A640" s="11">
        <f t="shared" si="13"/>
        <v>70093504</v>
      </c>
      <c r="B640" s="14" t="s">
        <v>798</v>
      </c>
      <c r="D640" s="2" t="str">
        <f>E640&amp;(VLOOKUP(F640,编号表!$E$1:$G$8,2,0))&amp;G640&amp;"_"&amp;H640&amp;"_"&amp;I640</f>
        <v>9N3_5_4</v>
      </c>
      <c r="E640" s="2">
        <v>9</v>
      </c>
      <c r="F640" s="2" t="s">
        <v>174</v>
      </c>
      <c r="G640" s="2">
        <v>3</v>
      </c>
      <c r="H640" s="2">
        <v>5</v>
      </c>
      <c r="I640" s="2">
        <f>COUNTIFS($E$3:E640,E640,$H$3:H640,H640)</f>
        <v>4</v>
      </c>
      <c r="N640" s="11">
        <v>1009201</v>
      </c>
      <c r="O640" s="11">
        <v>1009301</v>
      </c>
      <c r="P640" s="11">
        <v>1009401</v>
      </c>
      <c r="Q640" s="11">
        <v>1009501</v>
      </c>
      <c r="R640" s="11">
        <v>1009601</v>
      </c>
    </row>
    <row r="641" spans="1:18">
      <c r="A641" s="11">
        <f t="shared" si="13"/>
        <v>70092505</v>
      </c>
      <c r="B641" s="14" t="s">
        <v>799</v>
      </c>
      <c r="D641" s="2" t="str">
        <f>E641&amp;(VLOOKUP(F641,编号表!$E$1:$G$8,2,0))&amp;G641&amp;"_"&amp;H641&amp;"_"&amp;I641</f>
        <v>9N2_5_5</v>
      </c>
      <c r="E641" s="2">
        <v>9</v>
      </c>
      <c r="F641" s="2" t="s">
        <v>174</v>
      </c>
      <c r="G641" s="2">
        <v>2</v>
      </c>
      <c r="H641" s="2">
        <v>5</v>
      </c>
      <c r="I641" s="2">
        <f>COUNTIFS($E$3:E641,E641,$H$3:H641,H641)</f>
        <v>5</v>
      </c>
      <c r="N641" s="11">
        <v>1009201</v>
      </c>
      <c r="O641" s="11">
        <v>1009301</v>
      </c>
      <c r="P641" s="11">
        <v>1009401</v>
      </c>
      <c r="Q641" s="11">
        <v>1009501</v>
      </c>
      <c r="R641" s="11">
        <v>1009601</v>
      </c>
    </row>
    <row r="642" spans="1:18">
      <c r="A642" s="11">
        <f t="shared" si="13"/>
        <v>70092506</v>
      </c>
      <c r="B642" s="14" t="s">
        <v>800</v>
      </c>
      <c r="D642" s="2" t="str">
        <f>E642&amp;(VLOOKUP(F642,编号表!$E$1:$G$8,2,0))&amp;G642&amp;"_"&amp;H642&amp;"_"&amp;I642</f>
        <v>9N2_5_6</v>
      </c>
      <c r="E642" s="2">
        <v>9</v>
      </c>
      <c r="F642" s="2" t="s">
        <v>174</v>
      </c>
      <c r="G642" s="2">
        <v>2</v>
      </c>
      <c r="H642" s="2">
        <v>5</v>
      </c>
      <c r="I642" s="2">
        <f>COUNTIFS($E$3:E642,E642,$H$3:H642,H642)</f>
        <v>6</v>
      </c>
      <c r="N642" s="11">
        <v>1009201</v>
      </c>
      <c r="O642" s="11">
        <v>1009301</v>
      </c>
      <c r="P642" s="11">
        <v>1009401</v>
      </c>
      <c r="Q642" s="11">
        <v>1009501</v>
      </c>
      <c r="R642" s="11">
        <v>1009601</v>
      </c>
    </row>
    <row r="643" spans="1:18">
      <c r="A643" s="11">
        <f t="shared" si="13"/>
        <v>70093507</v>
      </c>
      <c r="B643" s="14" t="s">
        <v>801</v>
      </c>
      <c r="D643" s="2" t="str">
        <f>E643&amp;(VLOOKUP(F643,编号表!$E$1:$G$8,2,0))&amp;G643&amp;"_"&amp;H643&amp;"_"&amp;I643</f>
        <v>9N3_5_7</v>
      </c>
      <c r="E643" s="2">
        <v>9</v>
      </c>
      <c r="F643" s="2" t="s">
        <v>174</v>
      </c>
      <c r="G643" s="2">
        <v>3</v>
      </c>
      <c r="H643" s="2">
        <v>5</v>
      </c>
      <c r="I643" s="2">
        <f>COUNTIFS($E$3:E643,E643,$H$3:H643,H643)</f>
        <v>7</v>
      </c>
      <c r="N643" s="11">
        <v>1009201</v>
      </c>
      <c r="O643" s="11">
        <v>1009301</v>
      </c>
      <c r="P643" s="11">
        <v>1009401</v>
      </c>
      <c r="Q643" s="11">
        <v>1009501</v>
      </c>
      <c r="R643" s="11">
        <v>1009601</v>
      </c>
    </row>
    <row r="644" spans="1:18">
      <c r="A644" s="11">
        <f t="shared" si="13"/>
        <v>70094508</v>
      </c>
      <c r="B644" s="14" t="s">
        <v>802</v>
      </c>
      <c r="D644" s="2" t="str">
        <f>E644&amp;(VLOOKUP(F644,编号表!$E$1:$G$8,2,0))&amp;G644&amp;"_"&amp;H644&amp;"_"&amp;I644</f>
        <v>9N4_5_8</v>
      </c>
      <c r="E644" s="2">
        <v>9</v>
      </c>
      <c r="F644" s="2" t="s">
        <v>174</v>
      </c>
      <c r="G644" s="2">
        <v>4</v>
      </c>
      <c r="H644" s="2">
        <v>5</v>
      </c>
      <c r="I644" s="2">
        <f>COUNTIFS($E$3:E644,E644,$H$3:H644,H644)</f>
        <v>8</v>
      </c>
      <c r="N644" s="11">
        <v>1009201</v>
      </c>
      <c r="O644" s="11">
        <v>1009301</v>
      </c>
      <c r="P644" s="11">
        <v>1009401</v>
      </c>
      <c r="Q644" s="11">
        <v>1009501</v>
      </c>
      <c r="R644" s="11">
        <v>1009601</v>
      </c>
    </row>
    <row r="645" spans="1:18">
      <c r="A645" s="11">
        <f t="shared" si="13"/>
        <v>70093601</v>
      </c>
      <c r="B645" s="14" t="s">
        <v>803</v>
      </c>
      <c r="D645" s="2" t="str">
        <f>E645&amp;(VLOOKUP(F645,编号表!$E$1:$G$8,2,0))&amp;G645&amp;"_"&amp;H645&amp;"_"&amp;I645</f>
        <v>9N3_6_1</v>
      </c>
      <c r="E645" s="2">
        <v>9</v>
      </c>
      <c r="F645" s="2" t="s">
        <v>174</v>
      </c>
      <c r="G645" s="2">
        <v>3</v>
      </c>
      <c r="H645" s="2">
        <v>6</v>
      </c>
      <c r="I645" s="2">
        <f>COUNTIFS($E$3:E645,E645,$H$3:H645,H645)</f>
        <v>1</v>
      </c>
      <c r="N645" s="11">
        <v>1009201</v>
      </c>
      <c r="O645" s="11">
        <v>1009301</v>
      </c>
      <c r="P645" s="11">
        <v>1009401</v>
      </c>
      <c r="Q645" s="11">
        <v>1009501</v>
      </c>
      <c r="R645" s="11">
        <v>1009601</v>
      </c>
    </row>
    <row r="646" spans="1:18">
      <c r="A646" s="11">
        <f t="shared" si="13"/>
        <v>70092602</v>
      </c>
      <c r="B646" s="14" t="s">
        <v>804</v>
      </c>
      <c r="D646" s="2" t="str">
        <f>E646&amp;(VLOOKUP(F646,编号表!$E$1:$G$8,2,0))&amp;G646&amp;"_"&amp;H646&amp;"_"&amp;I646</f>
        <v>9N2_6_2</v>
      </c>
      <c r="E646" s="2">
        <v>9</v>
      </c>
      <c r="F646" s="2" t="s">
        <v>174</v>
      </c>
      <c r="G646" s="2">
        <v>2</v>
      </c>
      <c r="H646" s="2">
        <v>6</v>
      </c>
      <c r="I646" s="2">
        <f>COUNTIFS($E$3:E646,E646,$H$3:H646,H646)</f>
        <v>2</v>
      </c>
      <c r="N646" s="11">
        <v>1009201</v>
      </c>
      <c r="O646" s="11">
        <v>1009301</v>
      </c>
      <c r="P646" s="11">
        <v>1009401</v>
      </c>
      <c r="Q646" s="11">
        <v>1009501</v>
      </c>
      <c r="R646" s="11">
        <v>1009601</v>
      </c>
    </row>
    <row r="647" spans="1:18">
      <c r="A647" s="11">
        <f t="shared" si="13"/>
        <v>70092603</v>
      </c>
      <c r="B647" s="14" t="s">
        <v>805</v>
      </c>
      <c r="D647" s="2" t="str">
        <f>E647&amp;(VLOOKUP(F647,编号表!$E$1:$G$8,2,0))&amp;G647&amp;"_"&amp;H647&amp;"_"&amp;I647</f>
        <v>9N2_6_3</v>
      </c>
      <c r="E647" s="2">
        <v>9</v>
      </c>
      <c r="F647" s="2" t="s">
        <v>174</v>
      </c>
      <c r="G647" s="2">
        <v>2</v>
      </c>
      <c r="H647" s="2">
        <v>6</v>
      </c>
      <c r="I647" s="2">
        <f>COUNTIFS($E$3:E647,E647,$H$3:H647,H647)</f>
        <v>3</v>
      </c>
      <c r="N647" s="11">
        <v>1009201</v>
      </c>
      <c r="O647" s="11">
        <v>1009301</v>
      </c>
      <c r="P647" s="11">
        <v>1009401</v>
      </c>
      <c r="Q647" s="11">
        <v>1009501</v>
      </c>
      <c r="R647" s="11">
        <v>1009601</v>
      </c>
    </row>
    <row r="648" spans="1:18">
      <c r="A648" s="11">
        <f t="shared" si="13"/>
        <v>70094604</v>
      </c>
      <c r="B648" s="14" t="s">
        <v>806</v>
      </c>
      <c r="D648" s="2" t="str">
        <f>E648&amp;(VLOOKUP(F648,编号表!$E$1:$G$8,2,0))&amp;G648&amp;"_"&amp;H648&amp;"_"&amp;I648</f>
        <v>9N4_6_4</v>
      </c>
      <c r="E648" s="2">
        <v>9</v>
      </c>
      <c r="F648" s="2" t="s">
        <v>174</v>
      </c>
      <c r="G648" s="2">
        <v>4</v>
      </c>
      <c r="H648" s="2">
        <v>6</v>
      </c>
      <c r="I648" s="2">
        <f>COUNTIFS($E$3:E648,E648,$H$3:H648,H648)</f>
        <v>4</v>
      </c>
      <c r="N648" s="11">
        <v>1009201</v>
      </c>
      <c r="O648" s="11">
        <v>1009301</v>
      </c>
      <c r="P648" s="11">
        <v>1009401</v>
      </c>
      <c r="Q648" s="11">
        <v>1009501</v>
      </c>
      <c r="R648" s="11">
        <v>1009601</v>
      </c>
    </row>
    <row r="649" spans="1:18">
      <c r="A649" s="11">
        <f t="shared" si="13"/>
        <v>70094605</v>
      </c>
      <c r="B649" s="14" t="s">
        <v>807</v>
      </c>
      <c r="D649" s="2" t="str">
        <f>E649&amp;(VLOOKUP(F649,编号表!$E$1:$G$8,2,0))&amp;G649&amp;"_"&amp;H649&amp;"_"&amp;I649</f>
        <v>9N4_6_5</v>
      </c>
      <c r="E649" s="2">
        <v>9</v>
      </c>
      <c r="F649" s="2" t="s">
        <v>174</v>
      </c>
      <c r="G649" s="2">
        <v>4</v>
      </c>
      <c r="H649" s="2">
        <v>6</v>
      </c>
      <c r="I649" s="2">
        <f>COUNTIFS($E$3:E649,E649,$H$3:H649,H649)</f>
        <v>5</v>
      </c>
      <c r="N649" s="11">
        <v>1009201</v>
      </c>
      <c r="O649" s="11">
        <v>1009301</v>
      </c>
      <c r="P649" s="11">
        <v>1009401</v>
      </c>
      <c r="Q649" s="11">
        <v>1009501</v>
      </c>
      <c r="R649" s="11">
        <v>1009601</v>
      </c>
    </row>
    <row r="650" spans="1:18">
      <c r="A650" s="11">
        <f t="shared" si="13"/>
        <v>70094606</v>
      </c>
      <c r="B650" s="14" t="s">
        <v>808</v>
      </c>
      <c r="D650" s="2" t="str">
        <f>E650&amp;(VLOOKUP(F650,编号表!$E$1:$G$8,2,0))&amp;G650&amp;"_"&amp;H650&amp;"_"&amp;I650</f>
        <v>9N4_6_6</v>
      </c>
      <c r="E650" s="2">
        <v>9</v>
      </c>
      <c r="F650" s="2" t="s">
        <v>174</v>
      </c>
      <c r="G650" s="2">
        <v>4</v>
      </c>
      <c r="H650" s="2">
        <v>6</v>
      </c>
      <c r="I650" s="2">
        <f>COUNTIFS($E$3:E650,E650,$H$3:H650,H650)</f>
        <v>6</v>
      </c>
      <c r="N650" s="11">
        <v>1009201</v>
      </c>
      <c r="O650" s="11">
        <v>1009301</v>
      </c>
      <c r="P650" s="11">
        <v>1009401</v>
      </c>
      <c r="Q650" s="11">
        <v>1009501</v>
      </c>
      <c r="R650" s="11">
        <v>1009601</v>
      </c>
    </row>
    <row r="651" spans="1:18">
      <c r="A651" s="11">
        <f t="shared" si="13"/>
        <v>70094607</v>
      </c>
      <c r="B651" s="14" t="s">
        <v>809</v>
      </c>
      <c r="D651" s="2" t="str">
        <f>E651&amp;(VLOOKUP(F651,编号表!$E$1:$G$8,2,0))&amp;G651&amp;"_"&amp;H651&amp;"_"&amp;I651</f>
        <v>9N4_6_7</v>
      </c>
      <c r="E651" s="2">
        <v>9</v>
      </c>
      <c r="F651" s="2" t="s">
        <v>174</v>
      </c>
      <c r="G651" s="2">
        <v>4</v>
      </c>
      <c r="H651" s="2">
        <v>6</v>
      </c>
      <c r="I651" s="2">
        <f>COUNTIFS($E$3:E651,E651,$H$3:H651,H651)</f>
        <v>7</v>
      </c>
      <c r="N651" s="11">
        <v>1009201</v>
      </c>
      <c r="O651" s="11">
        <v>1009301</v>
      </c>
      <c r="P651" s="11">
        <v>1009401</v>
      </c>
      <c r="Q651" s="11">
        <v>1009501</v>
      </c>
      <c r="R651" s="11">
        <v>1009601</v>
      </c>
    </row>
    <row r="652" spans="1:18">
      <c r="A652" s="11">
        <f t="shared" si="13"/>
        <v>70094608</v>
      </c>
      <c r="B652" s="14" t="s">
        <v>810</v>
      </c>
      <c r="D652" s="2" t="str">
        <f>E652&amp;(VLOOKUP(F652,编号表!$E$1:$G$8,2,0))&amp;G652&amp;"_"&amp;H652&amp;"_"&amp;I652</f>
        <v>9N4_6_8</v>
      </c>
      <c r="E652" s="2">
        <v>9</v>
      </c>
      <c r="F652" s="2" t="s">
        <v>174</v>
      </c>
      <c r="G652" s="2">
        <v>4</v>
      </c>
      <c r="H652" s="2">
        <v>6</v>
      </c>
      <c r="I652" s="2">
        <f>COUNTIFS($E$3:E652,E652,$H$3:H652,H652)</f>
        <v>8</v>
      </c>
      <c r="N652" s="11">
        <v>1009201</v>
      </c>
      <c r="O652" s="11">
        <v>1009301</v>
      </c>
      <c r="P652" s="11">
        <v>1009401</v>
      </c>
      <c r="Q652" s="11">
        <v>1009501</v>
      </c>
      <c r="R652" s="11">
        <v>1009601</v>
      </c>
    </row>
    <row r="653" spans="1:18">
      <c r="A653" s="11">
        <f t="shared" si="13"/>
        <v>70093609</v>
      </c>
      <c r="B653" s="14" t="s">
        <v>811</v>
      </c>
      <c r="D653" s="2" t="str">
        <f>E653&amp;(VLOOKUP(F653,编号表!$E$1:$G$8,2,0))&amp;G653&amp;"_"&amp;H653&amp;"_"&amp;I653</f>
        <v>9N3_6_9</v>
      </c>
      <c r="E653" s="2">
        <v>9</v>
      </c>
      <c r="F653" s="2" t="s">
        <v>174</v>
      </c>
      <c r="G653" s="2">
        <v>3</v>
      </c>
      <c r="H653" s="2">
        <v>6</v>
      </c>
      <c r="I653" s="2">
        <f>COUNTIFS($E$3:E653,E653,$H$3:H653,H653)</f>
        <v>9</v>
      </c>
      <c r="N653" s="11">
        <v>1009201</v>
      </c>
      <c r="O653" s="11">
        <v>1009301</v>
      </c>
      <c r="P653" s="11">
        <v>1009401</v>
      </c>
      <c r="Q653" s="11">
        <v>1009501</v>
      </c>
      <c r="R653" s="11">
        <v>1009601</v>
      </c>
    </row>
    <row r="654" spans="1:18">
      <c r="A654" s="11">
        <f t="shared" si="13"/>
        <v>70093610</v>
      </c>
      <c r="B654" s="14" t="s">
        <v>812</v>
      </c>
      <c r="D654" s="2" t="str">
        <f>E654&amp;(VLOOKUP(F654,编号表!$E$1:$G$8,2,0))&amp;G654&amp;"_"&amp;H654&amp;"_"&amp;I654</f>
        <v>9N3_6_10</v>
      </c>
      <c r="E654" s="2">
        <v>9</v>
      </c>
      <c r="F654" s="2" t="s">
        <v>174</v>
      </c>
      <c r="G654" s="2">
        <v>3</v>
      </c>
      <c r="H654" s="2">
        <v>6</v>
      </c>
      <c r="I654" s="2">
        <f>COUNTIFS($E$3:E654,E654,$H$3:H654,H654)</f>
        <v>10</v>
      </c>
      <c r="N654" s="11">
        <v>1009201</v>
      </c>
      <c r="O654" s="11">
        <v>1009301</v>
      </c>
      <c r="P654" s="11">
        <v>1009401</v>
      </c>
      <c r="Q654" s="11">
        <v>1009501</v>
      </c>
      <c r="R654" s="11">
        <v>1009601</v>
      </c>
    </row>
    <row r="655" spans="1:18">
      <c r="A655" s="11">
        <f t="shared" si="13"/>
        <v>70093611</v>
      </c>
      <c r="B655" s="14" t="s">
        <v>813</v>
      </c>
      <c r="D655" s="2" t="str">
        <f>E655&amp;(VLOOKUP(F655,编号表!$E$1:$G$8,2,0))&amp;G655&amp;"_"&amp;H655&amp;"_"&amp;I655</f>
        <v>9N3_6_11</v>
      </c>
      <c r="E655" s="2">
        <v>9</v>
      </c>
      <c r="F655" s="2" t="s">
        <v>174</v>
      </c>
      <c r="G655" s="2">
        <v>3</v>
      </c>
      <c r="H655" s="2">
        <v>6</v>
      </c>
      <c r="I655" s="2">
        <f>COUNTIFS($E$3:E655,E655,$H$3:H655,H655)</f>
        <v>11</v>
      </c>
      <c r="N655" s="11">
        <v>1009201</v>
      </c>
      <c r="O655" s="11">
        <v>1009301</v>
      </c>
      <c r="P655" s="11">
        <v>1009401</v>
      </c>
      <c r="Q655" s="11">
        <v>1009501</v>
      </c>
      <c r="R655" s="11">
        <v>1009601</v>
      </c>
    </row>
    <row r="656" spans="1:18">
      <c r="A656" s="11">
        <f t="shared" si="13"/>
        <v>70092612</v>
      </c>
      <c r="B656" s="14" t="s">
        <v>814</v>
      </c>
      <c r="D656" s="2" t="str">
        <f>E656&amp;(VLOOKUP(F656,编号表!$E$1:$G$8,2,0))&amp;G656&amp;"_"&amp;H656&amp;"_"&amp;I656</f>
        <v>9N2_6_12</v>
      </c>
      <c r="E656" s="2">
        <v>9</v>
      </c>
      <c r="F656" s="2" t="s">
        <v>174</v>
      </c>
      <c r="G656" s="2">
        <v>2</v>
      </c>
      <c r="H656" s="2">
        <v>6</v>
      </c>
      <c r="I656" s="2">
        <f>COUNTIFS($E$3:E656,E656,$H$3:H656,H656)</f>
        <v>12</v>
      </c>
      <c r="N656" s="11">
        <v>1009201</v>
      </c>
      <c r="O656" s="11">
        <v>1009301</v>
      </c>
      <c r="P656" s="11">
        <v>1009401</v>
      </c>
      <c r="Q656" s="11">
        <v>1009501</v>
      </c>
      <c r="R656" s="11">
        <v>1009601</v>
      </c>
    </row>
    <row r="657" spans="1:19">
      <c r="A657" s="11">
        <f t="shared" si="13"/>
        <v>70093613</v>
      </c>
      <c r="B657" s="14" t="s">
        <v>815</v>
      </c>
      <c r="D657" s="2" t="str">
        <f>E657&amp;(VLOOKUP(F657,编号表!$E$1:$G$8,2,0))&amp;G657&amp;"_"&amp;H657&amp;"_"&amp;I657</f>
        <v>9N3_6_13</v>
      </c>
      <c r="E657" s="2">
        <v>9</v>
      </c>
      <c r="F657" s="2" t="s">
        <v>174</v>
      </c>
      <c r="G657" s="2">
        <v>3</v>
      </c>
      <c r="H657" s="2">
        <v>6</v>
      </c>
      <c r="I657" s="2">
        <f>COUNTIFS($E$3:E657,E657,$H$3:H657,H657)</f>
        <v>13</v>
      </c>
      <c r="N657" s="11">
        <v>1009201</v>
      </c>
      <c r="O657" s="11">
        <v>1009301</v>
      </c>
      <c r="P657" s="11">
        <v>1009401</v>
      </c>
      <c r="Q657" s="11">
        <v>1009501</v>
      </c>
      <c r="R657" s="11">
        <v>1009601</v>
      </c>
    </row>
    <row r="658" spans="1:19">
      <c r="A658" s="11">
        <f t="shared" si="13"/>
        <v>70091614</v>
      </c>
      <c r="B658" s="15" t="s">
        <v>816</v>
      </c>
      <c r="D658" s="2" t="str">
        <f>E658&amp;(VLOOKUP(F658,编号表!$E$1:$G$8,2,0))&amp;G658&amp;"_"&amp;H658&amp;"_"&amp;I658</f>
        <v>9T1_6_14</v>
      </c>
      <c r="E658" s="2">
        <v>9</v>
      </c>
      <c r="F658" s="2" t="s">
        <v>190</v>
      </c>
      <c r="G658" s="2">
        <v>1</v>
      </c>
      <c r="H658" s="2">
        <v>6</v>
      </c>
      <c r="I658" s="2">
        <f>COUNTIFS($E$3:E658,E658,$H$3:H658,H658)</f>
        <v>14</v>
      </c>
    </row>
    <row r="659" spans="1:19">
      <c r="A659" s="11">
        <f t="shared" si="13"/>
        <v>70093615</v>
      </c>
      <c r="B659" s="16" t="s">
        <v>43</v>
      </c>
      <c r="C659" s="2" t="s">
        <v>817</v>
      </c>
      <c r="D659" s="2" t="str">
        <f>E659&amp;(VLOOKUP(F659,编号表!$E$1:$G$8,2,0))&amp;G659&amp;"_"&amp;H659&amp;"_"&amp;I659</f>
        <v>9T3_6_15</v>
      </c>
      <c r="E659" s="2">
        <v>9</v>
      </c>
      <c r="F659" s="2" t="s">
        <v>190</v>
      </c>
      <c r="G659" s="2">
        <v>3</v>
      </c>
      <c r="H659" s="2">
        <v>6</v>
      </c>
      <c r="I659" s="2">
        <f>COUNTIFS($E$3:E659,E659,$H$3:H659,H659)</f>
        <v>15</v>
      </c>
      <c r="L659" s="2">
        <v>120</v>
      </c>
    </row>
    <row r="660" spans="1:19">
      <c r="A660" s="11">
        <f t="shared" si="13"/>
        <v>70094701</v>
      </c>
      <c r="B660" s="14" t="s">
        <v>818</v>
      </c>
      <c r="D660" s="2" t="str">
        <f>E660&amp;(VLOOKUP(F660,编号表!$E$1:$G$8,2,0))&amp;G660&amp;"_"&amp;H660&amp;"_"&amp;I660</f>
        <v>9N4_7_1</v>
      </c>
      <c r="E660" s="2">
        <v>9</v>
      </c>
      <c r="F660" s="2" t="s">
        <v>174</v>
      </c>
      <c r="G660" s="2">
        <v>4</v>
      </c>
      <c r="H660" s="2">
        <v>7</v>
      </c>
      <c r="I660" s="2">
        <f>COUNTIFS($E$3:E660,E660,$H$3:H660,H660)</f>
        <v>1</v>
      </c>
      <c r="N660" s="11">
        <v>1009201</v>
      </c>
      <c r="O660" s="11">
        <v>1009301</v>
      </c>
      <c r="P660" s="11">
        <v>1009401</v>
      </c>
      <c r="Q660" s="11">
        <v>1009501</v>
      </c>
      <c r="R660" s="11">
        <v>1009601</v>
      </c>
    </row>
    <row r="661" spans="1:19">
      <c r="A661" s="11">
        <f t="shared" si="13"/>
        <v>70093702</v>
      </c>
      <c r="B661" s="14" t="s">
        <v>819</v>
      </c>
      <c r="D661" s="2" t="str">
        <f>E661&amp;(VLOOKUP(F661,编号表!$E$1:$G$8,2,0))&amp;G661&amp;"_"&amp;H661&amp;"_"&amp;I661</f>
        <v>9N3_7_2</v>
      </c>
      <c r="E661" s="2">
        <v>9</v>
      </c>
      <c r="F661" s="2" t="s">
        <v>174</v>
      </c>
      <c r="G661" s="2">
        <v>3</v>
      </c>
      <c r="H661" s="2">
        <v>7</v>
      </c>
      <c r="I661" s="2">
        <f>COUNTIFS($E$3:E661,E661,$H$3:H661,H661)</f>
        <v>2</v>
      </c>
      <c r="N661" s="11">
        <v>1009201</v>
      </c>
      <c r="O661" s="11">
        <v>1009301</v>
      </c>
      <c r="P661" s="11">
        <v>1009401</v>
      </c>
      <c r="Q661" s="11">
        <v>1009501</v>
      </c>
      <c r="R661" s="11">
        <v>1009601</v>
      </c>
    </row>
    <row r="662" spans="1:19">
      <c r="A662" s="11">
        <f t="shared" si="13"/>
        <v>70094703</v>
      </c>
      <c r="B662" s="14" t="s">
        <v>820</v>
      </c>
      <c r="D662" s="2" t="str">
        <f>E662&amp;(VLOOKUP(F662,编号表!$E$1:$G$8,2,0))&amp;G662&amp;"_"&amp;H662&amp;"_"&amp;I662</f>
        <v>9N4_7_3</v>
      </c>
      <c r="E662" s="2">
        <v>9</v>
      </c>
      <c r="F662" s="2" t="s">
        <v>174</v>
      </c>
      <c r="G662" s="2">
        <v>4</v>
      </c>
      <c r="H662" s="2">
        <v>7</v>
      </c>
      <c r="I662" s="2">
        <f>COUNTIFS($E$3:E662,E662,$H$3:H662,H662)</f>
        <v>3</v>
      </c>
      <c r="N662" s="11">
        <v>1009201</v>
      </c>
      <c r="O662" s="11">
        <v>1009301</v>
      </c>
      <c r="P662" s="11">
        <v>1009401</v>
      </c>
      <c r="Q662" s="11">
        <v>1009501</v>
      </c>
      <c r="R662" s="11">
        <v>1009601</v>
      </c>
    </row>
    <row r="663" spans="1:19">
      <c r="A663" s="11">
        <f t="shared" si="13"/>
        <v>70090001</v>
      </c>
      <c r="B663" s="18" t="s">
        <v>821</v>
      </c>
      <c r="D663" s="2" t="str">
        <f>E663&amp;(VLOOKUP(F663,编号表!$E$1:$G$8,2,0))&amp;G663&amp;"_"&amp;H663&amp;"_"&amp;I663</f>
        <v>9J0_0_1</v>
      </c>
      <c r="E663" s="2">
        <v>9</v>
      </c>
      <c r="F663" s="2" t="s">
        <v>222</v>
      </c>
      <c r="G663" s="2">
        <v>0</v>
      </c>
      <c r="H663" s="2">
        <v>0</v>
      </c>
      <c r="I663" s="2">
        <f>COUNTIFS($E$3:E663,E663,$H$3:H663,H663)</f>
        <v>1</v>
      </c>
      <c r="J663" s="2">
        <v>1</v>
      </c>
    </row>
    <row r="664" spans="1:19">
      <c r="A664" s="11">
        <f t="shared" si="13"/>
        <v>70105101</v>
      </c>
      <c r="B664" s="14" t="s">
        <v>822</v>
      </c>
      <c r="D664" s="2" t="str">
        <f>E664&amp;(VLOOKUP(F664,编号表!$E$1:$G$8,2,0))&amp;G664&amp;"_"&amp;H664&amp;"_"&amp;I664</f>
        <v>10N5_1_1</v>
      </c>
      <c r="E664" s="2">
        <v>10</v>
      </c>
      <c r="F664" s="2" t="s">
        <v>174</v>
      </c>
      <c r="G664" s="2">
        <v>5</v>
      </c>
      <c r="H664" s="2">
        <v>1</v>
      </c>
      <c r="I664" s="2">
        <f>COUNTIFS($E$3:E664,E664,$H$3:H664,H664)</f>
        <v>1</v>
      </c>
      <c r="N664" s="11">
        <v>1010201</v>
      </c>
      <c r="O664" s="11">
        <v>1010301</v>
      </c>
      <c r="P664" s="11">
        <v>1010401</v>
      </c>
      <c r="Q664" s="11">
        <v>1010501</v>
      </c>
      <c r="R664" s="11">
        <v>1010601</v>
      </c>
      <c r="S664" s="11">
        <v>1010001</v>
      </c>
    </row>
    <row r="665" spans="1:19">
      <c r="A665" s="11">
        <f t="shared" si="13"/>
        <v>70104102</v>
      </c>
      <c r="B665" s="14" t="s">
        <v>823</v>
      </c>
      <c r="D665" s="2" t="str">
        <f>E665&amp;(VLOOKUP(F665,编号表!$E$1:$G$8,2,0))&amp;G665&amp;"_"&amp;H665&amp;"_"&amp;I665</f>
        <v>10N4_1_2</v>
      </c>
      <c r="E665" s="2">
        <v>10</v>
      </c>
      <c r="F665" s="2" t="s">
        <v>174</v>
      </c>
      <c r="G665" s="2">
        <v>4</v>
      </c>
      <c r="H665" s="2">
        <v>1</v>
      </c>
      <c r="I665" s="2">
        <f>COUNTIFS($E$3:E665,E665,$H$3:H665,H665)</f>
        <v>2</v>
      </c>
      <c r="N665" s="11">
        <v>1010201</v>
      </c>
      <c r="O665" s="11">
        <v>1010301</v>
      </c>
      <c r="P665" s="11">
        <v>1010401</v>
      </c>
      <c r="Q665" s="11">
        <v>1010501</v>
      </c>
      <c r="R665" s="11">
        <v>1010601</v>
      </c>
      <c r="S665" s="11">
        <v>1010101</v>
      </c>
    </row>
    <row r="666" spans="1:19">
      <c r="A666" s="11">
        <f t="shared" si="13"/>
        <v>70102103</v>
      </c>
      <c r="B666" s="14" t="s">
        <v>824</v>
      </c>
      <c r="D666" s="2" t="str">
        <f>E666&amp;(VLOOKUP(F666,编号表!$E$1:$G$8,2,0))&amp;G666&amp;"_"&amp;H666&amp;"_"&amp;I666</f>
        <v>10N2_1_3</v>
      </c>
      <c r="E666" s="2">
        <v>10</v>
      </c>
      <c r="F666" s="2" t="s">
        <v>174</v>
      </c>
      <c r="G666" s="2">
        <v>2</v>
      </c>
      <c r="H666" s="2">
        <v>1</v>
      </c>
      <c r="I666" s="2">
        <f>COUNTIFS($E$3:E666,E666,$H$3:H666,H666)</f>
        <v>3</v>
      </c>
      <c r="N666" s="11">
        <v>1010201</v>
      </c>
      <c r="O666" s="11">
        <v>1010301</v>
      </c>
      <c r="P666" s="11">
        <v>1010401</v>
      </c>
      <c r="Q666" s="11">
        <v>1010501</v>
      </c>
      <c r="R666" s="11">
        <v>1010601</v>
      </c>
      <c r="S666" s="11">
        <v>1010102</v>
      </c>
    </row>
    <row r="667" spans="1:19">
      <c r="A667" s="11">
        <f t="shared" si="13"/>
        <v>70103104</v>
      </c>
      <c r="B667" s="14" t="s">
        <v>825</v>
      </c>
      <c r="D667" s="2" t="str">
        <f>E667&amp;(VLOOKUP(F667,编号表!$E$1:$G$8,2,0))&amp;G667&amp;"_"&amp;H667&amp;"_"&amp;I667</f>
        <v>10N3_1_4</v>
      </c>
      <c r="E667" s="2">
        <v>10</v>
      </c>
      <c r="F667" s="2" t="s">
        <v>174</v>
      </c>
      <c r="G667" s="2">
        <v>3</v>
      </c>
      <c r="H667" s="2">
        <v>1</v>
      </c>
      <c r="I667" s="2">
        <f>COUNTIFS($E$3:E667,E667,$H$3:H667,H667)</f>
        <v>4</v>
      </c>
      <c r="N667" s="11">
        <v>1010201</v>
      </c>
      <c r="O667" s="11">
        <v>1010301</v>
      </c>
      <c r="P667" s="11">
        <v>1010401</v>
      </c>
      <c r="Q667" s="11">
        <v>1010501</v>
      </c>
      <c r="R667" s="11">
        <v>1010601</v>
      </c>
    </row>
    <row r="668" spans="1:19">
      <c r="A668" s="11">
        <f t="shared" si="13"/>
        <v>70103105</v>
      </c>
      <c r="B668" s="14" t="s">
        <v>826</v>
      </c>
      <c r="D668" s="2" t="str">
        <f>E668&amp;(VLOOKUP(F668,编号表!$E$1:$G$8,2,0))&amp;G668&amp;"_"&amp;H668&amp;"_"&amp;I668</f>
        <v>10N3_1_5</v>
      </c>
      <c r="E668" s="2">
        <v>10</v>
      </c>
      <c r="F668" s="2" t="s">
        <v>174</v>
      </c>
      <c r="G668" s="2">
        <v>3</v>
      </c>
      <c r="H668" s="2">
        <v>1</v>
      </c>
      <c r="I668" s="2">
        <f>COUNTIFS($E$3:E668,E668,$H$3:H668,H668)</f>
        <v>5</v>
      </c>
      <c r="N668" s="11">
        <v>1010201</v>
      </c>
      <c r="O668" s="11">
        <v>1010301</v>
      </c>
      <c r="P668" s="11">
        <v>1010401</v>
      </c>
      <c r="Q668" s="11">
        <v>1010501</v>
      </c>
      <c r="R668" s="11">
        <v>1010601</v>
      </c>
    </row>
    <row r="669" spans="1:19">
      <c r="A669" s="11">
        <f t="shared" si="13"/>
        <v>70103106</v>
      </c>
      <c r="B669" s="14" t="s">
        <v>827</v>
      </c>
      <c r="D669" s="2" t="str">
        <f>E669&amp;(VLOOKUP(F669,编号表!$E$1:$G$8,2,0))&amp;G669&amp;"_"&amp;H669&amp;"_"&amp;I669</f>
        <v>10N3_1_6</v>
      </c>
      <c r="E669" s="2">
        <v>10</v>
      </c>
      <c r="F669" s="2" t="s">
        <v>174</v>
      </c>
      <c r="G669" s="2">
        <v>3</v>
      </c>
      <c r="H669" s="2">
        <v>1</v>
      </c>
      <c r="I669" s="2">
        <f>COUNTIFS($E$3:E669,E669,$H$3:H669,H669)</f>
        <v>6</v>
      </c>
      <c r="N669" s="11">
        <v>1010201</v>
      </c>
      <c r="O669" s="11">
        <v>1010301</v>
      </c>
      <c r="P669" s="11">
        <v>1010401</v>
      </c>
      <c r="Q669" s="11">
        <v>1010501</v>
      </c>
      <c r="R669" s="11">
        <v>1010601</v>
      </c>
    </row>
    <row r="670" spans="1:19">
      <c r="A670" s="11">
        <f t="shared" si="13"/>
        <v>70103107</v>
      </c>
      <c r="B670" s="14" t="s">
        <v>828</v>
      </c>
      <c r="D670" s="2" t="str">
        <f>E670&amp;(VLOOKUP(F670,编号表!$E$1:$G$8,2,0))&amp;G670&amp;"_"&amp;H670&amp;"_"&amp;I670</f>
        <v>10N3_1_7</v>
      </c>
      <c r="E670" s="2">
        <v>10</v>
      </c>
      <c r="F670" s="2" t="s">
        <v>174</v>
      </c>
      <c r="G670" s="2">
        <v>3</v>
      </c>
      <c r="H670" s="2">
        <v>1</v>
      </c>
      <c r="I670" s="2">
        <f>COUNTIFS($E$3:E670,E670,$H$3:H670,H670)</f>
        <v>7</v>
      </c>
      <c r="N670" s="11">
        <v>1010201</v>
      </c>
      <c r="O670" s="11">
        <v>1010301</v>
      </c>
      <c r="P670" s="11">
        <v>1010401</v>
      </c>
      <c r="Q670" s="11">
        <v>1010501</v>
      </c>
      <c r="R670" s="11">
        <v>1010601</v>
      </c>
    </row>
    <row r="671" spans="1:19">
      <c r="A671" s="11">
        <f t="shared" si="13"/>
        <v>70103201</v>
      </c>
      <c r="B671" s="16" t="s">
        <v>40</v>
      </c>
      <c r="C671" s="2" t="s">
        <v>816</v>
      </c>
      <c r="D671" s="2" t="str">
        <f>E671&amp;(VLOOKUP(F671,编号表!$E$1:$G$8,2,0))&amp;G671&amp;"_"&amp;H671&amp;"_"&amp;I671</f>
        <v>10T3_2_1</v>
      </c>
      <c r="E671" s="2">
        <v>10</v>
      </c>
      <c r="F671" s="2" t="s">
        <v>190</v>
      </c>
      <c r="G671" s="2">
        <v>3</v>
      </c>
      <c r="H671" s="2">
        <v>2</v>
      </c>
      <c r="I671" s="2">
        <f>COUNTIFS($E$3:E671,E671,$H$3:H671,H671)</f>
        <v>1</v>
      </c>
      <c r="L671" s="2">
        <v>121</v>
      </c>
    </row>
    <row r="672" spans="1:19">
      <c r="A672" s="11">
        <f t="shared" si="13"/>
        <v>70103202</v>
      </c>
      <c r="B672" s="15" t="s">
        <v>817</v>
      </c>
      <c r="D672" s="2" t="str">
        <f>E672&amp;(VLOOKUP(F672,编号表!$E$1:$G$8,2,0))&amp;G672&amp;"_"&amp;H672&amp;"_"&amp;I672</f>
        <v>10T3_2_2</v>
      </c>
      <c r="E672" s="2">
        <v>10</v>
      </c>
      <c r="F672" s="2" t="s">
        <v>190</v>
      </c>
      <c r="G672" s="2">
        <v>3</v>
      </c>
      <c r="H672" s="2">
        <v>2</v>
      </c>
      <c r="I672" s="2">
        <f>COUNTIFS($E$3:E672,E672,$H$3:H672,H672)</f>
        <v>2</v>
      </c>
      <c r="K672" s="2">
        <v>1</v>
      </c>
    </row>
    <row r="673" spans="1:18">
      <c r="A673" s="11">
        <f t="shared" si="13"/>
        <v>70103203</v>
      </c>
      <c r="B673" s="14" t="s">
        <v>829</v>
      </c>
      <c r="D673" s="2" t="str">
        <f>E673&amp;(VLOOKUP(F673,编号表!$E$1:$G$8,2,0))&amp;G673&amp;"_"&amp;H673&amp;"_"&amp;I673</f>
        <v>10N3_2_3</v>
      </c>
      <c r="E673" s="2">
        <v>10</v>
      </c>
      <c r="F673" s="2" t="s">
        <v>174</v>
      </c>
      <c r="G673" s="2">
        <v>3</v>
      </c>
      <c r="H673" s="2">
        <v>2</v>
      </c>
      <c r="I673" s="2">
        <f>COUNTIFS($E$3:E673,E673,$H$3:H673,H673)</f>
        <v>3</v>
      </c>
      <c r="N673" s="11">
        <v>1010201</v>
      </c>
      <c r="O673" s="11">
        <v>1010301</v>
      </c>
      <c r="P673" s="11">
        <v>1010401</v>
      </c>
      <c r="Q673" s="11">
        <v>1010501</v>
      </c>
      <c r="R673" s="11">
        <v>1010601</v>
      </c>
    </row>
    <row r="674" spans="1:18">
      <c r="A674" s="11">
        <f t="shared" si="13"/>
        <v>70103204</v>
      </c>
      <c r="B674" s="14" t="s">
        <v>830</v>
      </c>
      <c r="D674" s="2" t="str">
        <f>E674&amp;(VLOOKUP(F674,编号表!$E$1:$G$8,2,0))&amp;G674&amp;"_"&amp;H674&amp;"_"&amp;I674</f>
        <v>10N3_2_4</v>
      </c>
      <c r="E674" s="2">
        <v>10</v>
      </c>
      <c r="F674" s="2" t="s">
        <v>174</v>
      </c>
      <c r="G674" s="2">
        <v>3</v>
      </c>
      <c r="H674" s="2">
        <v>2</v>
      </c>
      <c r="I674" s="2">
        <f>COUNTIFS($E$3:E674,E674,$H$3:H674,H674)</f>
        <v>4</v>
      </c>
      <c r="N674" s="11">
        <v>1010201</v>
      </c>
      <c r="O674" s="11">
        <v>1010301</v>
      </c>
      <c r="P674" s="11">
        <v>1010401</v>
      </c>
      <c r="Q674" s="11">
        <v>1010501</v>
      </c>
      <c r="R674" s="11">
        <v>1010601</v>
      </c>
    </row>
    <row r="675" spans="1:18">
      <c r="A675" s="11">
        <f t="shared" si="13"/>
        <v>70103205</v>
      </c>
      <c r="B675" s="14" t="s">
        <v>831</v>
      </c>
      <c r="D675" s="2" t="str">
        <f>E675&amp;(VLOOKUP(F675,编号表!$E$1:$G$8,2,0))&amp;G675&amp;"_"&amp;H675&amp;"_"&amp;I675</f>
        <v>10N3_2_5</v>
      </c>
      <c r="E675" s="2">
        <v>10</v>
      </c>
      <c r="F675" s="2" t="s">
        <v>174</v>
      </c>
      <c r="G675" s="2">
        <v>3</v>
      </c>
      <c r="H675" s="2">
        <v>2</v>
      </c>
      <c r="I675" s="2">
        <f>COUNTIFS($E$3:E675,E675,$H$3:H675,H675)</f>
        <v>5</v>
      </c>
      <c r="N675" s="11">
        <v>1010201</v>
      </c>
      <c r="O675" s="11">
        <v>1010301</v>
      </c>
      <c r="P675" s="11">
        <v>1010401</v>
      </c>
      <c r="Q675" s="11">
        <v>1010501</v>
      </c>
      <c r="R675" s="11">
        <v>1010601</v>
      </c>
    </row>
    <row r="676" spans="1:18">
      <c r="A676" s="11">
        <f t="shared" si="13"/>
        <v>70103206</v>
      </c>
      <c r="B676" s="14" t="s">
        <v>832</v>
      </c>
      <c r="D676" s="2" t="str">
        <f>E676&amp;(VLOOKUP(F676,编号表!$E$1:$G$8,2,0))&amp;G676&amp;"_"&amp;H676&amp;"_"&amp;I676</f>
        <v>10N3_2_6</v>
      </c>
      <c r="E676" s="2">
        <v>10</v>
      </c>
      <c r="F676" s="2" t="s">
        <v>174</v>
      </c>
      <c r="G676" s="2">
        <v>3</v>
      </c>
      <c r="H676" s="2">
        <v>2</v>
      </c>
      <c r="I676" s="2">
        <f>COUNTIFS($E$3:E676,E676,$H$3:H676,H676)</f>
        <v>6</v>
      </c>
      <c r="N676" s="11">
        <v>1010201</v>
      </c>
      <c r="O676" s="11">
        <v>1010301</v>
      </c>
      <c r="P676" s="11">
        <v>1010401</v>
      </c>
      <c r="Q676" s="11">
        <v>1010501</v>
      </c>
      <c r="R676" s="11">
        <v>1010601</v>
      </c>
    </row>
    <row r="677" spans="1:18">
      <c r="A677" s="11">
        <f t="shared" si="13"/>
        <v>70103207</v>
      </c>
      <c r="B677" s="14" t="s">
        <v>833</v>
      </c>
      <c r="D677" s="2" t="str">
        <f>E677&amp;(VLOOKUP(F677,编号表!$E$1:$G$8,2,0))&amp;G677&amp;"_"&amp;H677&amp;"_"&amp;I677</f>
        <v>10N3_2_7</v>
      </c>
      <c r="E677" s="2">
        <v>10</v>
      </c>
      <c r="F677" s="2" t="s">
        <v>174</v>
      </c>
      <c r="G677" s="2">
        <v>3</v>
      </c>
      <c r="H677" s="2">
        <v>2</v>
      </c>
      <c r="I677" s="2">
        <f>COUNTIFS($E$3:E677,E677,$H$3:H677,H677)</f>
        <v>7</v>
      </c>
      <c r="N677" s="11">
        <v>1010201</v>
      </c>
      <c r="O677" s="11">
        <v>1010301</v>
      </c>
      <c r="P677" s="11">
        <v>1010401</v>
      </c>
      <c r="Q677" s="11">
        <v>1010501</v>
      </c>
      <c r="R677" s="11">
        <v>1010601</v>
      </c>
    </row>
    <row r="678" spans="1:18">
      <c r="A678" s="11">
        <f t="shared" si="13"/>
        <v>70103208</v>
      </c>
      <c r="B678" s="14" t="s">
        <v>834</v>
      </c>
      <c r="D678" s="2" t="str">
        <f>E678&amp;(VLOOKUP(F678,编号表!$E$1:$G$8,2,0))&amp;G678&amp;"_"&amp;H678&amp;"_"&amp;I678</f>
        <v>10N3_2_8</v>
      </c>
      <c r="E678" s="2">
        <v>10</v>
      </c>
      <c r="F678" s="2" t="s">
        <v>174</v>
      </c>
      <c r="G678" s="2">
        <v>3</v>
      </c>
      <c r="H678" s="2">
        <v>2</v>
      </c>
      <c r="I678" s="2">
        <f>COUNTIFS($E$3:E678,E678,$H$3:H678,H678)</f>
        <v>8</v>
      </c>
      <c r="N678" s="11">
        <v>1010201</v>
      </c>
      <c r="O678" s="11">
        <v>1010301</v>
      </c>
      <c r="P678" s="11">
        <v>1010401</v>
      </c>
      <c r="Q678" s="11">
        <v>1010501</v>
      </c>
      <c r="R678" s="11">
        <v>1010601</v>
      </c>
    </row>
    <row r="679" spans="1:18">
      <c r="A679" s="11">
        <f t="shared" si="13"/>
        <v>70102209</v>
      </c>
      <c r="B679" s="14" t="s">
        <v>835</v>
      </c>
      <c r="D679" s="2" t="str">
        <f>E679&amp;(VLOOKUP(F679,编号表!$E$1:$G$8,2,0))&amp;G679&amp;"_"&amp;H679&amp;"_"&amp;I679</f>
        <v>10N2_2_9</v>
      </c>
      <c r="E679" s="2">
        <v>10</v>
      </c>
      <c r="F679" s="2" t="s">
        <v>174</v>
      </c>
      <c r="G679" s="2">
        <v>2</v>
      </c>
      <c r="H679" s="2">
        <v>2</v>
      </c>
      <c r="I679" s="2">
        <f>COUNTIFS($E$3:E679,E679,$H$3:H679,H679)</f>
        <v>9</v>
      </c>
      <c r="N679" s="11">
        <v>1010201</v>
      </c>
      <c r="O679" s="11">
        <v>1010301</v>
      </c>
      <c r="P679" s="11">
        <v>1010401</v>
      </c>
      <c r="Q679" s="11">
        <v>1010501</v>
      </c>
      <c r="R679" s="11">
        <v>1010601</v>
      </c>
    </row>
    <row r="680" spans="1:18">
      <c r="A680" s="11">
        <f t="shared" si="13"/>
        <v>70102210</v>
      </c>
      <c r="B680" s="14" t="s">
        <v>836</v>
      </c>
      <c r="D680" s="2" t="str">
        <f>E680&amp;(VLOOKUP(F680,编号表!$E$1:$G$8,2,0))&amp;G680&amp;"_"&amp;H680&amp;"_"&amp;I680</f>
        <v>10N2_2_10</v>
      </c>
      <c r="E680" s="2">
        <v>10</v>
      </c>
      <c r="F680" s="2" t="s">
        <v>174</v>
      </c>
      <c r="G680" s="2">
        <v>2</v>
      </c>
      <c r="H680" s="2">
        <v>2</v>
      </c>
      <c r="I680" s="2">
        <f>COUNTIFS($E$3:E680,E680,$H$3:H680,H680)</f>
        <v>10</v>
      </c>
      <c r="N680" s="11">
        <v>1010201</v>
      </c>
      <c r="O680" s="11">
        <v>1010301</v>
      </c>
      <c r="P680" s="11">
        <v>1010401</v>
      </c>
      <c r="Q680" s="11">
        <v>1010501</v>
      </c>
      <c r="R680" s="11">
        <v>1010601</v>
      </c>
    </row>
    <row r="681" spans="1:18">
      <c r="A681" s="11">
        <f t="shared" si="13"/>
        <v>70103211</v>
      </c>
      <c r="B681" s="14" t="s">
        <v>837</v>
      </c>
      <c r="D681" s="2" t="str">
        <f>E681&amp;(VLOOKUP(F681,编号表!$E$1:$G$8,2,0))&amp;G681&amp;"_"&amp;H681&amp;"_"&amp;I681</f>
        <v>10N3_2_11</v>
      </c>
      <c r="E681" s="2">
        <v>10</v>
      </c>
      <c r="F681" s="2" t="s">
        <v>174</v>
      </c>
      <c r="G681" s="2">
        <v>3</v>
      </c>
      <c r="H681" s="2">
        <v>2</v>
      </c>
      <c r="I681" s="2">
        <f>COUNTIFS($E$3:E681,E681,$H$3:H681,H681)</f>
        <v>11</v>
      </c>
      <c r="N681" s="11">
        <v>1010201</v>
      </c>
      <c r="O681" s="11">
        <v>1010301</v>
      </c>
      <c r="P681" s="11">
        <v>1010401</v>
      </c>
      <c r="Q681" s="11">
        <v>1010501</v>
      </c>
      <c r="R681" s="11">
        <v>1010601</v>
      </c>
    </row>
    <row r="682" spans="1:18">
      <c r="A682" s="11">
        <f t="shared" si="13"/>
        <v>70103212</v>
      </c>
      <c r="B682" s="14" t="s">
        <v>838</v>
      </c>
      <c r="D682" s="2" t="str">
        <f>E682&amp;(VLOOKUP(F682,编号表!$E$1:$G$8,2,0))&amp;G682&amp;"_"&amp;H682&amp;"_"&amp;I682</f>
        <v>10N3_2_12</v>
      </c>
      <c r="E682" s="2">
        <v>10</v>
      </c>
      <c r="F682" s="2" t="s">
        <v>174</v>
      </c>
      <c r="G682" s="2">
        <v>3</v>
      </c>
      <c r="H682" s="2">
        <v>2</v>
      </c>
      <c r="I682" s="2">
        <f>COUNTIFS($E$3:E682,E682,$H$3:H682,H682)</f>
        <v>12</v>
      </c>
      <c r="N682" s="11">
        <v>1010201</v>
      </c>
      <c r="O682" s="11">
        <v>1010301</v>
      </c>
      <c r="P682" s="11">
        <v>1010401</v>
      </c>
      <c r="Q682" s="11">
        <v>1010501</v>
      </c>
      <c r="R682" s="11">
        <v>1010601</v>
      </c>
    </row>
    <row r="683" spans="1:18">
      <c r="A683" s="11">
        <f t="shared" si="13"/>
        <v>70103213</v>
      </c>
      <c r="B683" s="14" t="s">
        <v>839</v>
      </c>
      <c r="D683" s="2" t="str">
        <f>E683&amp;(VLOOKUP(F683,编号表!$E$1:$G$8,2,0))&amp;G683&amp;"_"&amp;H683&amp;"_"&amp;I683</f>
        <v>10N3_2_13</v>
      </c>
      <c r="E683" s="2">
        <v>10</v>
      </c>
      <c r="F683" s="2" t="s">
        <v>174</v>
      </c>
      <c r="G683" s="2">
        <v>3</v>
      </c>
      <c r="H683" s="2">
        <v>2</v>
      </c>
      <c r="I683" s="2">
        <f>COUNTIFS($E$3:E683,E683,$H$3:H683,H683)</f>
        <v>13</v>
      </c>
      <c r="N683" s="11">
        <v>1010201</v>
      </c>
      <c r="O683" s="11">
        <v>1010301</v>
      </c>
      <c r="P683" s="11">
        <v>1010401</v>
      </c>
      <c r="Q683" s="11">
        <v>1010501</v>
      </c>
      <c r="R683" s="11">
        <v>1010601</v>
      </c>
    </row>
    <row r="684" spans="1:18">
      <c r="A684" s="11">
        <f t="shared" si="13"/>
        <v>70102214</v>
      </c>
      <c r="B684" s="14" t="s">
        <v>840</v>
      </c>
      <c r="D684" s="2" t="str">
        <f>E684&amp;(VLOOKUP(F684,编号表!$E$1:$G$8,2,0))&amp;G684&amp;"_"&amp;H684&amp;"_"&amp;I684</f>
        <v>10N2_2_14</v>
      </c>
      <c r="E684" s="2">
        <v>10</v>
      </c>
      <c r="F684" s="2" t="s">
        <v>174</v>
      </c>
      <c r="G684" s="2">
        <v>2</v>
      </c>
      <c r="H684" s="2">
        <v>2</v>
      </c>
      <c r="I684" s="2">
        <f>COUNTIFS($E$3:E684,E684,$H$3:H684,H684)</f>
        <v>14</v>
      </c>
      <c r="N684" s="11">
        <v>1010201</v>
      </c>
      <c r="O684" s="11">
        <v>1010301</v>
      </c>
      <c r="P684" s="11">
        <v>1010401</v>
      </c>
      <c r="Q684" s="11">
        <v>1010501</v>
      </c>
      <c r="R684" s="11">
        <v>1010601</v>
      </c>
    </row>
    <row r="685" spans="1:18">
      <c r="A685" s="11">
        <f t="shared" si="13"/>
        <v>70102215</v>
      </c>
      <c r="B685" s="14" t="s">
        <v>841</v>
      </c>
      <c r="D685" s="2" t="str">
        <f>E685&amp;(VLOOKUP(F685,编号表!$E$1:$G$8,2,0))&amp;G685&amp;"_"&amp;H685&amp;"_"&amp;I685</f>
        <v>10N2_2_15</v>
      </c>
      <c r="E685" s="2">
        <v>10</v>
      </c>
      <c r="F685" s="2" t="s">
        <v>174</v>
      </c>
      <c r="G685" s="2">
        <v>2</v>
      </c>
      <c r="H685" s="2">
        <v>2</v>
      </c>
      <c r="I685" s="2">
        <f>COUNTIFS($E$3:E685,E685,$H$3:H685,H685)</f>
        <v>15</v>
      </c>
      <c r="N685" s="11">
        <v>1010201</v>
      </c>
      <c r="O685" s="11">
        <v>1010301</v>
      </c>
      <c r="P685" s="11">
        <v>1010401</v>
      </c>
      <c r="Q685" s="11">
        <v>1010501</v>
      </c>
      <c r="R685" s="11">
        <v>1010601</v>
      </c>
    </row>
    <row r="686" spans="1:18">
      <c r="A686" s="11">
        <f t="shared" si="13"/>
        <v>70103216</v>
      </c>
      <c r="B686" s="14" t="s">
        <v>842</v>
      </c>
      <c r="D686" s="2" t="str">
        <f>E686&amp;(VLOOKUP(F686,编号表!$E$1:$G$8,2,0))&amp;G686&amp;"_"&amp;H686&amp;"_"&amp;I686</f>
        <v>10N3_2_16</v>
      </c>
      <c r="E686" s="2">
        <v>10</v>
      </c>
      <c r="F686" s="2" t="s">
        <v>174</v>
      </c>
      <c r="G686" s="2">
        <v>3</v>
      </c>
      <c r="H686" s="2">
        <v>2</v>
      </c>
      <c r="I686" s="2">
        <f>COUNTIFS($E$3:E686,E686,$H$3:H686,H686)</f>
        <v>16</v>
      </c>
      <c r="N686" s="11">
        <v>1010201</v>
      </c>
      <c r="O686" s="11">
        <v>1010301</v>
      </c>
      <c r="P686" s="11">
        <v>1010401</v>
      </c>
      <c r="Q686" s="11">
        <v>1010501</v>
      </c>
      <c r="R686" s="11">
        <v>1010601</v>
      </c>
    </row>
    <row r="687" spans="1:18">
      <c r="A687" s="11">
        <f t="shared" si="13"/>
        <v>70102217</v>
      </c>
      <c r="B687" s="14" t="s">
        <v>843</v>
      </c>
      <c r="D687" s="2" t="str">
        <f>E687&amp;(VLOOKUP(F687,编号表!$E$1:$G$8,2,0))&amp;G687&amp;"_"&amp;H687&amp;"_"&amp;I687</f>
        <v>10N2_2_17</v>
      </c>
      <c r="E687" s="2">
        <v>10</v>
      </c>
      <c r="F687" s="2" t="s">
        <v>174</v>
      </c>
      <c r="G687" s="2">
        <v>2</v>
      </c>
      <c r="H687" s="2">
        <v>2</v>
      </c>
      <c r="I687" s="2">
        <f>COUNTIFS($E$3:E687,E687,$H$3:H687,H687)</f>
        <v>17</v>
      </c>
      <c r="N687" s="11">
        <v>1010201</v>
      </c>
      <c r="O687" s="11">
        <v>1010301</v>
      </c>
      <c r="P687" s="11">
        <v>1010401</v>
      </c>
      <c r="Q687" s="11">
        <v>1010501</v>
      </c>
      <c r="R687" s="11">
        <v>1010601</v>
      </c>
    </row>
    <row r="688" spans="1:18">
      <c r="A688" s="11">
        <f t="shared" si="13"/>
        <v>70104218</v>
      </c>
      <c r="B688" s="14" t="s">
        <v>844</v>
      </c>
      <c r="D688" s="2" t="str">
        <f>E688&amp;(VLOOKUP(F688,编号表!$E$1:$G$8,2,0))&amp;G688&amp;"_"&amp;H688&amp;"_"&amp;I688</f>
        <v>10N4_2_18</v>
      </c>
      <c r="E688" s="2">
        <v>10</v>
      </c>
      <c r="F688" s="2" t="s">
        <v>174</v>
      </c>
      <c r="G688" s="2">
        <v>4</v>
      </c>
      <c r="H688" s="2">
        <v>2</v>
      </c>
      <c r="I688" s="2">
        <f>COUNTIFS($E$3:E688,E688,$H$3:H688,H688)</f>
        <v>18</v>
      </c>
      <c r="N688" s="11">
        <v>1010201</v>
      </c>
      <c r="O688" s="11">
        <v>1010301</v>
      </c>
      <c r="P688" s="11">
        <v>1010401</v>
      </c>
      <c r="Q688" s="11">
        <v>1010501</v>
      </c>
      <c r="R688" s="11">
        <v>1010601</v>
      </c>
    </row>
    <row r="689" spans="1:18">
      <c r="A689" s="11">
        <f t="shared" si="13"/>
        <v>70103301</v>
      </c>
      <c r="B689" s="14" t="s">
        <v>845</v>
      </c>
      <c r="D689" s="2" t="str">
        <f>E689&amp;(VLOOKUP(F689,编号表!$E$1:$G$8,2,0))&amp;G689&amp;"_"&amp;H689&amp;"_"&amp;I689</f>
        <v>10N3_3_1</v>
      </c>
      <c r="E689" s="2">
        <v>10</v>
      </c>
      <c r="F689" s="2" t="s">
        <v>174</v>
      </c>
      <c r="G689" s="2">
        <v>3</v>
      </c>
      <c r="H689" s="2">
        <v>3</v>
      </c>
      <c r="I689" s="2">
        <f>COUNTIFS($E$3:E689,E689,$H$3:H689,H689)</f>
        <v>1</v>
      </c>
      <c r="N689" s="11">
        <v>1010201</v>
      </c>
      <c r="O689" s="11">
        <v>1010301</v>
      </c>
      <c r="P689" s="11">
        <v>1010401</v>
      </c>
      <c r="Q689" s="11">
        <v>1010501</v>
      </c>
      <c r="R689" s="11">
        <v>1010601</v>
      </c>
    </row>
    <row r="690" spans="1:18">
      <c r="A690" s="11">
        <f t="shared" si="13"/>
        <v>70103302</v>
      </c>
      <c r="B690" s="14" t="s">
        <v>846</v>
      </c>
      <c r="D690" s="2" t="str">
        <f>E690&amp;(VLOOKUP(F690,编号表!$E$1:$G$8,2,0))&amp;G690&amp;"_"&amp;H690&amp;"_"&amp;I690</f>
        <v>10N3_3_2</v>
      </c>
      <c r="E690" s="2">
        <v>10</v>
      </c>
      <c r="F690" s="2" t="s">
        <v>174</v>
      </c>
      <c r="G690" s="2">
        <v>3</v>
      </c>
      <c r="H690" s="2">
        <v>3</v>
      </c>
      <c r="I690" s="2">
        <f>COUNTIFS($E$3:E690,E690,$H$3:H690,H690)</f>
        <v>2</v>
      </c>
      <c r="N690" s="11">
        <v>1010201</v>
      </c>
      <c r="O690" s="11">
        <v>1010301</v>
      </c>
      <c r="P690" s="11">
        <v>1010401</v>
      </c>
      <c r="Q690" s="11">
        <v>1010501</v>
      </c>
      <c r="R690" s="11">
        <v>1010601</v>
      </c>
    </row>
    <row r="691" spans="1:18">
      <c r="A691" s="11">
        <f t="shared" si="13"/>
        <v>70102303</v>
      </c>
      <c r="B691" s="14" t="s">
        <v>847</v>
      </c>
      <c r="D691" s="2" t="str">
        <f>E691&amp;(VLOOKUP(F691,编号表!$E$1:$G$8,2,0))&amp;G691&amp;"_"&amp;H691&amp;"_"&amp;I691</f>
        <v>10N2_3_3</v>
      </c>
      <c r="E691" s="2">
        <v>10</v>
      </c>
      <c r="F691" s="2" t="s">
        <v>174</v>
      </c>
      <c r="G691" s="2">
        <v>2</v>
      </c>
      <c r="H691" s="2">
        <v>3</v>
      </c>
      <c r="I691" s="2">
        <f>COUNTIFS($E$3:E691,E691,$H$3:H691,H691)</f>
        <v>3</v>
      </c>
      <c r="N691" s="11">
        <v>1010201</v>
      </c>
      <c r="O691" s="11">
        <v>1010301</v>
      </c>
      <c r="P691" s="11">
        <v>1010401</v>
      </c>
      <c r="Q691" s="11">
        <v>1010501</v>
      </c>
      <c r="R691" s="11">
        <v>1010601</v>
      </c>
    </row>
    <row r="692" spans="1:18">
      <c r="A692" s="11">
        <f t="shared" si="13"/>
        <v>70102304</v>
      </c>
      <c r="B692" s="14" t="s">
        <v>848</v>
      </c>
      <c r="D692" s="2" t="str">
        <f>E692&amp;(VLOOKUP(F692,编号表!$E$1:$G$8,2,0))&amp;G692&amp;"_"&amp;H692&amp;"_"&amp;I692</f>
        <v>10N2_3_4</v>
      </c>
      <c r="E692" s="2">
        <v>10</v>
      </c>
      <c r="F692" s="2" t="s">
        <v>174</v>
      </c>
      <c r="G692" s="2">
        <v>2</v>
      </c>
      <c r="H692" s="2">
        <v>3</v>
      </c>
      <c r="I692" s="2">
        <f>COUNTIFS($E$3:E692,E692,$H$3:H692,H692)</f>
        <v>4</v>
      </c>
      <c r="N692" s="11">
        <v>1010201</v>
      </c>
      <c r="O692" s="11">
        <v>1010301</v>
      </c>
      <c r="P692" s="11">
        <v>1010401</v>
      </c>
      <c r="Q692" s="11">
        <v>1010501</v>
      </c>
      <c r="R692" s="11">
        <v>1010601</v>
      </c>
    </row>
    <row r="693" spans="1:18">
      <c r="A693" s="11">
        <f t="shared" si="13"/>
        <v>70101305</v>
      </c>
      <c r="B693" s="14" t="s">
        <v>849</v>
      </c>
      <c r="D693" s="2" t="str">
        <f>E693&amp;(VLOOKUP(F693,编号表!$E$1:$G$8,2,0))&amp;G693&amp;"_"&amp;H693&amp;"_"&amp;I693</f>
        <v>10N1_3_5</v>
      </c>
      <c r="E693" s="2">
        <v>10</v>
      </c>
      <c r="F693" s="2" t="s">
        <v>174</v>
      </c>
      <c r="G693" s="2">
        <v>1</v>
      </c>
      <c r="H693" s="2">
        <v>3</v>
      </c>
      <c r="I693" s="2">
        <f>COUNTIFS($E$3:E693,E693,$H$3:H693,H693)</f>
        <v>5</v>
      </c>
      <c r="N693" s="11">
        <v>1010201</v>
      </c>
      <c r="O693" s="11">
        <v>1010301</v>
      </c>
      <c r="P693" s="11">
        <v>1010401</v>
      </c>
      <c r="Q693" s="11">
        <v>1010501</v>
      </c>
      <c r="R693" s="11">
        <v>1010601</v>
      </c>
    </row>
    <row r="694" spans="1:18">
      <c r="A694" s="11">
        <f t="shared" si="13"/>
        <v>70103306</v>
      </c>
      <c r="B694" s="14" t="s">
        <v>850</v>
      </c>
      <c r="D694" s="2" t="str">
        <f>E694&amp;(VLOOKUP(F694,编号表!$E$1:$G$8,2,0))&amp;G694&amp;"_"&amp;H694&amp;"_"&amp;I694</f>
        <v>10N3_3_6</v>
      </c>
      <c r="E694" s="2">
        <v>10</v>
      </c>
      <c r="F694" s="2" t="s">
        <v>174</v>
      </c>
      <c r="G694" s="2">
        <v>3</v>
      </c>
      <c r="H694" s="2">
        <v>3</v>
      </c>
      <c r="I694" s="2">
        <f>COUNTIFS($E$3:E694,E694,$H$3:H694,H694)</f>
        <v>6</v>
      </c>
      <c r="N694" s="11">
        <v>1010201</v>
      </c>
      <c r="O694" s="11">
        <v>1010301</v>
      </c>
      <c r="P694" s="11">
        <v>1010401</v>
      </c>
      <c r="Q694" s="11">
        <v>1010501</v>
      </c>
      <c r="R694" s="11">
        <v>1010601</v>
      </c>
    </row>
    <row r="695" spans="1:18">
      <c r="A695" s="11">
        <f t="shared" si="13"/>
        <v>70102307</v>
      </c>
      <c r="B695" s="14" t="s">
        <v>851</v>
      </c>
      <c r="D695" s="2" t="str">
        <f>E695&amp;(VLOOKUP(F695,编号表!$E$1:$G$8,2,0))&amp;G695&amp;"_"&amp;H695&amp;"_"&amp;I695</f>
        <v>10N2_3_7</v>
      </c>
      <c r="E695" s="2">
        <v>10</v>
      </c>
      <c r="F695" s="2" t="s">
        <v>174</v>
      </c>
      <c r="G695" s="2">
        <v>2</v>
      </c>
      <c r="H695" s="2">
        <v>3</v>
      </c>
      <c r="I695" s="2">
        <f>COUNTIFS($E$3:E695,E695,$H$3:H695,H695)</f>
        <v>7</v>
      </c>
      <c r="N695" s="11">
        <v>1010201</v>
      </c>
      <c r="O695" s="11">
        <v>1010301</v>
      </c>
      <c r="P695" s="11">
        <v>1010401</v>
      </c>
      <c r="Q695" s="11">
        <v>1010501</v>
      </c>
      <c r="R695" s="11">
        <v>1010601</v>
      </c>
    </row>
    <row r="696" spans="1:18">
      <c r="A696" s="11">
        <f t="shared" si="13"/>
        <v>70102308</v>
      </c>
      <c r="B696" s="14" t="s">
        <v>852</v>
      </c>
      <c r="D696" s="2" t="str">
        <f>E696&amp;(VLOOKUP(F696,编号表!$E$1:$G$8,2,0))&amp;G696&amp;"_"&amp;H696&amp;"_"&amp;I696</f>
        <v>10N2_3_8</v>
      </c>
      <c r="E696" s="2">
        <v>10</v>
      </c>
      <c r="F696" s="2" t="s">
        <v>174</v>
      </c>
      <c r="G696" s="2">
        <v>2</v>
      </c>
      <c r="H696" s="2">
        <v>3</v>
      </c>
      <c r="I696" s="2">
        <f>COUNTIFS($E$3:E696,E696,$H$3:H696,H696)</f>
        <v>8</v>
      </c>
      <c r="N696" s="11">
        <v>1010201</v>
      </c>
      <c r="O696" s="11">
        <v>1010301</v>
      </c>
      <c r="P696" s="11">
        <v>1010401</v>
      </c>
      <c r="Q696" s="11">
        <v>1010501</v>
      </c>
      <c r="R696" s="11">
        <v>1010601</v>
      </c>
    </row>
    <row r="697" spans="1:18">
      <c r="A697" s="11">
        <f t="shared" si="13"/>
        <v>70103309</v>
      </c>
      <c r="B697" s="14" t="s">
        <v>853</v>
      </c>
      <c r="D697" s="2" t="str">
        <f>E697&amp;(VLOOKUP(F697,编号表!$E$1:$G$8,2,0))&amp;G697&amp;"_"&amp;H697&amp;"_"&amp;I697</f>
        <v>10N3_3_9</v>
      </c>
      <c r="E697" s="2">
        <v>10</v>
      </c>
      <c r="F697" s="2" t="s">
        <v>174</v>
      </c>
      <c r="G697" s="2">
        <v>3</v>
      </c>
      <c r="H697" s="2">
        <v>3</v>
      </c>
      <c r="I697" s="2">
        <f>COUNTIFS($E$3:E697,E697,$H$3:H697,H697)</f>
        <v>9</v>
      </c>
      <c r="N697" s="11">
        <v>1010201</v>
      </c>
      <c r="O697" s="11">
        <v>1010301</v>
      </c>
      <c r="P697" s="11">
        <v>1010401</v>
      </c>
      <c r="Q697" s="11">
        <v>1010501</v>
      </c>
      <c r="R697" s="11">
        <v>1010601</v>
      </c>
    </row>
    <row r="698" spans="1:18">
      <c r="A698" s="11">
        <f t="shared" si="13"/>
        <v>70103310</v>
      </c>
      <c r="B698" s="14" t="s">
        <v>854</v>
      </c>
      <c r="D698" s="2" t="str">
        <f>E698&amp;(VLOOKUP(F698,编号表!$E$1:$G$8,2,0))&amp;G698&amp;"_"&amp;H698&amp;"_"&amp;I698</f>
        <v>10N3_3_10</v>
      </c>
      <c r="E698" s="2">
        <v>10</v>
      </c>
      <c r="F698" s="2" t="s">
        <v>174</v>
      </c>
      <c r="G698" s="2">
        <v>3</v>
      </c>
      <c r="H698" s="2">
        <v>3</v>
      </c>
      <c r="I698" s="2">
        <f>COUNTIFS($E$3:E698,E698,$H$3:H698,H698)</f>
        <v>10</v>
      </c>
      <c r="N698" s="11">
        <v>1010201</v>
      </c>
      <c r="O698" s="11">
        <v>1010301</v>
      </c>
      <c r="P698" s="11">
        <v>1010401</v>
      </c>
      <c r="Q698" s="11">
        <v>1010501</v>
      </c>
      <c r="R698" s="11">
        <v>1010601</v>
      </c>
    </row>
    <row r="699" spans="1:18">
      <c r="A699" s="11">
        <f t="shared" si="13"/>
        <v>70103311</v>
      </c>
      <c r="B699" s="14" t="s">
        <v>855</v>
      </c>
      <c r="D699" s="2" t="str">
        <f>E699&amp;(VLOOKUP(F699,编号表!$E$1:$G$8,2,0))&amp;G699&amp;"_"&amp;H699&amp;"_"&amp;I699</f>
        <v>10N3_3_11</v>
      </c>
      <c r="E699" s="2">
        <v>10</v>
      </c>
      <c r="F699" s="2" t="s">
        <v>174</v>
      </c>
      <c r="G699" s="2">
        <v>3</v>
      </c>
      <c r="H699" s="2">
        <v>3</v>
      </c>
      <c r="I699" s="2">
        <f>COUNTIFS($E$3:E699,E699,$H$3:H699,H699)</f>
        <v>11</v>
      </c>
      <c r="N699" s="11">
        <v>1010201</v>
      </c>
      <c r="O699" s="11">
        <v>1010301</v>
      </c>
      <c r="P699" s="11">
        <v>1010401</v>
      </c>
      <c r="Q699" s="11">
        <v>1010501</v>
      </c>
      <c r="R699" s="11">
        <v>1010601</v>
      </c>
    </row>
    <row r="700" spans="1:18">
      <c r="A700" s="11">
        <f t="shared" si="13"/>
        <v>70104312</v>
      </c>
      <c r="B700" s="14" t="s">
        <v>856</v>
      </c>
      <c r="D700" s="2" t="str">
        <f>E700&amp;(VLOOKUP(F700,编号表!$E$1:$G$8,2,0))&amp;G700&amp;"_"&amp;H700&amp;"_"&amp;I700</f>
        <v>10N4_3_12</v>
      </c>
      <c r="E700" s="2">
        <v>10</v>
      </c>
      <c r="F700" s="2" t="s">
        <v>174</v>
      </c>
      <c r="G700" s="2">
        <v>4</v>
      </c>
      <c r="H700" s="2">
        <v>3</v>
      </c>
      <c r="I700" s="2">
        <f>COUNTIFS($E$3:E700,E700,$H$3:H700,H700)</f>
        <v>12</v>
      </c>
      <c r="N700" s="11">
        <v>1010201</v>
      </c>
      <c r="O700" s="11">
        <v>1010301</v>
      </c>
      <c r="P700" s="11">
        <v>1010401</v>
      </c>
      <c r="Q700" s="11">
        <v>1010501</v>
      </c>
      <c r="R700" s="11">
        <v>1010601</v>
      </c>
    </row>
    <row r="701" spans="1:18">
      <c r="A701" s="11">
        <f t="shared" ref="A701:A764" si="14">70000000+E701*10000+G701*1000+H701*100+I701</f>
        <v>70102313</v>
      </c>
      <c r="B701" s="14" t="s">
        <v>857</v>
      </c>
      <c r="D701" s="2" t="str">
        <f>E701&amp;(VLOOKUP(F701,编号表!$E$1:$G$8,2,0))&amp;G701&amp;"_"&amp;H701&amp;"_"&amp;I701</f>
        <v>10N2_3_13</v>
      </c>
      <c r="E701" s="2">
        <v>10</v>
      </c>
      <c r="F701" s="2" t="s">
        <v>174</v>
      </c>
      <c r="G701" s="2">
        <v>2</v>
      </c>
      <c r="H701" s="2">
        <v>3</v>
      </c>
      <c r="I701" s="2">
        <f>COUNTIFS($E$3:E701,E701,$H$3:H701,H701)</f>
        <v>13</v>
      </c>
      <c r="N701" s="11">
        <v>1010201</v>
      </c>
      <c r="O701" s="11">
        <v>1010301</v>
      </c>
      <c r="P701" s="11">
        <v>1010401</v>
      </c>
      <c r="Q701" s="11">
        <v>1010501</v>
      </c>
      <c r="R701" s="11">
        <v>1010601</v>
      </c>
    </row>
    <row r="702" spans="1:18">
      <c r="A702" s="11">
        <f t="shared" si="14"/>
        <v>70102314</v>
      </c>
      <c r="B702" s="14" t="s">
        <v>858</v>
      </c>
      <c r="D702" s="2" t="str">
        <f>E702&amp;(VLOOKUP(F702,编号表!$E$1:$G$8,2,0))&amp;G702&amp;"_"&amp;H702&amp;"_"&amp;I702</f>
        <v>10N2_3_14</v>
      </c>
      <c r="E702" s="2">
        <v>10</v>
      </c>
      <c r="F702" s="2" t="s">
        <v>174</v>
      </c>
      <c r="G702" s="2">
        <v>2</v>
      </c>
      <c r="H702" s="2">
        <v>3</v>
      </c>
      <c r="I702" s="2">
        <f>COUNTIFS($E$3:E702,E702,$H$3:H702,H702)</f>
        <v>14</v>
      </c>
      <c r="N702" s="11">
        <v>1010201</v>
      </c>
      <c r="O702" s="11">
        <v>1010301</v>
      </c>
      <c r="P702" s="11">
        <v>1010401</v>
      </c>
      <c r="Q702" s="11">
        <v>1010501</v>
      </c>
      <c r="R702" s="11">
        <v>1010601</v>
      </c>
    </row>
    <row r="703" spans="1:18">
      <c r="A703" s="11">
        <f t="shared" si="14"/>
        <v>70103401</v>
      </c>
      <c r="B703" s="14" t="s">
        <v>859</v>
      </c>
      <c r="D703" s="2" t="str">
        <f>E703&amp;(VLOOKUP(F703,编号表!$E$1:$G$8,2,0))&amp;G703&amp;"_"&amp;H703&amp;"_"&amp;I703</f>
        <v>10N3_4_1</v>
      </c>
      <c r="E703" s="2">
        <v>10</v>
      </c>
      <c r="F703" s="2" t="s">
        <v>174</v>
      </c>
      <c r="G703" s="2">
        <v>3</v>
      </c>
      <c r="H703" s="2">
        <v>4</v>
      </c>
      <c r="I703" s="2">
        <f>COUNTIFS($E$3:E703,E703,$H$3:H703,H703)</f>
        <v>1</v>
      </c>
      <c r="N703" s="11">
        <v>1010201</v>
      </c>
      <c r="O703" s="11">
        <v>1010301</v>
      </c>
      <c r="P703" s="11">
        <v>1010401</v>
      </c>
      <c r="Q703" s="11">
        <v>1010501</v>
      </c>
      <c r="R703" s="11">
        <v>1010601</v>
      </c>
    </row>
    <row r="704" spans="1:18">
      <c r="A704" s="11">
        <f t="shared" si="14"/>
        <v>70103402</v>
      </c>
      <c r="B704" s="14" t="s">
        <v>860</v>
      </c>
      <c r="D704" s="2" t="str">
        <f>E704&amp;(VLOOKUP(F704,编号表!$E$1:$G$8,2,0))&amp;G704&amp;"_"&amp;H704&amp;"_"&amp;I704</f>
        <v>10N3_4_2</v>
      </c>
      <c r="E704" s="2">
        <v>10</v>
      </c>
      <c r="F704" s="2" t="s">
        <v>174</v>
      </c>
      <c r="G704" s="2">
        <v>3</v>
      </c>
      <c r="H704" s="2">
        <v>4</v>
      </c>
      <c r="I704" s="2">
        <f>COUNTIFS($E$3:E704,E704,$H$3:H704,H704)</f>
        <v>2</v>
      </c>
      <c r="N704" s="11">
        <v>1010201</v>
      </c>
      <c r="O704" s="11">
        <v>1010301</v>
      </c>
      <c r="P704" s="11">
        <v>1010401</v>
      </c>
      <c r="Q704" s="11">
        <v>1010501</v>
      </c>
      <c r="R704" s="11">
        <v>1010601</v>
      </c>
    </row>
    <row r="705" spans="1:20">
      <c r="A705" s="11">
        <f t="shared" si="14"/>
        <v>70103403</v>
      </c>
      <c r="B705" s="14" t="s">
        <v>861</v>
      </c>
      <c r="D705" s="2" t="str">
        <f>E705&amp;(VLOOKUP(F705,编号表!$E$1:$G$8,2,0))&amp;G705&amp;"_"&amp;H705&amp;"_"&amp;I705</f>
        <v>10N3_4_3</v>
      </c>
      <c r="E705" s="2">
        <v>10</v>
      </c>
      <c r="F705" s="2" t="s">
        <v>174</v>
      </c>
      <c r="G705" s="2">
        <v>3</v>
      </c>
      <c r="H705" s="2">
        <v>4</v>
      </c>
      <c r="I705" s="2">
        <f>COUNTIFS($E$3:E705,E705,$H$3:H705,H705)</f>
        <v>3</v>
      </c>
      <c r="N705" s="11">
        <v>1010201</v>
      </c>
      <c r="O705" s="11">
        <v>1010301</v>
      </c>
      <c r="P705" s="11">
        <v>1010401</v>
      </c>
      <c r="Q705" s="11">
        <v>1010501</v>
      </c>
      <c r="R705" s="11">
        <v>1010601</v>
      </c>
    </row>
    <row r="706" spans="1:20">
      <c r="A706" s="11">
        <f t="shared" si="14"/>
        <v>70103404</v>
      </c>
      <c r="B706" s="14" t="s">
        <v>862</v>
      </c>
      <c r="D706" s="2" t="str">
        <f>E706&amp;(VLOOKUP(F706,编号表!$E$1:$G$8,2,0))&amp;G706&amp;"_"&amp;H706&amp;"_"&amp;I706</f>
        <v>10N3_4_4</v>
      </c>
      <c r="E706" s="2">
        <v>10</v>
      </c>
      <c r="F706" s="2" t="s">
        <v>174</v>
      </c>
      <c r="G706" s="2">
        <v>3</v>
      </c>
      <c r="H706" s="2">
        <v>4</v>
      </c>
      <c r="I706" s="2">
        <f>COUNTIFS($E$3:E706,E706,$H$3:H706,H706)</f>
        <v>4</v>
      </c>
      <c r="N706" s="11">
        <v>1010201</v>
      </c>
      <c r="O706" s="11">
        <v>1010301</v>
      </c>
      <c r="P706" s="11">
        <v>1010401</v>
      </c>
      <c r="Q706" s="11">
        <v>1010501</v>
      </c>
      <c r="R706" s="11">
        <v>1010601</v>
      </c>
    </row>
    <row r="707" spans="1:20">
      <c r="A707" s="11">
        <f t="shared" si="14"/>
        <v>70103405</v>
      </c>
      <c r="B707" s="14" t="s">
        <v>863</v>
      </c>
      <c r="D707" s="2" t="str">
        <f>E707&amp;(VLOOKUP(F707,编号表!$E$1:$G$8,2,0))&amp;G707&amp;"_"&amp;H707&amp;"_"&amp;I707</f>
        <v>10N3_4_5</v>
      </c>
      <c r="E707" s="2">
        <v>10</v>
      </c>
      <c r="F707" s="2" t="s">
        <v>174</v>
      </c>
      <c r="G707" s="2">
        <v>3</v>
      </c>
      <c r="H707" s="2">
        <v>4</v>
      </c>
      <c r="I707" s="2">
        <f>COUNTIFS($E$3:E707,E707,$H$3:H707,H707)</f>
        <v>5</v>
      </c>
      <c r="N707" s="11">
        <v>1010201</v>
      </c>
      <c r="O707" s="11">
        <v>1010301</v>
      </c>
      <c r="P707" s="11">
        <v>1010401</v>
      </c>
      <c r="Q707" s="11">
        <v>1010501</v>
      </c>
      <c r="R707" s="11">
        <v>1010601</v>
      </c>
    </row>
    <row r="708" spans="1:20">
      <c r="A708" s="11">
        <f t="shared" si="14"/>
        <v>70102406</v>
      </c>
      <c r="B708" s="14" t="s">
        <v>864</v>
      </c>
      <c r="D708" s="2" t="str">
        <f>E708&amp;(VLOOKUP(F708,编号表!$E$1:$G$8,2,0))&amp;G708&amp;"_"&amp;H708&amp;"_"&amp;I708</f>
        <v>10N2_4_6</v>
      </c>
      <c r="E708" s="2">
        <v>10</v>
      </c>
      <c r="F708" s="2" t="s">
        <v>174</v>
      </c>
      <c r="G708" s="2">
        <v>2</v>
      </c>
      <c r="H708" s="2">
        <v>4</v>
      </c>
      <c r="I708" s="2">
        <f>COUNTIFS($E$3:E708,E708,$H$3:H708,H708)</f>
        <v>6</v>
      </c>
      <c r="N708" s="11">
        <v>1010201</v>
      </c>
      <c r="O708" s="11">
        <v>1010301</v>
      </c>
      <c r="P708" s="11">
        <v>1010401</v>
      </c>
      <c r="Q708" s="11">
        <v>1010501</v>
      </c>
      <c r="R708" s="11">
        <v>1010601</v>
      </c>
    </row>
    <row r="709" spans="1:20">
      <c r="A709" s="11">
        <f t="shared" si="14"/>
        <v>70103407</v>
      </c>
      <c r="B709" s="14" t="s">
        <v>865</v>
      </c>
      <c r="D709" s="2" t="str">
        <f>E709&amp;(VLOOKUP(F709,编号表!$E$1:$G$8,2,0))&amp;G709&amp;"_"&amp;H709&amp;"_"&amp;I709</f>
        <v>10N3_4_7</v>
      </c>
      <c r="E709" s="2">
        <v>10</v>
      </c>
      <c r="F709" s="2" t="s">
        <v>174</v>
      </c>
      <c r="G709" s="2">
        <v>3</v>
      </c>
      <c r="H709" s="2">
        <v>4</v>
      </c>
      <c r="I709" s="2">
        <f>COUNTIFS($E$3:E709,E709,$H$3:H709,H709)</f>
        <v>7</v>
      </c>
      <c r="N709" s="11">
        <v>1010201</v>
      </c>
      <c r="O709" s="11">
        <v>1010301</v>
      </c>
      <c r="P709" s="11">
        <v>1010401</v>
      </c>
      <c r="Q709" s="11">
        <v>1010501</v>
      </c>
      <c r="R709" s="11">
        <v>1010601</v>
      </c>
    </row>
    <row r="710" spans="1:20">
      <c r="A710" s="11">
        <f t="shared" si="14"/>
        <v>70103408</v>
      </c>
      <c r="B710" s="14" t="s">
        <v>866</v>
      </c>
      <c r="D710" s="2" t="str">
        <f>E710&amp;(VLOOKUP(F710,编号表!$E$1:$G$8,2,0))&amp;G710&amp;"_"&amp;H710&amp;"_"&amp;I710</f>
        <v>10N3_4_8</v>
      </c>
      <c r="E710" s="2">
        <v>10</v>
      </c>
      <c r="F710" s="2" t="s">
        <v>174</v>
      </c>
      <c r="G710" s="2">
        <v>3</v>
      </c>
      <c r="H710" s="2">
        <v>4</v>
      </c>
      <c r="I710" s="2">
        <f>COUNTIFS($E$3:E710,E710,$H$3:H710,H710)</f>
        <v>8</v>
      </c>
      <c r="N710" s="11">
        <v>1010201</v>
      </c>
      <c r="O710" s="11">
        <v>1010301</v>
      </c>
      <c r="P710" s="11">
        <v>1010401</v>
      </c>
      <c r="Q710" s="11">
        <v>1010501</v>
      </c>
      <c r="R710" s="11">
        <v>1010601</v>
      </c>
    </row>
    <row r="711" spans="1:20">
      <c r="A711" s="11">
        <f t="shared" si="14"/>
        <v>70101409</v>
      </c>
      <c r="B711" s="14" t="s">
        <v>867</v>
      </c>
      <c r="D711" s="2" t="str">
        <f>E711&amp;(VLOOKUP(F711,编号表!$E$1:$G$8,2,0))&amp;G711&amp;"_"&amp;H711&amp;"_"&amp;I711</f>
        <v>10N1_4_9</v>
      </c>
      <c r="E711" s="2">
        <v>10</v>
      </c>
      <c r="F711" s="2" t="s">
        <v>174</v>
      </c>
      <c r="G711" s="2">
        <v>1</v>
      </c>
      <c r="H711" s="2">
        <v>4</v>
      </c>
      <c r="I711" s="2">
        <f>COUNTIFS($E$3:E711,E711,$H$3:H711,H711)</f>
        <v>9</v>
      </c>
      <c r="N711" s="11">
        <v>1010201</v>
      </c>
      <c r="O711" s="11">
        <v>1010301</v>
      </c>
      <c r="P711" s="11">
        <v>1010401</v>
      </c>
      <c r="Q711" s="11">
        <v>1010501</v>
      </c>
      <c r="R711" s="11">
        <v>1010601</v>
      </c>
    </row>
    <row r="712" spans="1:20">
      <c r="A712" s="11">
        <f t="shared" si="14"/>
        <v>70102410</v>
      </c>
      <c r="B712" s="14" t="s">
        <v>868</v>
      </c>
      <c r="D712" s="2" t="str">
        <f>E712&amp;(VLOOKUP(F712,编号表!$E$1:$G$8,2,0))&amp;G712&amp;"_"&amp;H712&amp;"_"&amp;I712</f>
        <v>10N2_4_10</v>
      </c>
      <c r="E712" s="2">
        <v>10</v>
      </c>
      <c r="F712" s="2" t="s">
        <v>174</v>
      </c>
      <c r="G712" s="2">
        <v>2</v>
      </c>
      <c r="H712" s="2">
        <v>4</v>
      </c>
      <c r="I712" s="2">
        <f>COUNTIFS($E$3:E712,E712,$H$3:H712,H712)</f>
        <v>10</v>
      </c>
      <c r="N712" s="11">
        <v>1010201</v>
      </c>
      <c r="O712" s="11">
        <v>1010301</v>
      </c>
      <c r="P712" s="11">
        <v>1010401</v>
      </c>
      <c r="Q712" s="11">
        <v>1010501</v>
      </c>
      <c r="R712" s="11">
        <v>1010601</v>
      </c>
    </row>
    <row r="713" spans="1:20">
      <c r="A713" s="11">
        <f t="shared" si="14"/>
        <v>70102411</v>
      </c>
      <c r="B713" s="14" t="s">
        <v>869</v>
      </c>
      <c r="D713" s="2" t="str">
        <f>E713&amp;(VLOOKUP(F713,编号表!$E$1:$G$8,2,0))&amp;G713&amp;"_"&amp;H713&amp;"_"&amp;I713</f>
        <v>10N2_4_11</v>
      </c>
      <c r="E713" s="2">
        <v>10</v>
      </c>
      <c r="F713" s="2" t="s">
        <v>174</v>
      </c>
      <c r="G713" s="2">
        <v>2</v>
      </c>
      <c r="H713" s="2">
        <v>4</v>
      </c>
      <c r="I713" s="2">
        <f>COUNTIFS($E$3:E713,E713,$H$3:H713,H713)</f>
        <v>11</v>
      </c>
      <c r="N713" s="11">
        <v>1010201</v>
      </c>
      <c r="O713" s="11">
        <v>1010301</v>
      </c>
      <c r="P713" s="11">
        <v>1010401</v>
      </c>
      <c r="Q713" s="11">
        <v>1010501</v>
      </c>
      <c r="R713" s="11">
        <v>1010601</v>
      </c>
    </row>
    <row r="714" spans="1:20">
      <c r="A714" s="11">
        <f t="shared" si="14"/>
        <v>70102412</v>
      </c>
      <c r="B714" s="14" t="s">
        <v>870</v>
      </c>
      <c r="D714" s="2" t="str">
        <f>E714&amp;(VLOOKUP(F714,编号表!$E$1:$G$8,2,0))&amp;G714&amp;"_"&amp;H714&amp;"_"&amp;I714</f>
        <v>10N2_4_12</v>
      </c>
      <c r="E714" s="2">
        <v>10</v>
      </c>
      <c r="F714" s="2" t="s">
        <v>174</v>
      </c>
      <c r="G714" s="2">
        <v>2</v>
      </c>
      <c r="H714" s="2">
        <v>4</v>
      </c>
      <c r="I714" s="2">
        <f>COUNTIFS($E$3:E714,E714,$H$3:H714,H714)</f>
        <v>12</v>
      </c>
      <c r="M714" s="20"/>
      <c r="N714" s="11">
        <v>1010201</v>
      </c>
      <c r="O714" s="11">
        <v>1010301</v>
      </c>
      <c r="P714" s="11">
        <v>1010401</v>
      </c>
      <c r="Q714" s="11">
        <v>1010501</v>
      </c>
      <c r="R714" s="11">
        <v>1010601</v>
      </c>
      <c r="T714" s="19"/>
    </row>
    <row r="715" spans="1:20">
      <c r="A715" s="11">
        <f t="shared" si="14"/>
        <v>70103501</v>
      </c>
      <c r="B715" s="14" t="s">
        <v>871</v>
      </c>
      <c r="D715" s="2" t="str">
        <f>E715&amp;(VLOOKUP(F715,编号表!$E$1:$G$8,2,0))&amp;G715&amp;"_"&amp;H715&amp;"_"&amp;I715</f>
        <v>10N3_5_1</v>
      </c>
      <c r="E715" s="2">
        <v>10</v>
      </c>
      <c r="F715" s="2" t="s">
        <v>174</v>
      </c>
      <c r="G715" s="2">
        <v>3</v>
      </c>
      <c r="H715" s="2">
        <v>5</v>
      </c>
      <c r="I715" s="2">
        <f>COUNTIFS($E$3:E715,E715,$H$3:H715,H715)</f>
        <v>1</v>
      </c>
      <c r="M715" s="20"/>
      <c r="N715" s="11">
        <v>1010201</v>
      </c>
      <c r="O715" s="11">
        <v>1010301</v>
      </c>
      <c r="P715" s="11">
        <v>1010401</v>
      </c>
      <c r="Q715" s="11">
        <v>1010501</v>
      </c>
      <c r="R715" s="11">
        <v>1010601</v>
      </c>
      <c r="T715" s="19"/>
    </row>
    <row r="716" spans="1:20">
      <c r="A716" s="11">
        <f t="shared" si="14"/>
        <v>70102502</v>
      </c>
      <c r="B716" s="14" t="s">
        <v>872</v>
      </c>
      <c r="D716" s="2" t="str">
        <f>E716&amp;(VLOOKUP(F716,编号表!$E$1:$G$8,2,0))&amp;G716&amp;"_"&amp;H716&amp;"_"&amp;I716</f>
        <v>10N2_5_2</v>
      </c>
      <c r="E716" s="2">
        <v>10</v>
      </c>
      <c r="F716" s="2" t="s">
        <v>174</v>
      </c>
      <c r="G716" s="2">
        <v>2</v>
      </c>
      <c r="H716" s="2">
        <v>5</v>
      </c>
      <c r="I716" s="2">
        <f>COUNTIFS($E$3:E716,E716,$H$3:H716,H716)</f>
        <v>2</v>
      </c>
      <c r="M716" s="20"/>
      <c r="N716" s="11">
        <v>1010201</v>
      </c>
      <c r="O716" s="11">
        <v>1010301</v>
      </c>
      <c r="P716" s="11">
        <v>1010401</v>
      </c>
      <c r="Q716" s="11">
        <v>1010501</v>
      </c>
      <c r="R716" s="11">
        <v>1010601</v>
      </c>
      <c r="T716" s="19"/>
    </row>
    <row r="717" spans="1:20">
      <c r="A717" s="11">
        <f t="shared" si="14"/>
        <v>70102503</v>
      </c>
      <c r="B717" s="14" t="s">
        <v>873</v>
      </c>
      <c r="D717" s="2" t="str">
        <f>E717&amp;(VLOOKUP(F717,编号表!$E$1:$G$8,2,0))&amp;G717&amp;"_"&amp;H717&amp;"_"&amp;I717</f>
        <v>10N2_5_3</v>
      </c>
      <c r="E717" s="2">
        <v>10</v>
      </c>
      <c r="F717" s="2" t="s">
        <v>174</v>
      </c>
      <c r="G717" s="2">
        <v>2</v>
      </c>
      <c r="H717" s="2">
        <v>5</v>
      </c>
      <c r="I717" s="2">
        <f>COUNTIFS($E$3:E717,E717,$H$3:H717,H717)</f>
        <v>3</v>
      </c>
      <c r="M717" s="20"/>
      <c r="N717" s="11">
        <v>1010201</v>
      </c>
      <c r="O717" s="11">
        <v>1010301</v>
      </c>
      <c r="P717" s="11">
        <v>1010401</v>
      </c>
      <c r="Q717" s="11">
        <v>1010501</v>
      </c>
      <c r="R717" s="11">
        <v>1010601</v>
      </c>
      <c r="T717" s="19"/>
    </row>
    <row r="718" spans="1:20">
      <c r="A718" s="11">
        <f t="shared" si="14"/>
        <v>70102504</v>
      </c>
      <c r="B718" s="14" t="s">
        <v>874</v>
      </c>
      <c r="D718" s="2" t="str">
        <f>E718&amp;(VLOOKUP(F718,编号表!$E$1:$G$8,2,0))&amp;G718&amp;"_"&amp;H718&amp;"_"&amp;I718</f>
        <v>10N2_5_4</v>
      </c>
      <c r="E718" s="2">
        <v>10</v>
      </c>
      <c r="F718" s="2" t="s">
        <v>174</v>
      </c>
      <c r="G718" s="2">
        <v>2</v>
      </c>
      <c r="H718" s="2">
        <v>5</v>
      </c>
      <c r="I718" s="2">
        <f>COUNTIFS($E$3:E718,E718,$H$3:H718,H718)</f>
        <v>4</v>
      </c>
      <c r="M718" s="20"/>
      <c r="N718" s="11">
        <v>1010201</v>
      </c>
      <c r="O718" s="11">
        <v>1010301</v>
      </c>
      <c r="P718" s="11">
        <v>1010401</v>
      </c>
      <c r="Q718" s="11">
        <v>1010501</v>
      </c>
      <c r="R718" s="11">
        <v>1010601</v>
      </c>
      <c r="T718" s="19"/>
    </row>
    <row r="719" spans="1:20">
      <c r="A719" s="11">
        <f t="shared" si="14"/>
        <v>70100001</v>
      </c>
      <c r="B719" s="18" t="s">
        <v>875</v>
      </c>
      <c r="D719" s="2" t="str">
        <f>E719&amp;(VLOOKUP(F719,编号表!$E$1:$G$8,2,0))&amp;G719&amp;"_"&amp;H719&amp;"_"&amp;I719</f>
        <v>10J0_0_1</v>
      </c>
      <c r="E719" s="2">
        <v>10</v>
      </c>
      <c r="F719" s="2" t="s">
        <v>222</v>
      </c>
      <c r="G719" s="2">
        <v>0</v>
      </c>
      <c r="H719" s="2">
        <v>0</v>
      </c>
      <c r="I719" s="2">
        <f>COUNTIFS($E$3:E719,E719,$H$3:H719,H719)</f>
        <v>1</v>
      </c>
      <c r="J719" s="2">
        <v>1</v>
      </c>
      <c r="M719" s="20"/>
      <c r="T719" s="20"/>
    </row>
    <row r="720" spans="1:20">
      <c r="A720" s="11">
        <f t="shared" si="14"/>
        <v>70114101</v>
      </c>
      <c r="B720" s="14" t="s">
        <v>876</v>
      </c>
      <c r="D720" s="2" t="str">
        <f>E720&amp;(VLOOKUP(F720,编号表!$E$1:$G$8,2,0))&amp;G720&amp;"_"&amp;H720&amp;"_"&amp;I720</f>
        <v>11N4_1_1</v>
      </c>
      <c r="E720" s="2">
        <v>11</v>
      </c>
      <c r="F720" s="2" t="s">
        <v>174</v>
      </c>
      <c r="G720" s="2">
        <v>4</v>
      </c>
      <c r="H720" s="2">
        <v>1</v>
      </c>
      <c r="I720" s="2">
        <f>COUNTIFS($E$3:E720,E720,$H$3:H720,H720)</f>
        <v>1</v>
      </c>
      <c r="M720" s="20"/>
      <c r="N720" s="11">
        <v>1011301</v>
      </c>
      <c r="O720" s="11">
        <v>1011401</v>
      </c>
      <c r="P720" s="11">
        <v>1011501</v>
      </c>
      <c r="Q720" s="11">
        <v>1011601</v>
      </c>
      <c r="R720" s="11">
        <v>1011701</v>
      </c>
      <c r="S720" s="11">
        <v>1011001</v>
      </c>
    </row>
    <row r="721" spans="1:19">
      <c r="A721" s="11">
        <f t="shared" si="14"/>
        <v>70114102</v>
      </c>
      <c r="B721" s="14" t="s">
        <v>877</v>
      </c>
      <c r="D721" s="2" t="str">
        <f>E721&amp;(VLOOKUP(F721,编号表!$E$1:$G$8,2,0))&amp;G721&amp;"_"&amp;H721&amp;"_"&amp;I721</f>
        <v>11N4_1_2</v>
      </c>
      <c r="E721" s="2">
        <v>11</v>
      </c>
      <c r="F721" s="2" t="s">
        <v>174</v>
      </c>
      <c r="G721" s="2">
        <v>4</v>
      </c>
      <c r="H721" s="2">
        <v>1</v>
      </c>
      <c r="I721" s="2">
        <f>COUNTIFS($E$3:E721,E721,$H$3:H721,H721)</f>
        <v>2</v>
      </c>
      <c r="N721" s="11">
        <v>1011301</v>
      </c>
      <c r="O721" s="11">
        <v>1011401</v>
      </c>
      <c r="P721" s="11">
        <v>1011501</v>
      </c>
      <c r="Q721" s="11">
        <v>1011601</v>
      </c>
      <c r="R721" s="11">
        <v>1011701</v>
      </c>
      <c r="S721" s="11">
        <v>1011002</v>
      </c>
    </row>
    <row r="722" spans="1:19">
      <c r="A722" s="11">
        <f t="shared" si="14"/>
        <v>70114201</v>
      </c>
      <c r="B722" s="14" t="s">
        <v>878</v>
      </c>
      <c r="D722" s="2" t="str">
        <f>E722&amp;(VLOOKUP(F722,编号表!$E$1:$G$8,2,0))&amp;G722&amp;"_"&amp;H722&amp;"_"&amp;I722</f>
        <v>11N4_2_1</v>
      </c>
      <c r="E722" s="2">
        <v>11</v>
      </c>
      <c r="F722" s="2" t="s">
        <v>174</v>
      </c>
      <c r="G722" s="2">
        <v>4</v>
      </c>
      <c r="H722" s="2">
        <v>2</v>
      </c>
      <c r="I722" s="2">
        <f>COUNTIFS($E$3:E722,E722,$H$3:H722,H722)</f>
        <v>1</v>
      </c>
      <c r="N722" s="11">
        <v>1011301</v>
      </c>
      <c r="O722" s="11">
        <v>1011401</v>
      </c>
      <c r="P722" s="11">
        <v>1011501</v>
      </c>
      <c r="Q722" s="11">
        <v>1011601</v>
      </c>
      <c r="R722" s="11">
        <v>1011701</v>
      </c>
      <c r="S722" s="11">
        <v>1011101</v>
      </c>
    </row>
    <row r="723" spans="1:19">
      <c r="A723" s="11">
        <f t="shared" si="14"/>
        <v>70114202</v>
      </c>
      <c r="B723" s="14" t="s">
        <v>879</v>
      </c>
      <c r="D723" s="2" t="str">
        <f>E723&amp;(VLOOKUP(F723,编号表!$E$1:$G$8,2,0))&amp;G723&amp;"_"&amp;H723&amp;"_"&amp;I723</f>
        <v>11N4_2_2</v>
      </c>
      <c r="E723" s="2">
        <v>11</v>
      </c>
      <c r="F723" s="2" t="s">
        <v>174</v>
      </c>
      <c r="G723" s="2">
        <v>4</v>
      </c>
      <c r="H723" s="2">
        <v>2</v>
      </c>
      <c r="I723" s="2">
        <f>COUNTIFS($E$3:E723,E723,$H$3:H723,H723)</f>
        <v>2</v>
      </c>
      <c r="M723" s="20"/>
      <c r="N723" s="11">
        <v>1011301</v>
      </c>
      <c r="O723" s="11">
        <v>1011401</v>
      </c>
      <c r="P723" s="11">
        <v>1011501</v>
      </c>
      <c r="Q723" s="11">
        <v>1011601</v>
      </c>
      <c r="R723" s="11">
        <v>1011701</v>
      </c>
      <c r="S723" s="11">
        <v>1011102</v>
      </c>
    </row>
    <row r="724" spans="1:19">
      <c r="A724" s="11">
        <f t="shared" si="14"/>
        <v>70114203</v>
      </c>
      <c r="B724" s="14" t="s">
        <v>880</v>
      </c>
      <c r="D724" s="2" t="str">
        <f>E724&amp;(VLOOKUP(F724,编号表!$E$1:$G$8,2,0))&amp;G724&amp;"_"&amp;H724&amp;"_"&amp;I724</f>
        <v>11N4_2_3</v>
      </c>
      <c r="E724" s="2">
        <v>11</v>
      </c>
      <c r="F724" s="2" t="s">
        <v>174</v>
      </c>
      <c r="G724" s="2">
        <v>4</v>
      </c>
      <c r="H724" s="2">
        <v>2</v>
      </c>
      <c r="I724" s="2">
        <f>COUNTIFS($E$3:E724,E724,$H$3:H724,H724)</f>
        <v>3</v>
      </c>
      <c r="M724" s="20"/>
      <c r="N724" s="11">
        <v>1011301</v>
      </c>
      <c r="O724" s="11">
        <v>1011401</v>
      </c>
      <c r="P724" s="11">
        <v>1011501</v>
      </c>
      <c r="Q724" s="11">
        <v>1011601</v>
      </c>
      <c r="R724" s="11">
        <v>1011701</v>
      </c>
      <c r="S724" s="11">
        <v>1011103</v>
      </c>
    </row>
    <row r="725" spans="1:19">
      <c r="A725" s="11">
        <f t="shared" si="14"/>
        <v>70114204</v>
      </c>
      <c r="B725" s="14" t="s">
        <v>881</v>
      </c>
      <c r="D725" s="2" t="str">
        <f>E725&amp;(VLOOKUP(F725,编号表!$E$1:$G$8,2,0))&amp;G725&amp;"_"&amp;H725&amp;"_"&amp;I725</f>
        <v>11N4_2_4</v>
      </c>
      <c r="E725" s="2">
        <v>11</v>
      </c>
      <c r="F725" s="2" t="s">
        <v>174</v>
      </c>
      <c r="G725" s="2">
        <v>4</v>
      </c>
      <c r="H725" s="2">
        <v>2</v>
      </c>
      <c r="I725" s="2">
        <f>COUNTIFS($E$3:E725,E725,$H$3:H725,H725)</f>
        <v>4</v>
      </c>
      <c r="M725" s="20"/>
      <c r="N725" s="11">
        <v>1011301</v>
      </c>
      <c r="O725" s="11">
        <v>1011401</v>
      </c>
      <c r="P725" s="11">
        <v>1011501</v>
      </c>
      <c r="Q725" s="11">
        <v>1011601</v>
      </c>
      <c r="R725" s="11">
        <v>1011701</v>
      </c>
    </row>
    <row r="726" spans="1:19">
      <c r="A726" s="11">
        <f t="shared" si="14"/>
        <v>70113205</v>
      </c>
      <c r="B726" s="14" t="s">
        <v>882</v>
      </c>
      <c r="D726" s="2" t="str">
        <f>E726&amp;(VLOOKUP(F726,编号表!$E$1:$G$8,2,0))&amp;G726&amp;"_"&amp;H726&amp;"_"&amp;I726</f>
        <v>11N3_2_5</v>
      </c>
      <c r="E726" s="2">
        <v>11</v>
      </c>
      <c r="F726" s="2" t="s">
        <v>174</v>
      </c>
      <c r="G726" s="2">
        <v>3</v>
      </c>
      <c r="H726" s="2">
        <v>2</v>
      </c>
      <c r="I726" s="2">
        <f>COUNTIFS($E$3:E726,E726,$H$3:H726,H726)</f>
        <v>5</v>
      </c>
      <c r="M726" s="20"/>
      <c r="N726" s="11">
        <v>1011301</v>
      </c>
      <c r="O726" s="11">
        <v>1011401</v>
      </c>
      <c r="P726" s="11">
        <v>1011501</v>
      </c>
      <c r="Q726" s="11">
        <v>1011601</v>
      </c>
      <c r="R726" s="11">
        <v>1011701</v>
      </c>
    </row>
    <row r="727" spans="1:19">
      <c r="A727" s="11">
        <f t="shared" si="14"/>
        <v>70114206</v>
      </c>
      <c r="B727" s="14" t="s">
        <v>883</v>
      </c>
      <c r="D727" s="2" t="str">
        <f>E727&amp;(VLOOKUP(F727,编号表!$E$1:$G$8,2,0))&amp;G727&amp;"_"&amp;H727&amp;"_"&amp;I727</f>
        <v>11N4_2_6</v>
      </c>
      <c r="E727" s="2">
        <v>11</v>
      </c>
      <c r="F727" s="2" t="s">
        <v>174</v>
      </c>
      <c r="G727" s="2">
        <v>4</v>
      </c>
      <c r="H727" s="2">
        <v>2</v>
      </c>
      <c r="I727" s="2">
        <f>COUNTIFS($E$3:E727,E727,$H$3:H727,H727)</f>
        <v>6</v>
      </c>
      <c r="M727" s="20"/>
      <c r="N727" s="11">
        <v>1011201</v>
      </c>
      <c r="O727" s="11">
        <v>1011301</v>
      </c>
      <c r="P727" s="11">
        <v>1011401</v>
      </c>
      <c r="Q727" s="11">
        <v>1011501</v>
      </c>
      <c r="R727" s="11">
        <v>1011601</v>
      </c>
      <c r="S727" s="11">
        <v>1011701</v>
      </c>
    </row>
    <row r="728" spans="1:19">
      <c r="A728" s="11">
        <f t="shared" si="14"/>
        <v>70114207</v>
      </c>
      <c r="B728" s="14" t="s">
        <v>884</v>
      </c>
      <c r="D728" s="2" t="str">
        <f>E728&amp;(VLOOKUP(F728,编号表!$E$1:$G$8,2,0))&amp;G728&amp;"_"&amp;H728&amp;"_"&amp;I728</f>
        <v>11N4_2_7</v>
      </c>
      <c r="E728" s="2">
        <v>11</v>
      </c>
      <c r="F728" s="2" t="s">
        <v>174</v>
      </c>
      <c r="G728" s="2">
        <v>4</v>
      </c>
      <c r="H728" s="2">
        <v>2</v>
      </c>
      <c r="I728" s="2">
        <f>COUNTIFS($E$3:E728,E728,$H$3:H728,H728)</f>
        <v>7</v>
      </c>
      <c r="M728" s="20"/>
      <c r="N728" s="11">
        <v>1011201</v>
      </c>
      <c r="O728" s="11">
        <v>1011301</v>
      </c>
      <c r="P728" s="11">
        <v>1011401</v>
      </c>
      <c r="Q728" s="11">
        <v>1011501</v>
      </c>
      <c r="R728" s="11">
        <v>1011601</v>
      </c>
      <c r="S728" s="11">
        <v>1011701</v>
      </c>
    </row>
    <row r="729" spans="1:19">
      <c r="A729" s="11">
        <f t="shared" si="14"/>
        <v>70113208</v>
      </c>
      <c r="B729" s="14" t="s">
        <v>885</v>
      </c>
      <c r="D729" s="2" t="str">
        <f>E729&amp;(VLOOKUP(F729,编号表!$E$1:$G$8,2,0))&amp;G729&amp;"_"&amp;H729&amp;"_"&amp;I729</f>
        <v>11N3_2_8</v>
      </c>
      <c r="E729" s="2">
        <v>11</v>
      </c>
      <c r="F729" s="2" t="s">
        <v>174</v>
      </c>
      <c r="G729" s="2">
        <v>3</v>
      </c>
      <c r="H729" s="2">
        <v>2</v>
      </c>
      <c r="I729" s="2">
        <f>COUNTIFS($E$3:E729,E729,$H$3:H729,H729)</f>
        <v>8</v>
      </c>
      <c r="N729" s="11">
        <v>1011201</v>
      </c>
      <c r="O729" s="11">
        <v>1011301</v>
      </c>
      <c r="P729" s="11">
        <v>1011401</v>
      </c>
      <c r="Q729" s="11">
        <v>1011501</v>
      </c>
      <c r="R729" s="11">
        <v>1011601</v>
      </c>
      <c r="S729" s="11">
        <v>1011701</v>
      </c>
    </row>
    <row r="730" spans="1:19">
      <c r="A730" s="11">
        <f t="shared" si="14"/>
        <v>70113209</v>
      </c>
      <c r="B730" s="14" t="s">
        <v>886</v>
      </c>
      <c r="D730" s="2" t="str">
        <f>E730&amp;(VLOOKUP(F730,编号表!$E$1:$G$8,2,0))&amp;G730&amp;"_"&amp;H730&amp;"_"&amp;I730</f>
        <v>11N3_2_9</v>
      </c>
      <c r="E730" s="2">
        <v>11</v>
      </c>
      <c r="F730" s="2" t="s">
        <v>174</v>
      </c>
      <c r="G730" s="2">
        <v>3</v>
      </c>
      <c r="H730" s="2">
        <v>2</v>
      </c>
      <c r="I730" s="2">
        <f>COUNTIFS($E$3:E730,E730,$H$3:H730,H730)</f>
        <v>9</v>
      </c>
      <c r="N730" s="11">
        <v>1011201</v>
      </c>
      <c r="O730" s="11">
        <v>1011301</v>
      </c>
      <c r="P730" s="11">
        <v>1011401</v>
      </c>
      <c r="Q730" s="11">
        <v>1011501</v>
      </c>
      <c r="R730" s="11">
        <v>1011601</v>
      </c>
      <c r="S730" s="11">
        <v>1011701</v>
      </c>
    </row>
    <row r="731" spans="1:19">
      <c r="A731" s="11">
        <f t="shared" si="14"/>
        <v>70113210</v>
      </c>
      <c r="B731" s="14" t="s">
        <v>887</v>
      </c>
      <c r="D731" s="2" t="str">
        <f>E731&amp;(VLOOKUP(F731,编号表!$E$1:$G$8,2,0))&amp;G731&amp;"_"&amp;H731&amp;"_"&amp;I731</f>
        <v>11N3_2_10</v>
      </c>
      <c r="E731" s="2">
        <v>11</v>
      </c>
      <c r="F731" s="2" t="s">
        <v>174</v>
      </c>
      <c r="G731" s="2">
        <v>3</v>
      </c>
      <c r="H731" s="2">
        <v>2</v>
      </c>
      <c r="I731" s="2">
        <f>COUNTIFS($E$3:E731,E731,$H$3:H731,H731)</f>
        <v>10</v>
      </c>
      <c r="N731" s="11">
        <v>1011201</v>
      </c>
      <c r="O731" s="11">
        <v>1011401</v>
      </c>
      <c r="P731" s="11">
        <v>1011501</v>
      </c>
      <c r="Q731" s="11">
        <v>1011601</v>
      </c>
      <c r="R731" s="11">
        <v>1011701</v>
      </c>
    </row>
    <row r="732" spans="1:19">
      <c r="A732" s="11">
        <f t="shared" si="14"/>
        <v>70113211</v>
      </c>
      <c r="B732" s="14" t="s">
        <v>888</v>
      </c>
      <c r="D732" s="2" t="str">
        <f>E732&amp;(VLOOKUP(F732,编号表!$E$1:$G$8,2,0))&amp;G732&amp;"_"&amp;H732&amp;"_"&amp;I732</f>
        <v>11N3_2_11</v>
      </c>
      <c r="E732" s="2">
        <v>11</v>
      </c>
      <c r="F732" s="2" t="s">
        <v>174</v>
      </c>
      <c r="G732" s="2">
        <v>3</v>
      </c>
      <c r="H732" s="2">
        <v>2</v>
      </c>
      <c r="I732" s="2">
        <f>COUNTIFS($E$3:E732,E732,$H$3:H732,H732)</f>
        <v>11</v>
      </c>
      <c r="N732" s="11">
        <v>1011201</v>
      </c>
      <c r="O732" s="11">
        <v>1011401</v>
      </c>
      <c r="P732" s="11">
        <v>1011501</v>
      </c>
      <c r="Q732" s="11">
        <v>1011601</v>
      </c>
      <c r="R732" s="11">
        <v>1011701</v>
      </c>
    </row>
    <row r="733" spans="1:19">
      <c r="A733" s="11">
        <f t="shared" si="14"/>
        <v>70114301</v>
      </c>
      <c r="B733" s="14" t="s">
        <v>889</v>
      </c>
      <c r="D733" s="2" t="str">
        <f>E733&amp;(VLOOKUP(F733,编号表!$E$1:$G$8,2,0))&amp;G733&amp;"_"&amp;H733&amp;"_"&amp;I733</f>
        <v>11N4_3_1</v>
      </c>
      <c r="E733" s="2">
        <v>11</v>
      </c>
      <c r="F733" s="2" t="s">
        <v>174</v>
      </c>
      <c r="G733" s="2">
        <v>4</v>
      </c>
      <c r="H733" s="2">
        <v>3</v>
      </c>
      <c r="I733" s="2">
        <f>COUNTIFS($E$3:E733,E733,$H$3:H733,H733)</f>
        <v>1</v>
      </c>
      <c r="N733" s="11">
        <v>1011201</v>
      </c>
      <c r="O733" s="11">
        <v>1011401</v>
      </c>
      <c r="P733" s="11">
        <v>1011501</v>
      </c>
      <c r="Q733" s="11">
        <v>1011601</v>
      </c>
      <c r="R733" s="11">
        <v>1011701</v>
      </c>
    </row>
    <row r="734" spans="1:19">
      <c r="A734" s="11">
        <f t="shared" si="14"/>
        <v>70114302</v>
      </c>
      <c r="B734" s="14" t="s">
        <v>890</v>
      </c>
      <c r="D734" s="2" t="str">
        <f>E734&amp;(VLOOKUP(F734,编号表!$E$1:$G$8,2,0))&amp;G734&amp;"_"&amp;H734&amp;"_"&amp;I734</f>
        <v>11N4_3_2</v>
      </c>
      <c r="E734" s="2">
        <v>11</v>
      </c>
      <c r="F734" s="2" t="s">
        <v>174</v>
      </c>
      <c r="G734" s="2">
        <v>4</v>
      </c>
      <c r="H734" s="2">
        <v>3</v>
      </c>
      <c r="I734" s="2">
        <f>COUNTIFS($E$3:E734,E734,$H$3:H734,H734)</f>
        <v>2</v>
      </c>
      <c r="N734" s="11">
        <v>1011201</v>
      </c>
      <c r="O734" s="11">
        <v>1011401</v>
      </c>
      <c r="P734" s="11">
        <v>1011501</v>
      </c>
      <c r="Q734" s="11">
        <v>1011601</v>
      </c>
      <c r="R734" s="11">
        <v>1011701</v>
      </c>
    </row>
    <row r="735" spans="1:19">
      <c r="A735" s="11">
        <f t="shared" si="14"/>
        <v>70114303</v>
      </c>
      <c r="B735" s="14" t="s">
        <v>891</v>
      </c>
      <c r="D735" s="2" t="str">
        <f>E735&amp;(VLOOKUP(F735,编号表!$E$1:$G$8,2,0))&amp;G735&amp;"_"&amp;H735&amp;"_"&amp;I735</f>
        <v>11N4_3_3</v>
      </c>
      <c r="E735" s="2">
        <v>11</v>
      </c>
      <c r="F735" s="2" t="s">
        <v>174</v>
      </c>
      <c r="G735" s="2">
        <v>4</v>
      </c>
      <c r="H735" s="2">
        <v>3</v>
      </c>
      <c r="I735" s="2">
        <f>COUNTIFS($E$3:E735,E735,$H$3:H735,H735)</f>
        <v>3</v>
      </c>
      <c r="N735" s="11">
        <v>1011201</v>
      </c>
      <c r="O735" s="11">
        <v>1011401</v>
      </c>
      <c r="P735" s="11">
        <v>1011501</v>
      </c>
      <c r="Q735" s="11">
        <v>1011601</v>
      </c>
      <c r="R735" s="11">
        <v>1011701</v>
      </c>
    </row>
    <row r="736" spans="1:19">
      <c r="A736" s="11">
        <f t="shared" si="14"/>
        <v>70113304</v>
      </c>
      <c r="B736" s="14" t="s">
        <v>892</v>
      </c>
      <c r="D736" s="2" t="str">
        <f>E736&amp;(VLOOKUP(F736,编号表!$E$1:$G$8,2,0))&amp;G736&amp;"_"&amp;H736&amp;"_"&amp;I736</f>
        <v>11N3_3_4</v>
      </c>
      <c r="E736" s="2">
        <v>11</v>
      </c>
      <c r="F736" s="2" t="s">
        <v>174</v>
      </c>
      <c r="G736" s="2">
        <v>3</v>
      </c>
      <c r="H736" s="2">
        <v>3</v>
      </c>
      <c r="I736" s="2">
        <f>COUNTIFS($E$3:E736,E736,$H$3:H736,H736)</f>
        <v>4</v>
      </c>
      <c r="N736" s="11">
        <v>1011201</v>
      </c>
      <c r="O736" s="11">
        <v>1011401</v>
      </c>
      <c r="P736" s="11">
        <v>1011501</v>
      </c>
      <c r="Q736" s="11">
        <v>1011601</v>
      </c>
      <c r="R736" s="11">
        <v>1011701</v>
      </c>
    </row>
    <row r="737" spans="1:19">
      <c r="A737" s="11">
        <f t="shared" si="14"/>
        <v>70113305</v>
      </c>
      <c r="B737" s="14" t="s">
        <v>893</v>
      </c>
      <c r="D737" s="2" t="str">
        <f>E737&amp;(VLOOKUP(F737,编号表!$E$1:$G$8,2,0))&amp;G737&amp;"_"&amp;H737&amp;"_"&amp;I737</f>
        <v>11N3_3_5</v>
      </c>
      <c r="E737" s="2">
        <v>11</v>
      </c>
      <c r="F737" s="2" t="s">
        <v>174</v>
      </c>
      <c r="G737" s="2">
        <v>3</v>
      </c>
      <c r="H737" s="2">
        <v>3</v>
      </c>
      <c r="I737" s="2">
        <f>COUNTIFS($E$3:E737,E737,$H$3:H737,H737)</f>
        <v>5</v>
      </c>
      <c r="N737" s="11">
        <v>1011201</v>
      </c>
      <c r="O737" s="11">
        <v>1011401</v>
      </c>
      <c r="P737" s="11">
        <v>1011501</v>
      </c>
      <c r="Q737" s="11">
        <v>1011601</v>
      </c>
      <c r="R737" s="11">
        <v>1011701</v>
      </c>
    </row>
    <row r="738" spans="1:19">
      <c r="A738" s="11">
        <f t="shared" si="14"/>
        <v>70111306</v>
      </c>
      <c r="B738" s="15" t="s">
        <v>894</v>
      </c>
      <c r="D738" s="2" t="str">
        <f>E738&amp;(VLOOKUP(F738,编号表!$E$1:$G$8,2,0))&amp;G738&amp;"_"&amp;H738&amp;"_"&amp;I738</f>
        <v>11T1_3_6</v>
      </c>
      <c r="E738" s="2">
        <v>11</v>
      </c>
      <c r="F738" s="2" t="s">
        <v>190</v>
      </c>
      <c r="G738" s="2">
        <v>1</v>
      </c>
      <c r="H738" s="2">
        <v>3</v>
      </c>
      <c r="I738" s="2">
        <f>COUNTIFS($E$3:E738,E738,$H$3:H738,H738)</f>
        <v>6</v>
      </c>
      <c r="K738" s="2">
        <v>1</v>
      </c>
    </row>
    <row r="739" spans="1:19">
      <c r="A739" s="11">
        <f t="shared" si="14"/>
        <v>70113307</v>
      </c>
      <c r="B739" s="14" t="s">
        <v>895</v>
      </c>
      <c r="D739" s="2" t="str">
        <f>E739&amp;(VLOOKUP(F739,编号表!$E$1:$G$8,2,0))&amp;G739&amp;"_"&amp;H739&amp;"_"&amp;I739</f>
        <v>11N3_3_7</v>
      </c>
      <c r="E739" s="2">
        <v>11</v>
      </c>
      <c r="F739" s="2" t="s">
        <v>174</v>
      </c>
      <c r="G739" s="2">
        <v>3</v>
      </c>
      <c r="H739" s="2">
        <v>3</v>
      </c>
      <c r="I739" s="2">
        <f>COUNTIFS($E$3:E739,E739,$H$3:H739,H739)</f>
        <v>7</v>
      </c>
      <c r="N739" s="11">
        <v>1011201</v>
      </c>
      <c r="O739" s="11">
        <v>1011301</v>
      </c>
      <c r="P739" s="11">
        <v>1011401</v>
      </c>
      <c r="Q739" s="11">
        <v>1011501</v>
      </c>
      <c r="R739" s="11">
        <v>1011601</v>
      </c>
      <c r="S739" s="11">
        <v>1011701</v>
      </c>
    </row>
    <row r="740" spans="1:19">
      <c r="A740" s="11">
        <f t="shared" si="14"/>
        <v>70113308</v>
      </c>
      <c r="B740" s="14" t="s">
        <v>896</v>
      </c>
      <c r="D740" s="2" t="str">
        <f>E740&amp;(VLOOKUP(F740,编号表!$E$1:$G$8,2,0))&amp;G740&amp;"_"&amp;H740&amp;"_"&amp;I740</f>
        <v>11N3_3_8</v>
      </c>
      <c r="E740" s="2">
        <v>11</v>
      </c>
      <c r="F740" s="2" t="s">
        <v>174</v>
      </c>
      <c r="G740" s="2">
        <v>3</v>
      </c>
      <c r="H740" s="2">
        <v>3</v>
      </c>
      <c r="I740" s="2">
        <f>COUNTIFS($E$3:E740,E740,$H$3:H740,H740)</f>
        <v>8</v>
      </c>
      <c r="N740" s="11">
        <v>1011201</v>
      </c>
      <c r="O740" s="11">
        <v>1011301</v>
      </c>
      <c r="P740" s="11">
        <v>1011401</v>
      </c>
      <c r="Q740" s="11">
        <v>1011501</v>
      </c>
      <c r="R740" s="11">
        <v>1011601</v>
      </c>
      <c r="S740" s="11">
        <v>1011701</v>
      </c>
    </row>
    <row r="741" spans="1:19">
      <c r="A741" s="11">
        <f t="shared" si="14"/>
        <v>70114309</v>
      </c>
      <c r="B741" s="14" t="s">
        <v>897</v>
      </c>
      <c r="D741" s="2" t="str">
        <f>E741&amp;(VLOOKUP(F741,编号表!$E$1:$G$8,2,0))&amp;G741&amp;"_"&amp;H741&amp;"_"&amp;I741</f>
        <v>11N4_3_9</v>
      </c>
      <c r="E741" s="2">
        <v>11</v>
      </c>
      <c r="F741" s="2" t="s">
        <v>174</v>
      </c>
      <c r="G741" s="2">
        <v>4</v>
      </c>
      <c r="H741" s="2">
        <v>3</v>
      </c>
      <c r="I741" s="2">
        <f>COUNTIFS($E$3:E741,E741,$H$3:H741,H741)</f>
        <v>9</v>
      </c>
      <c r="N741" s="11">
        <v>1011201</v>
      </c>
      <c r="O741" s="11">
        <v>1011301</v>
      </c>
      <c r="P741" s="11">
        <v>1011501</v>
      </c>
      <c r="Q741" s="11">
        <v>1011601</v>
      </c>
      <c r="R741" s="11">
        <v>1011701</v>
      </c>
    </row>
    <row r="742" spans="1:19">
      <c r="A742" s="11">
        <f t="shared" si="14"/>
        <v>70114310</v>
      </c>
      <c r="B742" s="14" t="s">
        <v>898</v>
      </c>
      <c r="D742" s="2" t="str">
        <f>E742&amp;(VLOOKUP(F742,编号表!$E$1:$G$8,2,0))&amp;G742&amp;"_"&amp;H742&amp;"_"&amp;I742</f>
        <v>11N4_3_10</v>
      </c>
      <c r="E742" s="2">
        <v>11</v>
      </c>
      <c r="F742" s="2" t="s">
        <v>174</v>
      </c>
      <c r="G742" s="2">
        <v>4</v>
      </c>
      <c r="H742" s="2">
        <v>3</v>
      </c>
      <c r="I742" s="2">
        <f>COUNTIFS($E$3:E742,E742,$H$3:H742,H742)</f>
        <v>10</v>
      </c>
      <c r="N742" s="11">
        <v>1011201</v>
      </c>
      <c r="O742" s="11">
        <v>1011301</v>
      </c>
      <c r="P742" s="11">
        <v>1011501</v>
      </c>
      <c r="Q742" s="11">
        <v>1011601</v>
      </c>
      <c r="R742" s="11">
        <v>1011701</v>
      </c>
    </row>
    <row r="743" spans="1:19">
      <c r="A743" s="11">
        <f t="shared" si="14"/>
        <v>70114311</v>
      </c>
      <c r="B743" s="14" t="s">
        <v>899</v>
      </c>
      <c r="D743" s="2" t="str">
        <f>E743&amp;(VLOOKUP(F743,编号表!$E$1:$G$8,2,0))&amp;G743&amp;"_"&amp;H743&amp;"_"&amp;I743</f>
        <v>11N4_3_11</v>
      </c>
      <c r="E743" s="2">
        <v>11</v>
      </c>
      <c r="F743" s="2" t="s">
        <v>174</v>
      </c>
      <c r="G743" s="2">
        <v>4</v>
      </c>
      <c r="H743" s="2">
        <v>3</v>
      </c>
      <c r="I743" s="2">
        <f>COUNTIFS($E$3:E743,E743,$H$3:H743,H743)</f>
        <v>11</v>
      </c>
      <c r="N743" s="11">
        <v>1011201</v>
      </c>
      <c r="O743" s="11">
        <v>1011301</v>
      </c>
      <c r="P743" s="11">
        <v>1011501</v>
      </c>
      <c r="Q743" s="11">
        <v>1011601</v>
      </c>
      <c r="R743" s="11">
        <v>1011701</v>
      </c>
    </row>
    <row r="744" spans="1:19">
      <c r="A744" s="11">
        <f t="shared" si="14"/>
        <v>70114401</v>
      </c>
      <c r="B744" s="14" t="s">
        <v>900</v>
      </c>
      <c r="D744" s="2" t="str">
        <f>E744&amp;(VLOOKUP(F744,编号表!$E$1:$G$8,2,0))&amp;G744&amp;"_"&amp;H744&amp;"_"&amp;I744</f>
        <v>11N4_4_1</v>
      </c>
      <c r="E744" s="2">
        <v>11</v>
      </c>
      <c r="F744" s="2" t="s">
        <v>174</v>
      </c>
      <c r="G744" s="2">
        <v>4</v>
      </c>
      <c r="H744" s="2">
        <v>4</v>
      </c>
      <c r="I744" s="2">
        <f>COUNTIFS($E$3:E744,E744,$H$3:H744,H744)</f>
        <v>1</v>
      </c>
      <c r="N744" s="11">
        <v>1011201</v>
      </c>
      <c r="O744" s="11">
        <v>1011301</v>
      </c>
      <c r="P744" s="11">
        <v>1011501</v>
      </c>
      <c r="Q744" s="11">
        <v>1011601</v>
      </c>
      <c r="R744" s="11">
        <v>1011701</v>
      </c>
    </row>
    <row r="745" spans="1:19">
      <c r="A745" s="11">
        <f t="shared" si="14"/>
        <v>70114402</v>
      </c>
      <c r="B745" s="14" t="s">
        <v>901</v>
      </c>
      <c r="D745" s="2" t="str">
        <f>E745&amp;(VLOOKUP(F745,编号表!$E$1:$G$8,2,0))&amp;G745&amp;"_"&amp;H745&amp;"_"&amp;I745</f>
        <v>11N4_4_2</v>
      </c>
      <c r="E745" s="2">
        <v>11</v>
      </c>
      <c r="F745" s="2" t="s">
        <v>174</v>
      </c>
      <c r="G745" s="2">
        <v>4</v>
      </c>
      <c r="H745" s="2">
        <v>4</v>
      </c>
      <c r="I745" s="2">
        <f>COUNTIFS($E$3:E745,E745,$H$3:H745,H745)</f>
        <v>2</v>
      </c>
      <c r="N745" s="11">
        <v>1011201</v>
      </c>
      <c r="O745" s="11">
        <v>1011301</v>
      </c>
      <c r="P745" s="11">
        <v>1011501</v>
      </c>
      <c r="Q745" s="11">
        <v>1011601</v>
      </c>
      <c r="R745" s="11">
        <v>1011701</v>
      </c>
    </row>
    <row r="746" spans="1:19">
      <c r="A746" s="11">
        <f t="shared" si="14"/>
        <v>70114403</v>
      </c>
      <c r="B746" s="14" t="s">
        <v>902</v>
      </c>
      <c r="D746" s="2" t="str">
        <f>E746&amp;(VLOOKUP(F746,编号表!$E$1:$G$8,2,0))&amp;G746&amp;"_"&amp;H746&amp;"_"&amp;I746</f>
        <v>11N4_4_3</v>
      </c>
      <c r="E746" s="2">
        <v>11</v>
      </c>
      <c r="F746" s="2" t="s">
        <v>174</v>
      </c>
      <c r="G746" s="2">
        <v>4</v>
      </c>
      <c r="H746" s="2">
        <v>4</v>
      </c>
      <c r="I746" s="2">
        <f>COUNTIFS($E$3:E746,E746,$H$3:H746,H746)</f>
        <v>3</v>
      </c>
      <c r="N746" s="11">
        <v>1011201</v>
      </c>
      <c r="O746" s="11">
        <v>1011301</v>
      </c>
      <c r="P746" s="11">
        <v>1011501</v>
      </c>
      <c r="Q746" s="11">
        <v>1011601</v>
      </c>
      <c r="R746" s="11">
        <v>1011701</v>
      </c>
    </row>
    <row r="747" spans="1:19">
      <c r="A747" s="11">
        <f t="shared" si="14"/>
        <v>70114404</v>
      </c>
      <c r="B747" s="14" t="s">
        <v>903</v>
      </c>
      <c r="D747" s="2" t="str">
        <f>E747&amp;(VLOOKUP(F747,编号表!$E$1:$G$8,2,0))&amp;G747&amp;"_"&amp;H747&amp;"_"&amp;I747</f>
        <v>11N4_4_4</v>
      </c>
      <c r="E747" s="2">
        <v>11</v>
      </c>
      <c r="F747" s="2" t="s">
        <v>174</v>
      </c>
      <c r="G747" s="2">
        <v>4</v>
      </c>
      <c r="H747" s="2">
        <v>4</v>
      </c>
      <c r="I747" s="2">
        <f>COUNTIFS($E$3:E747,E747,$H$3:H747,H747)</f>
        <v>4</v>
      </c>
      <c r="N747" s="11">
        <v>1011201</v>
      </c>
      <c r="O747" s="11">
        <v>1011301</v>
      </c>
      <c r="P747" s="11">
        <v>1011501</v>
      </c>
      <c r="Q747" s="11">
        <v>1011601</v>
      </c>
      <c r="R747" s="11">
        <v>1011701</v>
      </c>
    </row>
    <row r="748" spans="1:19">
      <c r="A748" s="11">
        <f t="shared" si="14"/>
        <v>70114405</v>
      </c>
      <c r="B748" s="14" t="s">
        <v>904</v>
      </c>
      <c r="D748" s="2" t="str">
        <f>E748&amp;(VLOOKUP(F748,编号表!$E$1:$G$8,2,0))&amp;G748&amp;"_"&amp;H748&amp;"_"&amp;I748</f>
        <v>11N4_4_5</v>
      </c>
      <c r="E748" s="2">
        <v>11</v>
      </c>
      <c r="F748" s="2" t="s">
        <v>174</v>
      </c>
      <c r="G748" s="2">
        <v>4</v>
      </c>
      <c r="H748" s="2">
        <v>4</v>
      </c>
      <c r="I748" s="2">
        <f>COUNTIFS($E$3:E748,E748,$H$3:H748,H748)</f>
        <v>5</v>
      </c>
      <c r="N748" s="11">
        <v>1011201</v>
      </c>
      <c r="O748" s="11">
        <v>1011301</v>
      </c>
      <c r="P748" s="11">
        <v>1011401</v>
      </c>
      <c r="Q748" s="11">
        <v>1011501</v>
      </c>
      <c r="R748" s="11">
        <v>1011601</v>
      </c>
      <c r="S748" s="11">
        <v>1011701</v>
      </c>
    </row>
    <row r="749" spans="1:19">
      <c r="A749" s="11">
        <f t="shared" si="14"/>
        <v>70113406</v>
      </c>
      <c r="B749" s="14" t="s">
        <v>905</v>
      </c>
      <c r="D749" s="2" t="str">
        <f>E749&amp;(VLOOKUP(F749,编号表!$E$1:$G$8,2,0))&amp;G749&amp;"_"&amp;H749&amp;"_"&amp;I749</f>
        <v>11N3_4_6</v>
      </c>
      <c r="E749" s="2">
        <v>11</v>
      </c>
      <c r="F749" s="2" t="s">
        <v>174</v>
      </c>
      <c r="G749" s="2">
        <v>3</v>
      </c>
      <c r="H749" s="2">
        <v>4</v>
      </c>
      <c r="I749" s="2">
        <f>COUNTIFS($E$3:E749,E749,$H$3:H749,H749)</f>
        <v>6</v>
      </c>
      <c r="N749" s="11">
        <v>1011201</v>
      </c>
      <c r="O749" s="11">
        <v>1011301</v>
      </c>
      <c r="P749" s="11">
        <v>1011401</v>
      </c>
      <c r="Q749" s="11">
        <v>1011501</v>
      </c>
      <c r="R749" s="11">
        <v>1011601</v>
      </c>
      <c r="S749" s="11">
        <v>1011701</v>
      </c>
    </row>
    <row r="750" spans="1:19">
      <c r="A750" s="11">
        <f t="shared" si="14"/>
        <v>70113407</v>
      </c>
      <c r="B750" s="16" t="s">
        <v>37</v>
      </c>
      <c r="C750" s="2" t="s">
        <v>906</v>
      </c>
      <c r="D750" s="2" t="str">
        <f>E750&amp;(VLOOKUP(F750,编号表!$E$1:$G$8,2,0))&amp;G750&amp;"_"&amp;H750&amp;"_"&amp;I750</f>
        <v>11T3_4_7</v>
      </c>
      <c r="E750" s="2">
        <v>11</v>
      </c>
      <c r="F750" s="2" t="s">
        <v>190</v>
      </c>
      <c r="G750" s="2">
        <v>3</v>
      </c>
      <c r="H750" s="2">
        <v>4</v>
      </c>
      <c r="I750" s="2">
        <f>COUNTIFS($E$3:E750,E750,$H$3:H750,H750)</f>
        <v>7</v>
      </c>
    </row>
    <row r="751" spans="1:19">
      <c r="A751" s="11">
        <f t="shared" si="14"/>
        <v>70113408</v>
      </c>
      <c r="B751" s="14" t="s">
        <v>907</v>
      </c>
      <c r="D751" s="2" t="str">
        <f>E751&amp;(VLOOKUP(F751,编号表!$E$1:$G$8,2,0))&amp;G751&amp;"_"&amp;H751&amp;"_"&amp;I751</f>
        <v>11N3_4_8</v>
      </c>
      <c r="E751" s="2">
        <v>11</v>
      </c>
      <c r="F751" s="2" t="s">
        <v>174</v>
      </c>
      <c r="G751" s="2">
        <v>3</v>
      </c>
      <c r="H751" s="2">
        <v>4</v>
      </c>
      <c r="I751" s="2">
        <f>COUNTIFS($E$3:E751,E751,$H$3:H751,H751)</f>
        <v>8</v>
      </c>
      <c r="N751" s="11">
        <v>1011201</v>
      </c>
      <c r="O751" s="11">
        <v>1011301</v>
      </c>
      <c r="P751" s="11">
        <v>1011401</v>
      </c>
      <c r="Q751" s="11">
        <v>1011501</v>
      </c>
      <c r="R751" s="11">
        <v>1011601</v>
      </c>
      <c r="S751" s="11">
        <v>1011701</v>
      </c>
    </row>
    <row r="752" spans="1:19">
      <c r="A752" s="11">
        <f t="shared" si="14"/>
        <v>70114409</v>
      </c>
      <c r="B752" s="14" t="s">
        <v>908</v>
      </c>
      <c r="D752" s="2" t="str">
        <f>E752&amp;(VLOOKUP(F752,编号表!$E$1:$G$8,2,0))&amp;G752&amp;"_"&amp;H752&amp;"_"&amp;I752</f>
        <v>11N4_4_9</v>
      </c>
      <c r="E752" s="2">
        <v>11</v>
      </c>
      <c r="F752" s="2" t="s">
        <v>174</v>
      </c>
      <c r="G752" s="2">
        <v>4</v>
      </c>
      <c r="H752" s="2">
        <v>4</v>
      </c>
      <c r="I752" s="2">
        <f>COUNTIFS($E$3:E752,E752,$H$3:H752,H752)</f>
        <v>9</v>
      </c>
      <c r="N752" s="11">
        <v>1011201</v>
      </c>
      <c r="O752" s="11">
        <v>1011301</v>
      </c>
      <c r="P752" s="11">
        <v>1011401</v>
      </c>
      <c r="Q752" s="11">
        <v>1011501</v>
      </c>
      <c r="R752" s="11">
        <v>1011601</v>
      </c>
      <c r="S752" s="11">
        <v>1011701</v>
      </c>
    </row>
    <row r="753" spans="1:19">
      <c r="A753" s="11">
        <f t="shared" si="14"/>
        <v>70113410</v>
      </c>
      <c r="B753" s="14" t="s">
        <v>909</v>
      </c>
      <c r="D753" s="2" t="str">
        <f>E753&amp;(VLOOKUP(F753,编号表!$E$1:$G$8,2,0))&amp;G753&amp;"_"&amp;H753&amp;"_"&amp;I753</f>
        <v>11N3_4_10</v>
      </c>
      <c r="E753" s="2">
        <v>11</v>
      </c>
      <c r="F753" s="2" t="s">
        <v>174</v>
      </c>
      <c r="G753" s="2">
        <v>3</v>
      </c>
      <c r="H753" s="2">
        <v>4</v>
      </c>
      <c r="I753" s="2">
        <f>COUNTIFS($E$3:E753,E753,$H$3:H753,H753)</f>
        <v>10</v>
      </c>
      <c r="N753" s="11">
        <v>1011201</v>
      </c>
      <c r="O753" s="11">
        <v>1011301</v>
      </c>
      <c r="P753" s="11">
        <v>1011401</v>
      </c>
      <c r="Q753" s="11">
        <v>1011601</v>
      </c>
      <c r="R753" s="11">
        <v>1011701</v>
      </c>
    </row>
    <row r="754" spans="1:19">
      <c r="A754" s="11">
        <f t="shared" si="14"/>
        <v>70114411</v>
      </c>
      <c r="B754" s="14" t="s">
        <v>910</v>
      </c>
      <c r="D754" s="2" t="str">
        <f>E754&amp;(VLOOKUP(F754,编号表!$E$1:$G$8,2,0))&amp;G754&amp;"_"&amp;H754&amp;"_"&amp;I754</f>
        <v>11N4_4_11</v>
      </c>
      <c r="E754" s="2">
        <v>11</v>
      </c>
      <c r="F754" s="2" t="s">
        <v>174</v>
      </c>
      <c r="G754" s="2">
        <v>4</v>
      </c>
      <c r="H754" s="2">
        <v>4</v>
      </c>
      <c r="I754" s="2">
        <f>COUNTIFS($E$3:E754,E754,$H$3:H754,H754)</f>
        <v>11</v>
      </c>
      <c r="N754" s="11">
        <v>1011201</v>
      </c>
      <c r="O754" s="11">
        <v>1011301</v>
      </c>
      <c r="P754" s="11">
        <v>1011401</v>
      </c>
      <c r="Q754" s="11">
        <v>1011601</v>
      </c>
      <c r="R754" s="11">
        <v>1011701</v>
      </c>
    </row>
    <row r="755" spans="1:19">
      <c r="A755" s="11">
        <f t="shared" si="14"/>
        <v>70113412</v>
      </c>
      <c r="B755" s="14" t="s">
        <v>911</v>
      </c>
      <c r="D755" s="2" t="str">
        <f>E755&amp;(VLOOKUP(F755,编号表!$E$1:$G$8,2,0))&amp;G755&amp;"_"&amp;H755&amp;"_"&amp;I755</f>
        <v>11N3_4_12</v>
      </c>
      <c r="E755" s="2">
        <v>11</v>
      </c>
      <c r="F755" s="2" t="s">
        <v>174</v>
      </c>
      <c r="G755" s="2">
        <v>3</v>
      </c>
      <c r="H755" s="2">
        <v>4</v>
      </c>
      <c r="I755" s="2">
        <f>COUNTIFS($E$3:E755,E755,$H$3:H755,H755)</f>
        <v>12</v>
      </c>
      <c r="N755" s="11">
        <v>1011201</v>
      </c>
      <c r="O755" s="11">
        <v>1011301</v>
      </c>
      <c r="P755" s="11">
        <v>1011401</v>
      </c>
      <c r="Q755" s="11">
        <v>1011601</v>
      </c>
      <c r="R755" s="11">
        <v>1011701</v>
      </c>
    </row>
    <row r="756" spans="1:19">
      <c r="A756" s="11">
        <f t="shared" si="14"/>
        <v>70113413</v>
      </c>
      <c r="B756" s="14" t="s">
        <v>912</v>
      </c>
      <c r="D756" s="2" t="str">
        <f>E756&amp;(VLOOKUP(F756,编号表!$E$1:$G$8,2,0))&amp;G756&amp;"_"&amp;H756&amp;"_"&amp;I756</f>
        <v>11N3_4_13</v>
      </c>
      <c r="E756" s="2">
        <v>11</v>
      </c>
      <c r="F756" s="2" t="s">
        <v>174</v>
      </c>
      <c r="G756" s="2">
        <v>3</v>
      </c>
      <c r="H756" s="2">
        <v>4</v>
      </c>
      <c r="I756" s="2">
        <f>COUNTIFS($E$3:E756,E756,$H$3:H756,H756)</f>
        <v>13</v>
      </c>
      <c r="N756" s="11">
        <v>1011201</v>
      </c>
      <c r="O756" s="11">
        <v>1011301</v>
      </c>
      <c r="P756" s="11">
        <v>1011401</v>
      </c>
      <c r="Q756" s="11">
        <v>1011601</v>
      </c>
      <c r="R756" s="11">
        <v>1011701</v>
      </c>
    </row>
    <row r="757" spans="1:19">
      <c r="A757" s="11">
        <f t="shared" si="14"/>
        <v>70114501</v>
      </c>
      <c r="B757" s="14" t="s">
        <v>913</v>
      </c>
      <c r="D757" s="2" t="str">
        <f>E757&amp;(VLOOKUP(F757,编号表!$E$1:$G$8,2,0))&amp;G757&amp;"_"&amp;H757&amp;"_"&amp;I757</f>
        <v>11N4_5_1</v>
      </c>
      <c r="E757" s="2">
        <v>11</v>
      </c>
      <c r="F757" s="2" t="s">
        <v>174</v>
      </c>
      <c r="G757" s="2">
        <v>4</v>
      </c>
      <c r="H757" s="2">
        <v>5</v>
      </c>
      <c r="I757" s="2">
        <f>COUNTIFS($E$3:E757,E757,$H$3:H757,H757)</f>
        <v>1</v>
      </c>
      <c r="N757" s="11">
        <v>1011201</v>
      </c>
      <c r="O757" s="11">
        <v>1011301</v>
      </c>
      <c r="P757" s="11">
        <v>1011401</v>
      </c>
      <c r="Q757" s="11">
        <v>1011601</v>
      </c>
      <c r="R757" s="11">
        <v>1011701</v>
      </c>
    </row>
    <row r="758" spans="1:19">
      <c r="A758" s="11">
        <f t="shared" si="14"/>
        <v>70114502</v>
      </c>
      <c r="B758" s="14" t="s">
        <v>914</v>
      </c>
      <c r="D758" s="2" t="str">
        <f>E758&amp;(VLOOKUP(F758,编号表!$E$1:$G$8,2,0))&amp;G758&amp;"_"&amp;H758&amp;"_"&amp;I758</f>
        <v>11N4_5_2</v>
      </c>
      <c r="E758" s="2">
        <v>11</v>
      </c>
      <c r="F758" s="2" t="s">
        <v>174</v>
      </c>
      <c r="G758" s="2">
        <v>4</v>
      </c>
      <c r="H758" s="2">
        <v>5</v>
      </c>
      <c r="I758" s="2">
        <f>COUNTIFS($E$3:E758,E758,$H$3:H758,H758)</f>
        <v>2</v>
      </c>
      <c r="N758" s="11">
        <v>1011201</v>
      </c>
      <c r="O758" s="11">
        <v>1011301</v>
      </c>
      <c r="P758" s="11">
        <v>1011401</v>
      </c>
      <c r="Q758" s="11">
        <v>1011601</v>
      </c>
      <c r="R758" s="11">
        <v>1011701</v>
      </c>
    </row>
    <row r="759" spans="1:19">
      <c r="A759" s="11">
        <f t="shared" si="14"/>
        <v>70114503</v>
      </c>
      <c r="B759" s="14" t="s">
        <v>915</v>
      </c>
      <c r="D759" s="2" t="str">
        <f>E759&amp;(VLOOKUP(F759,编号表!$E$1:$G$8,2,0))&amp;G759&amp;"_"&amp;H759&amp;"_"&amp;I759</f>
        <v>11N4_5_3</v>
      </c>
      <c r="E759" s="2">
        <v>11</v>
      </c>
      <c r="F759" s="2" t="s">
        <v>174</v>
      </c>
      <c r="G759" s="2">
        <v>4</v>
      </c>
      <c r="H759" s="2">
        <v>5</v>
      </c>
      <c r="I759" s="2">
        <f>COUNTIFS($E$3:E759,E759,$H$3:H759,H759)</f>
        <v>3</v>
      </c>
      <c r="N759" s="11">
        <v>1011201</v>
      </c>
      <c r="O759" s="11">
        <v>1011301</v>
      </c>
      <c r="P759" s="11">
        <v>1011401</v>
      </c>
      <c r="Q759" s="11">
        <v>1011601</v>
      </c>
      <c r="R759" s="11">
        <v>1011701</v>
      </c>
    </row>
    <row r="760" spans="1:19">
      <c r="A760" s="11">
        <f t="shared" si="14"/>
        <v>70114504</v>
      </c>
      <c r="B760" s="14" t="s">
        <v>916</v>
      </c>
      <c r="D760" s="2" t="str">
        <f>E760&amp;(VLOOKUP(F760,编号表!$E$1:$G$8,2,0))&amp;G760&amp;"_"&amp;H760&amp;"_"&amp;I760</f>
        <v>11N4_5_4</v>
      </c>
      <c r="E760" s="2">
        <v>11</v>
      </c>
      <c r="F760" s="2" t="s">
        <v>174</v>
      </c>
      <c r="G760" s="2">
        <v>4</v>
      </c>
      <c r="H760" s="2">
        <v>5</v>
      </c>
      <c r="I760" s="2">
        <f>COUNTIFS($E$3:E760,E760,$H$3:H760,H760)</f>
        <v>4</v>
      </c>
      <c r="N760" s="11">
        <v>1011201</v>
      </c>
      <c r="O760" s="11">
        <v>1011301</v>
      </c>
      <c r="P760" s="11">
        <v>1011401</v>
      </c>
      <c r="Q760" s="11">
        <v>1011501</v>
      </c>
      <c r="R760" s="11">
        <v>1011601</v>
      </c>
      <c r="S760" s="11">
        <v>1011701</v>
      </c>
    </row>
    <row r="761" spans="1:19">
      <c r="A761" s="11">
        <f t="shared" si="14"/>
        <v>70114505</v>
      </c>
      <c r="B761" s="14" t="s">
        <v>917</v>
      </c>
      <c r="D761" s="2" t="str">
        <f>E761&amp;(VLOOKUP(F761,编号表!$E$1:$G$8,2,0))&amp;G761&amp;"_"&amp;H761&amp;"_"&amp;I761</f>
        <v>11N4_5_5</v>
      </c>
      <c r="E761" s="2">
        <v>11</v>
      </c>
      <c r="F761" s="2" t="s">
        <v>174</v>
      </c>
      <c r="G761" s="2">
        <v>4</v>
      </c>
      <c r="H761" s="2">
        <v>5</v>
      </c>
      <c r="I761" s="2">
        <f>COUNTIFS($E$3:E761,E761,$H$3:H761,H761)</f>
        <v>5</v>
      </c>
      <c r="N761" s="11">
        <v>1011201</v>
      </c>
      <c r="O761" s="11">
        <v>1011301</v>
      </c>
      <c r="P761" s="11">
        <v>1011401</v>
      </c>
      <c r="Q761" s="11">
        <v>1011501</v>
      </c>
      <c r="R761" s="11">
        <v>1011601</v>
      </c>
      <c r="S761" s="11">
        <v>1011701</v>
      </c>
    </row>
    <row r="762" spans="1:19">
      <c r="A762" s="11">
        <f t="shared" ref="A762:A825" si="15">70000000+E762*10000+G762*1000+H762*100+I762</f>
        <v>70114506</v>
      </c>
      <c r="B762" s="14" t="s">
        <v>918</v>
      </c>
      <c r="D762" s="2" t="str">
        <f>E762&amp;(VLOOKUP(F762,编号表!$E$1:$G$8,2,0))&amp;G762&amp;"_"&amp;H762&amp;"_"&amp;I762</f>
        <v>11N4_5_6</v>
      </c>
      <c r="E762" s="2">
        <v>11</v>
      </c>
      <c r="F762" s="2" t="s">
        <v>174</v>
      </c>
      <c r="G762" s="2">
        <v>4</v>
      </c>
      <c r="H762" s="2">
        <v>5</v>
      </c>
      <c r="I762" s="2">
        <f>COUNTIFS($E$3:E762,E762,$H$3:H762,H762)</f>
        <v>6</v>
      </c>
      <c r="N762" s="11">
        <v>1011201</v>
      </c>
      <c r="O762" s="11">
        <v>1011301</v>
      </c>
      <c r="P762" s="11">
        <v>1011401</v>
      </c>
      <c r="Q762" s="11">
        <v>1011501</v>
      </c>
      <c r="R762" s="11">
        <v>1011601</v>
      </c>
      <c r="S762" s="11">
        <v>1011701</v>
      </c>
    </row>
    <row r="763" spans="1:19">
      <c r="A763" s="11">
        <f t="shared" si="15"/>
        <v>70114507</v>
      </c>
      <c r="B763" s="14" t="s">
        <v>919</v>
      </c>
      <c r="D763" s="2" t="str">
        <f>E763&amp;(VLOOKUP(F763,编号表!$E$1:$G$8,2,0))&amp;G763&amp;"_"&amp;H763&amp;"_"&amp;I763</f>
        <v>11N4_5_7</v>
      </c>
      <c r="E763" s="2">
        <v>11</v>
      </c>
      <c r="F763" s="2" t="s">
        <v>174</v>
      </c>
      <c r="G763" s="2">
        <v>4</v>
      </c>
      <c r="H763" s="2">
        <v>5</v>
      </c>
      <c r="I763" s="2">
        <f>COUNTIFS($E$3:E763,E763,$H$3:H763,H763)</f>
        <v>7</v>
      </c>
      <c r="M763" s="20"/>
      <c r="N763" s="11">
        <v>1011201</v>
      </c>
      <c r="O763" s="11">
        <v>1011301</v>
      </c>
      <c r="P763" s="11">
        <v>1011401</v>
      </c>
      <c r="Q763" s="11">
        <v>1011501</v>
      </c>
      <c r="R763" s="11">
        <v>1011601</v>
      </c>
      <c r="S763" s="11">
        <v>1011701</v>
      </c>
    </row>
    <row r="764" spans="1:19">
      <c r="A764" s="11">
        <f t="shared" si="15"/>
        <v>70113508</v>
      </c>
      <c r="B764" s="14" t="s">
        <v>920</v>
      </c>
      <c r="D764" s="2" t="str">
        <f>E764&amp;(VLOOKUP(F764,编号表!$E$1:$G$8,2,0))&amp;G764&amp;"_"&amp;H764&amp;"_"&amp;I764</f>
        <v>11N3_5_8</v>
      </c>
      <c r="E764" s="2">
        <v>11</v>
      </c>
      <c r="F764" s="2" t="s">
        <v>174</v>
      </c>
      <c r="G764" s="2">
        <v>3</v>
      </c>
      <c r="H764" s="2">
        <v>5</v>
      </c>
      <c r="I764" s="2">
        <f>COUNTIFS($E$3:E764,E764,$H$3:H764,H764)</f>
        <v>8</v>
      </c>
      <c r="N764" s="11">
        <v>1011201</v>
      </c>
      <c r="O764" s="11">
        <v>1011301</v>
      </c>
      <c r="P764" s="11">
        <v>1011401</v>
      </c>
      <c r="Q764" s="11">
        <v>1011501</v>
      </c>
      <c r="R764" s="11">
        <v>1011701</v>
      </c>
    </row>
    <row r="765" spans="1:19">
      <c r="A765" s="11">
        <f t="shared" si="15"/>
        <v>70113601</v>
      </c>
      <c r="B765" s="14" t="s">
        <v>921</v>
      </c>
      <c r="D765" s="2" t="str">
        <f>E765&amp;(VLOOKUP(F765,编号表!$E$1:$G$8,2,0))&amp;G765&amp;"_"&amp;H765&amp;"_"&amp;I765</f>
        <v>11N3_6_1</v>
      </c>
      <c r="E765" s="2">
        <v>11</v>
      </c>
      <c r="F765" s="2" t="s">
        <v>174</v>
      </c>
      <c r="G765" s="2">
        <v>3</v>
      </c>
      <c r="H765" s="2">
        <v>6</v>
      </c>
      <c r="I765" s="2">
        <f>COUNTIFS($E$3:E765,E765,$H$3:H765,H765)</f>
        <v>1</v>
      </c>
      <c r="N765" s="11">
        <v>1011201</v>
      </c>
      <c r="O765" s="11">
        <v>1011301</v>
      </c>
      <c r="P765" s="11">
        <v>1011401</v>
      </c>
      <c r="Q765" s="11">
        <v>1011501</v>
      </c>
      <c r="R765" s="11">
        <v>1011701</v>
      </c>
    </row>
    <row r="766" spans="1:19">
      <c r="A766" s="11">
        <f t="shared" si="15"/>
        <v>70113602</v>
      </c>
      <c r="B766" s="14" t="s">
        <v>922</v>
      </c>
      <c r="D766" s="2" t="str">
        <f>E766&amp;(VLOOKUP(F766,编号表!$E$1:$G$8,2,0))&amp;G766&amp;"_"&amp;H766&amp;"_"&amp;I766</f>
        <v>11N3_6_2</v>
      </c>
      <c r="E766" s="2">
        <v>11</v>
      </c>
      <c r="F766" s="2" t="s">
        <v>174</v>
      </c>
      <c r="G766" s="2">
        <v>3</v>
      </c>
      <c r="H766" s="2">
        <v>6</v>
      </c>
      <c r="I766" s="2">
        <f>COUNTIFS($E$3:E766,E766,$H$3:H766,H766)</f>
        <v>2</v>
      </c>
      <c r="N766" s="11">
        <v>1011201</v>
      </c>
      <c r="O766" s="11">
        <v>1011301</v>
      </c>
      <c r="P766" s="11">
        <v>1011401</v>
      </c>
      <c r="Q766" s="11">
        <v>1011501</v>
      </c>
      <c r="R766" s="11">
        <v>1011701</v>
      </c>
    </row>
    <row r="767" spans="1:19">
      <c r="A767" s="11">
        <f t="shared" si="15"/>
        <v>70113603</v>
      </c>
      <c r="B767" s="14" t="s">
        <v>923</v>
      </c>
      <c r="D767" s="2" t="str">
        <f>E767&amp;(VLOOKUP(F767,编号表!$E$1:$G$8,2,0))&amp;G767&amp;"_"&amp;H767&amp;"_"&amp;I767</f>
        <v>11N3_6_3</v>
      </c>
      <c r="E767" s="2">
        <v>11</v>
      </c>
      <c r="F767" s="2" t="s">
        <v>174</v>
      </c>
      <c r="G767" s="2">
        <v>3</v>
      </c>
      <c r="H767" s="2">
        <v>6</v>
      </c>
      <c r="I767" s="2">
        <f>COUNTIFS($E$3:E767,E767,$H$3:H767,H767)</f>
        <v>3</v>
      </c>
      <c r="N767" s="11">
        <v>1011201</v>
      </c>
      <c r="O767" s="11">
        <v>1011301</v>
      </c>
      <c r="P767" s="11">
        <v>1011401</v>
      </c>
      <c r="Q767" s="11">
        <v>1011501</v>
      </c>
      <c r="R767" s="11">
        <v>1011701</v>
      </c>
    </row>
    <row r="768" spans="1:19">
      <c r="A768" s="11">
        <f t="shared" si="15"/>
        <v>70113604</v>
      </c>
      <c r="B768" s="14" t="s">
        <v>924</v>
      </c>
      <c r="D768" s="2" t="str">
        <f>E768&amp;(VLOOKUP(F768,编号表!$E$1:$G$8,2,0))&amp;G768&amp;"_"&amp;H768&amp;"_"&amp;I768</f>
        <v>11N3_6_4</v>
      </c>
      <c r="E768" s="2">
        <v>11</v>
      </c>
      <c r="F768" s="2" t="s">
        <v>174</v>
      </c>
      <c r="G768" s="2">
        <v>3</v>
      </c>
      <c r="H768" s="2">
        <v>6</v>
      </c>
      <c r="I768" s="2">
        <f>COUNTIFS($E$3:E768,E768,$H$3:H768,H768)</f>
        <v>4</v>
      </c>
      <c r="N768" s="11">
        <v>1011201</v>
      </c>
      <c r="O768" s="11">
        <v>1011301</v>
      </c>
      <c r="P768" s="11">
        <v>1011401</v>
      </c>
      <c r="Q768" s="11">
        <v>1011501</v>
      </c>
      <c r="R768" s="11">
        <v>1011701</v>
      </c>
    </row>
    <row r="769" spans="1:19">
      <c r="A769" s="11">
        <f t="shared" si="15"/>
        <v>70113605</v>
      </c>
      <c r="B769" s="14" t="s">
        <v>925</v>
      </c>
      <c r="D769" s="2" t="str">
        <f>E769&amp;(VLOOKUP(F769,编号表!$E$1:$G$8,2,0))&amp;G769&amp;"_"&amp;H769&amp;"_"&amp;I769</f>
        <v>11N3_6_5</v>
      </c>
      <c r="E769" s="2">
        <v>11</v>
      </c>
      <c r="F769" s="2" t="s">
        <v>174</v>
      </c>
      <c r="G769" s="2">
        <v>3</v>
      </c>
      <c r="H769" s="2">
        <v>6</v>
      </c>
      <c r="I769" s="2">
        <f>COUNTIFS($E$3:E769,E769,$H$3:H769,H769)</f>
        <v>5</v>
      </c>
      <c r="N769" s="11">
        <v>1011201</v>
      </c>
      <c r="O769" s="11">
        <v>1011301</v>
      </c>
      <c r="P769" s="11">
        <v>1011401</v>
      </c>
      <c r="Q769" s="11">
        <v>1011501</v>
      </c>
    </row>
    <row r="770" spans="1:19">
      <c r="A770" s="11">
        <f t="shared" si="15"/>
        <v>70114606</v>
      </c>
      <c r="B770" s="14" t="s">
        <v>926</v>
      </c>
      <c r="D770" s="2" t="str">
        <f>E770&amp;(VLOOKUP(F770,编号表!$E$1:$G$8,2,0))&amp;G770&amp;"_"&amp;H770&amp;"_"&amp;I770</f>
        <v>11N4_6_6</v>
      </c>
      <c r="E770" s="2">
        <v>11</v>
      </c>
      <c r="F770" s="2" t="s">
        <v>174</v>
      </c>
      <c r="G770" s="2">
        <v>4</v>
      </c>
      <c r="H770" s="2">
        <v>6</v>
      </c>
      <c r="I770" s="2">
        <f>COUNTIFS($E$3:E770,E770,$H$3:H770,H770)</f>
        <v>6</v>
      </c>
      <c r="N770" s="11">
        <v>1011201</v>
      </c>
      <c r="O770" s="11">
        <v>1011301</v>
      </c>
      <c r="P770" s="11">
        <v>1011401</v>
      </c>
      <c r="Q770" s="11">
        <v>1011501</v>
      </c>
    </row>
    <row r="771" spans="1:19">
      <c r="A771" s="11">
        <f t="shared" si="15"/>
        <v>70114607</v>
      </c>
      <c r="B771" s="14" t="s">
        <v>927</v>
      </c>
      <c r="D771" s="2" t="str">
        <f>E771&amp;(VLOOKUP(F771,编号表!$E$1:$G$8,2,0))&amp;G771&amp;"_"&amp;H771&amp;"_"&amp;I771</f>
        <v>11N4_6_7</v>
      </c>
      <c r="E771" s="2">
        <v>11</v>
      </c>
      <c r="F771" s="2" t="s">
        <v>174</v>
      </c>
      <c r="G771" s="2">
        <v>4</v>
      </c>
      <c r="H771" s="2">
        <v>6</v>
      </c>
      <c r="I771" s="2">
        <f>COUNTIFS($E$3:E771,E771,$H$3:H771,H771)</f>
        <v>7</v>
      </c>
      <c r="N771" s="11">
        <v>1011201</v>
      </c>
      <c r="O771" s="11">
        <v>1011301</v>
      </c>
      <c r="P771" s="11">
        <v>1011401</v>
      </c>
      <c r="Q771" s="11">
        <v>1011501</v>
      </c>
      <c r="R771" s="11">
        <v>1011601</v>
      </c>
    </row>
    <row r="772" spans="1:19">
      <c r="A772" s="11">
        <f t="shared" si="15"/>
        <v>70113608</v>
      </c>
      <c r="B772" s="14" t="s">
        <v>928</v>
      </c>
      <c r="D772" s="2" t="str">
        <f>E772&amp;(VLOOKUP(F772,编号表!$E$1:$G$8,2,0))&amp;G772&amp;"_"&amp;H772&amp;"_"&amp;I772</f>
        <v>11N3_6_8</v>
      </c>
      <c r="E772" s="2">
        <v>11</v>
      </c>
      <c r="F772" s="2" t="s">
        <v>174</v>
      </c>
      <c r="G772" s="2">
        <v>3</v>
      </c>
      <c r="H772" s="2">
        <v>6</v>
      </c>
      <c r="I772" s="2">
        <f>COUNTIFS($E$3:E772,E772,$H$3:H772,H772)</f>
        <v>8</v>
      </c>
      <c r="N772" s="11">
        <v>1011201</v>
      </c>
      <c r="O772" s="11">
        <v>1011301</v>
      </c>
      <c r="P772" s="11">
        <v>1011401</v>
      </c>
      <c r="Q772" s="11">
        <v>1011501</v>
      </c>
      <c r="R772" s="11">
        <v>1011601</v>
      </c>
    </row>
    <row r="773" spans="1:19">
      <c r="A773" s="11">
        <f t="shared" si="15"/>
        <v>70113609</v>
      </c>
      <c r="B773" s="14" t="s">
        <v>929</v>
      </c>
      <c r="D773" s="2" t="str">
        <f>E773&amp;(VLOOKUP(F773,编号表!$E$1:$G$8,2,0))&amp;G773&amp;"_"&amp;H773&amp;"_"&amp;I773</f>
        <v>11N3_6_9</v>
      </c>
      <c r="E773" s="2">
        <v>11</v>
      </c>
      <c r="F773" s="2" t="s">
        <v>174</v>
      </c>
      <c r="G773" s="2">
        <v>3</v>
      </c>
      <c r="H773" s="2">
        <v>6</v>
      </c>
      <c r="I773" s="2">
        <f>COUNTIFS($E$3:E773,E773,$H$3:H773,H773)</f>
        <v>9</v>
      </c>
      <c r="N773" s="11">
        <v>1011201</v>
      </c>
      <c r="O773" s="11">
        <v>1011301</v>
      </c>
      <c r="P773" s="11">
        <v>1011401</v>
      </c>
      <c r="Q773" s="11">
        <v>1011501</v>
      </c>
      <c r="R773" s="11">
        <v>1011601</v>
      </c>
    </row>
    <row r="774" spans="1:19">
      <c r="A774" s="11">
        <f t="shared" si="15"/>
        <v>70113610</v>
      </c>
      <c r="B774" s="14" t="s">
        <v>930</v>
      </c>
      <c r="D774" s="2" t="str">
        <f>E774&amp;(VLOOKUP(F774,编号表!$E$1:$G$8,2,0))&amp;G774&amp;"_"&amp;H774&amp;"_"&amp;I774</f>
        <v>11N3_6_10</v>
      </c>
      <c r="E774" s="2">
        <v>11</v>
      </c>
      <c r="F774" s="2" t="s">
        <v>174</v>
      </c>
      <c r="G774" s="2">
        <v>3</v>
      </c>
      <c r="H774" s="2">
        <v>6</v>
      </c>
      <c r="I774" s="2">
        <f>COUNTIFS($E$3:E774,E774,$H$3:H774,H774)</f>
        <v>10</v>
      </c>
      <c r="N774" s="11">
        <v>1011201</v>
      </c>
      <c r="O774" s="11">
        <v>1011301</v>
      </c>
      <c r="P774" s="11">
        <v>1011401</v>
      </c>
      <c r="Q774" s="11">
        <v>1011501</v>
      </c>
      <c r="R774" s="11">
        <v>1011601</v>
      </c>
    </row>
    <row r="775" spans="1:19">
      <c r="A775" s="11">
        <f t="shared" si="15"/>
        <v>70113611</v>
      </c>
      <c r="B775" s="14" t="s">
        <v>931</v>
      </c>
      <c r="D775" s="2" t="str">
        <f>E775&amp;(VLOOKUP(F775,编号表!$E$1:$G$8,2,0))&amp;G775&amp;"_"&amp;H775&amp;"_"&amp;I775</f>
        <v>11N3_6_11</v>
      </c>
      <c r="E775" s="2">
        <v>11</v>
      </c>
      <c r="F775" s="2" t="s">
        <v>174</v>
      </c>
      <c r="G775" s="2">
        <v>3</v>
      </c>
      <c r="H775" s="2">
        <v>6</v>
      </c>
      <c r="I775" s="2">
        <f>COUNTIFS($E$3:E775,E775,$H$3:H775,H775)</f>
        <v>11</v>
      </c>
      <c r="N775" s="11">
        <v>1011201</v>
      </c>
      <c r="O775" s="11">
        <v>1011301</v>
      </c>
      <c r="P775" s="11">
        <v>1011401</v>
      </c>
      <c r="Q775" s="11">
        <v>1011501</v>
      </c>
      <c r="R775" s="11">
        <v>1011601</v>
      </c>
    </row>
    <row r="776" spans="1:19">
      <c r="A776" s="11">
        <f t="shared" si="15"/>
        <v>70113612</v>
      </c>
      <c r="B776" s="14" t="s">
        <v>932</v>
      </c>
      <c r="D776" s="2" t="str">
        <f>E776&amp;(VLOOKUP(F776,编号表!$E$1:$G$8,2,0))&amp;G776&amp;"_"&amp;H776&amp;"_"&amp;I776</f>
        <v>11N3_6_12</v>
      </c>
      <c r="E776" s="2">
        <v>11</v>
      </c>
      <c r="F776" s="2" t="s">
        <v>174</v>
      </c>
      <c r="G776" s="2">
        <v>3</v>
      </c>
      <c r="H776" s="2">
        <v>6</v>
      </c>
      <c r="I776" s="2">
        <f>COUNTIFS($E$3:E776,E776,$H$3:H776,H776)</f>
        <v>12</v>
      </c>
      <c r="N776" s="11">
        <v>1011201</v>
      </c>
      <c r="O776" s="11">
        <v>1011301</v>
      </c>
      <c r="P776" s="11">
        <v>1011401</v>
      </c>
      <c r="Q776" s="11">
        <v>1011501</v>
      </c>
      <c r="R776" s="11">
        <v>1011601</v>
      </c>
    </row>
    <row r="777" spans="1:19">
      <c r="A777" s="11">
        <f t="shared" si="15"/>
        <v>70110001</v>
      </c>
      <c r="B777" s="18" t="s">
        <v>933</v>
      </c>
      <c r="D777" s="2" t="str">
        <f>E777&amp;(VLOOKUP(F777,编号表!$E$1:$G$8,2,0))&amp;G777&amp;"_"&amp;H777&amp;"_"&amp;I777</f>
        <v>11J0_0_1</v>
      </c>
      <c r="E777" s="2">
        <v>11</v>
      </c>
      <c r="F777" s="2" t="s">
        <v>222</v>
      </c>
      <c r="G777" s="2">
        <v>0</v>
      </c>
      <c r="H777" s="2">
        <v>0</v>
      </c>
      <c r="I777" s="2">
        <f>COUNTIFS($E$3:E777,E777,$H$3:H777,H777)</f>
        <v>1</v>
      </c>
      <c r="J777" s="2">
        <v>1</v>
      </c>
    </row>
    <row r="778" spans="1:19">
      <c r="A778" s="11">
        <f t="shared" si="15"/>
        <v>70123101</v>
      </c>
      <c r="B778" s="14" t="s">
        <v>934</v>
      </c>
      <c r="D778" s="2" t="str">
        <f>E778&amp;(VLOOKUP(F778,编号表!$E$1:$G$8,2,0))&amp;G778&amp;"_"&amp;H778&amp;"_"&amp;I778</f>
        <v>12N3_1_1</v>
      </c>
      <c r="E778" s="2">
        <v>12</v>
      </c>
      <c r="F778" s="2" t="s">
        <v>174</v>
      </c>
      <c r="G778" s="2">
        <v>3</v>
      </c>
      <c r="H778" s="2">
        <v>1</v>
      </c>
      <c r="I778" s="2">
        <f>COUNTIFS($E$3:E778,E778,$H$3:H778,H778)</f>
        <v>1</v>
      </c>
      <c r="N778" s="11">
        <v>1012201</v>
      </c>
      <c r="O778" s="11">
        <v>1012301</v>
      </c>
      <c r="P778" s="11">
        <v>1012401</v>
      </c>
      <c r="Q778" s="11">
        <v>1012501</v>
      </c>
      <c r="R778" s="11">
        <v>1012601</v>
      </c>
      <c r="S778" s="11">
        <v>1012001</v>
      </c>
    </row>
    <row r="779" spans="1:19">
      <c r="A779" s="11">
        <f t="shared" si="15"/>
        <v>70123102</v>
      </c>
      <c r="B779" s="14" t="s">
        <v>935</v>
      </c>
      <c r="D779" s="2" t="str">
        <f>E779&amp;(VLOOKUP(F779,编号表!$E$1:$G$8,2,0))&amp;G779&amp;"_"&amp;H779&amp;"_"&amp;I779</f>
        <v>12N3_1_2</v>
      </c>
      <c r="E779" s="2">
        <v>12</v>
      </c>
      <c r="F779" s="2" t="s">
        <v>174</v>
      </c>
      <c r="G779" s="2">
        <v>3</v>
      </c>
      <c r="H779" s="2">
        <v>1</v>
      </c>
      <c r="I779" s="2">
        <f>COUNTIFS($E$3:E779,E779,$H$3:H779,H779)</f>
        <v>2</v>
      </c>
      <c r="N779" s="11">
        <v>1012201</v>
      </c>
      <c r="O779" s="11">
        <v>1012301</v>
      </c>
      <c r="P779" s="11">
        <v>1012401</v>
      </c>
      <c r="Q779" s="11">
        <v>1012501</v>
      </c>
      <c r="R779" s="11">
        <v>1012601</v>
      </c>
      <c r="S779" s="11">
        <v>1012101</v>
      </c>
    </row>
    <row r="780" spans="1:19">
      <c r="A780" s="11">
        <f t="shared" si="15"/>
        <v>70123103</v>
      </c>
      <c r="B780" s="14" t="s">
        <v>936</v>
      </c>
      <c r="D780" s="2" t="str">
        <f>E780&amp;(VLOOKUP(F780,编号表!$E$1:$G$8,2,0))&amp;G780&amp;"_"&amp;H780&amp;"_"&amp;I780</f>
        <v>12N3_1_3</v>
      </c>
      <c r="E780" s="2">
        <v>12</v>
      </c>
      <c r="F780" s="2" t="s">
        <v>174</v>
      </c>
      <c r="G780" s="2">
        <v>3</v>
      </c>
      <c r="H780" s="2">
        <v>1</v>
      </c>
      <c r="I780" s="2">
        <f>COUNTIFS($E$3:E780,E780,$H$3:H780,H780)</f>
        <v>3</v>
      </c>
      <c r="N780" s="11">
        <v>1012201</v>
      </c>
      <c r="O780" s="11">
        <v>1012301</v>
      </c>
      <c r="P780" s="11">
        <v>1012401</v>
      </c>
      <c r="Q780" s="11">
        <v>1012501</v>
      </c>
      <c r="R780" s="11">
        <v>1012601</v>
      </c>
    </row>
    <row r="781" spans="1:19">
      <c r="A781" s="11">
        <f t="shared" si="15"/>
        <v>70123104</v>
      </c>
      <c r="B781" s="14" t="s">
        <v>937</v>
      </c>
      <c r="D781" s="2" t="str">
        <f>E781&amp;(VLOOKUP(F781,编号表!$E$1:$G$8,2,0))&amp;G781&amp;"_"&amp;H781&amp;"_"&amp;I781</f>
        <v>12N3_1_4</v>
      </c>
      <c r="E781" s="2">
        <v>12</v>
      </c>
      <c r="F781" s="2" t="s">
        <v>174</v>
      </c>
      <c r="G781" s="2">
        <v>3</v>
      </c>
      <c r="H781" s="2">
        <v>1</v>
      </c>
      <c r="I781" s="2">
        <f>COUNTIFS($E$3:E781,E781,$H$3:H781,H781)</f>
        <v>4</v>
      </c>
      <c r="N781" s="11">
        <v>1012201</v>
      </c>
      <c r="O781" s="11">
        <v>1012301</v>
      </c>
      <c r="P781" s="11">
        <v>1012401</v>
      </c>
      <c r="Q781" s="11">
        <v>1012501</v>
      </c>
      <c r="R781" s="11">
        <v>1012601</v>
      </c>
      <c r="S781" s="20"/>
    </row>
    <row r="782" spans="1:19">
      <c r="A782" s="11">
        <f t="shared" si="15"/>
        <v>70123105</v>
      </c>
      <c r="B782" s="14" t="s">
        <v>938</v>
      </c>
      <c r="D782" s="2" t="str">
        <f>E782&amp;(VLOOKUP(F782,编号表!$E$1:$G$8,2,0))&amp;G782&amp;"_"&amp;H782&amp;"_"&amp;I782</f>
        <v>12N3_1_5</v>
      </c>
      <c r="E782" s="2">
        <v>12</v>
      </c>
      <c r="F782" s="2" t="s">
        <v>174</v>
      </c>
      <c r="G782" s="2">
        <v>3</v>
      </c>
      <c r="H782" s="2">
        <v>1</v>
      </c>
      <c r="I782" s="2">
        <f>COUNTIFS($E$3:E782,E782,$H$3:H782,H782)</f>
        <v>5</v>
      </c>
      <c r="N782" s="11">
        <v>1012201</v>
      </c>
      <c r="O782" s="11">
        <v>1012301</v>
      </c>
      <c r="P782" s="11">
        <v>1012401</v>
      </c>
      <c r="Q782" s="11">
        <v>1012501</v>
      </c>
      <c r="R782" s="11">
        <v>1012601</v>
      </c>
      <c r="S782" s="20"/>
    </row>
    <row r="783" spans="1:19">
      <c r="A783" s="11">
        <f t="shared" si="15"/>
        <v>70123106</v>
      </c>
      <c r="B783" s="14" t="s">
        <v>939</v>
      </c>
      <c r="D783" s="2" t="str">
        <f>E783&amp;(VLOOKUP(F783,编号表!$E$1:$G$8,2,0))&amp;G783&amp;"_"&amp;H783&amp;"_"&amp;I783</f>
        <v>12N3_1_6</v>
      </c>
      <c r="E783" s="2">
        <v>12</v>
      </c>
      <c r="F783" s="2" t="s">
        <v>174</v>
      </c>
      <c r="G783" s="2">
        <v>3</v>
      </c>
      <c r="H783" s="2">
        <v>1</v>
      </c>
      <c r="I783" s="2">
        <f>COUNTIFS($E$3:E783,E783,$H$3:H783,H783)</f>
        <v>6</v>
      </c>
      <c r="N783" s="11">
        <v>1012201</v>
      </c>
      <c r="O783" s="11">
        <v>1012301</v>
      </c>
      <c r="P783" s="11">
        <v>1012401</v>
      </c>
      <c r="Q783" s="11">
        <v>1012501</v>
      </c>
      <c r="R783" s="11">
        <v>1012601</v>
      </c>
      <c r="S783" s="20"/>
    </row>
    <row r="784" spans="1:19">
      <c r="A784" s="11">
        <f t="shared" si="15"/>
        <v>70123107</v>
      </c>
      <c r="B784" s="14" t="s">
        <v>940</v>
      </c>
      <c r="D784" s="2" t="str">
        <f>E784&amp;(VLOOKUP(F784,编号表!$E$1:$G$8,2,0))&amp;G784&amp;"_"&amp;H784&amp;"_"&amp;I784</f>
        <v>12N3_1_7</v>
      </c>
      <c r="E784" s="2">
        <v>12</v>
      </c>
      <c r="F784" s="2" t="s">
        <v>174</v>
      </c>
      <c r="G784" s="2">
        <v>3</v>
      </c>
      <c r="H784" s="2">
        <v>1</v>
      </c>
      <c r="I784" s="2">
        <f>COUNTIFS($E$3:E784,E784,$H$3:H784,H784)</f>
        <v>7</v>
      </c>
      <c r="N784" s="11">
        <v>1012201</v>
      </c>
      <c r="O784" s="11">
        <v>1012301</v>
      </c>
      <c r="P784" s="11">
        <v>1012401</v>
      </c>
      <c r="Q784" s="11">
        <v>1012501</v>
      </c>
      <c r="R784" s="11">
        <v>1012601</v>
      </c>
      <c r="S784" s="20"/>
    </row>
    <row r="785" spans="1:19">
      <c r="A785" s="11">
        <f t="shared" si="15"/>
        <v>70123108</v>
      </c>
      <c r="B785" s="14" t="s">
        <v>941</v>
      </c>
      <c r="D785" s="2" t="str">
        <f>E785&amp;(VLOOKUP(F785,编号表!$E$1:$G$8,2,0))&amp;G785&amp;"_"&amp;H785&amp;"_"&amp;I785</f>
        <v>12N3_1_8</v>
      </c>
      <c r="E785" s="2">
        <v>12</v>
      </c>
      <c r="F785" s="2" t="s">
        <v>174</v>
      </c>
      <c r="G785" s="2">
        <v>3</v>
      </c>
      <c r="H785" s="2">
        <v>1</v>
      </c>
      <c r="I785" s="2">
        <f>COUNTIFS($E$3:E785,E785,$H$3:H785,H785)</f>
        <v>8</v>
      </c>
      <c r="M785" s="20"/>
      <c r="N785" s="11">
        <v>1012201</v>
      </c>
      <c r="O785" s="11">
        <v>1012301</v>
      </c>
      <c r="P785" s="11">
        <v>1012401</v>
      </c>
      <c r="Q785" s="11">
        <v>1012501</v>
      </c>
      <c r="R785" s="11">
        <v>1012601</v>
      </c>
      <c r="S785" s="20"/>
    </row>
    <row r="786" spans="1:19">
      <c r="A786" s="11">
        <f t="shared" si="15"/>
        <v>70123109</v>
      </c>
      <c r="B786" s="14" t="s">
        <v>942</v>
      </c>
      <c r="D786" s="2" t="str">
        <f>E786&amp;(VLOOKUP(F786,编号表!$E$1:$G$8,2,0))&amp;G786&amp;"_"&amp;H786&amp;"_"&amp;I786</f>
        <v>12N3_1_9</v>
      </c>
      <c r="E786" s="2">
        <v>12</v>
      </c>
      <c r="F786" s="2" t="s">
        <v>174</v>
      </c>
      <c r="G786" s="2">
        <v>3</v>
      </c>
      <c r="H786" s="2">
        <v>1</v>
      </c>
      <c r="I786" s="2">
        <f>COUNTIFS($E$3:E786,E786,$H$3:H786,H786)</f>
        <v>9</v>
      </c>
      <c r="M786" s="20"/>
      <c r="N786" s="11">
        <v>1012201</v>
      </c>
      <c r="O786" s="11">
        <v>1012301</v>
      </c>
      <c r="P786" s="11">
        <v>1012401</v>
      </c>
      <c r="Q786" s="11">
        <v>1012501</v>
      </c>
      <c r="R786" s="11">
        <v>1012601</v>
      </c>
    </row>
    <row r="787" spans="1:19">
      <c r="A787" s="11">
        <f t="shared" si="15"/>
        <v>70122110</v>
      </c>
      <c r="B787" s="14" t="s">
        <v>943</v>
      </c>
      <c r="D787" s="2" t="str">
        <f>E787&amp;(VLOOKUP(F787,编号表!$E$1:$G$8,2,0))&amp;G787&amp;"_"&amp;H787&amp;"_"&amp;I787</f>
        <v>12N2_1_10</v>
      </c>
      <c r="E787" s="2">
        <v>12</v>
      </c>
      <c r="F787" s="2" t="s">
        <v>174</v>
      </c>
      <c r="G787" s="2">
        <v>2</v>
      </c>
      <c r="H787" s="2">
        <v>1</v>
      </c>
      <c r="I787" s="2">
        <f>COUNTIFS($E$3:E787,E787,$H$3:H787,H787)</f>
        <v>10</v>
      </c>
      <c r="M787" s="20"/>
      <c r="N787" s="11">
        <v>1012201</v>
      </c>
      <c r="O787" s="11">
        <v>1012301</v>
      </c>
      <c r="P787" s="11">
        <v>1012401</v>
      </c>
      <c r="Q787" s="11">
        <v>1012501</v>
      </c>
      <c r="R787" s="11">
        <v>1012601</v>
      </c>
    </row>
    <row r="788" spans="1:19">
      <c r="A788" s="11">
        <f t="shared" si="15"/>
        <v>70123111</v>
      </c>
      <c r="B788" s="14" t="s">
        <v>944</v>
      </c>
      <c r="D788" s="2" t="str">
        <f>E788&amp;(VLOOKUP(F788,编号表!$E$1:$G$8,2,0))&amp;G788&amp;"_"&amp;H788&amp;"_"&amp;I788</f>
        <v>12N3_1_11</v>
      </c>
      <c r="E788" s="2">
        <v>12</v>
      </c>
      <c r="F788" s="2" t="s">
        <v>174</v>
      </c>
      <c r="G788" s="2">
        <v>3</v>
      </c>
      <c r="H788" s="2">
        <v>1</v>
      </c>
      <c r="I788" s="2">
        <f>COUNTIFS($E$3:E788,E788,$H$3:H788,H788)</f>
        <v>11</v>
      </c>
      <c r="M788" s="20"/>
      <c r="N788" s="11">
        <v>1012201</v>
      </c>
      <c r="O788" s="11">
        <v>1012301</v>
      </c>
      <c r="P788" s="11">
        <v>1012401</v>
      </c>
      <c r="Q788" s="11">
        <v>1012501</v>
      </c>
      <c r="R788" s="11">
        <v>1012601</v>
      </c>
    </row>
    <row r="789" spans="1:19">
      <c r="A789" s="11">
        <f t="shared" si="15"/>
        <v>70124201</v>
      </c>
      <c r="B789" s="14" t="s">
        <v>945</v>
      </c>
      <c r="D789" s="2" t="str">
        <f>E789&amp;(VLOOKUP(F789,编号表!$E$1:$G$8,2,0))&amp;G789&amp;"_"&amp;H789&amp;"_"&amp;I789</f>
        <v>12N4_2_1</v>
      </c>
      <c r="E789" s="2">
        <v>12</v>
      </c>
      <c r="F789" s="2" t="s">
        <v>174</v>
      </c>
      <c r="G789" s="2">
        <v>4</v>
      </c>
      <c r="H789" s="2">
        <v>2</v>
      </c>
      <c r="I789" s="2">
        <f>COUNTIFS($E$3:E789,E789,$H$3:H789,H789)</f>
        <v>1</v>
      </c>
      <c r="M789" s="20"/>
      <c r="N789" s="11">
        <v>1012201</v>
      </c>
      <c r="O789" s="11">
        <v>1012301</v>
      </c>
      <c r="P789" s="11">
        <v>1012401</v>
      </c>
      <c r="Q789" s="11">
        <v>1012501</v>
      </c>
      <c r="R789" s="11">
        <v>1012601</v>
      </c>
    </row>
    <row r="790" spans="1:19">
      <c r="A790" s="11">
        <f t="shared" si="15"/>
        <v>70124202</v>
      </c>
      <c r="B790" s="14" t="s">
        <v>946</v>
      </c>
      <c r="D790" s="2" t="str">
        <f>E790&amp;(VLOOKUP(F790,编号表!$E$1:$G$8,2,0))&amp;G790&amp;"_"&amp;H790&amp;"_"&amp;I790</f>
        <v>12N4_2_2</v>
      </c>
      <c r="E790" s="2">
        <v>12</v>
      </c>
      <c r="F790" s="2" t="s">
        <v>174</v>
      </c>
      <c r="G790" s="2">
        <v>4</v>
      </c>
      <c r="H790" s="2">
        <v>2</v>
      </c>
      <c r="I790" s="2">
        <f>COUNTIFS($E$3:E790,E790,$H$3:H790,H790)</f>
        <v>2</v>
      </c>
      <c r="M790" s="20"/>
      <c r="N790" s="11">
        <v>1012201</v>
      </c>
      <c r="O790" s="11">
        <v>1012301</v>
      </c>
      <c r="P790" s="11">
        <v>1012401</v>
      </c>
      <c r="Q790" s="11">
        <v>1012501</v>
      </c>
      <c r="R790" s="11">
        <v>1012601</v>
      </c>
    </row>
    <row r="791" spans="1:19">
      <c r="A791" s="11">
        <f t="shared" si="15"/>
        <v>70124203</v>
      </c>
      <c r="B791" s="14" t="s">
        <v>947</v>
      </c>
      <c r="D791" s="2" t="str">
        <f>E791&amp;(VLOOKUP(F791,编号表!$E$1:$G$8,2,0))&amp;G791&amp;"_"&amp;H791&amp;"_"&amp;I791</f>
        <v>12N4_2_3</v>
      </c>
      <c r="E791" s="2">
        <v>12</v>
      </c>
      <c r="F791" s="2" t="s">
        <v>174</v>
      </c>
      <c r="G791" s="2">
        <v>4</v>
      </c>
      <c r="H791" s="2">
        <v>2</v>
      </c>
      <c r="I791" s="2">
        <f>COUNTIFS($E$3:E791,E791,$H$3:H791,H791)</f>
        <v>3</v>
      </c>
      <c r="M791" s="20"/>
      <c r="N791" s="11">
        <v>1012201</v>
      </c>
      <c r="O791" s="11">
        <v>1012301</v>
      </c>
      <c r="P791" s="11">
        <v>1012401</v>
      </c>
      <c r="Q791" s="11">
        <v>1012501</v>
      </c>
      <c r="R791" s="11">
        <v>1012601</v>
      </c>
    </row>
    <row r="792" spans="1:19">
      <c r="A792" s="11">
        <f t="shared" si="15"/>
        <v>70124204</v>
      </c>
      <c r="B792" s="14" t="s">
        <v>948</v>
      </c>
      <c r="D792" s="2" t="str">
        <f>E792&amp;(VLOOKUP(F792,编号表!$E$1:$G$8,2,0))&amp;G792&amp;"_"&amp;H792&amp;"_"&amp;I792</f>
        <v>12N4_2_4</v>
      </c>
      <c r="E792" s="2">
        <v>12</v>
      </c>
      <c r="F792" s="2" t="s">
        <v>174</v>
      </c>
      <c r="G792" s="2">
        <v>4</v>
      </c>
      <c r="H792" s="2">
        <v>2</v>
      </c>
      <c r="I792" s="2">
        <f>COUNTIFS($E$3:E792,E792,$H$3:H792,H792)</f>
        <v>4</v>
      </c>
      <c r="M792" s="20"/>
      <c r="N792" s="11">
        <v>1012201</v>
      </c>
      <c r="O792" s="11">
        <v>1012301</v>
      </c>
      <c r="P792" s="11">
        <v>1012401</v>
      </c>
      <c r="Q792" s="11">
        <v>1012501</v>
      </c>
      <c r="R792" s="11">
        <v>1012601</v>
      </c>
    </row>
    <row r="793" spans="1:19">
      <c r="A793" s="11">
        <f t="shared" si="15"/>
        <v>70123205</v>
      </c>
      <c r="B793" s="14" t="s">
        <v>949</v>
      </c>
      <c r="D793" s="2" t="str">
        <f>E793&amp;(VLOOKUP(F793,编号表!$E$1:$G$8,2,0))&amp;G793&amp;"_"&amp;H793&amp;"_"&amp;I793</f>
        <v>12N3_2_5</v>
      </c>
      <c r="E793" s="2">
        <v>12</v>
      </c>
      <c r="F793" s="2" t="s">
        <v>174</v>
      </c>
      <c r="G793" s="2">
        <v>3</v>
      </c>
      <c r="H793" s="2">
        <v>2</v>
      </c>
      <c r="I793" s="2">
        <f>COUNTIFS($E$3:E793,E793,$H$3:H793,H793)</f>
        <v>5</v>
      </c>
      <c r="M793" s="20"/>
      <c r="N793" s="11">
        <v>1012201</v>
      </c>
      <c r="O793" s="11">
        <v>1012301</v>
      </c>
      <c r="P793" s="11">
        <v>1012401</v>
      </c>
      <c r="Q793" s="11">
        <v>1012501</v>
      </c>
      <c r="R793" s="11">
        <v>1012601</v>
      </c>
    </row>
    <row r="794" spans="1:19">
      <c r="A794" s="11">
        <f t="shared" si="15"/>
        <v>70123206</v>
      </c>
      <c r="B794" s="14" t="s">
        <v>950</v>
      </c>
      <c r="D794" s="2" t="str">
        <f>E794&amp;(VLOOKUP(F794,编号表!$E$1:$G$8,2,0))&amp;G794&amp;"_"&amp;H794&amp;"_"&amp;I794</f>
        <v>12N3_2_6</v>
      </c>
      <c r="E794" s="2">
        <v>12</v>
      </c>
      <c r="F794" s="2" t="s">
        <v>174</v>
      </c>
      <c r="G794" s="2">
        <v>3</v>
      </c>
      <c r="H794" s="2">
        <v>2</v>
      </c>
      <c r="I794" s="2">
        <f>COUNTIFS($E$3:E794,E794,$H$3:H794,H794)</f>
        <v>6</v>
      </c>
      <c r="M794" s="20"/>
      <c r="N794" s="11">
        <v>1012201</v>
      </c>
      <c r="O794" s="11">
        <v>1012301</v>
      </c>
      <c r="P794" s="11">
        <v>1012401</v>
      </c>
      <c r="Q794" s="11">
        <v>1012501</v>
      </c>
      <c r="R794" s="11">
        <v>1012601</v>
      </c>
    </row>
    <row r="795" spans="1:19">
      <c r="A795" s="11">
        <f t="shared" si="15"/>
        <v>70122207</v>
      </c>
      <c r="B795" s="14" t="s">
        <v>951</v>
      </c>
      <c r="D795" s="2" t="str">
        <f>E795&amp;(VLOOKUP(F795,编号表!$E$1:$G$8,2,0))&amp;G795&amp;"_"&amp;H795&amp;"_"&amp;I795</f>
        <v>12N2_2_7</v>
      </c>
      <c r="E795" s="2">
        <v>12</v>
      </c>
      <c r="F795" s="2" t="s">
        <v>174</v>
      </c>
      <c r="G795" s="2">
        <v>2</v>
      </c>
      <c r="H795" s="2">
        <v>2</v>
      </c>
      <c r="I795" s="2">
        <f>COUNTIFS($E$3:E795,E795,$H$3:H795,H795)</f>
        <v>7</v>
      </c>
      <c r="N795" s="11">
        <v>1012201</v>
      </c>
      <c r="O795" s="11">
        <v>1012301</v>
      </c>
      <c r="P795" s="11">
        <v>1012401</v>
      </c>
      <c r="Q795" s="11">
        <v>1012501</v>
      </c>
      <c r="R795" s="11">
        <v>1012601</v>
      </c>
    </row>
    <row r="796" spans="1:19">
      <c r="A796" s="11">
        <f t="shared" si="15"/>
        <v>70124301</v>
      </c>
      <c r="B796" s="14" t="s">
        <v>952</v>
      </c>
      <c r="D796" s="2" t="str">
        <f>E796&amp;(VLOOKUP(F796,编号表!$E$1:$G$8,2,0))&amp;G796&amp;"_"&amp;H796&amp;"_"&amp;I796</f>
        <v>12N4_3_1</v>
      </c>
      <c r="E796" s="2">
        <v>12</v>
      </c>
      <c r="F796" s="2" t="s">
        <v>174</v>
      </c>
      <c r="G796" s="2">
        <v>4</v>
      </c>
      <c r="H796" s="2">
        <v>3</v>
      </c>
      <c r="I796" s="2">
        <f>COUNTIFS($E$3:E796,E796,$H$3:H796,H796)</f>
        <v>1</v>
      </c>
      <c r="N796" s="11">
        <v>1012201</v>
      </c>
      <c r="O796" s="11">
        <v>1012301</v>
      </c>
      <c r="P796" s="11">
        <v>1012401</v>
      </c>
      <c r="Q796" s="11">
        <v>1012501</v>
      </c>
      <c r="R796" s="11">
        <v>1012601</v>
      </c>
    </row>
    <row r="797" spans="1:19">
      <c r="A797" s="11">
        <f t="shared" si="15"/>
        <v>70124302</v>
      </c>
      <c r="B797" s="14" t="s">
        <v>953</v>
      </c>
      <c r="D797" s="2" t="str">
        <f>E797&amp;(VLOOKUP(F797,编号表!$E$1:$G$8,2,0))&amp;G797&amp;"_"&amp;H797&amp;"_"&amp;I797</f>
        <v>12N4_3_2</v>
      </c>
      <c r="E797" s="2">
        <v>12</v>
      </c>
      <c r="F797" s="2" t="s">
        <v>174</v>
      </c>
      <c r="G797" s="2">
        <v>4</v>
      </c>
      <c r="H797" s="2">
        <v>3</v>
      </c>
      <c r="I797" s="2">
        <f>COUNTIFS($E$3:E797,E797,$H$3:H797,H797)</f>
        <v>2</v>
      </c>
      <c r="N797" s="11">
        <v>1012201</v>
      </c>
      <c r="O797" s="11">
        <v>1012301</v>
      </c>
      <c r="P797" s="11">
        <v>1012401</v>
      </c>
      <c r="Q797" s="11">
        <v>1012501</v>
      </c>
      <c r="R797" s="11">
        <v>1012601</v>
      </c>
    </row>
    <row r="798" spans="1:19">
      <c r="A798" s="11">
        <f t="shared" si="15"/>
        <v>70124303</v>
      </c>
      <c r="B798" s="14" t="s">
        <v>954</v>
      </c>
      <c r="D798" s="2" t="str">
        <f>E798&amp;(VLOOKUP(F798,编号表!$E$1:$G$8,2,0))&amp;G798&amp;"_"&amp;H798&amp;"_"&amp;I798</f>
        <v>12N4_3_3</v>
      </c>
      <c r="E798" s="2">
        <v>12</v>
      </c>
      <c r="F798" s="2" t="s">
        <v>174</v>
      </c>
      <c r="G798" s="2">
        <v>4</v>
      </c>
      <c r="H798" s="2">
        <v>3</v>
      </c>
      <c r="I798" s="2">
        <f>COUNTIFS($E$3:E798,E798,$H$3:H798,H798)</f>
        <v>3</v>
      </c>
      <c r="N798" s="11">
        <v>1012201</v>
      </c>
      <c r="O798" s="11">
        <v>1012301</v>
      </c>
      <c r="P798" s="11">
        <v>1012401</v>
      </c>
      <c r="Q798" s="11">
        <v>1012501</v>
      </c>
      <c r="R798" s="11">
        <v>1012601</v>
      </c>
    </row>
    <row r="799" spans="1:19">
      <c r="A799" s="11">
        <f t="shared" si="15"/>
        <v>70123304</v>
      </c>
      <c r="B799" s="14" t="s">
        <v>955</v>
      </c>
      <c r="D799" s="2" t="str">
        <f>E799&amp;(VLOOKUP(F799,编号表!$E$1:$G$8,2,0))&amp;G799&amp;"_"&amp;H799&amp;"_"&amp;I799</f>
        <v>12N3_3_4</v>
      </c>
      <c r="E799" s="2">
        <v>12</v>
      </c>
      <c r="F799" s="2" t="s">
        <v>174</v>
      </c>
      <c r="G799" s="2">
        <v>3</v>
      </c>
      <c r="H799" s="2">
        <v>3</v>
      </c>
      <c r="I799" s="2">
        <f>COUNTIFS($E$3:E799,E799,$H$3:H799,H799)</f>
        <v>4</v>
      </c>
      <c r="N799" s="11">
        <v>1012201</v>
      </c>
      <c r="O799" s="11">
        <v>1012301</v>
      </c>
      <c r="P799" s="11">
        <v>1012401</v>
      </c>
      <c r="Q799" s="11">
        <v>1012501</v>
      </c>
      <c r="R799" s="11">
        <v>1012601</v>
      </c>
    </row>
    <row r="800" spans="1:19">
      <c r="A800" s="11">
        <f t="shared" si="15"/>
        <v>70124305</v>
      </c>
      <c r="B800" s="14" t="s">
        <v>956</v>
      </c>
      <c r="D800" s="2" t="str">
        <f>E800&amp;(VLOOKUP(F800,编号表!$E$1:$G$8,2,0))&amp;G800&amp;"_"&amp;H800&amp;"_"&amp;I800</f>
        <v>12N4_3_5</v>
      </c>
      <c r="E800" s="2">
        <v>12</v>
      </c>
      <c r="F800" s="2" t="s">
        <v>174</v>
      </c>
      <c r="G800" s="2">
        <v>4</v>
      </c>
      <c r="H800" s="2">
        <v>3</v>
      </c>
      <c r="I800" s="2">
        <f>COUNTIFS($E$3:E800,E800,$H$3:H800,H800)</f>
        <v>5</v>
      </c>
      <c r="N800" s="11">
        <v>1012201</v>
      </c>
      <c r="O800" s="11">
        <v>1012301</v>
      </c>
      <c r="P800" s="11">
        <v>1012401</v>
      </c>
      <c r="Q800" s="11">
        <v>1012501</v>
      </c>
      <c r="R800" s="11">
        <v>1012601</v>
      </c>
    </row>
    <row r="801" spans="1:18">
      <c r="A801" s="11">
        <f t="shared" si="15"/>
        <v>70124401</v>
      </c>
      <c r="B801" s="14" t="s">
        <v>957</v>
      </c>
      <c r="D801" s="2" t="str">
        <f>E801&amp;(VLOOKUP(F801,编号表!$E$1:$G$8,2,0))&amp;G801&amp;"_"&amp;H801&amp;"_"&amp;I801</f>
        <v>12N4_4_1</v>
      </c>
      <c r="E801" s="2">
        <v>12</v>
      </c>
      <c r="F801" s="2" t="s">
        <v>174</v>
      </c>
      <c r="G801" s="2">
        <v>4</v>
      </c>
      <c r="H801" s="2">
        <v>4</v>
      </c>
      <c r="I801" s="2">
        <f>COUNTIFS($E$3:E801,E801,$H$3:H801,H801)</f>
        <v>1</v>
      </c>
      <c r="N801" s="11">
        <v>1012201</v>
      </c>
      <c r="O801" s="11">
        <v>1012301</v>
      </c>
      <c r="P801" s="11">
        <v>1012401</v>
      </c>
      <c r="Q801" s="11">
        <v>1012501</v>
      </c>
      <c r="R801" s="11">
        <v>1012601</v>
      </c>
    </row>
    <row r="802" spans="1:18">
      <c r="A802" s="11">
        <f t="shared" si="15"/>
        <v>70121402</v>
      </c>
      <c r="B802" s="15" t="s">
        <v>958</v>
      </c>
      <c r="D802" s="2" t="str">
        <f>E802&amp;(VLOOKUP(F802,编号表!$E$1:$G$8,2,0))&amp;G802&amp;"_"&amp;H802&amp;"_"&amp;I802</f>
        <v>12T1_4_2</v>
      </c>
      <c r="E802" s="2">
        <v>12</v>
      </c>
      <c r="F802" s="2" t="s">
        <v>190</v>
      </c>
      <c r="G802" s="2">
        <v>1</v>
      </c>
      <c r="H802" s="2">
        <v>4</v>
      </c>
      <c r="I802" s="2">
        <f>COUNTIFS($E$3:E802,E802,$H$3:H802,H802)</f>
        <v>2</v>
      </c>
    </row>
    <row r="803" spans="1:18">
      <c r="A803" s="11">
        <f t="shared" si="15"/>
        <v>70123403</v>
      </c>
      <c r="B803" s="16" t="s">
        <v>52</v>
      </c>
      <c r="C803" s="2" t="s">
        <v>959</v>
      </c>
      <c r="D803" s="2" t="str">
        <f>E803&amp;(VLOOKUP(F803,编号表!$E$1:$G$8,2,0))&amp;G803&amp;"_"&amp;H803&amp;"_"&amp;I803</f>
        <v>12T3_4_3</v>
      </c>
      <c r="E803" s="2">
        <v>12</v>
      </c>
      <c r="F803" s="2" t="s">
        <v>190</v>
      </c>
      <c r="G803" s="2">
        <v>3</v>
      </c>
      <c r="H803" s="2">
        <v>4</v>
      </c>
      <c r="I803" s="2">
        <f>COUNTIFS($E$3:E803,E803,$H$3:H803,H803)</f>
        <v>3</v>
      </c>
      <c r="L803" s="2">
        <v>126</v>
      </c>
    </row>
    <row r="804" spans="1:18">
      <c r="A804" s="11">
        <f t="shared" si="15"/>
        <v>70124404</v>
      </c>
      <c r="B804" s="14" t="s">
        <v>960</v>
      </c>
      <c r="D804" s="2" t="str">
        <f>E804&amp;(VLOOKUP(F804,编号表!$E$1:$G$8,2,0))&amp;G804&amp;"_"&amp;H804&amp;"_"&amp;I804</f>
        <v>12N4_4_4</v>
      </c>
      <c r="E804" s="2">
        <v>12</v>
      </c>
      <c r="F804" s="2" t="s">
        <v>174</v>
      </c>
      <c r="G804" s="2">
        <v>4</v>
      </c>
      <c r="H804" s="2">
        <v>4</v>
      </c>
      <c r="I804" s="2">
        <f>COUNTIFS($E$3:E804,E804,$H$3:H804,H804)</f>
        <v>4</v>
      </c>
      <c r="N804" s="11">
        <v>1012201</v>
      </c>
      <c r="O804" s="11">
        <v>1012301</v>
      </c>
      <c r="P804" s="11">
        <v>1012401</v>
      </c>
      <c r="Q804" s="11">
        <v>1012501</v>
      </c>
      <c r="R804" s="11">
        <v>1012601</v>
      </c>
    </row>
    <row r="805" spans="1:18">
      <c r="A805" s="11">
        <f t="shared" si="15"/>
        <v>70124405</v>
      </c>
      <c r="B805" s="14" t="s">
        <v>961</v>
      </c>
      <c r="D805" s="2" t="str">
        <f>E805&amp;(VLOOKUP(F805,编号表!$E$1:$G$8,2,0))&amp;G805&amp;"_"&amp;H805&amp;"_"&amp;I805</f>
        <v>12N4_4_5</v>
      </c>
      <c r="E805" s="2">
        <v>12</v>
      </c>
      <c r="F805" s="2" t="s">
        <v>174</v>
      </c>
      <c r="G805" s="2">
        <v>4</v>
      </c>
      <c r="H805" s="2">
        <v>4</v>
      </c>
      <c r="I805" s="2">
        <f>COUNTIFS($E$3:E805,E805,$H$3:H805,H805)</f>
        <v>5</v>
      </c>
      <c r="N805" s="11">
        <v>1012201</v>
      </c>
      <c r="O805" s="11">
        <v>1012301</v>
      </c>
      <c r="P805" s="11">
        <v>1012401</v>
      </c>
      <c r="Q805" s="11">
        <v>1012501</v>
      </c>
      <c r="R805" s="11">
        <v>1012601</v>
      </c>
    </row>
    <row r="806" spans="1:18">
      <c r="A806" s="11">
        <f t="shared" si="15"/>
        <v>70124406</v>
      </c>
      <c r="B806" s="14" t="s">
        <v>962</v>
      </c>
      <c r="D806" s="2" t="str">
        <f>E806&amp;(VLOOKUP(F806,编号表!$E$1:$G$8,2,0))&amp;G806&amp;"_"&amp;H806&amp;"_"&amp;I806</f>
        <v>12N4_4_6</v>
      </c>
      <c r="E806" s="2">
        <v>12</v>
      </c>
      <c r="F806" s="2" t="s">
        <v>174</v>
      </c>
      <c r="G806" s="2">
        <v>4</v>
      </c>
      <c r="H806" s="2">
        <v>4</v>
      </c>
      <c r="I806" s="2">
        <f>COUNTIFS($E$3:E806,E806,$H$3:H806,H806)</f>
        <v>6</v>
      </c>
      <c r="N806" s="11">
        <v>1012201</v>
      </c>
      <c r="O806" s="11">
        <v>1012301</v>
      </c>
      <c r="P806" s="11">
        <v>1012401</v>
      </c>
      <c r="Q806" s="11">
        <v>1012501</v>
      </c>
      <c r="R806" s="11">
        <v>1012601</v>
      </c>
    </row>
    <row r="807" spans="1:18">
      <c r="A807" s="11">
        <f t="shared" si="15"/>
        <v>70124407</v>
      </c>
      <c r="B807" s="14" t="s">
        <v>963</v>
      </c>
      <c r="D807" s="2" t="str">
        <f>E807&amp;(VLOOKUP(F807,编号表!$E$1:$G$8,2,0))&amp;G807&amp;"_"&amp;H807&amp;"_"&amp;I807</f>
        <v>12N4_4_7</v>
      </c>
      <c r="E807" s="2">
        <v>12</v>
      </c>
      <c r="F807" s="2" t="s">
        <v>174</v>
      </c>
      <c r="G807" s="2">
        <v>4</v>
      </c>
      <c r="H807" s="2">
        <v>4</v>
      </c>
      <c r="I807" s="2">
        <f>COUNTIFS($E$3:E807,E807,$H$3:H807,H807)</f>
        <v>7</v>
      </c>
      <c r="N807" s="11">
        <v>1012201</v>
      </c>
      <c r="O807" s="11">
        <v>1012301</v>
      </c>
      <c r="P807" s="11">
        <v>1012401</v>
      </c>
      <c r="Q807" s="11">
        <v>1012501</v>
      </c>
      <c r="R807" s="11">
        <v>1012601</v>
      </c>
    </row>
    <row r="808" spans="1:18">
      <c r="A808" s="11">
        <f t="shared" si="15"/>
        <v>70124408</v>
      </c>
      <c r="B808" s="14" t="s">
        <v>964</v>
      </c>
      <c r="D808" s="2" t="str">
        <f>E808&amp;(VLOOKUP(F808,编号表!$E$1:$G$8,2,0))&amp;G808&amp;"_"&amp;H808&amp;"_"&amp;I808</f>
        <v>12N4_4_8</v>
      </c>
      <c r="E808" s="2">
        <v>12</v>
      </c>
      <c r="F808" s="2" t="s">
        <v>174</v>
      </c>
      <c r="G808" s="2">
        <v>4</v>
      </c>
      <c r="H808" s="2">
        <v>4</v>
      </c>
      <c r="I808" s="2">
        <f>COUNTIFS($E$3:E808,E808,$H$3:H808,H808)</f>
        <v>8</v>
      </c>
      <c r="N808" s="11">
        <v>1012201</v>
      </c>
      <c r="O808" s="11">
        <v>1012301</v>
      </c>
      <c r="P808" s="11">
        <v>1012401</v>
      </c>
      <c r="Q808" s="11">
        <v>1012501</v>
      </c>
      <c r="R808" s="11">
        <v>1012601</v>
      </c>
    </row>
    <row r="809" spans="1:18">
      <c r="A809" s="11">
        <f t="shared" si="15"/>
        <v>70123409</v>
      </c>
      <c r="B809" s="14" t="s">
        <v>965</v>
      </c>
      <c r="D809" s="2" t="str">
        <f>E809&amp;(VLOOKUP(F809,编号表!$E$1:$G$8,2,0))&amp;G809&amp;"_"&amp;H809&amp;"_"&amp;I809</f>
        <v>12N3_4_9</v>
      </c>
      <c r="E809" s="2">
        <v>12</v>
      </c>
      <c r="F809" s="2" t="s">
        <v>174</v>
      </c>
      <c r="G809" s="2">
        <v>3</v>
      </c>
      <c r="H809" s="2">
        <v>4</v>
      </c>
      <c r="I809" s="2">
        <f>COUNTIFS($E$3:E809,E809,$H$3:H809,H809)</f>
        <v>9</v>
      </c>
      <c r="N809" s="11">
        <v>1012201</v>
      </c>
      <c r="O809" s="11">
        <v>1012301</v>
      </c>
      <c r="P809" s="11">
        <v>1012401</v>
      </c>
      <c r="Q809" s="11">
        <v>1012501</v>
      </c>
      <c r="R809" s="11">
        <v>1012601</v>
      </c>
    </row>
    <row r="810" spans="1:18">
      <c r="A810" s="11">
        <f t="shared" si="15"/>
        <v>70123410</v>
      </c>
      <c r="B810" s="14" t="s">
        <v>966</v>
      </c>
      <c r="D810" s="2" t="str">
        <f>E810&amp;(VLOOKUP(F810,编号表!$E$1:$G$8,2,0))&amp;G810&amp;"_"&amp;H810&amp;"_"&amp;I810</f>
        <v>12N3_4_10</v>
      </c>
      <c r="E810" s="2">
        <v>12</v>
      </c>
      <c r="F810" s="2" t="s">
        <v>174</v>
      </c>
      <c r="G810" s="2">
        <v>3</v>
      </c>
      <c r="H810" s="2">
        <v>4</v>
      </c>
      <c r="I810" s="2">
        <f>COUNTIFS($E$3:E810,E810,$H$3:H810,H810)</f>
        <v>10</v>
      </c>
      <c r="N810" s="11">
        <v>1012201</v>
      </c>
      <c r="O810" s="11">
        <v>1012301</v>
      </c>
      <c r="P810" s="11">
        <v>1012401</v>
      </c>
      <c r="Q810" s="11">
        <v>1012501</v>
      </c>
      <c r="R810" s="11">
        <v>1012601</v>
      </c>
    </row>
    <row r="811" spans="1:18">
      <c r="A811" s="11">
        <f t="shared" si="15"/>
        <v>70123411</v>
      </c>
      <c r="B811" s="14" t="s">
        <v>967</v>
      </c>
      <c r="D811" s="2" t="str">
        <f>E811&amp;(VLOOKUP(F811,编号表!$E$1:$G$8,2,0))&amp;G811&amp;"_"&amp;H811&amp;"_"&amp;I811</f>
        <v>12N3_4_11</v>
      </c>
      <c r="E811" s="2">
        <v>12</v>
      </c>
      <c r="F811" s="2" t="s">
        <v>174</v>
      </c>
      <c r="G811" s="2">
        <v>3</v>
      </c>
      <c r="H811" s="2">
        <v>4</v>
      </c>
      <c r="I811" s="2">
        <f>COUNTIFS($E$3:E811,E811,$H$3:H811,H811)</f>
        <v>11</v>
      </c>
      <c r="N811" s="11">
        <v>1012201</v>
      </c>
      <c r="O811" s="11">
        <v>1012301</v>
      </c>
      <c r="P811" s="11">
        <v>1012401</v>
      </c>
      <c r="Q811" s="11">
        <v>1012501</v>
      </c>
      <c r="R811" s="11">
        <v>1012601</v>
      </c>
    </row>
    <row r="812" spans="1:18">
      <c r="A812" s="11">
        <f t="shared" si="15"/>
        <v>70124501</v>
      </c>
      <c r="B812" s="14" t="s">
        <v>968</v>
      </c>
      <c r="D812" s="2" t="str">
        <f>E812&amp;(VLOOKUP(F812,编号表!$E$1:$G$8,2,0))&amp;G812&amp;"_"&amp;H812&amp;"_"&amp;I812</f>
        <v>12N4_5_1</v>
      </c>
      <c r="E812" s="2">
        <v>12</v>
      </c>
      <c r="F812" s="2" t="s">
        <v>174</v>
      </c>
      <c r="G812" s="2">
        <v>4</v>
      </c>
      <c r="H812" s="2">
        <v>5</v>
      </c>
      <c r="I812" s="2">
        <f>COUNTIFS($E$3:E812,E812,$H$3:H812,H812)</f>
        <v>1</v>
      </c>
      <c r="N812" s="11">
        <v>1012201</v>
      </c>
      <c r="O812" s="11">
        <v>1012301</v>
      </c>
      <c r="P812" s="11">
        <v>1012401</v>
      </c>
      <c r="Q812" s="11">
        <v>1012501</v>
      </c>
      <c r="R812" s="11">
        <v>1012601</v>
      </c>
    </row>
    <row r="813" spans="1:18">
      <c r="A813" s="11">
        <f t="shared" si="15"/>
        <v>70124502</v>
      </c>
      <c r="B813" s="14" t="s">
        <v>969</v>
      </c>
      <c r="D813" s="2" t="str">
        <f>E813&amp;(VLOOKUP(F813,编号表!$E$1:$G$8,2,0))&amp;G813&amp;"_"&amp;H813&amp;"_"&amp;I813</f>
        <v>12N4_5_2</v>
      </c>
      <c r="E813" s="2">
        <v>12</v>
      </c>
      <c r="F813" s="2" t="s">
        <v>174</v>
      </c>
      <c r="G813" s="2">
        <v>4</v>
      </c>
      <c r="H813" s="2">
        <v>5</v>
      </c>
      <c r="I813" s="2">
        <f>COUNTIFS($E$3:E813,E813,$H$3:H813,H813)</f>
        <v>2</v>
      </c>
      <c r="N813" s="11">
        <v>1012201</v>
      </c>
      <c r="O813" s="11">
        <v>1012301</v>
      </c>
      <c r="P813" s="11">
        <v>1012401</v>
      </c>
      <c r="Q813" s="11">
        <v>1012501</v>
      </c>
      <c r="R813" s="11">
        <v>1012601</v>
      </c>
    </row>
    <row r="814" spans="1:18">
      <c r="A814" s="11">
        <f t="shared" si="15"/>
        <v>70123503</v>
      </c>
      <c r="B814" s="14" t="s">
        <v>970</v>
      </c>
      <c r="D814" s="2" t="str">
        <f>E814&amp;(VLOOKUP(F814,编号表!$E$1:$G$8,2,0))&amp;G814&amp;"_"&amp;H814&amp;"_"&amp;I814</f>
        <v>12N3_5_3</v>
      </c>
      <c r="E814" s="2">
        <v>12</v>
      </c>
      <c r="F814" s="2" t="s">
        <v>174</v>
      </c>
      <c r="G814" s="2">
        <v>3</v>
      </c>
      <c r="H814" s="2">
        <v>5</v>
      </c>
      <c r="I814" s="2">
        <f>COUNTIFS($E$3:E814,E814,$H$3:H814,H814)</f>
        <v>3</v>
      </c>
      <c r="N814" s="11">
        <v>1012201</v>
      </c>
      <c r="O814" s="11">
        <v>1012301</v>
      </c>
      <c r="P814" s="11">
        <v>1012401</v>
      </c>
      <c r="Q814" s="11">
        <v>1012501</v>
      </c>
      <c r="R814" s="11">
        <v>1012601</v>
      </c>
    </row>
    <row r="815" spans="1:18">
      <c r="A815" s="11">
        <f t="shared" si="15"/>
        <v>70123504</v>
      </c>
      <c r="B815" s="14" t="s">
        <v>971</v>
      </c>
      <c r="D815" s="2" t="str">
        <f>E815&amp;(VLOOKUP(F815,编号表!$E$1:$G$8,2,0))&amp;G815&amp;"_"&amp;H815&amp;"_"&amp;I815</f>
        <v>12N3_5_4</v>
      </c>
      <c r="E815" s="2">
        <v>12</v>
      </c>
      <c r="F815" s="2" t="s">
        <v>174</v>
      </c>
      <c r="G815" s="2">
        <v>3</v>
      </c>
      <c r="H815" s="2">
        <v>5</v>
      </c>
      <c r="I815" s="2">
        <f>COUNTIFS($E$3:E815,E815,$H$3:H815,H815)</f>
        <v>4</v>
      </c>
      <c r="N815" s="11">
        <v>1012201</v>
      </c>
      <c r="O815" s="11">
        <v>1012301</v>
      </c>
      <c r="P815" s="11">
        <v>1012401</v>
      </c>
      <c r="Q815" s="11">
        <v>1012501</v>
      </c>
      <c r="R815" s="11">
        <v>1012601</v>
      </c>
    </row>
    <row r="816" spans="1:18">
      <c r="A816" s="11">
        <f t="shared" si="15"/>
        <v>70124505</v>
      </c>
      <c r="B816" s="14" t="s">
        <v>972</v>
      </c>
      <c r="D816" s="2" t="str">
        <f>E816&amp;(VLOOKUP(F816,编号表!$E$1:$G$8,2,0))&amp;G816&amp;"_"&amp;H816&amp;"_"&amp;I816</f>
        <v>12N4_5_5</v>
      </c>
      <c r="E816" s="2">
        <v>12</v>
      </c>
      <c r="F816" s="2" t="s">
        <v>174</v>
      </c>
      <c r="G816" s="2">
        <v>4</v>
      </c>
      <c r="H816" s="2">
        <v>5</v>
      </c>
      <c r="I816" s="2">
        <f>COUNTIFS($E$3:E816,E816,$H$3:H816,H816)</f>
        <v>5</v>
      </c>
      <c r="N816" s="11">
        <v>1012201</v>
      </c>
      <c r="O816" s="11">
        <v>1012301</v>
      </c>
      <c r="P816" s="11">
        <v>1012401</v>
      </c>
      <c r="Q816" s="11">
        <v>1012501</v>
      </c>
      <c r="R816" s="11">
        <v>1012601</v>
      </c>
    </row>
    <row r="817" spans="1:19">
      <c r="A817" s="11">
        <f t="shared" si="15"/>
        <v>70122506</v>
      </c>
      <c r="B817" s="14" t="s">
        <v>973</v>
      </c>
      <c r="D817" s="2" t="str">
        <f>E817&amp;(VLOOKUP(F817,编号表!$E$1:$G$8,2,0))&amp;G817&amp;"_"&amp;H817&amp;"_"&amp;I817</f>
        <v>12N2_5_6</v>
      </c>
      <c r="E817" s="2">
        <v>12</v>
      </c>
      <c r="F817" s="2" t="s">
        <v>174</v>
      </c>
      <c r="G817" s="2">
        <v>2</v>
      </c>
      <c r="H817" s="2">
        <v>5</v>
      </c>
      <c r="I817" s="2">
        <f>COUNTIFS($E$3:E817,E817,$H$3:H817,H817)</f>
        <v>6</v>
      </c>
      <c r="N817" s="11">
        <v>1012201</v>
      </c>
      <c r="O817" s="11">
        <v>1012301</v>
      </c>
      <c r="P817" s="11">
        <v>1012401</v>
      </c>
      <c r="Q817" s="11">
        <v>1012501</v>
      </c>
      <c r="R817" s="11">
        <v>1012601</v>
      </c>
    </row>
    <row r="818" spans="1:19">
      <c r="A818" s="11">
        <f t="shared" si="15"/>
        <v>70122507</v>
      </c>
      <c r="B818" s="14" t="s">
        <v>974</v>
      </c>
      <c r="D818" s="2" t="str">
        <f>E818&amp;(VLOOKUP(F818,编号表!$E$1:$G$8,2,0))&amp;G818&amp;"_"&amp;H818&amp;"_"&amp;I818</f>
        <v>12N2_5_7</v>
      </c>
      <c r="E818" s="2">
        <v>12</v>
      </c>
      <c r="F818" s="2" t="s">
        <v>174</v>
      </c>
      <c r="G818" s="2">
        <v>2</v>
      </c>
      <c r="H818" s="2">
        <v>5</v>
      </c>
      <c r="I818" s="2">
        <f>COUNTIFS($E$3:E818,E818,$H$3:H818,H818)</f>
        <v>7</v>
      </c>
      <c r="N818" s="11">
        <v>1012201</v>
      </c>
      <c r="O818" s="11">
        <v>1012301</v>
      </c>
      <c r="P818" s="11">
        <v>1012401</v>
      </c>
      <c r="Q818" s="11">
        <v>1012501</v>
      </c>
      <c r="R818" s="11">
        <v>1012601</v>
      </c>
    </row>
    <row r="819" spans="1:19">
      <c r="A819" s="11">
        <f t="shared" si="15"/>
        <v>70124508</v>
      </c>
      <c r="B819" s="14" t="s">
        <v>975</v>
      </c>
      <c r="D819" s="2" t="str">
        <f>E819&amp;(VLOOKUP(F819,编号表!$E$1:$G$8,2,0))&amp;G819&amp;"_"&amp;H819&amp;"_"&amp;I819</f>
        <v>12N4_5_8</v>
      </c>
      <c r="E819" s="2">
        <v>12</v>
      </c>
      <c r="F819" s="2" t="s">
        <v>174</v>
      </c>
      <c r="G819" s="2">
        <v>4</v>
      </c>
      <c r="H819" s="2">
        <v>5</v>
      </c>
      <c r="I819" s="2">
        <f>COUNTIFS($E$3:E819,E819,$H$3:H819,H819)</f>
        <v>8</v>
      </c>
      <c r="N819" s="11">
        <v>1012201</v>
      </c>
      <c r="O819" s="11">
        <v>1012301</v>
      </c>
      <c r="P819" s="11">
        <v>1012401</v>
      </c>
      <c r="Q819" s="11">
        <v>1012501</v>
      </c>
      <c r="R819" s="11">
        <v>1012601</v>
      </c>
    </row>
    <row r="820" spans="1:19">
      <c r="A820" s="11">
        <f t="shared" si="15"/>
        <v>70123509</v>
      </c>
      <c r="B820" s="14" t="s">
        <v>976</v>
      </c>
      <c r="D820" s="2" t="str">
        <f>E820&amp;(VLOOKUP(F820,编号表!$E$1:$G$8,2,0))&amp;G820&amp;"_"&amp;H820&amp;"_"&amp;I820</f>
        <v>12N3_5_9</v>
      </c>
      <c r="E820" s="2">
        <v>12</v>
      </c>
      <c r="F820" s="2" t="s">
        <v>174</v>
      </c>
      <c r="G820" s="2">
        <v>3</v>
      </c>
      <c r="H820" s="2">
        <v>5</v>
      </c>
      <c r="I820" s="2">
        <f>COUNTIFS($E$3:E820,E820,$H$3:H820,H820)</f>
        <v>9</v>
      </c>
      <c r="N820" s="11">
        <v>1012201</v>
      </c>
      <c r="O820" s="11">
        <v>1012301</v>
      </c>
      <c r="P820" s="11">
        <v>1012401</v>
      </c>
      <c r="Q820" s="11">
        <v>1012501</v>
      </c>
      <c r="R820" s="11">
        <v>1012601</v>
      </c>
    </row>
    <row r="821" spans="1:19">
      <c r="A821" s="11">
        <f t="shared" si="15"/>
        <v>70124601</v>
      </c>
      <c r="B821" s="14" t="s">
        <v>977</v>
      </c>
      <c r="D821" s="2" t="str">
        <f>E821&amp;(VLOOKUP(F821,编号表!$E$1:$G$8,2,0))&amp;G821&amp;"_"&amp;H821&amp;"_"&amp;I821</f>
        <v>12N4_6_1</v>
      </c>
      <c r="E821" s="2">
        <v>12</v>
      </c>
      <c r="F821" s="2" t="s">
        <v>174</v>
      </c>
      <c r="G821" s="2">
        <v>4</v>
      </c>
      <c r="H821" s="2">
        <v>6</v>
      </c>
      <c r="I821" s="2">
        <f>COUNTIFS($E$3:E821,E821,$H$3:H821,H821)</f>
        <v>1</v>
      </c>
      <c r="N821" s="11">
        <v>1012201</v>
      </c>
      <c r="O821" s="11">
        <v>1012301</v>
      </c>
      <c r="P821" s="11">
        <v>1012401</v>
      </c>
      <c r="Q821" s="11">
        <v>1012501</v>
      </c>
      <c r="R821" s="11">
        <v>1012601</v>
      </c>
    </row>
    <row r="822" spans="1:19">
      <c r="A822" s="11">
        <f t="shared" si="15"/>
        <v>70123602</v>
      </c>
      <c r="B822" s="14" t="s">
        <v>978</v>
      </c>
      <c r="D822" s="2" t="str">
        <f>E822&amp;(VLOOKUP(F822,编号表!$E$1:$G$8,2,0))&amp;G822&amp;"_"&amp;H822&amp;"_"&amp;I822</f>
        <v>12N3_6_2</v>
      </c>
      <c r="E822" s="2">
        <v>12</v>
      </c>
      <c r="F822" s="2" t="s">
        <v>174</v>
      </c>
      <c r="G822" s="2">
        <v>3</v>
      </c>
      <c r="H822" s="2">
        <v>6</v>
      </c>
      <c r="I822" s="2">
        <f>COUNTIFS($E$3:E822,E822,$H$3:H822,H822)</f>
        <v>2</v>
      </c>
      <c r="N822" s="11">
        <v>1012201</v>
      </c>
      <c r="O822" s="11">
        <v>1012301</v>
      </c>
      <c r="P822" s="11">
        <v>1012401</v>
      </c>
      <c r="Q822" s="11">
        <v>1012501</v>
      </c>
      <c r="R822" s="11">
        <v>1012601</v>
      </c>
    </row>
    <row r="823" spans="1:19">
      <c r="A823" s="11">
        <f t="shared" si="15"/>
        <v>70123603</v>
      </c>
      <c r="B823" s="14" t="s">
        <v>979</v>
      </c>
      <c r="D823" s="2" t="str">
        <f>E823&amp;(VLOOKUP(F823,编号表!$E$1:$G$8,2,0))&amp;G823&amp;"_"&amp;H823&amp;"_"&amp;I823</f>
        <v>12N3_6_3</v>
      </c>
      <c r="E823" s="2">
        <v>12</v>
      </c>
      <c r="F823" s="2" t="s">
        <v>174</v>
      </c>
      <c r="G823" s="2">
        <v>3</v>
      </c>
      <c r="H823" s="2">
        <v>6</v>
      </c>
      <c r="I823" s="2">
        <f>COUNTIFS($E$3:E823,E823,$H$3:H823,H823)</f>
        <v>3</v>
      </c>
      <c r="N823" s="11">
        <v>1012201</v>
      </c>
      <c r="O823" s="11">
        <v>1012301</v>
      </c>
      <c r="P823" s="11">
        <v>1012401</v>
      </c>
      <c r="Q823" s="11">
        <v>1012501</v>
      </c>
      <c r="R823" s="11">
        <v>1012601</v>
      </c>
    </row>
    <row r="824" spans="1:19">
      <c r="A824" s="11">
        <f t="shared" si="15"/>
        <v>70123604</v>
      </c>
      <c r="B824" s="14" t="s">
        <v>980</v>
      </c>
      <c r="D824" s="2" t="str">
        <f>E824&amp;(VLOOKUP(F824,编号表!$E$1:$G$8,2,0))&amp;G824&amp;"_"&amp;H824&amp;"_"&amp;I824</f>
        <v>12N3_6_4</v>
      </c>
      <c r="E824" s="2">
        <v>12</v>
      </c>
      <c r="F824" s="2" t="s">
        <v>174</v>
      </c>
      <c r="G824" s="2">
        <v>3</v>
      </c>
      <c r="H824" s="2">
        <v>6</v>
      </c>
      <c r="I824" s="2">
        <f>COUNTIFS($E$3:E824,E824,$H$3:H824,H824)</f>
        <v>4</v>
      </c>
      <c r="N824" s="11">
        <v>1012201</v>
      </c>
      <c r="O824" s="11">
        <v>1012301</v>
      </c>
      <c r="P824" s="11">
        <v>1012401</v>
      </c>
      <c r="Q824" s="11">
        <v>1012501</v>
      </c>
      <c r="R824" s="11">
        <v>1012601</v>
      </c>
    </row>
    <row r="825" spans="1:19">
      <c r="A825" s="11">
        <f t="shared" si="15"/>
        <v>70123605</v>
      </c>
      <c r="B825" s="14" t="s">
        <v>981</v>
      </c>
      <c r="D825" s="2" t="str">
        <f>E825&amp;(VLOOKUP(F825,编号表!$E$1:$G$8,2,0))&amp;G825&amp;"_"&amp;H825&amp;"_"&amp;I825</f>
        <v>12N3_6_5</v>
      </c>
      <c r="E825" s="2">
        <v>12</v>
      </c>
      <c r="F825" s="2" t="s">
        <v>174</v>
      </c>
      <c r="G825" s="2">
        <v>3</v>
      </c>
      <c r="H825" s="2">
        <v>6</v>
      </c>
      <c r="I825" s="2">
        <f>COUNTIFS($E$3:E825,E825,$H$3:H825,H825)</f>
        <v>5</v>
      </c>
      <c r="N825" s="11">
        <v>1012201</v>
      </c>
      <c r="O825" s="11">
        <v>1012301</v>
      </c>
      <c r="P825" s="11">
        <v>1012401</v>
      </c>
      <c r="Q825" s="11">
        <v>1012501</v>
      </c>
      <c r="R825" s="11">
        <v>1012601</v>
      </c>
    </row>
    <row r="826" spans="1:19">
      <c r="A826" s="11">
        <f t="shared" ref="A826:A889" si="16">70000000+E826*10000+G826*1000+H826*100+I826</f>
        <v>70123606</v>
      </c>
      <c r="B826" s="14" t="s">
        <v>982</v>
      </c>
      <c r="D826" s="2" t="str">
        <f>E826&amp;(VLOOKUP(F826,编号表!$E$1:$G$8,2,0))&amp;G826&amp;"_"&amp;H826&amp;"_"&amp;I826</f>
        <v>12N3_6_6</v>
      </c>
      <c r="E826" s="2">
        <v>12</v>
      </c>
      <c r="F826" s="2" t="s">
        <v>174</v>
      </c>
      <c r="G826" s="2">
        <v>3</v>
      </c>
      <c r="H826" s="2">
        <v>6</v>
      </c>
      <c r="I826" s="2">
        <f>COUNTIFS($E$3:E826,E826,$H$3:H826,H826)</f>
        <v>6</v>
      </c>
      <c r="N826" s="11">
        <v>1012201</v>
      </c>
      <c r="O826" s="11">
        <v>1012301</v>
      </c>
      <c r="P826" s="11">
        <v>1012401</v>
      </c>
      <c r="Q826" s="11">
        <v>1012501</v>
      </c>
      <c r="R826" s="11">
        <v>1012601</v>
      </c>
    </row>
    <row r="827" spans="1:19">
      <c r="A827" s="11">
        <f t="shared" si="16"/>
        <v>70123607</v>
      </c>
      <c r="B827" s="14" t="s">
        <v>983</v>
      </c>
      <c r="D827" s="2" t="str">
        <f>E827&amp;(VLOOKUP(F827,编号表!$E$1:$G$8,2,0))&amp;G827&amp;"_"&amp;H827&amp;"_"&amp;I827</f>
        <v>12N3_6_7</v>
      </c>
      <c r="E827" s="2">
        <v>12</v>
      </c>
      <c r="F827" s="2" t="s">
        <v>174</v>
      </c>
      <c r="G827" s="2">
        <v>3</v>
      </c>
      <c r="H827" s="2">
        <v>6</v>
      </c>
      <c r="I827" s="2">
        <f>COUNTIFS($E$3:E827,E827,$H$3:H827,H827)</f>
        <v>7</v>
      </c>
      <c r="N827" s="11">
        <v>1012201</v>
      </c>
      <c r="O827" s="11">
        <v>1012301</v>
      </c>
      <c r="P827" s="11">
        <v>1012401</v>
      </c>
      <c r="Q827" s="11">
        <v>1012501</v>
      </c>
      <c r="R827" s="11">
        <v>1012601</v>
      </c>
    </row>
    <row r="828" spans="1:19">
      <c r="A828" s="11">
        <f t="shared" si="16"/>
        <v>70123608</v>
      </c>
      <c r="B828" s="14" t="s">
        <v>984</v>
      </c>
      <c r="D828" s="2" t="str">
        <f>E828&amp;(VLOOKUP(F828,编号表!$E$1:$G$8,2,0))&amp;G828&amp;"_"&amp;H828&amp;"_"&amp;I828</f>
        <v>12N3_6_8</v>
      </c>
      <c r="E828" s="2">
        <v>12</v>
      </c>
      <c r="F828" s="2" t="s">
        <v>174</v>
      </c>
      <c r="G828" s="2">
        <v>3</v>
      </c>
      <c r="H828" s="2">
        <v>6</v>
      </c>
      <c r="I828" s="2">
        <f>COUNTIFS($E$3:E828,E828,$H$3:H828,H828)</f>
        <v>8</v>
      </c>
      <c r="N828" s="11">
        <v>1012201</v>
      </c>
      <c r="O828" s="11">
        <v>1012301</v>
      </c>
      <c r="P828" s="11">
        <v>1012401</v>
      </c>
      <c r="Q828" s="11">
        <v>1012501</v>
      </c>
      <c r="R828" s="11">
        <v>1012601</v>
      </c>
    </row>
    <row r="829" spans="1:19">
      <c r="A829" s="11">
        <f t="shared" si="16"/>
        <v>70123609</v>
      </c>
      <c r="B829" s="14" t="s">
        <v>985</v>
      </c>
      <c r="D829" s="2" t="str">
        <f>E829&amp;(VLOOKUP(F829,编号表!$E$1:$G$8,2,0))&amp;G829&amp;"_"&amp;H829&amp;"_"&amp;I829</f>
        <v>12N3_6_9</v>
      </c>
      <c r="E829" s="2">
        <v>12</v>
      </c>
      <c r="F829" s="2" t="s">
        <v>174</v>
      </c>
      <c r="G829" s="2">
        <v>3</v>
      </c>
      <c r="H829" s="2">
        <v>6</v>
      </c>
      <c r="I829" s="2">
        <f>COUNTIFS($E$3:E829,E829,$H$3:H829,H829)</f>
        <v>9</v>
      </c>
      <c r="N829" s="11">
        <v>1012201</v>
      </c>
      <c r="O829" s="11">
        <v>1012301</v>
      </c>
      <c r="P829" s="11">
        <v>1012401</v>
      </c>
      <c r="Q829" s="11">
        <v>1012501</v>
      </c>
      <c r="R829" s="11">
        <v>1012601</v>
      </c>
    </row>
    <row r="830" spans="1:19">
      <c r="A830" s="11">
        <f t="shared" si="16"/>
        <v>70123610</v>
      </c>
      <c r="B830" s="14" t="s">
        <v>986</v>
      </c>
      <c r="D830" s="2" t="str">
        <f>E830&amp;(VLOOKUP(F830,编号表!$E$1:$G$8,2,0))&amp;G830&amp;"_"&amp;H830&amp;"_"&amp;I830</f>
        <v>12N3_6_10</v>
      </c>
      <c r="E830" s="2">
        <v>12</v>
      </c>
      <c r="F830" s="2" t="s">
        <v>174</v>
      </c>
      <c r="G830" s="2">
        <v>3</v>
      </c>
      <c r="H830" s="2">
        <v>6</v>
      </c>
      <c r="I830" s="2">
        <f>COUNTIFS($E$3:E830,E830,$H$3:H830,H830)</f>
        <v>10</v>
      </c>
      <c r="N830" s="11">
        <v>1012201</v>
      </c>
      <c r="O830" s="11">
        <v>1012301</v>
      </c>
      <c r="P830" s="11">
        <v>1012401</v>
      </c>
      <c r="Q830" s="11">
        <v>1012501</v>
      </c>
      <c r="R830" s="11">
        <v>1012601</v>
      </c>
    </row>
    <row r="831" spans="1:19">
      <c r="A831" s="11">
        <f t="shared" si="16"/>
        <v>70122611</v>
      </c>
      <c r="B831" s="14" t="s">
        <v>987</v>
      </c>
      <c r="D831" s="2" t="str">
        <f>E831&amp;(VLOOKUP(F831,编号表!$E$1:$G$8,2,0))&amp;G831&amp;"_"&amp;H831&amp;"_"&amp;I831</f>
        <v>12N2_6_11</v>
      </c>
      <c r="E831" s="2">
        <v>12</v>
      </c>
      <c r="F831" s="2" t="s">
        <v>174</v>
      </c>
      <c r="G831" s="2">
        <v>2</v>
      </c>
      <c r="H831" s="2">
        <v>6</v>
      </c>
      <c r="I831" s="2">
        <f>COUNTIFS($E$3:E831,E831,$H$3:H831,H831)</f>
        <v>11</v>
      </c>
      <c r="N831" s="11">
        <v>1012201</v>
      </c>
      <c r="O831" s="11">
        <v>1012301</v>
      </c>
      <c r="P831" s="11">
        <v>1012401</v>
      </c>
      <c r="Q831" s="11">
        <v>1012501</v>
      </c>
      <c r="R831" s="11">
        <v>1012601</v>
      </c>
      <c r="S831" s="19"/>
    </row>
    <row r="832" spans="1:19">
      <c r="A832" s="11">
        <f t="shared" si="16"/>
        <v>70123612</v>
      </c>
      <c r="B832" s="16" t="s">
        <v>19</v>
      </c>
      <c r="C832" s="2" t="s">
        <v>228</v>
      </c>
      <c r="D832" s="2" t="str">
        <f>E832&amp;(VLOOKUP(F832,编号表!$E$1:$G$8,2,0))&amp;G832&amp;"_"&amp;H832&amp;"_"&amp;I832</f>
        <v>12T3_6_12</v>
      </c>
      <c r="E832" s="2">
        <v>12</v>
      </c>
      <c r="F832" s="2" t="s">
        <v>190</v>
      </c>
      <c r="G832" s="2">
        <v>3</v>
      </c>
      <c r="H832" s="2">
        <v>6</v>
      </c>
      <c r="I832" s="2">
        <f>COUNTIFS($E$3:E832,E832,$H$3:H832,H832)</f>
        <v>12</v>
      </c>
      <c r="L832" s="2">
        <v>125</v>
      </c>
      <c r="S832" s="19"/>
    </row>
    <row r="833" spans="1:19">
      <c r="A833" s="11">
        <f t="shared" si="16"/>
        <v>70121613</v>
      </c>
      <c r="B833" s="15" t="s">
        <v>227</v>
      </c>
      <c r="D833" s="2" t="str">
        <f>E833&amp;(VLOOKUP(F833,编号表!$E$1:$G$8,2,0))&amp;G833&amp;"_"&amp;H833&amp;"_"&amp;I833</f>
        <v>12T1_6_13</v>
      </c>
      <c r="E833" s="2">
        <v>12</v>
      </c>
      <c r="F833" s="2" t="s">
        <v>190</v>
      </c>
      <c r="G833" s="2">
        <v>1</v>
      </c>
      <c r="H833" s="2">
        <v>6</v>
      </c>
      <c r="I833" s="2">
        <f>COUNTIFS($E$3:E833,E833,$H$3:H833,H833)</f>
        <v>13</v>
      </c>
      <c r="K833" s="2">
        <v>1</v>
      </c>
      <c r="S833" s="20"/>
    </row>
    <row r="834" spans="1:19">
      <c r="A834" s="11">
        <f t="shared" si="16"/>
        <v>70122614</v>
      </c>
      <c r="B834" s="14" t="s">
        <v>988</v>
      </c>
      <c r="D834" s="2" t="str">
        <f>E834&amp;(VLOOKUP(F834,编号表!$E$1:$G$8,2,0))&amp;G834&amp;"_"&amp;H834&amp;"_"&amp;I834</f>
        <v>12N2_6_14</v>
      </c>
      <c r="E834" s="2">
        <v>12</v>
      </c>
      <c r="F834" s="2" t="s">
        <v>174</v>
      </c>
      <c r="G834" s="2">
        <v>2</v>
      </c>
      <c r="H834" s="2">
        <v>6</v>
      </c>
      <c r="I834" s="2">
        <f>COUNTIFS($E$3:E834,E834,$H$3:H834,H834)</f>
        <v>14</v>
      </c>
      <c r="N834" s="11">
        <v>1012201</v>
      </c>
      <c r="O834" s="11">
        <v>1012301</v>
      </c>
      <c r="P834" s="11">
        <v>1012401</v>
      </c>
      <c r="Q834" s="11">
        <v>1012501</v>
      </c>
      <c r="R834" s="11">
        <v>1012601</v>
      </c>
    </row>
    <row r="835" spans="1:19">
      <c r="A835" s="11">
        <f t="shared" si="16"/>
        <v>70123615</v>
      </c>
      <c r="B835" s="14" t="s">
        <v>989</v>
      </c>
      <c r="D835" s="2" t="str">
        <f>E835&amp;(VLOOKUP(F835,编号表!$E$1:$G$8,2,0))&amp;G835&amp;"_"&amp;H835&amp;"_"&amp;I835</f>
        <v>12N3_6_15</v>
      </c>
      <c r="E835" s="2">
        <v>12</v>
      </c>
      <c r="F835" s="2" t="s">
        <v>174</v>
      </c>
      <c r="G835" s="2">
        <v>3</v>
      </c>
      <c r="H835" s="2">
        <v>6</v>
      </c>
      <c r="I835" s="2">
        <f>COUNTIFS($E$3:E835,E835,$H$3:H835,H835)</f>
        <v>15</v>
      </c>
      <c r="N835" s="11">
        <v>1012201</v>
      </c>
      <c r="O835" s="11">
        <v>1012301</v>
      </c>
      <c r="P835" s="11">
        <v>1012401</v>
      </c>
      <c r="Q835" s="11">
        <v>1012501</v>
      </c>
      <c r="R835" s="11">
        <v>1012601</v>
      </c>
    </row>
    <row r="836" spans="1:19">
      <c r="A836" s="11">
        <f t="shared" si="16"/>
        <v>70123616</v>
      </c>
      <c r="B836" s="14" t="s">
        <v>990</v>
      </c>
      <c r="D836" s="2" t="str">
        <f>E836&amp;(VLOOKUP(F836,编号表!$E$1:$G$8,2,0))&amp;G836&amp;"_"&amp;H836&amp;"_"&amp;I836</f>
        <v>12N3_6_16</v>
      </c>
      <c r="E836" s="2">
        <v>12</v>
      </c>
      <c r="F836" s="2" t="s">
        <v>174</v>
      </c>
      <c r="G836" s="2">
        <v>3</v>
      </c>
      <c r="H836" s="2">
        <v>6</v>
      </c>
      <c r="I836" s="2">
        <f>COUNTIFS($E$3:E836,E836,$H$3:H836,H836)</f>
        <v>16</v>
      </c>
      <c r="N836" s="11">
        <v>1012201</v>
      </c>
      <c r="O836" s="11">
        <v>1012301</v>
      </c>
      <c r="P836" s="11">
        <v>1012401</v>
      </c>
      <c r="Q836" s="11">
        <v>1012501</v>
      </c>
      <c r="R836" s="11">
        <v>1012601</v>
      </c>
    </row>
    <row r="837" spans="1:19">
      <c r="A837" s="11">
        <f t="shared" si="16"/>
        <v>70123617</v>
      </c>
      <c r="B837" s="14" t="s">
        <v>991</v>
      </c>
      <c r="D837" s="2" t="str">
        <f>E837&amp;(VLOOKUP(F837,编号表!$E$1:$G$8,2,0))&amp;G837&amp;"_"&amp;H837&amp;"_"&amp;I837</f>
        <v>12N3_6_17</v>
      </c>
      <c r="E837" s="2">
        <v>12</v>
      </c>
      <c r="F837" s="2" t="s">
        <v>174</v>
      </c>
      <c r="G837" s="2">
        <v>3</v>
      </c>
      <c r="H837" s="2">
        <v>6</v>
      </c>
      <c r="I837" s="2">
        <f>COUNTIFS($E$3:E837,E837,$H$3:H837,H837)</f>
        <v>17</v>
      </c>
      <c r="N837" s="11">
        <v>1012201</v>
      </c>
      <c r="O837" s="11">
        <v>1012301</v>
      </c>
      <c r="P837" s="11">
        <v>1012401</v>
      </c>
      <c r="Q837" s="11">
        <v>1012501</v>
      </c>
      <c r="R837" s="11">
        <v>1012601</v>
      </c>
    </row>
    <row r="838" spans="1:19">
      <c r="A838" s="11">
        <f t="shared" si="16"/>
        <v>70123618</v>
      </c>
      <c r="B838" s="14" t="s">
        <v>992</v>
      </c>
      <c r="D838" s="2" t="str">
        <f>E838&amp;(VLOOKUP(F838,编号表!$E$1:$G$8,2,0))&amp;G838&amp;"_"&amp;H838&amp;"_"&amp;I838</f>
        <v>12N3_6_18</v>
      </c>
      <c r="E838" s="2">
        <v>12</v>
      </c>
      <c r="F838" s="2" t="s">
        <v>174</v>
      </c>
      <c r="G838" s="2">
        <v>3</v>
      </c>
      <c r="H838" s="2">
        <v>6</v>
      </c>
      <c r="I838" s="2">
        <f>COUNTIFS($E$3:E838,E838,$H$3:H838,H838)</f>
        <v>18</v>
      </c>
      <c r="N838" s="11">
        <v>1012201</v>
      </c>
      <c r="O838" s="11">
        <v>1012301</v>
      </c>
      <c r="P838" s="11">
        <v>1012401</v>
      </c>
      <c r="Q838" s="11">
        <v>1012501</v>
      </c>
      <c r="R838" s="11">
        <v>1012601</v>
      </c>
    </row>
    <row r="839" spans="1:19">
      <c r="A839" s="11">
        <f t="shared" si="16"/>
        <v>70120001</v>
      </c>
      <c r="B839" s="18" t="s">
        <v>993</v>
      </c>
      <c r="D839" s="2" t="str">
        <f>E839&amp;(VLOOKUP(F839,编号表!$E$1:$G$8,2,0))&amp;G839&amp;"_"&amp;H839&amp;"_"&amp;I839</f>
        <v>12J0_0_1</v>
      </c>
      <c r="E839" s="2">
        <v>12</v>
      </c>
      <c r="F839" s="2" t="s">
        <v>222</v>
      </c>
      <c r="G839" s="2">
        <v>0</v>
      </c>
      <c r="H839" s="2">
        <v>0</v>
      </c>
      <c r="I839" s="2">
        <f>COUNTIFS($E$3:E839,E839,$H$3:H839,H839)</f>
        <v>1</v>
      </c>
      <c r="J839" s="2">
        <v>1</v>
      </c>
    </row>
    <row r="840" spans="1:19">
      <c r="A840" s="11">
        <f t="shared" si="16"/>
        <v>70134101</v>
      </c>
      <c r="B840" s="14" t="s">
        <v>994</v>
      </c>
      <c r="D840" s="2" t="str">
        <f>E840&amp;(VLOOKUP(F840,编号表!$E$1:$G$8,2,0))&amp;G840&amp;"_"&amp;H840&amp;"_"&amp;I840</f>
        <v>13N4_1_1</v>
      </c>
      <c r="E840" s="2">
        <v>13</v>
      </c>
      <c r="F840" s="2" t="s">
        <v>174</v>
      </c>
      <c r="G840" s="2">
        <v>4</v>
      </c>
      <c r="H840" s="2">
        <v>1</v>
      </c>
      <c r="I840" s="2">
        <f>COUNTIFS($E$3:E840,E840,$H$3:H840,H840)</f>
        <v>1</v>
      </c>
      <c r="N840" s="11">
        <v>1013201</v>
      </c>
      <c r="O840" s="11">
        <v>1013301</v>
      </c>
      <c r="P840" s="11">
        <v>1013401</v>
      </c>
      <c r="Q840" s="11">
        <v>1013501</v>
      </c>
      <c r="R840" s="11">
        <v>1013601</v>
      </c>
      <c r="S840" s="11">
        <v>1013001</v>
      </c>
    </row>
    <row r="841" spans="1:19">
      <c r="A841" s="11">
        <f t="shared" si="16"/>
        <v>70134102</v>
      </c>
      <c r="B841" s="14" t="s">
        <v>995</v>
      </c>
      <c r="D841" s="2" t="str">
        <f>E841&amp;(VLOOKUP(F841,编号表!$E$1:$G$8,2,0))&amp;G841&amp;"_"&amp;H841&amp;"_"&amp;I841</f>
        <v>13N4_1_2</v>
      </c>
      <c r="E841" s="2">
        <v>13</v>
      </c>
      <c r="F841" s="2" t="s">
        <v>174</v>
      </c>
      <c r="G841" s="2">
        <v>4</v>
      </c>
      <c r="H841" s="2">
        <v>1</v>
      </c>
      <c r="I841" s="2">
        <f>COUNTIFS($E$3:E841,E841,$H$3:H841,H841)</f>
        <v>2</v>
      </c>
      <c r="N841" s="11">
        <v>1013201</v>
      </c>
      <c r="O841" s="11">
        <v>1013301</v>
      </c>
      <c r="P841" s="11">
        <v>1013401</v>
      </c>
      <c r="Q841" s="11">
        <v>1013501</v>
      </c>
      <c r="R841" s="11">
        <v>1013601</v>
      </c>
      <c r="S841" s="11">
        <v>1013101</v>
      </c>
    </row>
    <row r="842" spans="1:19">
      <c r="A842" s="11">
        <f t="shared" si="16"/>
        <v>70134103</v>
      </c>
      <c r="B842" s="14" t="s">
        <v>996</v>
      </c>
      <c r="D842" s="2" t="str">
        <f>E842&amp;(VLOOKUP(F842,编号表!$E$1:$G$8,2,0))&amp;G842&amp;"_"&amp;H842&amp;"_"&amp;I842</f>
        <v>13N4_1_3</v>
      </c>
      <c r="E842" s="2">
        <v>13</v>
      </c>
      <c r="F842" s="2" t="s">
        <v>174</v>
      </c>
      <c r="G842" s="2">
        <v>4</v>
      </c>
      <c r="H842" s="2">
        <v>1</v>
      </c>
      <c r="I842" s="2">
        <f>COUNTIFS($E$3:E842,E842,$H$3:H842,H842)</f>
        <v>3</v>
      </c>
      <c r="N842" s="11">
        <v>1013201</v>
      </c>
      <c r="O842" s="11">
        <v>1013301</v>
      </c>
      <c r="P842" s="11">
        <v>1013401</v>
      </c>
      <c r="Q842" s="11">
        <v>1013501</v>
      </c>
      <c r="R842" s="11">
        <v>1013601</v>
      </c>
    </row>
    <row r="843" spans="1:19">
      <c r="A843" s="11">
        <f t="shared" si="16"/>
        <v>70134104</v>
      </c>
      <c r="B843" s="14" t="s">
        <v>997</v>
      </c>
      <c r="D843" s="2" t="str">
        <f>E843&amp;(VLOOKUP(F843,编号表!$E$1:$G$8,2,0))&amp;G843&amp;"_"&amp;H843&amp;"_"&amp;I843</f>
        <v>13N4_1_4</v>
      </c>
      <c r="E843" s="2">
        <v>13</v>
      </c>
      <c r="F843" s="2" t="s">
        <v>174</v>
      </c>
      <c r="G843" s="2">
        <v>4</v>
      </c>
      <c r="H843" s="2">
        <v>1</v>
      </c>
      <c r="I843" s="2">
        <f>COUNTIFS($E$3:E843,E843,$H$3:H843,H843)</f>
        <v>4</v>
      </c>
      <c r="N843" s="11">
        <v>1013201</v>
      </c>
      <c r="O843" s="11">
        <v>1013301</v>
      </c>
      <c r="P843" s="11">
        <v>1013401</v>
      </c>
      <c r="Q843" s="11">
        <v>1013501</v>
      </c>
      <c r="R843" s="11">
        <v>1013601</v>
      </c>
    </row>
    <row r="844" spans="1:19">
      <c r="A844" s="11">
        <f t="shared" si="16"/>
        <v>70134105</v>
      </c>
      <c r="B844" s="14" t="s">
        <v>998</v>
      </c>
      <c r="D844" s="2" t="str">
        <f>E844&amp;(VLOOKUP(F844,编号表!$E$1:$G$8,2,0))&amp;G844&amp;"_"&amp;H844&amp;"_"&amp;I844</f>
        <v>13N4_1_5</v>
      </c>
      <c r="E844" s="2">
        <v>13</v>
      </c>
      <c r="F844" s="2" t="s">
        <v>174</v>
      </c>
      <c r="G844" s="2">
        <v>4</v>
      </c>
      <c r="H844" s="2">
        <v>1</v>
      </c>
      <c r="I844" s="2">
        <f>COUNTIFS($E$3:E844,E844,$H$3:H844,H844)</f>
        <v>5</v>
      </c>
      <c r="N844" s="11">
        <v>1013201</v>
      </c>
      <c r="O844" s="11">
        <v>1013301</v>
      </c>
      <c r="P844" s="11">
        <v>1013401</v>
      </c>
      <c r="Q844" s="11">
        <v>1013501</v>
      </c>
      <c r="R844" s="11">
        <v>1013601</v>
      </c>
    </row>
    <row r="845" spans="1:19">
      <c r="A845" s="11">
        <f t="shared" si="16"/>
        <v>70134106</v>
      </c>
      <c r="B845" s="14" t="s">
        <v>999</v>
      </c>
      <c r="D845" s="2" t="str">
        <f>E845&amp;(VLOOKUP(F845,编号表!$E$1:$G$8,2,0))&amp;G845&amp;"_"&amp;H845&amp;"_"&amp;I845</f>
        <v>13N4_1_6</v>
      </c>
      <c r="E845" s="2">
        <v>13</v>
      </c>
      <c r="F845" s="2" t="s">
        <v>174</v>
      </c>
      <c r="G845" s="2">
        <v>4</v>
      </c>
      <c r="H845" s="2">
        <v>1</v>
      </c>
      <c r="I845" s="2">
        <f>COUNTIFS($E$3:E845,E845,$H$3:H845,H845)</f>
        <v>6</v>
      </c>
      <c r="N845" s="11">
        <v>1013201</v>
      </c>
      <c r="O845" s="11">
        <v>1013301</v>
      </c>
      <c r="P845" s="11">
        <v>1013401</v>
      </c>
      <c r="Q845" s="11">
        <v>1013501</v>
      </c>
      <c r="R845" s="11">
        <v>1013601</v>
      </c>
    </row>
    <row r="846" spans="1:19">
      <c r="A846" s="11">
        <f t="shared" si="16"/>
        <v>70132107</v>
      </c>
      <c r="B846" s="14" t="s">
        <v>1000</v>
      </c>
      <c r="D846" s="2" t="str">
        <f>E846&amp;(VLOOKUP(F846,编号表!$E$1:$G$8,2,0))&amp;G846&amp;"_"&amp;H846&amp;"_"&amp;I846</f>
        <v>13N2_1_7</v>
      </c>
      <c r="E846" s="2">
        <v>13</v>
      </c>
      <c r="F846" s="2" t="s">
        <v>174</v>
      </c>
      <c r="G846" s="2">
        <v>2</v>
      </c>
      <c r="H846" s="2">
        <v>1</v>
      </c>
      <c r="I846" s="2">
        <f>COUNTIFS($E$3:E846,E846,$H$3:H846,H846)</f>
        <v>7</v>
      </c>
      <c r="N846" s="11">
        <v>1013201</v>
      </c>
      <c r="O846" s="11">
        <v>1013301</v>
      </c>
      <c r="P846" s="11">
        <v>1013401</v>
      </c>
      <c r="Q846" s="11">
        <v>1013501</v>
      </c>
      <c r="R846" s="11">
        <v>1013601</v>
      </c>
    </row>
    <row r="847" spans="1:19">
      <c r="A847" s="11">
        <f t="shared" si="16"/>
        <v>70134108</v>
      </c>
      <c r="B847" s="14" t="s">
        <v>1001</v>
      </c>
      <c r="D847" s="2" t="str">
        <f>E847&amp;(VLOOKUP(F847,编号表!$E$1:$G$8,2,0))&amp;G847&amp;"_"&amp;H847&amp;"_"&amp;I847</f>
        <v>13N4_1_8</v>
      </c>
      <c r="E847" s="2">
        <v>13</v>
      </c>
      <c r="F847" s="2" t="s">
        <v>174</v>
      </c>
      <c r="G847" s="2">
        <v>4</v>
      </c>
      <c r="H847" s="2">
        <v>1</v>
      </c>
      <c r="I847" s="2">
        <f>COUNTIFS($E$3:E847,E847,$H$3:H847,H847)</f>
        <v>8</v>
      </c>
      <c r="N847" s="11">
        <v>1013201</v>
      </c>
      <c r="O847" s="11">
        <v>1013301</v>
      </c>
      <c r="P847" s="11">
        <v>1013401</v>
      </c>
      <c r="Q847" s="11">
        <v>1013501</v>
      </c>
      <c r="R847" s="11">
        <v>1013601</v>
      </c>
    </row>
    <row r="848" spans="1:19">
      <c r="A848" s="11">
        <f t="shared" si="16"/>
        <v>70134109</v>
      </c>
      <c r="B848" s="14" t="s">
        <v>1002</v>
      </c>
      <c r="D848" s="2" t="str">
        <f>E848&amp;(VLOOKUP(F848,编号表!$E$1:$G$8,2,0))&amp;G848&amp;"_"&amp;H848&amp;"_"&amp;I848</f>
        <v>13N4_1_9</v>
      </c>
      <c r="E848" s="2">
        <v>13</v>
      </c>
      <c r="F848" s="2" t="s">
        <v>174</v>
      </c>
      <c r="G848" s="2">
        <v>4</v>
      </c>
      <c r="H848" s="2">
        <v>1</v>
      </c>
      <c r="I848" s="2">
        <f>COUNTIFS($E$3:E848,E848,$H$3:H848,H848)</f>
        <v>9</v>
      </c>
      <c r="N848" s="11">
        <v>1013201</v>
      </c>
      <c r="O848" s="11">
        <v>1013301</v>
      </c>
      <c r="P848" s="11">
        <v>1013401</v>
      </c>
      <c r="Q848" s="11">
        <v>1013501</v>
      </c>
      <c r="R848" s="11">
        <v>1013601</v>
      </c>
    </row>
    <row r="849" spans="1:18">
      <c r="A849" s="11">
        <f t="shared" si="16"/>
        <v>70134110</v>
      </c>
      <c r="B849" s="14" t="s">
        <v>1003</v>
      </c>
      <c r="D849" s="2" t="str">
        <f>E849&amp;(VLOOKUP(F849,编号表!$E$1:$G$8,2,0))&amp;G849&amp;"_"&amp;H849&amp;"_"&amp;I849</f>
        <v>13N4_1_10</v>
      </c>
      <c r="E849" s="2">
        <v>13</v>
      </c>
      <c r="F849" s="2" t="s">
        <v>174</v>
      </c>
      <c r="G849" s="2">
        <v>4</v>
      </c>
      <c r="H849" s="2">
        <v>1</v>
      </c>
      <c r="I849" s="2">
        <f>COUNTIFS($E$3:E849,E849,$H$3:H849,H849)</f>
        <v>10</v>
      </c>
      <c r="N849" s="11">
        <v>1013201</v>
      </c>
      <c r="O849" s="11">
        <v>1013301</v>
      </c>
      <c r="P849" s="11">
        <v>1013401</v>
      </c>
      <c r="Q849" s="11">
        <v>1013501</v>
      </c>
      <c r="R849" s="11">
        <v>1013601</v>
      </c>
    </row>
    <row r="850" spans="1:18">
      <c r="A850" s="11">
        <f t="shared" si="16"/>
        <v>70134111</v>
      </c>
      <c r="B850" s="14" t="s">
        <v>1004</v>
      </c>
      <c r="D850" s="2" t="str">
        <f>E850&amp;(VLOOKUP(F850,编号表!$E$1:$G$8,2,0))&amp;G850&amp;"_"&amp;H850&amp;"_"&amp;I850</f>
        <v>13N4_1_11</v>
      </c>
      <c r="E850" s="2">
        <v>13</v>
      </c>
      <c r="F850" s="2" t="s">
        <v>174</v>
      </c>
      <c r="G850" s="2">
        <v>4</v>
      </c>
      <c r="H850" s="2">
        <v>1</v>
      </c>
      <c r="I850" s="2">
        <f>COUNTIFS($E$3:E850,E850,$H$3:H850,H850)</f>
        <v>11</v>
      </c>
      <c r="N850" s="11">
        <v>1013201</v>
      </c>
      <c r="O850" s="11">
        <v>1013301</v>
      </c>
      <c r="P850" s="11">
        <v>1013401</v>
      </c>
      <c r="Q850" s="11">
        <v>1013501</v>
      </c>
      <c r="R850" s="11">
        <v>1013601</v>
      </c>
    </row>
    <row r="851" spans="1:18">
      <c r="A851" s="11">
        <f t="shared" si="16"/>
        <v>70134201</v>
      </c>
      <c r="B851" s="14" t="s">
        <v>1005</v>
      </c>
      <c r="D851" s="2" t="str">
        <f>E851&amp;(VLOOKUP(F851,编号表!$E$1:$G$8,2,0))&amp;G851&amp;"_"&amp;H851&amp;"_"&amp;I851</f>
        <v>13N4_2_1</v>
      </c>
      <c r="E851" s="2">
        <v>13</v>
      </c>
      <c r="F851" s="2" t="s">
        <v>174</v>
      </c>
      <c r="G851" s="2">
        <v>4</v>
      </c>
      <c r="H851" s="2">
        <v>2</v>
      </c>
      <c r="I851" s="2">
        <f>COUNTIFS($E$3:E851,E851,$H$3:H851,H851)</f>
        <v>1</v>
      </c>
      <c r="N851" s="11">
        <v>1013201</v>
      </c>
      <c r="O851" s="11">
        <v>1013301</v>
      </c>
      <c r="P851" s="11">
        <v>1013401</v>
      </c>
      <c r="Q851" s="11">
        <v>1013501</v>
      </c>
      <c r="R851" s="11">
        <v>1013601</v>
      </c>
    </row>
    <row r="852" spans="1:18">
      <c r="A852" s="11">
        <f t="shared" si="16"/>
        <v>70133202</v>
      </c>
      <c r="B852" s="14" t="s">
        <v>1006</v>
      </c>
      <c r="D852" s="2" t="str">
        <f>E852&amp;(VLOOKUP(F852,编号表!$E$1:$G$8,2,0))&amp;G852&amp;"_"&amp;H852&amp;"_"&amp;I852</f>
        <v>13N3_2_2</v>
      </c>
      <c r="E852" s="2">
        <v>13</v>
      </c>
      <c r="F852" s="2" t="s">
        <v>174</v>
      </c>
      <c r="G852" s="2">
        <v>3</v>
      </c>
      <c r="H852" s="2">
        <v>2</v>
      </c>
      <c r="I852" s="2">
        <f>COUNTIFS($E$3:E852,E852,$H$3:H852,H852)</f>
        <v>2</v>
      </c>
      <c r="N852" s="11">
        <v>1013201</v>
      </c>
      <c r="O852" s="11">
        <v>1013301</v>
      </c>
      <c r="P852" s="11">
        <v>1013401</v>
      </c>
      <c r="Q852" s="11">
        <v>1013501</v>
      </c>
      <c r="R852" s="11">
        <v>1013601</v>
      </c>
    </row>
    <row r="853" spans="1:18">
      <c r="A853" s="11">
        <f t="shared" si="16"/>
        <v>70133203</v>
      </c>
      <c r="B853" s="14" t="s">
        <v>1007</v>
      </c>
      <c r="D853" s="2" t="str">
        <f>E853&amp;(VLOOKUP(F853,编号表!$E$1:$G$8,2,0))&amp;G853&amp;"_"&amp;H853&amp;"_"&amp;I853</f>
        <v>13N3_2_3</v>
      </c>
      <c r="E853" s="2">
        <v>13</v>
      </c>
      <c r="F853" s="2" t="s">
        <v>174</v>
      </c>
      <c r="G853" s="2">
        <v>3</v>
      </c>
      <c r="H853" s="2">
        <v>2</v>
      </c>
      <c r="I853" s="2">
        <f>COUNTIFS($E$3:E853,E853,$H$3:H853,H853)</f>
        <v>3</v>
      </c>
      <c r="N853" s="11">
        <v>1013201</v>
      </c>
      <c r="O853" s="11">
        <v>1013301</v>
      </c>
      <c r="P853" s="11">
        <v>1013401</v>
      </c>
      <c r="Q853" s="11">
        <v>1013501</v>
      </c>
      <c r="R853" s="11">
        <v>1013601</v>
      </c>
    </row>
    <row r="854" spans="1:18">
      <c r="A854" s="11">
        <f t="shared" si="16"/>
        <v>70133204</v>
      </c>
      <c r="B854" s="14" t="s">
        <v>1008</v>
      </c>
      <c r="D854" s="2" t="str">
        <f>E854&amp;(VLOOKUP(F854,编号表!$E$1:$G$8,2,0))&amp;G854&amp;"_"&amp;H854&amp;"_"&amp;I854</f>
        <v>13N3_2_4</v>
      </c>
      <c r="E854" s="2">
        <v>13</v>
      </c>
      <c r="F854" s="2" t="s">
        <v>174</v>
      </c>
      <c r="G854" s="2">
        <v>3</v>
      </c>
      <c r="H854" s="2">
        <v>2</v>
      </c>
      <c r="I854" s="2">
        <f>COUNTIFS($E$3:E854,E854,$H$3:H854,H854)</f>
        <v>4</v>
      </c>
      <c r="N854" s="11">
        <v>1013201</v>
      </c>
      <c r="O854" s="11">
        <v>1013301</v>
      </c>
      <c r="P854" s="11">
        <v>1013401</v>
      </c>
      <c r="Q854" s="11">
        <v>1013501</v>
      </c>
      <c r="R854" s="11">
        <v>1013601</v>
      </c>
    </row>
    <row r="855" spans="1:18">
      <c r="A855" s="11">
        <f t="shared" si="16"/>
        <v>70135301</v>
      </c>
      <c r="B855" s="14" t="s">
        <v>1009</v>
      </c>
      <c r="D855" s="2" t="str">
        <f>E855&amp;(VLOOKUP(F855,编号表!$E$1:$G$8,2,0))&amp;G855&amp;"_"&amp;H855&amp;"_"&amp;I855</f>
        <v>13N5_3_1</v>
      </c>
      <c r="E855" s="2">
        <v>13</v>
      </c>
      <c r="F855" s="2" t="s">
        <v>174</v>
      </c>
      <c r="G855" s="2">
        <v>5</v>
      </c>
      <c r="H855" s="2">
        <v>3</v>
      </c>
      <c r="I855" s="2">
        <f>COUNTIFS($E$3:E855,E855,$H$3:H855,H855)</f>
        <v>1</v>
      </c>
      <c r="N855" s="11">
        <v>1013201</v>
      </c>
      <c r="O855" s="11">
        <v>1013301</v>
      </c>
      <c r="P855" s="11">
        <v>1013401</v>
      </c>
      <c r="Q855" s="11">
        <v>1013501</v>
      </c>
      <c r="R855" s="11">
        <v>1013601</v>
      </c>
    </row>
    <row r="856" spans="1:18">
      <c r="A856" s="11">
        <f t="shared" si="16"/>
        <v>70134302</v>
      </c>
      <c r="B856" s="14" t="s">
        <v>1010</v>
      </c>
      <c r="D856" s="2" t="str">
        <f>E856&amp;(VLOOKUP(F856,编号表!$E$1:$G$8,2,0))&amp;G856&amp;"_"&amp;H856&amp;"_"&amp;I856</f>
        <v>13N4_3_2</v>
      </c>
      <c r="E856" s="2">
        <v>13</v>
      </c>
      <c r="F856" s="2" t="s">
        <v>174</v>
      </c>
      <c r="G856" s="2">
        <v>4</v>
      </c>
      <c r="H856" s="2">
        <v>3</v>
      </c>
      <c r="I856" s="2">
        <f>COUNTIFS($E$3:E856,E856,$H$3:H856,H856)</f>
        <v>2</v>
      </c>
      <c r="N856" s="11">
        <v>1013201</v>
      </c>
      <c r="O856" s="11">
        <v>1013301</v>
      </c>
      <c r="P856" s="11">
        <v>1013401</v>
      </c>
      <c r="Q856" s="11">
        <v>1013501</v>
      </c>
      <c r="R856" s="11">
        <v>1013601</v>
      </c>
    </row>
    <row r="857" spans="1:18">
      <c r="A857" s="11">
        <f t="shared" si="16"/>
        <v>70134303</v>
      </c>
      <c r="B857" s="14" t="s">
        <v>1011</v>
      </c>
      <c r="D857" s="2" t="str">
        <f>E857&amp;(VLOOKUP(F857,编号表!$E$1:$G$8,2,0))&amp;G857&amp;"_"&amp;H857&amp;"_"&amp;I857</f>
        <v>13N4_3_3</v>
      </c>
      <c r="E857" s="2">
        <v>13</v>
      </c>
      <c r="F857" s="2" t="s">
        <v>174</v>
      </c>
      <c r="G857" s="2">
        <v>4</v>
      </c>
      <c r="H857" s="2">
        <v>3</v>
      </c>
      <c r="I857" s="2">
        <f>COUNTIFS($E$3:E857,E857,$H$3:H857,H857)</f>
        <v>3</v>
      </c>
      <c r="N857" s="11">
        <v>1013201</v>
      </c>
      <c r="O857" s="11">
        <v>1013301</v>
      </c>
      <c r="P857" s="11">
        <v>1013401</v>
      </c>
      <c r="Q857" s="11">
        <v>1013501</v>
      </c>
      <c r="R857" s="11">
        <v>1013601</v>
      </c>
    </row>
    <row r="858" spans="1:18">
      <c r="A858" s="11">
        <f t="shared" si="16"/>
        <v>70134304</v>
      </c>
      <c r="B858" s="14" t="s">
        <v>1012</v>
      </c>
      <c r="D858" s="2" t="str">
        <f>E858&amp;(VLOOKUP(F858,编号表!$E$1:$G$8,2,0))&amp;G858&amp;"_"&amp;H858&amp;"_"&amp;I858</f>
        <v>13N4_3_4</v>
      </c>
      <c r="E858" s="2">
        <v>13</v>
      </c>
      <c r="F858" s="2" t="s">
        <v>174</v>
      </c>
      <c r="G858" s="2">
        <v>4</v>
      </c>
      <c r="H858" s="2">
        <v>3</v>
      </c>
      <c r="I858" s="2">
        <f>COUNTIFS($E$3:E858,E858,$H$3:H858,H858)</f>
        <v>4</v>
      </c>
      <c r="N858" s="11">
        <v>1013201</v>
      </c>
      <c r="O858" s="11">
        <v>1013301</v>
      </c>
      <c r="P858" s="11">
        <v>1013401</v>
      </c>
      <c r="Q858" s="11">
        <v>1013501</v>
      </c>
      <c r="R858" s="11">
        <v>1013601</v>
      </c>
    </row>
    <row r="859" spans="1:18">
      <c r="A859" s="11">
        <f t="shared" si="16"/>
        <v>70134305</v>
      </c>
      <c r="B859" s="14" t="s">
        <v>1013</v>
      </c>
      <c r="D859" s="2" t="str">
        <f>E859&amp;(VLOOKUP(F859,编号表!$E$1:$G$8,2,0))&amp;G859&amp;"_"&amp;H859&amp;"_"&amp;I859</f>
        <v>13N4_3_5</v>
      </c>
      <c r="E859" s="2">
        <v>13</v>
      </c>
      <c r="F859" s="2" t="s">
        <v>174</v>
      </c>
      <c r="G859" s="2">
        <v>4</v>
      </c>
      <c r="H859" s="2">
        <v>3</v>
      </c>
      <c r="I859" s="2">
        <f>COUNTIFS($E$3:E859,E859,$H$3:H859,H859)</f>
        <v>5</v>
      </c>
      <c r="N859" s="11">
        <v>1013201</v>
      </c>
      <c r="O859" s="11">
        <v>1013301</v>
      </c>
      <c r="P859" s="11">
        <v>1013401</v>
      </c>
      <c r="Q859" s="11">
        <v>1013501</v>
      </c>
      <c r="R859" s="11">
        <v>1013601</v>
      </c>
    </row>
    <row r="860" spans="1:18">
      <c r="A860" s="11">
        <f t="shared" si="16"/>
        <v>70131306</v>
      </c>
      <c r="B860" s="15" t="s">
        <v>1014</v>
      </c>
      <c r="C860" s="14"/>
      <c r="D860" s="2" t="str">
        <f>E860&amp;(VLOOKUP(F860,编号表!$E$1:$G$8,2,0))&amp;G860&amp;"_"&amp;H860&amp;"_"&amp;I860</f>
        <v>13T1_3_6</v>
      </c>
      <c r="E860" s="2">
        <v>13</v>
      </c>
      <c r="F860" s="2" t="s">
        <v>190</v>
      </c>
      <c r="G860" s="2">
        <v>1</v>
      </c>
      <c r="H860" s="2">
        <v>3</v>
      </c>
      <c r="I860" s="2">
        <f>COUNTIFS($E$3:E860,E860,$H$3:H860,H860)</f>
        <v>6</v>
      </c>
    </row>
    <row r="861" spans="1:18">
      <c r="A861" s="11">
        <f t="shared" si="16"/>
        <v>70133307</v>
      </c>
      <c r="B861" s="16" t="s">
        <v>55</v>
      </c>
      <c r="C861" s="14" t="s">
        <v>1015</v>
      </c>
      <c r="D861" s="2" t="str">
        <f>E861&amp;(VLOOKUP(F861,编号表!$E$1:$G$8,2,0))&amp;G861&amp;"_"&amp;H861&amp;"_"&amp;I861</f>
        <v>13T3_3_7</v>
      </c>
      <c r="E861" s="2">
        <v>13</v>
      </c>
      <c r="F861" s="2" t="s">
        <v>190</v>
      </c>
      <c r="G861" s="2">
        <v>3</v>
      </c>
      <c r="H861" s="2">
        <v>3</v>
      </c>
      <c r="I861" s="2">
        <f>COUNTIFS($E$3:E861,E861,$H$3:H861,H861)</f>
        <v>7</v>
      </c>
      <c r="L861" s="2">
        <v>128</v>
      </c>
    </row>
    <row r="862" spans="1:18">
      <c r="A862" s="11">
        <f t="shared" si="16"/>
        <v>70134308</v>
      </c>
      <c r="B862" s="14" t="s">
        <v>1016</v>
      </c>
      <c r="D862" s="2" t="str">
        <f>E862&amp;(VLOOKUP(F862,编号表!$E$1:$G$8,2,0))&amp;G862&amp;"_"&amp;H862&amp;"_"&amp;I862</f>
        <v>13N4_3_8</v>
      </c>
      <c r="E862" s="2">
        <v>13</v>
      </c>
      <c r="F862" s="2" t="s">
        <v>174</v>
      </c>
      <c r="G862" s="2">
        <v>4</v>
      </c>
      <c r="H862" s="2">
        <v>3</v>
      </c>
      <c r="I862" s="2">
        <f>COUNTIFS($E$3:E862,E862,$H$3:H862,H862)</f>
        <v>8</v>
      </c>
      <c r="N862" s="11">
        <v>1013201</v>
      </c>
      <c r="O862" s="11">
        <v>1013301</v>
      </c>
      <c r="P862" s="11">
        <v>1013401</v>
      </c>
      <c r="Q862" s="11">
        <v>1013501</v>
      </c>
      <c r="R862" s="11">
        <v>1013601</v>
      </c>
    </row>
    <row r="863" spans="1:18">
      <c r="A863" s="11">
        <f t="shared" si="16"/>
        <v>70133309</v>
      </c>
      <c r="B863" s="14" t="s">
        <v>1017</v>
      </c>
      <c r="D863" s="2" t="str">
        <f>E863&amp;(VLOOKUP(F863,编号表!$E$1:$G$8,2,0))&amp;G863&amp;"_"&amp;H863&amp;"_"&amp;I863</f>
        <v>13N3_3_9</v>
      </c>
      <c r="E863" s="2">
        <v>13</v>
      </c>
      <c r="F863" s="2" t="s">
        <v>174</v>
      </c>
      <c r="G863" s="2">
        <v>3</v>
      </c>
      <c r="H863" s="2">
        <v>3</v>
      </c>
      <c r="I863" s="2">
        <f>COUNTIFS($E$3:E863,E863,$H$3:H863,H863)</f>
        <v>9</v>
      </c>
      <c r="N863" s="11">
        <v>1013201</v>
      </c>
      <c r="O863" s="11">
        <v>1013301</v>
      </c>
      <c r="P863" s="11">
        <v>1013401</v>
      </c>
      <c r="Q863" s="11">
        <v>1013501</v>
      </c>
      <c r="R863" s="11">
        <v>1013601</v>
      </c>
    </row>
    <row r="864" spans="1:18">
      <c r="A864" s="11">
        <f t="shared" si="16"/>
        <v>70134310</v>
      </c>
      <c r="B864" s="14" t="s">
        <v>1018</v>
      </c>
      <c r="D864" s="2" t="str">
        <f>E864&amp;(VLOOKUP(F864,编号表!$E$1:$G$8,2,0))&amp;G864&amp;"_"&amp;H864&amp;"_"&amp;I864</f>
        <v>13N4_3_10</v>
      </c>
      <c r="E864" s="2">
        <v>13</v>
      </c>
      <c r="F864" s="2" t="s">
        <v>174</v>
      </c>
      <c r="G864" s="2">
        <v>4</v>
      </c>
      <c r="H864" s="2">
        <v>3</v>
      </c>
      <c r="I864" s="2">
        <f>COUNTIFS($E$3:E864,E864,$H$3:H864,H864)</f>
        <v>10</v>
      </c>
      <c r="N864" s="11">
        <v>1013201</v>
      </c>
      <c r="O864" s="11">
        <v>1013301</v>
      </c>
      <c r="P864" s="11">
        <v>1013401</v>
      </c>
      <c r="Q864" s="11">
        <v>1013501</v>
      </c>
      <c r="R864" s="11">
        <v>1013601</v>
      </c>
    </row>
    <row r="865" spans="1:18">
      <c r="A865" s="11">
        <f t="shared" si="16"/>
        <v>70134401</v>
      </c>
      <c r="B865" s="14" t="s">
        <v>1019</v>
      </c>
      <c r="D865" s="2" t="str">
        <f>E865&amp;(VLOOKUP(F865,编号表!$E$1:$G$8,2,0))&amp;G865&amp;"_"&amp;H865&amp;"_"&amp;I865</f>
        <v>13N4_4_1</v>
      </c>
      <c r="E865" s="2">
        <v>13</v>
      </c>
      <c r="F865" s="2" t="s">
        <v>174</v>
      </c>
      <c r="G865" s="2">
        <v>4</v>
      </c>
      <c r="H865" s="2">
        <v>4</v>
      </c>
      <c r="I865" s="2">
        <f>COUNTIFS($E$3:E865,E865,$H$3:H865,H865)</f>
        <v>1</v>
      </c>
      <c r="N865" s="11">
        <v>1013201</v>
      </c>
      <c r="O865" s="11">
        <v>1013301</v>
      </c>
      <c r="P865" s="11">
        <v>1013401</v>
      </c>
      <c r="Q865" s="11">
        <v>1013501</v>
      </c>
      <c r="R865" s="11">
        <v>1013601</v>
      </c>
    </row>
    <row r="866" spans="1:18">
      <c r="A866" s="11">
        <f t="shared" si="16"/>
        <v>70132402</v>
      </c>
      <c r="B866" s="14" t="s">
        <v>1020</v>
      </c>
      <c r="D866" s="2" t="str">
        <f>E866&amp;(VLOOKUP(F866,编号表!$E$1:$G$8,2,0))&amp;G866&amp;"_"&amp;H866&amp;"_"&amp;I866</f>
        <v>13N2_4_2</v>
      </c>
      <c r="E866" s="2">
        <v>13</v>
      </c>
      <c r="F866" s="2" t="s">
        <v>174</v>
      </c>
      <c r="G866" s="2">
        <v>2</v>
      </c>
      <c r="H866" s="2">
        <v>4</v>
      </c>
      <c r="I866" s="2">
        <f>COUNTIFS($E$3:E866,E866,$H$3:H866,H866)</f>
        <v>2</v>
      </c>
      <c r="N866" s="11">
        <v>1013201</v>
      </c>
      <c r="O866" s="11">
        <v>1013301</v>
      </c>
      <c r="P866" s="11">
        <v>1013401</v>
      </c>
      <c r="Q866" s="11">
        <v>1013501</v>
      </c>
      <c r="R866" s="11">
        <v>1013601</v>
      </c>
    </row>
    <row r="867" spans="1:18">
      <c r="A867" s="11">
        <f t="shared" si="16"/>
        <v>70133403</v>
      </c>
      <c r="B867" s="14" t="s">
        <v>1021</v>
      </c>
      <c r="D867" s="2" t="str">
        <f>E867&amp;(VLOOKUP(F867,编号表!$E$1:$G$8,2,0))&amp;G867&amp;"_"&amp;H867&amp;"_"&amp;I867</f>
        <v>13N3_4_3</v>
      </c>
      <c r="E867" s="2">
        <v>13</v>
      </c>
      <c r="F867" s="2" t="s">
        <v>174</v>
      </c>
      <c r="G867" s="2">
        <v>3</v>
      </c>
      <c r="H867" s="2">
        <v>4</v>
      </c>
      <c r="I867" s="2">
        <f>COUNTIFS($E$3:E867,E867,$H$3:H867,H867)</f>
        <v>3</v>
      </c>
      <c r="N867" s="11">
        <v>1013201</v>
      </c>
      <c r="O867" s="11">
        <v>1013301</v>
      </c>
      <c r="P867" s="11">
        <v>1013401</v>
      </c>
      <c r="Q867" s="11">
        <v>1013501</v>
      </c>
      <c r="R867" s="11">
        <v>1013601</v>
      </c>
    </row>
    <row r="868" spans="1:18">
      <c r="A868" s="11">
        <f t="shared" si="16"/>
        <v>70133404</v>
      </c>
      <c r="B868" s="14" t="s">
        <v>1022</v>
      </c>
      <c r="D868" s="2" t="str">
        <f>E868&amp;(VLOOKUP(F868,编号表!$E$1:$G$8,2,0))&amp;G868&amp;"_"&amp;H868&amp;"_"&amp;I868</f>
        <v>13N3_4_4</v>
      </c>
      <c r="E868" s="2">
        <v>13</v>
      </c>
      <c r="F868" s="2" t="s">
        <v>174</v>
      </c>
      <c r="G868" s="2">
        <v>3</v>
      </c>
      <c r="H868" s="2">
        <v>4</v>
      </c>
      <c r="I868" s="2">
        <f>COUNTIFS($E$3:E868,E868,$H$3:H868,H868)</f>
        <v>4</v>
      </c>
      <c r="N868" s="11">
        <v>1013201</v>
      </c>
      <c r="O868" s="11">
        <v>1013301</v>
      </c>
      <c r="P868" s="11">
        <v>1013401</v>
      </c>
      <c r="Q868" s="11">
        <v>1013501</v>
      </c>
      <c r="R868" s="11">
        <v>1013601</v>
      </c>
    </row>
    <row r="869" spans="1:18">
      <c r="A869" s="11">
        <f t="shared" si="16"/>
        <v>70135405</v>
      </c>
      <c r="B869" s="14" t="s">
        <v>1023</v>
      </c>
      <c r="D869" s="2" t="str">
        <f>E869&amp;(VLOOKUP(F869,编号表!$E$1:$G$8,2,0))&amp;G869&amp;"_"&amp;H869&amp;"_"&amp;I869</f>
        <v>13N5_4_5</v>
      </c>
      <c r="E869" s="2">
        <v>13</v>
      </c>
      <c r="F869" s="2" t="s">
        <v>174</v>
      </c>
      <c r="G869" s="2">
        <v>5</v>
      </c>
      <c r="H869" s="2">
        <v>4</v>
      </c>
      <c r="I869" s="2">
        <f>COUNTIFS($E$3:E869,E869,$H$3:H869,H869)</f>
        <v>5</v>
      </c>
      <c r="N869" s="11">
        <v>1013201</v>
      </c>
      <c r="O869" s="11">
        <v>1013301</v>
      </c>
      <c r="P869" s="11">
        <v>1013401</v>
      </c>
      <c r="Q869" s="11">
        <v>1013501</v>
      </c>
      <c r="R869" s="11">
        <v>1013601</v>
      </c>
    </row>
    <row r="870" spans="1:18">
      <c r="A870" s="11">
        <f t="shared" si="16"/>
        <v>70133501</v>
      </c>
      <c r="B870" s="14" t="s">
        <v>1024</v>
      </c>
      <c r="D870" s="2" t="str">
        <f>E870&amp;(VLOOKUP(F870,编号表!$E$1:$G$8,2,0))&amp;G870&amp;"_"&amp;H870&amp;"_"&amp;I870</f>
        <v>13N3_5_1</v>
      </c>
      <c r="E870" s="2">
        <v>13</v>
      </c>
      <c r="F870" s="2" t="s">
        <v>174</v>
      </c>
      <c r="G870" s="2">
        <v>3</v>
      </c>
      <c r="H870" s="2">
        <v>5</v>
      </c>
      <c r="I870" s="2">
        <f>COUNTIFS($E$3:E870,E870,$H$3:H870,H870)</f>
        <v>1</v>
      </c>
      <c r="N870" s="11">
        <v>1013201</v>
      </c>
      <c r="O870" s="11">
        <v>1013301</v>
      </c>
      <c r="P870" s="11">
        <v>1013401</v>
      </c>
      <c r="Q870" s="11">
        <v>1013501</v>
      </c>
      <c r="R870" s="11">
        <v>1013601</v>
      </c>
    </row>
    <row r="871" spans="1:18">
      <c r="A871" s="11">
        <f t="shared" si="16"/>
        <v>70133502</v>
      </c>
      <c r="B871" s="14" t="s">
        <v>1025</v>
      </c>
      <c r="D871" s="2" t="str">
        <f>E871&amp;(VLOOKUP(F871,编号表!$E$1:$G$8,2,0))&amp;G871&amp;"_"&amp;H871&amp;"_"&amp;I871</f>
        <v>13N3_5_2</v>
      </c>
      <c r="E871" s="2">
        <v>13</v>
      </c>
      <c r="F871" s="2" t="s">
        <v>174</v>
      </c>
      <c r="G871" s="2">
        <v>3</v>
      </c>
      <c r="H871" s="2">
        <v>5</v>
      </c>
      <c r="I871" s="2">
        <f>COUNTIFS($E$3:E871,E871,$H$3:H871,H871)</f>
        <v>2</v>
      </c>
      <c r="N871" s="11">
        <v>1013201</v>
      </c>
      <c r="O871" s="11">
        <v>1013301</v>
      </c>
      <c r="P871" s="11">
        <v>1013401</v>
      </c>
      <c r="Q871" s="11">
        <v>1013501</v>
      </c>
      <c r="R871" s="11">
        <v>1013601</v>
      </c>
    </row>
    <row r="872" spans="1:18">
      <c r="A872" s="11">
        <f t="shared" si="16"/>
        <v>70133503</v>
      </c>
      <c r="B872" s="14" t="s">
        <v>1026</v>
      </c>
      <c r="D872" s="2" t="str">
        <f>E872&amp;(VLOOKUP(F872,编号表!$E$1:$G$8,2,0))&amp;G872&amp;"_"&amp;H872&amp;"_"&amp;I872</f>
        <v>13N3_5_3</v>
      </c>
      <c r="E872" s="2">
        <v>13</v>
      </c>
      <c r="F872" s="2" t="s">
        <v>174</v>
      </c>
      <c r="G872" s="2">
        <v>3</v>
      </c>
      <c r="H872" s="2">
        <v>5</v>
      </c>
      <c r="I872" s="2">
        <f>COUNTIFS($E$3:E872,E872,$H$3:H872,H872)</f>
        <v>3</v>
      </c>
      <c r="N872" s="11">
        <v>1013201</v>
      </c>
      <c r="O872" s="11">
        <v>1013301</v>
      </c>
      <c r="P872" s="11">
        <v>1013401</v>
      </c>
      <c r="Q872" s="11">
        <v>1013501</v>
      </c>
      <c r="R872" s="11">
        <v>1013601</v>
      </c>
    </row>
    <row r="873" spans="1:18">
      <c r="A873" s="11">
        <f t="shared" si="16"/>
        <v>70135504</v>
      </c>
      <c r="B873" s="14" t="s">
        <v>1027</v>
      </c>
      <c r="D873" s="2" t="str">
        <f>E873&amp;(VLOOKUP(F873,编号表!$E$1:$G$8,2,0))&amp;G873&amp;"_"&amp;H873&amp;"_"&amp;I873</f>
        <v>13N5_5_4</v>
      </c>
      <c r="E873" s="2">
        <v>13</v>
      </c>
      <c r="F873" s="2" t="s">
        <v>174</v>
      </c>
      <c r="G873" s="2">
        <v>5</v>
      </c>
      <c r="H873" s="2">
        <v>5</v>
      </c>
      <c r="I873" s="2">
        <f>COUNTIFS($E$3:E873,E873,$H$3:H873,H873)</f>
        <v>4</v>
      </c>
      <c r="N873" s="11">
        <v>1013201</v>
      </c>
      <c r="O873" s="11">
        <v>1013301</v>
      </c>
      <c r="P873" s="11">
        <v>1013401</v>
      </c>
      <c r="Q873" s="11">
        <v>1013501</v>
      </c>
      <c r="R873" s="11">
        <v>1013601</v>
      </c>
    </row>
    <row r="874" spans="1:18">
      <c r="A874" s="11">
        <f t="shared" si="16"/>
        <v>70134505</v>
      </c>
      <c r="B874" s="14" t="s">
        <v>1028</v>
      </c>
      <c r="D874" s="2" t="str">
        <f>E874&amp;(VLOOKUP(F874,编号表!$E$1:$G$8,2,0))&amp;G874&amp;"_"&amp;H874&amp;"_"&amp;I874</f>
        <v>13N4_5_5</v>
      </c>
      <c r="E874" s="2">
        <v>13</v>
      </c>
      <c r="F874" s="2" t="s">
        <v>174</v>
      </c>
      <c r="G874" s="2">
        <v>4</v>
      </c>
      <c r="H874" s="2">
        <v>5</v>
      </c>
      <c r="I874" s="2">
        <f>COUNTIFS($E$3:E874,E874,$H$3:H874,H874)</f>
        <v>5</v>
      </c>
      <c r="N874" s="11">
        <v>1013201</v>
      </c>
      <c r="O874" s="11">
        <v>1013301</v>
      </c>
      <c r="P874" s="11">
        <v>1013401</v>
      </c>
      <c r="Q874" s="11">
        <v>1013501</v>
      </c>
      <c r="R874" s="11">
        <v>1013601</v>
      </c>
    </row>
    <row r="875" spans="1:18">
      <c r="A875" s="11">
        <f t="shared" si="16"/>
        <v>70134506</v>
      </c>
      <c r="B875" s="14" t="s">
        <v>1029</v>
      </c>
      <c r="D875" s="2" t="str">
        <f>E875&amp;(VLOOKUP(F875,编号表!$E$1:$G$8,2,0))&amp;G875&amp;"_"&amp;H875&amp;"_"&amp;I875</f>
        <v>13N4_5_6</v>
      </c>
      <c r="E875" s="2">
        <v>13</v>
      </c>
      <c r="F875" s="2" t="s">
        <v>174</v>
      </c>
      <c r="G875" s="2">
        <v>4</v>
      </c>
      <c r="H875" s="2">
        <v>5</v>
      </c>
      <c r="I875" s="2">
        <f>COUNTIFS($E$3:E875,E875,$H$3:H875,H875)</f>
        <v>6</v>
      </c>
      <c r="N875" s="11">
        <v>1013201</v>
      </c>
      <c r="O875" s="11">
        <v>1013301</v>
      </c>
      <c r="P875" s="11">
        <v>1013401</v>
      </c>
      <c r="Q875" s="11">
        <v>1013501</v>
      </c>
      <c r="R875" s="11">
        <v>1013601</v>
      </c>
    </row>
    <row r="876" spans="1:18">
      <c r="A876" s="11">
        <f t="shared" si="16"/>
        <v>70134507</v>
      </c>
      <c r="B876" s="14" t="s">
        <v>1030</v>
      </c>
      <c r="D876" s="2" t="str">
        <f>E876&amp;(VLOOKUP(F876,编号表!$E$1:$G$8,2,0))&amp;G876&amp;"_"&amp;H876&amp;"_"&amp;I876</f>
        <v>13N4_5_7</v>
      </c>
      <c r="E876" s="2">
        <v>13</v>
      </c>
      <c r="F876" s="2" t="s">
        <v>174</v>
      </c>
      <c r="G876" s="2">
        <v>4</v>
      </c>
      <c r="H876" s="2">
        <v>5</v>
      </c>
      <c r="I876" s="2">
        <f>COUNTIFS($E$3:E876,E876,$H$3:H876,H876)</f>
        <v>7</v>
      </c>
      <c r="N876" s="11">
        <v>1013201</v>
      </c>
      <c r="O876" s="11">
        <v>1013301</v>
      </c>
      <c r="P876" s="11">
        <v>1013401</v>
      </c>
      <c r="Q876" s="11">
        <v>1013501</v>
      </c>
      <c r="R876" s="11">
        <v>1013601</v>
      </c>
    </row>
    <row r="877" spans="1:18">
      <c r="A877" s="11">
        <f t="shared" si="16"/>
        <v>70134508</v>
      </c>
      <c r="B877" s="14" t="s">
        <v>1031</v>
      </c>
      <c r="D877" s="2" t="str">
        <f>E877&amp;(VLOOKUP(F877,编号表!$E$1:$G$8,2,0))&amp;G877&amp;"_"&amp;H877&amp;"_"&amp;I877</f>
        <v>13N4_5_8</v>
      </c>
      <c r="E877" s="2">
        <v>13</v>
      </c>
      <c r="F877" s="2" t="s">
        <v>174</v>
      </c>
      <c r="G877" s="2">
        <v>4</v>
      </c>
      <c r="H877" s="2">
        <v>5</v>
      </c>
      <c r="I877" s="2">
        <f>COUNTIFS($E$3:E877,E877,$H$3:H877,H877)</f>
        <v>8</v>
      </c>
      <c r="N877" s="11">
        <v>1013201</v>
      </c>
      <c r="O877" s="11">
        <v>1013301</v>
      </c>
      <c r="P877" s="11">
        <v>1013401</v>
      </c>
      <c r="Q877" s="11">
        <v>1013501</v>
      </c>
      <c r="R877" s="11">
        <v>1013601</v>
      </c>
    </row>
    <row r="878" spans="1:18">
      <c r="A878" s="11">
        <f t="shared" si="16"/>
        <v>70134509</v>
      </c>
      <c r="B878" s="14" t="s">
        <v>1032</v>
      </c>
      <c r="D878" s="2" t="str">
        <f>E878&amp;(VLOOKUP(F878,编号表!$E$1:$G$8,2,0))&amp;G878&amp;"_"&amp;H878&amp;"_"&amp;I878</f>
        <v>13N4_5_9</v>
      </c>
      <c r="E878" s="2">
        <v>13</v>
      </c>
      <c r="F878" s="2" t="s">
        <v>174</v>
      </c>
      <c r="G878" s="2">
        <v>4</v>
      </c>
      <c r="H878" s="2">
        <v>5</v>
      </c>
      <c r="I878" s="2">
        <f>COUNTIFS($E$3:E878,E878,$H$3:H878,H878)</f>
        <v>9</v>
      </c>
      <c r="N878" s="11">
        <v>1013201</v>
      </c>
      <c r="O878" s="11">
        <v>1013301</v>
      </c>
      <c r="P878" s="11">
        <v>1013401</v>
      </c>
      <c r="Q878" s="11">
        <v>1013501</v>
      </c>
      <c r="R878" s="11">
        <v>1013601</v>
      </c>
    </row>
    <row r="879" spans="1:18">
      <c r="A879" s="11">
        <f t="shared" si="16"/>
        <v>70134510</v>
      </c>
      <c r="B879" s="14" t="s">
        <v>1033</v>
      </c>
      <c r="D879" s="2" t="str">
        <f>E879&amp;(VLOOKUP(F879,编号表!$E$1:$G$8,2,0))&amp;G879&amp;"_"&amp;H879&amp;"_"&amp;I879</f>
        <v>13N4_5_10</v>
      </c>
      <c r="E879" s="2">
        <v>13</v>
      </c>
      <c r="F879" s="2" t="s">
        <v>174</v>
      </c>
      <c r="G879" s="2">
        <v>4</v>
      </c>
      <c r="H879" s="2">
        <v>5</v>
      </c>
      <c r="I879" s="2">
        <f>COUNTIFS($E$3:E879,E879,$H$3:H879,H879)</f>
        <v>10</v>
      </c>
      <c r="N879" s="11">
        <v>1013201</v>
      </c>
      <c r="O879" s="11">
        <v>1013301</v>
      </c>
      <c r="P879" s="11">
        <v>1013401</v>
      </c>
      <c r="Q879" s="11">
        <v>1013501</v>
      </c>
      <c r="R879" s="11">
        <v>1013601</v>
      </c>
    </row>
    <row r="880" spans="1:18">
      <c r="A880" s="11">
        <f t="shared" si="16"/>
        <v>70132601</v>
      </c>
      <c r="B880" s="14" t="s">
        <v>1034</v>
      </c>
      <c r="D880" s="2" t="str">
        <f>E880&amp;(VLOOKUP(F880,编号表!$E$1:$G$8,2,0))&amp;G880&amp;"_"&amp;H880&amp;"_"&amp;I880</f>
        <v>13N2_6_1</v>
      </c>
      <c r="E880" s="2">
        <v>13</v>
      </c>
      <c r="F880" s="2" t="s">
        <v>174</v>
      </c>
      <c r="G880" s="2">
        <v>2</v>
      </c>
      <c r="H880" s="2">
        <v>6</v>
      </c>
      <c r="I880" s="2">
        <f>COUNTIFS($E$3:E880,E880,$H$3:H880,H880)</f>
        <v>1</v>
      </c>
      <c r="N880" s="11">
        <v>1013201</v>
      </c>
      <c r="O880" s="11">
        <v>1013301</v>
      </c>
      <c r="P880" s="11">
        <v>1013401</v>
      </c>
      <c r="Q880" s="11">
        <v>1013501</v>
      </c>
      <c r="R880" s="11">
        <v>1013601</v>
      </c>
    </row>
    <row r="881" spans="1:19">
      <c r="A881" s="11">
        <f t="shared" si="16"/>
        <v>70133602</v>
      </c>
      <c r="B881" s="16" t="s">
        <v>49</v>
      </c>
      <c r="C881" s="14" t="s">
        <v>958</v>
      </c>
      <c r="D881" s="2" t="str">
        <f>E881&amp;(VLOOKUP(F881,编号表!$E$1:$G$8,2,0))&amp;G881&amp;"_"&amp;H881&amp;"_"&amp;I881</f>
        <v>13T3_6_2</v>
      </c>
      <c r="E881" s="2">
        <v>13</v>
      </c>
      <c r="F881" s="2" t="s">
        <v>190</v>
      </c>
      <c r="G881" s="2">
        <v>3</v>
      </c>
      <c r="H881" s="2">
        <v>6</v>
      </c>
      <c r="I881" s="2">
        <f>COUNTIFS($E$3:E881,E881,$H$3:H881,H881)</f>
        <v>2</v>
      </c>
      <c r="L881" s="2">
        <v>127</v>
      </c>
    </row>
    <row r="882" spans="1:19">
      <c r="A882" s="11">
        <f t="shared" si="16"/>
        <v>70131603</v>
      </c>
      <c r="B882" s="15" t="s">
        <v>959</v>
      </c>
      <c r="D882" s="2" t="str">
        <f>E882&amp;(VLOOKUP(F882,编号表!$E$1:$G$8,2,0))&amp;G882&amp;"_"&amp;H882&amp;"_"&amp;I882</f>
        <v>13T1_6_3</v>
      </c>
      <c r="E882" s="2">
        <v>13</v>
      </c>
      <c r="F882" s="2" t="s">
        <v>190</v>
      </c>
      <c r="G882" s="2">
        <v>1</v>
      </c>
      <c r="H882" s="2">
        <v>6</v>
      </c>
      <c r="I882" s="2">
        <f>COUNTIFS($E$3:E882,E882,$H$3:H882,H882)</f>
        <v>3</v>
      </c>
      <c r="K882" s="2">
        <v>1</v>
      </c>
    </row>
    <row r="883" spans="1:19">
      <c r="A883" s="11">
        <f t="shared" si="16"/>
        <v>70132604</v>
      </c>
      <c r="B883" s="14" t="s">
        <v>1035</v>
      </c>
      <c r="D883" s="2" t="str">
        <f>E883&amp;(VLOOKUP(F883,编号表!$E$1:$G$8,2,0))&amp;G883&amp;"_"&amp;H883&amp;"_"&amp;I883</f>
        <v>13N2_6_4</v>
      </c>
      <c r="E883" s="2">
        <v>13</v>
      </c>
      <c r="F883" s="2" t="s">
        <v>174</v>
      </c>
      <c r="G883" s="2">
        <v>2</v>
      </c>
      <c r="H883" s="2">
        <v>6</v>
      </c>
      <c r="I883" s="2">
        <f>COUNTIFS($E$3:E883,E883,$H$3:H883,H883)</f>
        <v>4</v>
      </c>
      <c r="N883" s="11">
        <v>1013201</v>
      </c>
      <c r="O883" s="11">
        <v>1013301</v>
      </c>
      <c r="P883" s="11">
        <v>1013401</v>
      </c>
      <c r="Q883" s="11">
        <v>1013501</v>
      </c>
      <c r="R883" s="11">
        <v>1013601</v>
      </c>
    </row>
    <row r="884" spans="1:19">
      <c r="A884" s="11">
        <f t="shared" si="16"/>
        <v>70134605</v>
      </c>
      <c r="B884" s="14" t="s">
        <v>1036</v>
      </c>
      <c r="D884" s="2" t="str">
        <f>E884&amp;(VLOOKUP(F884,编号表!$E$1:$G$8,2,0))&amp;G884&amp;"_"&amp;H884&amp;"_"&amp;I884</f>
        <v>13N4_6_5</v>
      </c>
      <c r="E884" s="2">
        <v>13</v>
      </c>
      <c r="F884" s="2" t="s">
        <v>174</v>
      </c>
      <c r="G884" s="2">
        <v>4</v>
      </c>
      <c r="H884" s="2">
        <v>6</v>
      </c>
      <c r="I884" s="2">
        <f>COUNTIFS($E$3:E884,E884,$H$3:H884,H884)</f>
        <v>5</v>
      </c>
      <c r="N884" s="11">
        <v>1013201</v>
      </c>
      <c r="O884" s="11">
        <v>1013301</v>
      </c>
      <c r="P884" s="11">
        <v>1013401</v>
      </c>
      <c r="Q884" s="11">
        <v>1013501</v>
      </c>
      <c r="R884" s="11">
        <v>1013601</v>
      </c>
    </row>
    <row r="885" spans="1:19">
      <c r="A885" s="11">
        <f t="shared" si="16"/>
        <v>70134606</v>
      </c>
      <c r="B885" s="14" t="s">
        <v>1037</v>
      </c>
      <c r="D885" s="2" t="str">
        <f>E885&amp;(VLOOKUP(F885,编号表!$E$1:$G$8,2,0))&amp;G885&amp;"_"&amp;H885&amp;"_"&amp;I885</f>
        <v>13N4_6_6</v>
      </c>
      <c r="E885" s="2">
        <v>13</v>
      </c>
      <c r="F885" s="2" t="s">
        <v>174</v>
      </c>
      <c r="G885" s="2">
        <v>4</v>
      </c>
      <c r="H885" s="2">
        <v>6</v>
      </c>
      <c r="I885" s="2">
        <f>COUNTIFS($E$3:E885,E885,$H$3:H885,H885)</f>
        <v>6</v>
      </c>
      <c r="N885" s="11">
        <v>1013201</v>
      </c>
      <c r="O885" s="11">
        <v>1013301</v>
      </c>
      <c r="P885" s="11">
        <v>1013401</v>
      </c>
      <c r="Q885" s="11">
        <v>1013501</v>
      </c>
      <c r="R885" s="11">
        <v>1013601</v>
      </c>
    </row>
    <row r="886" spans="1:19">
      <c r="A886" s="11">
        <f t="shared" si="16"/>
        <v>70134607</v>
      </c>
      <c r="B886" s="14" t="s">
        <v>1038</v>
      </c>
      <c r="D886" s="2" t="str">
        <f>E886&amp;(VLOOKUP(F886,编号表!$E$1:$G$8,2,0))&amp;G886&amp;"_"&amp;H886&amp;"_"&amp;I886</f>
        <v>13N4_6_7</v>
      </c>
      <c r="E886" s="2">
        <v>13</v>
      </c>
      <c r="F886" s="2" t="s">
        <v>174</v>
      </c>
      <c r="G886" s="2">
        <v>4</v>
      </c>
      <c r="H886" s="2">
        <v>6</v>
      </c>
      <c r="I886" s="2">
        <f>COUNTIFS($E$3:E886,E886,$H$3:H886,H886)</f>
        <v>7</v>
      </c>
      <c r="N886" s="11">
        <v>1013201</v>
      </c>
      <c r="O886" s="11">
        <v>1013301</v>
      </c>
      <c r="P886" s="11">
        <v>1013401</v>
      </c>
      <c r="Q886" s="11">
        <v>1013501</v>
      </c>
      <c r="R886" s="11">
        <v>1013601</v>
      </c>
    </row>
    <row r="887" spans="1:19">
      <c r="A887" s="11">
        <f t="shared" si="16"/>
        <v>70134608</v>
      </c>
      <c r="B887" s="14" t="s">
        <v>1039</v>
      </c>
      <c r="D887" s="2" t="str">
        <f>E887&amp;(VLOOKUP(F887,编号表!$E$1:$G$8,2,0))&amp;G887&amp;"_"&amp;H887&amp;"_"&amp;I887</f>
        <v>13N4_6_8</v>
      </c>
      <c r="E887" s="2">
        <v>13</v>
      </c>
      <c r="F887" s="2" t="s">
        <v>174</v>
      </c>
      <c r="G887" s="2">
        <v>4</v>
      </c>
      <c r="H887" s="2">
        <v>6</v>
      </c>
      <c r="I887" s="2">
        <f>COUNTIFS($E$3:E887,E887,$H$3:H887,H887)</f>
        <v>8</v>
      </c>
      <c r="N887" s="11">
        <v>1013201</v>
      </c>
      <c r="O887" s="11">
        <v>1013301</v>
      </c>
      <c r="P887" s="11">
        <v>1013401</v>
      </c>
      <c r="Q887" s="11">
        <v>1013501</v>
      </c>
      <c r="R887" s="11">
        <v>1013601</v>
      </c>
    </row>
    <row r="888" spans="1:19">
      <c r="A888" s="11">
        <f t="shared" si="16"/>
        <v>70134609</v>
      </c>
      <c r="B888" s="14" t="s">
        <v>1040</v>
      </c>
      <c r="D888" s="2" t="str">
        <f>E888&amp;(VLOOKUP(F888,编号表!$E$1:$G$8,2,0))&amp;G888&amp;"_"&amp;H888&amp;"_"&amp;I888</f>
        <v>13N4_6_9</v>
      </c>
      <c r="E888" s="2">
        <v>13</v>
      </c>
      <c r="F888" s="2" t="s">
        <v>174</v>
      </c>
      <c r="G888" s="2">
        <v>4</v>
      </c>
      <c r="H888" s="2">
        <v>6</v>
      </c>
      <c r="I888" s="2">
        <f>COUNTIFS($E$3:E888,E888,$H$3:H888,H888)</f>
        <v>9</v>
      </c>
      <c r="N888" s="11">
        <v>1013201</v>
      </c>
      <c r="O888" s="11">
        <v>1013301</v>
      </c>
      <c r="P888" s="11">
        <v>1013401</v>
      </c>
      <c r="Q888" s="11">
        <v>1013501</v>
      </c>
      <c r="R888" s="11">
        <v>1013601</v>
      </c>
    </row>
    <row r="889" spans="1:19">
      <c r="A889" s="11">
        <f t="shared" si="16"/>
        <v>70134610</v>
      </c>
      <c r="B889" s="14" t="s">
        <v>1041</v>
      </c>
      <c r="D889" s="2" t="str">
        <f>E889&amp;(VLOOKUP(F889,编号表!$E$1:$G$8,2,0))&amp;G889&amp;"_"&amp;H889&amp;"_"&amp;I889</f>
        <v>13N4_6_10</v>
      </c>
      <c r="E889" s="2">
        <v>13</v>
      </c>
      <c r="F889" s="2" t="s">
        <v>174</v>
      </c>
      <c r="G889" s="2">
        <v>4</v>
      </c>
      <c r="H889" s="2">
        <v>6</v>
      </c>
      <c r="I889" s="2">
        <f>COUNTIFS($E$3:E889,E889,$H$3:H889,H889)</f>
        <v>10</v>
      </c>
      <c r="N889" s="11">
        <v>1013201</v>
      </c>
      <c r="O889" s="11">
        <v>1013301</v>
      </c>
      <c r="P889" s="11">
        <v>1013401</v>
      </c>
      <c r="Q889" s="11">
        <v>1013501</v>
      </c>
      <c r="R889" s="11">
        <v>1013601</v>
      </c>
    </row>
    <row r="890" spans="1:19">
      <c r="A890" s="11">
        <f t="shared" ref="A890:A953" si="17">70000000+E890*10000+G890*1000+H890*100+I890</f>
        <v>70134611</v>
      </c>
      <c r="B890" s="14" t="s">
        <v>1042</v>
      </c>
      <c r="D890" s="2" t="str">
        <f>E890&amp;(VLOOKUP(F890,编号表!$E$1:$G$8,2,0))&amp;G890&amp;"_"&amp;H890&amp;"_"&amp;I890</f>
        <v>13N4_6_11</v>
      </c>
      <c r="E890" s="2">
        <v>13</v>
      </c>
      <c r="F890" s="2" t="s">
        <v>174</v>
      </c>
      <c r="G890" s="2">
        <v>4</v>
      </c>
      <c r="H890" s="2">
        <v>6</v>
      </c>
      <c r="I890" s="2">
        <f>COUNTIFS($E$3:E890,E890,$H$3:H890,H890)</f>
        <v>11</v>
      </c>
      <c r="N890" s="11">
        <v>1013201</v>
      </c>
      <c r="O890" s="11">
        <v>1013301</v>
      </c>
      <c r="P890" s="11">
        <v>1013401</v>
      </c>
      <c r="Q890" s="11">
        <v>1013501</v>
      </c>
      <c r="R890" s="11">
        <v>1013601</v>
      </c>
    </row>
    <row r="891" spans="1:19">
      <c r="A891" s="11">
        <f t="shared" si="17"/>
        <v>70134612</v>
      </c>
      <c r="B891" s="14" t="s">
        <v>1043</v>
      </c>
      <c r="D891" s="2" t="str">
        <f>E891&amp;(VLOOKUP(F891,编号表!$E$1:$G$8,2,0))&amp;G891&amp;"_"&amp;H891&amp;"_"&amp;I891</f>
        <v>13N4_6_12</v>
      </c>
      <c r="E891" s="2">
        <v>13</v>
      </c>
      <c r="F891" s="2" t="s">
        <v>174</v>
      </c>
      <c r="G891" s="2">
        <v>4</v>
      </c>
      <c r="H891" s="2">
        <v>6</v>
      </c>
      <c r="I891" s="2">
        <f>COUNTIFS($E$3:E891,E891,$H$3:H891,H891)</f>
        <v>12</v>
      </c>
      <c r="N891" s="11">
        <v>1013201</v>
      </c>
      <c r="O891" s="11">
        <v>1013301</v>
      </c>
      <c r="P891" s="11">
        <v>1013401</v>
      </c>
      <c r="Q891" s="11">
        <v>1013501</v>
      </c>
      <c r="R891" s="11">
        <v>1013601</v>
      </c>
    </row>
    <row r="892" spans="1:19">
      <c r="A892" s="11">
        <f t="shared" si="17"/>
        <v>70133613</v>
      </c>
      <c r="B892" s="14" t="s">
        <v>1044</v>
      </c>
      <c r="D892" s="2" t="str">
        <f>E892&amp;(VLOOKUP(F892,编号表!$E$1:$G$8,2,0))&amp;G892&amp;"_"&amp;H892&amp;"_"&amp;I892</f>
        <v>13N3_6_13</v>
      </c>
      <c r="E892" s="2">
        <v>13</v>
      </c>
      <c r="F892" s="2" t="s">
        <v>174</v>
      </c>
      <c r="G892" s="2">
        <v>3</v>
      </c>
      <c r="H892" s="2">
        <v>6</v>
      </c>
      <c r="I892" s="2">
        <f>COUNTIFS($E$3:E892,E892,$H$3:H892,H892)</f>
        <v>13</v>
      </c>
      <c r="N892" s="11">
        <v>1013201</v>
      </c>
      <c r="O892" s="11">
        <v>1013301</v>
      </c>
      <c r="P892" s="11">
        <v>1013401</v>
      </c>
      <c r="Q892" s="11">
        <v>1013501</v>
      </c>
      <c r="R892" s="11">
        <v>1013601</v>
      </c>
    </row>
    <row r="893" spans="1:19">
      <c r="A893" s="11">
        <f t="shared" si="17"/>
        <v>70135614</v>
      </c>
      <c r="B893" s="14" t="s">
        <v>1045</v>
      </c>
      <c r="D893" s="2" t="str">
        <f>E893&amp;(VLOOKUP(F893,编号表!$E$1:$G$8,2,0))&amp;G893&amp;"_"&amp;H893&amp;"_"&amp;I893</f>
        <v>13N5_6_14</v>
      </c>
      <c r="E893" s="2">
        <v>13</v>
      </c>
      <c r="F893" s="2" t="s">
        <v>174</v>
      </c>
      <c r="G893" s="2">
        <v>5</v>
      </c>
      <c r="H893" s="2">
        <v>6</v>
      </c>
      <c r="I893" s="2">
        <f>COUNTIFS($E$3:E893,E893,$H$3:H893,H893)</f>
        <v>14</v>
      </c>
      <c r="N893" s="11">
        <v>1013201</v>
      </c>
      <c r="O893" s="11">
        <v>1013301</v>
      </c>
      <c r="P893" s="11">
        <v>1013401</v>
      </c>
      <c r="Q893" s="11">
        <v>1013501</v>
      </c>
      <c r="R893" s="11">
        <v>1013601</v>
      </c>
    </row>
    <row r="894" spans="1:19">
      <c r="A894" s="11">
        <f t="shared" si="17"/>
        <v>70130001</v>
      </c>
      <c r="B894" s="18" t="s">
        <v>1046</v>
      </c>
      <c r="D894" s="2" t="str">
        <f>E894&amp;(VLOOKUP(F894,编号表!$E$1:$G$8,2,0))&amp;G894&amp;"_"&amp;H894&amp;"_"&amp;I894</f>
        <v>13J0_0_1</v>
      </c>
      <c r="E894" s="2">
        <v>13</v>
      </c>
      <c r="F894" s="2" t="s">
        <v>222</v>
      </c>
      <c r="G894" s="2">
        <v>0</v>
      </c>
      <c r="H894" s="2">
        <v>0</v>
      </c>
      <c r="I894" s="2">
        <f>COUNTIFS($E$3:E894,E894,$H$3:H894,H894)</f>
        <v>1</v>
      </c>
      <c r="J894" s="2">
        <v>1</v>
      </c>
    </row>
    <row r="895" spans="1:19">
      <c r="A895" s="11">
        <f t="shared" si="17"/>
        <v>70143101</v>
      </c>
      <c r="B895" s="14" t="s">
        <v>1047</v>
      </c>
      <c r="D895" s="2" t="str">
        <f>E895&amp;(VLOOKUP(F895,编号表!$E$1:$G$8,2,0))&amp;G895&amp;"_"&amp;H895&amp;"_"&amp;I895</f>
        <v>14N3_1_1</v>
      </c>
      <c r="E895" s="2">
        <v>14</v>
      </c>
      <c r="F895" s="2" t="s">
        <v>174</v>
      </c>
      <c r="G895" s="2">
        <v>3</v>
      </c>
      <c r="H895" s="2">
        <v>1</v>
      </c>
      <c r="I895" s="2">
        <f>COUNTIFS($E$3:E895,E895,$H$3:H895,H895)</f>
        <v>1</v>
      </c>
      <c r="N895" s="11">
        <v>1014201</v>
      </c>
      <c r="O895" s="11">
        <v>1014301</v>
      </c>
      <c r="P895" s="11">
        <v>1014401</v>
      </c>
      <c r="Q895" s="11">
        <v>1014501</v>
      </c>
      <c r="R895" s="11">
        <v>1014601</v>
      </c>
      <c r="S895" s="11">
        <v>1014001</v>
      </c>
    </row>
    <row r="896" spans="1:19">
      <c r="A896" s="11">
        <f t="shared" si="17"/>
        <v>70143102</v>
      </c>
      <c r="B896" s="14" t="s">
        <v>1048</v>
      </c>
      <c r="D896" s="2" t="str">
        <f>E896&amp;(VLOOKUP(F896,编号表!$E$1:$G$8,2,0))&amp;G896&amp;"_"&amp;H896&amp;"_"&amp;I896</f>
        <v>14N3_1_2</v>
      </c>
      <c r="E896" s="2">
        <v>14</v>
      </c>
      <c r="F896" s="2" t="s">
        <v>174</v>
      </c>
      <c r="G896" s="2">
        <v>3</v>
      </c>
      <c r="H896" s="2">
        <v>1</v>
      </c>
      <c r="I896" s="2">
        <f>COUNTIFS($E$3:E896,E896,$H$3:H896,H896)</f>
        <v>2</v>
      </c>
      <c r="N896" s="11">
        <v>1014201</v>
      </c>
      <c r="O896" s="11">
        <v>1014301</v>
      </c>
      <c r="P896" s="11">
        <v>1014401</v>
      </c>
      <c r="Q896" s="11">
        <v>1014501</v>
      </c>
      <c r="R896" s="11">
        <v>1014601</v>
      </c>
      <c r="S896" s="11">
        <v>1014101</v>
      </c>
    </row>
    <row r="897" spans="1:18">
      <c r="A897" s="11">
        <f t="shared" si="17"/>
        <v>70143103</v>
      </c>
      <c r="B897" s="14" t="s">
        <v>1049</v>
      </c>
      <c r="D897" s="2" t="str">
        <f>E897&amp;(VLOOKUP(F897,编号表!$E$1:$G$8,2,0))&amp;G897&amp;"_"&amp;H897&amp;"_"&amp;I897</f>
        <v>14N3_1_3</v>
      </c>
      <c r="E897" s="2">
        <v>14</v>
      </c>
      <c r="F897" s="2" t="s">
        <v>174</v>
      </c>
      <c r="G897" s="2">
        <v>3</v>
      </c>
      <c r="H897" s="2">
        <v>1</v>
      </c>
      <c r="I897" s="2">
        <f>COUNTIFS($E$3:E897,E897,$H$3:H897,H897)</f>
        <v>3</v>
      </c>
      <c r="N897" s="11">
        <v>1014201</v>
      </c>
      <c r="O897" s="11">
        <v>1014301</v>
      </c>
      <c r="P897" s="11">
        <v>1014401</v>
      </c>
      <c r="Q897" s="11">
        <v>1014501</v>
      </c>
      <c r="R897" s="11">
        <v>1014601</v>
      </c>
    </row>
    <row r="898" spans="1:18">
      <c r="A898" s="11">
        <f t="shared" si="17"/>
        <v>70141104</v>
      </c>
      <c r="B898" s="14" t="s">
        <v>1050</v>
      </c>
      <c r="D898" s="2" t="str">
        <f>E898&amp;(VLOOKUP(F898,编号表!$E$1:$G$8,2,0))&amp;G898&amp;"_"&amp;H898&amp;"_"&amp;I898</f>
        <v>14N1_1_4</v>
      </c>
      <c r="E898" s="2">
        <v>14</v>
      </c>
      <c r="F898" s="2" t="s">
        <v>174</v>
      </c>
      <c r="G898" s="2">
        <v>1</v>
      </c>
      <c r="H898" s="2">
        <v>1</v>
      </c>
      <c r="I898" s="2">
        <f>COUNTIFS($E$3:E898,E898,$H$3:H898,H898)</f>
        <v>4</v>
      </c>
      <c r="N898" s="11">
        <v>1014201</v>
      </c>
      <c r="O898" s="11">
        <v>1014301</v>
      </c>
      <c r="P898" s="11">
        <v>1014401</v>
      </c>
      <c r="Q898" s="11">
        <v>1014501</v>
      </c>
      <c r="R898" s="11">
        <v>1014601</v>
      </c>
    </row>
    <row r="899" spans="1:18">
      <c r="A899" s="11">
        <f t="shared" si="17"/>
        <v>70143105</v>
      </c>
      <c r="B899" s="16" t="s">
        <v>52</v>
      </c>
      <c r="C899" s="14" t="s">
        <v>1014</v>
      </c>
      <c r="D899" s="2" t="str">
        <f>E899&amp;(VLOOKUP(F899,编号表!$E$1:$G$8,2,0))&amp;G899&amp;"_"&amp;H899&amp;"_"&amp;I899</f>
        <v>14T3_1_5</v>
      </c>
      <c r="E899" s="2">
        <v>14</v>
      </c>
      <c r="F899" s="2" t="s">
        <v>190</v>
      </c>
      <c r="G899" s="2">
        <v>3</v>
      </c>
      <c r="H899" s="2">
        <v>1</v>
      </c>
      <c r="I899" s="2">
        <f>COUNTIFS($E$3:E899,E899,$H$3:H899,H899)</f>
        <v>5</v>
      </c>
      <c r="L899" s="2">
        <v>129</v>
      </c>
    </row>
    <row r="900" spans="1:18">
      <c r="A900" s="11">
        <f t="shared" si="17"/>
        <v>70141106</v>
      </c>
      <c r="B900" s="15" t="s">
        <v>1015</v>
      </c>
      <c r="D900" s="2" t="str">
        <f>E900&amp;(VLOOKUP(F900,编号表!$E$1:$G$8,2,0))&amp;G900&amp;"_"&amp;H900&amp;"_"&amp;I900</f>
        <v>14T1_1_6</v>
      </c>
      <c r="E900" s="2">
        <v>14</v>
      </c>
      <c r="F900" s="2" t="s">
        <v>190</v>
      </c>
      <c r="G900" s="2">
        <v>1</v>
      </c>
      <c r="H900" s="2">
        <v>1</v>
      </c>
      <c r="I900" s="2">
        <f>COUNTIFS($E$3:E900,E900,$H$3:H900,H900)</f>
        <v>6</v>
      </c>
      <c r="K900" s="2">
        <v>1</v>
      </c>
    </row>
    <row r="901" spans="1:18">
      <c r="A901" s="11">
        <f t="shared" si="17"/>
        <v>70141107</v>
      </c>
      <c r="B901" s="14" t="s">
        <v>1051</v>
      </c>
      <c r="D901" s="2" t="str">
        <f>E901&amp;(VLOOKUP(F901,编号表!$E$1:$G$8,2,0))&amp;G901&amp;"_"&amp;H901&amp;"_"&amp;I901</f>
        <v>14N1_1_7</v>
      </c>
      <c r="E901" s="2">
        <v>14</v>
      </c>
      <c r="F901" s="2" t="s">
        <v>174</v>
      </c>
      <c r="G901" s="2">
        <v>1</v>
      </c>
      <c r="H901" s="2">
        <v>1</v>
      </c>
      <c r="I901" s="2">
        <f>COUNTIFS($E$3:E901,E901,$H$3:H901,H901)</f>
        <v>7</v>
      </c>
      <c r="N901" s="11">
        <v>1014201</v>
      </c>
      <c r="O901" s="11">
        <v>1014301</v>
      </c>
      <c r="P901" s="11">
        <v>1014401</v>
      </c>
      <c r="Q901" s="11">
        <v>1014501</v>
      </c>
      <c r="R901" s="11">
        <v>1014601</v>
      </c>
    </row>
    <row r="902" spans="1:18">
      <c r="A902" s="11">
        <f t="shared" si="17"/>
        <v>70143108</v>
      </c>
      <c r="B902" s="14" t="s">
        <v>1052</v>
      </c>
      <c r="D902" s="2" t="str">
        <f>E902&amp;(VLOOKUP(F902,编号表!$E$1:$G$8,2,0))&amp;G902&amp;"_"&amp;H902&amp;"_"&amp;I902</f>
        <v>14N3_1_8</v>
      </c>
      <c r="E902" s="2">
        <v>14</v>
      </c>
      <c r="F902" s="2" t="s">
        <v>174</v>
      </c>
      <c r="G902" s="2">
        <v>3</v>
      </c>
      <c r="H902" s="2">
        <v>1</v>
      </c>
      <c r="I902" s="2">
        <f>COUNTIFS($E$3:E902,E902,$H$3:H902,H902)</f>
        <v>8</v>
      </c>
      <c r="N902" s="11">
        <v>1014201</v>
      </c>
      <c r="O902" s="11">
        <v>1014301</v>
      </c>
      <c r="P902" s="11">
        <v>1014401</v>
      </c>
      <c r="Q902" s="11">
        <v>1014501</v>
      </c>
      <c r="R902" s="11">
        <v>1014601</v>
      </c>
    </row>
    <row r="903" spans="1:18">
      <c r="A903" s="11">
        <f t="shared" si="17"/>
        <v>70143109</v>
      </c>
      <c r="B903" s="14" t="s">
        <v>1053</v>
      </c>
      <c r="D903" s="2" t="str">
        <f>E903&amp;(VLOOKUP(F903,编号表!$E$1:$G$8,2,0))&amp;G903&amp;"_"&amp;H903&amp;"_"&amp;I903</f>
        <v>14N3_1_9</v>
      </c>
      <c r="E903" s="2">
        <v>14</v>
      </c>
      <c r="F903" s="2" t="s">
        <v>174</v>
      </c>
      <c r="G903" s="2">
        <v>3</v>
      </c>
      <c r="H903" s="2">
        <v>1</v>
      </c>
      <c r="I903" s="2">
        <f>COUNTIFS($E$3:E903,E903,$H$3:H903,H903)</f>
        <v>9</v>
      </c>
      <c r="N903" s="11">
        <v>1014201</v>
      </c>
      <c r="O903" s="11">
        <v>1014301</v>
      </c>
      <c r="P903" s="11">
        <v>1014401</v>
      </c>
      <c r="Q903" s="11">
        <v>1014501</v>
      </c>
      <c r="R903" s="11">
        <v>1014601</v>
      </c>
    </row>
    <row r="904" spans="1:18">
      <c r="A904" s="11">
        <f t="shared" si="17"/>
        <v>70143110</v>
      </c>
      <c r="B904" s="14" t="s">
        <v>1054</v>
      </c>
      <c r="D904" s="2" t="str">
        <f>E904&amp;(VLOOKUP(F904,编号表!$E$1:$G$8,2,0))&amp;G904&amp;"_"&amp;H904&amp;"_"&amp;I904</f>
        <v>14N3_1_10</v>
      </c>
      <c r="E904" s="2">
        <v>14</v>
      </c>
      <c r="F904" s="2" t="s">
        <v>174</v>
      </c>
      <c r="G904" s="2">
        <v>3</v>
      </c>
      <c r="H904" s="2">
        <v>1</v>
      </c>
      <c r="I904" s="2">
        <f>COUNTIFS($E$3:E904,E904,$H$3:H904,H904)</f>
        <v>10</v>
      </c>
      <c r="N904" s="11">
        <v>1014201</v>
      </c>
      <c r="O904" s="11">
        <v>1014301</v>
      </c>
      <c r="P904" s="11">
        <v>1014401</v>
      </c>
      <c r="Q904" s="11">
        <v>1014501</v>
      </c>
      <c r="R904" s="11">
        <v>1014601</v>
      </c>
    </row>
    <row r="905" spans="1:18">
      <c r="A905" s="11">
        <f t="shared" si="17"/>
        <v>70144201</v>
      </c>
      <c r="B905" s="14" t="s">
        <v>1055</v>
      </c>
      <c r="D905" s="2" t="str">
        <f>E905&amp;(VLOOKUP(F905,编号表!$E$1:$G$8,2,0))&amp;G905&amp;"_"&amp;H905&amp;"_"&amp;I905</f>
        <v>14N4_2_1</v>
      </c>
      <c r="E905" s="2">
        <v>14</v>
      </c>
      <c r="F905" s="2" t="s">
        <v>174</v>
      </c>
      <c r="G905" s="2">
        <v>4</v>
      </c>
      <c r="H905" s="2">
        <v>2</v>
      </c>
      <c r="I905" s="2">
        <f>COUNTIFS($E$3:E905,E905,$H$3:H905,H905)</f>
        <v>1</v>
      </c>
      <c r="N905" s="11">
        <v>1014201</v>
      </c>
      <c r="O905" s="11">
        <v>1014301</v>
      </c>
      <c r="P905" s="11">
        <v>1014401</v>
      </c>
      <c r="Q905" s="11">
        <v>1014501</v>
      </c>
      <c r="R905" s="11">
        <v>1014601</v>
      </c>
    </row>
    <row r="906" spans="1:18">
      <c r="A906" s="11">
        <f t="shared" si="17"/>
        <v>70144202</v>
      </c>
      <c r="B906" s="14" t="s">
        <v>1056</v>
      </c>
      <c r="D906" s="2" t="str">
        <f>E906&amp;(VLOOKUP(F906,编号表!$E$1:$G$8,2,0))&amp;G906&amp;"_"&amp;H906&amp;"_"&amp;I906</f>
        <v>14N4_2_2</v>
      </c>
      <c r="E906" s="2">
        <v>14</v>
      </c>
      <c r="F906" s="2" t="s">
        <v>174</v>
      </c>
      <c r="G906" s="2">
        <v>4</v>
      </c>
      <c r="H906" s="2">
        <v>2</v>
      </c>
      <c r="I906" s="2">
        <f>COUNTIFS($E$3:E906,E906,$H$3:H906,H906)</f>
        <v>2</v>
      </c>
      <c r="N906" s="11">
        <v>1014201</v>
      </c>
      <c r="O906" s="11">
        <v>1014301</v>
      </c>
      <c r="P906" s="11">
        <v>1014401</v>
      </c>
      <c r="Q906" s="11">
        <v>1014501</v>
      </c>
      <c r="R906" s="11">
        <v>1014601</v>
      </c>
    </row>
    <row r="907" spans="1:18">
      <c r="A907" s="11">
        <f t="shared" si="17"/>
        <v>70148301</v>
      </c>
      <c r="B907" s="14" t="s">
        <v>1057</v>
      </c>
      <c r="D907" s="2" t="str">
        <f>E907&amp;(VLOOKUP(F907,编号表!$E$1:$G$8,2,0))&amp;G907&amp;"_"&amp;H907&amp;"_"&amp;I907</f>
        <v>14N8_3_1</v>
      </c>
      <c r="E907" s="2">
        <v>14</v>
      </c>
      <c r="F907" s="2" t="s">
        <v>174</v>
      </c>
      <c r="G907" s="2">
        <v>8</v>
      </c>
      <c r="H907" s="2">
        <v>3</v>
      </c>
      <c r="I907" s="2">
        <f>COUNTIFS($E$3:E907,E907,$H$3:H907,H907)</f>
        <v>1</v>
      </c>
      <c r="N907" s="11">
        <v>1014201</v>
      </c>
      <c r="O907" s="11">
        <v>1014301</v>
      </c>
      <c r="P907" s="11">
        <v>1014401</v>
      </c>
      <c r="Q907" s="11">
        <v>1014501</v>
      </c>
      <c r="R907" s="11">
        <v>1014601</v>
      </c>
    </row>
    <row r="908" spans="1:18">
      <c r="A908" s="11">
        <f t="shared" si="17"/>
        <v>70148302</v>
      </c>
      <c r="B908" s="14" t="s">
        <v>1058</v>
      </c>
      <c r="D908" s="2" t="str">
        <f>E908&amp;(VLOOKUP(F908,编号表!$E$1:$G$8,2,0))&amp;G908&amp;"_"&amp;H908&amp;"_"&amp;I908</f>
        <v>14N8_3_2</v>
      </c>
      <c r="E908" s="2">
        <v>14</v>
      </c>
      <c r="F908" s="2" t="s">
        <v>174</v>
      </c>
      <c r="G908" s="2">
        <v>8</v>
      </c>
      <c r="H908" s="2">
        <v>3</v>
      </c>
      <c r="I908" s="2">
        <f>COUNTIFS($E$3:E908,E908,$H$3:H908,H908)</f>
        <v>2</v>
      </c>
      <c r="N908" s="11">
        <v>1014201</v>
      </c>
      <c r="O908" s="11">
        <v>1014301</v>
      </c>
      <c r="P908" s="11">
        <v>1014401</v>
      </c>
      <c r="Q908" s="11">
        <v>1014501</v>
      </c>
      <c r="R908" s="11">
        <v>1014601</v>
      </c>
    </row>
    <row r="909" spans="1:18">
      <c r="A909" s="11">
        <f t="shared" si="17"/>
        <v>70148303</v>
      </c>
      <c r="B909" s="14" t="s">
        <v>1059</v>
      </c>
      <c r="D909" s="2" t="str">
        <f>E909&amp;(VLOOKUP(F909,编号表!$E$1:$G$8,2,0))&amp;G909&amp;"_"&amp;H909&amp;"_"&amp;I909</f>
        <v>14N8_3_3</v>
      </c>
      <c r="E909" s="2">
        <v>14</v>
      </c>
      <c r="F909" s="2" t="s">
        <v>174</v>
      </c>
      <c r="G909" s="2">
        <v>8</v>
      </c>
      <c r="H909" s="2">
        <v>3</v>
      </c>
      <c r="I909" s="2">
        <f>COUNTIFS($E$3:E909,E909,$H$3:H909,H909)</f>
        <v>3</v>
      </c>
      <c r="N909" s="11">
        <v>1014201</v>
      </c>
      <c r="O909" s="11">
        <v>1014301</v>
      </c>
      <c r="P909" s="11">
        <v>1014401</v>
      </c>
      <c r="Q909" s="11">
        <v>1014501</v>
      </c>
      <c r="R909" s="11">
        <v>1014601</v>
      </c>
    </row>
    <row r="910" spans="1:18">
      <c r="A910" s="11">
        <f t="shared" si="17"/>
        <v>70148304</v>
      </c>
      <c r="B910" s="14" t="s">
        <v>1060</v>
      </c>
      <c r="D910" s="2" t="str">
        <f>E910&amp;(VLOOKUP(F910,编号表!$E$1:$G$8,2,0))&amp;G910&amp;"_"&amp;H910&amp;"_"&amp;I910</f>
        <v>14N8_3_4</v>
      </c>
      <c r="E910" s="2">
        <v>14</v>
      </c>
      <c r="F910" s="2" t="s">
        <v>174</v>
      </c>
      <c r="G910" s="2">
        <v>8</v>
      </c>
      <c r="H910" s="2">
        <v>3</v>
      </c>
      <c r="I910" s="2">
        <f>COUNTIFS($E$3:E910,E910,$H$3:H910,H910)</f>
        <v>4</v>
      </c>
      <c r="N910" s="11">
        <v>1014201</v>
      </c>
      <c r="O910" s="11">
        <v>1014301</v>
      </c>
      <c r="P910" s="11">
        <v>1014401</v>
      </c>
      <c r="Q910" s="11">
        <v>1014501</v>
      </c>
      <c r="R910" s="11">
        <v>1014601</v>
      </c>
    </row>
    <row r="911" spans="1:18">
      <c r="A911" s="11">
        <f t="shared" si="17"/>
        <v>70148305</v>
      </c>
      <c r="B911" s="14" t="s">
        <v>1061</v>
      </c>
      <c r="D911" s="2" t="str">
        <f>E911&amp;(VLOOKUP(F911,编号表!$E$1:$G$8,2,0))&amp;G911&amp;"_"&amp;H911&amp;"_"&amp;I911</f>
        <v>14N8_3_5</v>
      </c>
      <c r="E911" s="2">
        <v>14</v>
      </c>
      <c r="F911" s="2" t="s">
        <v>174</v>
      </c>
      <c r="G911" s="2">
        <v>8</v>
      </c>
      <c r="H911" s="2">
        <v>3</v>
      </c>
      <c r="I911" s="2">
        <f>COUNTIFS($E$3:E911,E911,$H$3:H911,H911)</f>
        <v>5</v>
      </c>
      <c r="N911" s="11">
        <v>1014201</v>
      </c>
      <c r="O911" s="11">
        <v>1014301</v>
      </c>
      <c r="P911" s="11">
        <v>1014401</v>
      </c>
      <c r="Q911" s="11">
        <v>1014501</v>
      </c>
      <c r="R911" s="11">
        <v>1014601</v>
      </c>
    </row>
    <row r="912" spans="1:18">
      <c r="A912" s="11">
        <f t="shared" si="17"/>
        <v>70148306</v>
      </c>
      <c r="B912" s="14" t="s">
        <v>1062</v>
      </c>
      <c r="D912" s="2" t="str">
        <f>E912&amp;(VLOOKUP(F912,编号表!$E$1:$G$8,2,0))&amp;G912&amp;"_"&amp;H912&amp;"_"&amp;I912</f>
        <v>14N8_3_6</v>
      </c>
      <c r="E912" s="2">
        <v>14</v>
      </c>
      <c r="F912" s="2" t="s">
        <v>174</v>
      </c>
      <c r="G912" s="2">
        <v>8</v>
      </c>
      <c r="H912" s="2">
        <v>3</v>
      </c>
      <c r="I912" s="2">
        <f>COUNTIFS($E$3:E912,E912,$H$3:H912,H912)</f>
        <v>6</v>
      </c>
      <c r="N912" s="11">
        <v>1014201</v>
      </c>
      <c r="O912" s="11">
        <v>1014301</v>
      </c>
      <c r="P912" s="11">
        <v>1014401</v>
      </c>
      <c r="Q912" s="11">
        <v>1014501</v>
      </c>
      <c r="R912" s="11">
        <v>1014601</v>
      </c>
    </row>
    <row r="913" spans="1:18">
      <c r="A913" s="11">
        <f t="shared" si="17"/>
        <v>70148307</v>
      </c>
      <c r="B913" s="14" t="s">
        <v>1063</v>
      </c>
      <c r="D913" s="2" t="str">
        <f>E913&amp;(VLOOKUP(F913,编号表!$E$1:$G$8,2,0))&amp;G913&amp;"_"&amp;H913&amp;"_"&amp;I913</f>
        <v>14N8_3_7</v>
      </c>
      <c r="E913" s="2">
        <v>14</v>
      </c>
      <c r="F913" s="2" t="s">
        <v>174</v>
      </c>
      <c r="G913" s="2">
        <v>8</v>
      </c>
      <c r="H913" s="2">
        <v>3</v>
      </c>
      <c r="I913" s="2">
        <f>COUNTIFS($E$3:E913,E913,$H$3:H913,H913)</f>
        <v>7</v>
      </c>
      <c r="N913" s="11">
        <v>1014201</v>
      </c>
      <c r="O913" s="11">
        <v>1014301</v>
      </c>
      <c r="P913" s="11">
        <v>1014401</v>
      </c>
      <c r="Q913" s="11">
        <v>1014501</v>
      </c>
      <c r="R913" s="11">
        <v>1014601</v>
      </c>
    </row>
    <row r="914" spans="1:18">
      <c r="A914" s="11">
        <f t="shared" si="17"/>
        <v>70148401</v>
      </c>
      <c r="B914" s="14" t="s">
        <v>1064</v>
      </c>
      <c r="D914" s="2" t="str">
        <f>E914&amp;(VLOOKUP(F914,编号表!$E$1:$G$8,2,0))&amp;G914&amp;"_"&amp;H914&amp;"_"&amp;I914</f>
        <v>14N8_4_1</v>
      </c>
      <c r="E914" s="2">
        <v>14</v>
      </c>
      <c r="F914" s="2" t="s">
        <v>174</v>
      </c>
      <c r="G914" s="2">
        <v>8</v>
      </c>
      <c r="H914" s="2">
        <v>4</v>
      </c>
      <c r="I914" s="2">
        <f>COUNTIFS($E$3:E914,E914,$H$3:H914,H914)</f>
        <v>1</v>
      </c>
      <c r="N914" s="11">
        <v>1014201</v>
      </c>
      <c r="O914" s="11">
        <v>1014301</v>
      </c>
      <c r="P914" s="11">
        <v>1014401</v>
      </c>
      <c r="Q914" s="11">
        <v>1014501</v>
      </c>
      <c r="R914" s="11">
        <v>1014601</v>
      </c>
    </row>
    <row r="915" spans="1:18">
      <c r="A915" s="11">
        <f t="shared" si="17"/>
        <v>70148402</v>
      </c>
      <c r="B915" s="14" t="s">
        <v>1065</v>
      </c>
      <c r="D915" s="2" t="str">
        <f>E915&amp;(VLOOKUP(F915,编号表!$E$1:$G$8,2,0))&amp;G915&amp;"_"&amp;H915&amp;"_"&amp;I915</f>
        <v>14N8_4_2</v>
      </c>
      <c r="E915" s="2">
        <v>14</v>
      </c>
      <c r="F915" s="2" t="s">
        <v>174</v>
      </c>
      <c r="G915" s="2">
        <v>8</v>
      </c>
      <c r="H915" s="2">
        <v>4</v>
      </c>
      <c r="I915" s="2">
        <f>COUNTIFS($E$3:E915,E915,$H$3:H915,H915)</f>
        <v>2</v>
      </c>
      <c r="N915" s="11">
        <v>1014201</v>
      </c>
      <c r="O915" s="11">
        <v>1014301</v>
      </c>
      <c r="P915" s="11">
        <v>1014401</v>
      </c>
      <c r="Q915" s="11">
        <v>1014501</v>
      </c>
      <c r="R915" s="11">
        <v>1014601</v>
      </c>
    </row>
    <row r="916" spans="1:18">
      <c r="A916" s="11">
        <f t="shared" si="17"/>
        <v>70148403</v>
      </c>
      <c r="B916" s="14" t="s">
        <v>1066</v>
      </c>
      <c r="D916" s="2" t="str">
        <f>E916&amp;(VLOOKUP(F916,编号表!$E$1:$G$8,2,0))&amp;G916&amp;"_"&amp;H916&amp;"_"&amp;I916</f>
        <v>14N8_4_3</v>
      </c>
      <c r="E916" s="2">
        <v>14</v>
      </c>
      <c r="F916" s="2" t="s">
        <v>174</v>
      </c>
      <c r="G916" s="2">
        <v>8</v>
      </c>
      <c r="H916" s="2">
        <v>4</v>
      </c>
      <c r="I916" s="2">
        <f>COUNTIFS($E$3:E916,E916,$H$3:H916,H916)</f>
        <v>3</v>
      </c>
      <c r="N916" s="11">
        <v>1014201</v>
      </c>
      <c r="O916" s="11">
        <v>1014301</v>
      </c>
      <c r="P916" s="11">
        <v>1014401</v>
      </c>
      <c r="Q916" s="11">
        <v>1014501</v>
      </c>
      <c r="R916" s="11">
        <v>1014601</v>
      </c>
    </row>
    <row r="917" spans="1:18">
      <c r="A917" s="11">
        <f t="shared" si="17"/>
        <v>70148404</v>
      </c>
      <c r="B917" s="14" t="s">
        <v>1067</v>
      </c>
      <c r="D917" s="2" t="str">
        <f>E917&amp;(VLOOKUP(F917,编号表!$E$1:$G$8,2,0))&amp;G917&amp;"_"&amp;H917&amp;"_"&amp;I917</f>
        <v>14N8_4_4</v>
      </c>
      <c r="E917" s="2">
        <v>14</v>
      </c>
      <c r="F917" s="2" t="s">
        <v>174</v>
      </c>
      <c r="G917" s="2">
        <v>8</v>
      </c>
      <c r="H917" s="2">
        <v>4</v>
      </c>
      <c r="I917" s="2">
        <f>COUNTIFS($E$3:E917,E917,$H$3:H917,H917)</f>
        <v>4</v>
      </c>
      <c r="N917" s="11">
        <v>1014201</v>
      </c>
      <c r="O917" s="11">
        <v>1014301</v>
      </c>
      <c r="P917" s="11">
        <v>1014401</v>
      </c>
      <c r="Q917" s="11">
        <v>1014501</v>
      </c>
      <c r="R917" s="11">
        <v>1014601</v>
      </c>
    </row>
    <row r="918" spans="1:18">
      <c r="A918" s="11">
        <f t="shared" si="17"/>
        <v>70148405</v>
      </c>
      <c r="B918" s="14" t="s">
        <v>1068</v>
      </c>
      <c r="D918" s="2" t="str">
        <f>E918&amp;(VLOOKUP(F918,编号表!$E$1:$G$8,2,0))&amp;G918&amp;"_"&amp;H918&amp;"_"&amp;I918</f>
        <v>14N8_4_5</v>
      </c>
      <c r="E918" s="2">
        <v>14</v>
      </c>
      <c r="F918" s="2" t="s">
        <v>174</v>
      </c>
      <c r="G918" s="2">
        <v>8</v>
      </c>
      <c r="H918" s="2">
        <v>4</v>
      </c>
      <c r="I918" s="2">
        <f>COUNTIFS($E$3:E918,E918,$H$3:H918,H918)</f>
        <v>5</v>
      </c>
      <c r="N918" s="11">
        <v>1014201</v>
      </c>
      <c r="O918" s="11">
        <v>1014301</v>
      </c>
      <c r="P918" s="11">
        <v>1014401</v>
      </c>
      <c r="Q918" s="11">
        <v>1014501</v>
      </c>
      <c r="R918" s="11">
        <v>1014601</v>
      </c>
    </row>
    <row r="919" spans="1:18">
      <c r="A919" s="11">
        <f t="shared" si="17"/>
        <v>70148406</v>
      </c>
      <c r="B919" s="14" t="s">
        <v>1069</v>
      </c>
      <c r="D919" s="2" t="str">
        <f>E919&amp;(VLOOKUP(F919,编号表!$E$1:$G$8,2,0))&amp;G919&amp;"_"&amp;H919&amp;"_"&amp;I919</f>
        <v>14N8_4_6</v>
      </c>
      <c r="E919" s="2">
        <v>14</v>
      </c>
      <c r="F919" s="2" t="s">
        <v>174</v>
      </c>
      <c r="G919" s="2">
        <v>8</v>
      </c>
      <c r="H919" s="2">
        <v>4</v>
      </c>
      <c r="I919" s="2">
        <f>COUNTIFS($E$3:E919,E919,$H$3:H919,H919)</f>
        <v>6</v>
      </c>
      <c r="N919" s="11">
        <v>1014201</v>
      </c>
      <c r="O919" s="11">
        <v>1014301</v>
      </c>
      <c r="P919" s="11">
        <v>1014401</v>
      </c>
      <c r="Q919" s="11">
        <v>1014501</v>
      </c>
      <c r="R919" s="11">
        <v>1014601</v>
      </c>
    </row>
    <row r="920" spans="1:18">
      <c r="A920" s="11">
        <f t="shared" si="17"/>
        <v>70148407</v>
      </c>
      <c r="B920" s="14" t="s">
        <v>1070</v>
      </c>
      <c r="D920" s="2" t="str">
        <f>E920&amp;(VLOOKUP(F920,编号表!$E$1:$G$8,2,0))&amp;G920&amp;"_"&amp;H920&amp;"_"&amp;I920</f>
        <v>14N8_4_7</v>
      </c>
      <c r="E920" s="2">
        <v>14</v>
      </c>
      <c r="F920" s="2" t="s">
        <v>174</v>
      </c>
      <c r="G920" s="2">
        <v>8</v>
      </c>
      <c r="H920" s="2">
        <v>4</v>
      </c>
      <c r="I920" s="2">
        <f>COUNTIFS($E$3:E920,E920,$H$3:H920,H920)</f>
        <v>7</v>
      </c>
      <c r="N920" s="11">
        <v>1014201</v>
      </c>
      <c r="O920" s="11">
        <v>1014301</v>
      </c>
      <c r="P920" s="11">
        <v>1014401</v>
      </c>
      <c r="Q920" s="11">
        <v>1014501</v>
      </c>
      <c r="R920" s="11">
        <v>1014601</v>
      </c>
    </row>
    <row r="921" spans="1:18">
      <c r="A921" s="11">
        <f t="shared" si="17"/>
        <v>70144501</v>
      </c>
      <c r="B921" s="14" t="s">
        <v>1071</v>
      </c>
      <c r="D921" s="2" t="str">
        <f>E921&amp;(VLOOKUP(F921,编号表!$E$1:$G$8,2,0))&amp;G921&amp;"_"&amp;H921&amp;"_"&amp;I921</f>
        <v>14N4_5_1</v>
      </c>
      <c r="E921" s="2">
        <v>14</v>
      </c>
      <c r="F921" s="2" t="s">
        <v>174</v>
      </c>
      <c r="G921" s="2">
        <v>4</v>
      </c>
      <c r="H921" s="2">
        <v>5</v>
      </c>
      <c r="I921" s="2">
        <f>COUNTIFS($E$3:E921,E921,$H$3:H921,H921)</f>
        <v>1</v>
      </c>
      <c r="N921" s="11">
        <v>1014201</v>
      </c>
      <c r="O921" s="11">
        <v>1014301</v>
      </c>
      <c r="P921" s="11">
        <v>1014401</v>
      </c>
      <c r="Q921" s="11">
        <v>1014501</v>
      </c>
      <c r="R921" s="11">
        <v>1014601</v>
      </c>
    </row>
    <row r="922" spans="1:18">
      <c r="A922" s="11">
        <f t="shared" si="17"/>
        <v>70144502</v>
      </c>
      <c r="B922" s="14" t="s">
        <v>1072</v>
      </c>
      <c r="D922" s="2" t="str">
        <f>E922&amp;(VLOOKUP(F922,编号表!$E$1:$G$8,2,0))&amp;G922&amp;"_"&amp;H922&amp;"_"&amp;I922</f>
        <v>14N4_5_2</v>
      </c>
      <c r="E922" s="2">
        <v>14</v>
      </c>
      <c r="F922" s="2" t="s">
        <v>174</v>
      </c>
      <c r="G922" s="2">
        <v>4</v>
      </c>
      <c r="H922" s="2">
        <v>5</v>
      </c>
      <c r="I922" s="2">
        <f>COUNTIFS($E$3:E922,E922,$H$3:H922,H922)</f>
        <v>2</v>
      </c>
      <c r="N922" s="11">
        <v>1014201</v>
      </c>
      <c r="O922" s="11">
        <v>1014301</v>
      </c>
      <c r="P922" s="11">
        <v>1014401</v>
      </c>
      <c r="Q922" s="11">
        <v>1014501</v>
      </c>
      <c r="R922" s="11">
        <v>1014601</v>
      </c>
    </row>
    <row r="923" spans="1:18">
      <c r="A923" s="11">
        <f t="shared" si="17"/>
        <v>70143601</v>
      </c>
      <c r="B923" s="14" t="s">
        <v>1073</v>
      </c>
      <c r="D923" s="2" t="str">
        <f>E923&amp;(VLOOKUP(F923,编号表!$E$1:$G$8,2,0))&amp;G923&amp;"_"&amp;H923&amp;"_"&amp;I923</f>
        <v>14N3_6_1</v>
      </c>
      <c r="E923" s="2">
        <v>14</v>
      </c>
      <c r="F923" s="2" t="s">
        <v>174</v>
      </c>
      <c r="G923" s="2">
        <v>3</v>
      </c>
      <c r="H923" s="2">
        <v>6</v>
      </c>
      <c r="I923" s="2">
        <f>COUNTIFS($E$3:E923,E923,$H$3:H923,H923)</f>
        <v>1</v>
      </c>
      <c r="N923" s="11">
        <v>1014201</v>
      </c>
      <c r="O923" s="11">
        <v>1014301</v>
      </c>
      <c r="P923" s="11">
        <v>1014401</v>
      </c>
      <c r="Q923" s="11">
        <v>1014501</v>
      </c>
      <c r="R923" s="11">
        <v>1014601</v>
      </c>
    </row>
    <row r="924" spans="1:18">
      <c r="A924" s="11">
        <f t="shared" si="17"/>
        <v>70143602</v>
      </c>
      <c r="B924" s="14" t="s">
        <v>1074</v>
      </c>
      <c r="D924" s="2" t="str">
        <f>E924&amp;(VLOOKUP(F924,编号表!$E$1:$G$8,2,0))&amp;G924&amp;"_"&amp;H924&amp;"_"&amp;I924</f>
        <v>14N3_6_2</v>
      </c>
      <c r="E924" s="2">
        <v>14</v>
      </c>
      <c r="F924" s="2" t="s">
        <v>174</v>
      </c>
      <c r="G924" s="2">
        <v>3</v>
      </c>
      <c r="H924" s="2">
        <v>6</v>
      </c>
      <c r="I924" s="2">
        <f>COUNTIFS($E$3:E924,E924,$H$3:H924,H924)</f>
        <v>2</v>
      </c>
      <c r="N924" s="11">
        <v>1014201</v>
      </c>
      <c r="O924" s="11">
        <v>1014301</v>
      </c>
      <c r="P924" s="11">
        <v>1014401</v>
      </c>
      <c r="Q924" s="11">
        <v>1014501</v>
      </c>
      <c r="R924" s="11">
        <v>1014601</v>
      </c>
    </row>
    <row r="925" spans="1:18">
      <c r="A925" s="11">
        <f t="shared" si="17"/>
        <v>70143603</v>
      </c>
      <c r="B925" s="14" t="s">
        <v>1075</v>
      </c>
      <c r="D925" s="2" t="str">
        <f>E925&amp;(VLOOKUP(F925,编号表!$E$1:$G$8,2,0))&amp;G925&amp;"_"&amp;H925&amp;"_"&amp;I925</f>
        <v>14N3_6_3</v>
      </c>
      <c r="E925" s="2">
        <v>14</v>
      </c>
      <c r="F925" s="2" t="s">
        <v>174</v>
      </c>
      <c r="G925" s="2">
        <v>3</v>
      </c>
      <c r="H925" s="2">
        <v>6</v>
      </c>
      <c r="I925" s="2">
        <f>COUNTIFS($E$3:E925,E925,$H$3:H925,H925)</f>
        <v>3</v>
      </c>
      <c r="N925" s="11">
        <v>1014201</v>
      </c>
      <c r="O925" s="11">
        <v>1014301</v>
      </c>
      <c r="P925" s="11">
        <v>1014401</v>
      </c>
      <c r="Q925" s="11">
        <v>1014501</v>
      </c>
      <c r="R925" s="11">
        <v>1014601</v>
      </c>
    </row>
    <row r="926" spans="1:18">
      <c r="A926" s="11">
        <f t="shared" si="17"/>
        <v>70143604</v>
      </c>
      <c r="B926" s="14" t="s">
        <v>1076</v>
      </c>
      <c r="D926" s="2" t="str">
        <f>E926&amp;(VLOOKUP(F926,编号表!$E$1:$G$8,2,0))&amp;G926&amp;"_"&amp;H926&amp;"_"&amp;I926</f>
        <v>14N3_6_4</v>
      </c>
      <c r="E926" s="2">
        <v>14</v>
      </c>
      <c r="F926" s="2" t="s">
        <v>174</v>
      </c>
      <c r="G926" s="2">
        <v>3</v>
      </c>
      <c r="H926" s="2">
        <v>6</v>
      </c>
      <c r="I926" s="2">
        <f>COUNTIFS($E$3:E926,E926,$H$3:H926,H926)</f>
        <v>4</v>
      </c>
      <c r="N926" s="11">
        <v>1014201</v>
      </c>
      <c r="O926" s="11">
        <v>1014301</v>
      </c>
      <c r="P926" s="11">
        <v>1014401</v>
      </c>
      <c r="Q926" s="11">
        <v>1014501</v>
      </c>
      <c r="R926" s="11">
        <v>1014601</v>
      </c>
    </row>
    <row r="927" spans="1:18">
      <c r="A927" s="11">
        <f t="shared" si="17"/>
        <v>70143605</v>
      </c>
      <c r="B927" s="14" t="s">
        <v>1077</v>
      </c>
      <c r="D927" s="2" t="str">
        <f>E927&amp;(VLOOKUP(F927,编号表!$E$1:$G$8,2,0))&amp;G927&amp;"_"&amp;H927&amp;"_"&amp;I927</f>
        <v>14N3_6_5</v>
      </c>
      <c r="E927" s="2">
        <v>14</v>
      </c>
      <c r="F927" s="2" t="s">
        <v>174</v>
      </c>
      <c r="G927" s="2">
        <v>3</v>
      </c>
      <c r="H927" s="2">
        <v>6</v>
      </c>
      <c r="I927" s="2">
        <f>COUNTIFS($E$3:E927,E927,$H$3:H927,H927)</f>
        <v>5</v>
      </c>
      <c r="N927" s="11">
        <v>1014201</v>
      </c>
      <c r="O927" s="11">
        <v>1014301</v>
      </c>
      <c r="P927" s="11">
        <v>1014401</v>
      </c>
      <c r="Q927" s="11">
        <v>1014501</v>
      </c>
      <c r="R927" s="11">
        <v>1014601</v>
      </c>
    </row>
    <row r="928" spans="1:18">
      <c r="A928" s="11">
        <f t="shared" si="17"/>
        <v>70143606</v>
      </c>
      <c r="B928" s="14" t="s">
        <v>1078</v>
      </c>
      <c r="D928" s="2" t="str">
        <f>E928&amp;(VLOOKUP(F928,编号表!$E$1:$G$8,2,0))&amp;G928&amp;"_"&amp;H928&amp;"_"&amp;I928</f>
        <v>14N3_6_6</v>
      </c>
      <c r="E928" s="2">
        <v>14</v>
      </c>
      <c r="F928" s="2" t="s">
        <v>174</v>
      </c>
      <c r="G928" s="2">
        <v>3</v>
      </c>
      <c r="H928" s="2">
        <v>6</v>
      </c>
      <c r="I928" s="2">
        <f>COUNTIFS($E$3:E928,E928,$H$3:H928,H928)</f>
        <v>6</v>
      </c>
      <c r="N928" s="11">
        <v>1014201</v>
      </c>
      <c r="O928" s="11">
        <v>1014301</v>
      </c>
      <c r="P928" s="11">
        <v>1014401</v>
      </c>
      <c r="Q928" s="11">
        <v>1014501</v>
      </c>
      <c r="R928" s="11">
        <v>1014601</v>
      </c>
    </row>
    <row r="929" spans="1:18">
      <c r="A929" s="11">
        <f t="shared" si="17"/>
        <v>70143607</v>
      </c>
      <c r="B929" s="14" t="s">
        <v>1079</v>
      </c>
      <c r="D929" s="2" t="str">
        <f>E929&amp;(VLOOKUP(F929,编号表!$E$1:$G$8,2,0))&amp;G929&amp;"_"&amp;H929&amp;"_"&amp;I929</f>
        <v>14N3_6_7</v>
      </c>
      <c r="E929" s="2">
        <v>14</v>
      </c>
      <c r="F929" s="2" t="s">
        <v>174</v>
      </c>
      <c r="G929" s="2">
        <v>3</v>
      </c>
      <c r="H929" s="2">
        <v>6</v>
      </c>
      <c r="I929" s="2">
        <f>COUNTIFS($E$3:E929,E929,$H$3:H929,H929)</f>
        <v>7</v>
      </c>
      <c r="N929" s="11">
        <v>1014201</v>
      </c>
      <c r="O929" s="11">
        <v>1014301</v>
      </c>
      <c r="P929" s="11">
        <v>1014401</v>
      </c>
      <c r="Q929" s="11">
        <v>1014501</v>
      </c>
      <c r="R929" s="11">
        <v>1014601</v>
      </c>
    </row>
    <row r="930" spans="1:18">
      <c r="A930" s="11">
        <f t="shared" si="17"/>
        <v>70143608</v>
      </c>
      <c r="B930" s="14" t="s">
        <v>1080</v>
      </c>
      <c r="D930" s="2" t="str">
        <f>E930&amp;(VLOOKUP(F930,编号表!$E$1:$G$8,2,0))&amp;G930&amp;"_"&amp;H930&amp;"_"&amp;I930</f>
        <v>14N3_6_8</v>
      </c>
      <c r="E930" s="2">
        <v>14</v>
      </c>
      <c r="F930" s="2" t="s">
        <v>174</v>
      </c>
      <c r="G930" s="2">
        <v>3</v>
      </c>
      <c r="H930" s="2">
        <v>6</v>
      </c>
      <c r="I930" s="2">
        <f>COUNTIFS($E$3:E930,E930,$H$3:H930,H930)</f>
        <v>8</v>
      </c>
      <c r="N930" s="11">
        <v>1014201</v>
      </c>
      <c r="O930" s="11">
        <v>1014301</v>
      </c>
      <c r="P930" s="11">
        <v>1014401</v>
      </c>
      <c r="Q930" s="11">
        <v>1014501</v>
      </c>
      <c r="R930" s="11">
        <v>1014601</v>
      </c>
    </row>
    <row r="931" spans="1:18">
      <c r="A931" s="11">
        <f t="shared" si="17"/>
        <v>70140001</v>
      </c>
      <c r="B931" s="18" t="s">
        <v>1081</v>
      </c>
      <c r="D931" s="2" t="str">
        <f>E931&amp;(VLOOKUP(F931,编号表!$E$1:$G$8,2,0))&amp;G931&amp;"_"&amp;H931&amp;"_"&amp;I931</f>
        <v>14J0_0_1</v>
      </c>
      <c r="E931" s="2">
        <v>14</v>
      </c>
      <c r="F931" s="2" t="s">
        <v>222</v>
      </c>
      <c r="G931" s="2">
        <v>0</v>
      </c>
      <c r="H931" s="2">
        <v>0</v>
      </c>
      <c r="I931" s="2">
        <f>COUNTIFS($E$3:E931,E931,$H$3:H931,H931)</f>
        <v>1</v>
      </c>
      <c r="J931" s="2">
        <v>1</v>
      </c>
    </row>
    <row r="932" spans="1:18">
      <c r="A932" s="11">
        <f t="shared" si="17"/>
        <v>70151101</v>
      </c>
      <c r="B932" s="2" t="s">
        <v>1082</v>
      </c>
      <c r="D932" s="2" t="str">
        <f>E932&amp;(VLOOKUP(F932,编号表!$E$1:$G$8,2,0))&amp;G932&amp;"_"&amp;H932&amp;"_"&amp;I932</f>
        <v>15N1_1_1</v>
      </c>
      <c r="E932" s="2">
        <v>15</v>
      </c>
      <c r="F932" s="2" t="s">
        <v>174</v>
      </c>
      <c r="G932" s="2">
        <v>1</v>
      </c>
      <c r="H932" s="2">
        <v>1</v>
      </c>
      <c r="I932" s="2">
        <f>COUNTIFS($E$3:E932,E932,$H$3:H932,H932)</f>
        <v>1</v>
      </c>
      <c r="N932" s="11">
        <v>1015201</v>
      </c>
      <c r="O932" s="11">
        <v>1015301</v>
      </c>
      <c r="P932" s="11">
        <v>1015401</v>
      </c>
      <c r="Q932" s="11">
        <v>1015501</v>
      </c>
      <c r="R932" s="11">
        <v>1014001</v>
      </c>
    </row>
    <row r="933" spans="1:18">
      <c r="A933" s="11">
        <f t="shared" si="17"/>
        <v>70151102</v>
      </c>
      <c r="B933" s="2" t="s">
        <v>1083</v>
      </c>
      <c r="D933" s="2" t="str">
        <f>E933&amp;(VLOOKUP(F933,编号表!$E$1:$G$8,2,0))&amp;G933&amp;"_"&amp;H933&amp;"_"&amp;I933</f>
        <v>15N1_1_2</v>
      </c>
      <c r="E933" s="2">
        <v>15</v>
      </c>
      <c r="F933" s="2" t="s">
        <v>174</v>
      </c>
      <c r="G933" s="2">
        <v>1</v>
      </c>
      <c r="H933" s="2">
        <v>1</v>
      </c>
      <c r="I933" s="2">
        <f>COUNTIFS($E$3:E933,E933,$H$3:H933,H933)</f>
        <v>2</v>
      </c>
      <c r="N933" s="11">
        <v>1015201</v>
      </c>
      <c r="O933" s="11">
        <v>1015301</v>
      </c>
      <c r="P933" s="11">
        <v>1015401</v>
      </c>
      <c r="Q933" s="11">
        <v>1015501</v>
      </c>
      <c r="R933" s="11">
        <v>1015101</v>
      </c>
    </row>
    <row r="934" spans="1:18">
      <c r="A934" s="11">
        <f t="shared" si="17"/>
        <v>70152103</v>
      </c>
      <c r="B934" s="2" t="s">
        <v>1084</v>
      </c>
      <c r="D934" s="2" t="str">
        <f>E934&amp;(VLOOKUP(F934,编号表!$E$1:$G$8,2,0))&amp;G934&amp;"_"&amp;H934&amp;"_"&amp;I934</f>
        <v>15N2_1_3</v>
      </c>
      <c r="E934" s="2">
        <v>15</v>
      </c>
      <c r="F934" s="2" t="s">
        <v>174</v>
      </c>
      <c r="G934" s="2">
        <v>2</v>
      </c>
      <c r="H934" s="2">
        <v>1</v>
      </c>
      <c r="I934" s="2">
        <f>COUNTIFS($E$3:E934,E934,$H$3:H934,H934)</f>
        <v>3</v>
      </c>
      <c r="N934" s="11">
        <v>1015201</v>
      </c>
      <c r="O934" s="11">
        <v>1015301</v>
      </c>
      <c r="P934" s="11">
        <v>1015401</v>
      </c>
      <c r="Q934" s="11">
        <v>1015501</v>
      </c>
    </row>
    <row r="935" spans="1:18">
      <c r="A935" s="11">
        <f t="shared" si="17"/>
        <v>70152104</v>
      </c>
      <c r="B935" s="2" t="s">
        <v>1085</v>
      </c>
      <c r="D935" s="2" t="str">
        <f>E935&amp;(VLOOKUP(F935,编号表!$E$1:$G$8,2,0))&amp;G935&amp;"_"&amp;H935&amp;"_"&amp;I935</f>
        <v>15N2_1_4</v>
      </c>
      <c r="E935" s="2">
        <v>15</v>
      </c>
      <c r="F935" s="2" t="s">
        <v>174</v>
      </c>
      <c r="G935" s="2">
        <v>2</v>
      </c>
      <c r="H935" s="2">
        <v>1</v>
      </c>
      <c r="I935" s="2">
        <f>COUNTIFS($E$3:E935,E935,$H$3:H935,H935)</f>
        <v>4</v>
      </c>
      <c r="N935" s="11">
        <v>1015201</v>
      </c>
      <c r="O935" s="11">
        <v>1015301</v>
      </c>
      <c r="P935" s="11">
        <v>1015401</v>
      </c>
      <c r="Q935" s="11">
        <v>1015501</v>
      </c>
    </row>
    <row r="936" spans="1:18">
      <c r="A936" s="11">
        <f t="shared" si="17"/>
        <v>70152105</v>
      </c>
      <c r="B936" s="2" t="s">
        <v>1086</v>
      </c>
      <c r="D936" s="2" t="str">
        <f>E936&amp;(VLOOKUP(F936,编号表!$E$1:$G$8,2,0))&amp;G936&amp;"_"&amp;H936&amp;"_"&amp;I936</f>
        <v>15N2_1_5</v>
      </c>
      <c r="E936" s="2">
        <v>15</v>
      </c>
      <c r="F936" s="2" t="s">
        <v>174</v>
      </c>
      <c r="G936" s="2">
        <v>2</v>
      </c>
      <c r="H936" s="2">
        <v>1</v>
      </c>
      <c r="I936" s="2">
        <f>COUNTIFS($E$3:E936,E936,$H$3:H936,H936)</f>
        <v>5</v>
      </c>
      <c r="N936" s="11">
        <v>1015201</v>
      </c>
      <c r="O936" s="11">
        <v>1015301</v>
      </c>
      <c r="P936" s="11">
        <v>1015401</v>
      </c>
      <c r="Q936" s="11">
        <v>1015501</v>
      </c>
    </row>
    <row r="937" spans="1:18">
      <c r="A937" s="11">
        <f t="shared" si="17"/>
        <v>70153201</v>
      </c>
      <c r="B937" s="2" t="s">
        <v>1087</v>
      </c>
      <c r="D937" s="2" t="str">
        <f>E937&amp;(VLOOKUP(F937,编号表!$E$1:$G$8,2,0))&amp;G937&amp;"_"&amp;H937&amp;"_"&amp;I937</f>
        <v>15N3_2_1</v>
      </c>
      <c r="E937" s="2">
        <v>15</v>
      </c>
      <c r="F937" s="2" t="s">
        <v>174</v>
      </c>
      <c r="G937" s="2">
        <v>3</v>
      </c>
      <c r="H937" s="2">
        <v>2</v>
      </c>
      <c r="I937" s="2">
        <f>COUNTIFS($E$3:E937,E937,$H$3:H937,H937)</f>
        <v>1</v>
      </c>
      <c r="N937" s="11">
        <v>1015201</v>
      </c>
      <c r="O937" s="11">
        <v>1015301</v>
      </c>
      <c r="P937" s="11">
        <v>1015401</v>
      </c>
      <c r="Q937" s="11">
        <v>1015501</v>
      </c>
    </row>
    <row r="938" spans="1:18">
      <c r="A938" s="11">
        <f t="shared" si="17"/>
        <v>70152202</v>
      </c>
      <c r="B938" s="2" t="s">
        <v>1088</v>
      </c>
      <c r="D938" s="2" t="str">
        <f>E938&amp;(VLOOKUP(F938,编号表!$E$1:$G$8,2,0))&amp;G938&amp;"_"&amp;H938&amp;"_"&amp;I938</f>
        <v>15N2_2_2</v>
      </c>
      <c r="E938" s="2">
        <v>15</v>
      </c>
      <c r="F938" s="2" t="s">
        <v>174</v>
      </c>
      <c r="G938" s="2">
        <v>2</v>
      </c>
      <c r="H938" s="2">
        <v>2</v>
      </c>
      <c r="I938" s="2">
        <f>COUNTIFS($E$3:E938,E938,$H$3:H938,H938)</f>
        <v>2</v>
      </c>
      <c r="N938" s="11">
        <v>1015201</v>
      </c>
      <c r="O938" s="11">
        <v>1015301</v>
      </c>
      <c r="P938" s="11">
        <v>1015401</v>
      </c>
      <c r="Q938" s="11">
        <v>1015501</v>
      </c>
    </row>
    <row r="939" spans="1:18">
      <c r="A939" s="11">
        <f t="shared" si="17"/>
        <v>70152203</v>
      </c>
      <c r="B939" s="2" t="s">
        <v>1089</v>
      </c>
      <c r="D939" s="2" t="str">
        <f>E939&amp;(VLOOKUP(F939,编号表!$E$1:$G$8,2,0))&amp;G939&amp;"_"&amp;H939&amp;"_"&amp;I939</f>
        <v>15N2_2_3</v>
      </c>
      <c r="E939" s="2">
        <v>15</v>
      </c>
      <c r="F939" s="2" t="s">
        <v>174</v>
      </c>
      <c r="G939" s="2">
        <v>2</v>
      </c>
      <c r="H939" s="2">
        <v>2</v>
      </c>
      <c r="I939" s="2">
        <f>COUNTIFS($E$3:E939,E939,$H$3:H939,H939)</f>
        <v>3</v>
      </c>
      <c r="N939" s="11">
        <v>1015201</v>
      </c>
      <c r="O939" s="11">
        <v>1015301</v>
      </c>
      <c r="P939" s="11">
        <v>1015401</v>
      </c>
      <c r="Q939" s="11">
        <v>1015501</v>
      </c>
    </row>
    <row r="940" spans="1:18">
      <c r="A940" s="11">
        <f t="shared" si="17"/>
        <v>70152204</v>
      </c>
      <c r="B940" s="2" t="s">
        <v>1090</v>
      </c>
      <c r="D940" s="2" t="str">
        <f>E940&amp;(VLOOKUP(F940,编号表!$E$1:$G$8,2,0))&amp;G940&amp;"_"&amp;H940&amp;"_"&amp;I940</f>
        <v>15N2_2_4</v>
      </c>
      <c r="E940" s="2">
        <v>15</v>
      </c>
      <c r="F940" s="2" t="s">
        <v>174</v>
      </c>
      <c r="G940" s="2">
        <v>2</v>
      </c>
      <c r="H940" s="2">
        <v>2</v>
      </c>
      <c r="I940" s="2">
        <f>COUNTIFS($E$3:E940,E940,$H$3:H940,H940)</f>
        <v>4</v>
      </c>
      <c r="N940" s="11">
        <v>1015201</v>
      </c>
      <c r="O940" s="11">
        <v>1015301</v>
      </c>
      <c r="P940" s="11">
        <v>1015401</v>
      </c>
      <c r="Q940" s="11">
        <v>1015501</v>
      </c>
    </row>
    <row r="941" spans="1:18">
      <c r="A941" s="11">
        <f t="shared" si="17"/>
        <v>70153205</v>
      </c>
      <c r="B941" s="16" t="s">
        <v>19</v>
      </c>
      <c r="C941" s="2" t="s">
        <v>1091</v>
      </c>
      <c r="D941" s="2" t="str">
        <f>E941&amp;(VLOOKUP(F941,编号表!$E$1:$G$8,2,0))&amp;G941&amp;"_"&amp;H941&amp;"_"&amp;I941</f>
        <v>15T3_2_5</v>
      </c>
      <c r="E941" s="2">
        <v>15</v>
      </c>
      <c r="F941" s="2" t="s">
        <v>190</v>
      </c>
      <c r="G941" s="2">
        <v>3</v>
      </c>
      <c r="H941" s="2">
        <v>2</v>
      </c>
      <c r="I941" s="2">
        <f>COUNTIFS($E$3:E941,E941,$H$3:H941,H941)</f>
        <v>5</v>
      </c>
    </row>
    <row r="942" spans="1:18">
      <c r="A942" s="11">
        <f t="shared" si="17"/>
        <v>70151206</v>
      </c>
      <c r="B942" s="15" t="s">
        <v>1092</v>
      </c>
      <c r="D942" s="2" t="str">
        <f>E942&amp;(VLOOKUP(F942,编号表!$E$1:$G$8,2,0))&amp;G942&amp;"_"&amp;H942&amp;"_"&amp;I942</f>
        <v>15T1_2_6</v>
      </c>
      <c r="E942" s="2">
        <v>15</v>
      </c>
      <c r="F942" s="2" t="s">
        <v>190</v>
      </c>
      <c r="G942" s="2">
        <v>1</v>
      </c>
      <c r="H942" s="2">
        <v>2</v>
      </c>
      <c r="I942" s="2">
        <f>COUNTIFS($E$3:E942,E942,$H$3:H942,H942)</f>
        <v>6</v>
      </c>
      <c r="K942" s="2">
        <v>1</v>
      </c>
    </row>
    <row r="943" spans="1:18">
      <c r="A943" s="11">
        <f t="shared" si="17"/>
        <v>70154207</v>
      </c>
      <c r="B943" s="2" t="s">
        <v>1093</v>
      </c>
      <c r="D943" s="2" t="str">
        <f>E943&amp;(VLOOKUP(F943,编号表!$E$1:$G$8,2,0))&amp;G943&amp;"_"&amp;H943&amp;"_"&amp;I943</f>
        <v>15N4_2_7</v>
      </c>
      <c r="E943" s="2">
        <v>15</v>
      </c>
      <c r="F943" s="2" t="s">
        <v>174</v>
      </c>
      <c r="G943" s="2">
        <v>4</v>
      </c>
      <c r="H943" s="2">
        <v>2</v>
      </c>
      <c r="I943" s="2">
        <f>COUNTIFS($E$3:E943,E943,$H$3:H943,H943)</f>
        <v>7</v>
      </c>
      <c r="N943" s="11">
        <v>1015201</v>
      </c>
      <c r="O943" s="11">
        <v>1015301</v>
      </c>
      <c r="P943" s="11">
        <v>1015401</v>
      </c>
      <c r="Q943" s="11">
        <v>1015501</v>
      </c>
    </row>
    <row r="944" spans="1:18">
      <c r="A944" s="11">
        <f t="shared" si="17"/>
        <v>70154208</v>
      </c>
      <c r="B944" s="2" t="s">
        <v>1094</v>
      </c>
      <c r="D944" s="2" t="str">
        <f>E944&amp;(VLOOKUP(F944,编号表!$E$1:$G$8,2,0))&amp;G944&amp;"_"&amp;H944&amp;"_"&amp;I944</f>
        <v>15N4_2_8</v>
      </c>
      <c r="E944" s="2">
        <v>15</v>
      </c>
      <c r="F944" s="2" t="s">
        <v>174</v>
      </c>
      <c r="G944" s="2">
        <v>4</v>
      </c>
      <c r="H944" s="2">
        <v>2</v>
      </c>
      <c r="I944" s="2">
        <f>COUNTIFS($E$3:E944,E944,$H$3:H944,H944)</f>
        <v>8</v>
      </c>
      <c r="N944" s="11">
        <v>1015201</v>
      </c>
      <c r="O944" s="11">
        <v>1015301</v>
      </c>
      <c r="P944" s="11">
        <v>1015401</v>
      </c>
      <c r="Q944" s="11">
        <v>1015501</v>
      </c>
    </row>
    <row r="945" spans="1:17">
      <c r="A945" s="11">
        <f t="shared" si="17"/>
        <v>70154209</v>
      </c>
      <c r="B945" s="2" t="s">
        <v>1095</v>
      </c>
      <c r="D945" s="2" t="str">
        <f>E945&amp;(VLOOKUP(F945,编号表!$E$1:$G$8,2,0))&amp;G945&amp;"_"&amp;H945&amp;"_"&amp;I945</f>
        <v>15N4_2_9</v>
      </c>
      <c r="E945" s="2">
        <v>15</v>
      </c>
      <c r="F945" s="2" t="s">
        <v>174</v>
      </c>
      <c r="G945" s="2">
        <v>4</v>
      </c>
      <c r="H945" s="2">
        <v>2</v>
      </c>
      <c r="I945" s="2">
        <f>COUNTIFS($E$3:E945,E945,$H$3:H945,H945)</f>
        <v>9</v>
      </c>
      <c r="N945" s="11">
        <v>1015201</v>
      </c>
      <c r="O945" s="11">
        <v>1015301</v>
      </c>
      <c r="P945" s="11">
        <v>1015401</v>
      </c>
      <c r="Q945" s="11">
        <v>1015501</v>
      </c>
    </row>
    <row r="946" spans="1:17">
      <c r="A946" s="11">
        <f t="shared" si="17"/>
        <v>70154210</v>
      </c>
      <c r="B946" s="2" t="s">
        <v>1096</v>
      </c>
      <c r="D946" s="2" t="str">
        <f>E946&amp;(VLOOKUP(F946,编号表!$E$1:$G$8,2,0))&amp;G946&amp;"_"&amp;H946&amp;"_"&amp;I946</f>
        <v>15N4_2_10</v>
      </c>
      <c r="E946" s="2">
        <v>15</v>
      </c>
      <c r="F946" s="2" t="s">
        <v>174</v>
      </c>
      <c r="G946" s="2">
        <v>4</v>
      </c>
      <c r="H946" s="2">
        <v>2</v>
      </c>
      <c r="I946" s="2">
        <f>COUNTIFS($E$3:E946,E946,$H$3:H946,H946)</f>
        <v>10</v>
      </c>
      <c r="N946" s="11">
        <v>1015201</v>
      </c>
      <c r="O946" s="11">
        <v>1015301</v>
      </c>
      <c r="P946" s="11">
        <v>1015401</v>
      </c>
      <c r="Q946" s="11">
        <v>1015501</v>
      </c>
    </row>
    <row r="947" spans="1:17">
      <c r="A947" s="11">
        <f t="shared" si="17"/>
        <v>70153211</v>
      </c>
      <c r="B947" s="2" t="s">
        <v>1097</v>
      </c>
      <c r="D947" s="2" t="str">
        <f>E947&amp;(VLOOKUP(F947,编号表!$E$1:$G$8,2,0))&amp;G947&amp;"_"&amp;H947&amp;"_"&amp;I947</f>
        <v>15N3_2_11</v>
      </c>
      <c r="E947" s="2">
        <v>15</v>
      </c>
      <c r="F947" s="2" t="s">
        <v>174</v>
      </c>
      <c r="G947" s="2">
        <v>3</v>
      </c>
      <c r="H947" s="2">
        <v>2</v>
      </c>
      <c r="I947" s="2">
        <f>COUNTIFS($E$3:E947,E947,$H$3:H947,H947)</f>
        <v>11</v>
      </c>
      <c r="N947" s="11">
        <v>1015201</v>
      </c>
      <c r="O947" s="11">
        <v>1015301</v>
      </c>
      <c r="P947" s="11">
        <v>1015401</v>
      </c>
      <c r="Q947" s="11">
        <v>1015501</v>
      </c>
    </row>
    <row r="948" spans="1:17">
      <c r="A948" s="11">
        <f t="shared" si="17"/>
        <v>70153301</v>
      </c>
      <c r="B948" s="2" t="s">
        <v>1098</v>
      </c>
      <c r="D948" s="2" t="str">
        <f>E948&amp;(VLOOKUP(F948,编号表!$E$1:$G$8,2,0))&amp;G948&amp;"_"&amp;H948&amp;"_"&amp;I948</f>
        <v>15N3_3_1</v>
      </c>
      <c r="E948" s="2">
        <v>15</v>
      </c>
      <c r="F948" s="2" t="s">
        <v>174</v>
      </c>
      <c r="G948" s="2">
        <v>3</v>
      </c>
      <c r="H948" s="2">
        <v>3</v>
      </c>
      <c r="I948" s="2">
        <f>COUNTIFS($E$3:E948,E948,$H$3:H948,H948)</f>
        <v>1</v>
      </c>
      <c r="N948" s="11">
        <v>1015201</v>
      </c>
      <c r="O948" s="11">
        <v>1015301</v>
      </c>
      <c r="P948" s="11">
        <v>1015401</v>
      </c>
      <c r="Q948" s="11">
        <v>1015501</v>
      </c>
    </row>
    <row r="949" spans="1:17">
      <c r="A949" s="11">
        <f t="shared" si="17"/>
        <v>70153302</v>
      </c>
      <c r="B949" s="2" t="s">
        <v>1099</v>
      </c>
      <c r="D949" s="2" t="str">
        <f>E949&amp;(VLOOKUP(F949,编号表!$E$1:$G$8,2,0))&amp;G949&amp;"_"&amp;H949&amp;"_"&amp;I949</f>
        <v>15N3_3_2</v>
      </c>
      <c r="E949" s="2">
        <v>15</v>
      </c>
      <c r="F949" s="2" t="s">
        <v>174</v>
      </c>
      <c r="G949" s="2">
        <v>3</v>
      </c>
      <c r="H949" s="2">
        <v>3</v>
      </c>
      <c r="I949" s="2">
        <f>COUNTIFS($E$3:E949,E949,$H$3:H949,H949)</f>
        <v>2</v>
      </c>
      <c r="N949" s="11">
        <v>1015201</v>
      </c>
      <c r="O949" s="11">
        <v>1015301</v>
      </c>
      <c r="P949" s="11">
        <v>1015401</v>
      </c>
      <c r="Q949" s="11">
        <v>1015501</v>
      </c>
    </row>
    <row r="950" spans="1:17">
      <c r="A950" s="11">
        <f t="shared" si="17"/>
        <v>70152303</v>
      </c>
      <c r="B950" s="2" t="s">
        <v>1100</v>
      </c>
      <c r="D950" s="2" t="str">
        <f>E950&amp;(VLOOKUP(F950,编号表!$E$1:$G$8,2,0))&amp;G950&amp;"_"&amp;H950&amp;"_"&amp;I950</f>
        <v>15N2_3_3</v>
      </c>
      <c r="E950" s="2">
        <v>15</v>
      </c>
      <c r="F950" s="2" t="s">
        <v>174</v>
      </c>
      <c r="G950" s="2">
        <v>2</v>
      </c>
      <c r="H950" s="2">
        <v>3</v>
      </c>
      <c r="I950" s="2">
        <f>COUNTIFS($E$3:E950,E950,$H$3:H950,H950)</f>
        <v>3</v>
      </c>
      <c r="N950" s="11">
        <v>1015201</v>
      </c>
      <c r="O950" s="11">
        <v>1015301</v>
      </c>
      <c r="P950" s="11">
        <v>1015401</v>
      </c>
      <c r="Q950" s="11">
        <v>1015501</v>
      </c>
    </row>
    <row r="951" spans="1:17">
      <c r="A951" s="11">
        <f t="shared" si="17"/>
        <v>70153304</v>
      </c>
      <c r="B951" s="2" t="s">
        <v>1101</v>
      </c>
      <c r="D951" s="2" t="str">
        <f>E951&amp;(VLOOKUP(F951,编号表!$E$1:$G$8,2,0))&amp;G951&amp;"_"&amp;H951&amp;"_"&amp;I951</f>
        <v>15N3_3_4</v>
      </c>
      <c r="E951" s="2">
        <v>15</v>
      </c>
      <c r="F951" s="2" t="s">
        <v>174</v>
      </c>
      <c r="G951" s="2">
        <v>3</v>
      </c>
      <c r="H951" s="2">
        <v>3</v>
      </c>
      <c r="I951" s="2">
        <f>COUNTIFS($E$3:E951,E951,$H$3:H951,H951)</f>
        <v>4</v>
      </c>
      <c r="N951" s="11">
        <v>1015201</v>
      </c>
      <c r="O951" s="11">
        <v>1015301</v>
      </c>
      <c r="P951" s="11">
        <v>1015401</v>
      </c>
      <c r="Q951" s="11">
        <v>1015501</v>
      </c>
    </row>
    <row r="952" spans="1:17">
      <c r="A952" s="11">
        <f t="shared" si="17"/>
        <v>70154305</v>
      </c>
      <c r="B952" s="2" t="s">
        <v>1102</v>
      </c>
      <c r="D952" s="2" t="str">
        <f>E952&amp;(VLOOKUP(F952,编号表!$E$1:$G$8,2,0))&amp;G952&amp;"_"&amp;H952&amp;"_"&amp;I952</f>
        <v>15N4_3_5</v>
      </c>
      <c r="E952" s="2">
        <v>15</v>
      </c>
      <c r="F952" s="2" t="s">
        <v>174</v>
      </c>
      <c r="G952" s="2">
        <v>4</v>
      </c>
      <c r="H952" s="2">
        <v>3</v>
      </c>
      <c r="I952" s="2">
        <f>COUNTIFS($E$3:E952,E952,$H$3:H952,H952)</f>
        <v>5</v>
      </c>
      <c r="N952" s="11">
        <v>1015201</v>
      </c>
      <c r="O952" s="11">
        <v>1015301</v>
      </c>
      <c r="P952" s="11">
        <v>1015401</v>
      </c>
      <c r="Q952" s="11">
        <v>1015501</v>
      </c>
    </row>
    <row r="953" spans="1:17">
      <c r="A953" s="11">
        <f t="shared" si="17"/>
        <v>70154306</v>
      </c>
      <c r="B953" s="2" t="s">
        <v>1103</v>
      </c>
      <c r="D953" s="2" t="str">
        <f>E953&amp;(VLOOKUP(F953,编号表!$E$1:$G$8,2,0))&amp;G953&amp;"_"&amp;H953&amp;"_"&amp;I953</f>
        <v>15N4_3_6</v>
      </c>
      <c r="E953" s="2">
        <v>15</v>
      </c>
      <c r="F953" s="2" t="s">
        <v>174</v>
      </c>
      <c r="G953" s="2">
        <v>4</v>
      </c>
      <c r="H953" s="2">
        <v>3</v>
      </c>
      <c r="I953" s="2">
        <f>COUNTIFS($E$3:E953,E953,$H$3:H953,H953)</f>
        <v>6</v>
      </c>
      <c r="N953" s="11">
        <v>1015201</v>
      </c>
      <c r="O953" s="11">
        <v>1015301</v>
      </c>
      <c r="P953" s="11">
        <v>1015401</v>
      </c>
      <c r="Q953" s="11">
        <v>1015501</v>
      </c>
    </row>
    <row r="954" spans="1:17">
      <c r="A954" s="11">
        <f t="shared" ref="A954:A1017" si="18">70000000+E954*10000+G954*1000+H954*100+I954</f>
        <v>70154307</v>
      </c>
      <c r="B954" s="2" t="s">
        <v>1104</v>
      </c>
      <c r="D954" s="2" t="str">
        <f>E954&amp;(VLOOKUP(F954,编号表!$E$1:$G$8,2,0))&amp;G954&amp;"_"&amp;H954&amp;"_"&amp;I954</f>
        <v>15N4_3_7</v>
      </c>
      <c r="E954" s="2">
        <v>15</v>
      </c>
      <c r="F954" s="2" t="s">
        <v>174</v>
      </c>
      <c r="G954" s="2">
        <v>4</v>
      </c>
      <c r="H954" s="2">
        <v>3</v>
      </c>
      <c r="I954" s="2">
        <f>COUNTIFS($E$3:E954,E954,$H$3:H954,H954)</f>
        <v>7</v>
      </c>
      <c r="N954" s="11">
        <v>1015201</v>
      </c>
      <c r="O954" s="11">
        <v>1015301</v>
      </c>
      <c r="P954" s="11">
        <v>1015401</v>
      </c>
      <c r="Q954" s="11">
        <v>1015501</v>
      </c>
    </row>
    <row r="955" spans="1:17">
      <c r="A955" s="11">
        <f t="shared" si="18"/>
        <v>70154308</v>
      </c>
      <c r="B955" s="2" t="s">
        <v>1105</v>
      </c>
      <c r="D955" s="2" t="str">
        <f>E955&amp;(VLOOKUP(F955,编号表!$E$1:$G$8,2,0))&amp;G955&amp;"_"&amp;H955&amp;"_"&amp;I955</f>
        <v>15N4_3_8</v>
      </c>
      <c r="E955" s="2">
        <v>15</v>
      </c>
      <c r="F955" s="2" t="s">
        <v>174</v>
      </c>
      <c r="G955" s="2">
        <v>4</v>
      </c>
      <c r="H955" s="2">
        <v>3</v>
      </c>
      <c r="I955" s="2">
        <f>COUNTIFS($E$3:E955,E955,$H$3:H955,H955)</f>
        <v>8</v>
      </c>
      <c r="N955" s="11">
        <v>1015201</v>
      </c>
      <c r="O955" s="11">
        <v>1015301</v>
      </c>
      <c r="P955" s="11">
        <v>1015401</v>
      </c>
      <c r="Q955" s="11">
        <v>1015501</v>
      </c>
    </row>
    <row r="956" spans="1:17">
      <c r="A956" s="11">
        <f t="shared" si="18"/>
        <v>70152309</v>
      </c>
      <c r="B956" s="2" t="s">
        <v>1106</v>
      </c>
      <c r="D956" s="2" t="str">
        <f>E956&amp;(VLOOKUP(F956,编号表!$E$1:$G$8,2,0))&amp;G956&amp;"_"&amp;H956&amp;"_"&amp;I956</f>
        <v>15N2_3_9</v>
      </c>
      <c r="E956" s="2">
        <v>15</v>
      </c>
      <c r="F956" s="2" t="s">
        <v>174</v>
      </c>
      <c r="G956" s="2">
        <v>2</v>
      </c>
      <c r="H956" s="2">
        <v>3</v>
      </c>
      <c r="I956" s="2">
        <f>COUNTIFS($E$3:E956,E956,$H$3:H956,H956)</f>
        <v>9</v>
      </c>
      <c r="N956" s="11">
        <v>1015201</v>
      </c>
      <c r="O956" s="11">
        <v>1015301</v>
      </c>
      <c r="P956" s="11">
        <v>1015401</v>
      </c>
      <c r="Q956" s="11">
        <v>1015501</v>
      </c>
    </row>
    <row r="957" spans="1:17">
      <c r="A957" s="11">
        <f t="shared" si="18"/>
        <v>70153310</v>
      </c>
      <c r="B957" s="2" t="s">
        <v>1107</v>
      </c>
      <c r="D957" s="2" t="str">
        <f>E957&amp;(VLOOKUP(F957,编号表!$E$1:$G$8,2,0))&amp;G957&amp;"_"&amp;H957&amp;"_"&amp;I957</f>
        <v>15N3_3_10</v>
      </c>
      <c r="E957" s="2">
        <v>15</v>
      </c>
      <c r="F957" s="2" t="s">
        <v>174</v>
      </c>
      <c r="G957" s="2">
        <v>3</v>
      </c>
      <c r="H957" s="2">
        <v>3</v>
      </c>
      <c r="I957" s="2">
        <f>COUNTIFS($E$3:E957,E957,$H$3:H957,H957)</f>
        <v>10</v>
      </c>
      <c r="N957" s="11">
        <v>1015201</v>
      </c>
      <c r="O957" s="11">
        <v>1015301</v>
      </c>
      <c r="P957" s="11">
        <v>1015401</v>
      </c>
      <c r="Q957" s="11">
        <v>1015501</v>
      </c>
    </row>
    <row r="958" spans="1:17">
      <c r="A958" s="11">
        <f t="shared" si="18"/>
        <v>70153401</v>
      </c>
      <c r="B958" s="2" t="s">
        <v>1108</v>
      </c>
      <c r="D958" s="2" t="str">
        <f>E958&amp;(VLOOKUP(F958,编号表!$E$1:$G$8,2,0))&amp;G958&amp;"_"&amp;H958&amp;"_"&amp;I958</f>
        <v>15N3_4_1</v>
      </c>
      <c r="E958" s="2">
        <v>15</v>
      </c>
      <c r="F958" s="2" t="s">
        <v>174</v>
      </c>
      <c r="G958" s="2">
        <v>3</v>
      </c>
      <c r="H958" s="2">
        <v>4</v>
      </c>
      <c r="I958" s="2">
        <f>COUNTIFS($E$3:E958,E958,$H$3:H958,H958)</f>
        <v>1</v>
      </c>
      <c r="N958" s="11">
        <v>1015201</v>
      </c>
      <c r="O958" s="11">
        <v>1015301</v>
      </c>
      <c r="P958" s="11">
        <v>1015401</v>
      </c>
      <c r="Q958" s="11">
        <v>1015501</v>
      </c>
    </row>
    <row r="959" spans="1:17">
      <c r="A959" s="11">
        <f t="shared" si="18"/>
        <v>70153402</v>
      </c>
      <c r="B959" s="2" t="s">
        <v>1109</v>
      </c>
      <c r="D959" s="2" t="str">
        <f>E959&amp;(VLOOKUP(F959,编号表!$E$1:$G$8,2,0))&amp;G959&amp;"_"&amp;H959&amp;"_"&amp;I959</f>
        <v>15N3_4_2</v>
      </c>
      <c r="E959" s="2">
        <v>15</v>
      </c>
      <c r="F959" s="2" t="s">
        <v>174</v>
      </c>
      <c r="G959" s="2">
        <v>3</v>
      </c>
      <c r="H959" s="2">
        <v>4</v>
      </c>
      <c r="I959" s="2">
        <f>COUNTIFS($E$3:E959,E959,$H$3:H959,H959)</f>
        <v>2</v>
      </c>
      <c r="N959" s="11">
        <v>1015201</v>
      </c>
      <c r="O959" s="11">
        <v>1015301</v>
      </c>
      <c r="P959" s="11">
        <v>1015401</v>
      </c>
      <c r="Q959" s="11">
        <v>1015501</v>
      </c>
    </row>
    <row r="960" spans="1:17">
      <c r="A960" s="11">
        <f t="shared" si="18"/>
        <v>70153403</v>
      </c>
      <c r="B960" s="2" t="s">
        <v>1110</v>
      </c>
      <c r="D960" s="2" t="str">
        <f>E960&amp;(VLOOKUP(F960,编号表!$E$1:$G$8,2,0))&amp;G960&amp;"_"&amp;H960&amp;"_"&amp;I960</f>
        <v>15N3_4_3</v>
      </c>
      <c r="E960" s="2">
        <v>15</v>
      </c>
      <c r="F960" s="2" t="s">
        <v>174</v>
      </c>
      <c r="G960" s="2">
        <v>3</v>
      </c>
      <c r="H960" s="2">
        <v>4</v>
      </c>
      <c r="I960" s="2">
        <f>COUNTIFS($E$3:E960,E960,$H$3:H960,H960)</f>
        <v>3</v>
      </c>
      <c r="N960" s="11">
        <v>1015201</v>
      </c>
      <c r="O960" s="11">
        <v>1015301</v>
      </c>
      <c r="P960" s="11">
        <v>1015401</v>
      </c>
      <c r="Q960" s="11">
        <v>1015501</v>
      </c>
    </row>
    <row r="961" spans="1:17">
      <c r="A961" s="11">
        <f t="shared" si="18"/>
        <v>70153404</v>
      </c>
      <c r="B961" s="2" t="s">
        <v>1111</v>
      </c>
      <c r="D961" s="2" t="str">
        <f>E961&amp;(VLOOKUP(F961,编号表!$E$1:$G$8,2,0))&amp;G961&amp;"_"&amp;H961&amp;"_"&amp;I961</f>
        <v>15N3_4_4</v>
      </c>
      <c r="E961" s="2">
        <v>15</v>
      </c>
      <c r="F961" s="2" t="s">
        <v>174</v>
      </c>
      <c r="G961" s="2">
        <v>3</v>
      </c>
      <c r="H961" s="2">
        <v>4</v>
      </c>
      <c r="I961" s="2">
        <f>COUNTIFS($E$3:E961,E961,$H$3:H961,H961)</f>
        <v>4</v>
      </c>
      <c r="N961" s="11">
        <v>1015201</v>
      </c>
      <c r="O961" s="11">
        <v>1015301</v>
      </c>
      <c r="P961" s="11">
        <v>1015401</v>
      </c>
      <c r="Q961" s="11">
        <v>1015501</v>
      </c>
    </row>
    <row r="962" spans="1:17">
      <c r="A962" s="11">
        <f t="shared" si="18"/>
        <v>70152405</v>
      </c>
      <c r="B962" s="2" t="s">
        <v>1112</v>
      </c>
      <c r="D962" s="2" t="str">
        <f>E962&amp;(VLOOKUP(F962,编号表!$E$1:$G$8,2,0))&amp;G962&amp;"_"&amp;H962&amp;"_"&amp;I962</f>
        <v>15N2_4_5</v>
      </c>
      <c r="E962" s="2">
        <v>15</v>
      </c>
      <c r="F962" s="2" t="s">
        <v>174</v>
      </c>
      <c r="G962" s="2">
        <v>2</v>
      </c>
      <c r="H962" s="2">
        <v>4</v>
      </c>
      <c r="I962" s="2">
        <f>COUNTIFS($E$3:E962,E962,$H$3:H962,H962)</f>
        <v>5</v>
      </c>
      <c r="N962" s="11">
        <v>1015201</v>
      </c>
      <c r="O962" s="11">
        <v>1015301</v>
      </c>
      <c r="P962" s="11">
        <v>1015401</v>
      </c>
      <c r="Q962" s="11">
        <v>1015501</v>
      </c>
    </row>
    <row r="963" spans="1:17">
      <c r="A963" s="11">
        <f t="shared" si="18"/>
        <v>70151406</v>
      </c>
      <c r="B963" s="2" t="s">
        <v>1113</v>
      </c>
      <c r="D963" s="2" t="str">
        <f>E963&amp;(VLOOKUP(F963,编号表!$E$1:$G$8,2,0))&amp;G963&amp;"_"&amp;H963&amp;"_"&amp;I963</f>
        <v>15N1_4_6</v>
      </c>
      <c r="E963" s="2">
        <v>15</v>
      </c>
      <c r="F963" s="2" t="s">
        <v>174</v>
      </c>
      <c r="G963" s="2">
        <v>1</v>
      </c>
      <c r="H963" s="2">
        <v>4</v>
      </c>
      <c r="I963" s="2">
        <f>COUNTIFS($E$3:E963,E963,$H$3:H963,H963)</f>
        <v>6</v>
      </c>
      <c r="N963" s="11">
        <v>1015201</v>
      </c>
      <c r="O963" s="11">
        <v>1015301</v>
      </c>
      <c r="P963" s="11">
        <v>1015401</v>
      </c>
      <c r="Q963" s="11">
        <v>1015501</v>
      </c>
    </row>
    <row r="964" spans="1:17">
      <c r="A964" s="11">
        <f t="shared" si="18"/>
        <v>70152407</v>
      </c>
      <c r="B964" s="2" t="s">
        <v>1114</v>
      </c>
      <c r="D964" s="2" t="str">
        <f>E964&amp;(VLOOKUP(F964,编号表!$E$1:$G$8,2,0))&amp;G964&amp;"_"&amp;H964&amp;"_"&amp;I964</f>
        <v>15N2_4_7</v>
      </c>
      <c r="E964" s="2">
        <v>15</v>
      </c>
      <c r="F964" s="2" t="s">
        <v>174</v>
      </c>
      <c r="G964" s="2">
        <v>2</v>
      </c>
      <c r="H964" s="2">
        <v>4</v>
      </c>
      <c r="I964" s="2">
        <f>COUNTIFS($E$3:E964,E964,$H$3:H964,H964)</f>
        <v>7</v>
      </c>
      <c r="N964" s="11">
        <v>1015201</v>
      </c>
      <c r="O964" s="11">
        <v>1015301</v>
      </c>
      <c r="P964" s="11">
        <v>1015401</v>
      </c>
      <c r="Q964" s="11">
        <v>1015501</v>
      </c>
    </row>
    <row r="965" spans="1:17">
      <c r="A965" s="11">
        <f t="shared" si="18"/>
        <v>70152408</v>
      </c>
      <c r="B965" s="2" t="s">
        <v>1115</v>
      </c>
      <c r="D965" s="2" t="str">
        <f>E965&amp;(VLOOKUP(F965,编号表!$E$1:$G$8,2,0))&amp;G965&amp;"_"&amp;H965&amp;"_"&amp;I965</f>
        <v>15N2_4_8</v>
      </c>
      <c r="E965" s="2">
        <v>15</v>
      </c>
      <c r="F965" s="2" t="s">
        <v>174</v>
      </c>
      <c r="G965" s="2">
        <v>2</v>
      </c>
      <c r="H965" s="2">
        <v>4</v>
      </c>
      <c r="I965" s="2">
        <f>COUNTIFS($E$3:E965,E965,$H$3:H965,H965)</f>
        <v>8</v>
      </c>
      <c r="N965" s="11">
        <v>1015201</v>
      </c>
      <c r="O965" s="11">
        <v>1015301</v>
      </c>
      <c r="P965" s="11">
        <v>1015401</v>
      </c>
      <c r="Q965" s="11">
        <v>1015501</v>
      </c>
    </row>
    <row r="966" spans="1:17">
      <c r="A966" s="11">
        <f t="shared" si="18"/>
        <v>70152409</v>
      </c>
      <c r="B966" s="2" t="s">
        <v>1116</v>
      </c>
      <c r="D966" s="2" t="str">
        <f>E966&amp;(VLOOKUP(F966,编号表!$E$1:$G$8,2,0))&amp;G966&amp;"_"&amp;H966&amp;"_"&amp;I966</f>
        <v>15N2_4_9</v>
      </c>
      <c r="E966" s="2">
        <v>15</v>
      </c>
      <c r="F966" s="2" t="s">
        <v>174</v>
      </c>
      <c r="G966" s="2">
        <v>2</v>
      </c>
      <c r="H966" s="2">
        <v>4</v>
      </c>
      <c r="I966" s="2">
        <f>COUNTIFS($E$3:E966,E966,$H$3:H966,H966)</f>
        <v>9</v>
      </c>
      <c r="N966" s="11">
        <v>1015201</v>
      </c>
      <c r="O966" s="11">
        <v>1015301</v>
      </c>
      <c r="P966" s="11">
        <v>1015401</v>
      </c>
      <c r="Q966" s="11">
        <v>1015501</v>
      </c>
    </row>
    <row r="967" spans="1:17">
      <c r="A967" s="11">
        <f t="shared" si="18"/>
        <v>70153410</v>
      </c>
      <c r="B967" s="2" t="s">
        <v>1117</v>
      </c>
      <c r="D967" s="2" t="str">
        <f>E967&amp;(VLOOKUP(F967,编号表!$E$1:$G$8,2,0))&amp;G967&amp;"_"&amp;H967&amp;"_"&amp;I967</f>
        <v>15N3_4_10</v>
      </c>
      <c r="E967" s="2">
        <v>15</v>
      </c>
      <c r="F967" s="2" t="s">
        <v>174</v>
      </c>
      <c r="G967" s="2">
        <v>3</v>
      </c>
      <c r="H967" s="2">
        <v>4</v>
      </c>
      <c r="I967" s="2">
        <f>COUNTIFS($E$3:E967,E967,$H$3:H967,H967)</f>
        <v>10</v>
      </c>
      <c r="N967" s="11">
        <v>1015201</v>
      </c>
      <c r="O967" s="11">
        <v>1015301</v>
      </c>
      <c r="P967" s="11">
        <v>1015401</v>
      </c>
      <c r="Q967" s="11">
        <v>1015501</v>
      </c>
    </row>
    <row r="968" spans="1:17">
      <c r="A968" s="11">
        <f t="shared" si="18"/>
        <v>70152411</v>
      </c>
      <c r="B968" s="2" t="s">
        <v>1118</v>
      </c>
      <c r="D968" s="2" t="str">
        <f>E968&amp;(VLOOKUP(F968,编号表!$E$1:$G$8,2,0))&amp;G968&amp;"_"&amp;H968&amp;"_"&amp;I968</f>
        <v>15N2_4_11</v>
      </c>
      <c r="E968" s="2">
        <v>15</v>
      </c>
      <c r="F968" s="2" t="s">
        <v>174</v>
      </c>
      <c r="G968" s="2">
        <v>2</v>
      </c>
      <c r="H968" s="2">
        <v>4</v>
      </c>
      <c r="I968" s="2">
        <f>COUNTIFS($E$3:E968,E968,$H$3:H968,H968)</f>
        <v>11</v>
      </c>
      <c r="N968" s="11">
        <v>1015201</v>
      </c>
      <c r="O968" s="11">
        <v>1015301</v>
      </c>
      <c r="P968" s="11">
        <v>1015401</v>
      </c>
      <c r="Q968" s="11">
        <v>1015501</v>
      </c>
    </row>
    <row r="969" spans="1:17">
      <c r="A969" s="11">
        <f t="shared" si="18"/>
        <v>70153501</v>
      </c>
      <c r="B969" s="2" t="s">
        <v>1119</v>
      </c>
      <c r="D969" s="2" t="str">
        <f>E969&amp;(VLOOKUP(F969,编号表!$E$1:$G$8,2,0))&amp;G969&amp;"_"&amp;H969&amp;"_"&amp;I969</f>
        <v>15N3_5_1</v>
      </c>
      <c r="E969" s="2">
        <v>15</v>
      </c>
      <c r="F969" s="2" t="s">
        <v>174</v>
      </c>
      <c r="G969" s="2">
        <v>3</v>
      </c>
      <c r="H969" s="2">
        <v>5</v>
      </c>
      <c r="I969" s="2">
        <f>COUNTIFS($E$3:E969,E969,$H$3:H969,H969)</f>
        <v>1</v>
      </c>
      <c r="N969" s="11">
        <v>1015201</v>
      </c>
      <c r="O969" s="11">
        <v>1015301</v>
      </c>
      <c r="P969" s="11">
        <v>1015401</v>
      </c>
      <c r="Q969" s="11">
        <v>1015501</v>
      </c>
    </row>
    <row r="970" spans="1:17">
      <c r="A970" s="11">
        <f t="shared" si="18"/>
        <v>70153502</v>
      </c>
      <c r="B970" s="2" t="s">
        <v>1120</v>
      </c>
      <c r="D970" s="2" t="str">
        <f>E970&amp;(VLOOKUP(F970,编号表!$E$1:$G$8,2,0))&amp;G970&amp;"_"&amp;H970&amp;"_"&amp;I970</f>
        <v>15N3_5_2</v>
      </c>
      <c r="E970" s="2">
        <v>15</v>
      </c>
      <c r="F970" s="2" t="s">
        <v>174</v>
      </c>
      <c r="G970" s="2">
        <v>3</v>
      </c>
      <c r="H970" s="2">
        <v>5</v>
      </c>
      <c r="I970" s="2">
        <f>COUNTIFS($E$3:E970,E970,$H$3:H970,H970)</f>
        <v>2</v>
      </c>
      <c r="N970" s="11">
        <v>1015201</v>
      </c>
      <c r="O970" s="11">
        <v>1015301</v>
      </c>
      <c r="P970" s="11">
        <v>1015401</v>
      </c>
      <c r="Q970" s="11">
        <v>1015501</v>
      </c>
    </row>
    <row r="971" spans="1:17">
      <c r="A971" s="11">
        <f t="shared" si="18"/>
        <v>70153503</v>
      </c>
      <c r="B971" s="2" t="s">
        <v>1121</v>
      </c>
      <c r="D971" s="2" t="str">
        <f>E971&amp;(VLOOKUP(F971,编号表!$E$1:$G$8,2,0))&amp;G971&amp;"_"&amp;H971&amp;"_"&amp;I971</f>
        <v>15N3_5_3</v>
      </c>
      <c r="E971" s="2">
        <v>15</v>
      </c>
      <c r="F971" s="2" t="s">
        <v>174</v>
      </c>
      <c r="G971" s="2">
        <v>3</v>
      </c>
      <c r="H971" s="2">
        <v>5</v>
      </c>
      <c r="I971" s="2">
        <f>COUNTIFS($E$3:E971,E971,$H$3:H971,H971)</f>
        <v>3</v>
      </c>
      <c r="N971" s="11">
        <v>1015201</v>
      </c>
      <c r="O971" s="11">
        <v>1015301</v>
      </c>
      <c r="P971" s="11">
        <v>1015401</v>
      </c>
      <c r="Q971" s="11">
        <v>1015501</v>
      </c>
    </row>
    <row r="972" spans="1:17">
      <c r="A972" s="11">
        <f t="shared" si="18"/>
        <v>70154504</v>
      </c>
      <c r="B972" s="2" t="s">
        <v>1122</v>
      </c>
      <c r="D972" s="2" t="str">
        <f>E972&amp;(VLOOKUP(F972,编号表!$E$1:$G$8,2,0))&amp;G972&amp;"_"&amp;H972&amp;"_"&amp;I972</f>
        <v>15N4_5_4</v>
      </c>
      <c r="E972" s="2">
        <v>15</v>
      </c>
      <c r="F972" s="2" t="s">
        <v>174</v>
      </c>
      <c r="G972" s="2">
        <v>4</v>
      </c>
      <c r="H972" s="2">
        <v>5</v>
      </c>
      <c r="I972" s="2">
        <f>COUNTIFS($E$3:E972,E972,$H$3:H972,H972)</f>
        <v>4</v>
      </c>
      <c r="N972" s="11">
        <v>1015201</v>
      </c>
      <c r="O972" s="11">
        <v>1015301</v>
      </c>
      <c r="P972" s="11">
        <v>1015401</v>
      </c>
      <c r="Q972" s="11">
        <v>1015501</v>
      </c>
    </row>
    <row r="973" spans="1:17">
      <c r="A973" s="11">
        <f t="shared" si="18"/>
        <v>70153505</v>
      </c>
      <c r="B973" s="2" t="s">
        <v>1123</v>
      </c>
      <c r="D973" s="2" t="str">
        <f>E973&amp;(VLOOKUP(F973,编号表!$E$1:$G$8,2,0))&amp;G973&amp;"_"&amp;H973&amp;"_"&amp;I973</f>
        <v>15N3_5_5</v>
      </c>
      <c r="E973" s="2">
        <v>15</v>
      </c>
      <c r="F973" s="2" t="s">
        <v>174</v>
      </c>
      <c r="G973" s="2">
        <v>3</v>
      </c>
      <c r="H973" s="2">
        <v>5</v>
      </c>
      <c r="I973" s="2">
        <f>COUNTIFS($E$3:E973,E973,$H$3:H973,H973)</f>
        <v>5</v>
      </c>
      <c r="N973" s="11">
        <v>1015201</v>
      </c>
      <c r="O973" s="11">
        <v>1015301</v>
      </c>
      <c r="P973" s="11">
        <v>1015401</v>
      </c>
      <c r="Q973" s="11">
        <v>1015501</v>
      </c>
    </row>
    <row r="974" spans="1:17">
      <c r="A974" s="11">
        <f t="shared" si="18"/>
        <v>70153601</v>
      </c>
      <c r="B974" s="2" t="s">
        <v>1124</v>
      </c>
      <c r="D974" s="2" t="str">
        <f>E974&amp;(VLOOKUP(F974,编号表!$E$1:$G$8,2,0))&amp;G974&amp;"_"&amp;H974&amp;"_"&amp;I974</f>
        <v>15N3_6_1</v>
      </c>
      <c r="E974" s="2">
        <v>15</v>
      </c>
      <c r="F974" s="2" t="s">
        <v>174</v>
      </c>
      <c r="G974" s="2">
        <v>3</v>
      </c>
      <c r="H974" s="2">
        <v>6</v>
      </c>
      <c r="I974" s="2">
        <f>COUNTIFS($E$3:E974,E974,$H$3:H974,H974)</f>
        <v>1</v>
      </c>
      <c r="N974" s="11">
        <v>1015201</v>
      </c>
      <c r="O974" s="11">
        <v>1015301</v>
      </c>
      <c r="P974" s="11">
        <v>1015401</v>
      </c>
      <c r="Q974" s="11">
        <v>1015501</v>
      </c>
    </row>
    <row r="975" spans="1:17">
      <c r="A975" s="11">
        <f t="shared" si="18"/>
        <v>70153602</v>
      </c>
      <c r="B975" s="2" t="s">
        <v>1125</v>
      </c>
      <c r="D975" s="2" t="str">
        <f>E975&amp;(VLOOKUP(F975,编号表!$E$1:$G$8,2,0))&amp;G975&amp;"_"&amp;H975&amp;"_"&amp;I975</f>
        <v>15N3_6_2</v>
      </c>
      <c r="E975" s="2">
        <v>15</v>
      </c>
      <c r="F975" s="2" t="s">
        <v>174</v>
      </c>
      <c r="G975" s="2">
        <v>3</v>
      </c>
      <c r="H975" s="2">
        <v>6</v>
      </c>
      <c r="I975" s="2">
        <f>COUNTIFS($E$3:E975,E975,$H$3:H975,H975)</f>
        <v>2</v>
      </c>
      <c r="N975" s="11">
        <v>1015201</v>
      </c>
      <c r="O975" s="11">
        <v>1015301</v>
      </c>
      <c r="P975" s="11">
        <v>1015401</v>
      </c>
      <c r="Q975" s="11">
        <v>1015501</v>
      </c>
    </row>
    <row r="976" spans="1:17">
      <c r="A976" s="11">
        <f t="shared" si="18"/>
        <v>70152603</v>
      </c>
      <c r="B976" s="2" t="s">
        <v>1126</v>
      </c>
      <c r="D976" s="2" t="str">
        <f>E976&amp;(VLOOKUP(F976,编号表!$E$1:$G$8,2,0))&amp;G976&amp;"_"&amp;H976&amp;"_"&amp;I976</f>
        <v>15N2_6_3</v>
      </c>
      <c r="E976" s="2">
        <v>15</v>
      </c>
      <c r="F976" s="2" t="s">
        <v>174</v>
      </c>
      <c r="G976" s="2">
        <v>2</v>
      </c>
      <c r="H976" s="2">
        <v>6</v>
      </c>
      <c r="I976" s="2">
        <f>COUNTIFS($E$3:E976,E976,$H$3:H976,H976)</f>
        <v>3</v>
      </c>
      <c r="N976" s="11">
        <v>1015201</v>
      </c>
      <c r="O976" s="11">
        <v>1015301</v>
      </c>
      <c r="P976" s="11">
        <v>1015401</v>
      </c>
      <c r="Q976" s="11">
        <v>1015501</v>
      </c>
    </row>
    <row r="977" spans="1:17">
      <c r="A977" s="11">
        <f t="shared" si="18"/>
        <v>70152604</v>
      </c>
      <c r="B977" s="2" t="s">
        <v>1127</v>
      </c>
      <c r="D977" s="2" t="str">
        <f>E977&amp;(VLOOKUP(F977,编号表!$E$1:$G$8,2,0))&amp;G977&amp;"_"&amp;H977&amp;"_"&amp;I977</f>
        <v>15N2_6_4</v>
      </c>
      <c r="E977" s="2">
        <v>15</v>
      </c>
      <c r="F977" s="2" t="s">
        <v>174</v>
      </c>
      <c r="G977" s="2">
        <v>2</v>
      </c>
      <c r="H977" s="2">
        <v>6</v>
      </c>
      <c r="I977" s="2">
        <f>COUNTIFS($E$3:E977,E977,$H$3:H977,H977)</f>
        <v>4</v>
      </c>
      <c r="N977" s="11">
        <v>1015201</v>
      </c>
      <c r="O977" s="11">
        <v>1015301</v>
      </c>
      <c r="P977" s="11">
        <v>1015401</v>
      </c>
      <c r="Q977" s="11">
        <v>1015501</v>
      </c>
    </row>
    <row r="978" spans="1:17">
      <c r="A978" s="11">
        <f t="shared" si="18"/>
        <v>70152605</v>
      </c>
      <c r="B978" s="2" t="s">
        <v>1128</v>
      </c>
      <c r="D978" s="2" t="str">
        <f>E978&amp;(VLOOKUP(F978,编号表!$E$1:$G$8,2,0))&amp;G978&amp;"_"&amp;H978&amp;"_"&amp;I978</f>
        <v>15N2_6_5</v>
      </c>
      <c r="E978" s="2">
        <v>15</v>
      </c>
      <c r="F978" s="2" t="s">
        <v>174</v>
      </c>
      <c r="G978" s="2">
        <v>2</v>
      </c>
      <c r="H978" s="2">
        <v>6</v>
      </c>
      <c r="I978" s="2">
        <f>COUNTIFS($E$3:E978,E978,$H$3:H978,H978)</f>
        <v>5</v>
      </c>
      <c r="N978" s="11">
        <v>1015201</v>
      </c>
      <c r="O978" s="11">
        <v>1015301</v>
      </c>
      <c r="P978" s="11">
        <v>1015401</v>
      </c>
      <c r="Q978" s="11">
        <v>1015501</v>
      </c>
    </row>
    <row r="979" spans="1:17">
      <c r="A979" s="11">
        <f t="shared" si="18"/>
        <v>70152606</v>
      </c>
      <c r="B979" s="2" t="s">
        <v>1129</v>
      </c>
      <c r="D979" s="2" t="str">
        <f>E979&amp;(VLOOKUP(F979,编号表!$E$1:$G$8,2,0))&amp;G979&amp;"_"&amp;H979&amp;"_"&amp;I979</f>
        <v>15N2_6_6</v>
      </c>
      <c r="E979" s="2">
        <v>15</v>
      </c>
      <c r="F979" s="2" t="s">
        <v>174</v>
      </c>
      <c r="G979" s="2">
        <v>2</v>
      </c>
      <c r="H979" s="2">
        <v>6</v>
      </c>
      <c r="I979" s="2">
        <f>COUNTIFS($E$3:E979,E979,$H$3:H979,H979)</f>
        <v>6</v>
      </c>
      <c r="N979" s="11">
        <v>1015201</v>
      </c>
      <c r="O979" s="11">
        <v>1015301</v>
      </c>
      <c r="P979" s="11">
        <v>1015401</v>
      </c>
      <c r="Q979" s="11">
        <v>1015501</v>
      </c>
    </row>
    <row r="980" spans="1:17">
      <c r="A980" s="11">
        <f t="shared" si="18"/>
        <v>70152607</v>
      </c>
      <c r="B980" s="2" t="s">
        <v>1130</v>
      </c>
      <c r="D980" s="2" t="str">
        <f>E980&amp;(VLOOKUP(F980,编号表!$E$1:$G$8,2,0))&amp;G980&amp;"_"&amp;H980&amp;"_"&amp;I980</f>
        <v>15N2_6_7</v>
      </c>
      <c r="E980" s="2">
        <v>15</v>
      </c>
      <c r="F980" s="2" t="s">
        <v>174</v>
      </c>
      <c r="G980" s="2">
        <v>2</v>
      </c>
      <c r="H980" s="2">
        <v>6</v>
      </c>
      <c r="I980" s="2">
        <f>COUNTIFS($E$3:E980,E980,$H$3:H980,H980)</f>
        <v>7</v>
      </c>
      <c r="N980" s="11">
        <v>1015201</v>
      </c>
      <c r="O980" s="11">
        <v>1015301</v>
      </c>
      <c r="P980" s="11">
        <v>1015401</v>
      </c>
      <c r="Q980" s="11">
        <v>1015501</v>
      </c>
    </row>
    <row r="981" spans="1:17">
      <c r="A981" s="11">
        <f t="shared" si="18"/>
        <v>70153608</v>
      </c>
      <c r="B981" s="2" t="s">
        <v>1131</v>
      </c>
      <c r="D981" s="2" t="str">
        <f>E981&amp;(VLOOKUP(F981,编号表!$E$1:$G$8,2,0))&amp;G981&amp;"_"&amp;H981&amp;"_"&amp;I981</f>
        <v>15N3_6_8</v>
      </c>
      <c r="E981" s="2">
        <v>15</v>
      </c>
      <c r="F981" s="2" t="s">
        <v>174</v>
      </c>
      <c r="G981" s="2">
        <v>3</v>
      </c>
      <c r="H981" s="2">
        <v>6</v>
      </c>
      <c r="I981" s="2">
        <f>COUNTIFS($E$3:E981,E981,$H$3:H981,H981)</f>
        <v>8</v>
      </c>
      <c r="N981" s="11">
        <v>1015201</v>
      </c>
      <c r="O981" s="11">
        <v>1015301</v>
      </c>
      <c r="P981" s="11">
        <v>1015401</v>
      </c>
      <c r="Q981" s="11">
        <v>1015501</v>
      </c>
    </row>
    <row r="982" spans="1:17">
      <c r="A982" s="11">
        <f t="shared" si="18"/>
        <v>70152609</v>
      </c>
      <c r="B982" s="2" t="s">
        <v>1132</v>
      </c>
      <c r="D982" s="2" t="str">
        <f>E982&amp;(VLOOKUP(F982,编号表!$E$1:$G$8,2,0))&amp;G982&amp;"_"&amp;H982&amp;"_"&amp;I982</f>
        <v>15N2_6_9</v>
      </c>
      <c r="E982" s="2">
        <v>15</v>
      </c>
      <c r="F982" s="2" t="s">
        <v>174</v>
      </c>
      <c r="G982" s="2">
        <v>2</v>
      </c>
      <c r="H982" s="2">
        <v>6</v>
      </c>
      <c r="I982" s="2">
        <f>COUNTIFS($E$3:E982,E982,$H$3:H982,H982)</f>
        <v>9</v>
      </c>
      <c r="N982" s="11">
        <v>1015201</v>
      </c>
      <c r="O982" s="11">
        <v>1015301</v>
      </c>
      <c r="P982" s="11">
        <v>1015401</v>
      </c>
      <c r="Q982" s="11">
        <v>1015501</v>
      </c>
    </row>
    <row r="983" spans="1:17">
      <c r="A983" s="11">
        <f t="shared" si="18"/>
        <v>70153701</v>
      </c>
      <c r="B983" s="2" t="s">
        <v>1133</v>
      </c>
      <c r="D983" s="2" t="str">
        <f>E983&amp;(VLOOKUP(F983,编号表!$E$1:$G$8,2,0))&amp;G983&amp;"_"&amp;H983&amp;"_"&amp;I983</f>
        <v>15N3_7_1</v>
      </c>
      <c r="E983" s="2">
        <v>15</v>
      </c>
      <c r="F983" s="2" t="s">
        <v>174</v>
      </c>
      <c r="G983" s="2">
        <v>3</v>
      </c>
      <c r="H983" s="2">
        <v>7</v>
      </c>
      <c r="I983" s="2">
        <f>COUNTIFS($E$3:E983,E983,$H$3:H983,H983)</f>
        <v>1</v>
      </c>
      <c r="N983" s="11">
        <v>1015201</v>
      </c>
      <c r="O983" s="11">
        <v>1015301</v>
      </c>
      <c r="P983" s="11">
        <v>1015401</v>
      </c>
      <c r="Q983" s="11">
        <v>1015501</v>
      </c>
    </row>
    <row r="984" spans="1:17">
      <c r="A984" s="11">
        <f t="shared" si="18"/>
        <v>70153702</v>
      </c>
      <c r="B984" s="2" t="s">
        <v>1134</v>
      </c>
      <c r="D984" s="2" t="str">
        <f>E984&amp;(VLOOKUP(F984,编号表!$E$1:$G$8,2,0))&amp;G984&amp;"_"&amp;H984&amp;"_"&amp;I984</f>
        <v>15N3_7_2</v>
      </c>
      <c r="E984" s="2">
        <v>15</v>
      </c>
      <c r="F984" s="2" t="s">
        <v>174</v>
      </c>
      <c r="G984" s="2">
        <v>3</v>
      </c>
      <c r="H984" s="2">
        <v>7</v>
      </c>
      <c r="I984" s="2">
        <f>COUNTIFS($E$3:E984,E984,$H$3:H984,H984)</f>
        <v>2</v>
      </c>
      <c r="N984" s="11">
        <v>1015201</v>
      </c>
      <c r="O984" s="11">
        <v>1015301</v>
      </c>
      <c r="P984" s="11">
        <v>1015401</v>
      </c>
      <c r="Q984" s="11">
        <v>1015501</v>
      </c>
    </row>
    <row r="985" spans="1:17">
      <c r="A985" s="11">
        <f t="shared" si="18"/>
        <v>70152703</v>
      </c>
      <c r="B985" s="2" t="s">
        <v>1135</v>
      </c>
      <c r="D985" s="2" t="str">
        <f>E985&amp;(VLOOKUP(F985,编号表!$E$1:$G$8,2,0))&amp;G985&amp;"_"&amp;H985&amp;"_"&amp;I985</f>
        <v>15N2_7_3</v>
      </c>
      <c r="E985" s="2">
        <v>15</v>
      </c>
      <c r="F985" s="2" t="s">
        <v>174</v>
      </c>
      <c r="G985" s="2">
        <v>2</v>
      </c>
      <c r="H985" s="2">
        <v>7</v>
      </c>
      <c r="I985" s="2">
        <f>COUNTIFS($E$3:E985,E985,$H$3:H985,H985)</f>
        <v>3</v>
      </c>
      <c r="N985" s="11">
        <v>1015201</v>
      </c>
      <c r="O985" s="11">
        <v>1015301</v>
      </c>
      <c r="P985" s="11">
        <v>1015401</v>
      </c>
      <c r="Q985" s="11">
        <v>1015501</v>
      </c>
    </row>
    <row r="986" spans="1:17">
      <c r="A986" s="11">
        <f t="shared" si="18"/>
        <v>70154704</v>
      </c>
      <c r="B986" s="2" t="s">
        <v>1136</v>
      </c>
      <c r="D986" s="2" t="str">
        <f>E986&amp;(VLOOKUP(F986,编号表!$E$1:$G$8,2,0))&amp;G986&amp;"_"&amp;H986&amp;"_"&amp;I986</f>
        <v>15N4_7_4</v>
      </c>
      <c r="E986" s="2">
        <v>15</v>
      </c>
      <c r="F986" s="2" t="s">
        <v>174</v>
      </c>
      <c r="G986" s="2">
        <v>4</v>
      </c>
      <c r="H986" s="2">
        <v>7</v>
      </c>
      <c r="I986" s="2">
        <f>COUNTIFS($E$3:E986,E986,$H$3:H986,H986)</f>
        <v>4</v>
      </c>
      <c r="N986" s="11">
        <v>1015201</v>
      </c>
      <c r="O986" s="11">
        <v>1015301</v>
      </c>
      <c r="P986" s="11">
        <v>1015401</v>
      </c>
      <c r="Q986" s="11">
        <v>1015501</v>
      </c>
    </row>
    <row r="987" spans="1:17">
      <c r="A987" s="11">
        <f t="shared" si="18"/>
        <v>70154705</v>
      </c>
      <c r="B987" s="2" t="s">
        <v>1137</v>
      </c>
      <c r="D987" s="2" t="str">
        <f>E987&amp;(VLOOKUP(F987,编号表!$E$1:$G$8,2,0))&amp;G987&amp;"_"&amp;H987&amp;"_"&amp;I987</f>
        <v>15N4_7_5</v>
      </c>
      <c r="E987" s="2">
        <v>15</v>
      </c>
      <c r="F987" s="2" t="s">
        <v>174</v>
      </c>
      <c r="G987" s="2">
        <v>4</v>
      </c>
      <c r="H987" s="2">
        <v>7</v>
      </c>
      <c r="I987" s="2">
        <f>COUNTIFS($E$3:E987,E987,$H$3:H987,H987)</f>
        <v>5</v>
      </c>
      <c r="N987" s="11">
        <v>1015201</v>
      </c>
      <c r="O987" s="11">
        <v>1015301</v>
      </c>
      <c r="P987" s="11">
        <v>1015401</v>
      </c>
      <c r="Q987" s="11">
        <v>1015501</v>
      </c>
    </row>
    <row r="988" spans="1:17">
      <c r="A988" s="11">
        <f t="shared" si="18"/>
        <v>70154706</v>
      </c>
      <c r="B988" s="2" t="s">
        <v>1138</v>
      </c>
      <c r="D988" s="2" t="str">
        <f>E988&amp;(VLOOKUP(F988,编号表!$E$1:$G$8,2,0))&amp;G988&amp;"_"&amp;H988&amp;"_"&amp;I988</f>
        <v>15N4_7_6</v>
      </c>
      <c r="E988" s="2">
        <v>15</v>
      </c>
      <c r="F988" s="2" t="s">
        <v>174</v>
      </c>
      <c r="G988" s="2">
        <v>4</v>
      </c>
      <c r="H988" s="2">
        <v>7</v>
      </c>
      <c r="I988" s="2">
        <f>COUNTIFS($E$3:E988,E988,$H$3:H988,H988)</f>
        <v>6</v>
      </c>
      <c r="N988" s="11">
        <v>1015201</v>
      </c>
      <c r="O988" s="11">
        <v>1015301</v>
      </c>
      <c r="P988" s="11">
        <v>1015401</v>
      </c>
      <c r="Q988" s="11">
        <v>1015501</v>
      </c>
    </row>
    <row r="989" spans="1:17">
      <c r="A989" s="11">
        <f t="shared" si="18"/>
        <v>70154707</v>
      </c>
      <c r="B989" s="2" t="s">
        <v>1139</v>
      </c>
      <c r="D989" s="2" t="str">
        <f>E989&amp;(VLOOKUP(F989,编号表!$E$1:$G$8,2,0))&amp;G989&amp;"_"&amp;H989&amp;"_"&amp;I989</f>
        <v>15N4_7_7</v>
      </c>
      <c r="E989" s="2">
        <v>15</v>
      </c>
      <c r="F989" s="2" t="s">
        <v>174</v>
      </c>
      <c r="G989" s="2">
        <v>4</v>
      </c>
      <c r="H989" s="2">
        <v>7</v>
      </c>
      <c r="I989" s="2">
        <f>COUNTIFS($E$3:E989,E989,$H$3:H989,H989)</f>
        <v>7</v>
      </c>
      <c r="N989" s="11">
        <v>1015201</v>
      </c>
      <c r="O989" s="11">
        <v>1015301</v>
      </c>
      <c r="P989" s="11">
        <v>1015401</v>
      </c>
      <c r="Q989" s="11">
        <v>1015501</v>
      </c>
    </row>
    <row r="990" spans="1:17">
      <c r="A990" s="11">
        <f t="shared" si="18"/>
        <v>70154708</v>
      </c>
      <c r="B990" s="2" t="s">
        <v>1140</v>
      </c>
      <c r="D990" s="2" t="str">
        <f>E990&amp;(VLOOKUP(F990,编号表!$E$1:$G$8,2,0))&amp;G990&amp;"_"&amp;H990&amp;"_"&amp;I990</f>
        <v>15N4_7_8</v>
      </c>
      <c r="E990" s="2">
        <v>15</v>
      </c>
      <c r="F990" s="2" t="s">
        <v>174</v>
      </c>
      <c r="G990" s="2">
        <v>4</v>
      </c>
      <c r="H990" s="2">
        <v>7</v>
      </c>
      <c r="I990" s="2">
        <f>COUNTIFS($E$3:E990,E990,$H$3:H990,H990)</f>
        <v>8</v>
      </c>
      <c r="N990" s="11">
        <v>1015201</v>
      </c>
      <c r="O990" s="11">
        <v>1015301</v>
      </c>
      <c r="P990" s="11">
        <v>1015401</v>
      </c>
      <c r="Q990" s="11">
        <v>1015501</v>
      </c>
    </row>
    <row r="991" spans="1:17">
      <c r="A991" s="11">
        <f t="shared" si="18"/>
        <v>70154709</v>
      </c>
      <c r="B991" s="2" t="s">
        <v>1141</v>
      </c>
      <c r="D991" s="2" t="str">
        <f>E991&amp;(VLOOKUP(F991,编号表!$E$1:$G$8,2,0))&amp;G991&amp;"_"&amp;H991&amp;"_"&amp;I991</f>
        <v>15N4_7_9</v>
      </c>
      <c r="E991" s="2">
        <v>15</v>
      </c>
      <c r="F991" s="2" t="s">
        <v>174</v>
      </c>
      <c r="G991" s="2">
        <v>4</v>
      </c>
      <c r="H991" s="2">
        <v>7</v>
      </c>
      <c r="I991" s="2">
        <f>COUNTIFS($E$3:E991,E991,$H$3:H991,H991)</f>
        <v>9</v>
      </c>
      <c r="N991" s="11">
        <v>1015201</v>
      </c>
      <c r="O991" s="11">
        <v>1015301</v>
      </c>
      <c r="P991" s="11">
        <v>1015401</v>
      </c>
      <c r="Q991" s="11">
        <v>1015501</v>
      </c>
    </row>
    <row r="992" spans="1:17">
      <c r="A992" s="11">
        <f t="shared" si="18"/>
        <v>70154710</v>
      </c>
      <c r="B992" s="2" t="s">
        <v>1142</v>
      </c>
      <c r="D992" s="2" t="str">
        <f>E992&amp;(VLOOKUP(F992,编号表!$E$1:$G$8,2,0))&amp;G992&amp;"_"&amp;H992&amp;"_"&amp;I992</f>
        <v>15N4_7_10</v>
      </c>
      <c r="E992" s="2">
        <v>15</v>
      </c>
      <c r="F992" s="2" t="s">
        <v>174</v>
      </c>
      <c r="G992" s="2">
        <v>4</v>
      </c>
      <c r="H992" s="2">
        <v>7</v>
      </c>
      <c r="I992" s="2">
        <f>COUNTIFS($E$3:E992,E992,$H$3:H992,H992)</f>
        <v>10</v>
      </c>
      <c r="N992" s="11">
        <v>1015201</v>
      </c>
      <c r="O992" s="11">
        <v>1015301</v>
      </c>
      <c r="P992" s="11">
        <v>1015401</v>
      </c>
      <c r="Q992" s="11">
        <v>1015501</v>
      </c>
    </row>
    <row r="993" spans="1:17">
      <c r="A993" s="11">
        <f t="shared" si="18"/>
        <v>70153711</v>
      </c>
      <c r="B993" s="2" t="s">
        <v>1143</v>
      </c>
      <c r="D993" s="2" t="str">
        <f>E993&amp;(VLOOKUP(F993,编号表!$E$1:$G$8,2,0))&amp;G993&amp;"_"&amp;H993&amp;"_"&amp;I993</f>
        <v>15N3_7_11</v>
      </c>
      <c r="E993" s="2">
        <v>15</v>
      </c>
      <c r="F993" s="2" t="s">
        <v>174</v>
      </c>
      <c r="G993" s="2">
        <v>3</v>
      </c>
      <c r="H993" s="2">
        <v>7</v>
      </c>
      <c r="I993" s="2">
        <f>COUNTIFS($E$3:E993,E993,$H$3:H993,H993)</f>
        <v>11</v>
      </c>
      <c r="N993" s="11">
        <v>1015201</v>
      </c>
      <c r="O993" s="11">
        <v>1015301</v>
      </c>
      <c r="P993" s="11">
        <v>1015401</v>
      </c>
      <c r="Q993" s="11">
        <v>1015501</v>
      </c>
    </row>
    <row r="994" spans="1:17">
      <c r="A994" s="11">
        <f t="shared" si="18"/>
        <v>70152801</v>
      </c>
      <c r="B994" s="2" t="s">
        <v>1144</v>
      </c>
      <c r="D994" s="2" t="str">
        <f>E994&amp;(VLOOKUP(F994,编号表!$E$1:$G$8,2,0))&amp;G994&amp;"_"&amp;H994&amp;"_"&amp;I994</f>
        <v>15N2_8_1</v>
      </c>
      <c r="E994" s="2">
        <v>15</v>
      </c>
      <c r="F994" s="2" t="s">
        <v>174</v>
      </c>
      <c r="G994" s="2">
        <v>2</v>
      </c>
      <c r="H994" s="2">
        <v>8</v>
      </c>
      <c r="I994" s="2">
        <f>COUNTIFS($E$3:E994,E994,$H$3:H994,H994)</f>
        <v>1</v>
      </c>
      <c r="N994" s="11">
        <v>1015201</v>
      </c>
      <c r="O994" s="11">
        <v>1015301</v>
      </c>
      <c r="P994" s="11">
        <v>1015401</v>
      </c>
      <c r="Q994" s="11">
        <v>1015501</v>
      </c>
    </row>
    <row r="995" spans="1:17">
      <c r="A995" s="11">
        <f t="shared" si="18"/>
        <v>70152802</v>
      </c>
      <c r="B995" s="2" t="s">
        <v>1145</v>
      </c>
      <c r="D995" s="2" t="str">
        <f>E995&amp;(VLOOKUP(F995,编号表!$E$1:$G$8,2,0))&amp;G995&amp;"_"&amp;H995&amp;"_"&amp;I995</f>
        <v>15N2_8_2</v>
      </c>
      <c r="E995" s="2">
        <v>15</v>
      </c>
      <c r="F995" s="2" t="s">
        <v>174</v>
      </c>
      <c r="G995" s="2">
        <v>2</v>
      </c>
      <c r="H995" s="2">
        <v>8</v>
      </c>
      <c r="I995" s="2">
        <f>COUNTIFS($E$3:E995,E995,$H$3:H995,H995)</f>
        <v>2</v>
      </c>
      <c r="N995" s="11">
        <v>1015201</v>
      </c>
      <c r="O995" s="11">
        <v>1015301</v>
      </c>
      <c r="P995" s="11">
        <v>1015401</v>
      </c>
      <c r="Q995" s="11">
        <v>1015501</v>
      </c>
    </row>
    <row r="996" spans="1:17">
      <c r="A996" s="11">
        <f t="shared" si="18"/>
        <v>70154803</v>
      </c>
      <c r="B996" s="2" t="s">
        <v>1146</v>
      </c>
      <c r="D996" s="2" t="str">
        <f>E996&amp;(VLOOKUP(F996,编号表!$E$1:$G$8,2,0))&amp;G996&amp;"_"&amp;H996&amp;"_"&amp;I996</f>
        <v>15N4_8_3</v>
      </c>
      <c r="E996" s="2">
        <v>15</v>
      </c>
      <c r="F996" s="2" t="s">
        <v>174</v>
      </c>
      <c r="G996" s="2">
        <v>4</v>
      </c>
      <c r="H996" s="2">
        <v>8</v>
      </c>
      <c r="I996" s="2">
        <f>COUNTIFS($E$3:E996,E996,$H$3:H996,H996)</f>
        <v>3</v>
      </c>
      <c r="N996" s="11">
        <v>1015201</v>
      </c>
      <c r="O996" s="11">
        <v>1015301</v>
      </c>
      <c r="P996" s="11">
        <v>1015401</v>
      </c>
      <c r="Q996" s="11">
        <v>1015501</v>
      </c>
    </row>
    <row r="997" spans="1:17">
      <c r="A997" s="11">
        <f t="shared" si="18"/>
        <v>70154804</v>
      </c>
      <c r="B997" s="2" t="s">
        <v>1147</v>
      </c>
      <c r="D997" s="2" t="str">
        <f>E997&amp;(VLOOKUP(F997,编号表!$E$1:$G$8,2,0))&amp;G997&amp;"_"&amp;H997&amp;"_"&amp;I997</f>
        <v>15N4_8_4</v>
      </c>
      <c r="E997" s="2">
        <v>15</v>
      </c>
      <c r="F997" s="2" t="s">
        <v>174</v>
      </c>
      <c r="G997" s="2">
        <v>4</v>
      </c>
      <c r="H997" s="2">
        <v>8</v>
      </c>
      <c r="I997" s="2">
        <f>COUNTIFS($E$3:E997,E997,$H$3:H997,H997)</f>
        <v>4</v>
      </c>
      <c r="N997" s="11">
        <v>1015201</v>
      </c>
      <c r="O997" s="11">
        <v>1015301</v>
      </c>
      <c r="P997" s="11">
        <v>1015401</v>
      </c>
      <c r="Q997" s="11">
        <v>1015501</v>
      </c>
    </row>
    <row r="998" spans="1:17">
      <c r="A998" s="11">
        <f t="shared" si="18"/>
        <v>70154805</v>
      </c>
      <c r="B998" s="2" t="s">
        <v>1148</v>
      </c>
      <c r="D998" s="2" t="str">
        <f>E998&amp;(VLOOKUP(F998,编号表!$E$1:$G$8,2,0))&amp;G998&amp;"_"&amp;H998&amp;"_"&amp;I998</f>
        <v>15N4_8_5</v>
      </c>
      <c r="E998" s="2">
        <v>15</v>
      </c>
      <c r="F998" s="2" t="s">
        <v>174</v>
      </c>
      <c r="G998" s="2">
        <v>4</v>
      </c>
      <c r="H998" s="2">
        <v>8</v>
      </c>
      <c r="I998" s="2">
        <f>COUNTIFS($E$3:E998,E998,$H$3:H998,H998)</f>
        <v>5</v>
      </c>
      <c r="N998" s="11">
        <v>1015201</v>
      </c>
      <c r="O998" s="11">
        <v>1015301</v>
      </c>
      <c r="P998" s="11">
        <v>1015401</v>
      </c>
      <c r="Q998" s="11">
        <v>1015501</v>
      </c>
    </row>
    <row r="999" spans="1:17">
      <c r="A999" s="11">
        <f t="shared" si="18"/>
        <v>70154806</v>
      </c>
      <c r="B999" s="2" t="s">
        <v>1149</v>
      </c>
      <c r="D999" s="2" t="str">
        <f>E999&amp;(VLOOKUP(F999,编号表!$E$1:$G$8,2,0))&amp;G999&amp;"_"&amp;H999&amp;"_"&amp;I999</f>
        <v>15N4_8_6</v>
      </c>
      <c r="E999" s="2">
        <v>15</v>
      </c>
      <c r="F999" s="2" t="s">
        <v>174</v>
      </c>
      <c r="G999" s="2">
        <v>4</v>
      </c>
      <c r="H999" s="2">
        <v>8</v>
      </c>
      <c r="I999" s="2">
        <f>COUNTIFS($E$3:E999,E999,$H$3:H999,H999)</f>
        <v>6</v>
      </c>
      <c r="N999" s="11">
        <v>1015201</v>
      </c>
      <c r="O999" s="11">
        <v>1015301</v>
      </c>
      <c r="P999" s="11">
        <v>1015401</v>
      </c>
      <c r="Q999" s="11">
        <v>1015501</v>
      </c>
    </row>
    <row r="1000" spans="1:17">
      <c r="A1000" s="11">
        <f t="shared" si="18"/>
        <v>70151807</v>
      </c>
      <c r="B1000" s="15" t="s">
        <v>1150</v>
      </c>
      <c r="D1000" s="2" t="str">
        <f>E1000&amp;(VLOOKUP(F1000,编号表!$E$1:$G$8,2,0))&amp;G1000&amp;"_"&amp;H1000&amp;"_"&amp;I1000</f>
        <v>15T1_8_7</v>
      </c>
      <c r="E1000" s="2">
        <v>15</v>
      </c>
      <c r="F1000" s="2" t="s">
        <v>190</v>
      </c>
      <c r="G1000" s="2">
        <v>1</v>
      </c>
      <c r="H1000" s="2">
        <v>8</v>
      </c>
      <c r="I1000" s="2">
        <f>COUNTIFS($E$3:E1000,E1000,$H$3:H1000,H1000)</f>
        <v>7</v>
      </c>
    </row>
    <row r="1001" spans="1:17">
      <c r="A1001" s="11">
        <f t="shared" si="18"/>
        <v>70153808</v>
      </c>
      <c r="B1001" s="16" t="s">
        <v>1151</v>
      </c>
      <c r="C1001" s="2" t="s">
        <v>1152</v>
      </c>
      <c r="D1001" s="2" t="str">
        <f>E1001&amp;(VLOOKUP(F1001,编号表!$E$1:$G$8,2,0))&amp;G1001&amp;"_"&amp;H1001&amp;"_"&amp;I1001</f>
        <v>15T3_8_8</v>
      </c>
      <c r="E1001" s="2">
        <v>15</v>
      </c>
      <c r="F1001" s="2" t="s">
        <v>190</v>
      </c>
      <c r="G1001" s="2">
        <v>3</v>
      </c>
      <c r="H1001" s="2">
        <v>8</v>
      </c>
      <c r="I1001" s="2">
        <f>COUNTIFS($E$3:E1001,E1001,$H$3:H1001,H1001)</f>
        <v>8</v>
      </c>
      <c r="L1001" s="2">
        <v>132</v>
      </c>
    </row>
    <row r="1002" spans="1:17">
      <c r="A1002" s="11">
        <f t="shared" si="18"/>
        <v>70153809</v>
      </c>
      <c r="B1002" s="2" t="s">
        <v>1153</v>
      </c>
      <c r="D1002" s="2" t="str">
        <f>E1002&amp;(VLOOKUP(F1002,编号表!$E$1:$G$8,2,0))&amp;G1002&amp;"_"&amp;H1002&amp;"_"&amp;I1002</f>
        <v>15N3_8_9</v>
      </c>
      <c r="E1002" s="2">
        <v>15</v>
      </c>
      <c r="F1002" s="2" t="s">
        <v>174</v>
      </c>
      <c r="G1002" s="2">
        <v>3</v>
      </c>
      <c r="H1002" s="2">
        <v>8</v>
      </c>
      <c r="I1002" s="2">
        <f>COUNTIFS($E$3:E1002,E1002,$H$3:H1002,H1002)</f>
        <v>9</v>
      </c>
      <c r="N1002" s="11">
        <v>1015201</v>
      </c>
      <c r="O1002" s="11">
        <v>1015301</v>
      </c>
      <c r="P1002" s="11">
        <v>1015401</v>
      </c>
      <c r="Q1002" s="11">
        <v>1015501</v>
      </c>
    </row>
    <row r="1003" spans="1:17">
      <c r="A1003" s="11">
        <f t="shared" si="18"/>
        <v>70153901</v>
      </c>
      <c r="B1003" s="2" t="s">
        <v>1154</v>
      </c>
      <c r="D1003" s="2" t="str">
        <f>E1003&amp;(VLOOKUP(F1003,编号表!$E$1:$G$8,2,0))&amp;G1003&amp;"_"&amp;H1003&amp;"_"&amp;I1003</f>
        <v>15N3_9_1</v>
      </c>
      <c r="E1003" s="2">
        <v>15</v>
      </c>
      <c r="F1003" s="2" t="s">
        <v>174</v>
      </c>
      <c r="G1003" s="2">
        <v>3</v>
      </c>
      <c r="H1003" s="2">
        <v>9</v>
      </c>
      <c r="I1003" s="2">
        <f>COUNTIFS($E$3:E1003,E1003,$H$3:H1003,H1003)</f>
        <v>1</v>
      </c>
      <c r="N1003" s="11">
        <v>1015201</v>
      </c>
      <c r="O1003" s="11">
        <v>1015301</v>
      </c>
      <c r="P1003" s="11">
        <v>1015401</v>
      </c>
      <c r="Q1003" s="11">
        <v>1015501</v>
      </c>
    </row>
    <row r="1004" spans="1:17">
      <c r="A1004" s="11">
        <f t="shared" si="18"/>
        <v>70153902</v>
      </c>
      <c r="B1004" s="2" t="s">
        <v>1155</v>
      </c>
      <c r="D1004" s="2" t="str">
        <f>E1004&amp;(VLOOKUP(F1004,编号表!$E$1:$G$8,2,0))&amp;G1004&amp;"_"&amp;H1004&amp;"_"&amp;I1004</f>
        <v>15N3_9_2</v>
      </c>
      <c r="E1004" s="2">
        <v>15</v>
      </c>
      <c r="F1004" s="2" t="s">
        <v>174</v>
      </c>
      <c r="G1004" s="2">
        <v>3</v>
      </c>
      <c r="H1004" s="2">
        <v>9</v>
      </c>
      <c r="I1004" s="2">
        <f>COUNTIFS($E$3:E1004,E1004,$H$3:H1004,H1004)</f>
        <v>2</v>
      </c>
      <c r="N1004" s="11">
        <v>1015201</v>
      </c>
      <c r="O1004" s="11">
        <v>1015301</v>
      </c>
      <c r="P1004" s="11">
        <v>1015401</v>
      </c>
      <c r="Q1004" s="11">
        <v>1015501</v>
      </c>
    </row>
    <row r="1005" spans="1:17">
      <c r="A1005" s="11">
        <f t="shared" si="18"/>
        <v>70153903</v>
      </c>
      <c r="B1005" s="2" t="s">
        <v>1156</v>
      </c>
      <c r="D1005" s="2" t="str">
        <f>E1005&amp;(VLOOKUP(F1005,编号表!$E$1:$G$8,2,0))&amp;G1005&amp;"_"&amp;H1005&amp;"_"&amp;I1005</f>
        <v>15N3_9_3</v>
      </c>
      <c r="E1005" s="2">
        <v>15</v>
      </c>
      <c r="F1005" s="2" t="s">
        <v>174</v>
      </c>
      <c r="G1005" s="2">
        <v>3</v>
      </c>
      <c r="H1005" s="2">
        <v>9</v>
      </c>
      <c r="I1005" s="2">
        <f>COUNTIFS($E$3:E1005,E1005,$H$3:H1005,H1005)</f>
        <v>3</v>
      </c>
      <c r="N1005" s="11">
        <v>1015201</v>
      </c>
      <c r="O1005" s="11">
        <v>1015301</v>
      </c>
      <c r="P1005" s="11">
        <v>1015401</v>
      </c>
      <c r="Q1005" s="11">
        <v>1015501</v>
      </c>
    </row>
    <row r="1006" spans="1:17">
      <c r="A1006" s="11">
        <f t="shared" si="18"/>
        <v>70152904</v>
      </c>
      <c r="B1006" s="2" t="s">
        <v>1157</v>
      </c>
      <c r="D1006" s="2" t="str">
        <f>E1006&amp;(VLOOKUP(F1006,编号表!$E$1:$G$8,2,0))&amp;G1006&amp;"_"&amp;H1006&amp;"_"&amp;I1006</f>
        <v>15N2_9_4</v>
      </c>
      <c r="E1006" s="2">
        <v>15</v>
      </c>
      <c r="F1006" s="2" t="s">
        <v>174</v>
      </c>
      <c r="G1006" s="2">
        <v>2</v>
      </c>
      <c r="H1006" s="2">
        <v>9</v>
      </c>
      <c r="I1006" s="2">
        <f>COUNTIFS($E$3:E1006,E1006,$H$3:H1006,H1006)</f>
        <v>4</v>
      </c>
      <c r="N1006" s="11">
        <v>1015201</v>
      </c>
      <c r="O1006" s="11">
        <v>1015301</v>
      </c>
      <c r="P1006" s="11">
        <v>1015401</v>
      </c>
      <c r="Q1006" s="11">
        <v>1015501</v>
      </c>
    </row>
    <row r="1007" spans="1:17">
      <c r="A1007" s="11">
        <f t="shared" si="18"/>
        <v>70152905</v>
      </c>
      <c r="B1007" s="2" t="s">
        <v>1158</v>
      </c>
      <c r="D1007" s="2" t="str">
        <f>E1007&amp;(VLOOKUP(F1007,编号表!$E$1:$G$8,2,0))&amp;G1007&amp;"_"&amp;H1007&amp;"_"&amp;I1007</f>
        <v>15N2_9_5</v>
      </c>
      <c r="E1007" s="2">
        <v>15</v>
      </c>
      <c r="F1007" s="2" t="s">
        <v>174</v>
      </c>
      <c r="G1007" s="2">
        <v>2</v>
      </c>
      <c r="H1007" s="2">
        <v>9</v>
      </c>
      <c r="I1007" s="2">
        <f>COUNTIFS($E$3:E1007,E1007,$H$3:H1007,H1007)</f>
        <v>5</v>
      </c>
      <c r="N1007" s="11">
        <v>1015201</v>
      </c>
      <c r="O1007" s="11">
        <v>1015301</v>
      </c>
      <c r="P1007" s="11">
        <v>1015401</v>
      </c>
      <c r="Q1007" s="11">
        <v>1015501</v>
      </c>
    </row>
    <row r="1008" spans="1:17">
      <c r="A1008" s="11">
        <f t="shared" si="18"/>
        <v>70152906</v>
      </c>
      <c r="B1008" s="2" t="s">
        <v>1159</v>
      </c>
      <c r="D1008" s="2" t="str">
        <f>E1008&amp;(VLOOKUP(F1008,编号表!$E$1:$G$8,2,0))&amp;G1008&amp;"_"&amp;H1008&amp;"_"&amp;I1008</f>
        <v>15N2_9_6</v>
      </c>
      <c r="E1008" s="2">
        <v>15</v>
      </c>
      <c r="F1008" s="2" t="s">
        <v>174</v>
      </c>
      <c r="G1008" s="2">
        <v>2</v>
      </c>
      <c r="H1008" s="2">
        <v>9</v>
      </c>
      <c r="I1008" s="2">
        <f>COUNTIFS($E$3:E1008,E1008,$H$3:H1008,H1008)</f>
        <v>6</v>
      </c>
      <c r="N1008" s="11">
        <v>1015201</v>
      </c>
      <c r="O1008" s="11">
        <v>1015301</v>
      </c>
      <c r="P1008" s="11">
        <v>1015401</v>
      </c>
      <c r="Q1008" s="11">
        <v>1015501</v>
      </c>
    </row>
    <row r="1009" spans="1:20">
      <c r="A1009" s="11">
        <f t="shared" si="18"/>
        <v>70152907</v>
      </c>
      <c r="B1009" s="2" t="s">
        <v>1160</v>
      </c>
      <c r="D1009" s="2" t="str">
        <f>E1009&amp;(VLOOKUP(F1009,编号表!$E$1:$G$8,2,0))&amp;G1009&amp;"_"&amp;H1009&amp;"_"&amp;I1009</f>
        <v>15N2_9_7</v>
      </c>
      <c r="E1009" s="2">
        <v>15</v>
      </c>
      <c r="F1009" s="2" t="s">
        <v>174</v>
      </c>
      <c r="G1009" s="2">
        <v>2</v>
      </c>
      <c r="H1009" s="2">
        <v>9</v>
      </c>
      <c r="I1009" s="2">
        <f>COUNTIFS($E$3:E1009,E1009,$H$3:H1009,H1009)</f>
        <v>7</v>
      </c>
      <c r="N1009" s="11">
        <v>1015201</v>
      </c>
      <c r="O1009" s="11">
        <v>1015301</v>
      </c>
      <c r="P1009" s="11">
        <v>1015401</v>
      </c>
      <c r="Q1009" s="11">
        <v>1015501</v>
      </c>
    </row>
    <row r="1010" spans="1:20">
      <c r="A1010" s="11">
        <f t="shared" si="18"/>
        <v>70152908</v>
      </c>
      <c r="B1010" s="2" t="s">
        <v>1161</v>
      </c>
      <c r="D1010" s="2" t="str">
        <f>E1010&amp;(VLOOKUP(F1010,编号表!$E$1:$G$8,2,0))&amp;G1010&amp;"_"&amp;H1010&amp;"_"&amp;I1010</f>
        <v>15N2_9_8</v>
      </c>
      <c r="E1010" s="2">
        <v>15</v>
      </c>
      <c r="F1010" s="2" t="s">
        <v>174</v>
      </c>
      <c r="G1010" s="2">
        <v>2</v>
      </c>
      <c r="H1010" s="2">
        <v>9</v>
      </c>
      <c r="I1010" s="2">
        <f>COUNTIFS($E$3:E1010,E1010,$H$3:H1010,H1010)</f>
        <v>8</v>
      </c>
      <c r="N1010" s="11">
        <v>1015201</v>
      </c>
      <c r="O1010" s="11">
        <v>1015301</v>
      </c>
      <c r="P1010" s="11">
        <v>1015401</v>
      </c>
      <c r="Q1010" s="11">
        <v>1015501</v>
      </c>
    </row>
    <row r="1011" spans="1:20">
      <c r="A1011" s="11">
        <f t="shared" si="18"/>
        <v>70152909</v>
      </c>
      <c r="B1011" s="2" t="s">
        <v>1162</v>
      </c>
      <c r="D1011" s="2" t="str">
        <f>E1011&amp;(VLOOKUP(F1011,编号表!$E$1:$G$8,2,0))&amp;G1011&amp;"_"&amp;H1011&amp;"_"&amp;I1011</f>
        <v>15N2_9_9</v>
      </c>
      <c r="E1011" s="2">
        <v>15</v>
      </c>
      <c r="F1011" s="2" t="s">
        <v>174</v>
      </c>
      <c r="G1011" s="2">
        <v>2</v>
      </c>
      <c r="H1011" s="2">
        <v>9</v>
      </c>
      <c r="I1011" s="2">
        <f>COUNTIFS($E$3:E1011,E1011,$H$3:H1011,H1011)</f>
        <v>9</v>
      </c>
      <c r="N1011" s="11">
        <v>1015201</v>
      </c>
      <c r="O1011" s="11">
        <v>1015301</v>
      </c>
      <c r="P1011" s="11">
        <v>1015401</v>
      </c>
      <c r="Q1011" s="11">
        <v>1015501</v>
      </c>
    </row>
    <row r="1012" spans="1:20">
      <c r="A1012" s="11">
        <f t="shared" si="18"/>
        <v>70153910</v>
      </c>
      <c r="B1012" s="2" t="s">
        <v>1163</v>
      </c>
      <c r="D1012" s="2" t="str">
        <f>E1012&amp;(VLOOKUP(F1012,编号表!$E$1:$G$8,2,0))&amp;G1012&amp;"_"&amp;H1012&amp;"_"&amp;I1012</f>
        <v>15N3_9_10</v>
      </c>
      <c r="E1012" s="2">
        <v>15</v>
      </c>
      <c r="F1012" s="2" t="s">
        <v>174</v>
      </c>
      <c r="G1012" s="2">
        <v>3</v>
      </c>
      <c r="H1012" s="2">
        <v>9</v>
      </c>
      <c r="I1012" s="2">
        <f>COUNTIFS($E$3:E1012,E1012,$H$3:H1012,H1012)</f>
        <v>10</v>
      </c>
      <c r="N1012" s="11">
        <v>1015201</v>
      </c>
      <c r="O1012" s="11">
        <v>1015301</v>
      </c>
      <c r="P1012" s="11">
        <v>1015401</v>
      </c>
      <c r="Q1012" s="11">
        <v>1015501</v>
      </c>
    </row>
    <row r="1013" spans="1:20">
      <c r="A1013" s="11">
        <f t="shared" si="18"/>
        <v>70150001</v>
      </c>
      <c r="B1013" s="24" t="s">
        <v>1164</v>
      </c>
      <c r="D1013" s="2" t="str">
        <f>E1013&amp;(VLOOKUP(F1013,编号表!$E$1:$G$8,2,0))&amp;G1013&amp;"_"&amp;H1013&amp;"_"&amp;I1013</f>
        <v>15J0_0_1</v>
      </c>
      <c r="E1013" s="2">
        <v>15</v>
      </c>
      <c r="F1013" s="2" t="s">
        <v>222</v>
      </c>
      <c r="G1013" s="2">
        <v>0</v>
      </c>
      <c r="H1013" s="2">
        <v>0</v>
      </c>
      <c r="I1013" s="2">
        <f>COUNTIFS($E$3:E1013,E1013,$H$3:H1013,H1013)</f>
        <v>1</v>
      </c>
      <c r="J1013" s="2">
        <v>1</v>
      </c>
    </row>
    <row r="1014" spans="1:20">
      <c r="A1014" s="11">
        <f t="shared" si="18"/>
        <v>70163001</v>
      </c>
      <c r="B1014" s="16" t="s">
        <v>58</v>
      </c>
      <c r="C1014" s="2" t="s">
        <v>1165</v>
      </c>
      <c r="D1014" s="2" t="str">
        <f>E1014&amp;(VLOOKUP(F1014,编号表!$E$1:$G$8,2,0))&amp;G1014&amp;"_"&amp;H1014&amp;"_"&amp;I1014</f>
        <v>16T3_0_1</v>
      </c>
      <c r="E1014" s="2">
        <v>16</v>
      </c>
      <c r="F1014" s="2" t="s">
        <v>190</v>
      </c>
      <c r="G1014" s="2">
        <v>3</v>
      </c>
      <c r="H1014" s="2">
        <v>0</v>
      </c>
      <c r="I1014" s="2">
        <f>COUNTIFS($E$3:E1014,E1014,$H$3:H1014,H1014)</f>
        <v>1</v>
      </c>
      <c r="L1014" s="2">
        <v>133</v>
      </c>
    </row>
    <row r="1015" spans="1:20">
      <c r="A1015" s="11">
        <f t="shared" si="18"/>
        <v>70161002</v>
      </c>
      <c r="B1015" s="15" t="s">
        <v>1166</v>
      </c>
      <c r="D1015" s="2" t="str">
        <f>E1015&amp;(VLOOKUP(F1015,编号表!$E$1:$G$8,2,0))&amp;G1015&amp;"_"&amp;H1015&amp;"_"&amp;I1015</f>
        <v>16T1_0_2</v>
      </c>
      <c r="E1015" s="2">
        <v>16</v>
      </c>
      <c r="F1015" s="2" t="s">
        <v>190</v>
      </c>
      <c r="G1015" s="2">
        <v>1</v>
      </c>
      <c r="H1015" s="2">
        <v>0</v>
      </c>
      <c r="I1015" s="2">
        <f>COUNTIFS($E$3:E1015,E1015,$H$3:H1015,H1015)</f>
        <v>2</v>
      </c>
      <c r="K1015" s="2">
        <v>1</v>
      </c>
    </row>
    <row r="1016" spans="1:20">
      <c r="A1016" s="11">
        <f t="shared" si="18"/>
        <v>70163003</v>
      </c>
      <c r="B1016" s="16" t="s">
        <v>1151</v>
      </c>
      <c r="C1016" s="2" t="s">
        <v>1167</v>
      </c>
      <c r="D1016" s="2" t="str">
        <f>E1016&amp;(VLOOKUP(F1016,编号表!$E$1:$G$8,2,0))&amp;G1016&amp;"_"&amp;H1016&amp;"_"&amp;I1016</f>
        <v>16T3_0_3</v>
      </c>
      <c r="E1016" s="2">
        <v>16</v>
      </c>
      <c r="F1016" s="2" t="s">
        <v>190</v>
      </c>
      <c r="G1016" s="2">
        <v>3</v>
      </c>
      <c r="H1016" s="2">
        <v>0</v>
      </c>
      <c r="I1016" s="2">
        <f>COUNTIFS($E$3:E1016,E1016,$H$3:H1016,H1016)</f>
        <v>3</v>
      </c>
      <c r="L1016" s="2">
        <v>134</v>
      </c>
    </row>
    <row r="1017" spans="1:20">
      <c r="A1017" s="11">
        <f t="shared" si="18"/>
        <v>70161004</v>
      </c>
      <c r="B1017" s="15" t="s">
        <v>1168</v>
      </c>
      <c r="D1017" s="2" t="str">
        <f>E1017&amp;(VLOOKUP(F1017,编号表!$E$1:$G$8,2,0))&amp;G1017&amp;"_"&amp;H1017&amp;"_"&amp;I1017</f>
        <v>16T1_0_4</v>
      </c>
      <c r="E1017" s="2">
        <v>16</v>
      </c>
      <c r="F1017" s="2" t="s">
        <v>190</v>
      </c>
      <c r="G1017" s="2">
        <v>1</v>
      </c>
      <c r="H1017" s="2">
        <v>0</v>
      </c>
      <c r="I1017" s="2">
        <f>COUNTIFS($E$3:E1017,E1017,$H$3:H1017,H1017)</f>
        <v>4</v>
      </c>
    </row>
    <row r="1018" spans="1:20">
      <c r="A1018" s="11">
        <f t="shared" ref="A1018:A1081" si="19">70000000+E1018*10000+G1018*1000+H1018*100+I1018</f>
        <v>70163005</v>
      </c>
      <c r="B1018" s="16" t="s">
        <v>1151</v>
      </c>
      <c r="C1018" s="2" t="s">
        <v>1169</v>
      </c>
      <c r="D1018" s="2" t="str">
        <f>E1018&amp;(VLOOKUP(F1018,编号表!$E$1:$G$8,2,0))&amp;G1018&amp;"_"&amp;H1018&amp;"_"&amp;I1018</f>
        <v>16T3_0_5</v>
      </c>
      <c r="E1018" s="2">
        <v>16</v>
      </c>
      <c r="F1018" s="2" t="s">
        <v>190</v>
      </c>
      <c r="G1018" s="2">
        <v>3</v>
      </c>
      <c r="H1018" s="2">
        <v>0</v>
      </c>
      <c r="I1018" s="2">
        <f>COUNTIFS($E$3:E1018,E1018,$H$3:H1018,H1018)</f>
        <v>5</v>
      </c>
      <c r="L1018" s="2">
        <v>134</v>
      </c>
    </row>
    <row r="1019" spans="1:20">
      <c r="A1019" s="11">
        <f t="shared" si="19"/>
        <v>70161006</v>
      </c>
      <c r="B1019" s="15" t="s">
        <v>1170</v>
      </c>
      <c r="D1019" s="2" t="str">
        <f>E1019&amp;(VLOOKUP(F1019,编号表!$E$1:$G$8,2,0))&amp;G1019&amp;"_"&amp;H1019&amp;"_"&amp;I1019</f>
        <v>16T1_0_6</v>
      </c>
      <c r="E1019" s="2">
        <v>16</v>
      </c>
      <c r="F1019" s="2" t="s">
        <v>190</v>
      </c>
      <c r="G1019" s="2">
        <v>1</v>
      </c>
      <c r="H1019" s="2">
        <v>0</v>
      </c>
      <c r="I1019" s="2">
        <f>COUNTIFS($E$3:E1019,E1019,$H$3:H1019,H1019)</f>
        <v>6</v>
      </c>
    </row>
    <row r="1020" spans="1:20">
      <c r="A1020" s="11">
        <f t="shared" si="19"/>
        <v>70163007</v>
      </c>
      <c r="B1020" s="16" t="s">
        <v>1151</v>
      </c>
      <c r="C1020" s="2" t="s">
        <v>1171</v>
      </c>
      <c r="D1020" s="2" t="str">
        <f>E1020&amp;(VLOOKUP(F1020,编号表!$E$1:$G$8,2,0))&amp;G1020&amp;"_"&amp;H1020&amp;"_"&amp;I1020</f>
        <v>16T3_0_7</v>
      </c>
      <c r="E1020" s="2">
        <v>16</v>
      </c>
      <c r="F1020" s="2" t="s">
        <v>190</v>
      </c>
      <c r="G1020" s="2">
        <v>3</v>
      </c>
      <c r="H1020" s="2">
        <v>0</v>
      </c>
      <c r="I1020" s="2">
        <f>COUNTIFS($E$3:E1020,E1020,$H$3:H1020,H1020)</f>
        <v>7</v>
      </c>
      <c r="L1020" s="2">
        <v>134</v>
      </c>
    </row>
    <row r="1021" spans="1:20">
      <c r="A1021" s="11">
        <f t="shared" si="19"/>
        <v>70161008</v>
      </c>
      <c r="B1021" s="15" t="s">
        <v>1172</v>
      </c>
      <c r="D1021" s="2" t="str">
        <f>E1021&amp;(VLOOKUP(F1021,编号表!$E$1:$G$8,2,0))&amp;G1021&amp;"_"&amp;H1021&amp;"_"&amp;I1021</f>
        <v>16T1_0_8</v>
      </c>
      <c r="E1021" s="2">
        <v>16</v>
      </c>
      <c r="F1021" s="2" t="s">
        <v>190</v>
      </c>
      <c r="G1021" s="2">
        <v>1</v>
      </c>
      <c r="H1021" s="2">
        <v>0</v>
      </c>
      <c r="I1021" s="2">
        <f>COUNTIFS($E$3:E1021,E1021,$H$3:H1021,H1021)</f>
        <v>8</v>
      </c>
    </row>
    <row r="1022" spans="1:20">
      <c r="A1022" s="11">
        <f t="shared" si="19"/>
        <v>70162101</v>
      </c>
      <c r="B1022" s="2" t="s">
        <v>1173</v>
      </c>
      <c r="D1022" s="2" t="str">
        <f>E1022&amp;(VLOOKUP(F1022,编号表!$E$1:$G$8,2,0))&amp;G1022&amp;"_"&amp;H1022&amp;"_"&amp;I1022</f>
        <v>16N2_1_1</v>
      </c>
      <c r="E1022" s="2">
        <v>16</v>
      </c>
      <c r="F1022" s="2" t="s">
        <v>174</v>
      </c>
      <c r="G1022" s="2">
        <v>2</v>
      </c>
      <c r="H1022" s="2">
        <v>1</v>
      </c>
      <c r="I1022" s="2">
        <f>COUNTIFS($E$3:E1022,E1022,$H$3:H1022,H1022)</f>
        <v>1</v>
      </c>
      <c r="N1022" s="11">
        <v>1016201</v>
      </c>
      <c r="O1022" s="11">
        <v>1016301</v>
      </c>
      <c r="P1022" s="11">
        <v>1016401</v>
      </c>
      <c r="Q1022" s="11">
        <v>1016501</v>
      </c>
      <c r="R1022" s="11">
        <v>1016601</v>
      </c>
      <c r="S1022" s="11">
        <v>1016701</v>
      </c>
      <c r="T1022" s="11">
        <v>1016001</v>
      </c>
    </row>
    <row r="1023" spans="1:20">
      <c r="A1023" s="11">
        <f t="shared" si="19"/>
        <v>70163102</v>
      </c>
      <c r="B1023" s="2" t="s">
        <v>1174</v>
      </c>
      <c r="D1023" s="2" t="str">
        <f>E1023&amp;(VLOOKUP(F1023,编号表!$E$1:$G$8,2,0))&amp;G1023&amp;"_"&amp;H1023&amp;"_"&amp;I1023</f>
        <v>16N3_1_2</v>
      </c>
      <c r="E1023" s="2">
        <v>16</v>
      </c>
      <c r="F1023" s="2" t="s">
        <v>174</v>
      </c>
      <c r="G1023" s="2">
        <v>3</v>
      </c>
      <c r="H1023" s="2">
        <v>1</v>
      </c>
      <c r="I1023" s="2">
        <f>COUNTIFS($E$3:E1023,E1023,$H$3:H1023,H1023)</f>
        <v>2</v>
      </c>
      <c r="N1023" s="11">
        <v>1016201</v>
      </c>
      <c r="O1023" s="11">
        <v>1016301</v>
      </c>
      <c r="P1023" s="11">
        <v>1016401</v>
      </c>
      <c r="Q1023" s="11">
        <v>1016501</v>
      </c>
      <c r="R1023" s="11">
        <v>1016601</v>
      </c>
      <c r="S1023" s="11">
        <v>1016701</v>
      </c>
      <c r="T1023" s="11">
        <v>1016101</v>
      </c>
    </row>
    <row r="1024" spans="1:20">
      <c r="A1024" s="11">
        <f t="shared" si="19"/>
        <v>70163103</v>
      </c>
      <c r="B1024" s="2" t="s">
        <v>1175</v>
      </c>
      <c r="D1024" s="2" t="str">
        <f>E1024&amp;(VLOOKUP(F1024,编号表!$E$1:$G$8,2,0))&amp;G1024&amp;"_"&amp;H1024&amp;"_"&amp;I1024</f>
        <v>16N3_1_3</v>
      </c>
      <c r="E1024" s="2">
        <v>16</v>
      </c>
      <c r="F1024" s="2" t="s">
        <v>174</v>
      </c>
      <c r="G1024" s="2">
        <v>3</v>
      </c>
      <c r="H1024" s="2">
        <v>1</v>
      </c>
      <c r="I1024" s="2">
        <f>COUNTIFS($E$3:E1024,E1024,$H$3:H1024,H1024)</f>
        <v>3</v>
      </c>
      <c r="N1024" s="11">
        <v>1016201</v>
      </c>
      <c r="O1024" s="11">
        <v>1016301</v>
      </c>
      <c r="P1024" s="11">
        <v>1016401</v>
      </c>
      <c r="Q1024" s="11">
        <v>1016501</v>
      </c>
      <c r="R1024" s="11">
        <v>1016601</v>
      </c>
      <c r="S1024" s="11">
        <v>1016701</v>
      </c>
      <c r="T1024" s="11">
        <v>1015101</v>
      </c>
    </row>
    <row r="1025" spans="1:19">
      <c r="A1025" s="11">
        <f t="shared" si="19"/>
        <v>70162104</v>
      </c>
      <c r="B1025" s="2" t="s">
        <v>1176</v>
      </c>
      <c r="D1025" s="2" t="str">
        <f>E1025&amp;(VLOOKUP(F1025,编号表!$E$1:$G$8,2,0))&amp;G1025&amp;"_"&amp;H1025&amp;"_"&amp;I1025</f>
        <v>16N2_1_4</v>
      </c>
      <c r="E1025" s="2">
        <v>16</v>
      </c>
      <c r="F1025" s="2" t="s">
        <v>174</v>
      </c>
      <c r="G1025" s="2">
        <v>2</v>
      </c>
      <c r="H1025" s="2">
        <v>1</v>
      </c>
      <c r="I1025" s="2">
        <f>COUNTIFS($E$3:E1025,E1025,$H$3:H1025,H1025)</f>
        <v>4</v>
      </c>
      <c r="N1025" s="11">
        <v>1016201</v>
      </c>
      <c r="O1025" s="11">
        <v>1016301</v>
      </c>
      <c r="P1025" s="11">
        <v>1016401</v>
      </c>
      <c r="Q1025" s="11">
        <v>1016501</v>
      </c>
      <c r="R1025" s="11">
        <v>1016601</v>
      </c>
      <c r="S1025" s="11">
        <v>1016701</v>
      </c>
    </row>
    <row r="1026" spans="1:19">
      <c r="A1026" s="11">
        <f t="shared" si="19"/>
        <v>70163201</v>
      </c>
      <c r="B1026" s="2" t="s">
        <v>1177</v>
      </c>
      <c r="D1026" s="2" t="str">
        <f>E1026&amp;(VLOOKUP(F1026,编号表!$E$1:$G$8,2,0))&amp;G1026&amp;"_"&amp;H1026&amp;"_"&amp;I1026</f>
        <v>16N3_2_1</v>
      </c>
      <c r="E1026" s="2">
        <v>16</v>
      </c>
      <c r="F1026" s="2" t="s">
        <v>174</v>
      </c>
      <c r="G1026" s="2">
        <v>3</v>
      </c>
      <c r="H1026" s="2">
        <v>2</v>
      </c>
      <c r="I1026" s="2">
        <f>COUNTIFS($E$3:E1026,E1026,$H$3:H1026,H1026)</f>
        <v>1</v>
      </c>
      <c r="N1026" s="11">
        <v>1016201</v>
      </c>
      <c r="O1026" s="11">
        <v>1016301</v>
      </c>
      <c r="P1026" s="11">
        <v>1016401</v>
      </c>
      <c r="Q1026" s="11">
        <v>1016501</v>
      </c>
      <c r="R1026" s="11">
        <v>1016601</v>
      </c>
      <c r="S1026" s="11">
        <v>1016701</v>
      </c>
    </row>
    <row r="1027" spans="1:19">
      <c r="A1027" s="11">
        <f t="shared" si="19"/>
        <v>70162202</v>
      </c>
      <c r="B1027" s="2" t="s">
        <v>1178</v>
      </c>
      <c r="D1027" s="2" t="str">
        <f>E1027&amp;(VLOOKUP(F1027,编号表!$E$1:$G$8,2,0))&amp;G1027&amp;"_"&amp;H1027&amp;"_"&amp;I1027</f>
        <v>16N2_2_2</v>
      </c>
      <c r="E1027" s="2">
        <v>16</v>
      </c>
      <c r="F1027" s="2" t="s">
        <v>174</v>
      </c>
      <c r="G1027" s="2">
        <v>2</v>
      </c>
      <c r="H1027" s="2">
        <v>2</v>
      </c>
      <c r="I1027" s="2">
        <f>COUNTIFS($E$3:E1027,E1027,$H$3:H1027,H1027)</f>
        <v>2</v>
      </c>
      <c r="N1027" s="11">
        <v>1016201</v>
      </c>
      <c r="O1027" s="11">
        <v>1016301</v>
      </c>
      <c r="P1027" s="11">
        <v>1016401</v>
      </c>
      <c r="Q1027" s="11">
        <v>1016501</v>
      </c>
      <c r="R1027" s="11">
        <v>1016601</v>
      </c>
      <c r="S1027" s="11">
        <v>1016701</v>
      </c>
    </row>
    <row r="1028" spans="1:19">
      <c r="A1028" s="11">
        <f t="shared" si="19"/>
        <v>70161203</v>
      </c>
      <c r="B1028" s="2" t="s">
        <v>1179</v>
      </c>
      <c r="D1028" s="2" t="str">
        <f>E1028&amp;(VLOOKUP(F1028,编号表!$E$1:$G$8,2,0))&amp;G1028&amp;"_"&amp;H1028&amp;"_"&amp;I1028</f>
        <v>16N1_2_3</v>
      </c>
      <c r="E1028" s="2">
        <v>16</v>
      </c>
      <c r="F1028" s="2" t="s">
        <v>174</v>
      </c>
      <c r="G1028" s="2">
        <v>1</v>
      </c>
      <c r="H1028" s="2">
        <v>2</v>
      </c>
      <c r="I1028" s="2">
        <f>COUNTIFS($E$3:E1028,E1028,$H$3:H1028,H1028)</f>
        <v>3</v>
      </c>
      <c r="N1028" s="11">
        <v>1016201</v>
      </c>
      <c r="O1028" s="11">
        <v>1016301</v>
      </c>
      <c r="P1028" s="11">
        <v>1016401</v>
      </c>
      <c r="Q1028" s="11">
        <v>1016501</v>
      </c>
      <c r="R1028" s="11">
        <v>1016601</v>
      </c>
      <c r="S1028" s="11">
        <v>1016701</v>
      </c>
    </row>
    <row r="1029" spans="1:19">
      <c r="A1029" s="11">
        <f t="shared" si="19"/>
        <v>70163204</v>
      </c>
      <c r="B1029" s="2" t="s">
        <v>1180</v>
      </c>
      <c r="D1029" s="2" t="str">
        <f>E1029&amp;(VLOOKUP(F1029,编号表!$E$1:$G$8,2,0))&amp;G1029&amp;"_"&amp;H1029&amp;"_"&amp;I1029</f>
        <v>16N3_2_4</v>
      </c>
      <c r="E1029" s="2">
        <v>16</v>
      </c>
      <c r="F1029" s="2" t="s">
        <v>174</v>
      </c>
      <c r="G1029" s="2">
        <v>3</v>
      </c>
      <c r="H1029" s="2">
        <v>2</v>
      </c>
      <c r="I1029" s="2">
        <f>COUNTIFS($E$3:E1029,E1029,$H$3:H1029,H1029)</f>
        <v>4</v>
      </c>
      <c r="N1029" s="11">
        <v>1016201</v>
      </c>
      <c r="O1029" s="11">
        <v>1016301</v>
      </c>
      <c r="P1029" s="11">
        <v>1016401</v>
      </c>
      <c r="Q1029" s="11">
        <v>1016501</v>
      </c>
      <c r="R1029" s="11">
        <v>1016601</v>
      </c>
      <c r="S1029" s="11">
        <v>1016701</v>
      </c>
    </row>
    <row r="1030" spans="1:19">
      <c r="A1030" s="11">
        <f t="shared" si="19"/>
        <v>70161301</v>
      </c>
      <c r="B1030" s="2" t="s">
        <v>1181</v>
      </c>
      <c r="D1030" s="2" t="str">
        <f>E1030&amp;(VLOOKUP(F1030,编号表!$E$1:$G$8,2,0))&amp;G1030&amp;"_"&amp;H1030&amp;"_"&amp;I1030</f>
        <v>16N1_3_1</v>
      </c>
      <c r="E1030" s="2">
        <v>16</v>
      </c>
      <c r="F1030" s="2" t="s">
        <v>174</v>
      </c>
      <c r="G1030" s="2">
        <v>1</v>
      </c>
      <c r="H1030" s="2">
        <v>3</v>
      </c>
      <c r="I1030" s="2">
        <f>COUNTIFS($E$3:E1030,E1030,$H$3:H1030,H1030)</f>
        <v>1</v>
      </c>
      <c r="N1030" s="11">
        <v>1016201</v>
      </c>
      <c r="O1030" s="11">
        <v>1016301</v>
      </c>
      <c r="P1030" s="11">
        <v>1016401</v>
      </c>
      <c r="Q1030" s="11">
        <v>1016501</v>
      </c>
      <c r="R1030" s="11">
        <v>1016601</v>
      </c>
      <c r="S1030" s="11">
        <v>1016701</v>
      </c>
    </row>
    <row r="1031" spans="1:19">
      <c r="A1031" s="11">
        <f t="shared" si="19"/>
        <v>70161302</v>
      </c>
      <c r="B1031" s="2" t="s">
        <v>1182</v>
      </c>
      <c r="D1031" s="2" t="str">
        <f>E1031&amp;(VLOOKUP(F1031,编号表!$E$1:$G$8,2,0))&amp;G1031&amp;"_"&amp;H1031&amp;"_"&amp;I1031</f>
        <v>16N1_3_2</v>
      </c>
      <c r="E1031" s="2">
        <v>16</v>
      </c>
      <c r="F1031" s="2" t="s">
        <v>174</v>
      </c>
      <c r="G1031" s="2">
        <v>1</v>
      </c>
      <c r="H1031" s="2">
        <v>3</v>
      </c>
      <c r="I1031" s="2">
        <f>COUNTIFS($E$3:E1031,E1031,$H$3:H1031,H1031)</f>
        <v>2</v>
      </c>
      <c r="N1031" s="11">
        <v>1016201</v>
      </c>
      <c r="O1031" s="11">
        <v>1016301</v>
      </c>
      <c r="P1031" s="11">
        <v>1016401</v>
      </c>
      <c r="Q1031" s="11">
        <v>1016501</v>
      </c>
      <c r="R1031" s="11">
        <v>1016601</v>
      </c>
      <c r="S1031" s="11">
        <v>1016701</v>
      </c>
    </row>
    <row r="1032" spans="1:19">
      <c r="A1032" s="11">
        <f t="shared" si="19"/>
        <v>70163401</v>
      </c>
      <c r="B1032" s="2" t="s">
        <v>1183</v>
      </c>
      <c r="D1032" s="2" t="str">
        <f>E1032&amp;(VLOOKUP(F1032,编号表!$E$1:$G$8,2,0))&amp;G1032&amp;"_"&amp;H1032&amp;"_"&amp;I1032</f>
        <v>16N3_4_1</v>
      </c>
      <c r="E1032" s="2">
        <v>16</v>
      </c>
      <c r="F1032" s="2" t="s">
        <v>174</v>
      </c>
      <c r="G1032" s="2">
        <v>3</v>
      </c>
      <c r="H1032" s="2">
        <v>4</v>
      </c>
      <c r="I1032" s="2">
        <f>COUNTIFS($E$3:E1032,E1032,$H$3:H1032,H1032)</f>
        <v>1</v>
      </c>
      <c r="N1032" s="11">
        <v>1016201</v>
      </c>
      <c r="O1032" s="11">
        <v>1016301</v>
      </c>
      <c r="P1032" s="11">
        <v>1016401</v>
      </c>
      <c r="Q1032" s="11">
        <v>1016501</v>
      </c>
      <c r="R1032" s="11">
        <v>1016601</v>
      </c>
      <c r="S1032" s="11">
        <v>1016701</v>
      </c>
    </row>
    <row r="1033" spans="1:19">
      <c r="A1033" s="11">
        <f t="shared" si="19"/>
        <v>70162402</v>
      </c>
      <c r="B1033" s="2" t="s">
        <v>1184</v>
      </c>
      <c r="D1033" s="2" t="str">
        <f>E1033&amp;(VLOOKUP(F1033,编号表!$E$1:$G$8,2,0))&amp;G1033&amp;"_"&amp;H1033&amp;"_"&amp;I1033</f>
        <v>16N2_4_2</v>
      </c>
      <c r="E1033" s="2">
        <v>16</v>
      </c>
      <c r="F1033" s="2" t="s">
        <v>174</v>
      </c>
      <c r="G1033" s="2">
        <v>2</v>
      </c>
      <c r="H1033" s="2">
        <v>4</v>
      </c>
      <c r="I1033" s="2">
        <f>COUNTIFS($E$3:E1033,E1033,$H$3:H1033,H1033)</f>
        <v>2</v>
      </c>
      <c r="N1033" s="11">
        <v>1016201</v>
      </c>
      <c r="O1033" s="11">
        <v>1016301</v>
      </c>
      <c r="P1033" s="11">
        <v>1016401</v>
      </c>
      <c r="Q1033" s="11">
        <v>1016501</v>
      </c>
      <c r="R1033" s="11">
        <v>1016601</v>
      </c>
      <c r="S1033" s="11">
        <v>1016701</v>
      </c>
    </row>
    <row r="1034" spans="1:19">
      <c r="A1034" s="11">
        <f t="shared" si="19"/>
        <v>70161403</v>
      </c>
      <c r="B1034" s="2" t="s">
        <v>1185</v>
      </c>
      <c r="D1034" s="2" t="str">
        <f>E1034&amp;(VLOOKUP(F1034,编号表!$E$1:$G$8,2,0))&amp;G1034&amp;"_"&amp;H1034&amp;"_"&amp;I1034</f>
        <v>16N1_4_3</v>
      </c>
      <c r="E1034" s="2">
        <v>16</v>
      </c>
      <c r="F1034" s="2" t="s">
        <v>174</v>
      </c>
      <c r="G1034" s="2">
        <v>1</v>
      </c>
      <c r="H1034" s="2">
        <v>4</v>
      </c>
      <c r="I1034" s="2">
        <f>COUNTIFS($E$3:E1034,E1034,$H$3:H1034,H1034)</f>
        <v>3</v>
      </c>
      <c r="N1034" s="11">
        <v>1016201</v>
      </c>
      <c r="O1034" s="11">
        <v>1016301</v>
      </c>
      <c r="P1034" s="11">
        <v>1016401</v>
      </c>
      <c r="Q1034" s="11">
        <v>1016501</v>
      </c>
      <c r="R1034" s="11">
        <v>1016601</v>
      </c>
      <c r="S1034" s="11">
        <v>1016701</v>
      </c>
    </row>
    <row r="1035" spans="1:19">
      <c r="A1035" s="11">
        <f t="shared" si="19"/>
        <v>70162404</v>
      </c>
      <c r="B1035" s="2" t="s">
        <v>1186</v>
      </c>
      <c r="D1035" s="2" t="str">
        <f>E1035&amp;(VLOOKUP(F1035,编号表!$E$1:$G$8,2,0))&amp;G1035&amp;"_"&amp;H1035&amp;"_"&amp;I1035</f>
        <v>16N2_4_4</v>
      </c>
      <c r="E1035" s="2">
        <v>16</v>
      </c>
      <c r="F1035" s="2" t="s">
        <v>174</v>
      </c>
      <c r="G1035" s="2">
        <v>2</v>
      </c>
      <c r="H1035" s="2">
        <v>4</v>
      </c>
      <c r="I1035" s="2">
        <f>COUNTIFS($E$3:E1035,E1035,$H$3:H1035,H1035)</f>
        <v>4</v>
      </c>
      <c r="N1035" s="11">
        <v>1016201</v>
      </c>
      <c r="O1035" s="11">
        <v>1016301</v>
      </c>
      <c r="P1035" s="11">
        <v>1016401</v>
      </c>
      <c r="Q1035" s="11">
        <v>1016501</v>
      </c>
      <c r="R1035" s="11">
        <v>1016601</v>
      </c>
      <c r="S1035" s="11">
        <v>1016701</v>
      </c>
    </row>
    <row r="1036" spans="1:19">
      <c r="A1036" s="11">
        <f t="shared" si="19"/>
        <v>70163405</v>
      </c>
      <c r="B1036" s="2" t="s">
        <v>1187</v>
      </c>
      <c r="D1036" s="2" t="str">
        <f>E1036&amp;(VLOOKUP(F1036,编号表!$E$1:$G$8,2,0))&amp;G1036&amp;"_"&amp;H1036&amp;"_"&amp;I1036</f>
        <v>16N3_4_5</v>
      </c>
      <c r="E1036" s="2">
        <v>16</v>
      </c>
      <c r="F1036" s="2" t="s">
        <v>174</v>
      </c>
      <c r="G1036" s="2">
        <v>3</v>
      </c>
      <c r="H1036" s="2">
        <v>4</v>
      </c>
      <c r="I1036" s="2">
        <f>COUNTIFS($E$3:E1036,E1036,$H$3:H1036,H1036)</f>
        <v>5</v>
      </c>
      <c r="N1036" s="11">
        <v>1016201</v>
      </c>
      <c r="O1036" s="11">
        <v>1016301</v>
      </c>
      <c r="P1036" s="11">
        <v>1016401</v>
      </c>
      <c r="Q1036" s="11">
        <v>1016501</v>
      </c>
      <c r="R1036" s="11">
        <v>1016601</v>
      </c>
      <c r="S1036" s="11">
        <v>1016701</v>
      </c>
    </row>
    <row r="1037" spans="1:19">
      <c r="A1037" s="11">
        <f t="shared" si="19"/>
        <v>70163501</v>
      </c>
      <c r="B1037" s="2" t="s">
        <v>1188</v>
      </c>
      <c r="D1037" s="2" t="str">
        <f>E1037&amp;(VLOOKUP(F1037,编号表!$E$1:$G$8,2,0))&amp;G1037&amp;"_"&amp;H1037&amp;"_"&amp;I1037</f>
        <v>16N3_5_1</v>
      </c>
      <c r="E1037" s="2">
        <v>16</v>
      </c>
      <c r="F1037" s="2" t="s">
        <v>174</v>
      </c>
      <c r="G1037" s="2">
        <v>3</v>
      </c>
      <c r="H1037" s="2">
        <v>5</v>
      </c>
      <c r="I1037" s="2">
        <f>COUNTIFS($E$3:E1037,E1037,$H$3:H1037,H1037)</f>
        <v>1</v>
      </c>
      <c r="N1037" s="11">
        <v>1016201</v>
      </c>
      <c r="O1037" s="11">
        <v>1016301</v>
      </c>
      <c r="P1037" s="11">
        <v>1016401</v>
      </c>
      <c r="Q1037" s="11">
        <v>1016501</v>
      </c>
      <c r="R1037" s="11">
        <v>1016601</v>
      </c>
      <c r="S1037" s="11">
        <v>1016701</v>
      </c>
    </row>
    <row r="1038" spans="1:19">
      <c r="A1038" s="11">
        <f t="shared" si="19"/>
        <v>70163502</v>
      </c>
      <c r="B1038" s="2" t="s">
        <v>1189</v>
      </c>
      <c r="D1038" s="2" t="str">
        <f>E1038&amp;(VLOOKUP(F1038,编号表!$E$1:$G$8,2,0))&amp;G1038&amp;"_"&amp;H1038&amp;"_"&amp;I1038</f>
        <v>16N3_5_2</v>
      </c>
      <c r="E1038" s="2">
        <v>16</v>
      </c>
      <c r="F1038" s="2" t="s">
        <v>174</v>
      </c>
      <c r="G1038" s="2">
        <v>3</v>
      </c>
      <c r="H1038" s="2">
        <v>5</v>
      </c>
      <c r="I1038" s="2">
        <f>COUNTIFS($E$3:E1038,E1038,$H$3:H1038,H1038)</f>
        <v>2</v>
      </c>
      <c r="N1038" s="11">
        <v>1016201</v>
      </c>
      <c r="O1038" s="11">
        <v>1016301</v>
      </c>
      <c r="P1038" s="11">
        <v>1016401</v>
      </c>
      <c r="Q1038" s="11">
        <v>1016501</v>
      </c>
      <c r="R1038" s="11">
        <v>1016601</v>
      </c>
      <c r="S1038" s="11">
        <v>1016701</v>
      </c>
    </row>
    <row r="1039" spans="1:19">
      <c r="A1039" s="11">
        <f t="shared" si="19"/>
        <v>70163503</v>
      </c>
      <c r="B1039" s="2" t="s">
        <v>1190</v>
      </c>
      <c r="D1039" s="2" t="str">
        <f>E1039&amp;(VLOOKUP(F1039,编号表!$E$1:$G$8,2,0))&amp;G1039&amp;"_"&amp;H1039&amp;"_"&amp;I1039</f>
        <v>16N3_5_3</v>
      </c>
      <c r="E1039" s="2">
        <v>16</v>
      </c>
      <c r="F1039" s="2" t="s">
        <v>174</v>
      </c>
      <c r="G1039" s="2">
        <v>3</v>
      </c>
      <c r="H1039" s="2">
        <v>5</v>
      </c>
      <c r="I1039" s="2">
        <f>COUNTIFS($E$3:E1039,E1039,$H$3:H1039,H1039)</f>
        <v>3</v>
      </c>
      <c r="N1039" s="11">
        <v>1016201</v>
      </c>
      <c r="O1039" s="11">
        <v>1016301</v>
      </c>
      <c r="P1039" s="11">
        <v>1016401</v>
      </c>
      <c r="Q1039" s="11">
        <v>1016501</v>
      </c>
      <c r="R1039" s="11">
        <v>1016601</v>
      </c>
      <c r="S1039" s="11">
        <v>1016701</v>
      </c>
    </row>
    <row r="1040" spans="1:19">
      <c r="A1040" s="11">
        <f t="shared" si="19"/>
        <v>70163504</v>
      </c>
      <c r="B1040" s="2" t="s">
        <v>1191</v>
      </c>
      <c r="D1040" s="2" t="str">
        <f>E1040&amp;(VLOOKUP(F1040,编号表!$E$1:$G$8,2,0))&amp;G1040&amp;"_"&amp;H1040&amp;"_"&amp;I1040</f>
        <v>16N3_5_4</v>
      </c>
      <c r="E1040" s="2">
        <v>16</v>
      </c>
      <c r="F1040" s="2" t="s">
        <v>174</v>
      </c>
      <c r="G1040" s="2">
        <v>3</v>
      </c>
      <c r="H1040" s="2">
        <v>5</v>
      </c>
      <c r="I1040" s="2">
        <f>COUNTIFS($E$3:E1040,E1040,$H$3:H1040,H1040)</f>
        <v>4</v>
      </c>
      <c r="N1040" s="11">
        <v>1016201</v>
      </c>
      <c r="O1040" s="11">
        <v>1016301</v>
      </c>
      <c r="P1040" s="11">
        <v>1016401</v>
      </c>
      <c r="Q1040" s="11">
        <v>1016501</v>
      </c>
      <c r="R1040" s="11">
        <v>1016601</v>
      </c>
      <c r="S1040" s="11">
        <v>1016701</v>
      </c>
    </row>
    <row r="1041" spans="1:21">
      <c r="A1041" s="11">
        <f t="shared" si="19"/>
        <v>70160009</v>
      </c>
      <c r="B1041" s="24" t="s">
        <v>1192</v>
      </c>
      <c r="D1041" s="2" t="str">
        <f>E1041&amp;(VLOOKUP(F1041,编号表!$E$1:$G$8,2,0))&amp;G1041&amp;"_"&amp;H1041&amp;"_"&amp;I1041</f>
        <v>16J0_0_9</v>
      </c>
      <c r="E1041" s="2">
        <v>16</v>
      </c>
      <c r="F1041" s="2" t="s">
        <v>222</v>
      </c>
      <c r="G1041" s="2">
        <v>0</v>
      </c>
      <c r="H1041" s="2">
        <v>0</v>
      </c>
      <c r="I1041" s="2">
        <f>COUNTIFS($E$3:E1041,E1041,$H$3:H1041,H1041)</f>
        <v>9</v>
      </c>
      <c r="J1041" s="2">
        <v>1</v>
      </c>
    </row>
    <row r="1042" spans="1:21">
      <c r="A1042" s="11">
        <f t="shared" si="19"/>
        <v>70173101</v>
      </c>
      <c r="B1042" s="16" t="s">
        <v>1151</v>
      </c>
      <c r="C1042" s="2" t="s">
        <v>1168</v>
      </c>
      <c r="D1042" s="2" t="str">
        <f>E1042&amp;(VLOOKUP(F1042,编号表!$E$1:$G$8,2,0))&amp;G1042&amp;"_"&amp;H1042&amp;"_"&amp;I1042</f>
        <v>17T3_1_1</v>
      </c>
      <c r="E1042" s="2">
        <v>17</v>
      </c>
      <c r="F1042" s="2" t="s">
        <v>190</v>
      </c>
      <c r="G1042" s="2">
        <v>3</v>
      </c>
      <c r="H1042" s="2">
        <v>1</v>
      </c>
      <c r="I1042" s="2">
        <f>COUNTIFS($E$3:E1042,E1042,$H$3:H1042,H1042)</f>
        <v>1</v>
      </c>
      <c r="L1042" s="2">
        <v>135</v>
      </c>
    </row>
    <row r="1043" spans="1:21">
      <c r="A1043" s="11">
        <f t="shared" si="19"/>
        <v>70173102</v>
      </c>
      <c r="B1043" s="2" t="s">
        <v>1193</v>
      </c>
      <c r="D1043" s="2" t="str">
        <f>E1043&amp;(VLOOKUP(F1043,编号表!$E$1:$G$8,2,0))&amp;G1043&amp;"_"&amp;H1043&amp;"_"&amp;I1043</f>
        <v>17N3_1_2</v>
      </c>
      <c r="E1043" s="2">
        <v>17</v>
      </c>
      <c r="F1043" s="2" t="s">
        <v>174</v>
      </c>
      <c r="G1043" s="2">
        <v>3</v>
      </c>
      <c r="H1043" s="2">
        <v>1</v>
      </c>
      <c r="I1043" s="2">
        <f>COUNTIFS($E$3:E1043,E1043,$H$3:H1043,H1043)</f>
        <v>2</v>
      </c>
      <c r="N1043" s="11">
        <v>1017201</v>
      </c>
      <c r="O1043" s="11">
        <v>1017301</v>
      </c>
      <c r="P1043" s="11">
        <v>1017401</v>
      </c>
      <c r="Q1043" s="11">
        <v>1017501</v>
      </c>
      <c r="R1043" s="11">
        <v>1017601</v>
      </c>
      <c r="S1043" s="11">
        <v>1017701</v>
      </c>
      <c r="T1043" s="11">
        <v>1017801</v>
      </c>
      <c r="U1043" s="11">
        <v>1017001</v>
      </c>
    </row>
    <row r="1044" spans="1:21">
      <c r="A1044" s="11">
        <f t="shared" si="19"/>
        <v>70173103</v>
      </c>
      <c r="B1044" s="2" t="s">
        <v>1194</v>
      </c>
      <c r="D1044" s="2" t="str">
        <f>E1044&amp;(VLOOKUP(F1044,编号表!$E$1:$G$8,2,0))&amp;G1044&amp;"_"&amp;H1044&amp;"_"&amp;I1044</f>
        <v>17N3_1_3</v>
      </c>
      <c r="E1044" s="2">
        <v>17</v>
      </c>
      <c r="F1044" s="2" t="s">
        <v>174</v>
      </c>
      <c r="G1044" s="2">
        <v>3</v>
      </c>
      <c r="H1044" s="2">
        <v>1</v>
      </c>
      <c r="I1044" s="2">
        <f>COUNTIFS($E$3:E1044,E1044,$H$3:H1044,H1044)</f>
        <v>3</v>
      </c>
      <c r="N1044" s="11">
        <v>1017201</v>
      </c>
      <c r="O1044" s="11">
        <v>1017301</v>
      </c>
      <c r="P1044" s="11">
        <v>1017401</v>
      </c>
      <c r="Q1044" s="11">
        <v>1017501</v>
      </c>
      <c r="R1044" s="11">
        <v>1017601</v>
      </c>
      <c r="S1044" s="11">
        <v>1017701</v>
      </c>
      <c r="T1044" s="11">
        <v>1017801</v>
      </c>
      <c r="U1044" s="11">
        <v>1017101</v>
      </c>
    </row>
    <row r="1045" spans="1:21">
      <c r="A1045" s="11">
        <f t="shared" si="19"/>
        <v>70171104</v>
      </c>
      <c r="B1045" s="15" t="s">
        <v>1195</v>
      </c>
      <c r="D1045" s="2" t="str">
        <f>E1045&amp;(VLOOKUP(F1045,编号表!$E$1:$G$8,2,0))&amp;G1045&amp;"_"&amp;H1045&amp;"_"&amp;I1045</f>
        <v>17T1_1_4</v>
      </c>
      <c r="E1045" s="2">
        <v>17</v>
      </c>
      <c r="F1045" s="2" t="s">
        <v>190</v>
      </c>
      <c r="G1045" s="2">
        <v>1</v>
      </c>
      <c r="H1045" s="2">
        <v>1</v>
      </c>
      <c r="I1045" s="2">
        <f>COUNTIFS($E$3:E1045,E1045,$H$3:H1045,H1045)</f>
        <v>4</v>
      </c>
      <c r="K1045" s="2">
        <v>1</v>
      </c>
    </row>
    <row r="1046" spans="1:21">
      <c r="A1046" s="11">
        <f t="shared" si="19"/>
        <v>70173105</v>
      </c>
      <c r="B1046" s="2" t="s">
        <v>1196</v>
      </c>
      <c r="D1046" s="2" t="str">
        <f>E1046&amp;(VLOOKUP(F1046,编号表!$E$1:$G$8,2,0))&amp;G1046&amp;"_"&amp;H1046&amp;"_"&amp;I1046</f>
        <v>17N3_1_5</v>
      </c>
      <c r="E1046" s="2">
        <v>17</v>
      </c>
      <c r="F1046" s="2" t="s">
        <v>174</v>
      </c>
      <c r="G1046" s="2">
        <v>3</v>
      </c>
      <c r="H1046" s="2">
        <v>1</v>
      </c>
      <c r="I1046" s="2">
        <f>COUNTIFS($E$3:E1046,E1046,$H$3:H1046,H1046)</f>
        <v>5</v>
      </c>
      <c r="N1046" s="11">
        <v>1017201</v>
      </c>
      <c r="O1046" s="11">
        <v>1017301</v>
      </c>
      <c r="P1046" s="11">
        <v>1017401</v>
      </c>
      <c r="Q1046" s="11">
        <v>1017501</v>
      </c>
      <c r="R1046" s="11">
        <v>1017601</v>
      </c>
      <c r="S1046" s="11">
        <v>1017701</v>
      </c>
      <c r="T1046" s="11">
        <v>1017801</v>
      </c>
      <c r="U1046" s="11">
        <v>1016101</v>
      </c>
    </row>
    <row r="1047" spans="1:21">
      <c r="A1047" s="11">
        <f t="shared" si="19"/>
        <v>70172106</v>
      </c>
      <c r="B1047" s="2" t="s">
        <v>1197</v>
      </c>
      <c r="D1047" s="2" t="str">
        <f>E1047&amp;(VLOOKUP(F1047,编号表!$E$1:$G$8,2,0))&amp;G1047&amp;"_"&amp;H1047&amp;"_"&amp;I1047</f>
        <v>17N2_1_6</v>
      </c>
      <c r="E1047" s="2">
        <v>17</v>
      </c>
      <c r="F1047" s="2" t="s">
        <v>174</v>
      </c>
      <c r="G1047" s="2">
        <v>2</v>
      </c>
      <c r="H1047" s="2">
        <v>1</v>
      </c>
      <c r="I1047" s="2">
        <f>COUNTIFS($E$3:E1047,E1047,$H$3:H1047,H1047)</f>
        <v>6</v>
      </c>
      <c r="N1047" s="11">
        <v>1017201</v>
      </c>
      <c r="O1047" s="11">
        <v>1017301</v>
      </c>
      <c r="P1047" s="11">
        <v>1017401</v>
      </c>
      <c r="Q1047" s="11">
        <v>1017501</v>
      </c>
      <c r="R1047" s="11">
        <v>1017601</v>
      </c>
      <c r="S1047" s="11">
        <v>1017701</v>
      </c>
      <c r="T1047" s="11">
        <v>1017801</v>
      </c>
    </row>
    <row r="1048" spans="1:21">
      <c r="A1048" s="11">
        <f t="shared" si="19"/>
        <v>70173201</v>
      </c>
      <c r="B1048" s="2" t="s">
        <v>1198</v>
      </c>
      <c r="D1048" s="2" t="str">
        <f>E1048&amp;(VLOOKUP(F1048,编号表!$E$1:$G$8,2,0))&amp;G1048&amp;"_"&amp;H1048&amp;"_"&amp;I1048</f>
        <v>17N3_2_1</v>
      </c>
      <c r="E1048" s="2">
        <v>17</v>
      </c>
      <c r="F1048" s="2" t="s">
        <v>174</v>
      </c>
      <c r="G1048" s="2">
        <v>3</v>
      </c>
      <c r="H1048" s="2">
        <v>2</v>
      </c>
      <c r="I1048" s="2">
        <f>COUNTIFS($E$3:E1048,E1048,$H$3:H1048,H1048)</f>
        <v>1</v>
      </c>
      <c r="N1048" s="11">
        <v>1017201</v>
      </c>
      <c r="O1048" s="11">
        <v>1017301</v>
      </c>
      <c r="P1048" s="11">
        <v>1017401</v>
      </c>
      <c r="Q1048" s="11">
        <v>1017501</v>
      </c>
      <c r="R1048" s="11">
        <v>1017601</v>
      </c>
      <c r="S1048" s="11">
        <v>1017701</v>
      </c>
      <c r="T1048" s="11">
        <v>1017801</v>
      </c>
    </row>
    <row r="1049" spans="1:21">
      <c r="A1049" s="11">
        <f t="shared" si="19"/>
        <v>70173202</v>
      </c>
      <c r="B1049" s="2" t="s">
        <v>1199</v>
      </c>
      <c r="D1049" s="2" t="str">
        <f>E1049&amp;(VLOOKUP(F1049,编号表!$E$1:$G$8,2,0))&amp;G1049&amp;"_"&amp;H1049&amp;"_"&amp;I1049</f>
        <v>17N3_2_2</v>
      </c>
      <c r="E1049" s="2">
        <v>17</v>
      </c>
      <c r="F1049" s="2" t="s">
        <v>174</v>
      </c>
      <c r="G1049" s="2">
        <v>3</v>
      </c>
      <c r="H1049" s="2">
        <v>2</v>
      </c>
      <c r="I1049" s="2">
        <f>COUNTIFS($E$3:E1049,E1049,$H$3:H1049,H1049)</f>
        <v>2</v>
      </c>
      <c r="N1049" s="11">
        <v>1017201</v>
      </c>
      <c r="O1049" s="11">
        <v>1017301</v>
      </c>
      <c r="P1049" s="11">
        <v>1017401</v>
      </c>
      <c r="Q1049" s="11">
        <v>1017501</v>
      </c>
      <c r="R1049" s="11">
        <v>1017601</v>
      </c>
      <c r="S1049" s="11">
        <v>1017701</v>
      </c>
      <c r="T1049" s="11">
        <v>1017801</v>
      </c>
    </row>
    <row r="1050" spans="1:21">
      <c r="A1050" s="11">
        <f t="shared" si="19"/>
        <v>70173203</v>
      </c>
      <c r="B1050" s="2" t="s">
        <v>1200</v>
      </c>
      <c r="D1050" s="2" t="str">
        <f>E1050&amp;(VLOOKUP(F1050,编号表!$E$1:$G$8,2,0))&amp;G1050&amp;"_"&amp;H1050&amp;"_"&amp;I1050</f>
        <v>17N3_2_3</v>
      </c>
      <c r="E1050" s="2">
        <v>17</v>
      </c>
      <c r="F1050" s="2" t="s">
        <v>174</v>
      </c>
      <c r="G1050" s="2">
        <v>3</v>
      </c>
      <c r="H1050" s="2">
        <v>2</v>
      </c>
      <c r="I1050" s="2">
        <f>COUNTIFS($E$3:E1050,E1050,$H$3:H1050,H1050)</f>
        <v>3</v>
      </c>
      <c r="N1050" s="11">
        <v>1017201</v>
      </c>
      <c r="O1050" s="11">
        <v>1017301</v>
      </c>
      <c r="P1050" s="11">
        <v>1017401</v>
      </c>
      <c r="Q1050" s="11">
        <v>1017501</v>
      </c>
      <c r="R1050" s="11">
        <v>1017601</v>
      </c>
      <c r="S1050" s="11">
        <v>1017701</v>
      </c>
      <c r="T1050" s="11">
        <v>1017801</v>
      </c>
    </row>
    <row r="1051" spans="1:21">
      <c r="A1051" s="11">
        <f t="shared" si="19"/>
        <v>70173204</v>
      </c>
      <c r="B1051" s="2" t="s">
        <v>1201</v>
      </c>
      <c r="D1051" s="2" t="str">
        <f>E1051&amp;(VLOOKUP(F1051,编号表!$E$1:$G$8,2,0))&amp;G1051&amp;"_"&amp;H1051&amp;"_"&amp;I1051</f>
        <v>17N3_2_4</v>
      </c>
      <c r="E1051" s="2">
        <v>17</v>
      </c>
      <c r="F1051" s="2" t="s">
        <v>174</v>
      </c>
      <c r="G1051" s="2">
        <v>3</v>
      </c>
      <c r="H1051" s="2">
        <v>2</v>
      </c>
      <c r="I1051" s="2">
        <f>COUNTIFS($E$3:E1051,E1051,$H$3:H1051,H1051)</f>
        <v>4</v>
      </c>
      <c r="N1051" s="11">
        <v>1017201</v>
      </c>
      <c r="O1051" s="11">
        <v>1017301</v>
      </c>
      <c r="P1051" s="11">
        <v>1017401</v>
      </c>
      <c r="Q1051" s="11">
        <v>1017501</v>
      </c>
      <c r="R1051" s="11">
        <v>1017601</v>
      </c>
      <c r="S1051" s="11">
        <v>1017701</v>
      </c>
      <c r="T1051" s="11">
        <v>1017801</v>
      </c>
    </row>
    <row r="1052" spans="1:21">
      <c r="A1052" s="11">
        <f t="shared" si="19"/>
        <v>70172205</v>
      </c>
      <c r="B1052" s="2" t="s">
        <v>1202</v>
      </c>
      <c r="D1052" s="2" t="str">
        <f>E1052&amp;(VLOOKUP(F1052,编号表!$E$1:$G$8,2,0))&amp;G1052&amp;"_"&amp;H1052&amp;"_"&amp;I1052</f>
        <v>17N2_2_5</v>
      </c>
      <c r="E1052" s="2">
        <v>17</v>
      </c>
      <c r="F1052" s="2" t="s">
        <v>174</v>
      </c>
      <c r="G1052" s="2">
        <v>2</v>
      </c>
      <c r="H1052" s="2">
        <v>2</v>
      </c>
      <c r="I1052" s="2">
        <f>COUNTIFS($E$3:E1052,E1052,$H$3:H1052,H1052)</f>
        <v>5</v>
      </c>
      <c r="N1052" s="11">
        <v>1017201</v>
      </c>
      <c r="O1052" s="11">
        <v>1017301</v>
      </c>
      <c r="P1052" s="11">
        <v>1017401</v>
      </c>
      <c r="Q1052" s="11">
        <v>1017501</v>
      </c>
      <c r="R1052" s="11">
        <v>1017601</v>
      </c>
      <c r="S1052" s="11">
        <v>1017701</v>
      </c>
      <c r="T1052" s="11">
        <v>1017801</v>
      </c>
    </row>
    <row r="1053" spans="1:21">
      <c r="A1053" s="11">
        <f t="shared" si="19"/>
        <v>70173301</v>
      </c>
      <c r="B1053" s="2" t="s">
        <v>1203</v>
      </c>
      <c r="D1053" s="2" t="str">
        <f>E1053&amp;(VLOOKUP(F1053,编号表!$E$1:$G$8,2,0))&amp;G1053&amp;"_"&amp;H1053&amp;"_"&amp;I1053</f>
        <v>17N3_3_1</v>
      </c>
      <c r="E1053" s="2">
        <v>17</v>
      </c>
      <c r="F1053" s="2" t="s">
        <v>174</v>
      </c>
      <c r="G1053" s="2">
        <v>3</v>
      </c>
      <c r="H1053" s="2">
        <v>3</v>
      </c>
      <c r="I1053" s="2">
        <f>COUNTIFS($E$3:E1053,E1053,$H$3:H1053,H1053)</f>
        <v>1</v>
      </c>
      <c r="N1053" s="11">
        <v>1017201</v>
      </c>
      <c r="O1053" s="11">
        <v>1017301</v>
      </c>
      <c r="P1053" s="11">
        <v>1017401</v>
      </c>
      <c r="Q1053" s="11">
        <v>1017501</v>
      </c>
      <c r="R1053" s="11">
        <v>1017601</v>
      </c>
      <c r="S1053" s="11">
        <v>1017701</v>
      </c>
      <c r="T1053" s="11">
        <v>1017801</v>
      </c>
    </row>
    <row r="1054" spans="1:21">
      <c r="A1054" s="11">
        <f t="shared" si="19"/>
        <v>70173302</v>
      </c>
      <c r="B1054" s="2" t="s">
        <v>1204</v>
      </c>
      <c r="D1054" s="2" t="str">
        <f>E1054&amp;(VLOOKUP(F1054,编号表!$E$1:$G$8,2,0))&amp;G1054&amp;"_"&amp;H1054&amp;"_"&amp;I1054</f>
        <v>17N3_3_2</v>
      </c>
      <c r="E1054" s="2">
        <v>17</v>
      </c>
      <c r="F1054" s="2" t="s">
        <v>174</v>
      </c>
      <c r="G1054" s="2">
        <v>3</v>
      </c>
      <c r="H1054" s="2">
        <v>3</v>
      </c>
      <c r="I1054" s="2">
        <f>COUNTIFS($E$3:E1054,E1054,$H$3:H1054,H1054)</f>
        <v>2</v>
      </c>
      <c r="N1054" s="11">
        <v>1017201</v>
      </c>
      <c r="O1054" s="11">
        <v>1017301</v>
      </c>
      <c r="P1054" s="11">
        <v>1017401</v>
      </c>
      <c r="Q1054" s="11">
        <v>1017501</v>
      </c>
      <c r="R1054" s="11">
        <v>1017601</v>
      </c>
      <c r="S1054" s="11">
        <v>1017701</v>
      </c>
      <c r="T1054" s="11">
        <v>1017801</v>
      </c>
    </row>
    <row r="1055" spans="1:21">
      <c r="A1055" s="11">
        <f t="shared" si="19"/>
        <v>70173303</v>
      </c>
      <c r="B1055" s="2" t="s">
        <v>1205</v>
      </c>
      <c r="D1055" s="2" t="str">
        <f>E1055&amp;(VLOOKUP(F1055,编号表!$E$1:$G$8,2,0))&amp;G1055&amp;"_"&amp;H1055&amp;"_"&amp;I1055</f>
        <v>17N3_3_3</v>
      </c>
      <c r="E1055" s="2">
        <v>17</v>
      </c>
      <c r="F1055" s="2" t="s">
        <v>174</v>
      </c>
      <c r="G1055" s="2">
        <v>3</v>
      </c>
      <c r="H1055" s="2">
        <v>3</v>
      </c>
      <c r="I1055" s="2">
        <f>COUNTIFS($E$3:E1055,E1055,$H$3:H1055,H1055)</f>
        <v>3</v>
      </c>
      <c r="N1055" s="11">
        <v>1017201</v>
      </c>
      <c r="O1055" s="11">
        <v>1017301</v>
      </c>
      <c r="P1055" s="11">
        <v>1017401</v>
      </c>
      <c r="Q1055" s="11">
        <v>1017501</v>
      </c>
      <c r="R1055" s="11">
        <v>1017601</v>
      </c>
      <c r="S1055" s="11">
        <v>1017701</v>
      </c>
      <c r="T1055" s="11">
        <v>1017801</v>
      </c>
    </row>
    <row r="1056" spans="1:21">
      <c r="A1056" s="11">
        <f t="shared" si="19"/>
        <v>70172304</v>
      </c>
      <c r="B1056" s="2" t="s">
        <v>1206</v>
      </c>
      <c r="D1056" s="2" t="str">
        <f>E1056&amp;(VLOOKUP(F1056,编号表!$E$1:$G$8,2,0))&amp;G1056&amp;"_"&amp;H1056&amp;"_"&amp;I1056</f>
        <v>17N2_3_4</v>
      </c>
      <c r="E1056" s="2">
        <v>17</v>
      </c>
      <c r="F1056" s="2" t="s">
        <v>174</v>
      </c>
      <c r="G1056" s="2">
        <v>2</v>
      </c>
      <c r="H1056" s="2">
        <v>3</v>
      </c>
      <c r="I1056" s="2">
        <f>COUNTIFS($E$3:E1056,E1056,$H$3:H1056,H1056)</f>
        <v>4</v>
      </c>
      <c r="N1056" s="11">
        <v>1017201</v>
      </c>
      <c r="O1056" s="11">
        <v>1017301</v>
      </c>
      <c r="P1056" s="11">
        <v>1017401</v>
      </c>
      <c r="Q1056" s="11">
        <v>1017501</v>
      </c>
      <c r="R1056" s="11">
        <v>1017601</v>
      </c>
      <c r="S1056" s="11">
        <v>1017701</v>
      </c>
      <c r="T1056" s="11">
        <v>1017801</v>
      </c>
    </row>
    <row r="1057" spans="1:20">
      <c r="A1057" s="11">
        <f t="shared" si="19"/>
        <v>70173401</v>
      </c>
      <c r="B1057" s="2" t="s">
        <v>1207</v>
      </c>
      <c r="D1057" s="2" t="str">
        <f>E1057&amp;(VLOOKUP(F1057,编号表!$E$1:$G$8,2,0))&amp;G1057&amp;"_"&amp;H1057&amp;"_"&amp;I1057</f>
        <v>17N3_4_1</v>
      </c>
      <c r="E1057" s="2">
        <v>17</v>
      </c>
      <c r="F1057" s="2" t="s">
        <v>174</v>
      </c>
      <c r="G1057" s="2">
        <v>3</v>
      </c>
      <c r="H1057" s="2">
        <v>4</v>
      </c>
      <c r="I1057" s="2">
        <f>COUNTIFS($E$3:E1057,E1057,$H$3:H1057,H1057)</f>
        <v>1</v>
      </c>
      <c r="N1057" s="11">
        <v>1017201</v>
      </c>
      <c r="O1057" s="11">
        <v>1017301</v>
      </c>
      <c r="P1057" s="11">
        <v>1017401</v>
      </c>
      <c r="Q1057" s="11">
        <v>1017501</v>
      </c>
      <c r="R1057" s="11">
        <v>1017601</v>
      </c>
      <c r="S1057" s="11">
        <v>1017701</v>
      </c>
      <c r="T1057" s="11">
        <v>1017801</v>
      </c>
    </row>
    <row r="1058" spans="1:20">
      <c r="A1058" s="11">
        <f t="shared" si="19"/>
        <v>70172402</v>
      </c>
      <c r="B1058" s="2" t="s">
        <v>1208</v>
      </c>
      <c r="D1058" s="2" t="str">
        <f>E1058&amp;(VLOOKUP(F1058,编号表!$E$1:$G$8,2,0))&amp;G1058&amp;"_"&amp;H1058&amp;"_"&amp;I1058</f>
        <v>17N2_4_2</v>
      </c>
      <c r="E1058" s="2">
        <v>17</v>
      </c>
      <c r="F1058" s="2" t="s">
        <v>174</v>
      </c>
      <c r="G1058" s="2">
        <v>2</v>
      </c>
      <c r="H1058" s="2">
        <v>4</v>
      </c>
      <c r="I1058" s="2">
        <f>COUNTIFS($E$3:E1058,E1058,$H$3:H1058,H1058)</f>
        <v>2</v>
      </c>
      <c r="N1058" s="11">
        <v>1017201</v>
      </c>
      <c r="O1058" s="11">
        <v>1017301</v>
      </c>
      <c r="P1058" s="11">
        <v>1017401</v>
      </c>
      <c r="Q1058" s="11">
        <v>1017501</v>
      </c>
      <c r="R1058" s="11">
        <v>1017601</v>
      </c>
      <c r="S1058" s="11">
        <v>1017701</v>
      </c>
      <c r="T1058" s="11">
        <v>1017801</v>
      </c>
    </row>
    <row r="1059" spans="1:20">
      <c r="A1059" s="11">
        <f t="shared" si="19"/>
        <v>70173403</v>
      </c>
      <c r="B1059" s="16" t="s">
        <v>67</v>
      </c>
      <c r="C1059" s="2" t="s">
        <v>1209</v>
      </c>
      <c r="D1059" s="2" t="str">
        <f>E1059&amp;(VLOOKUP(F1059,编号表!$E$1:$G$8,2,0))&amp;G1059&amp;"_"&amp;H1059&amp;"_"&amp;I1059</f>
        <v>17T3_4_3</v>
      </c>
      <c r="E1059" s="2">
        <v>17</v>
      </c>
      <c r="F1059" s="2" t="s">
        <v>190</v>
      </c>
      <c r="G1059" s="2">
        <v>3</v>
      </c>
      <c r="H1059" s="2">
        <v>4</v>
      </c>
      <c r="I1059" s="2">
        <f>COUNTIFS($E$3:E1059,E1059,$H$3:H1059,H1059)</f>
        <v>3</v>
      </c>
      <c r="L1059" s="2">
        <v>136</v>
      </c>
    </row>
    <row r="1060" spans="1:20">
      <c r="A1060" s="11">
        <f t="shared" si="19"/>
        <v>70171404</v>
      </c>
      <c r="B1060" s="15" t="s">
        <v>1210</v>
      </c>
      <c r="D1060" s="2" t="str">
        <f>E1060&amp;(VLOOKUP(F1060,编号表!$E$1:$G$8,2,0))&amp;G1060&amp;"_"&amp;H1060&amp;"_"&amp;I1060</f>
        <v>17T1_4_4</v>
      </c>
      <c r="E1060" s="2">
        <v>17</v>
      </c>
      <c r="F1060" s="2" t="s">
        <v>190</v>
      </c>
      <c r="G1060" s="2">
        <v>1</v>
      </c>
      <c r="H1060" s="2">
        <v>4</v>
      </c>
      <c r="I1060" s="2">
        <f>COUNTIFS($E$3:E1060,E1060,$H$3:H1060,H1060)</f>
        <v>4</v>
      </c>
    </row>
    <row r="1061" spans="1:20">
      <c r="A1061" s="11">
        <f t="shared" si="19"/>
        <v>70173405</v>
      </c>
      <c r="B1061" s="2" t="s">
        <v>1211</v>
      </c>
      <c r="D1061" s="2" t="str">
        <f>E1061&amp;(VLOOKUP(F1061,编号表!$E$1:$G$8,2,0))&amp;G1061&amp;"_"&amp;H1061&amp;"_"&amp;I1061</f>
        <v>17N3_4_5</v>
      </c>
      <c r="E1061" s="2">
        <v>17</v>
      </c>
      <c r="F1061" s="2" t="s">
        <v>174</v>
      </c>
      <c r="G1061" s="2">
        <v>3</v>
      </c>
      <c r="H1061" s="2">
        <v>4</v>
      </c>
      <c r="I1061" s="2">
        <f>COUNTIFS($E$3:E1061,E1061,$H$3:H1061,H1061)</f>
        <v>5</v>
      </c>
      <c r="N1061" s="11">
        <v>1017201</v>
      </c>
      <c r="O1061" s="11">
        <v>1017301</v>
      </c>
      <c r="P1061" s="11">
        <v>1017401</v>
      </c>
      <c r="Q1061" s="11">
        <v>1017501</v>
      </c>
      <c r="R1061" s="11">
        <v>1017601</v>
      </c>
      <c r="S1061" s="11">
        <v>1017701</v>
      </c>
      <c r="T1061" s="11">
        <v>1017801</v>
      </c>
    </row>
    <row r="1062" spans="1:20">
      <c r="A1062" s="11">
        <f t="shared" si="19"/>
        <v>70172406</v>
      </c>
      <c r="B1062" s="2" t="s">
        <v>1212</v>
      </c>
      <c r="D1062" s="2" t="str">
        <f>E1062&amp;(VLOOKUP(F1062,编号表!$E$1:$G$8,2,0))&amp;G1062&amp;"_"&amp;H1062&amp;"_"&amp;I1062</f>
        <v>17N2_4_6</v>
      </c>
      <c r="E1062" s="2">
        <v>17</v>
      </c>
      <c r="F1062" s="2" t="s">
        <v>174</v>
      </c>
      <c r="G1062" s="2">
        <v>2</v>
      </c>
      <c r="H1062" s="2">
        <v>4</v>
      </c>
      <c r="I1062" s="2">
        <f>COUNTIFS($E$3:E1062,E1062,$H$3:H1062,H1062)</f>
        <v>6</v>
      </c>
      <c r="N1062" s="11">
        <v>1017201</v>
      </c>
      <c r="O1062" s="11">
        <v>1017301</v>
      </c>
      <c r="P1062" s="11">
        <v>1017401</v>
      </c>
      <c r="Q1062" s="11">
        <v>1017501</v>
      </c>
      <c r="R1062" s="11">
        <v>1017601</v>
      </c>
      <c r="S1062" s="11">
        <v>1017701</v>
      </c>
      <c r="T1062" s="11">
        <v>1017801</v>
      </c>
    </row>
    <row r="1063" spans="1:20">
      <c r="A1063" s="11">
        <f t="shared" si="19"/>
        <v>70173501</v>
      </c>
      <c r="B1063" s="2" t="s">
        <v>1213</v>
      </c>
      <c r="D1063" s="2" t="str">
        <f>E1063&amp;(VLOOKUP(F1063,编号表!$E$1:$G$8,2,0))&amp;G1063&amp;"_"&amp;H1063&amp;"_"&amp;I1063</f>
        <v>17N3_5_1</v>
      </c>
      <c r="E1063" s="2">
        <v>17</v>
      </c>
      <c r="F1063" s="2" t="s">
        <v>174</v>
      </c>
      <c r="G1063" s="2">
        <v>3</v>
      </c>
      <c r="H1063" s="2">
        <v>5</v>
      </c>
      <c r="I1063" s="2">
        <f>COUNTIFS($E$3:E1063,E1063,$H$3:H1063,H1063)</f>
        <v>1</v>
      </c>
      <c r="N1063" s="11">
        <v>1017201</v>
      </c>
      <c r="O1063" s="11">
        <v>1017301</v>
      </c>
      <c r="P1063" s="11">
        <v>1017401</v>
      </c>
      <c r="Q1063" s="11">
        <v>1017501</v>
      </c>
      <c r="R1063" s="11">
        <v>1017601</v>
      </c>
      <c r="S1063" s="11">
        <v>1017701</v>
      </c>
      <c r="T1063" s="11">
        <v>1017801</v>
      </c>
    </row>
    <row r="1064" spans="1:20">
      <c r="A1064" s="11">
        <f t="shared" si="19"/>
        <v>70173502</v>
      </c>
      <c r="B1064" s="2" t="s">
        <v>1214</v>
      </c>
      <c r="D1064" s="2" t="str">
        <f>E1064&amp;(VLOOKUP(F1064,编号表!$E$1:$G$8,2,0))&amp;G1064&amp;"_"&amp;H1064&amp;"_"&amp;I1064</f>
        <v>17N3_5_2</v>
      </c>
      <c r="E1064" s="2">
        <v>17</v>
      </c>
      <c r="F1064" s="2" t="s">
        <v>174</v>
      </c>
      <c r="G1064" s="2">
        <v>3</v>
      </c>
      <c r="H1064" s="2">
        <v>5</v>
      </c>
      <c r="I1064" s="2">
        <f>COUNTIFS($E$3:E1064,E1064,$H$3:H1064,H1064)</f>
        <v>2</v>
      </c>
      <c r="N1064" s="11">
        <v>1017201</v>
      </c>
      <c r="O1064" s="11">
        <v>1017301</v>
      </c>
      <c r="P1064" s="11">
        <v>1017401</v>
      </c>
      <c r="Q1064" s="11">
        <v>1017501</v>
      </c>
      <c r="R1064" s="11">
        <v>1017601</v>
      </c>
      <c r="S1064" s="11">
        <v>1017701</v>
      </c>
      <c r="T1064" s="11">
        <v>1017801</v>
      </c>
    </row>
    <row r="1065" spans="1:20">
      <c r="A1065" s="11">
        <f t="shared" si="19"/>
        <v>70173503</v>
      </c>
      <c r="B1065" s="2" t="s">
        <v>1215</v>
      </c>
      <c r="D1065" s="2" t="str">
        <f>E1065&amp;(VLOOKUP(F1065,编号表!$E$1:$G$8,2,0))&amp;G1065&amp;"_"&amp;H1065&amp;"_"&amp;I1065</f>
        <v>17N3_5_3</v>
      </c>
      <c r="E1065" s="2">
        <v>17</v>
      </c>
      <c r="F1065" s="2" t="s">
        <v>174</v>
      </c>
      <c r="G1065" s="2">
        <v>3</v>
      </c>
      <c r="H1065" s="2">
        <v>5</v>
      </c>
      <c r="I1065" s="2">
        <f>COUNTIFS($E$3:E1065,E1065,$H$3:H1065,H1065)</f>
        <v>3</v>
      </c>
      <c r="N1065" s="11">
        <v>1017201</v>
      </c>
      <c r="O1065" s="11">
        <v>1017301</v>
      </c>
      <c r="P1065" s="11">
        <v>1017401</v>
      </c>
      <c r="Q1065" s="11">
        <v>1017501</v>
      </c>
      <c r="R1065" s="11">
        <v>1017601</v>
      </c>
      <c r="S1065" s="11">
        <v>1017701</v>
      </c>
      <c r="T1065" s="11">
        <v>1017801</v>
      </c>
    </row>
    <row r="1066" spans="1:20">
      <c r="A1066" s="11">
        <f t="shared" si="19"/>
        <v>70173504</v>
      </c>
      <c r="B1066" s="2" t="s">
        <v>1216</v>
      </c>
      <c r="D1066" s="2" t="str">
        <f>E1066&amp;(VLOOKUP(F1066,编号表!$E$1:$G$8,2,0))&amp;G1066&amp;"_"&amp;H1066&amp;"_"&amp;I1066</f>
        <v>17N3_5_4</v>
      </c>
      <c r="E1066" s="2">
        <v>17</v>
      </c>
      <c r="F1066" s="2" t="s">
        <v>174</v>
      </c>
      <c r="G1066" s="2">
        <v>3</v>
      </c>
      <c r="H1066" s="2">
        <v>5</v>
      </c>
      <c r="I1066" s="2">
        <f>COUNTIFS($E$3:E1066,E1066,$H$3:H1066,H1066)</f>
        <v>4</v>
      </c>
      <c r="N1066" s="11">
        <v>1017201</v>
      </c>
      <c r="O1066" s="11">
        <v>1017301</v>
      </c>
      <c r="P1066" s="11">
        <v>1017401</v>
      </c>
      <c r="Q1066" s="11">
        <v>1017501</v>
      </c>
      <c r="R1066" s="11">
        <v>1017601</v>
      </c>
      <c r="S1066" s="11">
        <v>1017701</v>
      </c>
      <c r="T1066" s="11">
        <v>1017801</v>
      </c>
    </row>
    <row r="1067" spans="1:20">
      <c r="A1067" s="11">
        <f t="shared" si="19"/>
        <v>70172505</v>
      </c>
      <c r="B1067" s="2" t="s">
        <v>1217</v>
      </c>
      <c r="D1067" s="2" t="str">
        <f>E1067&amp;(VLOOKUP(F1067,编号表!$E$1:$G$8,2,0))&amp;G1067&amp;"_"&amp;H1067&amp;"_"&amp;I1067</f>
        <v>17N2_5_5</v>
      </c>
      <c r="E1067" s="2">
        <v>17</v>
      </c>
      <c r="F1067" s="2" t="s">
        <v>174</v>
      </c>
      <c r="G1067" s="2">
        <v>2</v>
      </c>
      <c r="H1067" s="2">
        <v>5</v>
      </c>
      <c r="I1067" s="2">
        <f>COUNTIFS($E$3:E1067,E1067,$H$3:H1067,H1067)</f>
        <v>5</v>
      </c>
      <c r="N1067" s="11">
        <v>1017201</v>
      </c>
      <c r="O1067" s="11">
        <v>1017301</v>
      </c>
      <c r="P1067" s="11">
        <v>1017401</v>
      </c>
      <c r="Q1067" s="11">
        <v>1017501</v>
      </c>
      <c r="R1067" s="11">
        <v>1017601</v>
      </c>
      <c r="S1067" s="11">
        <v>1017701</v>
      </c>
      <c r="T1067" s="11">
        <v>1017801</v>
      </c>
    </row>
    <row r="1068" spans="1:20">
      <c r="A1068" s="11">
        <f t="shared" si="19"/>
        <v>70170001</v>
      </c>
      <c r="B1068" s="24" t="s">
        <v>1218</v>
      </c>
      <c r="D1068" s="2" t="str">
        <f>E1068&amp;(VLOOKUP(F1068,编号表!$E$1:$G$8,2,0))&amp;G1068&amp;"_"&amp;H1068&amp;"_"&amp;I1068</f>
        <v>17J0_0_1</v>
      </c>
      <c r="E1068" s="2">
        <v>17</v>
      </c>
      <c r="F1068" s="2" t="s">
        <v>222</v>
      </c>
      <c r="G1068" s="2">
        <v>0</v>
      </c>
      <c r="H1068" s="2">
        <v>0</v>
      </c>
      <c r="I1068" s="2">
        <f>COUNTIFS($E$3:E1068,E1068,$H$3:H1068,H1068)</f>
        <v>1</v>
      </c>
      <c r="J1068" s="2">
        <v>1</v>
      </c>
    </row>
    <row r="1069" spans="1:20">
      <c r="A1069" s="11">
        <f t="shared" si="19"/>
        <v>70184101</v>
      </c>
      <c r="B1069" s="2" t="s">
        <v>1219</v>
      </c>
      <c r="D1069" s="2" t="str">
        <f>E1069&amp;(VLOOKUP(F1069,编号表!$E$1:$G$8,2,0))&amp;G1069&amp;"_"&amp;H1069&amp;"_"&amp;I1069</f>
        <v>18N4_1_1</v>
      </c>
      <c r="E1069" s="2">
        <v>18</v>
      </c>
      <c r="F1069" s="2" t="s">
        <v>174</v>
      </c>
      <c r="G1069" s="2">
        <v>4</v>
      </c>
      <c r="H1069" s="2">
        <v>1</v>
      </c>
      <c r="I1069" s="2">
        <f>COUNTIFS($E$3:E1069,E1069,$H$3:H1069,H1069)</f>
        <v>1</v>
      </c>
      <c r="N1069" s="11">
        <v>1018201</v>
      </c>
      <c r="O1069" s="11">
        <f t="shared" ref="O1069:O1089" si="20">N1069+100</f>
        <v>1018301</v>
      </c>
      <c r="P1069" s="11">
        <f t="shared" ref="P1069:P1089" si="21">O1069+100</f>
        <v>1018401</v>
      </c>
      <c r="Q1069" s="11">
        <f t="shared" ref="Q1069:Q1089" si="22">P1069+100</f>
        <v>1018501</v>
      </c>
      <c r="R1069" s="11">
        <v>1018001</v>
      </c>
    </row>
    <row r="1070" spans="1:20">
      <c r="A1070" s="11">
        <f t="shared" si="19"/>
        <v>70184102</v>
      </c>
      <c r="B1070" s="2" t="s">
        <v>1220</v>
      </c>
      <c r="D1070" s="2" t="str">
        <f>E1070&amp;(VLOOKUP(F1070,编号表!$E$1:$G$8,2,0))&amp;G1070&amp;"_"&amp;H1070&amp;"_"&amp;I1070</f>
        <v>18N4_1_2</v>
      </c>
      <c r="E1070" s="2">
        <v>18</v>
      </c>
      <c r="F1070" s="2" t="s">
        <v>174</v>
      </c>
      <c r="G1070" s="2">
        <v>4</v>
      </c>
      <c r="H1070" s="2">
        <v>1</v>
      </c>
      <c r="I1070" s="2">
        <f>COUNTIFS($E$3:E1070,E1070,$H$3:H1070,H1070)</f>
        <v>2</v>
      </c>
      <c r="N1070" s="11">
        <v>1018201</v>
      </c>
      <c r="O1070" s="11">
        <f t="shared" si="20"/>
        <v>1018301</v>
      </c>
      <c r="P1070" s="11">
        <f t="shared" si="21"/>
        <v>1018401</v>
      </c>
      <c r="Q1070" s="11">
        <f t="shared" si="22"/>
        <v>1018501</v>
      </c>
      <c r="R1070" s="11">
        <v>1018101</v>
      </c>
    </row>
    <row r="1071" spans="1:20">
      <c r="A1071" s="11">
        <f t="shared" si="19"/>
        <v>70182103</v>
      </c>
      <c r="B1071" s="2" t="s">
        <v>1221</v>
      </c>
      <c r="D1071" s="2" t="str">
        <f>E1071&amp;(VLOOKUP(F1071,编号表!$E$1:$G$8,2,0))&amp;G1071&amp;"_"&amp;H1071&amp;"_"&amp;I1071</f>
        <v>18N2_1_3</v>
      </c>
      <c r="E1071" s="2">
        <v>18</v>
      </c>
      <c r="F1071" s="2" t="s">
        <v>174</v>
      </c>
      <c r="G1071" s="2">
        <v>2</v>
      </c>
      <c r="H1071" s="2">
        <v>1</v>
      </c>
      <c r="I1071" s="2">
        <f>COUNTIFS($E$3:E1071,E1071,$H$3:H1071,H1071)</f>
        <v>3</v>
      </c>
      <c r="N1071" s="11">
        <v>1018201</v>
      </c>
      <c r="O1071" s="11">
        <f t="shared" si="20"/>
        <v>1018301</v>
      </c>
      <c r="P1071" s="11">
        <f t="shared" si="21"/>
        <v>1018401</v>
      </c>
      <c r="Q1071" s="11">
        <f t="shared" si="22"/>
        <v>1018501</v>
      </c>
    </row>
    <row r="1072" spans="1:20">
      <c r="A1072" s="11">
        <f t="shared" si="19"/>
        <v>70182104</v>
      </c>
      <c r="B1072" s="2" t="s">
        <v>1222</v>
      </c>
      <c r="D1072" s="2" t="str">
        <f>E1072&amp;(VLOOKUP(F1072,编号表!$E$1:$G$8,2,0))&amp;G1072&amp;"_"&amp;H1072&amp;"_"&amp;I1072</f>
        <v>18N2_1_4</v>
      </c>
      <c r="E1072" s="2">
        <v>18</v>
      </c>
      <c r="F1072" s="2" t="s">
        <v>174</v>
      </c>
      <c r="G1072" s="2">
        <v>2</v>
      </c>
      <c r="H1072" s="2">
        <v>1</v>
      </c>
      <c r="I1072" s="2">
        <f>COUNTIFS($E$3:E1072,E1072,$H$3:H1072,H1072)</f>
        <v>4</v>
      </c>
      <c r="N1072" s="11">
        <v>1018201</v>
      </c>
      <c r="O1072" s="11">
        <f t="shared" si="20"/>
        <v>1018301</v>
      </c>
      <c r="P1072" s="11">
        <f t="shared" si="21"/>
        <v>1018401</v>
      </c>
      <c r="Q1072" s="11">
        <f t="shared" si="22"/>
        <v>1018501</v>
      </c>
    </row>
    <row r="1073" spans="1:17">
      <c r="A1073" s="11">
        <f t="shared" si="19"/>
        <v>70184105</v>
      </c>
      <c r="B1073" s="2" t="s">
        <v>1223</v>
      </c>
      <c r="D1073" s="2" t="str">
        <f>E1073&amp;(VLOOKUP(F1073,编号表!$E$1:$G$8,2,0))&amp;G1073&amp;"_"&amp;H1073&amp;"_"&amp;I1073</f>
        <v>18N4_1_5</v>
      </c>
      <c r="E1073" s="2">
        <v>18</v>
      </c>
      <c r="F1073" s="2" t="s">
        <v>174</v>
      </c>
      <c r="G1073" s="2">
        <v>4</v>
      </c>
      <c r="H1073" s="2">
        <v>1</v>
      </c>
      <c r="I1073" s="2">
        <f>COUNTIFS($E$3:E1073,E1073,$H$3:H1073,H1073)</f>
        <v>5</v>
      </c>
      <c r="N1073" s="11">
        <v>1018201</v>
      </c>
      <c r="O1073" s="11">
        <f t="shared" si="20"/>
        <v>1018301</v>
      </c>
      <c r="P1073" s="11">
        <f t="shared" si="21"/>
        <v>1018401</v>
      </c>
      <c r="Q1073" s="11">
        <f t="shared" si="22"/>
        <v>1018501</v>
      </c>
    </row>
    <row r="1074" spans="1:17">
      <c r="A1074" s="11">
        <f t="shared" si="19"/>
        <v>70184106</v>
      </c>
      <c r="B1074" s="2" t="s">
        <v>1224</v>
      </c>
      <c r="D1074" s="2" t="str">
        <f>E1074&amp;(VLOOKUP(F1074,编号表!$E$1:$G$8,2,0))&amp;G1074&amp;"_"&amp;H1074&amp;"_"&amp;I1074</f>
        <v>18N4_1_6</v>
      </c>
      <c r="E1074" s="2">
        <v>18</v>
      </c>
      <c r="F1074" s="2" t="s">
        <v>174</v>
      </c>
      <c r="G1074" s="2">
        <v>4</v>
      </c>
      <c r="H1074" s="2">
        <v>1</v>
      </c>
      <c r="I1074" s="2">
        <f>COUNTIFS($E$3:E1074,E1074,$H$3:H1074,H1074)</f>
        <v>6</v>
      </c>
      <c r="N1074" s="11">
        <v>1018201</v>
      </c>
      <c r="O1074" s="11">
        <f t="shared" si="20"/>
        <v>1018301</v>
      </c>
      <c r="P1074" s="11">
        <f t="shared" si="21"/>
        <v>1018401</v>
      </c>
      <c r="Q1074" s="11">
        <f t="shared" si="22"/>
        <v>1018501</v>
      </c>
    </row>
    <row r="1075" spans="1:17">
      <c r="A1075" s="11">
        <f t="shared" si="19"/>
        <v>70184201</v>
      </c>
      <c r="B1075" s="2" t="s">
        <v>1225</v>
      </c>
      <c r="D1075" s="2" t="str">
        <f>E1075&amp;(VLOOKUP(F1075,编号表!$E$1:$G$8,2,0))&amp;G1075&amp;"_"&amp;H1075&amp;"_"&amp;I1075</f>
        <v>18N4_2_1</v>
      </c>
      <c r="E1075" s="2">
        <v>18</v>
      </c>
      <c r="F1075" s="2" t="s">
        <v>174</v>
      </c>
      <c r="G1075" s="2">
        <v>4</v>
      </c>
      <c r="H1075" s="2">
        <v>2</v>
      </c>
      <c r="I1075" s="2">
        <f>COUNTIFS($E$3:E1075,E1075,$H$3:H1075,H1075)</f>
        <v>1</v>
      </c>
      <c r="N1075" s="11">
        <v>1018201</v>
      </c>
      <c r="O1075" s="11">
        <f t="shared" si="20"/>
        <v>1018301</v>
      </c>
      <c r="P1075" s="11">
        <f t="shared" si="21"/>
        <v>1018401</v>
      </c>
      <c r="Q1075" s="11">
        <f t="shared" si="22"/>
        <v>1018501</v>
      </c>
    </row>
    <row r="1076" spans="1:17">
      <c r="A1076" s="11">
        <f t="shared" si="19"/>
        <v>70182202</v>
      </c>
      <c r="B1076" s="2" t="s">
        <v>1226</v>
      </c>
      <c r="D1076" s="2" t="str">
        <f>E1076&amp;(VLOOKUP(F1076,编号表!$E$1:$G$8,2,0))&amp;G1076&amp;"_"&amp;H1076&amp;"_"&amp;I1076</f>
        <v>18N2_2_2</v>
      </c>
      <c r="E1076" s="2">
        <v>18</v>
      </c>
      <c r="F1076" s="2" t="s">
        <v>174</v>
      </c>
      <c r="G1076" s="2">
        <v>2</v>
      </c>
      <c r="H1076" s="2">
        <v>2</v>
      </c>
      <c r="I1076" s="2">
        <f>COUNTIFS($E$3:E1076,E1076,$H$3:H1076,H1076)</f>
        <v>2</v>
      </c>
      <c r="N1076" s="11">
        <v>1018201</v>
      </c>
      <c r="O1076" s="11">
        <f t="shared" si="20"/>
        <v>1018301</v>
      </c>
      <c r="P1076" s="11">
        <f t="shared" si="21"/>
        <v>1018401</v>
      </c>
      <c r="Q1076" s="11">
        <f t="shared" si="22"/>
        <v>1018501</v>
      </c>
    </row>
    <row r="1077" spans="1:17">
      <c r="A1077" s="11">
        <f t="shared" si="19"/>
        <v>70184203</v>
      </c>
      <c r="B1077" s="2" t="s">
        <v>1227</v>
      </c>
      <c r="D1077" s="2" t="str">
        <f>E1077&amp;(VLOOKUP(F1077,编号表!$E$1:$G$8,2,0))&amp;G1077&amp;"_"&amp;H1077&amp;"_"&amp;I1077</f>
        <v>18N4_2_3</v>
      </c>
      <c r="E1077" s="2">
        <v>18</v>
      </c>
      <c r="F1077" s="2" t="s">
        <v>174</v>
      </c>
      <c r="G1077" s="2">
        <v>4</v>
      </c>
      <c r="H1077" s="2">
        <v>2</v>
      </c>
      <c r="I1077" s="2">
        <f>COUNTIFS($E$3:E1077,E1077,$H$3:H1077,H1077)</f>
        <v>3</v>
      </c>
      <c r="N1077" s="11">
        <v>1018201</v>
      </c>
      <c r="O1077" s="11">
        <f t="shared" si="20"/>
        <v>1018301</v>
      </c>
      <c r="P1077" s="11">
        <f t="shared" si="21"/>
        <v>1018401</v>
      </c>
      <c r="Q1077" s="11">
        <f t="shared" si="22"/>
        <v>1018501</v>
      </c>
    </row>
    <row r="1078" spans="1:17">
      <c r="A1078" s="11">
        <f t="shared" si="19"/>
        <v>70184204</v>
      </c>
      <c r="B1078" s="2" t="s">
        <v>1228</v>
      </c>
      <c r="D1078" s="2" t="str">
        <f>E1078&amp;(VLOOKUP(F1078,编号表!$E$1:$G$8,2,0))&amp;G1078&amp;"_"&amp;H1078&amp;"_"&amp;I1078</f>
        <v>18N4_2_4</v>
      </c>
      <c r="E1078" s="2">
        <v>18</v>
      </c>
      <c r="F1078" s="2" t="s">
        <v>174</v>
      </c>
      <c r="G1078" s="2">
        <v>4</v>
      </c>
      <c r="H1078" s="2">
        <v>2</v>
      </c>
      <c r="I1078" s="2">
        <f>COUNTIFS($E$3:E1078,E1078,$H$3:H1078,H1078)</f>
        <v>4</v>
      </c>
      <c r="N1078" s="11">
        <v>1018201</v>
      </c>
      <c r="O1078" s="11">
        <f t="shared" si="20"/>
        <v>1018301</v>
      </c>
      <c r="P1078" s="11">
        <f t="shared" si="21"/>
        <v>1018401</v>
      </c>
      <c r="Q1078" s="11">
        <f t="shared" si="22"/>
        <v>1018501</v>
      </c>
    </row>
    <row r="1079" spans="1:17">
      <c r="A1079" s="11">
        <f t="shared" si="19"/>
        <v>70184205</v>
      </c>
      <c r="B1079" s="2" t="s">
        <v>1229</v>
      </c>
      <c r="D1079" s="2" t="str">
        <f>E1079&amp;(VLOOKUP(F1079,编号表!$E$1:$G$8,2,0))&amp;G1079&amp;"_"&amp;H1079&amp;"_"&amp;I1079</f>
        <v>18N4_2_5</v>
      </c>
      <c r="E1079" s="2">
        <v>18</v>
      </c>
      <c r="F1079" s="2" t="s">
        <v>174</v>
      </c>
      <c r="G1079" s="2">
        <v>4</v>
      </c>
      <c r="H1079" s="2">
        <v>2</v>
      </c>
      <c r="I1079" s="2">
        <f>COUNTIFS($E$3:E1079,E1079,$H$3:H1079,H1079)</f>
        <v>5</v>
      </c>
      <c r="N1079" s="11">
        <v>1018201</v>
      </c>
      <c r="O1079" s="11">
        <f t="shared" si="20"/>
        <v>1018301</v>
      </c>
      <c r="P1079" s="11">
        <f t="shared" si="21"/>
        <v>1018401</v>
      </c>
      <c r="Q1079" s="11">
        <f t="shared" si="22"/>
        <v>1018501</v>
      </c>
    </row>
    <row r="1080" spans="1:17">
      <c r="A1080" s="11">
        <f t="shared" si="19"/>
        <v>70185206</v>
      </c>
      <c r="B1080" s="2" t="s">
        <v>1230</v>
      </c>
      <c r="D1080" s="2" t="str">
        <f>E1080&amp;(VLOOKUP(F1080,编号表!$E$1:$G$8,2,0))&amp;G1080&amp;"_"&amp;H1080&amp;"_"&amp;I1080</f>
        <v>18N5_2_6</v>
      </c>
      <c r="E1080" s="2">
        <v>18</v>
      </c>
      <c r="F1080" s="2" t="s">
        <v>174</v>
      </c>
      <c r="G1080" s="2">
        <v>5</v>
      </c>
      <c r="H1080" s="2">
        <v>2</v>
      </c>
      <c r="I1080" s="2">
        <f>COUNTIFS($E$3:E1080,E1080,$H$3:H1080,H1080)</f>
        <v>6</v>
      </c>
      <c r="N1080" s="11">
        <v>1018201</v>
      </c>
      <c r="O1080" s="11">
        <f t="shared" si="20"/>
        <v>1018301</v>
      </c>
      <c r="P1080" s="11">
        <f t="shared" si="21"/>
        <v>1018401</v>
      </c>
      <c r="Q1080" s="11">
        <f t="shared" si="22"/>
        <v>1018501</v>
      </c>
    </row>
    <row r="1081" spans="1:17">
      <c r="A1081" s="11">
        <f t="shared" si="19"/>
        <v>70185207</v>
      </c>
      <c r="B1081" s="2" t="s">
        <v>1231</v>
      </c>
      <c r="D1081" s="2" t="str">
        <f>E1081&amp;(VLOOKUP(F1081,编号表!$E$1:$G$8,2,0))&amp;G1081&amp;"_"&amp;H1081&amp;"_"&amp;I1081</f>
        <v>18N5_2_7</v>
      </c>
      <c r="E1081" s="2">
        <v>18</v>
      </c>
      <c r="F1081" s="2" t="s">
        <v>174</v>
      </c>
      <c r="G1081" s="2">
        <v>5</v>
      </c>
      <c r="H1081" s="2">
        <v>2</v>
      </c>
      <c r="I1081" s="2">
        <f>COUNTIFS($E$3:E1081,E1081,$H$3:H1081,H1081)</f>
        <v>7</v>
      </c>
      <c r="N1081" s="11">
        <v>1018201</v>
      </c>
      <c r="O1081" s="11">
        <f t="shared" si="20"/>
        <v>1018301</v>
      </c>
      <c r="P1081" s="11">
        <f t="shared" si="21"/>
        <v>1018401</v>
      </c>
      <c r="Q1081" s="11">
        <f t="shared" si="22"/>
        <v>1018501</v>
      </c>
    </row>
    <row r="1082" spans="1:17">
      <c r="A1082" s="11">
        <f t="shared" ref="A1082:A1089" si="23">70000000+E1082*10000+G1082*1000+H1082*100+I1082</f>
        <v>70184208</v>
      </c>
      <c r="B1082" s="2" t="s">
        <v>1232</v>
      </c>
      <c r="D1082" s="2" t="str">
        <f>E1082&amp;(VLOOKUP(F1082,编号表!$E$1:$G$8,2,0))&amp;G1082&amp;"_"&amp;H1082&amp;"_"&amp;I1082</f>
        <v>18N4_2_8</v>
      </c>
      <c r="E1082" s="2">
        <v>18</v>
      </c>
      <c r="F1082" s="2" t="s">
        <v>174</v>
      </c>
      <c r="G1082" s="2">
        <v>4</v>
      </c>
      <c r="H1082" s="2">
        <v>2</v>
      </c>
      <c r="I1082" s="2">
        <f>COUNTIFS($E$3:E1082,E1082,$H$3:H1082,H1082)</f>
        <v>8</v>
      </c>
      <c r="N1082" s="11">
        <v>1018201</v>
      </c>
      <c r="O1082" s="11">
        <f t="shared" si="20"/>
        <v>1018301</v>
      </c>
      <c r="P1082" s="11">
        <f t="shared" si="21"/>
        <v>1018401</v>
      </c>
      <c r="Q1082" s="11">
        <f t="shared" si="22"/>
        <v>1018501</v>
      </c>
    </row>
    <row r="1083" spans="1:17">
      <c r="A1083" s="11">
        <f t="shared" si="23"/>
        <v>70184209</v>
      </c>
      <c r="B1083" s="2" t="s">
        <v>1233</v>
      </c>
      <c r="D1083" s="2" t="str">
        <f>E1083&amp;(VLOOKUP(F1083,编号表!$E$1:$G$8,2,0))&amp;G1083&amp;"_"&amp;H1083&amp;"_"&amp;I1083</f>
        <v>18N4_2_9</v>
      </c>
      <c r="E1083" s="2">
        <v>18</v>
      </c>
      <c r="F1083" s="2" t="s">
        <v>174</v>
      </c>
      <c r="G1083" s="2">
        <v>4</v>
      </c>
      <c r="H1083" s="2">
        <v>2</v>
      </c>
      <c r="I1083" s="2">
        <f>COUNTIFS($E$3:E1083,E1083,$H$3:H1083,H1083)</f>
        <v>9</v>
      </c>
      <c r="N1083" s="11">
        <v>1018201</v>
      </c>
      <c r="O1083" s="11">
        <f t="shared" si="20"/>
        <v>1018301</v>
      </c>
      <c r="P1083" s="11">
        <f t="shared" si="21"/>
        <v>1018401</v>
      </c>
      <c r="Q1083" s="11">
        <f t="shared" si="22"/>
        <v>1018501</v>
      </c>
    </row>
    <row r="1084" spans="1:17">
      <c r="A1084" s="11">
        <f t="shared" si="23"/>
        <v>70184210</v>
      </c>
      <c r="B1084" s="2" t="s">
        <v>1234</v>
      </c>
      <c r="D1084" s="2" t="str">
        <f>E1084&amp;(VLOOKUP(F1084,编号表!$E$1:$G$8,2,0))&amp;G1084&amp;"_"&amp;H1084&amp;"_"&amp;I1084</f>
        <v>18N4_2_10</v>
      </c>
      <c r="E1084" s="2">
        <v>18</v>
      </c>
      <c r="F1084" s="2" t="s">
        <v>174</v>
      </c>
      <c r="G1084" s="2">
        <v>4</v>
      </c>
      <c r="H1084" s="2">
        <v>2</v>
      </c>
      <c r="I1084" s="2">
        <f>COUNTIFS($E$3:E1084,E1084,$H$3:H1084,H1084)</f>
        <v>10</v>
      </c>
      <c r="N1084" s="11">
        <v>1018201</v>
      </c>
      <c r="O1084" s="11">
        <f t="shared" si="20"/>
        <v>1018301</v>
      </c>
      <c r="P1084" s="11">
        <f t="shared" si="21"/>
        <v>1018401</v>
      </c>
      <c r="Q1084" s="11">
        <f t="shared" si="22"/>
        <v>1018501</v>
      </c>
    </row>
    <row r="1085" spans="1:17">
      <c r="A1085" s="11">
        <f t="shared" si="23"/>
        <v>70184211</v>
      </c>
      <c r="B1085" s="2" t="s">
        <v>1235</v>
      </c>
      <c r="D1085" s="2" t="str">
        <f>E1085&amp;(VLOOKUP(F1085,编号表!$E$1:$G$8,2,0))&amp;G1085&amp;"_"&amp;H1085&amp;"_"&amp;I1085</f>
        <v>18N4_2_11</v>
      </c>
      <c r="E1085" s="2">
        <v>18</v>
      </c>
      <c r="F1085" s="2" t="s">
        <v>174</v>
      </c>
      <c r="G1085" s="2">
        <v>4</v>
      </c>
      <c r="H1085" s="2">
        <v>2</v>
      </c>
      <c r="I1085" s="2">
        <f>COUNTIFS($E$3:E1085,E1085,$H$3:H1085,H1085)</f>
        <v>11</v>
      </c>
      <c r="N1085" s="11">
        <v>1018201</v>
      </c>
      <c r="O1085" s="11">
        <f t="shared" si="20"/>
        <v>1018301</v>
      </c>
      <c r="P1085" s="11">
        <f t="shared" si="21"/>
        <v>1018401</v>
      </c>
      <c r="Q1085" s="11">
        <f t="shared" si="22"/>
        <v>1018501</v>
      </c>
    </row>
    <row r="1086" spans="1:17">
      <c r="A1086" s="11">
        <f t="shared" si="23"/>
        <v>70181212</v>
      </c>
      <c r="B1086" s="2" t="s">
        <v>1236</v>
      </c>
      <c r="D1086" s="2" t="str">
        <f>E1086&amp;(VLOOKUP(F1086,编号表!$E$1:$G$8,2,0))&amp;G1086&amp;"_"&amp;H1086&amp;"_"&amp;I1086</f>
        <v>18N1_2_12</v>
      </c>
      <c r="E1086" s="2">
        <v>18</v>
      </c>
      <c r="F1086" s="2" t="s">
        <v>174</v>
      </c>
      <c r="G1086" s="2">
        <v>1</v>
      </c>
      <c r="H1086" s="2">
        <v>2</v>
      </c>
      <c r="I1086" s="2">
        <f>COUNTIFS($E$3:E1086,E1086,$H$3:H1086,H1086)</f>
        <v>12</v>
      </c>
      <c r="N1086" s="11">
        <v>1018201</v>
      </c>
      <c r="O1086" s="11">
        <f t="shared" si="20"/>
        <v>1018301</v>
      </c>
      <c r="P1086" s="11">
        <f t="shared" si="21"/>
        <v>1018401</v>
      </c>
      <c r="Q1086" s="11">
        <f t="shared" si="22"/>
        <v>1018501</v>
      </c>
    </row>
    <row r="1087" spans="1:17">
      <c r="A1087" s="11">
        <f t="shared" si="23"/>
        <v>70184213</v>
      </c>
      <c r="B1087" s="2" t="s">
        <v>1237</v>
      </c>
      <c r="D1087" s="2" t="str">
        <f>E1087&amp;(VLOOKUP(F1087,编号表!$E$1:$G$8,2,0))&amp;G1087&amp;"_"&amp;H1087&amp;"_"&amp;I1087</f>
        <v>18N4_2_13</v>
      </c>
      <c r="E1087" s="2">
        <v>18</v>
      </c>
      <c r="F1087" s="2" t="s">
        <v>174</v>
      </c>
      <c r="G1087" s="2">
        <v>4</v>
      </c>
      <c r="H1087" s="2">
        <v>2</v>
      </c>
      <c r="I1087" s="2">
        <f>COUNTIFS($E$3:E1087,E1087,$H$3:H1087,H1087)</f>
        <v>13</v>
      </c>
      <c r="N1087" s="11">
        <v>1018201</v>
      </c>
      <c r="O1087" s="11">
        <f t="shared" si="20"/>
        <v>1018301</v>
      </c>
      <c r="P1087" s="11">
        <f t="shared" si="21"/>
        <v>1018401</v>
      </c>
      <c r="Q1087" s="11">
        <f t="shared" si="22"/>
        <v>1018501</v>
      </c>
    </row>
    <row r="1088" spans="1:17">
      <c r="A1088" s="11">
        <f t="shared" si="23"/>
        <v>70184301</v>
      </c>
      <c r="B1088" s="2" t="s">
        <v>1238</v>
      </c>
      <c r="D1088" s="2" t="str">
        <f>E1088&amp;(VLOOKUP(F1088,编号表!$E$1:$G$8,2,0))&amp;G1088&amp;"_"&amp;H1088&amp;"_"&amp;I1088</f>
        <v>18N4_3_1</v>
      </c>
      <c r="E1088" s="2">
        <v>18</v>
      </c>
      <c r="F1088" s="2" t="s">
        <v>174</v>
      </c>
      <c r="G1088" s="2">
        <v>4</v>
      </c>
      <c r="H1088" s="2">
        <v>3</v>
      </c>
      <c r="I1088" s="2">
        <f>COUNTIFS($E$3:E1088,E1088,$H$3:H1088,H1088)</f>
        <v>1</v>
      </c>
      <c r="N1088" s="11">
        <v>1018201</v>
      </c>
      <c r="O1088" s="11">
        <f t="shared" si="20"/>
        <v>1018301</v>
      </c>
      <c r="P1088" s="11">
        <f t="shared" si="21"/>
        <v>1018401</v>
      </c>
      <c r="Q1088" s="11">
        <f t="shared" si="22"/>
        <v>1018501</v>
      </c>
    </row>
    <row r="1089" spans="1:17">
      <c r="A1089" s="11">
        <f t="shared" si="23"/>
        <v>70181302</v>
      </c>
      <c r="B1089" s="2" t="s">
        <v>1239</v>
      </c>
      <c r="D1089" s="2" t="str">
        <f>E1089&amp;(VLOOKUP(F1089,编号表!$E$1:$G$8,2,0))&amp;G1089&amp;"_"&amp;H1089&amp;"_"&amp;I1089</f>
        <v>18N1_3_2</v>
      </c>
      <c r="E1089" s="2">
        <v>18</v>
      </c>
      <c r="F1089" s="2" t="s">
        <v>174</v>
      </c>
      <c r="G1089" s="2">
        <v>1</v>
      </c>
      <c r="H1089" s="2">
        <v>3</v>
      </c>
      <c r="I1089" s="2">
        <f>COUNTIFS($E$3:E1089,E1089,$H$3:H1089,H1089)</f>
        <v>2</v>
      </c>
      <c r="N1089" s="11">
        <v>1018201</v>
      </c>
      <c r="O1089" s="11">
        <f t="shared" si="20"/>
        <v>1018301</v>
      </c>
      <c r="P1089" s="11">
        <f t="shared" si="21"/>
        <v>1018401</v>
      </c>
      <c r="Q1089" s="11">
        <f t="shared" si="22"/>
        <v>1018501</v>
      </c>
    </row>
    <row r="1090" spans="1:17">
      <c r="A1090" s="11">
        <f t="shared" ref="A1090:A1147" si="24">70000000+E1090*10000+G1090*1000+H1090*100+I1090</f>
        <v>70183303</v>
      </c>
      <c r="B1090" s="16" t="s">
        <v>1151</v>
      </c>
      <c r="C1090" s="2" t="s">
        <v>1210</v>
      </c>
      <c r="D1090" s="2" t="str">
        <f>E1090&amp;(VLOOKUP(F1090,编号表!$E$1:$G$8,2,0))&amp;G1090&amp;"_"&amp;H1090&amp;"_"&amp;I1090</f>
        <v>18T3_3_3</v>
      </c>
      <c r="E1090" s="2">
        <v>18</v>
      </c>
      <c r="F1090" s="2" t="s">
        <v>190</v>
      </c>
      <c r="G1090" s="2">
        <v>3</v>
      </c>
      <c r="H1090" s="2">
        <v>3</v>
      </c>
      <c r="I1090" s="2">
        <f>COUNTIFS($E$3:E1090,E1090,$H$3:H1090,H1090)</f>
        <v>3</v>
      </c>
      <c r="L1090" s="2">
        <v>137</v>
      </c>
      <c r="N1090" s="10"/>
    </row>
    <row r="1091" spans="1:17">
      <c r="A1091" s="11">
        <f t="shared" si="24"/>
        <v>70181304</v>
      </c>
      <c r="B1091" s="15" t="s">
        <v>1209</v>
      </c>
      <c r="D1091" s="2" t="str">
        <f>E1091&amp;(VLOOKUP(F1091,编号表!$E$1:$G$8,2,0))&amp;G1091&amp;"_"&amp;H1091&amp;"_"&amp;I1091</f>
        <v>18T1_3_4</v>
      </c>
      <c r="E1091" s="2">
        <v>18</v>
      </c>
      <c r="F1091" s="2" t="s">
        <v>190</v>
      </c>
      <c r="G1091" s="2">
        <v>1</v>
      </c>
      <c r="H1091" s="2">
        <v>3</v>
      </c>
      <c r="I1091" s="2">
        <f>COUNTIFS($E$3:E1091,E1091,$H$3:H1091,H1091)</f>
        <v>4</v>
      </c>
      <c r="K1091" s="2">
        <v>1</v>
      </c>
      <c r="N1091" s="10"/>
    </row>
    <row r="1092" spans="1:17">
      <c r="A1092" s="11">
        <f t="shared" si="24"/>
        <v>70181305</v>
      </c>
      <c r="B1092" s="2" t="s">
        <v>1240</v>
      </c>
      <c r="D1092" s="2" t="str">
        <f>E1092&amp;(VLOOKUP(F1092,编号表!$E$1:$G$8,2,0))&amp;G1092&amp;"_"&amp;H1092&amp;"_"&amp;I1092</f>
        <v>18N1_3_5</v>
      </c>
      <c r="E1092" s="2">
        <v>18</v>
      </c>
      <c r="F1092" s="2" t="s">
        <v>174</v>
      </c>
      <c r="G1092" s="2">
        <v>1</v>
      </c>
      <c r="H1092" s="2">
        <v>3</v>
      </c>
      <c r="I1092" s="2">
        <f>COUNTIFS($E$3:E1092,E1092,$H$3:H1092,H1092)</f>
        <v>5</v>
      </c>
      <c r="N1092" s="11">
        <v>1018201</v>
      </c>
      <c r="O1092" s="11">
        <f t="shared" ref="O1092:O1100" si="25">N1092+100</f>
        <v>1018301</v>
      </c>
      <c r="P1092" s="11">
        <f t="shared" ref="P1092:P1100" si="26">O1092+100</f>
        <v>1018401</v>
      </c>
      <c r="Q1092" s="11">
        <f t="shared" ref="Q1092:Q1100" si="27">P1092+100</f>
        <v>1018501</v>
      </c>
    </row>
    <row r="1093" spans="1:17">
      <c r="A1093" s="11">
        <f t="shared" si="24"/>
        <v>70184306</v>
      </c>
      <c r="B1093" s="2" t="s">
        <v>1241</v>
      </c>
      <c r="D1093" s="2" t="str">
        <f>E1093&amp;(VLOOKUP(F1093,编号表!$E$1:$G$8,2,0))&amp;G1093&amp;"_"&amp;H1093&amp;"_"&amp;I1093</f>
        <v>18N4_3_6</v>
      </c>
      <c r="E1093" s="2">
        <v>18</v>
      </c>
      <c r="F1093" s="2" t="s">
        <v>174</v>
      </c>
      <c r="G1093" s="2">
        <v>4</v>
      </c>
      <c r="H1093" s="2">
        <v>3</v>
      </c>
      <c r="I1093" s="2">
        <f>COUNTIFS($E$3:E1093,E1093,$H$3:H1093,H1093)</f>
        <v>6</v>
      </c>
      <c r="N1093" s="11">
        <v>1018201</v>
      </c>
      <c r="O1093" s="11">
        <f t="shared" si="25"/>
        <v>1018301</v>
      </c>
      <c r="P1093" s="11">
        <f t="shared" si="26"/>
        <v>1018401</v>
      </c>
      <c r="Q1093" s="11">
        <f t="shared" si="27"/>
        <v>1018501</v>
      </c>
    </row>
    <row r="1094" spans="1:17">
      <c r="A1094" s="11">
        <f t="shared" si="24"/>
        <v>70184307</v>
      </c>
      <c r="B1094" s="2" t="s">
        <v>1242</v>
      </c>
      <c r="D1094" s="2" t="str">
        <f>E1094&amp;(VLOOKUP(F1094,编号表!$E$1:$G$8,2,0))&amp;G1094&amp;"_"&amp;H1094&amp;"_"&amp;I1094</f>
        <v>18N4_3_7</v>
      </c>
      <c r="E1094" s="2">
        <v>18</v>
      </c>
      <c r="F1094" s="2" t="s">
        <v>174</v>
      </c>
      <c r="G1094" s="2">
        <v>4</v>
      </c>
      <c r="H1094" s="2">
        <v>3</v>
      </c>
      <c r="I1094" s="2">
        <f>COUNTIFS($E$3:E1094,E1094,$H$3:H1094,H1094)</f>
        <v>7</v>
      </c>
      <c r="N1094" s="11">
        <v>1018201</v>
      </c>
      <c r="O1094" s="11">
        <f t="shared" si="25"/>
        <v>1018301</v>
      </c>
      <c r="P1094" s="11">
        <f t="shared" si="26"/>
        <v>1018401</v>
      </c>
      <c r="Q1094" s="11">
        <f t="shared" si="27"/>
        <v>1018501</v>
      </c>
    </row>
    <row r="1095" spans="1:17">
      <c r="A1095" s="11">
        <f t="shared" si="24"/>
        <v>70184308</v>
      </c>
      <c r="B1095" s="2" t="s">
        <v>1243</v>
      </c>
      <c r="D1095" s="2" t="str">
        <f>E1095&amp;(VLOOKUP(F1095,编号表!$E$1:$G$8,2,0))&amp;G1095&amp;"_"&amp;H1095&amp;"_"&amp;I1095</f>
        <v>18N4_3_8</v>
      </c>
      <c r="E1095" s="2">
        <v>18</v>
      </c>
      <c r="F1095" s="2" t="s">
        <v>174</v>
      </c>
      <c r="G1095" s="2">
        <v>4</v>
      </c>
      <c r="H1095" s="2">
        <v>3</v>
      </c>
      <c r="I1095" s="2">
        <f>COUNTIFS($E$3:E1095,E1095,$H$3:H1095,H1095)</f>
        <v>8</v>
      </c>
      <c r="N1095" s="11">
        <v>1018201</v>
      </c>
      <c r="O1095" s="11">
        <f t="shared" si="25"/>
        <v>1018301</v>
      </c>
      <c r="P1095" s="11">
        <f t="shared" si="26"/>
        <v>1018401</v>
      </c>
      <c r="Q1095" s="11">
        <f t="shared" si="27"/>
        <v>1018501</v>
      </c>
    </row>
    <row r="1096" spans="1:17">
      <c r="A1096" s="11">
        <f t="shared" si="24"/>
        <v>70184309</v>
      </c>
      <c r="B1096" s="2" t="s">
        <v>1244</v>
      </c>
      <c r="D1096" s="2" t="str">
        <f>E1096&amp;(VLOOKUP(F1096,编号表!$E$1:$G$8,2,0))&amp;G1096&amp;"_"&amp;H1096&amp;"_"&amp;I1096</f>
        <v>18N4_3_9</v>
      </c>
      <c r="E1096" s="2">
        <v>18</v>
      </c>
      <c r="F1096" s="2" t="s">
        <v>174</v>
      </c>
      <c r="G1096" s="2">
        <v>4</v>
      </c>
      <c r="H1096" s="2">
        <v>3</v>
      </c>
      <c r="I1096" s="2">
        <f>COUNTIFS($E$3:E1096,E1096,$H$3:H1096,H1096)</f>
        <v>9</v>
      </c>
      <c r="N1096" s="11">
        <v>1018201</v>
      </c>
      <c r="O1096" s="11">
        <f t="shared" si="25"/>
        <v>1018301</v>
      </c>
      <c r="P1096" s="11">
        <f t="shared" si="26"/>
        <v>1018401</v>
      </c>
      <c r="Q1096" s="11">
        <f t="shared" si="27"/>
        <v>1018501</v>
      </c>
    </row>
    <row r="1097" spans="1:17">
      <c r="A1097" s="11">
        <f t="shared" si="24"/>
        <v>70184310</v>
      </c>
      <c r="B1097" s="2" t="s">
        <v>1245</v>
      </c>
      <c r="D1097" s="2" t="str">
        <f>E1097&amp;(VLOOKUP(F1097,编号表!$E$1:$G$8,2,0))&amp;G1097&amp;"_"&amp;H1097&amp;"_"&amp;I1097</f>
        <v>18N4_3_10</v>
      </c>
      <c r="E1097" s="2">
        <v>18</v>
      </c>
      <c r="F1097" s="2" t="s">
        <v>174</v>
      </c>
      <c r="G1097" s="2">
        <v>4</v>
      </c>
      <c r="H1097" s="2">
        <v>3</v>
      </c>
      <c r="I1097" s="2">
        <f>COUNTIFS($E$3:E1097,E1097,$H$3:H1097,H1097)</f>
        <v>10</v>
      </c>
      <c r="N1097" s="11">
        <v>1018201</v>
      </c>
      <c r="O1097" s="11">
        <f t="shared" si="25"/>
        <v>1018301</v>
      </c>
      <c r="P1097" s="11">
        <f t="shared" si="26"/>
        <v>1018401</v>
      </c>
      <c r="Q1097" s="11">
        <f t="shared" si="27"/>
        <v>1018501</v>
      </c>
    </row>
    <row r="1098" spans="1:17">
      <c r="A1098" s="11">
        <f t="shared" si="24"/>
        <v>70184311</v>
      </c>
      <c r="B1098" s="2" t="s">
        <v>1246</v>
      </c>
      <c r="D1098" s="2" t="str">
        <f>E1098&amp;(VLOOKUP(F1098,编号表!$E$1:$G$8,2,0))&amp;G1098&amp;"_"&amp;H1098&amp;"_"&amp;I1098</f>
        <v>18N4_3_11</v>
      </c>
      <c r="E1098" s="2">
        <v>18</v>
      </c>
      <c r="F1098" s="2" t="s">
        <v>174</v>
      </c>
      <c r="G1098" s="2">
        <v>4</v>
      </c>
      <c r="H1098" s="2">
        <v>3</v>
      </c>
      <c r="I1098" s="2">
        <f>COUNTIFS($E$3:E1098,E1098,$H$3:H1098,H1098)</f>
        <v>11</v>
      </c>
      <c r="N1098" s="11">
        <v>1018201</v>
      </c>
      <c r="O1098" s="11">
        <f t="shared" si="25"/>
        <v>1018301</v>
      </c>
      <c r="P1098" s="11">
        <f t="shared" si="26"/>
        <v>1018401</v>
      </c>
      <c r="Q1098" s="11">
        <f t="shared" si="27"/>
        <v>1018501</v>
      </c>
    </row>
    <row r="1099" spans="1:17">
      <c r="A1099" s="11">
        <f t="shared" si="24"/>
        <v>70184312</v>
      </c>
      <c r="B1099" s="2" t="s">
        <v>1247</v>
      </c>
      <c r="D1099" s="2" t="str">
        <f>E1099&amp;(VLOOKUP(F1099,编号表!$E$1:$G$8,2,0))&amp;G1099&amp;"_"&amp;H1099&amp;"_"&amp;I1099</f>
        <v>18N4_3_12</v>
      </c>
      <c r="E1099" s="2">
        <v>18</v>
      </c>
      <c r="F1099" s="2" t="s">
        <v>174</v>
      </c>
      <c r="G1099" s="2">
        <v>4</v>
      </c>
      <c r="H1099" s="2">
        <v>3</v>
      </c>
      <c r="I1099" s="2">
        <f>COUNTIFS($E$3:E1099,E1099,$H$3:H1099,H1099)</f>
        <v>12</v>
      </c>
      <c r="N1099" s="11">
        <v>1018201</v>
      </c>
      <c r="O1099" s="11">
        <f t="shared" si="25"/>
        <v>1018301</v>
      </c>
      <c r="P1099" s="11">
        <f t="shared" si="26"/>
        <v>1018401</v>
      </c>
      <c r="Q1099" s="11">
        <f t="shared" si="27"/>
        <v>1018501</v>
      </c>
    </row>
    <row r="1100" spans="1:17">
      <c r="A1100" s="11">
        <f t="shared" si="24"/>
        <v>70182313</v>
      </c>
      <c r="B1100" s="2" t="s">
        <v>1248</v>
      </c>
      <c r="D1100" s="2" t="str">
        <f>E1100&amp;(VLOOKUP(F1100,编号表!$E$1:$G$8,2,0))&amp;G1100&amp;"_"&amp;H1100&amp;"_"&amp;I1100</f>
        <v>18N2_3_13</v>
      </c>
      <c r="E1100" s="2">
        <v>18</v>
      </c>
      <c r="F1100" s="2" t="s">
        <v>174</v>
      </c>
      <c r="G1100" s="2">
        <v>2</v>
      </c>
      <c r="H1100" s="2">
        <v>3</v>
      </c>
      <c r="I1100" s="2">
        <f>COUNTIFS($E$3:E1100,E1100,$H$3:H1100,H1100)</f>
        <v>13</v>
      </c>
      <c r="N1100" s="11">
        <v>1018201</v>
      </c>
      <c r="O1100" s="11">
        <f t="shared" si="25"/>
        <v>1018301</v>
      </c>
      <c r="P1100" s="11">
        <f t="shared" si="26"/>
        <v>1018401</v>
      </c>
      <c r="Q1100" s="11">
        <f t="shared" si="27"/>
        <v>1018501</v>
      </c>
    </row>
    <row r="1101" spans="1:17">
      <c r="A1101" s="11">
        <f t="shared" si="24"/>
        <v>70181314</v>
      </c>
      <c r="B1101" s="15" t="s">
        <v>1249</v>
      </c>
      <c r="D1101" s="2" t="str">
        <f>E1101&amp;(VLOOKUP(F1101,编号表!$E$1:$G$8,2,0))&amp;G1101&amp;"_"&amp;H1101&amp;"_"&amp;I1101</f>
        <v>18T1_3_14</v>
      </c>
      <c r="E1101" s="2">
        <v>18</v>
      </c>
      <c r="F1101" s="2" t="s">
        <v>190</v>
      </c>
      <c r="G1101" s="2">
        <v>1</v>
      </c>
      <c r="H1101" s="2">
        <v>3</v>
      </c>
      <c r="I1101" s="2">
        <f>COUNTIFS($E$3:E1101,E1101,$H$3:H1101,H1101)</f>
        <v>14</v>
      </c>
    </row>
    <row r="1102" spans="1:17">
      <c r="A1102" s="11">
        <f t="shared" si="24"/>
        <v>70183315</v>
      </c>
      <c r="B1102" s="16" t="s">
        <v>70</v>
      </c>
      <c r="C1102" s="2" t="s">
        <v>1250</v>
      </c>
      <c r="D1102" s="2" t="str">
        <f>E1102&amp;(VLOOKUP(F1102,编号表!$E$1:$G$8,2,0))&amp;G1102&amp;"_"&amp;H1102&amp;"_"&amp;I1102</f>
        <v>18T3_3_15</v>
      </c>
      <c r="E1102" s="2">
        <v>18</v>
      </c>
      <c r="F1102" s="2" t="s">
        <v>190</v>
      </c>
      <c r="G1102" s="2">
        <v>3</v>
      </c>
      <c r="H1102" s="2">
        <v>3</v>
      </c>
      <c r="I1102" s="2">
        <f>COUNTIFS($E$3:E1102,E1102,$H$3:H1102,H1102)</f>
        <v>15</v>
      </c>
      <c r="L1102" s="2">
        <v>138</v>
      </c>
    </row>
    <row r="1103" spans="1:17">
      <c r="A1103" s="11">
        <f t="shared" si="24"/>
        <v>70184401</v>
      </c>
      <c r="B1103" s="2" t="s">
        <v>1251</v>
      </c>
      <c r="D1103" s="2" t="str">
        <f>E1103&amp;(VLOOKUP(F1103,编号表!$E$1:$G$8,2,0))&amp;G1103&amp;"_"&amp;H1103&amp;"_"&amp;I1103</f>
        <v>18N4_4_1</v>
      </c>
      <c r="E1103" s="2">
        <v>18</v>
      </c>
      <c r="F1103" s="2" t="s">
        <v>174</v>
      </c>
      <c r="G1103" s="2">
        <v>4</v>
      </c>
      <c r="H1103" s="2">
        <v>4</v>
      </c>
      <c r="I1103" s="2">
        <f>COUNTIFS($E$3:E1103,E1103,$H$3:H1103,H1103)</f>
        <v>1</v>
      </c>
      <c r="N1103" s="11">
        <v>1018201</v>
      </c>
      <c r="O1103" s="11">
        <f t="shared" ref="O1103:O1134" si="28">N1103+100</f>
        <v>1018301</v>
      </c>
      <c r="P1103" s="11">
        <f t="shared" ref="P1103:P1134" si="29">O1103+100</f>
        <v>1018401</v>
      </c>
      <c r="Q1103" s="11">
        <f t="shared" ref="Q1103:Q1134" si="30">P1103+100</f>
        <v>1018501</v>
      </c>
    </row>
    <row r="1104" spans="1:17">
      <c r="A1104" s="11">
        <f t="shared" si="24"/>
        <v>70183402</v>
      </c>
      <c r="B1104" s="2" t="s">
        <v>1252</v>
      </c>
      <c r="D1104" s="2" t="str">
        <f>E1104&amp;(VLOOKUP(F1104,编号表!$E$1:$G$8,2,0))&amp;G1104&amp;"_"&amp;H1104&amp;"_"&amp;I1104</f>
        <v>18N3_4_2</v>
      </c>
      <c r="E1104" s="2">
        <v>18</v>
      </c>
      <c r="F1104" s="2" t="s">
        <v>174</v>
      </c>
      <c r="G1104" s="2">
        <v>3</v>
      </c>
      <c r="H1104" s="2">
        <v>4</v>
      </c>
      <c r="I1104" s="2">
        <f>COUNTIFS($E$3:E1104,E1104,$H$3:H1104,H1104)</f>
        <v>2</v>
      </c>
      <c r="N1104" s="11">
        <v>1018201</v>
      </c>
      <c r="O1104" s="11">
        <f t="shared" si="28"/>
        <v>1018301</v>
      </c>
      <c r="P1104" s="11">
        <f t="shared" si="29"/>
        <v>1018401</v>
      </c>
      <c r="Q1104" s="11">
        <f t="shared" si="30"/>
        <v>1018501</v>
      </c>
    </row>
    <row r="1105" spans="1:17">
      <c r="A1105" s="11">
        <f t="shared" si="24"/>
        <v>70184403</v>
      </c>
      <c r="B1105" s="2" t="s">
        <v>1253</v>
      </c>
      <c r="D1105" s="2" t="str">
        <f>E1105&amp;(VLOOKUP(F1105,编号表!$E$1:$G$8,2,0))&amp;G1105&amp;"_"&amp;H1105&amp;"_"&amp;I1105</f>
        <v>18N4_4_3</v>
      </c>
      <c r="E1105" s="2">
        <v>18</v>
      </c>
      <c r="F1105" s="2" t="s">
        <v>174</v>
      </c>
      <c r="G1105" s="2">
        <v>4</v>
      </c>
      <c r="H1105" s="2">
        <v>4</v>
      </c>
      <c r="I1105" s="2">
        <f>COUNTIFS($E$3:E1105,E1105,$H$3:H1105,H1105)</f>
        <v>3</v>
      </c>
      <c r="N1105" s="11">
        <v>1018201</v>
      </c>
      <c r="O1105" s="11">
        <f t="shared" si="28"/>
        <v>1018301</v>
      </c>
      <c r="P1105" s="11">
        <f t="shared" si="29"/>
        <v>1018401</v>
      </c>
      <c r="Q1105" s="11">
        <f t="shared" si="30"/>
        <v>1018501</v>
      </c>
    </row>
    <row r="1106" spans="1:17">
      <c r="A1106" s="11">
        <f t="shared" si="24"/>
        <v>70184404</v>
      </c>
      <c r="B1106" s="2" t="s">
        <v>1254</v>
      </c>
      <c r="D1106" s="2" t="str">
        <f>E1106&amp;(VLOOKUP(F1106,编号表!$E$1:$G$8,2,0))&amp;G1106&amp;"_"&amp;H1106&amp;"_"&amp;I1106</f>
        <v>18N4_4_4</v>
      </c>
      <c r="E1106" s="2">
        <v>18</v>
      </c>
      <c r="F1106" s="2" t="s">
        <v>174</v>
      </c>
      <c r="G1106" s="2">
        <v>4</v>
      </c>
      <c r="H1106" s="2">
        <v>4</v>
      </c>
      <c r="I1106" s="2">
        <f>COUNTIFS($E$3:E1106,E1106,$H$3:H1106,H1106)</f>
        <v>4</v>
      </c>
      <c r="N1106" s="11">
        <v>1018201</v>
      </c>
      <c r="O1106" s="11">
        <f t="shared" si="28"/>
        <v>1018301</v>
      </c>
      <c r="P1106" s="11">
        <f t="shared" si="29"/>
        <v>1018401</v>
      </c>
      <c r="Q1106" s="11">
        <f t="shared" si="30"/>
        <v>1018501</v>
      </c>
    </row>
    <row r="1107" spans="1:17">
      <c r="A1107" s="11">
        <f t="shared" si="24"/>
        <v>70184405</v>
      </c>
      <c r="B1107" s="2" t="s">
        <v>1255</v>
      </c>
      <c r="D1107" s="2" t="str">
        <f>E1107&amp;(VLOOKUP(F1107,编号表!$E$1:$G$8,2,0))&amp;G1107&amp;"_"&amp;H1107&amp;"_"&amp;I1107</f>
        <v>18N4_4_5</v>
      </c>
      <c r="E1107" s="2">
        <v>18</v>
      </c>
      <c r="F1107" s="2" t="s">
        <v>174</v>
      </c>
      <c r="G1107" s="2">
        <v>4</v>
      </c>
      <c r="H1107" s="2">
        <v>4</v>
      </c>
      <c r="I1107" s="2">
        <f>COUNTIFS($E$3:E1107,E1107,$H$3:H1107,H1107)</f>
        <v>5</v>
      </c>
      <c r="N1107" s="11">
        <v>1018201</v>
      </c>
      <c r="O1107" s="11">
        <f t="shared" si="28"/>
        <v>1018301</v>
      </c>
      <c r="P1107" s="11">
        <f t="shared" si="29"/>
        <v>1018401</v>
      </c>
      <c r="Q1107" s="11">
        <f t="shared" si="30"/>
        <v>1018501</v>
      </c>
    </row>
    <row r="1108" spans="1:17">
      <c r="A1108" s="11">
        <f t="shared" si="24"/>
        <v>70184406</v>
      </c>
      <c r="B1108" s="2" t="s">
        <v>1256</v>
      </c>
      <c r="D1108" s="2" t="str">
        <f>E1108&amp;(VLOOKUP(F1108,编号表!$E$1:$G$8,2,0))&amp;G1108&amp;"_"&amp;H1108&amp;"_"&amp;I1108</f>
        <v>18N4_4_6</v>
      </c>
      <c r="E1108" s="2">
        <v>18</v>
      </c>
      <c r="F1108" s="2" t="s">
        <v>174</v>
      </c>
      <c r="G1108" s="2">
        <v>4</v>
      </c>
      <c r="H1108" s="2">
        <v>4</v>
      </c>
      <c r="I1108" s="2">
        <f>COUNTIFS($E$3:E1108,E1108,$H$3:H1108,H1108)</f>
        <v>6</v>
      </c>
      <c r="N1108" s="11">
        <v>1018201</v>
      </c>
      <c r="O1108" s="11">
        <f t="shared" si="28"/>
        <v>1018301</v>
      </c>
      <c r="P1108" s="11">
        <f t="shared" si="29"/>
        <v>1018401</v>
      </c>
      <c r="Q1108" s="11">
        <f t="shared" si="30"/>
        <v>1018501</v>
      </c>
    </row>
    <row r="1109" spans="1:17">
      <c r="A1109" s="11">
        <f t="shared" si="24"/>
        <v>70184407</v>
      </c>
      <c r="B1109" s="2" t="s">
        <v>1257</v>
      </c>
      <c r="D1109" s="2" t="str">
        <f>E1109&amp;(VLOOKUP(F1109,编号表!$E$1:$G$8,2,0))&amp;G1109&amp;"_"&amp;H1109&amp;"_"&amp;I1109</f>
        <v>18N4_4_7</v>
      </c>
      <c r="E1109" s="2">
        <v>18</v>
      </c>
      <c r="F1109" s="2" t="s">
        <v>174</v>
      </c>
      <c r="G1109" s="2">
        <v>4</v>
      </c>
      <c r="H1109" s="2">
        <v>4</v>
      </c>
      <c r="I1109" s="2">
        <f>COUNTIFS($E$3:E1109,E1109,$H$3:H1109,H1109)</f>
        <v>7</v>
      </c>
      <c r="N1109" s="11">
        <v>1018201</v>
      </c>
      <c r="O1109" s="11">
        <f t="shared" si="28"/>
        <v>1018301</v>
      </c>
      <c r="P1109" s="11">
        <f t="shared" si="29"/>
        <v>1018401</v>
      </c>
      <c r="Q1109" s="11">
        <f t="shared" si="30"/>
        <v>1018501</v>
      </c>
    </row>
    <row r="1110" spans="1:17">
      <c r="A1110" s="11">
        <f t="shared" si="24"/>
        <v>70184408</v>
      </c>
      <c r="B1110" s="2" t="s">
        <v>1258</v>
      </c>
      <c r="D1110" s="2" t="str">
        <f>E1110&amp;(VLOOKUP(F1110,编号表!$E$1:$G$8,2,0))&amp;G1110&amp;"_"&amp;H1110&amp;"_"&amp;I1110</f>
        <v>18N4_4_8</v>
      </c>
      <c r="E1110" s="2">
        <v>18</v>
      </c>
      <c r="F1110" s="2" t="s">
        <v>174</v>
      </c>
      <c r="G1110" s="2">
        <v>4</v>
      </c>
      <c r="H1110" s="2">
        <v>4</v>
      </c>
      <c r="I1110" s="2">
        <f>COUNTIFS($E$3:E1110,E1110,$H$3:H1110,H1110)</f>
        <v>8</v>
      </c>
      <c r="N1110" s="11">
        <v>1018201</v>
      </c>
      <c r="O1110" s="11">
        <f t="shared" si="28"/>
        <v>1018301</v>
      </c>
      <c r="P1110" s="11">
        <f t="shared" si="29"/>
        <v>1018401</v>
      </c>
      <c r="Q1110" s="11">
        <f t="shared" si="30"/>
        <v>1018501</v>
      </c>
    </row>
    <row r="1111" spans="1:17">
      <c r="A1111" s="11">
        <f t="shared" si="24"/>
        <v>70184409</v>
      </c>
      <c r="B1111" s="2" t="s">
        <v>1259</v>
      </c>
      <c r="D1111" s="2" t="str">
        <f>E1111&amp;(VLOOKUP(F1111,编号表!$E$1:$G$8,2,0))&amp;G1111&amp;"_"&amp;H1111&amp;"_"&amp;I1111</f>
        <v>18N4_4_9</v>
      </c>
      <c r="E1111" s="2">
        <v>18</v>
      </c>
      <c r="F1111" s="2" t="s">
        <v>174</v>
      </c>
      <c r="G1111" s="2">
        <v>4</v>
      </c>
      <c r="H1111" s="2">
        <v>4</v>
      </c>
      <c r="I1111" s="2">
        <f>COUNTIFS($E$3:E1111,E1111,$H$3:H1111,H1111)</f>
        <v>9</v>
      </c>
      <c r="N1111" s="11">
        <v>1018201</v>
      </c>
      <c r="O1111" s="11">
        <f t="shared" si="28"/>
        <v>1018301</v>
      </c>
      <c r="P1111" s="11">
        <f t="shared" si="29"/>
        <v>1018401</v>
      </c>
      <c r="Q1111" s="11">
        <f t="shared" si="30"/>
        <v>1018501</v>
      </c>
    </row>
    <row r="1112" spans="1:17">
      <c r="A1112" s="11">
        <f t="shared" si="24"/>
        <v>70183410</v>
      </c>
      <c r="B1112" s="2" t="s">
        <v>1260</v>
      </c>
      <c r="D1112" s="2" t="str">
        <f>E1112&amp;(VLOOKUP(F1112,编号表!$E$1:$G$8,2,0))&amp;G1112&amp;"_"&amp;H1112&amp;"_"&amp;I1112</f>
        <v>18N3_4_10</v>
      </c>
      <c r="E1112" s="2">
        <v>18</v>
      </c>
      <c r="F1112" s="2" t="s">
        <v>174</v>
      </c>
      <c r="G1112" s="2">
        <v>3</v>
      </c>
      <c r="H1112" s="2">
        <v>4</v>
      </c>
      <c r="I1112" s="2">
        <f>COUNTIFS($E$3:E1112,E1112,$H$3:H1112,H1112)</f>
        <v>10</v>
      </c>
      <c r="N1112" s="11">
        <v>1018201</v>
      </c>
      <c r="O1112" s="11">
        <f t="shared" si="28"/>
        <v>1018301</v>
      </c>
      <c r="P1112" s="11">
        <f t="shared" si="29"/>
        <v>1018401</v>
      </c>
      <c r="Q1112" s="11">
        <f t="shared" si="30"/>
        <v>1018501</v>
      </c>
    </row>
    <row r="1113" spans="1:17">
      <c r="A1113" s="11">
        <f t="shared" si="24"/>
        <v>70182411</v>
      </c>
      <c r="B1113" s="2" t="s">
        <v>1261</v>
      </c>
      <c r="D1113" s="2" t="str">
        <f>E1113&amp;(VLOOKUP(F1113,编号表!$E$1:$G$8,2,0))&amp;G1113&amp;"_"&amp;H1113&amp;"_"&amp;I1113</f>
        <v>18N2_4_11</v>
      </c>
      <c r="E1113" s="2">
        <v>18</v>
      </c>
      <c r="F1113" s="2" t="s">
        <v>174</v>
      </c>
      <c r="G1113" s="2">
        <v>2</v>
      </c>
      <c r="H1113" s="2">
        <v>4</v>
      </c>
      <c r="I1113" s="2">
        <f>COUNTIFS($E$3:E1113,E1113,$H$3:H1113,H1113)</f>
        <v>11</v>
      </c>
      <c r="N1113" s="11">
        <v>1018201</v>
      </c>
      <c r="O1113" s="11">
        <f t="shared" si="28"/>
        <v>1018301</v>
      </c>
      <c r="P1113" s="11">
        <f t="shared" si="29"/>
        <v>1018401</v>
      </c>
      <c r="Q1113" s="11">
        <f t="shared" si="30"/>
        <v>1018501</v>
      </c>
    </row>
    <row r="1114" spans="1:17">
      <c r="A1114" s="11">
        <f t="shared" si="24"/>
        <v>70184501</v>
      </c>
      <c r="B1114" s="2" t="s">
        <v>1262</v>
      </c>
      <c r="D1114" s="2" t="str">
        <f>E1114&amp;(VLOOKUP(F1114,编号表!$E$1:$G$8,2,0))&amp;G1114&amp;"_"&amp;H1114&amp;"_"&amp;I1114</f>
        <v>18N4_5_1</v>
      </c>
      <c r="E1114" s="2">
        <v>18</v>
      </c>
      <c r="F1114" s="2" t="s">
        <v>174</v>
      </c>
      <c r="G1114" s="2">
        <v>4</v>
      </c>
      <c r="H1114" s="2">
        <v>5</v>
      </c>
      <c r="I1114" s="2">
        <f>COUNTIFS($E$3:E1114,E1114,$H$3:H1114,H1114)</f>
        <v>1</v>
      </c>
      <c r="N1114" s="11">
        <v>1018201</v>
      </c>
      <c r="O1114" s="11">
        <f t="shared" si="28"/>
        <v>1018301</v>
      </c>
      <c r="P1114" s="11">
        <f t="shared" si="29"/>
        <v>1018401</v>
      </c>
      <c r="Q1114" s="11">
        <f t="shared" si="30"/>
        <v>1018501</v>
      </c>
    </row>
    <row r="1115" spans="1:17">
      <c r="A1115" s="11">
        <f t="shared" si="24"/>
        <v>70181502</v>
      </c>
      <c r="B1115" s="2" t="s">
        <v>1263</v>
      </c>
      <c r="D1115" s="2" t="str">
        <f>E1115&amp;(VLOOKUP(F1115,编号表!$E$1:$G$8,2,0))&amp;G1115&amp;"_"&amp;H1115&amp;"_"&amp;I1115</f>
        <v>18N1_5_2</v>
      </c>
      <c r="E1115" s="2">
        <v>18</v>
      </c>
      <c r="F1115" s="2" t="s">
        <v>174</v>
      </c>
      <c r="G1115" s="2">
        <v>1</v>
      </c>
      <c r="H1115" s="2">
        <v>5</v>
      </c>
      <c r="I1115" s="2">
        <f>COUNTIFS($E$3:E1115,E1115,$H$3:H1115,H1115)</f>
        <v>2</v>
      </c>
      <c r="N1115" s="11">
        <v>1018201</v>
      </c>
      <c r="O1115" s="11">
        <f t="shared" si="28"/>
        <v>1018301</v>
      </c>
      <c r="P1115" s="11">
        <f t="shared" si="29"/>
        <v>1018401</v>
      </c>
      <c r="Q1115" s="11">
        <f t="shared" si="30"/>
        <v>1018501</v>
      </c>
    </row>
    <row r="1116" spans="1:17">
      <c r="A1116" s="11">
        <f t="shared" si="24"/>
        <v>70184503</v>
      </c>
      <c r="B1116" s="2" t="s">
        <v>1264</v>
      </c>
      <c r="D1116" s="2" t="str">
        <f>E1116&amp;(VLOOKUP(F1116,编号表!$E$1:$G$8,2,0))&amp;G1116&amp;"_"&amp;H1116&amp;"_"&amp;I1116</f>
        <v>18N4_5_3</v>
      </c>
      <c r="E1116" s="2">
        <v>18</v>
      </c>
      <c r="F1116" s="2" t="s">
        <v>174</v>
      </c>
      <c r="G1116" s="2">
        <v>4</v>
      </c>
      <c r="H1116" s="2">
        <v>5</v>
      </c>
      <c r="I1116" s="2">
        <f>COUNTIFS($E$3:E1116,E1116,$H$3:H1116,H1116)</f>
        <v>3</v>
      </c>
      <c r="N1116" s="11">
        <v>1018201</v>
      </c>
      <c r="O1116" s="11">
        <f t="shared" si="28"/>
        <v>1018301</v>
      </c>
      <c r="P1116" s="11">
        <f t="shared" si="29"/>
        <v>1018401</v>
      </c>
      <c r="Q1116" s="11">
        <f t="shared" si="30"/>
        <v>1018501</v>
      </c>
    </row>
    <row r="1117" spans="1:17">
      <c r="A1117" s="11">
        <f t="shared" si="24"/>
        <v>70184504</v>
      </c>
      <c r="B1117" s="2" t="s">
        <v>1265</v>
      </c>
      <c r="D1117" s="2" t="str">
        <f>E1117&amp;(VLOOKUP(F1117,编号表!$E$1:$G$8,2,0))&amp;G1117&amp;"_"&amp;H1117&amp;"_"&amp;I1117</f>
        <v>18N4_5_4</v>
      </c>
      <c r="E1117" s="2">
        <v>18</v>
      </c>
      <c r="F1117" s="2" t="s">
        <v>174</v>
      </c>
      <c r="G1117" s="2">
        <v>4</v>
      </c>
      <c r="H1117" s="2">
        <v>5</v>
      </c>
      <c r="I1117" s="2">
        <f>COUNTIFS($E$3:E1117,E1117,$H$3:H1117,H1117)</f>
        <v>4</v>
      </c>
      <c r="N1117" s="11">
        <v>1018201</v>
      </c>
      <c r="O1117" s="11">
        <f t="shared" si="28"/>
        <v>1018301</v>
      </c>
      <c r="P1117" s="11">
        <f t="shared" si="29"/>
        <v>1018401</v>
      </c>
      <c r="Q1117" s="11">
        <f t="shared" si="30"/>
        <v>1018501</v>
      </c>
    </row>
    <row r="1118" spans="1:17">
      <c r="A1118" s="11">
        <f t="shared" si="24"/>
        <v>70184505</v>
      </c>
      <c r="B1118" s="2" t="s">
        <v>1266</v>
      </c>
      <c r="D1118" s="2" t="str">
        <f>E1118&amp;(VLOOKUP(F1118,编号表!$E$1:$G$8,2,0))&amp;G1118&amp;"_"&amp;H1118&amp;"_"&amp;I1118</f>
        <v>18N4_5_5</v>
      </c>
      <c r="E1118" s="2">
        <v>18</v>
      </c>
      <c r="F1118" s="2" t="s">
        <v>174</v>
      </c>
      <c r="G1118" s="2">
        <v>4</v>
      </c>
      <c r="H1118" s="2">
        <v>5</v>
      </c>
      <c r="I1118" s="2">
        <f>COUNTIFS($E$3:E1118,E1118,$H$3:H1118,H1118)</f>
        <v>5</v>
      </c>
      <c r="N1118" s="11">
        <v>1018201</v>
      </c>
      <c r="O1118" s="11">
        <f t="shared" si="28"/>
        <v>1018301</v>
      </c>
      <c r="P1118" s="11">
        <f t="shared" si="29"/>
        <v>1018401</v>
      </c>
      <c r="Q1118" s="11">
        <f t="shared" si="30"/>
        <v>1018501</v>
      </c>
    </row>
    <row r="1119" spans="1:17">
      <c r="A1119" s="11">
        <f t="shared" si="24"/>
        <v>70184506</v>
      </c>
      <c r="B1119" s="2" t="s">
        <v>1267</v>
      </c>
      <c r="D1119" s="2" t="str">
        <f>E1119&amp;(VLOOKUP(F1119,编号表!$E$1:$G$8,2,0))&amp;G1119&amp;"_"&amp;H1119&amp;"_"&amp;I1119</f>
        <v>18N4_5_6</v>
      </c>
      <c r="E1119" s="2">
        <v>18</v>
      </c>
      <c r="F1119" s="2" t="s">
        <v>174</v>
      </c>
      <c r="G1119" s="2">
        <v>4</v>
      </c>
      <c r="H1119" s="2">
        <v>5</v>
      </c>
      <c r="I1119" s="2">
        <f>COUNTIFS($E$3:E1119,E1119,$H$3:H1119,H1119)</f>
        <v>6</v>
      </c>
      <c r="N1119" s="11">
        <v>1018201</v>
      </c>
      <c r="O1119" s="11">
        <f t="shared" si="28"/>
        <v>1018301</v>
      </c>
      <c r="P1119" s="11">
        <f t="shared" si="29"/>
        <v>1018401</v>
      </c>
      <c r="Q1119" s="11">
        <f t="shared" si="30"/>
        <v>1018501</v>
      </c>
    </row>
    <row r="1120" spans="1:17">
      <c r="A1120" s="11">
        <f t="shared" si="24"/>
        <v>70184507</v>
      </c>
      <c r="B1120" s="2" t="s">
        <v>1268</v>
      </c>
      <c r="D1120" s="2" t="str">
        <f>E1120&amp;(VLOOKUP(F1120,编号表!$E$1:$G$8,2,0))&amp;G1120&amp;"_"&amp;H1120&amp;"_"&amp;I1120</f>
        <v>18N4_5_7</v>
      </c>
      <c r="E1120" s="2">
        <v>18</v>
      </c>
      <c r="F1120" s="2" t="s">
        <v>174</v>
      </c>
      <c r="G1120" s="2">
        <v>4</v>
      </c>
      <c r="H1120" s="2">
        <v>5</v>
      </c>
      <c r="I1120" s="2">
        <f>COUNTIFS($E$3:E1120,E1120,$H$3:H1120,H1120)</f>
        <v>7</v>
      </c>
      <c r="N1120" s="11">
        <v>1018201</v>
      </c>
      <c r="O1120" s="11">
        <f t="shared" si="28"/>
        <v>1018301</v>
      </c>
      <c r="P1120" s="11">
        <f t="shared" si="29"/>
        <v>1018401</v>
      </c>
      <c r="Q1120" s="11">
        <f t="shared" si="30"/>
        <v>1018501</v>
      </c>
    </row>
    <row r="1121" spans="1:17">
      <c r="A1121" s="11">
        <f t="shared" si="24"/>
        <v>70184508</v>
      </c>
      <c r="B1121" s="2" t="s">
        <v>1269</v>
      </c>
      <c r="D1121" s="2" t="str">
        <f>E1121&amp;(VLOOKUP(F1121,编号表!$E$1:$G$8,2,0))&amp;G1121&amp;"_"&amp;H1121&amp;"_"&amp;I1121</f>
        <v>18N4_5_8</v>
      </c>
      <c r="E1121" s="2">
        <v>18</v>
      </c>
      <c r="F1121" s="2" t="s">
        <v>174</v>
      </c>
      <c r="G1121" s="2">
        <v>4</v>
      </c>
      <c r="H1121" s="2">
        <v>5</v>
      </c>
      <c r="I1121" s="2">
        <f>COUNTIFS($E$3:E1121,E1121,$H$3:H1121,H1121)</f>
        <v>8</v>
      </c>
      <c r="N1121" s="11">
        <v>1018201</v>
      </c>
      <c r="O1121" s="11">
        <f t="shared" si="28"/>
        <v>1018301</v>
      </c>
      <c r="P1121" s="11">
        <f t="shared" si="29"/>
        <v>1018401</v>
      </c>
      <c r="Q1121" s="11">
        <f t="shared" si="30"/>
        <v>1018501</v>
      </c>
    </row>
    <row r="1122" spans="1:17">
      <c r="A1122" s="11">
        <f t="shared" si="24"/>
        <v>70184509</v>
      </c>
      <c r="B1122" s="2" t="s">
        <v>1270</v>
      </c>
      <c r="D1122" s="2" t="str">
        <f>E1122&amp;(VLOOKUP(F1122,编号表!$E$1:$G$8,2,0))&amp;G1122&amp;"_"&amp;H1122&amp;"_"&amp;I1122</f>
        <v>18N4_5_9</v>
      </c>
      <c r="E1122" s="2">
        <v>18</v>
      </c>
      <c r="F1122" s="2" t="s">
        <v>174</v>
      </c>
      <c r="G1122" s="2">
        <v>4</v>
      </c>
      <c r="H1122" s="2">
        <v>5</v>
      </c>
      <c r="I1122" s="2">
        <f>COUNTIFS($E$3:E1122,E1122,$H$3:H1122,H1122)</f>
        <v>9</v>
      </c>
      <c r="N1122" s="11">
        <v>1018201</v>
      </c>
      <c r="O1122" s="11">
        <f t="shared" si="28"/>
        <v>1018301</v>
      </c>
      <c r="P1122" s="11">
        <f t="shared" si="29"/>
        <v>1018401</v>
      </c>
      <c r="Q1122" s="11">
        <f t="shared" si="30"/>
        <v>1018501</v>
      </c>
    </row>
    <row r="1123" spans="1:17">
      <c r="A1123" s="11">
        <f t="shared" si="24"/>
        <v>70184510</v>
      </c>
      <c r="B1123" s="2" t="s">
        <v>1271</v>
      </c>
      <c r="D1123" s="2" t="str">
        <f>E1123&amp;(VLOOKUP(F1123,编号表!$E$1:$G$8,2,0))&amp;G1123&amp;"_"&amp;H1123&amp;"_"&amp;I1123</f>
        <v>18N4_5_10</v>
      </c>
      <c r="E1123" s="2">
        <v>18</v>
      </c>
      <c r="F1123" s="2" t="s">
        <v>174</v>
      </c>
      <c r="G1123" s="2">
        <v>4</v>
      </c>
      <c r="H1123" s="2">
        <v>5</v>
      </c>
      <c r="I1123" s="2">
        <f>COUNTIFS($E$3:E1123,E1123,$H$3:H1123,H1123)</f>
        <v>10</v>
      </c>
      <c r="N1123" s="11">
        <v>1018201</v>
      </c>
      <c r="O1123" s="11">
        <f t="shared" si="28"/>
        <v>1018301</v>
      </c>
      <c r="P1123" s="11">
        <f t="shared" si="29"/>
        <v>1018401</v>
      </c>
      <c r="Q1123" s="11">
        <f t="shared" si="30"/>
        <v>1018501</v>
      </c>
    </row>
    <row r="1124" spans="1:17">
      <c r="A1124" s="11">
        <f t="shared" si="24"/>
        <v>70183511</v>
      </c>
      <c r="B1124" s="2" t="s">
        <v>1272</v>
      </c>
      <c r="D1124" s="2" t="str">
        <f>E1124&amp;(VLOOKUP(F1124,编号表!$E$1:$G$8,2,0))&amp;G1124&amp;"_"&amp;H1124&amp;"_"&amp;I1124</f>
        <v>18N3_5_11</v>
      </c>
      <c r="E1124" s="2">
        <v>18</v>
      </c>
      <c r="F1124" s="2" t="s">
        <v>174</v>
      </c>
      <c r="G1124" s="2">
        <v>3</v>
      </c>
      <c r="H1124" s="2">
        <v>5</v>
      </c>
      <c r="I1124" s="2">
        <f>COUNTIFS($E$3:E1124,E1124,$H$3:H1124,H1124)</f>
        <v>11</v>
      </c>
      <c r="N1124" s="11">
        <v>1018201</v>
      </c>
      <c r="O1124" s="11">
        <f t="shared" si="28"/>
        <v>1018301</v>
      </c>
      <c r="P1124" s="11">
        <f t="shared" si="29"/>
        <v>1018401</v>
      </c>
      <c r="Q1124" s="11">
        <f t="shared" si="30"/>
        <v>1018501</v>
      </c>
    </row>
    <row r="1125" spans="1:17">
      <c r="A1125" s="11">
        <f t="shared" si="24"/>
        <v>70181512</v>
      </c>
      <c r="B1125" s="2" t="s">
        <v>1273</v>
      </c>
      <c r="D1125" s="2" t="str">
        <f>E1125&amp;(VLOOKUP(F1125,编号表!$E$1:$G$8,2,0))&amp;G1125&amp;"_"&amp;H1125&amp;"_"&amp;I1125</f>
        <v>18N1_5_12</v>
      </c>
      <c r="E1125" s="2">
        <v>18</v>
      </c>
      <c r="F1125" s="2" t="s">
        <v>174</v>
      </c>
      <c r="G1125" s="2">
        <v>1</v>
      </c>
      <c r="H1125" s="2">
        <v>5</v>
      </c>
      <c r="I1125" s="2">
        <f>COUNTIFS($E$3:E1125,E1125,$H$3:H1125,H1125)</f>
        <v>12</v>
      </c>
      <c r="N1125" s="11">
        <v>1018201</v>
      </c>
      <c r="O1125" s="11">
        <f t="shared" si="28"/>
        <v>1018301</v>
      </c>
      <c r="P1125" s="11">
        <f t="shared" si="29"/>
        <v>1018401</v>
      </c>
      <c r="Q1125" s="11">
        <f t="shared" si="30"/>
        <v>1018501</v>
      </c>
    </row>
    <row r="1126" spans="1:17">
      <c r="A1126" s="11">
        <f t="shared" si="24"/>
        <v>70184513</v>
      </c>
      <c r="B1126" s="2" t="s">
        <v>1274</v>
      </c>
      <c r="D1126" s="2" t="str">
        <f>E1126&amp;(VLOOKUP(F1126,编号表!$E$1:$G$8,2,0))&amp;G1126&amp;"_"&amp;H1126&amp;"_"&amp;I1126</f>
        <v>18N4_5_13</v>
      </c>
      <c r="E1126" s="2">
        <v>18</v>
      </c>
      <c r="F1126" s="2" t="s">
        <v>174</v>
      </c>
      <c r="G1126" s="2">
        <v>4</v>
      </c>
      <c r="H1126" s="2">
        <v>5</v>
      </c>
      <c r="I1126" s="2">
        <f>COUNTIFS($E$3:E1126,E1126,$H$3:H1126,H1126)</f>
        <v>13</v>
      </c>
      <c r="N1126" s="11">
        <v>1018201</v>
      </c>
      <c r="O1126" s="11">
        <f t="shared" si="28"/>
        <v>1018301</v>
      </c>
      <c r="P1126" s="11">
        <f t="shared" si="29"/>
        <v>1018401</v>
      </c>
      <c r="Q1126" s="11">
        <f t="shared" si="30"/>
        <v>1018501</v>
      </c>
    </row>
    <row r="1127" spans="1:17">
      <c r="A1127" s="11">
        <f t="shared" si="24"/>
        <v>70184601</v>
      </c>
      <c r="B1127" s="2" t="s">
        <v>1275</v>
      </c>
      <c r="D1127" s="2" t="str">
        <f>E1127&amp;(VLOOKUP(F1127,编号表!$E$1:$G$8,2,0))&amp;G1127&amp;"_"&amp;H1127&amp;"_"&amp;I1127</f>
        <v>18N4_6_1</v>
      </c>
      <c r="E1127" s="2">
        <v>18</v>
      </c>
      <c r="F1127" s="2" t="s">
        <v>174</v>
      </c>
      <c r="G1127" s="2">
        <v>4</v>
      </c>
      <c r="H1127" s="2">
        <v>6</v>
      </c>
      <c r="I1127" s="2">
        <f>COUNTIFS($E$3:E1127,E1127,$H$3:H1127,H1127)</f>
        <v>1</v>
      </c>
      <c r="N1127" s="11">
        <v>1018201</v>
      </c>
      <c r="O1127" s="11">
        <f t="shared" si="28"/>
        <v>1018301</v>
      </c>
      <c r="P1127" s="11">
        <f t="shared" si="29"/>
        <v>1018401</v>
      </c>
      <c r="Q1127" s="11">
        <f t="shared" si="30"/>
        <v>1018501</v>
      </c>
    </row>
    <row r="1128" spans="1:17">
      <c r="A1128" s="11">
        <f t="shared" si="24"/>
        <v>70183602</v>
      </c>
      <c r="B1128" s="2" t="s">
        <v>1276</v>
      </c>
      <c r="D1128" s="2" t="str">
        <f>E1128&amp;(VLOOKUP(F1128,编号表!$E$1:$G$8,2,0))&amp;G1128&amp;"_"&amp;H1128&amp;"_"&amp;I1128</f>
        <v>18N3_6_2</v>
      </c>
      <c r="E1128" s="2">
        <v>18</v>
      </c>
      <c r="F1128" s="2" t="s">
        <v>174</v>
      </c>
      <c r="G1128" s="2">
        <v>3</v>
      </c>
      <c r="H1128" s="2">
        <v>6</v>
      </c>
      <c r="I1128" s="2">
        <f>COUNTIFS($E$3:E1128,E1128,$H$3:H1128,H1128)</f>
        <v>2</v>
      </c>
      <c r="N1128" s="11">
        <v>1018201</v>
      </c>
      <c r="O1128" s="11">
        <f t="shared" si="28"/>
        <v>1018301</v>
      </c>
      <c r="P1128" s="11">
        <f t="shared" si="29"/>
        <v>1018401</v>
      </c>
      <c r="Q1128" s="11">
        <f t="shared" si="30"/>
        <v>1018501</v>
      </c>
    </row>
    <row r="1129" spans="1:17">
      <c r="A1129" s="11">
        <f t="shared" si="24"/>
        <v>70181603</v>
      </c>
      <c r="B1129" s="2" t="s">
        <v>1277</v>
      </c>
      <c r="D1129" s="2" t="str">
        <f>E1129&amp;(VLOOKUP(F1129,编号表!$E$1:$G$8,2,0))&amp;G1129&amp;"_"&amp;H1129&amp;"_"&amp;I1129</f>
        <v>18N1_6_3</v>
      </c>
      <c r="E1129" s="2">
        <v>18</v>
      </c>
      <c r="F1129" s="2" t="s">
        <v>174</v>
      </c>
      <c r="G1129" s="2">
        <v>1</v>
      </c>
      <c r="H1129" s="2">
        <v>6</v>
      </c>
      <c r="I1129" s="2">
        <f>COUNTIFS($E$3:E1129,E1129,$H$3:H1129,H1129)</f>
        <v>3</v>
      </c>
      <c r="N1129" s="11">
        <v>1018201</v>
      </c>
      <c r="O1129" s="11">
        <f t="shared" si="28"/>
        <v>1018301</v>
      </c>
      <c r="P1129" s="11">
        <f t="shared" si="29"/>
        <v>1018401</v>
      </c>
      <c r="Q1129" s="11">
        <f t="shared" si="30"/>
        <v>1018501</v>
      </c>
    </row>
    <row r="1130" spans="1:17">
      <c r="A1130" s="11">
        <f t="shared" si="24"/>
        <v>70184604</v>
      </c>
      <c r="B1130" s="2" t="s">
        <v>1278</v>
      </c>
      <c r="D1130" s="2" t="str">
        <f>E1130&amp;(VLOOKUP(F1130,编号表!$E$1:$G$8,2,0))&amp;G1130&amp;"_"&amp;H1130&amp;"_"&amp;I1130</f>
        <v>18N4_6_4</v>
      </c>
      <c r="E1130" s="2">
        <v>18</v>
      </c>
      <c r="F1130" s="2" t="s">
        <v>174</v>
      </c>
      <c r="G1130" s="2">
        <v>4</v>
      </c>
      <c r="H1130" s="2">
        <v>6</v>
      </c>
      <c r="I1130" s="2">
        <f>COUNTIFS($E$3:E1130,E1130,$H$3:H1130,H1130)</f>
        <v>4</v>
      </c>
      <c r="N1130" s="11">
        <v>1018201</v>
      </c>
      <c r="O1130" s="11">
        <f t="shared" si="28"/>
        <v>1018301</v>
      </c>
      <c r="P1130" s="11">
        <f t="shared" si="29"/>
        <v>1018401</v>
      </c>
      <c r="Q1130" s="11">
        <f t="shared" si="30"/>
        <v>1018501</v>
      </c>
    </row>
    <row r="1131" spans="1:17">
      <c r="A1131" s="11">
        <f t="shared" si="24"/>
        <v>70184605</v>
      </c>
      <c r="B1131" s="2" t="s">
        <v>1279</v>
      </c>
      <c r="D1131" s="2" t="str">
        <f>E1131&amp;(VLOOKUP(F1131,编号表!$E$1:$G$8,2,0))&amp;G1131&amp;"_"&amp;H1131&amp;"_"&amp;I1131</f>
        <v>18N4_6_5</v>
      </c>
      <c r="E1131" s="2">
        <v>18</v>
      </c>
      <c r="F1131" s="2" t="s">
        <v>174</v>
      </c>
      <c r="G1131" s="2">
        <v>4</v>
      </c>
      <c r="H1131" s="2">
        <v>6</v>
      </c>
      <c r="I1131" s="2">
        <f>COUNTIFS($E$3:E1131,E1131,$H$3:H1131,H1131)</f>
        <v>5</v>
      </c>
      <c r="N1131" s="11">
        <v>1018201</v>
      </c>
      <c r="O1131" s="11">
        <f t="shared" si="28"/>
        <v>1018301</v>
      </c>
      <c r="P1131" s="11">
        <f t="shared" si="29"/>
        <v>1018401</v>
      </c>
      <c r="Q1131" s="11">
        <f t="shared" si="30"/>
        <v>1018501</v>
      </c>
    </row>
    <row r="1132" spans="1:17">
      <c r="A1132" s="11">
        <f t="shared" si="24"/>
        <v>70182606</v>
      </c>
      <c r="B1132" s="2" t="s">
        <v>1280</v>
      </c>
      <c r="D1132" s="2" t="str">
        <f>E1132&amp;(VLOOKUP(F1132,编号表!$E$1:$G$8,2,0))&amp;G1132&amp;"_"&amp;H1132&amp;"_"&amp;I1132</f>
        <v>18N2_6_6</v>
      </c>
      <c r="E1132" s="2">
        <v>18</v>
      </c>
      <c r="F1132" s="2" t="s">
        <v>174</v>
      </c>
      <c r="G1132" s="2">
        <v>2</v>
      </c>
      <c r="H1132" s="2">
        <v>6</v>
      </c>
      <c r="I1132" s="2">
        <f>COUNTIFS($E$3:E1132,E1132,$H$3:H1132,H1132)</f>
        <v>6</v>
      </c>
      <c r="N1132" s="11">
        <v>1018201</v>
      </c>
      <c r="O1132" s="11">
        <f t="shared" si="28"/>
        <v>1018301</v>
      </c>
      <c r="P1132" s="11">
        <f t="shared" si="29"/>
        <v>1018401</v>
      </c>
      <c r="Q1132" s="11">
        <f t="shared" si="30"/>
        <v>1018501</v>
      </c>
    </row>
    <row r="1133" spans="1:17">
      <c r="A1133" s="11">
        <f t="shared" si="24"/>
        <v>70184607</v>
      </c>
      <c r="B1133" s="2" t="s">
        <v>1281</v>
      </c>
      <c r="D1133" s="2" t="str">
        <f>E1133&amp;(VLOOKUP(F1133,编号表!$E$1:$G$8,2,0))&amp;G1133&amp;"_"&amp;H1133&amp;"_"&amp;I1133</f>
        <v>18N4_6_7</v>
      </c>
      <c r="E1133" s="2">
        <v>18</v>
      </c>
      <c r="F1133" s="2" t="s">
        <v>174</v>
      </c>
      <c r="G1133" s="2">
        <v>4</v>
      </c>
      <c r="H1133" s="2">
        <v>6</v>
      </c>
      <c r="I1133" s="2">
        <f>COUNTIFS($E$3:E1133,E1133,$H$3:H1133,H1133)</f>
        <v>7</v>
      </c>
      <c r="N1133" s="11">
        <v>1018201</v>
      </c>
      <c r="O1133" s="11">
        <f t="shared" si="28"/>
        <v>1018301</v>
      </c>
      <c r="P1133" s="11">
        <f t="shared" si="29"/>
        <v>1018401</v>
      </c>
      <c r="Q1133" s="11">
        <f t="shared" si="30"/>
        <v>1018501</v>
      </c>
    </row>
    <row r="1134" spans="1:17">
      <c r="A1134" s="11">
        <f t="shared" si="24"/>
        <v>70181608</v>
      </c>
      <c r="B1134" s="2" t="s">
        <v>1282</v>
      </c>
      <c r="D1134" s="2" t="str">
        <f>E1134&amp;(VLOOKUP(F1134,编号表!$E$1:$G$8,2,0))&amp;G1134&amp;"_"&amp;H1134&amp;"_"&amp;I1134</f>
        <v>18N1_6_8</v>
      </c>
      <c r="E1134" s="2">
        <v>18</v>
      </c>
      <c r="F1134" s="2" t="s">
        <v>174</v>
      </c>
      <c r="G1134" s="2">
        <v>1</v>
      </c>
      <c r="H1134" s="2">
        <v>6</v>
      </c>
      <c r="I1134" s="2">
        <f>COUNTIFS($E$3:E1134,E1134,$H$3:H1134,H1134)</f>
        <v>8</v>
      </c>
      <c r="N1134" s="11">
        <v>1018201</v>
      </c>
      <c r="O1134" s="11">
        <f t="shared" si="28"/>
        <v>1018301</v>
      </c>
      <c r="P1134" s="11">
        <f t="shared" si="29"/>
        <v>1018401</v>
      </c>
      <c r="Q1134" s="11">
        <f t="shared" si="30"/>
        <v>1018501</v>
      </c>
    </row>
    <row r="1135" spans="1:17">
      <c r="A1135" s="11">
        <f t="shared" si="24"/>
        <v>70180001</v>
      </c>
      <c r="B1135" s="24" t="s">
        <v>1283</v>
      </c>
      <c r="D1135" s="2" t="str">
        <f>E1135&amp;(VLOOKUP(F1135,编号表!$E$1:$G$8,2,0))&amp;G1135&amp;"_"&amp;H1135&amp;"_"&amp;I1135</f>
        <v>18J0_0_1</v>
      </c>
      <c r="E1135" s="2">
        <v>18</v>
      </c>
      <c r="F1135" s="2" t="s">
        <v>222</v>
      </c>
      <c r="G1135" s="2">
        <v>0</v>
      </c>
      <c r="H1135" s="2">
        <v>0</v>
      </c>
      <c r="I1135" s="2">
        <f>COUNTIFS($E$3:E1135,E1135,$H$3:H1135,H1135)</f>
        <v>1</v>
      </c>
      <c r="J1135" s="2">
        <v>1</v>
      </c>
    </row>
    <row r="1136" spans="1:17">
      <c r="A1136" s="11">
        <f t="shared" si="24"/>
        <v>70196101</v>
      </c>
      <c r="B1136" s="2" t="s">
        <v>1284</v>
      </c>
      <c r="D1136" s="2" t="str">
        <f>E1136&amp;(VLOOKUP(F1136,编号表!$E$1:$G$8,2,0))&amp;G1136&amp;"_"&amp;H1136&amp;"_"&amp;I1136</f>
        <v>19N6_1_1</v>
      </c>
      <c r="E1136" s="2">
        <v>19</v>
      </c>
      <c r="F1136" s="2" t="s">
        <v>174</v>
      </c>
      <c r="G1136" s="2">
        <v>6</v>
      </c>
      <c r="H1136" s="2">
        <v>1</v>
      </c>
      <c r="I1136" s="2">
        <f>COUNTIFS($E$3:E1136,E1136,$H$3:H1136,H1136)</f>
        <v>1</v>
      </c>
      <c r="N1136" s="11">
        <v>1019201</v>
      </c>
      <c r="O1136" s="11">
        <f t="shared" ref="O1136:O1153" si="31">N1136+100</f>
        <v>1019301</v>
      </c>
      <c r="P1136" s="11">
        <v>1019301</v>
      </c>
      <c r="Q1136" s="11">
        <v>1019001</v>
      </c>
    </row>
    <row r="1137" spans="1:17">
      <c r="A1137" s="11">
        <f t="shared" si="24"/>
        <v>70195102</v>
      </c>
      <c r="B1137" s="2" t="s">
        <v>1285</v>
      </c>
      <c r="D1137" s="2" t="str">
        <f>E1137&amp;(VLOOKUP(F1137,编号表!$E$1:$G$8,2,0))&amp;G1137&amp;"_"&amp;H1137&amp;"_"&amp;I1137</f>
        <v>19N5_1_2</v>
      </c>
      <c r="E1137" s="2">
        <v>19</v>
      </c>
      <c r="F1137" s="2" t="s">
        <v>174</v>
      </c>
      <c r="G1137" s="2">
        <v>5</v>
      </c>
      <c r="H1137" s="2">
        <v>1</v>
      </c>
      <c r="I1137" s="2">
        <f>COUNTIFS($E$3:E1137,E1137,$H$3:H1137,H1137)</f>
        <v>2</v>
      </c>
      <c r="N1137" s="11">
        <v>1019201</v>
      </c>
      <c r="O1137" s="11">
        <f t="shared" si="31"/>
        <v>1019301</v>
      </c>
      <c r="P1137" s="11">
        <v>1019301</v>
      </c>
      <c r="Q1137" s="11">
        <v>1019101</v>
      </c>
    </row>
    <row r="1138" spans="1:17">
      <c r="A1138" s="11">
        <f t="shared" si="24"/>
        <v>70196103</v>
      </c>
      <c r="B1138" s="2" t="s">
        <v>1286</v>
      </c>
      <c r="D1138" s="2" t="str">
        <f>E1138&amp;(VLOOKUP(F1138,编号表!$E$1:$G$8,2,0))&amp;G1138&amp;"_"&amp;H1138&amp;"_"&amp;I1138</f>
        <v>19N6_1_3</v>
      </c>
      <c r="E1138" s="2">
        <v>19</v>
      </c>
      <c r="F1138" s="2" t="s">
        <v>174</v>
      </c>
      <c r="G1138" s="2">
        <v>6</v>
      </c>
      <c r="H1138" s="2">
        <v>1</v>
      </c>
      <c r="I1138" s="2">
        <f>COUNTIFS($E$3:E1138,E1138,$H$3:H1138,H1138)</f>
        <v>3</v>
      </c>
      <c r="N1138" s="11">
        <v>1019201</v>
      </c>
      <c r="O1138" s="11">
        <f t="shared" si="31"/>
        <v>1019301</v>
      </c>
      <c r="P1138" s="11">
        <v>1019301</v>
      </c>
    </row>
    <row r="1139" spans="1:17">
      <c r="A1139" s="11">
        <f t="shared" si="24"/>
        <v>70196104</v>
      </c>
      <c r="B1139" s="2" t="s">
        <v>1287</v>
      </c>
      <c r="D1139" s="2" t="str">
        <f>E1139&amp;(VLOOKUP(F1139,编号表!$E$1:$G$8,2,0))&amp;G1139&amp;"_"&amp;H1139&amp;"_"&amp;I1139</f>
        <v>19N6_1_4</v>
      </c>
      <c r="E1139" s="2">
        <v>19</v>
      </c>
      <c r="F1139" s="2" t="s">
        <v>174</v>
      </c>
      <c r="G1139" s="2">
        <v>6</v>
      </c>
      <c r="H1139" s="2">
        <v>1</v>
      </c>
      <c r="I1139" s="2">
        <f>COUNTIFS($E$3:E1139,E1139,$H$3:H1139,H1139)</f>
        <v>4</v>
      </c>
      <c r="N1139" s="11">
        <v>1019201</v>
      </c>
      <c r="O1139" s="11">
        <f t="shared" si="31"/>
        <v>1019301</v>
      </c>
      <c r="P1139" s="11">
        <v>1019301</v>
      </c>
    </row>
    <row r="1140" spans="1:17">
      <c r="A1140" s="11">
        <f t="shared" si="24"/>
        <v>70193105</v>
      </c>
      <c r="B1140" s="2" t="s">
        <v>1288</v>
      </c>
      <c r="D1140" s="2" t="str">
        <f>E1140&amp;(VLOOKUP(F1140,编号表!$E$1:$G$8,2,0))&amp;G1140&amp;"_"&amp;H1140&amp;"_"&amp;I1140</f>
        <v>19N3_1_5</v>
      </c>
      <c r="E1140" s="2">
        <v>19</v>
      </c>
      <c r="F1140" s="2" t="s">
        <v>174</v>
      </c>
      <c r="G1140" s="2">
        <v>3</v>
      </c>
      <c r="H1140" s="2">
        <v>1</v>
      </c>
      <c r="I1140" s="2">
        <f>COUNTIFS($E$3:E1140,E1140,$H$3:H1140,H1140)</f>
        <v>5</v>
      </c>
      <c r="N1140" s="11">
        <v>1019201</v>
      </c>
      <c r="O1140" s="11">
        <f t="shared" si="31"/>
        <v>1019301</v>
      </c>
      <c r="P1140" s="11">
        <v>1019301</v>
      </c>
    </row>
    <row r="1141" spans="1:17">
      <c r="A1141" s="11">
        <f t="shared" si="24"/>
        <v>70195201</v>
      </c>
      <c r="B1141" s="2" t="s">
        <v>1289</v>
      </c>
      <c r="D1141" s="2" t="str">
        <f>E1141&amp;(VLOOKUP(F1141,编号表!$E$1:$G$8,2,0))&amp;G1141&amp;"_"&amp;H1141&amp;"_"&amp;I1141</f>
        <v>19N5_2_1</v>
      </c>
      <c r="E1141" s="2">
        <v>19</v>
      </c>
      <c r="F1141" s="2" t="s">
        <v>174</v>
      </c>
      <c r="G1141" s="2">
        <v>5</v>
      </c>
      <c r="H1141" s="2">
        <v>2</v>
      </c>
      <c r="I1141" s="2">
        <f>COUNTIFS($E$3:E1141,E1141,$H$3:H1141,H1141)</f>
        <v>1</v>
      </c>
      <c r="N1141" s="11">
        <v>1019201</v>
      </c>
      <c r="O1141" s="11">
        <f t="shared" si="31"/>
        <v>1019301</v>
      </c>
      <c r="P1141" s="11">
        <v>1019301</v>
      </c>
    </row>
    <row r="1142" spans="1:17">
      <c r="A1142" s="11">
        <f t="shared" si="24"/>
        <v>70195202</v>
      </c>
      <c r="B1142" s="2" t="s">
        <v>1290</v>
      </c>
      <c r="D1142" s="2" t="str">
        <f>E1142&amp;(VLOOKUP(F1142,编号表!$E$1:$G$8,2,0))&amp;G1142&amp;"_"&amp;H1142&amp;"_"&amp;I1142</f>
        <v>19N5_2_2</v>
      </c>
      <c r="E1142" s="2">
        <v>19</v>
      </c>
      <c r="F1142" s="2" t="s">
        <v>174</v>
      </c>
      <c r="G1142" s="2">
        <v>5</v>
      </c>
      <c r="H1142" s="2">
        <v>2</v>
      </c>
      <c r="I1142" s="2">
        <f>COUNTIFS($E$3:E1142,E1142,$H$3:H1142,H1142)</f>
        <v>2</v>
      </c>
      <c r="N1142" s="11">
        <v>1019201</v>
      </c>
      <c r="O1142" s="11">
        <f t="shared" si="31"/>
        <v>1019301</v>
      </c>
      <c r="P1142" s="11">
        <v>1019301</v>
      </c>
    </row>
    <row r="1143" spans="1:17">
      <c r="A1143" s="11">
        <f t="shared" si="24"/>
        <v>70195203</v>
      </c>
      <c r="B1143" s="2" t="s">
        <v>1291</v>
      </c>
      <c r="D1143" s="2" t="str">
        <f>E1143&amp;(VLOOKUP(F1143,编号表!$E$1:$G$8,2,0))&amp;G1143&amp;"_"&amp;H1143&amp;"_"&amp;I1143</f>
        <v>19N5_2_3</v>
      </c>
      <c r="E1143" s="2">
        <v>19</v>
      </c>
      <c r="F1143" s="2" t="s">
        <v>174</v>
      </c>
      <c r="G1143" s="2">
        <v>5</v>
      </c>
      <c r="H1143" s="2">
        <v>2</v>
      </c>
      <c r="I1143" s="2">
        <f>COUNTIFS($E$3:E1143,E1143,$H$3:H1143,H1143)</f>
        <v>3</v>
      </c>
      <c r="N1143" s="11">
        <v>1019201</v>
      </c>
      <c r="O1143" s="11">
        <f t="shared" si="31"/>
        <v>1019301</v>
      </c>
      <c r="P1143" s="11">
        <v>1019301</v>
      </c>
    </row>
    <row r="1144" spans="1:17">
      <c r="A1144" s="11">
        <f t="shared" si="24"/>
        <v>70193204</v>
      </c>
      <c r="B1144" s="2" t="s">
        <v>1292</v>
      </c>
      <c r="D1144" s="2" t="str">
        <f>E1144&amp;(VLOOKUP(F1144,编号表!$E$1:$G$8,2,0))&amp;G1144&amp;"_"&amp;H1144&amp;"_"&amp;I1144</f>
        <v>19N3_2_4</v>
      </c>
      <c r="E1144" s="2">
        <v>19</v>
      </c>
      <c r="F1144" s="2" t="s">
        <v>174</v>
      </c>
      <c r="G1144" s="2">
        <v>3</v>
      </c>
      <c r="H1144" s="2">
        <v>2</v>
      </c>
      <c r="I1144" s="2">
        <f>COUNTIFS($E$3:E1144,E1144,$H$3:H1144,H1144)</f>
        <v>4</v>
      </c>
      <c r="N1144" s="11">
        <v>1019201</v>
      </c>
      <c r="O1144" s="11">
        <f t="shared" si="31"/>
        <v>1019301</v>
      </c>
      <c r="P1144" s="11">
        <v>1019301</v>
      </c>
    </row>
    <row r="1145" spans="1:17">
      <c r="A1145" s="11">
        <f t="shared" si="24"/>
        <v>70192205</v>
      </c>
      <c r="B1145" s="2" t="s">
        <v>1293</v>
      </c>
      <c r="D1145" s="2" t="str">
        <f>E1145&amp;(VLOOKUP(F1145,编号表!$E$1:$G$8,2,0))&amp;G1145&amp;"_"&amp;H1145&amp;"_"&amp;I1145</f>
        <v>19N2_2_5</v>
      </c>
      <c r="E1145" s="2">
        <v>19</v>
      </c>
      <c r="F1145" s="2" t="s">
        <v>174</v>
      </c>
      <c r="G1145" s="2">
        <v>2</v>
      </c>
      <c r="H1145" s="2">
        <v>2</v>
      </c>
      <c r="I1145" s="2">
        <f>COUNTIFS($E$3:E1145,E1145,$H$3:H1145,H1145)</f>
        <v>5</v>
      </c>
      <c r="N1145" s="11">
        <v>1019201</v>
      </c>
      <c r="O1145" s="11">
        <f t="shared" si="31"/>
        <v>1019301</v>
      </c>
      <c r="P1145" s="11">
        <v>1019301</v>
      </c>
    </row>
    <row r="1146" spans="1:17">
      <c r="A1146" s="11">
        <f t="shared" si="24"/>
        <v>70193206</v>
      </c>
      <c r="B1146" s="2" t="s">
        <v>1294</v>
      </c>
      <c r="D1146" s="2" t="str">
        <f>E1146&amp;(VLOOKUP(F1146,编号表!$E$1:$G$8,2,0))&amp;G1146&amp;"_"&amp;H1146&amp;"_"&amp;I1146</f>
        <v>19N3_2_6</v>
      </c>
      <c r="E1146" s="2">
        <v>19</v>
      </c>
      <c r="F1146" s="2" t="s">
        <v>174</v>
      </c>
      <c r="G1146" s="2">
        <v>3</v>
      </c>
      <c r="H1146" s="2">
        <v>2</v>
      </c>
      <c r="I1146" s="2">
        <f>COUNTIFS($E$3:E1146,E1146,$H$3:H1146,H1146)</f>
        <v>6</v>
      </c>
      <c r="N1146" s="11">
        <v>1019201</v>
      </c>
      <c r="O1146" s="11">
        <f t="shared" si="31"/>
        <v>1019301</v>
      </c>
      <c r="P1146" s="11">
        <v>1019301</v>
      </c>
    </row>
    <row r="1147" spans="1:17">
      <c r="A1147" s="11">
        <f t="shared" si="24"/>
        <v>70194207</v>
      </c>
      <c r="B1147" s="2" t="s">
        <v>1295</v>
      </c>
      <c r="D1147" s="2" t="str">
        <f>E1147&amp;(VLOOKUP(F1147,编号表!$E$1:$G$8,2,0))&amp;G1147&amp;"_"&amp;H1147&amp;"_"&amp;I1147</f>
        <v>19N4_2_7</v>
      </c>
      <c r="E1147" s="2">
        <v>19</v>
      </c>
      <c r="F1147" s="2" t="s">
        <v>174</v>
      </c>
      <c r="G1147" s="2">
        <v>4</v>
      </c>
      <c r="H1147" s="2">
        <v>2</v>
      </c>
      <c r="I1147" s="2">
        <f>COUNTIFS($E$3:E1147,E1147,$H$3:H1147,H1147)</f>
        <v>7</v>
      </c>
      <c r="N1147" s="11">
        <v>1019201</v>
      </c>
      <c r="O1147" s="11">
        <f t="shared" si="31"/>
        <v>1019301</v>
      </c>
      <c r="P1147" s="11">
        <v>1019301</v>
      </c>
    </row>
    <row r="1148" spans="1:17">
      <c r="A1148" s="11">
        <f t="shared" ref="A1148:A1211" si="32">70000000+E1148*10000+G1148*1000+H1148*100+I1148</f>
        <v>70195208</v>
      </c>
      <c r="B1148" s="2" t="s">
        <v>1296</v>
      </c>
      <c r="D1148" s="2" t="str">
        <f>E1148&amp;(VLOOKUP(F1148,编号表!$E$1:$G$8,2,0))&amp;G1148&amp;"_"&amp;H1148&amp;"_"&amp;I1148</f>
        <v>19N5_2_8</v>
      </c>
      <c r="E1148" s="2">
        <v>19</v>
      </c>
      <c r="F1148" s="2" t="s">
        <v>174</v>
      </c>
      <c r="G1148" s="2">
        <v>5</v>
      </c>
      <c r="H1148" s="2">
        <v>2</v>
      </c>
      <c r="I1148" s="2">
        <f>COUNTIFS($E$3:E1148,E1148,$H$3:H1148,H1148)</f>
        <v>8</v>
      </c>
      <c r="N1148" s="11">
        <v>1019201</v>
      </c>
      <c r="O1148" s="11">
        <f t="shared" si="31"/>
        <v>1019301</v>
      </c>
      <c r="P1148" s="11">
        <v>1019301</v>
      </c>
    </row>
    <row r="1149" spans="1:17">
      <c r="A1149" s="11">
        <f t="shared" si="32"/>
        <v>70195209</v>
      </c>
      <c r="B1149" s="2" t="s">
        <v>1297</v>
      </c>
      <c r="D1149" s="2" t="str">
        <f>E1149&amp;(VLOOKUP(F1149,编号表!$E$1:$G$8,2,0))&amp;G1149&amp;"_"&amp;H1149&amp;"_"&amp;I1149</f>
        <v>19N5_2_9</v>
      </c>
      <c r="E1149" s="2">
        <v>19</v>
      </c>
      <c r="F1149" s="2" t="s">
        <v>174</v>
      </c>
      <c r="G1149" s="2">
        <v>5</v>
      </c>
      <c r="H1149" s="2">
        <v>2</v>
      </c>
      <c r="I1149" s="2">
        <f>COUNTIFS($E$3:E1149,E1149,$H$3:H1149,H1149)</f>
        <v>9</v>
      </c>
      <c r="N1149" s="11">
        <v>1019201</v>
      </c>
      <c r="O1149" s="11">
        <f t="shared" si="31"/>
        <v>1019301</v>
      </c>
      <c r="P1149" s="11">
        <v>1019301</v>
      </c>
    </row>
    <row r="1150" spans="1:17">
      <c r="A1150" s="11">
        <f t="shared" si="32"/>
        <v>70195301</v>
      </c>
      <c r="B1150" s="2" t="s">
        <v>1298</v>
      </c>
      <c r="D1150" s="2" t="str">
        <f>E1150&amp;(VLOOKUP(F1150,编号表!$E$1:$G$8,2,0))&amp;G1150&amp;"_"&amp;H1150&amp;"_"&amp;I1150</f>
        <v>19N5_3_1</v>
      </c>
      <c r="E1150" s="2">
        <v>19</v>
      </c>
      <c r="F1150" s="2" t="s">
        <v>174</v>
      </c>
      <c r="G1150" s="2">
        <v>5</v>
      </c>
      <c r="H1150" s="2">
        <v>3</v>
      </c>
      <c r="I1150" s="2">
        <f>COUNTIFS($E$3:E1150,E1150,$H$3:H1150,H1150)</f>
        <v>1</v>
      </c>
      <c r="N1150" s="11">
        <v>1019201</v>
      </c>
      <c r="O1150" s="11">
        <f t="shared" si="31"/>
        <v>1019301</v>
      </c>
      <c r="P1150" s="11">
        <v>1019301</v>
      </c>
    </row>
    <row r="1151" spans="1:17">
      <c r="A1151" s="11">
        <f t="shared" si="32"/>
        <v>70195302</v>
      </c>
      <c r="B1151" s="2" t="s">
        <v>1299</v>
      </c>
      <c r="D1151" s="2" t="str">
        <f>E1151&amp;(VLOOKUP(F1151,编号表!$E$1:$G$8,2,0))&amp;G1151&amp;"_"&amp;H1151&amp;"_"&amp;I1151</f>
        <v>19N5_3_2</v>
      </c>
      <c r="E1151" s="2">
        <v>19</v>
      </c>
      <c r="F1151" s="2" t="s">
        <v>174</v>
      </c>
      <c r="G1151" s="2">
        <v>5</v>
      </c>
      <c r="H1151" s="2">
        <v>3</v>
      </c>
      <c r="I1151" s="2">
        <f>COUNTIFS($E$3:E1151,E1151,$H$3:H1151,H1151)</f>
        <v>2</v>
      </c>
      <c r="N1151" s="11">
        <v>1019201</v>
      </c>
      <c r="O1151" s="11">
        <f t="shared" si="31"/>
        <v>1019301</v>
      </c>
      <c r="P1151" s="11">
        <v>1019301</v>
      </c>
    </row>
    <row r="1152" spans="1:17">
      <c r="A1152" s="11">
        <f t="shared" si="32"/>
        <v>70195303</v>
      </c>
      <c r="B1152" s="2" t="s">
        <v>1300</v>
      </c>
      <c r="D1152" s="2" t="str">
        <f>E1152&amp;(VLOOKUP(F1152,编号表!$E$1:$G$8,2,0))&amp;G1152&amp;"_"&amp;H1152&amp;"_"&amp;I1152</f>
        <v>19N5_3_3</v>
      </c>
      <c r="E1152" s="2">
        <v>19</v>
      </c>
      <c r="F1152" s="2" t="s">
        <v>174</v>
      </c>
      <c r="G1152" s="2">
        <v>5</v>
      </c>
      <c r="H1152" s="2">
        <v>3</v>
      </c>
      <c r="I1152" s="2">
        <f>COUNTIFS($E$3:E1152,E1152,$H$3:H1152,H1152)</f>
        <v>3</v>
      </c>
      <c r="N1152" s="11">
        <v>1019201</v>
      </c>
      <c r="O1152" s="11">
        <f t="shared" si="31"/>
        <v>1019301</v>
      </c>
      <c r="P1152" s="11">
        <v>1019301</v>
      </c>
    </row>
    <row r="1153" spans="1:16">
      <c r="A1153" s="11">
        <f t="shared" si="32"/>
        <v>70193304</v>
      </c>
      <c r="B1153" s="2" t="s">
        <v>1301</v>
      </c>
      <c r="D1153" s="2" t="str">
        <f>E1153&amp;(VLOOKUP(F1153,编号表!$E$1:$G$8,2,0))&amp;G1153&amp;"_"&amp;H1153&amp;"_"&amp;I1153</f>
        <v>19N3_3_4</v>
      </c>
      <c r="E1153" s="2">
        <v>19</v>
      </c>
      <c r="F1153" s="2" t="s">
        <v>174</v>
      </c>
      <c r="G1153" s="2">
        <v>3</v>
      </c>
      <c r="H1153" s="2">
        <v>3</v>
      </c>
      <c r="I1153" s="2">
        <f>COUNTIFS($E$3:E1153,E1153,$H$3:H1153,H1153)</f>
        <v>4</v>
      </c>
      <c r="N1153" s="11">
        <v>1019201</v>
      </c>
      <c r="O1153" s="11">
        <f t="shared" si="31"/>
        <v>1019301</v>
      </c>
      <c r="P1153" s="11">
        <v>1019301</v>
      </c>
    </row>
    <row r="1154" spans="1:16">
      <c r="A1154" s="11">
        <f t="shared" si="32"/>
        <v>70193305</v>
      </c>
      <c r="B1154" s="16" t="s">
        <v>73</v>
      </c>
      <c r="C1154" s="2" t="s">
        <v>1302</v>
      </c>
      <c r="D1154" s="2" t="str">
        <f>E1154&amp;(VLOOKUP(F1154,编号表!$E$1:$G$8,2,0))&amp;G1154&amp;"_"&amp;H1154&amp;"_"&amp;I1154</f>
        <v>19T3_3_5</v>
      </c>
      <c r="E1154" s="2">
        <v>19</v>
      </c>
      <c r="F1154" s="2" t="s">
        <v>190</v>
      </c>
      <c r="G1154" s="2">
        <v>3</v>
      </c>
      <c r="H1154" s="2">
        <v>3</v>
      </c>
      <c r="I1154" s="2">
        <f>COUNTIFS($E$3:E1154,E1154,$H$3:H1154,H1154)</f>
        <v>5</v>
      </c>
      <c r="L1154" s="2">
        <v>139</v>
      </c>
    </row>
    <row r="1155" spans="1:16">
      <c r="A1155" s="11">
        <f t="shared" si="32"/>
        <v>70191306</v>
      </c>
      <c r="B1155" s="15" t="s">
        <v>1303</v>
      </c>
      <c r="D1155" s="2" t="str">
        <f>E1155&amp;(VLOOKUP(F1155,编号表!$E$1:$G$8,2,0))&amp;G1155&amp;"_"&amp;H1155&amp;"_"&amp;I1155</f>
        <v>19T1_3_6</v>
      </c>
      <c r="E1155" s="2">
        <v>19</v>
      </c>
      <c r="F1155" s="2" t="s">
        <v>190</v>
      </c>
      <c r="G1155" s="2">
        <v>1</v>
      </c>
      <c r="H1155" s="2">
        <v>3</v>
      </c>
      <c r="I1155" s="2">
        <f>COUNTIFS($E$3:E1155,E1155,$H$3:H1155,H1155)</f>
        <v>6</v>
      </c>
    </row>
    <row r="1156" spans="1:16">
      <c r="A1156" s="11">
        <f t="shared" si="32"/>
        <v>70194307</v>
      </c>
      <c r="B1156" s="2" t="s">
        <v>1304</v>
      </c>
      <c r="D1156" s="2" t="str">
        <f>E1156&amp;(VLOOKUP(F1156,编号表!$E$1:$G$8,2,0))&amp;G1156&amp;"_"&amp;H1156&amp;"_"&amp;I1156</f>
        <v>19N4_3_7</v>
      </c>
      <c r="E1156" s="2">
        <v>19</v>
      </c>
      <c r="F1156" s="2" t="s">
        <v>174</v>
      </c>
      <c r="G1156" s="2">
        <v>4</v>
      </c>
      <c r="H1156" s="2">
        <v>3</v>
      </c>
      <c r="I1156" s="2">
        <f>COUNTIFS($E$3:E1156,E1156,$H$3:H1156,H1156)</f>
        <v>7</v>
      </c>
      <c r="N1156" s="11">
        <v>1019201</v>
      </c>
      <c r="O1156" s="11">
        <f t="shared" ref="O1156:O1159" si="33">N1156+100</f>
        <v>1019301</v>
      </c>
      <c r="P1156" s="11">
        <v>1019301</v>
      </c>
    </row>
    <row r="1157" spans="1:16">
      <c r="A1157" s="11">
        <f t="shared" si="32"/>
        <v>70195308</v>
      </c>
      <c r="B1157" s="2" t="s">
        <v>1305</v>
      </c>
      <c r="D1157" s="2" t="str">
        <f>E1157&amp;(VLOOKUP(F1157,编号表!$E$1:$G$8,2,0))&amp;G1157&amp;"_"&amp;H1157&amp;"_"&amp;I1157</f>
        <v>19N5_3_8</v>
      </c>
      <c r="E1157" s="2">
        <v>19</v>
      </c>
      <c r="F1157" s="2" t="s">
        <v>174</v>
      </c>
      <c r="G1157" s="2">
        <v>5</v>
      </c>
      <c r="H1157" s="2">
        <v>3</v>
      </c>
      <c r="I1157" s="2">
        <f>COUNTIFS($E$3:E1157,E1157,$H$3:H1157,H1157)</f>
        <v>8</v>
      </c>
      <c r="N1157" s="11">
        <v>1019201</v>
      </c>
      <c r="O1157" s="11">
        <f t="shared" si="33"/>
        <v>1019301</v>
      </c>
      <c r="P1157" s="11">
        <v>1019301</v>
      </c>
    </row>
    <row r="1158" spans="1:16">
      <c r="A1158" s="11">
        <f t="shared" si="32"/>
        <v>70195309</v>
      </c>
      <c r="B1158" s="2" t="s">
        <v>1306</v>
      </c>
      <c r="D1158" s="2" t="str">
        <f>E1158&amp;(VLOOKUP(F1158,编号表!$E$1:$G$8,2,0))&amp;G1158&amp;"_"&amp;H1158&amp;"_"&amp;I1158</f>
        <v>19N5_3_9</v>
      </c>
      <c r="E1158" s="2">
        <v>19</v>
      </c>
      <c r="F1158" s="2" t="s">
        <v>174</v>
      </c>
      <c r="G1158" s="2">
        <v>5</v>
      </c>
      <c r="H1158" s="2">
        <v>3</v>
      </c>
      <c r="I1158" s="2">
        <f>COUNTIFS($E$3:E1158,E1158,$H$3:H1158,H1158)</f>
        <v>9</v>
      </c>
      <c r="N1158" s="11">
        <v>1019201</v>
      </c>
      <c r="O1158" s="11">
        <f t="shared" si="33"/>
        <v>1019301</v>
      </c>
      <c r="P1158" s="11">
        <v>1019301</v>
      </c>
    </row>
    <row r="1159" spans="1:16">
      <c r="A1159" s="11">
        <f t="shared" si="32"/>
        <v>70195310</v>
      </c>
      <c r="B1159" s="2" t="s">
        <v>1307</v>
      </c>
      <c r="D1159" s="2" t="str">
        <f>E1159&amp;(VLOOKUP(F1159,编号表!$E$1:$G$8,2,0))&amp;G1159&amp;"_"&amp;H1159&amp;"_"&amp;I1159</f>
        <v>19N5_3_10</v>
      </c>
      <c r="E1159" s="2">
        <v>19</v>
      </c>
      <c r="F1159" s="2" t="s">
        <v>174</v>
      </c>
      <c r="G1159" s="2">
        <v>5</v>
      </c>
      <c r="H1159" s="2">
        <v>3</v>
      </c>
      <c r="I1159" s="2">
        <f>COUNTIFS($E$3:E1159,E1159,$H$3:H1159,H1159)</f>
        <v>10</v>
      </c>
      <c r="N1159" s="11">
        <v>1019201</v>
      </c>
      <c r="O1159" s="11">
        <f t="shared" si="33"/>
        <v>1019301</v>
      </c>
      <c r="P1159" s="11">
        <v>1019301</v>
      </c>
    </row>
    <row r="1160" spans="1:16">
      <c r="A1160" s="11">
        <f t="shared" si="32"/>
        <v>70191311</v>
      </c>
      <c r="B1160" s="15" t="s">
        <v>1250</v>
      </c>
      <c r="D1160" s="2" t="str">
        <f>E1160&amp;(VLOOKUP(F1160,编号表!$E$1:$G$8,2,0))&amp;G1160&amp;"_"&amp;H1160&amp;"_"&amp;I1160</f>
        <v>19T1_3_11</v>
      </c>
      <c r="E1160" s="2">
        <v>19</v>
      </c>
      <c r="F1160" s="2" t="s">
        <v>190</v>
      </c>
      <c r="G1160" s="2">
        <v>1</v>
      </c>
      <c r="H1160" s="2">
        <v>3</v>
      </c>
      <c r="I1160" s="2">
        <f>COUNTIFS($E$3:E1160,E1160,$H$3:H1160,H1160)</f>
        <v>11</v>
      </c>
      <c r="K1160" s="2">
        <v>1</v>
      </c>
    </row>
    <row r="1161" spans="1:16">
      <c r="A1161" s="11">
        <f t="shared" si="32"/>
        <v>70193312</v>
      </c>
      <c r="B1161" s="16" t="s">
        <v>67</v>
      </c>
      <c r="C1161" s="2" t="s">
        <v>1249</v>
      </c>
      <c r="D1161" s="2" t="str">
        <f>E1161&amp;(VLOOKUP(F1161,编号表!$E$1:$G$8,2,0))&amp;G1161&amp;"_"&amp;H1161&amp;"_"&amp;I1161</f>
        <v>19T3_3_12</v>
      </c>
      <c r="E1161" s="2">
        <v>19</v>
      </c>
      <c r="F1161" s="2" t="s">
        <v>190</v>
      </c>
      <c r="G1161" s="2">
        <v>3</v>
      </c>
      <c r="H1161" s="2">
        <v>3</v>
      </c>
      <c r="I1161" s="2">
        <f>COUNTIFS($E$3:E1161,E1161,$H$3:H1161,H1161)</f>
        <v>12</v>
      </c>
    </row>
    <row r="1162" spans="1:16">
      <c r="A1162" s="11">
        <f t="shared" si="32"/>
        <v>70194401</v>
      </c>
      <c r="B1162" s="2" t="s">
        <v>1308</v>
      </c>
      <c r="D1162" s="2" t="str">
        <f>E1162&amp;(VLOOKUP(F1162,编号表!$E$1:$G$8,2,0))&amp;G1162&amp;"_"&amp;H1162&amp;"_"&amp;I1162</f>
        <v>19N4_4_1</v>
      </c>
      <c r="E1162" s="2">
        <v>19</v>
      </c>
      <c r="F1162" s="2" t="s">
        <v>174</v>
      </c>
      <c r="G1162" s="2">
        <v>4</v>
      </c>
      <c r="H1162" s="2">
        <v>4</v>
      </c>
      <c r="I1162" s="2">
        <f>COUNTIFS($E$3:E1162,E1162,$H$3:H1162,H1162)</f>
        <v>1</v>
      </c>
      <c r="N1162" s="11">
        <v>1019201</v>
      </c>
      <c r="O1162" s="11">
        <f t="shared" ref="O1162:O1168" si="34">N1162+100</f>
        <v>1019301</v>
      </c>
      <c r="P1162" s="11">
        <v>1019301</v>
      </c>
    </row>
    <row r="1163" spans="1:16">
      <c r="A1163" s="11">
        <f t="shared" si="32"/>
        <v>70194402</v>
      </c>
      <c r="B1163" s="2" t="s">
        <v>1309</v>
      </c>
      <c r="D1163" s="2" t="str">
        <f>E1163&amp;(VLOOKUP(F1163,编号表!$E$1:$G$8,2,0))&amp;G1163&amp;"_"&amp;H1163&amp;"_"&amp;I1163</f>
        <v>19N4_4_2</v>
      </c>
      <c r="E1163" s="2">
        <v>19</v>
      </c>
      <c r="F1163" s="2" t="s">
        <v>174</v>
      </c>
      <c r="G1163" s="2">
        <v>4</v>
      </c>
      <c r="H1163" s="2">
        <v>4</v>
      </c>
      <c r="I1163" s="2">
        <f>COUNTIFS($E$3:E1163,E1163,$H$3:H1163,H1163)</f>
        <v>2</v>
      </c>
      <c r="N1163" s="11">
        <v>1019201</v>
      </c>
      <c r="O1163" s="11">
        <f t="shared" si="34"/>
        <v>1019301</v>
      </c>
      <c r="P1163" s="11">
        <v>1019301</v>
      </c>
    </row>
    <row r="1164" spans="1:16">
      <c r="A1164" s="11">
        <f t="shared" si="32"/>
        <v>70194403</v>
      </c>
      <c r="B1164" s="2" t="s">
        <v>1310</v>
      </c>
      <c r="D1164" s="2" t="str">
        <f>E1164&amp;(VLOOKUP(F1164,编号表!$E$1:$G$8,2,0))&amp;G1164&amp;"_"&amp;H1164&amp;"_"&amp;I1164</f>
        <v>19N4_4_3</v>
      </c>
      <c r="E1164" s="2">
        <v>19</v>
      </c>
      <c r="F1164" s="2" t="s">
        <v>174</v>
      </c>
      <c r="G1164" s="2">
        <v>4</v>
      </c>
      <c r="H1164" s="2">
        <v>4</v>
      </c>
      <c r="I1164" s="2">
        <f>COUNTIFS($E$3:E1164,E1164,$H$3:H1164,H1164)</f>
        <v>3</v>
      </c>
      <c r="N1164" s="11">
        <v>1019201</v>
      </c>
      <c r="O1164" s="11">
        <f t="shared" si="34"/>
        <v>1019301</v>
      </c>
      <c r="P1164" s="11">
        <v>1019301</v>
      </c>
    </row>
    <row r="1165" spans="1:16">
      <c r="A1165" s="11">
        <f t="shared" si="32"/>
        <v>70194404</v>
      </c>
      <c r="B1165" s="2" t="s">
        <v>1311</v>
      </c>
      <c r="D1165" s="2" t="str">
        <f>E1165&amp;(VLOOKUP(F1165,编号表!$E$1:$G$8,2,0))&amp;G1165&amp;"_"&amp;H1165&amp;"_"&amp;I1165</f>
        <v>19N4_4_4</v>
      </c>
      <c r="E1165" s="2">
        <v>19</v>
      </c>
      <c r="F1165" s="2" t="s">
        <v>174</v>
      </c>
      <c r="G1165" s="2">
        <v>4</v>
      </c>
      <c r="H1165" s="2">
        <v>4</v>
      </c>
      <c r="I1165" s="2">
        <f>COUNTIFS($E$3:E1165,E1165,$H$3:H1165,H1165)</f>
        <v>4</v>
      </c>
      <c r="N1165" s="11">
        <v>1019201</v>
      </c>
      <c r="O1165" s="11">
        <f t="shared" si="34"/>
        <v>1019301</v>
      </c>
      <c r="P1165" s="11">
        <v>1019301</v>
      </c>
    </row>
    <row r="1166" spans="1:16">
      <c r="A1166" s="11">
        <f t="shared" si="32"/>
        <v>70194405</v>
      </c>
      <c r="B1166" s="2" t="s">
        <v>1312</v>
      </c>
      <c r="D1166" s="2" t="str">
        <f>E1166&amp;(VLOOKUP(F1166,编号表!$E$1:$G$8,2,0))&amp;G1166&amp;"_"&amp;H1166&amp;"_"&amp;I1166</f>
        <v>19N4_4_5</v>
      </c>
      <c r="E1166" s="2">
        <v>19</v>
      </c>
      <c r="F1166" s="2" t="s">
        <v>174</v>
      </c>
      <c r="G1166" s="2">
        <v>4</v>
      </c>
      <c r="H1166" s="2">
        <v>4</v>
      </c>
      <c r="I1166" s="2">
        <f>COUNTIFS($E$3:E1166,E1166,$H$3:H1166,H1166)</f>
        <v>5</v>
      </c>
      <c r="N1166" s="11">
        <v>1019201</v>
      </c>
      <c r="O1166" s="11">
        <f t="shared" si="34"/>
        <v>1019301</v>
      </c>
      <c r="P1166" s="11">
        <v>1019301</v>
      </c>
    </row>
    <row r="1167" spans="1:16">
      <c r="A1167" s="11">
        <f t="shared" si="32"/>
        <v>70194406</v>
      </c>
      <c r="B1167" s="2" t="s">
        <v>1313</v>
      </c>
      <c r="D1167" s="2" t="str">
        <f>E1167&amp;(VLOOKUP(F1167,编号表!$E$1:$G$8,2,0))&amp;G1167&amp;"_"&amp;H1167&amp;"_"&amp;I1167</f>
        <v>19N4_4_6</v>
      </c>
      <c r="E1167" s="2">
        <v>19</v>
      </c>
      <c r="F1167" s="2" t="s">
        <v>174</v>
      </c>
      <c r="G1167" s="2">
        <v>4</v>
      </c>
      <c r="H1167" s="2">
        <v>4</v>
      </c>
      <c r="I1167" s="2">
        <f>COUNTIFS($E$3:E1167,E1167,$H$3:H1167,H1167)</f>
        <v>6</v>
      </c>
      <c r="N1167" s="11">
        <v>1019201</v>
      </c>
      <c r="O1167" s="11">
        <f t="shared" si="34"/>
        <v>1019301</v>
      </c>
      <c r="P1167" s="11">
        <v>1019301</v>
      </c>
    </row>
    <row r="1168" spans="1:16">
      <c r="A1168" s="11">
        <f t="shared" si="32"/>
        <v>70192407</v>
      </c>
      <c r="B1168" s="2" t="s">
        <v>1314</v>
      </c>
      <c r="D1168" s="2" t="str">
        <f>E1168&amp;(VLOOKUP(F1168,编号表!$E$1:$G$8,2,0))&amp;G1168&amp;"_"&amp;H1168&amp;"_"&amp;I1168</f>
        <v>19N2_4_7</v>
      </c>
      <c r="E1168" s="2">
        <v>19</v>
      </c>
      <c r="F1168" s="2" t="s">
        <v>174</v>
      </c>
      <c r="G1168" s="2">
        <v>2</v>
      </c>
      <c r="H1168" s="2">
        <v>4</v>
      </c>
      <c r="I1168" s="2">
        <f>COUNTIFS($E$3:E1168,E1168,$H$3:H1168,H1168)</f>
        <v>7</v>
      </c>
      <c r="N1168" s="11">
        <v>1019201</v>
      </c>
      <c r="O1168" s="11">
        <f t="shared" si="34"/>
        <v>1019301</v>
      </c>
      <c r="P1168" s="11">
        <v>1019301</v>
      </c>
    </row>
    <row r="1169" spans="1:15">
      <c r="A1169" s="11">
        <f t="shared" si="32"/>
        <v>70190001</v>
      </c>
      <c r="B1169" s="24" t="s">
        <v>1315</v>
      </c>
      <c r="D1169" s="2" t="str">
        <f>E1169&amp;(VLOOKUP(F1169,编号表!$E$1:$G$8,2,0))&amp;G1169&amp;"_"&amp;H1169&amp;"_"&amp;I1169</f>
        <v>19J0_0_1</v>
      </c>
      <c r="E1169" s="2">
        <v>19</v>
      </c>
      <c r="F1169" s="2" t="s">
        <v>222</v>
      </c>
      <c r="G1169" s="2">
        <v>0</v>
      </c>
      <c r="H1169" s="2">
        <v>0</v>
      </c>
      <c r="I1169" s="2">
        <f>COUNTIFS($E$3:E1169,E1169,$H$3:H1169,H1169)</f>
        <v>1</v>
      </c>
      <c r="J1169" s="2">
        <v>1</v>
      </c>
    </row>
    <row r="1170" spans="1:15">
      <c r="A1170" s="11">
        <f t="shared" si="32"/>
        <v>70205101</v>
      </c>
      <c r="B1170" s="2" t="s">
        <v>1316</v>
      </c>
      <c r="D1170" s="2" t="str">
        <f>E1170&amp;(VLOOKUP(F1170,编号表!$E$1:$G$8,2,0))&amp;G1170&amp;"_"&amp;H1170&amp;"_"&amp;I1170</f>
        <v>20N5_1_1</v>
      </c>
      <c r="E1170" s="2">
        <v>20</v>
      </c>
      <c r="F1170" s="2" t="s">
        <v>174</v>
      </c>
      <c r="G1170" s="2">
        <v>5</v>
      </c>
      <c r="H1170" s="2">
        <v>1</v>
      </c>
      <c r="I1170" s="2">
        <f>COUNTIFS($E$3:E1170,E1170,$H$3:H1170,H1170)</f>
        <v>1</v>
      </c>
      <c r="N1170" s="11">
        <v>1020201</v>
      </c>
      <c r="O1170" s="11">
        <v>1020001</v>
      </c>
    </row>
    <row r="1171" spans="1:15">
      <c r="A1171" s="11">
        <f t="shared" si="32"/>
        <v>70205102</v>
      </c>
      <c r="B1171" s="2" t="s">
        <v>1317</v>
      </c>
      <c r="D1171" s="2" t="str">
        <f>E1171&amp;(VLOOKUP(F1171,编号表!$E$1:$G$8,2,0))&amp;G1171&amp;"_"&amp;H1171&amp;"_"&amp;I1171</f>
        <v>20N5_1_2</v>
      </c>
      <c r="E1171" s="2">
        <v>20</v>
      </c>
      <c r="F1171" s="2" t="s">
        <v>174</v>
      </c>
      <c r="G1171" s="2">
        <v>5</v>
      </c>
      <c r="H1171" s="2">
        <v>1</v>
      </c>
      <c r="I1171" s="2">
        <f>COUNTIFS($E$3:E1171,E1171,$H$3:H1171,H1171)</f>
        <v>2</v>
      </c>
      <c r="N1171" s="11">
        <v>1020201</v>
      </c>
      <c r="O1171" s="11">
        <v>1020101</v>
      </c>
    </row>
    <row r="1172" spans="1:15">
      <c r="A1172" s="11">
        <f t="shared" si="32"/>
        <v>70203103</v>
      </c>
      <c r="B1172" s="2" t="s">
        <v>1318</v>
      </c>
      <c r="D1172" s="2" t="str">
        <f>E1172&amp;(VLOOKUP(F1172,编号表!$E$1:$G$8,2,0))&amp;G1172&amp;"_"&amp;H1172&amp;"_"&amp;I1172</f>
        <v>20N3_1_3</v>
      </c>
      <c r="E1172" s="2">
        <v>20</v>
      </c>
      <c r="F1172" s="2" t="s">
        <v>174</v>
      </c>
      <c r="G1172" s="2">
        <v>3</v>
      </c>
      <c r="H1172" s="2">
        <v>1</v>
      </c>
      <c r="I1172" s="2">
        <f>COUNTIFS($E$3:E1172,E1172,$H$3:H1172,H1172)</f>
        <v>3</v>
      </c>
      <c r="N1172" s="11">
        <v>1020201</v>
      </c>
      <c r="O1172" s="11">
        <v>1020102</v>
      </c>
    </row>
    <row r="1173" spans="1:15">
      <c r="A1173" s="11">
        <f t="shared" si="32"/>
        <v>70203104</v>
      </c>
      <c r="B1173" s="2" t="s">
        <v>1319</v>
      </c>
      <c r="D1173" s="2" t="str">
        <f>E1173&amp;(VLOOKUP(F1173,编号表!$E$1:$G$8,2,0))&amp;G1173&amp;"_"&amp;H1173&amp;"_"&amp;I1173</f>
        <v>20N3_1_4</v>
      </c>
      <c r="E1173" s="2">
        <v>20</v>
      </c>
      <c r="F1173" s="2" t="s">
        <v>174</v>
      </c>
      <c r="G1173" s="2">
        <v>3</v>
      </c>
      <c r="H1173" s="2">
        <v>1</v>
      </c>
      <c r="I1173" s="2">
        <f>COUNTIFS($E$3:E1173,E1173,$H$3:H1173,H1173)</f>
        <v>4</v>
      </c>
      <c r="N1173" s="11">
        <v>1020201</v>
      </c>
    </row>
    <row r="1174" spans="1:15">
      <c r="A1174" s="11">
        <f t="shared" si="32"/>
        <v>70205201</v>
      </c>
      <c r="B1174" s="2" t="s">
        <v>1320</v>
      </c>
      <c r="D1174" s="2" t="str">
        <f>E1174&amp;(VLOOKUP(F1174,编号表!$E$1:$G$8,2,0))&amp;G1174&amp;"_"&amp;H1174&amp;"_"&amp;I1174</f>
        <v>20N5_2_1</v>
      </c>
      <c r="E1174" s="2">
        <v>20</v>
      </c>
      <c r="F1174" s="2" t="s">
        <v>174</v>
      </c>
      <c r="G1174" s="2">
        <v>5</v>
      </c>
      <c r="H1174" s="2">
        <v>2</v>
      </c>
      <c r="I1174" s="2">
        <f>COUNTIFS($E$3:E1174,E1174,$H$3:H1174,H1174)</f>
        <v>1</v>
      </c>
      <c r="N1174" s="11">
        <v>1020201</v>
      </c>
    </row>
    <row r="1175" spans="1:15">
      <c r="A1175" s="11">
        <f t="shared" si="32"/>
        <v>70205202</v>
      </c>
      <c r="B1175" s="2" t="s">
        <v>1321</v>
      </c>
      <c r="D1175" s="2" t="str">
        <f>E1175&amp;(VLOOKUP(F1175,编号表!$E$1:$G$8,2,0))&amp;G1175&amp;"_"&amp;H1175&amp;"_"&amp;I1175</f>
        <v>20N5_2_2</v>
      </c>
      <c r="E1175" s="2">
        <v>20</v>
      </c>
      <c r="F1175" s="2" t="s">
        <v>174</v>
      </c>
      <c r="G1175" s="2">
        <v>5</v>
      </c>
      <c r="H1175" s="2">
        <v>2</v>
      </c>
      <c r="I1175" s="2">
        <f>COUNTIFS($E$3:E1175,E1175,$H$3:H1175,H1175)</f>
        <v>2</v>
      </c>
      <c r="N1175" s="11">
        <v>1020201</v>
      </c>
    </row>
    <row r="1176" spans="1:15">
      <c r="A1176" s="11">
        <f t="shared" si="32"/>
        <v>70203203</v>
      </c>
      <c r="B1176" s="2" t="s">
        <v>1322</v>
      </c>
      <c r="D1176" s="2" t="str">
        <f>E1176&amp;(VLOOKUP(F1176,编号表!$E$1:$G$8,2,0))&amp;G1176&amp;"_"&amp;H1176&amp;"_"&amp;I1176</f>
        <v>20N3_2_3</v>
      </c>
      <c r="E1176" s="2">
        <v>20</v>
      </c>
      <c r="F1176" s="2" t="s">
        <v>174</v>
      </c>
      <c r="G1176" s="2">
        <v>3</v>
      </c>
      <c r="H1176" s="2">
        <v>2</v>
      </c>
      <c r="I1176" s="2">
        <f>COUNTIFS($E$3:E1176,E1176,$H$3:H1176,H1176)</f>
        <v>3</v>
      </c>
      <c r="N1176" s="11">
        <v>1020201</v>
      </c>
    </row>
    <row r="1177" spans="1:15">
      <c r="A1177" s="11">
        <f t="shared" si="32"/>
        <v>70203204</v>
      </c>
      <c r="B1177" s="2" t="s">
        <v>1323</v>
      </c>
      <c r="D1177" s="2" t="str">
        <f>E1177&amp;(VLOOKUP(F1177,编号表!$E$1:$G$8,2,0))&amp;G1177&amp;"_"&amp;H1177&amp;"_"&amp;I1177</f>
        <v>20N3_2_4</v>
      </c>
      <c r="E1177" s="2">
        <v>20</v>
      </c>
      <c r="F1177" s="2" t="s">
        <v>174</v>
      </c>
      <c r="G1177" s="2">
        <v>3</v>
      </c>
      <c r="H1177" s="2">
        <v>2</v>
      </c>
      <c r="I1177" s="2">
        <f>COUNTIFS($E$3:E1177,E1177,$H$3:H1177,H1177)</f>
        <v>4</v>
      </c>
      <c r="N1177" s="11">
        <v>1020201</v>
      </c>
    </row>
    <row r="1178" spans="1:15">
      <c r="A1178" s="11">
        <f t="shared" si="32"/>
        <v>70204301</v>
      </c>
      <c r="B1178" s="2" t="s">
        <v>1324</v>
      </c>
      <c r="D1178" s="2" t="str">
        <f>E1178&amp;(VLOOKUP(F1178,编号表!$E$1:$G$8,2,0))&amp;G1178&amp;"_"&amp;H1178&amp;"_"&amp;I1178</f>
        <v>20N4_3_1</v>
      </c>
      <c r="E1178" s="2">
        <v>20</v>
      </c>
      <c r="F1178" s="2" t="s">
        <v>174</v>
      </c>
      <c r="G1178" s="2">
        <v>4</v>
      </c>
      <c r="H1178" s="2">
        <v>3</v>
      </c>
      <c r="I1178" s="2">
        <f>COUNTIFS($E$3:E1178,E1178,$H$3:H1178,H1178)</f>
        <v>1</v>
      </c>
      <c r="N1178" s="11">
        <v>1020201</v>
      </c>
    </row>
    <row r="1179" spans="1:15">
      <c r="A1179" s="11">
        <f t="shared" si="32"/>
        <v>70202302</v>
      </c>
      <c r="B1179" s="2" t="s">
        <v>1325</v>
      </c>
      <c r="D1179" s="2" t="str">
        <f>E1179&amp;(VLOOKUP(F1179,编号表!$E$1:$G$8,2,0))&amp;G1179&amp;"_"&amp;H1179&amp;"_"&amp;I1179</f>
        <v>20N2_3_2</v>
      </c>
      <c r="E1179" s="2">
        <v>20</v>
      </c>
      <c r="F1179" s="2" t="s">
        <v>174</v>
      </c>
      <c r="G1179" s="2">
        <v>2</v>
      </c>
      <c r="H1179" s="2">
        <v>3</v>
      </c>
      <c r="I1179" s="2">
        <f>COUNTIFS($E$3:E1179,E1179,$H$3:H1179,H1179)</f>
        <v>2</v>
      </c>
      <c r="N1179" s="11">
        <v>1020201</v>
      </c>
    </row>
    <row r="1180" spans="1:15">
      <c r="A1180" s="11">
        <f t="shared" si="32"/>
        <v>70203303</v>
      </c>
      <c r="B1180" s="2" t="s">
        <v>1326</v>
      </c>
      <c r="D1180" s="2" t="str">
        <f>E1180&amp;(VLOOKUP(F1180,编号表!$E$1:$G$8,2,0))&amp;G1180&amp;"_"&amp;H1180&amp;"_"&amp;I1180</f>
        <v>20N3_3_3</v>
      </c>
      <c r="E1180" s="2">
        <v>20</v>
      </c>
      <c r="F1180" s="2" t="s">
        <v>174</v>
      </c>
      <c r="G1180" s="2">
        <v>3</v>
      </c>
      <c r="H1180" s="2">
        <v>3</v>
      </c>
      <c r="I1180" s="2">
        <f>COUNTIFS($E$3:E1180,E1180,$H$3:H1180,H1180)</f>
        <v>3</v>
      </c>
      <c r="N1180" s="11">
        <v>1020201</v>
      </c>
    </row>
    <row r="1181" spans="1:15">
      <c r="A1181" s="11">
        <f t="shared" si="32"/>
        <v>70203304</v>
      </c>
      <c r="B1181" s="2" t="s">
        <v>1327</v>
      </c>
      <c r="D1181" s="2" t="str">
        <f>E1181&amp;(VLOOKUP(F1181,编号表!$E$1:$G$8,2,0))&amp;G1181&amp;"_"&amp;H1181&amp;"_"&amp;I1181</f>
        <v>20N3_3_4</v>
      </c>
      <c r="E1181" s="2">
        <v>20</v>
      </c>
      <c r="F1181" s="2" t="s">
        <v>174</v>
      </c>
      <c r="G1181" s="2">
        <v>3</v>
      </c>
      <c r="H1181" s="2">
        <v>3</v>
      </c>
      <c r="I1181" s="2">
        <f>COUNTIFS($E$3:E1181,E1181,$H$3:H1181,H1181)</f>
        <v>4</v>
      </c>
      <c r="N1181" s="11">
        <v>1020201</v>
      </c>
    </row>
    <row r="1182" spans="1:15">
      <c r="A1182" s="11">
        <f t="shared" si="32"/>
        <v>70202401</v>
      </c>
      <c r="B1182" s="2" t="s">
        <v>1328</v>
      </c>
      <c r="D1182" s="2" t="str">
        <f>E1182&amp;(VLOOKUP(F1182,编号表!$E$1:$G$8,2,0))&amp;G1182&amp;"_"&amp;H1182&amp;"_"&amp;I1182</f>
        <v>20N2_4_1</v>
      </c>
      <c r="E1182" s="2">
        <v>20</v>
      </c>
      <c r="F1182" s="2" t="s">
        <v>174</v>
      </c>
      <c r="G1182" s="2">
        <v>2</v>
      </c>
      <c r="H1182" s="2">
        <v>4</v>
      </c>
      <c r="I1182" s="2">
        <f>COUNTIFS($E$3:E1182,E1182,$H$3:H1182,H1182)</f>
        <v>1</v>
      </c>
      <c r="N1182" s="11">
        <v>1020201</v>
      </c>
    </row>
    <row r="1183" spans="1:15">
      <c r="A1183" s="11">
        <f t="shared" si="32"/>
        <v>70201402</v>
      </c>
      <c r="B1183" s="15" t="s">
        <v>1302</v>
      </c>
      <c r="D1183" s="2" t="str">
        <f>E1183&amp;(VLOOKUP(F1183,编号表!$E$1:$G$8,2,0))&amp;G1183&amp;"_"&amp;H1183&amp;"_"&amp;I1183</f>
        <v>20T1_4_2</v>
      </c>
      <c r="E1183" s="2">
        <v>20</v>
      </c>
      <c r="F1183" s="2" t="s">
        <v>190</v>
      </c>
      <c r="G1183" s="2">
        <v>1</v>
      </c>
      <c r="H1183" s="2">
        <v>4</v>
      </c>
      <c r="I1183" s="2">
        <f>COUNTIFS($E$3:E1183,E1183,$H$3:H1183,H1183)</f>
        <v>2</v>
      </c>
      <c r="K1183" s="2">
        <v>1</v>
      </c>
    </row>
    <row r="1184" spans="1:15">
      <c r="A1184" s="11">
        <f t="shared" si="32"/>
        <v>70203403</v>
      </c>
      <c r="B1184" s="16" t="s">
        <v>70</v>
      </c>
      <c r="C1184" s="2" t="s">
        <v>1303</v>
      </c>
      <c r="D1184" s="2" t="str">
        <f>E1184&amp;(VLOOKUP(F1184,编号表!$E$1:$G$8,2,0))&amp;G1184&amp;"_"&amp;H1184&amp;"_"&amp;I1184</f>
        <v>20T3_4_3</v>
      </c>
      <c r="E1184" s="2">
        <v>20</v>
      </c>
      <c r="F1184" s="2" t="s">
        <v>190</v>
      </c>
      <c r="G1184" s="2">
        <v>3</v>
      </c>
      <c r="H1184" s="2">
        <v>4</v>
      </c>
      <c r="I1184" s="2">
        <f>COUNTIFS($E$3:E1184,E1184,$H$3:H1184,H1184)</f>
        <v>3</v>
      </c>
      <c r="L1184" s="2">
        <v>140</v>
      </c>
    </row>
    <row r="1185" spans="1:18">
      <c r="A1185" s="11">
        <f t="shared" si="32"/>
        <v>70200001</v>
      </c>
      <c r="B1185" s="24" t="s">
        <v>1329</v>
      </c>
      <c r="D1185" s="2" t="str">
        <f>E1185&amp;(VLOOKUP(F1185,编号表!$E$1:$G$8,2,0))&amp;G1185&amp;"_"&amp;H1185&amp;"_"&amp;I1185</f>
        <v>20J0_0_1</v>
      </c>
      <c r="E1185" s="2">
        <v>20</v>
      </c>
      <c r="F1185" s="2" t="s">
        <v>222</v>
      </c>
      <c r="G1185" s="2">
        <v>0</v>
      </c>
      <c r="H1185" s="2">
        <v>0</v>
      </c>
      <c r="I1185" s="2">
        <f>COUNTIFS($E$3:E1185,E1185,$H$3:H1185,H1185)</f>
        <v>1</v>
      </c>
      <c r="J1185" s="2">
        <v>1</v>
      </c>
    </row>
    <row r="1186" spans="1:18">
      <c r="A1186" s="11">
        <f t="shared" si="32"/>
        <v>70212101</v>
      </c>
      <c r="B1186" s="2" t="s">
        <v>1330</v>
      </c>
      <c r="D1186" s="2" t="str">
        <f>E1186&amp;(VLOOKUP(F1186,编号表!$E$1:$G$8,2,0))&amp;G1186&amp;"_"&amp;H1186&amp;"_"&amp;I1186</f>
        <v>21N2_1_1</v>
      </c>
      <c r="E1186" s="2">
        <v>21</v>
      </c>
      <c r="F1186" s="2" t="s">
        <v>174</v>
      </c>
      <c r="G1186" s="2">
        <v>2</v>
      </c>
      <c r="H1186" s="2">
        <v>1</v>
      </c>
      <c r="I1186" s="2">
        <f>COUNTIFS($E$3:E1186,E1186,$H$3:H1186,H1186)</f>
        <v>1</v>
      </c>
      <c r="N1186" s="11">
        <v>1021201</v>
      </c>
      <c r="O1186" s="11">
        <f t="shared" ref="O1186:O1203" si="35">N1186+100</f>
        <v>1021301</v>
      </c>
      <c r="P1186" s="11">
        <f t="shared" ref="P1186:P1203" si="36">O1186+100</f>
        <v>1021401</v>
      </c>
      <c r="Q1186" s="11">
        <f t="shared" ref="Q1186:Q1203" si="37">P1186+100</f>
        <v>1021501</v>
      </c>
      <c r="R1186" s="11">
        <v>1021001</v>
      </c>
    </row>
    <row r="1187" spans="1:18">
      <c r="A1187" s="11">
        <f t="shared" si="32"/>
        <v>70212102</v>
      </c>
      <c r="B1187" s="2" t="s">
        <v>1331</v>
      </c>
      <c r="D1187" s="2" t="str">
        <f>E1187&amp;(VLOOKUP(F1187,编号表!$E$1:$G$8,2,0))&amp;G1187&amp;"_"&amp;H1187&amp;"_"&amp;I1187</f>
        <v>21N2_1_2</v>
      </c>
      <c r="E1187" s="2">
        <v>21</v>
      </c>
      <c r="F1187" s="2" t="s">
        <v>174</v>
      </c>
      <c r="G1187" s="2">
        <v>2</v>
      </c>
      <c r="H1187" s="2">
        <v>1</v>
      </c>
      <c r="I1187" s="2">
        <f>COUNTIFS($E$3:E1187,E1187,$H$3:H1187,H1187)</f>
        <v>2</v>
      </c>
      <c r="N1187" s="11">
        <v>1021201</v>
      </c>
      <c r="O1187" s="11">
        <f t="shared" si="35"/>
        <v>1021301</v>
      </c>
      <c r="P1187" s="11">
        <f t="shared" si="36"/>
        <v>1021401</v>
      </c>
      <c r="Q1187" s="11">
        <f t="shared" si="37"/>
        <v>1021501</v>
      </c>
      <c r="R1187" s="11">
        <v>1021101</v>
      </c>
    </row>
    <row r="1188" spans="1:18">
      <c r="A1188" s="11">
        <f t="shared" si="32"/>
        <v>70212103</v>
      </c>
      <c r="B1188" s="2" t="s">
        <v>1332</v>
      </c>
      <c r="D1188" s="2" t="str">
        <f>E1188&amp;(VLOOKUP(F1188,编号表!$E$1:$G$8,2,0))&amp;G1188&amp;"_"&amp;H1188&amp;"_"&amp;I1188</f>
        <v>21N2_1_3</v>
      </c>
      <c r="E1188" s="2">
        <v>21</v>
      </c>
      <c r="F1188" s="2" t="s">
        <v>174</v>
      </c>
      <c r="G1188" s="2">
        <v>2</v>
      </c>
      <c r="H1188" s="2">
        <v>1</v>
      </c>
      <c r="I1188" s="2">
        <f>COUNTIFS($E$3:E1188,E1188,$H$3:H1188,H1188)</f>
        <v>3</v>
      </c>
      <c r="N1188" s="11">
        <v>1021201</v>
      </c>
      <c r="O1188" s="11">
        <f t="shared" si="35"/>
        <v>1021301</v>
      </c>
      <c r="P1188" s="11">
        <f t="shared" si="36"/>
        <v>1021401</v>
      </c>
      <c r="Q1188" s="11">
        <f t="shared" si="37"/>
        <v>1021501</v>
      </c>
    </row>
    <row r="1189" spans="1:18">
      <c r="A1189" s="11">
        <f t="shared" si="32"/>
        <v>70212104</v>
      </c>
      <c r="B1189" s="2" t="s">
        <v>1333</v>
      </c>
      <c r="D1189" s="2" t="str">
        <f>E1189&amp;(VLOOKUP(F1189,编号表!$E$1:$G$8,2,0))&amp;G1189&amp;"_"&amp;H1189&amp;"_"&amp;I1189</f>
        <v>21N2_1_4</v>
      </c>
      <c r="E1189" s="2">
        <v>21</v>
      </c>
      <c r="F1189" s="2" t="s">
        <v>174</v>
      </c>
      <c r="G1189" s="2">
        <v>2</v>
      </c>
      <c r="H1189" s="2">
        <v>1</v>
      </c>
      <c r="I1189" s="2">
        <f>COUNTIFS($E$3:E1189,E1189,$H$3:H1189,H1189)</f>
        <v>4</v>
      </c>
      <c r="N1189" s="11">
        <v>1021201</v>
      </c>
      <c r="O1189" s="11">
        <f t="shared" si="35"/>
        <v>1021301</v>
      </c>
      <c r="P1189" s="11">
        <f t="shared" si="36"/>
        <v>1021401</v>
      </c>
      <c r="Q1189" s="11">
        <f t="shared" si="37"/>
        <v>1021501</v>
      </c>
    </row>
    <row r="1190" spans="1:18">
      <c r="A1190" s="11">
        <f t="shared" si="32"/>
        <v>70212105</v>
      </c>
      <c r="B1190" s="2" t="s">
        <v>1334</v>
      </c>
      <c r="D1190" s="2" t="str">
        <f>E1190&amp;(VLOOKUP(F1190,编号表!$E$1:$G$8,2,0))&amp;G1190&amp;"_"&amp;H1190&amp;"_"&amp;I1190</f>
        <v>21N2_1_5</v>
      </c>
      <c r="E1190" s="2">
        <v>21</v>
      </c>
      <c r="F1190" s="2" t="s">
        <v>174</v>
      </c>
      <c r="G1190" s="2">
        <v>2</v>
      </c>
      <c r="H1190" s="2">
        <v>1</v>
      </c>
      <c r="I1190" s="2">
        <f>COUNTIFS($E$3:E1190,E1190,$H$3:H1190,H1190)</f>
        <v>5</v>
      </c>
      <c r="N1190" s="11">
        <v>1021201</v>
      </c>
      <c r="O1190" s="11">
        <f t="shared" si="35"/>
        <v>1021301</v>
      </c>
      <c r="P1190" s="11">
        <f t="shared" si="36"/>
        <v>1021401</v>
      </c>
      <c r="Q1190" s="11">
        <f t="shared" si="37"/>
        <v>1021501</v>
      </c>
    </row>
    <row r="1191" spans="1:18">
      <c r="A1191" s="11">
        <f t="shared" si="32"/>
        <v>70212106</v>
      </c>
      <c r="B1191" s="2" t="s">
        <v>1335</v>
      </c>
      <c r="D1191" s="2" t="str">
        <f>E1191&amp;(VLOOKUP(F1191,编号表!$E$1:$G$8,2,0))&amp;G1191&amp;"_"&amp;H1191&amp;"_"&amp;I1191</f>
        <v>21N2_1_6</v>
      </c>
      <c r="E1191" s="2">
        <v>21</v>
      </c>
      <c r="F1191" s="2" t="s">
        <v>174</v>
      </c>
      <c r="G1191" s="2">
        <v>2</v>
      </c>
      <c r="H1191" s="2">
        <v>1</v>
      </c>
      <c r="I1191" s="2">
        <f>COUNTIFS($E$3:E1191,E1191,$H$3:H1191,H1191)</f>
        <v>6</v>
      </c>
      <c r="N1191" s="11">
        <v>1021201</v>
      </c>
      <c r="O1191" s="11">
        <f t="shared" si="35"/>
        <v>1021301</v>
      </c>
      <c r="P1191" s="11">
        <f t="shared" si="36"/>
        <v>1021401</v>
      </c>
      <c r="Q1191" s="11">
        <f t="shared" si="37"/>
        <v>1021501</v>
      </c>
    </row>
    <row r="1192" spans="1:18">
      <c r="A1192" s="11">
        <f t="shared" si="32"/>
        <v>70212107</v>
      </c>
      <c r="B1192" s="2" t="s">
        <v>1336</v>
      </c>
      <c r="D1192" s="2" t="str">
        <f>E1192&amp;(VLOOKUP(F1192,编号表!$E$1:$G$8,2,0))&amp;G1192&amp;"_"&amp;H1192&amp;"_"&amp;I1192</f>
        <v>21N2_1_7</v>
      </c>
      <c r="E1192" s="2">
        <v>21</v>
      </c>
      <c r="F1192" s="2" t="s">
        <v>174</v>
      </c>
      <c r="G1192" s="2">
        <v>2</v>
      </c>
      <c r="H1192" s="2">
        <v>1</v>
      </c>
      <c r="I1192" s="2">
        <f>COUNTIFS($E$3:E1192,E1192,$H$3:H1192,H1192)</f>
        <v>7</v>
      </c>
      <c r="N1192" s="11">
        <v>1021201</v>
      </c>
      <c r="O1192" s="11">
        <f t="shared" si="35"/>
        <v>1021301</v>
      </c>
      <c r="P1192" s="11">
        <f t="shared" si="36"/>
        <v>1021401</v>
      </c>
      <c r="Q1192" s="11">
        <f t="shared" si="37"/>
        <v>1021501</v>
      </c>
    </row>
    <row r="1193" spans="1:18">
      <c r="A1193" s="11">
        <f t="shared" si="32"/>
        <v>70212108</v>
      </c>
      <c r="B1193" s="2" t="s">
        <v>1337</v>
      </c>
      <c r="D1193" s="2" t="str">
        <f>E1193&amp;(VLOOKUP(F1193,编号表!$E$1:$G$8,2,0))&amp;G1193&amp;"_"&amp;H1193&amp;"_"&amp;I1193</f>
        <v>21N2_1_8</v>
      </c>
      <c r="E1193" s="2">
        <v>21</v>
      </c>
      <c r="F1193" s="2" t="s">
        <v>174</v>
      </c>
      <c r="G1193" s="2">
        <v>2</v>
      </c>
      <c r="H1193" s="2">
        <v>1</v>
      </c>
      <c r="I1193" s="2">
        <f>COUNTIFS($E$3:E1193,E1193,$H$3:H1193,H1193)</f>
        <v>8</v>
      </c>
      <c r="N1193" s="11">
        <v>1021201</v>
      </c>
      <c r="O1193" s="11">
        <f t="shared" si="35"/>
        <v>1021301</v>
      </c>
      <c r="P1193" s="11">
        <f t="shared" si="36"/>
        <v>1021401</v>
      </c>
      <c r="Q1193" s="11">
        <f t="shared" si="37"/>
        <v>1021501</v>
      </c>
    </row>
    <row r="1194" spans="1:18">
      <c r="A1194" s="11">
        <f t="shared" si="32"/>
        <v>70214201</v>
      </c>
      <c r="B1194" s="2" t="s">
        <v>1338</v>
      </c>
      <c r="D1194" s="2" t="str">
        <f>E1194&amp;(VLOOKUP(F1194,编号表!$E$1:$G$8,2,0))&amp;G1194&amp;"_"&amp;H1194&amp;"_"&amp;I1194</f>
        <v>21N4_2_1</v>
      </c>
      <c r="E1194" s="2">
        <v>21</v>
      </c>
      <c r="F1194" s="2" t="s">
        <v>174</v>
      </c>
      <c r="G1194" s="2">
        <v>4</v>
      </c>
      <c r="H1194" s="2">
        <v>2</v>
      </c>
      <c r="I1194" s="2">
        <f>COUNTIFS($E$3:E1194,E1194,$H$3:H1194,H1194)</f>
        <v>1</v>
      </c>
      <c r="N1194" s="11">
        <v>1021201</v>
      </c>
      <c r="O1194" s="11">
        <f t="shared" si="35"/>
        <v>1021301</v>
      </c>
      <c r="P1194" s="11">
        <f t="shared" si="36"/>
        <v>1021401</v>
      </c>
      <c r="Q1194" s="11">
        <f t="shared" si="37"/>
        <v>1021501</v>
      </c>
    </row>
    <row r="1195" spans="1:18">
      <c r="A1195" s="11">
        <f t="shared" si="32"/>
        <v>70214202</v>
      </c>
      <c r="B1195" s="2" t="s">
        <v>1339</v>
      </c>
      <c r="D1195" s="2" t="str">
        <f>E1195&amp;(VLOOKUP(F1195,编号表!$E$1:$G$8,2,0))&amp;G1195&amp;"_"&amp;H1195&amp;"_"&amp;I1195</f>
        <v>21N4_2_2</v>
      </c>
      <c r="E1195" s="2">
        <v>21</v>
      </c>
      <c r="F1195" s="2" t="s">
        <v>174</v>
      </c>
      <c r="G1195" s="2">
        <v>4</v>
      </c>
      <c r="H1195" s="2">
        <v>2</v>
      </c>
      <c r="I1195" s="2">
        <f>COUNTIFS($E$3:E1195,E1195,$H$3:H1195,H1195)</f>
        <v>2</v>
      </c>
      <c r="N1195" s="11">
        <v>1021201</v>
      </c>
      <c r="O1195" s="11">
        <f t="shared" si="35"/>
        <v>1021301</v>
      </c>
      <c r="P1195" s="11">
        <f t="shared" si="36"/>
        <v>1021401</v>
      </c>
      <c r="Q1195" s="11">
        <f t="shared" si="37"/>
        <v>1021501</v>
      </c>
    </row>
    <row r="1196" spans="1:18">
      <c r="A1196" s="11">
        <f t="shared" si="32"/>
        <v>70214203</v>
      </c>
      <c r="B1196" s="2" t="s">
        <v>1340</v>
      </c>
      <c r="D1196" s="2" t="str">
        <f>E1196&amp;(VLOOKUP(F1196,编号表!$E$1:$G$8,2,0))&amp;G1196&amp;"_"&amp;H1196&amp;"_"&amp;I1196</f>
        <v>21N4_2_3</v>
      </c>
      <c r="E1196" s="2">
        <v>21</v>
      </c>
      <c r="F1196" s="2" t="s">
        <v>174</v>
      </c>
      <c r="G1196" s="2">
        <v>4</v>
      </c>
      <c r="H1196" s="2">
        <v>2</v>
      </c>
      <c r="I1196" s="2">
        <f>COUNTIFS($E$3:E1196,E1196,$H$3:H1196,H1196)</f>
        <v>3</v>
      </c>
      <c r="N1196" s="11">
        <v>1021201</v>
      </c>
      <c r="O1196" s="11">
        <f t="shared" si="35"/>
        <v>1021301</v>
      </c>
      <c r="P1196" s="11">
        <f t="shared" si="36"/>
        <v>1021401</v>
      </c>
      <c r="Q1196" s="11">
        <f t="shared" si="37"/>
        <v>1021501</v>
      </c>
    </row>
    <row r="1197" spans="1:18">
      <c r="A1197" s="11">
        <f t="shared" si="32"/>
        <v>70214204</v>
      </c>
      <c r="B1197" s="2" t="s">
        <v>1341</v>
      </c>
      <c r="D1197" s="2" t="str">
        <f>E1197&amp;(VLOOKUP(F1197,编号表!$E$1:$G$8,2,0))&amp;G1197&amp;"_"&amp;H1197&amp;"_"&amp;I1197</f>
        <v>21N4_2_4</v>
      </c>
      <c r="E1197" s="2">
        <v>21</v>
      </c>
      <c r="F1197" s="2" t="s">
        <v>174</v>
      </c>
      <c r="G1197" s="2">
        <v>4</v>
      </c>
      <c r="H1197" s="2">
        <v>2</v>
      </c>
      <c r="I1197" s="2">
        <f>COUNTIFS($E$3:E1197,E1197,$H$3:H1197,H1197)</f>
        <v>4</v>
      </c>
      <c r="N1197" s="11">
        <v>1021201</v>
      </c>
      <c r="O1197" s="11">
        <f t="shared" si="35"/>
        <v>1021301</v>
      </c>
      <c r="P1197" s="11">
        <f t="shared" si="36"/>
        <v>1021401</v>
      </c>
      <c r="Q1197" s="11">
        <f t="shared" si="37"/>
        <v>1021501</v>
      </c>
    </row>
    <row r="1198" spans="1:18">
      <c r="A1198" s="11">
        <f t="shared" si="32"/>
        <v>70214205</v>
      </c>
      <c r="B1198" s="2" t="s">
        <v>1342</v>
      </c>
      <c r="D1198" s="2" t="str">
        <f>E1198&amp;(VLOOKUP(F1198,编号表!$E$1:$G$8,2,0))&amp;G1198&amp;"_"&amp;H1198&amp;"_"&amp;I1198</f>
        <v>21N4_2_5</v>
      </c>
      <c r="E1198" s="2">
        <v>21</v>
      </c>
      <c r="F1198" s="2" t="s">
        <v>174</v>
      </c>
      <c r="G1198" s="2">
        <v>4</v>
      </c>
      <c r="H1198" s="2">
        <v>2</v>
      </c>
      <c r="I1198" s="2">
        <f>COUNTIFS($E$3:E1198,E1198,$H$3:H1198,H1198)</f>
        <v>5</v>
      </c>
      <c r="N1198" s="11">
        <v>1021201</v>
      </c>
      <c r="O1198" s="11">
        <f t="shared" si="35"/>
        <v>1021301</v>
      </c>
      <c r="P1198" s="11">
        <f t="shared" si="36"/>
        <v>1021401</v>
      </c>
      <c r="Q1198" s="11">
        <f t="shared" si="37"/>
        <v>1021501</v>
      </c>
    </row>
    <row r="1199" spans="1:18">
      <c r="A1199" s="11">
        <f t="shared" si="32"/>
        <v>70214206</v>
      </c>
      <c r="B1199" s="2" t="s">
        <v>1343</v>
      </c>
      <c r="D1199" s="2" t="str">
        <f>E1199&amp;(VLOOKUP(F1199,编号表!$E$1:$G$8,2,0))&amp;G1199&amp;"_"&amp;H1199&amp;"_"&amp;I1199</f>
        <v>21N4_2_6</v>
      </c>
      <c r="E1199" s="2">
        <v>21</v>
      </c>
      <c r="F1199" s="2" t="s">
        <v>174</v>
      </c>
      <c r="G1199" s="2">
        <v>4</v>
      </c>
      <c r="H1199" s="2">
        <v>2</v>
      </c>
      <c r="I1199" s="2">
        <f>COUNTIFS($E$3:E1199,E1199,$H$3:H1199,H1199)</f>
        <v>6</v>
      </c>
      <c r="N1199" s="11">
        <v>1021201</v>
      </c>
      <c r="O1199" s="11">
        <f t="shared" si="35"/>
        <v>1021301</v>
      </c>
      <c r="P1199" s="11">
        <f t="shared" si="36"/>
        <v>1021401</v>
      </c>
      <c r="Q1199" s="11">
        <f t="shared" si="37"/>
        <v>1021501</v>
      </c>
    </row>
    <row r="1200" spans="1:18">
      <c r="A1200" s="11">
        <f t="shared" si="32"/>
        <v>70214301</v>
      </c>
      <c r="B1200" s="2" t="s">
        <v>1344</v>
      </c>
      <c r="D1200" s="2" t="str">
        <f>E1200&amp;(VLOOKUP(F1200,编号表!$E$1:$G$8,2,0))&amp;G1200&amp;"_"&amp;H1200&amp;"_"&amp;I1200</f>
        <v>21N4_3_1</v>
      </c>
      <c r="E1200" s="2">
        <v>21</v>
      </c>
      <c r="F1200" s="2" t="s">
        <v>174</v>
      </c>
      <c r="G1200" s="2">
        <v>4</v>
      </c>
      <c r="H1200" s="2">
        <v>3</v>
      </c>
      <c r="I1200" s="2">
        <f>COUNTIFS($E$3:E1200,E1200,$H$3:H1200,H1200)</f>
        <v>1</v>
      </c>
      <c r="N1200" s="11">
        <v>1021201</v>
      </c>
      <c r="O1200" s="11">
        <f t="shared" si="35"/>
        <v>1021301</v>
      </c>
      <c r="P1200" s="11">
        <f t="shared" si="36"/>
        <v>1021401</v>
      </c>
      <c r="Q1200" s="11">
        <f t="shared" si="37"/>
        <v>1021501</v>
      </c>
    </row>
    <row r="1201" spans="1:17">
      <c r="A1201" s="11">
        <f t="shared" si="32"/>
        <v>70213302</v>
      </c>
      <c r="B1201" s="2" t="s">
        <v>1345</v>
      </c>
      <c r="D1201" s="2" t="str">
        <f>E1201&amp;(VLOOKUP(F1201,编号表!$E$1:$G$8,2,0))&amp;G1201&amp;"_"&amp;H1201&amp;"_"&amp;I1201</f>
        <v>21N3_3_2</v>
      </c>
      <c r="E1201" s="2">
        <v>21</v>
      </c>
      <c r="F1201" s="2" t="s">
        <v>174</v>
      </c>
      <c r="G1201" s="2">
        <v>3</v>
      </c>
      <c r="H1201" s="2">
        <v>3</v>
      </c>
      <c r="I1201" s="2">
        <f>COUNTIFS($E$3:E1201,E1201,$H$3:H1201,H1201)</f>
        <v>2</v>
      </c>
      <c r="N1201" s="11">
        <v>1021201</v>
      </c>
      <c r="O1201" s="11">
        <f t="shared" si="35"/>
        <v>1021301</v>
      </c>
      <c r="P1201" s="11">
        <f t="shared" si="36"/>
        <v>1021401</v>
      </c>
      <c r="Q1201" s="11">
        <f t="shared" si="37"/>
        <v>1021501</v>
      </c>
    </row>
    <row r="1202" spans="1:17">
      <c r="A1202" s="11">
        <f t="shared" si="32"/>
        <v>70214303</v>
      </c>
      <c r="B1202" s="2" t="s">
        <v>1346</v>
      </c>
      <c r="D1202" s="2" t="str">
        <f>E1202&amp;(VLOOKUP(F1202,编号表!$E$1:$G$8,2,0))&amp;G1202&amp;"_"&amp;H1202&amp;"_"&amp;I1202</f>
        <v>21N4_3_3</v>
      </c>
      <c r="E1202" s="2">
        <v>21</v>
      </c>
      <c r="F1202" s="2" t="s">
        <v>174</v>
      </c>
      <c r="G1202" s="2">
        <v>4</v>
      </c>
      <c r="H1202" s="2">
        <v>3</v>
      </c>
      <c r="I1202" s="2">
        <f>COUNTIFS($E$3:E1202,E1202,$H$3:H1202,H1202)</f>
        <v>3</v>
      </c>
      <c r="N1202" s="11">
        <v>1021201</v>
      </c>
      <c r="O1202" s="11">
        <f t="shared" si="35"/>
        <v>1021301</v>
      </c>
      <c r="P1202" s="11">
        <f t="shared" si="36"/>
        <v>1021401</v>
      </c>
      <c r="Q1202" s="11">
        <f t="shared" si="37"/>
        <v>1021501</v>
      </c>
    </row>
    <row r="1203" spans="1:17">
      <c r="A1203" s="11">
        <f t="shared" si="32"/>
        <v>70213304</v>
      </c>
      <c r="B1203" s="2" t="s">
        <v>1347</v>
      </c>
      <c r="D1203" s="2" t="str">
        <f>E1203&amp;(VLOOKUP(F1203,编号表!$E$1:$G$8,2,0))&amp;G1203&amp;"_"&amp;H1203&amp;"_"&amp;I1203</f>
        <v>21N3_3_4</v>
      </c>
      <c r="E1203" s="2">
        <v>21</v>
      </c>
      <c r="F1203" s="2" t="s">
        <v>174</v>
      </c>
      <c r="G1203" s="2">
        <v>3</v>
      </c>
      <c r="H1203" s="2">
        <v>3</v>
      </c>
      <c r="I1203" s="2">
        <f>COUNTIFS($E$3:E1203,E1203,$H$3:H1203,H1203)</f>
        <v>4</v>
      </c>
      <c r="N1203" s="11">
        <v>1021201</v>
      </c>
      <c r="O1203" s="11">
        <f t="shared" si="35"/>
        <v>1021301</v>
      </c>
      <c r="P1203" s="11">
        <f t="shared" si="36"/>
        <v>1021401</v>
      </c>
      <c r="Q1203" s="11">
        <f t="shared" si="37"/>
        <v>1021501</v>
      </c>
    </row>
    <row r="1204" spans="1:17">
      <c r="A1204" s="11">
        <f t="shared" si="32"/>
        <v>70213305</v>
      </c>
      <c r="B1204" s="16" t="s">
        <v>19</v>
      </c>
      <c r="C1204" s="2" t="s">
        <v>1348</v>
      </c>
      <c r="D1204" s="2" t="str">
        <f>E1204&amp;(VLOOKUP(F1204,编号表!$E$1:$G$8,2,0))&amp;G1204&amp;"_"&amp;H1204&amp;"_"&amp;I1204</f>
        <v>21T3_3_5</v>
      </c>
      <c r="E1204" s="2">
        <v>21</v>
      </c>
      <c r="F1204" s="2" t="s">
        <v>190</v>
      </c>
      <c r="G1204" s="2">
        <v>3</v>
      </c>
      <c r="H1204" s="2">
        <v>3</v>
      </c>
      <c r="I1204" s="2">
        <f>COUNTIFS($E$3:E1204,E1204,$H$3:H1204,H1204)</f>
        <v>5</v>
      </c>
    </row>
    <row r="1205" spans="1:17">
      <c r="A1205" s="11">
        <f t="shared" si="32"/>
        <v>70211306</v>
      </c>
      <c r="B1205" s="15" t="s">
        <v>1349</v>
      </c>
      <c r="D1205" s="2" t="str">
        <f>E1205&amp;(VLOOKUP(F1205,编号表!$E$1:$G$8,2,0))&amp;G1205&amp;"_"&amp;H1205&amp;"_"&amp;I1205</f>
        <v>21T1_3_6</v>
      </c>
      <c r="E1205" s="2">
        <v>21</v>
      </c>
      <c r="F1205" s="2" t="s">
        <v>190</v>
      </c>
      <c r="G1205" s="2">
        <v>1</v>
      </c>
      <c r="H1205" s="2">
        <v>3</v>
      </c>
      <c r="I1205" s="2">
        <f>COUNTIFS($E$3:E1205,E1205,$H$3:H1205,H1205)</f>
        <v>6</v>
      </c>
      <c r="K1205" s="2">
        <v>1</v>
      </c>
    </row>
    <row r="1206" spans="1:17">
      <c r="A1206" s="11">
        <f t="shared" si="32"/>
        <v>70215307</v>
      </c>
      <c r="B1206" s="2" t="s">
        <v>1350</v>
      </c>
      <c r="D1206" s="2" t="str">
        <f>E1206&amp;(VLOOKUP(F1206,编号表!$E$1:$G$8,2,0))&amp;G1206&amp;"_"&amp;H1206&amp;"_"&amp;I1206</f>
        <v>21N5_3_7</v>
      </c>
      <c r="E1206" s="2">
        <v>21</v>
      </c>
      <c r="F1206" s="2" t="s">
        <v>174</v>
      </c>
      <c r="G1206" s="2">
        <v>5</v>
      </c>
      <c r="H1206" s="2">
        <v>3</v>
      </c>
      <c r="I1206" s="2">
        <f>COUNTIFS($E$3:E1206,E1206,$H$3:H1206,H1206)</f>
        <v>7</v>
      </c>
      <c r="N1206" s="11">
        <v>1021201</v>
      </c>
      <c r="O1206" s="11">
        <f t="shared" ref="O1206:O1236" si="38">N1206+100</f>
        <v>1021301</v>
      </c>
      <c r="P1206" s="11">
        <f t="shared" ref="P1206:P1236" si="39">O1206+100</f>
        <v>1021401</v>
      </c>
      <c r="Q1206" s="11">
        <f t="shared" ref="Q1206:Q1236" si="40">P1206+100</f>
        <v>1021501</v>
      </c>
    </row>
    <row r="1207" spans="1:17">
      <c r="A1207" s="11">
        <f t="shared" si="32"/>
        <v>70215308</v>
      </c>
      <c r="B1207" s="2" t="s">
        <v>1351</v>
      </c>
      <c r="D1207" s="2" t="str">
        <f>E1207&amp;(VLOOKUP(F1207,编号表!$E$1:$G$8,2,0))&amp;G1207&amp;"_"&amp;H1207&amp;"_"&amp;I1207</f>
        <v>21N5_3_8</v>
      </c>
      <c r="E1207" s="2">
        <v>21</v>
      </c>
      <c r="F1207" s="2" t="s">
        <v>174</v>
      </c>
      <c r="G1207" s="2">
        <v>5</v>
      </c>
      <c r="H1207" s="2">
        <v>3</v>
      </c>
      <c r="I1207" s="2">
        <f>COUNTIFS($E$3:E1207,E1207,$H$3:H1207,H1207)</f>
        <v>8</v>
      </c>
      <c r="N1207" s="11">
        <v>1021201</v>
      </c>
      <c r="O1207" s="11">
        <f t="shared" si="38"/>
        <v>1021301</v>
      </c>
      <c r="P1207" s="11">
        <f t="shared" si="39"/>
        <v>1021401</v>
      </c>
      <c r="Q1207" s="11">
        <f t="shared" si="40"/>
        <v>1021501</v>
      </c>
    </row>
    <row r="1208" spans="1:17">
      <c r="A1208" s="11">
        <f t="shared" si="32"/>
        <v>70215309</v>
      </c>
      <c r="B1208" s="2" t="s">
        <v>1352</v>
      </c>
      <c r="D1208" s="2" t="str">
        <f>E1208&amp;(VLOOKUP(F1208,编号表!$E$1:$G$8,2,0))&amp;G1208&amp;"_"&amp;H1208&amp;"_"&amp;I1208</f>
        <v>21N5_3_9</v>
      </c>
      <c r="E1208" s="2">
        <v>21</v>
      </c>
      <c r="F1208" s="2" t="s">
        <v>174</v>
      </c>
      <c r="G1208" s="2">
        <v>5</v>
      </c>
      <c r="H1208" s="2">
        <v>3</v>
      </c>
      <c r="I1208" s="2">
        <f>COUNTIFS($E$3:E1208,E1208,$H$3:H1208,H1208)</f>
        <v>9</v>
      </c>
      <c r="N1208" s="11">
        <v>1021201</v>
      </c>
      <c r="O1208" s="11">
        <f t="shared" si="38"/>
        <v>1021301</v>
      </c>
      <c r="P1208" s="11">
        <f t="shared" si="39"/>
        <v>1021401</v>
      </c>
      <c r="Q1208" s="11">
        <f t="shared" si="40"/>
        <v>1021501</v>
      </c>
    </row>
    <row r="1209" spans="1:17">
      <c r="A1209" s="11">
        <f t="shared" si="32"/>
        <v>70213310</v>
      </c>
      <c r="B1209" s="2" t="s">
        <v>1353</v>
      </c>
      <c r="D1209" s="2" t="str">
        <f>E1209&amp;(VLOOKUP(F1209,编号表!$E$1:$G$8,2,0))&amp;G1209&amp;"_"&amp;H1209&amp;"_"&amp;I1209</f>
        <v>21N3_3_10</v>
      </c>
      <c r="E1209" s="2">
        <v>21</v>
      </c>
      <c r="F1209" s="2" t="s">
        <v>174</v>
      </c>
      <c r="G1209" s="2">
        <v>3</v>
      </c>
      <c r="H1209" s="2">
        <v>3</v>
      </c>
      <c r="I1209" s="2">
        <f>COUNTIFS($E$3:E1209,E1209,$H$3:H1209,H1209)</f>
        <v>10</v>
      </c>
      <c r="N1209" s="11">
        <v>1021201</v>
      </c>
      <c r="O1209" s="11">
        <f t="shared" si="38"/>
        <v>1021301</v>
      </c>
      <c r="P1209" s="11">
        <f t="shared" si="39"/>
        <v>1021401</v>
      </c>
      <c r="Q1209" s="11">
        <f t="shared" si="40"/>
        <v>1021501</v>
      </c>
    </row>
    <row r="1210" spans="1:17">
      <c r="A1210" s="11">
        <f t="shared" si="32"/>
        <v>70213311</v>
      </c>
      <c r="B1210" s="2" t="s">
        <v>1354</v>
      </c>
      <c r="D1210" s="2" t="str">
        <f>E1210&amp;(VLOOKUP(F1210,编号表!$E$1:$G$8,2,0))&amp;G1210&amp;"_"&amp;H1210&amp;"_"&amp;I1210</f>
        <v>21N3_3_11</v>
      </c>
      <c r="E1210" s="2">
        <v>21</v>
      </c>
      <c r="F1210" s="2" t="s">
        <v>174</v>
      </c>
      <c r="G1210" s="2">
        <v>3</v>
      </c>
      <c r="H1210" s="2">
        <v>3</v>
      </c>
      <c r="I1210" s="2">
        <f>COUNTIFS($E$3:E1210,E1210,$H$3:H1210,H1210)</f>
        <v>11</v>
      </c>
      <c r="N1210" s="11">
        <v>1021201</v>
      </c>
      <c r="O1210" s="11">
        <f t="shared" si="38"/>
        <v>1021301</v>
      </c>
      <c r="P1210" s="11">
        <f t="shared" si="39"/>
        <v>1021401</v>
      </c>
      <c r="Q1210" s="11">
        <f t="shared" si="40"/>
        <v>1021501</v>
      </c>
    </row>
    <row r="1211" spans="1:17">
      <c r="A1211" s="11">
        <f t="shared" si="32"/>
        <v>70214312</v>
      </c>
      <c r="B1211" s="2" t="s">
        <v>1355</v>
      </c>
      <c r="D1211" s="2" t="str">
        <f>E1211&amp;(VLOOKUP(F1211,编号表!$E$1:$G$8,2,0))&amp;G1211&amp;"_"&amp;H1211&amp;"_"&amp;I1211</f>
        <v>21N4_3_12</v>
      </c>
      <c r="E1211" s="2">
        <v>21</v>
      </c>
      <c r="F1211" s="2" t="s">
        <v>174</v>
      </c>
      <c r="G1211" s="2">
        <v>4</v>
      </c>
      <c r="H1211" s="2">
        <v>3</v>
      </c>
      <c r="I1211" s="2">
        <f>COUNTIFS($E$3:E1211,E1211,$H$3:H1211,H1211)</f>
        <v>12</v>
      </c>
      <c r="N1211" s="11">
        <v>1021201</v>
      </c>
      <c r="O1211" s="11">
        <f t="shared" si="38"/>
        <v>1021301</v>
      </c>
      <c r="P1211" s="11">
        <f t="shared" si="39"/>
        <v>1021401</v>
      </c>
      <c r="Q1211" s="11">
        <f t="shared" si="40"/>
        <v>1021501</v>
      </c>
    </row>
    <row r="1212" spans="1:17">
      <c r="A1212" s="11">
        <f t="shared" ref="A1212:A1275" si="41">70000000+E1212*10000+G1212*1000+H1212*100+I1212</f>
        <v>70214401</v>
      </c>
      <c r="B1212" s="2" t="s">
        <v>1356</v>
      </c>
      <c r="D1212" s="2" t="str">
        <f>E1212&amp;(VLOOKUP(F1212,编号表!$E$1:$G$8,2,0))&amp;G1212&amp;"_"&amp;H1212&amp;"_"&amp;I1212</f>
        <v>21N4_4_1</v>
      </c>
      <c r="E1212" s="2">
        <v>21</v>
      </c>
      <c r="F1212" s="2" t="s">
        <v>174</v>
      </c>
      <c r="G1212" s="2">
        <v>4</v>
      </c>
      <c r="H1212" s="2">
        <v>4</v>
      </c>
      <c r="I1212" s="2">
        <f>COUNTIFS($E$3:E1212,E1212,$H$3:H1212,H1212)</f>
        <v>1</v>
      </c>
      <c r="N1212" s="11">
        <v>1021201</v>
      </c>
      <c r="O1212" s="11">
        <f t="shared" si="38"/>
        <v>1021301</v>
      </c>
      <c r="P1212" s="11">
        <f t="shared" si="39"/>
        <v>1021401</v>
      </c>
      <c r="Q1212" s="11">
        <f t="shared" si="40"/>
        <v>1021501</v>
      </c>
    </row>
    <row r="1213" spans="1:17">
      <c r="A1213" s="11">
        <f t="shared" si="41"/>
        <v>70213402</v>
      </c>
      <c r="B1213" s="2" t="s">
        <v>1357</v>
      </c>
      <c r="D1213" s="2" t="str">
        <f>E1213&amp;(VLOOKUP(F1213,编号表!$E$1:$G$8,2,0))&amp;G1213&amp;"_"&amp;H1213&amp;"_"&amp;I1213</f>
        <v>21N3_4_2</v>
      </c>
      <c r="E1213" s="2">
        <v>21</v>
      </c>
      <c r="F1213" s="2" t="s">
        <v>174</v>
      </c>
      <c r="G1213" s="2">
        <v>3</v>
      </c>
      <c r="H1213" s="2">
        <v>4</v>
      </c>
      <c r="I1213" s="2">
        <f>COUNTIFS($E$3:E1213,E1213,$H$3:H1213,H1213)</f>
        <v>2</v>
      </c>
      <c r="N1213" s="11">
        <v>1021201</v>
      </c>
      <c r="O1213" s="11">
        <f t="shared" si="38"/>
        <v>1021301</v>
      </c>
      <c r="P1213" s="11">
        <f t="shared" si="39"/>
        <v>1021401</v>
      </c>
      <c r="Q1213" s="11">
        <f t="shared" si="40"/>
        <v>1021501</v>
      </c>
    </row>
    <row r="1214" spans="1:17">
      <c r="A1214" s="11">
        <f t="shared" si="41"/>
        <v>70214403</v>
      </c>
      <c r="B1214" s="2" t="s">
        <v>1358</v>
      </c>
      <c r="D1214" s="2" t="str">
        <f>E1214&amp;(VLOOKUP(F1214,编号表!$E$1:$G$8,2,0))&amp;G1214&amp;"_"&amp;H1214&amp;"_"&amp;I1214</f>
        <v>21N4_4_3</v>
      </c>
      <c r="E1214" s="2">
        <v>21</v>
      </c>
      <c r="F1214" s="2" t="s">
        <v>174</v>
      </c>
      <c r="G1214" s="2">
        <v>4</v>
      </c>
      <c r="H1214" s="2">
        <v>4</v>
      </c>
      <c r="I1214" s="2">
        <f>COUNTIFS($E$3:E1214,E1214,$H$3:H1214,H1214)</f>
        <v>3</v>
      </c>
      <c r="N1214" s="11">
        <v>1021201</v>
      </c>
      <c r="O1214" s="11">
        <f t="shared" si="38"/>
        <v>1021301</v>
      </c>
      <c r="P1214" s="11">
        <f t="shared" si="39"/>
        <v>1021401</v>
      </c>
      <c r="Q1214" s="11">
        <f t="shared" si="40"/>
        <v>1021501</v>
      </c>
    </row>
    <row r="1215" spans="1:17">
      <c r="A1215" s="11">
        <f t="shared" si="41"/>
        <v>70214404</v>
      </c>
      <c r="B1215" s="2" t="s">
        <v>1359</v>
      </c>
      <c r="D1215" s="2" t="str">
        <f>E1215&amp;(VLOOKUP(F1215,编号表!$E$1:$G$8,2,0))&amp;G1215&amp;"_"&amp;H1215&amp;"_"&amp;I1215</f>
        <v>21N4_4_4</v>
      </c>
      <c r="E1215" s="2">
        <v>21</v>
      </c>
      <c r="F1215" s="2" t="s">
        <v>174</v>
      </c>
      <c r="G1215" s="2">
        <v>4</v>
      </c>
      <c r="H1215" s="2">
        <v>4</v>
      </c>
      <c r="I1215" s="2">
        <f>COUNTIFS($E$3:E1215,E1215,$H$3:H1215,H1215)</f>
        <v>4</v>
      </c>
      <c r="N1215" s="11">
        <v>1021201</v>
      </c>
      <c r="O1215" s="11">
        <f t="shared" si="38"/>
        <v>1021301</v>
      </c>
      <c r="P1215" s="11">
        <f t="shared" si="39"/>
        <v>1021401</v>
      </c>
      <c r="Q1215" s="11">
        <f t="shared" si="40"/>
        <v>1021501</v>
      </c>
    </row>
    <row r="1216" spans="1:17">
      <c r="A1216" s="11">
        <f t="shared" si="41"/>
        <v>70214405</v>
      </c>
      <c r="B1216" s="2" t="s">
        <v>1360</v>
      </c>
      <c r="D1216" s="2" t="str">
        <f>E1216&amp;(VLOOKUP(F1216,编号表!$E$1:$G$8,2,0))&amp;G1216&amp;"_"&amp;H1216&amp;"_"&amp;I1216</f>
        <v>21N4_4_5</v>
      </c>
      <c r="E1216" s="2">
        <v>21</v>
      </c>
      <c r="F1216" s="2" t="s">
        <v>174</v>
      </c>
      <c r="G1216" s="2">
        <v>4</v>
      </c>
      <c r="H1216" s="2">
        <v>4</v>
      </c>
      <c r="I1216" s="2">
        <f>COUNTIFS($E$3:E1216,E1216,$H$3:H1216,H1216)</f>
        <v>5</v>
      </c>
      <c r="N1216" s="11">
        <v>1021201</v>
      </c>
      <c r="O1216" s="11">
        <f t="shared" si="38"/>
        <v>1021301</v>
      </c>
      <c r="P1216" s="11">
        <f t="shared" si="39"/>
        <v>1021401</v>
      </c>
      <c r="Q1216" s="11">
        <f t="shared" si="40"/>
        <v>1021501</v>
      </c>
    </row>
    <row r="1217" spans="1:17">
      <c r="A1217" s="11">
        <f t="shared" si="41"/>
        <v>70212406</v>
      </c>
      <c r="B1217" s="2" t="s">
        <v>1361</v>
      </c>
      <c r="D1217" s="2" t="str">
        <f>E1217&amp;(VLOOKUP(F1217,编号表!$E$1:$G$8,2,0))&amp;G1217&amp;"_"&amp;H1217&amp;"_"&amp;I1217</f>
        <v>21N2_4_6</v>
      </c>
      <c r="E1217" s="2">
        <v>21</v>
      </c>
      <c r="F1217" s="2" t="s">
        <v>174</v>
      </c>
      <c r="G1217" s="2">
        <v>2</v>
      </c>
      <c r="H1217" s="2">
        <v>4</v>
      </c>
      <c r="I1217" s="2">
        <f>COUNTIFS($E$3:E1217,E1217,$H$3:H1217,H1217)</f>
        <v>6</v>
      </c>
      <c r="N1217" s="11">
        <v>1021201</v>
      </c>
      <c r="O1217" s="11">
        <f t="shared" si="38"/>
        <v>1021301</v>
      </c>
      <c r="P1217" s="11">
        <f t="shared" si="39"/>
        <v>1021401</v>
      </c>
      <c r="Q1217" s="11">
        <f t="shared" si="40"/>
        <v>1021501</v>
      </c>
    </row>
    <row r="1218" spans="1:17">
      <c r="A1218" s="11">
        <f t="shared" si="41"/>
        <v>70214407</v>
      </c>
      <c r="B1218" s="2" t="s">
        <v>1362</v>
      </c>
      <c r="D1218" s="2" t="str">
        <f>E1218&amp;(VLOOKUP(F1218,编号表!$E$1:$G$8,2,0))&amp;G1218&amp;"_"&amp;H1218&amp;"_"&amp;I1218</f>
        <v>21N4_4_7</v>
      </c>
      <c r="E1218" s="2">
        <v>21</v>
      </c>
      <c r="F1218" s="2" t="s">
        <v>174</v>
      </c>
      <c r="G1218" s="2">
        <v>4</v>
      </c>
      <c r="H1218" s="2">
        <v>4</v>
      </c>
      <c r="I1218" s="2">
        <f>COUNTIFS($E$3:E1218,E1218,$H$3:H1218,H1218)</f>
        <v>7</v>
      </c>
      <c r="N1218" s="11">
        <v>1021201</v>
      </c>
      <c r="O1218" s="11">
        <f t="shared" si="38"/>
        <v>1021301</v>
      </c>
      <c r="P1218" s="11">
        <f t="shared" si="39"/>
        <v>1021401</v>
      </c>
      <c r="Q1218" s="11">
        <f t="shared" si="40"/>
        <v>1021501</v>
      </c>
    </row>
    <row r="1219" spans="1:17">
      <c r="A1219" s="11">
        <f t="shared" si="41"/>
        <v>70213408</v>
      </c>
      <c r="B1219" s="2" t="s">
        <v>1363</v>
      </c>
      <c r="D1219" s="2" t="str">
        <f>E1219&amp;(VLOOKUP(F1219,编号表!$E$1:$G$8,2,0))&amp;G1219&amp;"_"&amp;H1219&amp;"_"&amp;I1219</f>
        <v>21N3_4_8</v>
      </c>
      <c r="E1219" s="2">
        <v>21</v>
      </c>
      <c r="F1219" s="2" t="s">
        <v>174</v>
      </c>
      <c r="G1219" s="2">
        <v>3</v>
      </c>
      <c r="H1219" s="2">
        <v>4</v>
      </c>
      <c r="I1219" s="2">
        <f>COUNTIFS($E$3:E1219,E1219,$H$3:H1219,H1219)</f>
        <v>8</v>
      </c>
      <c r="N1219" s="11">
        <v>1021201</v>
      </c>
      <c r="O1219" s="11">
        <f t="shared" si="38"/>
        <v>1021301</v>
      </c>
      <c r="P1219" s="11">
        <f t="shared" si="39"/>
        <v>1021401</v>
      </c>
      <c r="Q1219" s="11">
        <f t="shared" si="40"/>
        <v>1021501</v>
      </c>
    </row>
    <row r="1220" spans="1:17">
      <c r="A1220" s="11">
        <f t="shared" si="41"/>
        <v>70214409</v>
      </c>
      <c r="B1220" s="2" t="s">
        <v>1364</v>
      </c>
      <c r="D1220" s="2" t="str">
        <f>E1220&amp;(VLOOKUP(F1220,编号表!$E$1:$G$8,2,0))&amp;G1220&amp;"_"&amp;H1220&amp;"_"&amp;I1220</f>
        <v>21N4_4_9</v>
      </c>
      <c r="E1220" s="2">
        <v>21</v>
      </c>
      <c r="F1220" s="2" t="s">
        <v>174</v>
      </c>
      <c r="G1220" s="2">
        <v>4</v>
      </c>
      <c r="H1220" s="2">
        <v>4</v>
      </c>
      <c r="I1220" s="2">
        <f>COUNTIFS($E$3:E1220,E1220,$H$3:H1220,H1220)</f>
        <v>9</v>
      </c>
      <c r="N1220" s="11">
        <v>1021201</v>
      </c>
      <c r="O1220" s="11">
        <f t="shared" si="38"/>
        <v>1021301</v>
      </c>
      <c r="P1220" s="11">
        <f t="shared" si="39"/>
        <v>1021401</v>
      </c>
      <c r="Q1220" s="11">
        <f t="shared" si="40"/>
        <v>1021501</v>
      </c>
    </row>
    <row r="1221" spans="1:17">
      <c r="A1221" s="11">
        <f t="shared" si="41"/>
        <v>70213501</v>
      </c>
      <c r="B1221" s="2" t="s">
        <v>1365</v>
      </c>
      <c r="D1221" s="2" t="str">
        <f>E1221&amp;(VLOOKUP(F1221,编号表!$E$1:$G$8,2,0))&amp;G1221&amp;"_"&amp;H1221&amp;"_"&amp;I1221</f>
        <v>21N3_5_1</v>
      </c>
      <c r="E1221" s="2">
        <v>21</v>
      </c>
      <c r="F1221" s="2" t="s">
        <v>174</v>
      </c>
      <c r="G1221" s="2">
        <v>3</v>
      </c>
      <c r="H1221" s="2">
        <v>5</v>
      </c>
      <c r="I1221" s="2">
        <f>COUNTIFS($E$3:E1221,E1221,$H$3:H1221,H1221)</f>
        <v>1</v>
      </c>
      <c r="N1221" s="11">
        <v>1021201</v>
      </c>
      <c r="O1221" s="11">
        <f t="shared" si="38"/>
        <v>1021301</v>
      </c>
      <c r="P1221" s="11">
        <f t="shared" si="39"/>
        <v>1021401</v>
      </c>
      <c r="Q1221" s="11">
        <f t="shared" si="40"/>
        <v>1021501</v>
      </c>
    </row>
    <row r="1222" spans="1:17">
      <c r="A1222" s="11">
        <f t="shared" si="41"/>
        <v>70214502</v>
      </c>
      <c r="B1222" s="2" t="s">
        <v>1366</v>
      </c>
      <c r="D1222" s="2" t="str">
        <f>E1222&amp;(VLOOKUP(F1222,编号表!$E$1:$G$8,2,0))&amp;G1222&amp;"_"&amp;H1222&amp;"_"&amp;I1222</f>
        <v>21N4_5_2</v>
      </c>
      <c r="E1222" s="2">
        <v>21</v>
      </c>
      <c r="F1222" s="2" t="s">
        <v>174</v>
      </c>
      <c r="G1222" s="2">
        <v>4</v>
      </c>
      <c r="H1222" s="2">
        <v>5</v>
      </c>
      <c r="I1222" s="2">
        <f>COUNTIFS($E$3:E1222,E1222,$H$3:H1222,H1222)</f>
        <v>2</v>
      </c>
      <c r="N1222" s="11">
        <v>1021201</v>
      </c>
      <c r="O1222" s="11">
        <f t="shared" si="38"/>
        <v>1021301</v>
      </c>
      <c r="P1222" s="11">
        <f t="shared" si="39"/>
        <v>1021401</v>
      </c>
      <c r="Q1222" s="11">
        <f t="shared" si="40"/>
        <v>1021501</v>
      </c>
    </row>
    <row r="1223" spans="1:17">
      <c r="A1223" s="11">
        <f t="shared" si="41"/>
        <v>70211503</v>
      </c>
      <c r="B1223" s="2" t="s">
        <v>1367</v>
      </c>
      <c r="D1223" s="2" t="str">
        <f>E1223&amp;(VLOOKUP(F1223,编号表!$E$1:$G$8,2,0))&amp;G1223&amp;"_"&amp;H1223&amp;"_"&amp;I1223</f>
        <v>21N1_5_3</v>
      </c>
      <c r="E1223" s="2">
        <v>21</v>
      </c>
      <c r="F1223" s="2" t="s">
        <v>174</v>
      </c>
      <c r="G1223" s="2">
        <v>1</v>
      </c>
      <c r="H1223" s="2">
        <v>5</v>
      </c>
      <c r="I1223" s="2">
        <f>COUNTIFS($E$3:E1223,E1223,$H$3:H1223,H1223)</f>
        <v>3</v>
      </c>
      <c r="N1223" s="11">
        <v>1021201</v>
      </c>
      <c r="O1223" s="11">
        <f t="shared" si="38"/>
        <v>1021301</v>
      </c>
      <c r="P1223" s="11">
        <f t="shared" si="39"/>
        <v>1021401</v>
      </c>
      <c r="Q1223" s="11">
        <f t="shared" si="40"/>
        <v>1021501</v>
      </c>
    </row>
    <row r="1224" spans="1:17">
      <c r="A1224" s="11">
        <f t="shared" si="41"/>
        <v>70213504</v>
      </c>
      <c r="B1224" s="2" t="s">
        <v>1368</v>
      </c>
      <c r="D1224" s="2" t="str">
        <f>E1224&amp;(VLOOKUP(F1224,编号表!$E$1:$G$8,2,0))&amp;G1224&amp;"_"&amp;H1224&amp;"_"&amp;I1224</f>
        <v>21N3_5_4</v>
      </c>
      <c r="E1224" s="2">
        <v>21</v>
      </c>
      <c r="F1224" s="2" t="s">
        <v>174</v>
      </c>
      <c r="G1224" s="2">
        <v>3</v>
      </c>
      <c r="H1224" s="2">
        <v>5</v>
      </c>
      <c r="I1224" s="2">
        <f>COUNTIFS($E$3:E1224,E1224,$H$3:H1224,H1224)</f>
        <v>4</v>
      </c>
      <c r="N1224" s="11">
        <v>1021201</v>
      </c>
      <c r="O1224" s="11">
        <f t="shared" si="38"/>
        <v>1021301</v>
      </c>
      <c r="P1224" s="11">
        <f t="shared" si="39"/>
        <v>1021401</v>
      </c>
      <c r="Q1224" s="11">
        <f t="shared" si="40"/>
        <v>1021501</v>
      </c>
    </row>
    <row r="1225" spans="1:17">
      <c r="A1225" s="11">
        <f t="shared" si="41"/>
        <v>70215505</v>
      </c>
      <c r="B1225" s="2" t="s">
        <v>1369</v>
      </c>
      <c r="D1225" s="2" t="str">
        <f>E1225&amp;(VLOOKUP(F1225,编号表!$E$1:$G$8,2,0))&amp;G1225&amp;"_"&amp;H1225&amp;"_"&amp;I1225</f>
        <v>21N5_5_5</v>
      </c>
      <c r="E1225" s="2">
        <v>21</v>
      </c>
      <c r="F1225" s="2" t="s">
        <v>174</v>
      </c>
      <c r="G1225" s="2">
        <v>5</v>
      </c>
      <c r="H1225" s="2">
        <v>5</v>
      </c>
      <c r="I1225" s="2">
        <f>COUNTIFS($E$3:E1225,E1225,$H$3:H1225,H1225)</f>
        <v>5</v>
      </c>
      <c r="N1225" s="11">
        <v>1021201</v>
      </c>
      <c r="O1225" s="11">
        <f t="shared" si="38"/>
        <v>1021301</v>
      </c>
      <c r="P1225" s="11">
        <f t="shared" si="39"/>
        <v>1021401</v>
      </c>
      <c r="Q1225" s="11">
        <f t="shared" si="40"/>
        <v>1021501</v>
      </c>
    </row>
    <row r="1226" spans="1:17">
      <c r="A1226" s="11">
        <f t="shared" si="41"/>
        <v>70215506</v>
      </c>
      <c r="B1226" s="2" t="s">
        <v>1370</v>
      </c>
      <c r="D1226" s="2" t="str">
        <f>E1226&amp;(VLOOKUP(F1226,编号表!$E$1:$G$8,2,0))&amp;G1226&amp;"_"&amp;H1226&amp;"_"&amp;I1226</f>
        <v>21N5_5_6</v>
      </c>
      <c r="E1226" s="2">
        <v>21</v>
      </c>
      <c r="F1226" s="2" t="s">
        <v>174</v>
      </c>
      <c r="G1226" s="2">
        <v>5</v>
      </c>
      <c r="H1226" s="2">
        <v>5</v>
      </c>
      <c r="I1226" s="2">
        <f>COUNTIFS($E$3:E1226,E1226,$H$3:H1226,H1226)</f>
        <v>6</v>
      </c>
      <c r="N1226" s="11">
        <v>1021201</v>
      </c>
      <c r="O1226" s="11">
        <f t="shared" si="38"/>
        <v>1021301</v>
      </c>
      <c r="P1226" s="11">
        <f t="shared" si="39"/>
        <v>1021401</v>
      </c>
      <c r="Q1226" s="11">
        <f t="shared" si="40"/>
        <v>1021501</v>
      </c>
    </row>
    <row r="1227" spans="1:17">
      <c r="A1227" s="11">
        <f t="shared" si="41"/>
        <v>70215507</v>
      </c>
      <c r="B1227" s="2" t="s">
        <v>1371</v>
      </c>
      <c r="D1227" s="2" t="str">
        <f>E1227&amp;(VLOOKUP(F1227,编号表!$E$1:$G$8,2,0))&amp;G1227&amp;"_"&amp;H1227&amp;"_"&amp;I1227</f>
        <v>21N5_5_7</v>
      </c>
      <c r="E1227" s="2">
        <v>21</v>
      </c>
      <c r="F1227" s="2" t="s">
        <v>174</v>
      </c>
      <c r="G1227" s="2">
        <v>5</v>
      </c>
      <c r="H1227" s="2">
        <v>5</v>
      </c>
      <c r="I1227" s="2">
        <f>COUNTIFS($E$3:E1227,E1227,$H$3:H1227,H1227)</f>
        <v>7</v>
      </c>
      <c r="N1227" s="11">
        <v>1021201</v>
      </c>
      <c r="O1227" s="11">
        <f t="shared" si="38"/>
        <v>1021301</v>
      </c>
      <c r="P1227" s="11">
        <f t="shared" si="39"/>
        <v>1021401</v>
      </c>
      <c r="Q1227" s="11">
        <f t="shared" si="40"/>
        <v>1021501</v>
      </c>
    </row>
    <row r="1228" spans="1:17">
      <c r="A1228" s="11">
        <f t="shared" si="41"/>
        <v>70213508</v>
      </c>
      <c r="B1228" s="2" t="s">
        <v>1372</v>
      </c>
      <c r="D1228" s="2" t="str">
        <f>E1228&amp;(VLOOKUP(F1228,编号表!$E$1:$G$8,2,0))&amp;G1228&amp;"_"&amp;H1228&amp;"_"&amp;I1228</f>
        <v>21N3_5_8</v>
      </c>
      <c r="E1228" s="2">
        <v>21</v>
      </c>
      <c r="F1228" s="2" t="s">
        <v>174</v>
      </c>
      <c r="G1228" s="2">
        <v>3</v>
      </c>
      <c r="H1228" s="2">
        <v>5</v>
      </c>
      <c r="I1228" s="2">
        <f>COUNTIFS($E$3:E1228,E1228,$H$3:H1228,H1228)</f>
        <v>8</v>
      </c>
      <c r="N1228" s="11">
        <v>1021201</v>
      </c>
      <c r="O1228" s="11">
        <f t="shared" si="38"/>
        <v>1021301</v>
      </c>
      <c r="P1228" s="11">
        <f t="shared" si="39"/>
        <v>1021401</v>
      </c>
      <c r="Q1228" s="11">
        <f t="shared" si="40"/>
        <v>1021501</v>
      </c>
    </row>
    <row r="1229" spans="1:17">
      <c r="A1229" s="11">
        <f t="shared" si="41"/>
        <v>70213509</v>
      </c>
      <c r="B1229" s="2" t="s">
        <v>1373</v>
      </c>
      <c r="D1229" s="2" t="str">
        <f>E1229&amp;(VLOOKUP(F1229,编号表!$E$1:$G$8,2,0))&amp;G1229&amp;"_"&amp;H1229&amp;"_"&amp;I1229</f>
        <v>21N3_5_9</v>
      </c>
      <c r="E1229" s="2">
        <v>21</v>
      </c>
      <c r="F1229" s="2" t="s">
        <v>174</v>
      </c>
      <c r="G1229" s="2">
        <v>3</v>
      </c>
      <c r="H1229" s="2">
        <v>5</v>
      </c>
      <c r="I1229" s="2">
        <f>COUNTIFS($E$3:E1229,E1229,$H$3:H1229,H1229)</f>
        <v>9</v>
      </c>
      <c r="N1229" s="11">
        <v>1021201</v>
      </c>
      <c r="O1229" s="11">
        <f t="shared" si="38"/>
        <v>1021301</v>
      </c>
      <c r="P1229" s="11">
        <f t="shared" si="39"/>
        <v>1021401</v>
      </c>
      <c r="Q1229" s="11">
        <f t="shared" si="40"/>
        <v>1021501</v>
      </c>
    </row>
    <row r="1230" spans="1:17">
      <c r="A1230" s="11">
        <f t="shared" si="41"/>
        <v>70214510</v>
      </c>
      <c r="B1230" s="2" t="s">
        <v>1374</v>
      </c>
      <c r="D1230" s="2" t="str">
        <f>E1230&amp;(VLOOKUP(F1230,编号表!$E$1:$G$8,2,0))&amp;G1230&amp;"_"&amp;H1230&amp;"_"&amp;I1230</f>
        <v>21N4_5_10</v>
      </c>
      <c r="E1230" s="2">
        <v>21</v>
      </c>
      <c r="F1230" s="2" t="s">
        <v>174</v>
      </c>
      <c r="G1230" s="2">
        <v>4</v>
      </c>
      <c r="H1230" s="2">
        <v>5</v>
      </c>
      <c r="I1230" s="2">
        <f>COUNTIFS($E$3:E1230,E1230,$H$3:H1230,H1230)</f>
        <v>10</v>
      </c>
      <c r="N1230" s="11">
        <v>1021201</v>
      </c>
      <c r="O1230" s="11">
        <f t="shared" si="38"/>
        <v>1021301</v>
      </c>
      <c r="P1230" s="11">
        <f t="shared" si="39"/>
        <v>1021401</v>
      </c>
      <c r="Q1230" s="11">
        <f t="shared" si="40"/>
        <v>1021501</v>
      </c>
    </row>
    <row r="1231" spans="1:17">
      <c r="A1231" s="11">
        <f t="shared" si="41"/>
        <v>70214601</v>
      </c>
      <c r="B1231" s="2" t="s">
        <v>1375</v>
      </c>
      <c r="D1231" s="2" t="str">
        <f>E1231&amp;(VLOOKUP(F1231,编号表!$E$1:$G$8,2,0))&amp;G1231&amp;"_"&amp;H1231&amp;"_"&amp;I1231</f>
        <v>21N4_6_1</v>
      </c>
      <c r="E1231" s="2">
        <v>21</v>
      </c>
      <c r="F1231" s="2" t="s">
        <v>174</v>
      </c>
      <c r="G1231" s="2">
        <v>4</v>
      </c>
      <c r="H1231" s="2">
        <v>6</v>
      </c>
      <c r="I1231" s="2">
        <f>COUNTIFS($E$3:E1231,E1231,$H$3:H1231,H1231)</f>
        <v>1</v>
      </c>
      <c r="N1231" s="11">
        <v>1021201</v>
      </c>
      <c r="O1231" s="11">
        <f t="shared" si="38"/>
        <v>1021301</v>
      </c>
      <c r="P1231" s="11">
        <f t="shared" si="39"/>
        <v>1021401</v>
      </c>
      <c r="Q1231" s="11">
        <f t="shared" si="40"/>
        <v>1021501</v>
      </c>
    </row>
    <row r="1232" spans="1:17">
      <c r="A1232" s="11">
        <f t="shared" si="41"/>
        <v>70214602</v>
      </c>
      <c r="B1232" s="2" t="s">
        <v>1376</v>
      </c>
      <c r="D1232" s="2" t="str">
        <f>E1232&amp;(VLOOKUP(F1232,编号表!$E$1:$G$8,2,0))&amp;G1232&amp;"_"&amp;H1232&amp;"_"&amp;I1232</f>
        <v>21N4_6_2</v>
      </c>
      <c r="E1232" s="2">
        <v>21</v>
      </c>
      <c r="F1232" s="2" t="s">
        <v>174</v>
      </c>
      <c r="G1232" s="2">
        <v>4</v>
      </c>
      <c r="H1232" s="2">
        <v>6</v>
      </c>
      <c r="I1232" s="2">
        <f>COUNTIFS($E$3:E1232,E1232,$H$3:H1232,H1232)</f>
        <v>2</v>
      </c>
      <c r="N1232" s="11">
        <v>1021201</v>
      </c>
      <c r="O1232" s="11">
        <f t="shared" si="38"/>
        <v>1021301</v>
      </c>
      <c r="P1232" s="11">
        <f t="shared" si="39"/>
        <v>1021401</v>
      </c>
      <c r="Q1232" s="11">
        <f t="shared" si="40"/>
        <v>1021501</v>
      </c>
    </row>
    <row r="1233" spans="1:17">
      <c r="A1233" s="11">
        <f t="shared" si="41"/>
        <v>70214603</v>
      </c>
      <c r="B1233" s="2" t="s">
        <v>1377</v>
      </c>
      <c r="D1233" s="2" t="str">
        <f>E1233&amp;(VLOOKUP(F1233,编号表!$E$1:$G$8,2,0))&amp;G1233&amp;"_"&amp;H1233&amp;"_"&amp;I1233</f>
        <v>21N4_6_3</v>
      </c>
      <c r="E1233" s="2">
        <v>21</v>
      </c>
      <c r="F1233" s="2" t="s">
        <v>174</v>
      </c>
      <c r="G1233" s="2">
        <v>4</v>
      </c>
      <c r="H1233" s="2">
        <v>6</v>
      </c>
      <c r="I1233" s="2">
        <f>COUNTIFS($E$3:E1233,E1233,$H$3:H1233,H1233)</f>
        <v>3</v>
      </c>
      <c r="N1233" s="11">
        <v>1021201</v>
      </c>
      <c r="O1233" s="11">
        <f t="shared" si="38"/>
        <v>1021301</v>
      </c>
      <c r="P1233" s="11">
        <f t="shared" si="39"/>
        <v>1021401</v>
      </c>
      <c r="Q1233" s="11">
        <f t="shared" si="40"/>
        <v>1021501</v>
      </c>
    </row>
    <row r="1234" spans="1:17">
      <c r="A1234" s="11">
        <f t="shared" si="41"/>
        <v>70214604</v>
      </c>
      <c r="B1234" s="2" t="s">
        <v>1378</v>
      </c>
      <c r="D1234" s="2" t="str">
        <f>E1234&amp;(VLOOKUP(F1234,编号表!$E$1:$G$8,2,0))&amp;G1234&amp;"_"&amp;H1234&amp;"_"&amp;I1234</f>
        <v>21N4_6_4</v>
      </c>
      <c r="E1234" s="2">
        <v>21</v>
      </c>
      <c r="F1234" s="2" t="s">
        <v>174</v>
      </c>
      <c r="G1234" s="2">
        <v>4</v>
      </c>
      <c r="H1234" s="2">
        <v>6</v>
      </c>
      <c r="I1234" s="2">
        <f>COUNTIFS($E$3:E1234,E1234,$H$3:H1234,H1234)</f>
        <v>4</v>
      </c>
      <c r="N1234" s="11">
        <v>1021201</v>
      </c>
      <c r="O1234" s="11">
        <f t="shared" si="38"/>
        <v>1021301</v>
      </c>
      <c r="P1234" s="11">
        <f t="shared" si="39"/>
        <v>1021401</v>
      </c>
      <c r="Q1234" s="11">
        <f t="shared" si="40"/>
        <v>1021501</v>
      </c>
    </row>
    <row r="1235" spans="1:17">
      <c r="A1235" s="11">
        <f t="shared" si="41"/>
        <v>70214605</v>
      </c>
      <c r="B1235" s="2" t="s">
        <v>1379</v>
      </c>
      <c r="D1235" s="2" t="str">
        <f>E1235&amp;(VLOOKUP(F1235,编号表!$E$1:$G$8,2,0))&amp;G1235&amp;"_"&amp;H1235&amp;"_"&amp;I1235</f>
        <v>21N4_6_5</v>
      </c>
      <c r="E1235" s="2">
        <v>21</v>
      </c>
      <c r="F1235" s="2" t="s">
        <v>174</v>
      </c>
      <c r="G1235" s="2">
        <v>4</v>
      </c>
      <c r="H1235" s="2">
        <v>6</v>
      </c>
      <c r="I1235" s="2">
        <f>COUNTIFS($E$3:E1235,E1235,$H$3:H1235,H1235)</f>
        <v>5</v>
      </c>
      <c r="N1235" s="11">
        <v>1021201</v>
      </c>
      <c r="O1235" s="11">
        <f t="shared" si="38"/>
        <v>1021301</v>
      </c>
      <c r="P1235" s="11">
        <f t="shared" si="39"/>
        <v>1021401</v>
      </c>
      <c r="Q1235" s="11">
        <f t="shared" si="40"/>
        <v>1021501</v>
      </c>
    </row>
    <row r="1236" spans="1:17">
      <c r="A1236" s="11">
        <f t="shared" si="41"/>
        <v>70213606</v>
      </c>
      <c r="B1236" s="2" t="s">
        <v>1380</v>
      </c>
      <c r="D1236" s="2" t="str">
        <f>E1236&amp;(VLOOKUP(F1236,编号表!$E$1:$G$8,2,0))&amp;G1236&amp;"_"&amp;H1236&amp;"_"&amp;I1236</f>
        <v>21N3_6_6</v>
      </c>
      <c r="E1236" s="2">
        <v>21</v>
      </c>
      <c r="F1236" s="2" t="s">
        <v>174</v>
      </c>
      <c r="G1236" s="2">
        <v>3</v>
      </c>
      <c r="H1236" s="2">
        <v>6</v>
      </c>
      <c r="I1236" s="2">
        <f>COUNTIFS($E$3:E1236,E1236,$H$3:H1236,H1236)</f>
        <v>6</v>
      </c>
      <c r="N1236" s="11">
        <v>1021201</v>
      </c>
      <c r="O1236" s="11">
        <f t="shared" si="38"/>
        <v>1021301</v>
      </c>
      <c r="P1236" s="11">
        <f t="shared" si="39"/>
        <v>1021401</v>
      </c>
      <c r="Q1236" s="11">
        <f t="shared" si="40"/>
        <v>1021501</v>
      </c>
    </row>
    <row r="1237" spans="1:17">
      <c r="A1237" s="11">
        <f t="shared" si="41"/>
        <v>70211607</v>
      </c>
      <c r="B1237" s="15" t="s">
        <v>1381</v>
      </c>
      <c r="D1237" s="2" t="str">
        <f>E1237&amp;(VLOOKUP(F1237,编号表!$E$1:$G$8,2,0))&amp;G1237&amp;"_"&amp;H1237&amp;"_"&amp;I1237</f>
        <v>21T1_6_7</v>
      </c>
      <c r="E1237" s="2">
        <v>21</v>
      </c>
      <c r="F1237" s="2" t="s">
        <v>190</v>
      </c>
      <c r="G1237" s="2">
        <v>1</v>
      </c>
      <c r="H1237" s="2">
        <v>6</v>
      </c>
      <c r="I1237" s="2">
        <f>COUNTIFS($E$3:E1237,E1237,$H$3:H1237,H1237)</f>
        <v>7</v>
      </c>
    </row>
    <row r="1238" spans="1:17">
      <c r="A1238" s="11">
        <f t="shared" si="41"/>
        <v>70213608</v>
      </c>
      <c r="B1238" s="16" t="s">
        <v>79</v>
      </c>
      <c r="C1238" s="2" t="s">
        <v>1382</v>
      </c>
      <c r="D1238" s="2" t="str">
        <f>E1238&amp;(VLOOKUP(F1238,编号表!$E$1:$G$8,2,0))&amp;G1238&amp;"_"&amp;H1238&amp;"_"&amp;I1238</f>
        <v>21T3_6_8</v>
      </c>
      <c r="E1238" s="2">
        <v>21</v>
      </c>
      <c r="F1238" s="2" t="s">
        <v>190</v>
      </c>
      <c r="G1238" s="2">
        <v>3</v>
      </c>
      <c r="H1238" s="2">
        <v>6</v>
      </c>
      <c r="I1238" s="2">
        <f>COUNTIFS($E$3:E1238,E1238,$H$3:H1238,H1238)</f>
        <v>8</v>
      </c>
      <c r="L1238" s="2">
        <v>143</v>
      </c>
    </row>
    <row r="1239" spans="1:17">
      <c r="A1239" s="11">
        <f t="shared" si="41"/>
        <v>70212701</v>
      </c>
      <c r="B1239" s="2" t="s">
        <v>1383</v>
      </c>
      <c r="D1239" s="2" t="str">
        <f>E1239&amp;(VLOOKUP(F1239,编号表!$E$1:$G$8,2,0))&amp;G1239&amp;"_"&amp;H1239&amp;"_"&amp;I1239</f>
        <v>21N2_7_1</v>
      </c>
      <c r="E1239" s="2">
        <v>21</v>
      </c>
      <c r="F1239" s="2" t="s">
        <v>174</v>
      </c>
      <c r="G1239" s="2">
        <v>2</v>
      </c>
      <c r="H1239" s="2">
        <v>7</v>
      </c>
      <c r="I1239" s="2">
        <f>COUNTIFS($E$3:E1239,E1239,$H$3:H1239,H1239)</f>
        <v>1</v>
      </c>
      <c r="N1239" s="11">
        <v>1021201</v>
      </c>
      <c r="O1239" s="11">
        <f t="shared" ref="O1239:O1247" si="42">N1239+100</f>
        <v>1021301</v>
      </c>
      <c r="P1239" s="11">
        <f t="shared" ref="P1239:P1247" si="43">O1239+100</f>
        <v>1021401</v>
      </c>
      <c r="Q1239" s="11">
        <f t="shared" ref="Q1239:Q1247" si="44">P1239+100</f>
        <v>1021501</v>
      </c>
    </row>
    <row r="1240" spans="1:17">
      <c r="A1240" s="11">
        <f t="shared" si="41"/>
        <v>70212702</v>
      </c>
      <c r="B1240" s="2" t="s">
        <v>1384</v>
      </c>
      <c r="D1240" s="2" t="str">
        <f>E1240&amp;(VLOOKUP(F1240,编号表!$E$1:$G$8,2,0))&amp;G1240&amp;"_"&amp;H1240&amp;"_"&amp;I1240</f>
        <v>21N2_7_2</v>
      </c>
      <c r="E1240" s="2">
        <v>21</v>
      </c>
      <c r="F1240" s="2" t="s">
        <v>174</v>
      </c>
      <c r="G1240" s="2">
        <v>2</v>
      </c>
      <c r="H1240" s="2">
        <v>7</v>
      </c>
      <c r="I1240" s="2">
        <f>COUNTIFS($E$3:E1240,E1240,$H$3:H1240,H1240)</f>
        <v>2</v>
      </c>
      <c r="N1240" s="11">
        <v>1021201</v>
      </c>
      <c r="O1240" s="11">
        <f t="shared" si="42"/>
        <v>1021301</v>
      </c>
      <c r="P1240" s="11">
        <f t="shared" si="43"/>
        <v>1021401</v>
      </c>
      <c r="Q1240" s="11">
        <f t="shared" si="44"/>
        <v>1021501</v>
      </c>
    </row>
    <row r="1241" spans="1:17">
      <c r="A1241" s="11">
        <f t="shared" si="41"/>
        <v>70212703</v>
      </c>
      <c r="B1241" s="2" t="s">
        <v>1385</v>
      </c>
      <c r="D1241" s="2" t="str">
        <f>E1241&amp;(VLOOKUP(F1241,编号表!$E$1:$G$8,2,0))&amp;G1241&amp;"_"&amp;H1241&amp;"_"&amp;I1241</f>
        <v>21N2_7_3</v>
      </c>
      <c r="E1241" s="2">
        <v>21</v>
      </c>
      <c r="F1241" s="2" t="s">
        <v>174</v>
      </c>
      <c r="G1241" s="2">
        <v>2</v>
      </c>
      <c r="H1241" s="2">
        <v>7</v>
      </c>
      <c r="I1241" s="2">
        <f>COUNTIFS($E$3:E1241,E1241,$H$3:H1241,H1241)</f>
        <v>3</v>
      </c>
      <c r="N1241" s="11">
        <v>1021201</v>
      </c>
      <c r="O1241" s="11">
        <f t="shared" si="42"/>
        <v>1021301</v>
      </c>
      <c r="P1241" s="11">
        <f t="shared" si="43"/>
        <v>1021401</v>
      </c>
      <c r="Q1241" s="11">
        <f t="shared" si="44"/>
        <v>1021501</v>
      </c>
    </row>
    <row r="1242" spans="1:17">
      <c r="A1242" s="11">
        <f t="shared" si="41"/>
        <v>70212704</v>
      </c>
      <c r="B1242" s="2" t="s">
        <v>1386</v>
      </c>
      <c r="D1242" s="2" t="str">
        <f>E1242&amp;(VLOOKUP(F1242,编号表!$E$1:$G$8,2,0))&amp;G1242&amp;"_"&amp;H1242&amp;"_"&amp;I1242</f>
        <v>21N2_7_4</v>
      </c>
      <c r="E1242" s="2">
        <v>21</v>
      </c>
      <c r="F1242" s="2" t="s">
        <v>174</v>
      </c>
      <c r="G1242" s="2">
        <v>2</v>
      </c>
      <c r="H1242" s="2">
        <v>7</v>
      </c>
      <c r="I1242" s="2">
        <f>COUNTIFS($E$3:E1242,E1242,$H$3:H1242,H1242)</f>
        <v>4</v>
      </c>
      <c r="N1242" s="11">
        <v>1021201</v>
      </c>
      <c r="O1242" s="11">
        <f t="shared" si="42"/>
        <v>1021301</v>
      </c>
      <c r="P1242" s="11">
        <f t="shared" si="43"/>
        <v>1021401</v>
      </c>
      <c r="Q1242" s="11">
        <f t="shared" si="44"/>
        <v>1021501</v>
      </c>
    </row>
    <row r="1243" spans="1:17">
      <c r="A1243" s="11">
        <f t="shared" si="41"/>
        <v>70212705</v>
      </c>
      <c r="B1243" s="2" t="s">
        <v>1387</v>
      </c>
      <c r="D1243" s="2" t="str">
        <f>E1243&amp;(VLOOKUP(F1243,编号表!$E$1:$G$8,2,0))&amp;G1243&amp;"_"&amp;H1243&amp;"_"&amp;I1243</f>
        <v>21N2_7_5</v>
      </c>
      <c r="E1243" s="2">
        <v>21</v>
      </c>
      <c r="F1243" s="2" t="s">
        <v>174</v>
      </c>
      <c r="G1243" s="2">
        <v>2</v>
      </c>
      <c r="H1243" s="2">
        <v>7</v>
      </c>
      <c r="I1243" s="2">
        <f>COUNTIFS($E$3:E1243,E1243,$H$3:H1243,H1243)</f>
        <v>5</v>
      </c>
      <c r="N1243" s="11">
        <v>1021201</v>
      </c>
      <c r="O1243" s="11">
        <f t="shared" si="42"/>
        <v>1021301</v>
      </c>
      <c r="P1243" s="11">
        <f t="shared" si="43"/>
        <v>1021401</v>
      </c>
      <c r="Q1243" s="11">
        <f t="shared" si="44"/>
        <v>1021501</v>
      </c>
    </row>
    <row r="1244" spans="1:17">
      <c r="A1244" s="11">
        <f t="shared" si="41"/>
        <v>70212706</v>
      </c>
      <c r="B1244" s="2" t="s">
        <v>1388</v>
      </c>
      <c r="D1244" s="2" t="str">
        <f>E1244&amp;(VLOOKUP(F1244,编号表!$E$1:$G$8,2,0))&amp;G1244&amp;"_"&amp;H1244&amp;"_"&amp;I1244</f>
        <v>21N2_7_6</v>
      </c>
      <c r="E1244" s="2">
        <v>21</v>
      </c>
      <c r="F1244" s="2" t="s">
        <v>174</v>
      </c>
      <c r="G1244" s="2">
        <v>2</v>
      </c>
      <c r="H1244" s="2">
        <v>7</v>
      </c>
      <c r="I1244" s="2">
        <f>COUNTIFS($E$3:E1244,E1244,$H$3:H1244,H1244)</f>
        <v>6</v>
      </c>
      <c r="N1244" s="11">
        <v>1021201</v>
      </c>
      <c r="O1244" s="11">
        <f t="shared" si="42"/>
        <v>1021301</v>
      </c>
      <c r="P1244" s="11">
        <f t="shared" si="43"/>
        <v>1021401</v>
      </c>
      <c r="Q1244" s="11">
        <f t="shared" si="44"/>
        <v>1021501</v>
      </c>
    </row>
    <row r="1245" spans="1:17">
      <c r="A1245" s="11">
        <f t="shared" si="41"/>
        <v>70212707</v>
      </c>
      <c r="B1245" s="2" t="s">
        <v>1389</v>
      </c>
      <c r="D1245" s="2" t="str">
        <f>E1245&amp;(VLOOKUP(F1245,编号表!$E$1:$G$8,2,0))&amp;G1245&amp;"_"&amp;H1245&amp;"_"&amp;I1245</f>
        <v>21N2_7_7</v>
      </c>
      <c r="E1245" s="2">
        <v>21</v>
      </c>
      <c r="F1245" s="2" t="s">
        <v>174</v>
      </c>
      <c r="G1245" s="2">
        <v>2</v>
      </c>
      <c r="H1245" s="2">
        <v>7</v>
      </c>
      <c r="I1245" s="2">
        <f>COUNTIFS($E$3:E1245,E1245,$H$3:H1245,H1245)</f>
        <v>7</v>
      </c>
      <c r="N1245" s="11">
        <v>1021201</v>
      </c>
      <c r="O1245" s="11">
        <f t="shared" si="42"/>
        <v>1021301</v>
      </c>
      <c r="P1245" s="11">
        <f t="shared" si="43"/>
        <v>1021401</v>
      </c>
      <c r="Q1245" s="11">
        <f t="shared" si="44"/>
        <v>1021501</v>
      </c>
    </row>
    <row r="1246" spans="1:17">
      <c r="A1246" s="11">
        <f t="shared" si="41"/>
        <v>70212708</v>
      </c>
      <c r="B1246" s="2" t="s">
        <v>1390</v>
      </c>
      <c r="D1246" s="2" t="str">
        <f>E1246&amp;(VLOOKUP(F1246,编号表!$E$1:$G$8,2,0))&amp;G1246&amp;"_"&amp;H1246&amp;"_"&amp;I1246</f>
        <v>21N2_7_8</v>
      </c>
      <c r="E1246" s="2">
        <v>21</v>
      </c>
      <c r="F1246" s="2" t="s">
        <v>174</v>
      </c>
      <c r="G1246" s="2">
        <v>2</v>
      </c>
      <c r="H1246" s="2">
        <v>7</v>
      </c>
      <c r="I1246" s="2">
        <f>COUNTIFS($E$3:E1246,E1246,$H$3:H1246,H1246)</f>
        <v>8</v>
      </c>
      <c r="N1246" s="11">
        <v>1021201</v>
      </c>
      <c r="O1246" s="11">
        <f t="shared" si="42"/>
        <v>1021301</v>
      </c>
      <c r="P1246" s="11">
        <f t="shared" si="43"/>
        <v>1021401</v>
      </c>
      <c r="Q1246" s="11">
        <f t="shared" si="44"/>
        <v>1021501</v>
      </c>
    </row>
    <row r="1247" spans="1:17">
      <c r="A1247" s="11">
        <f t="shared" si="41"/>
        <v>70212709</v>
      </c>
      <c r="B1247" s="2" t="s">
        <v>1391</v>
      </c>
      <c r="D1247" s="2" t="str">
        <f>E1247&amp;(VLOOKUP(F1247,编号表!$E$1:$G$8,2,0))&amp;G1247&amp;"_"&amp;H1247&amp;"_"&amp;I1247</f>
        <v>21N2_7_9</v>
      </c>
      <c r="E1247" s="2">
        <v>21</v>
      </c>
      <c r="F1247" s="2" t="s">
        <v>174</v>
      </c>
      <c r="G1247" s="2">
        <v>2</v>
      </c>
      <c r="H1247" s="2">
        <v>7</v>
      </c>
      <c r="I1247" s="2">
        <f>COUNTIFS($E$3:E1247,E1247,$H$3:H1247,H1247)</f>
        <v>9</v>
      </c>
      <c r="N1247" s="11">
        <v>1021201</v>
      </c>
      <c r="O1247" s="11">
        <f t="shared" si="42"/>
        <v>1021301</v>
      </c>
      <c r="P1247" s="11">
        <f t="shared" si="43"/>
        <v>1021401</v>
      </c>
      <c r="Q1247" s="11">
        <f t="shared" si="44"/>
        <v>1021501</v>
      </c>
    </row>
    <row r="1248" spans="1:17">
      <c r="A1248" s="11">
        <f t="shared" si="41"/>
        <v>70210001</v>
      </c>
      <c r="B1248" s="24" t="s">
        <v>1392</v>
      </c>
      <c r="D1248" s="2" t="str">
        <f>E1248&amp;(VLOOKUP(F1248,编号表!$E$1:$G$8,2,0))&amp;G1248&amp;"_"&amp;H1248&amp;"_"&amp;I1248</f>
        <v>21J0_0_1</v>
      </c>
      <c r="E1248" s="2">
        <v>21</v>
      </c>
      <c r="F1248" s="2" t="s">
        <v>222</v>
      </c>
      <c r="G1248" s="2">
        <v>0</v>
      </c>
      <c r="H1248" s="2">
        <v>0</v>
      </c>
      <c r="I1248" s="2">
        <f>COUNTIFS($E$3:E1248,E1248,$H$3:H1248,H1248)</f>
        <v>1</v>
      </c>
      <c r="J1248" s="2">
        <v>1</v>
      </c>
    </row>
    <row r="1249" spans="1:18">
      <c r="A1249" s="11">
        <f t="shared" si="41"/>
        <v>70223101</v>
      </c>
      <c r="B1249" s="16" t="s">
        <v>82</v>
      </c>
      <c r="C1249" s="2" t="s">
        <v>1393</v>
      </c>
      <c r="D1249" s="2" t="str">
        <f>E1249&amp;(VLOOKUP(F1249,编号表!$E$1:$G$8,2,0))&amp;G1249&amp;"_"&amp;H1249&amp;"_"&amp;I1249</f>
        <v>22T3_1_1</v>
      </c>
      <c r="E1249" s="2">
        <v>22</v>
      </c>
      <c r="F1249" s="2" t="s">
        <v>190</v>
      </c>
      <c r="G1249" s="2">
        <v>3</v>
      </c>
      <c r="H1249" s="2">
        <v>1</v>
      </c>
      <c r="I1249" s="2">
        <f>COUNTIFS($E$3:E1249,E1249,$H$3:H1249,H1249)</f>
        <v>1</v>
      </c>
      <c r="L1249" s="2">
        <v>145</v>
      </c>
    </row>
    <row r="1250" spans="1:18">
      <c r="A1250" s="11">
        <f t="shared" si="41"/>
        <v>70221102</v>
      </c>
      <c r="B1250" s="15" t="s">
        <v>1394</v>
      </c>
      <c r="D1250" s="2" t="str">
        <f>E1250&amp;(VLOOKUP(F1250,编号表!$E$1:$G$8,2,0))&amp;G1250&amp;"_"&amp;H1250&amp;"_"&amp;I1250</f>
        <v>22T1_1_2</v>
      </c>
      <c r="E1250" s="2">
        <v>22</v>
      </c>
      <c r="F1250" s="2" t="s">
        <v>190</v>
      </c>
      <c r="G1250" s="2">
        <v>1</v>
      </c>
      <c r="H1250" s="2">
        <v>1</v>
      </c>
      <c r="I1250" s="2">
        <f>COUNTIFS($E$3:E1250,E1250,$H$3:H1250,H1250)</f>
        <v>2</v>
      </c>
    </row>
    <row r="1251" spans="1:18">
      <c r="A1251" s="11">
        <f t="shared" si="41"/>
        <v>70223103</v>
      </c>
      <c r="B1251" s="2" t="s">
        <v>1395</v>
      </c>
      <c r="D1251" s="2" t="str">
        <f>E1251&amp;(VLOOKUP(F1251,编号表!$E$1:$G$8,2,0))&amp;G1251&amp;"_"&amp;H1251&amp;"_"&amp;I1251</f>
        <v>22N3_1_3</v>
      </c>
      <c r="E1251" s="2">
        <v>22</v>
      </c>
      <c r="F1251" s="2" t="s">
        <v>174</v>
      </c>
      <c r="G1251" s="2">
        <v>3</v>
      </c>
      <c r="H1251" s="2">
        <v>1</v>
      </c>
      <c r="I1251" s="2">
        <f>COUNTIFS($E$3:E1251,E1251,$H$3:H1251,H1251)</f>
        <v>3</v>
      </c>
      <c r="N1251" s="11">
        <v>1022201</v>
      </c>
      <c r="O1251" s="11">
        <f t="shared" ref="O1251:O1269" si="45">N1251+100</f>
        <v>1022301</v>
      </c>
      <c r="P1251" s="11">
        <f t="shared" ref="P1251:P1269" si="46">O1251+100</f>
        <v>1022401</v>
      </c>
      <c r="Q1251" s="11">
        <f t="shared" ref="Q1251:Q1269" si="47">P1251+100</f>
        <v>1022501</v>
      </c>
      <c r="R1251" s="11">
        <v>1022001</v>
      </c>
    </row>
    <row r="1252" spans="1:18">
      <c r="A1252" s="11">
        <f t="shared" si="41"/>
        <v>70224201</v>
      </c>
      <c r="B1252" s="2" t="s">
        <v>1396</v>
      </c>
      <c r="D1252" s="2" t="str">
        <f>E1252&amp;(VLOOKUP(F1252,编号表!$E$1:$G$8,2,0))&amp;G1252&amp;"_"&amp;H1252&amp;"_"&amp;I1252</f>
        <v>22N4_2_1</v>
      </c>
      <c r="E1252" s="2">
        <v>22</v>
      </c>
      <c r="F1252" s="2" t="s">
        <v>174</v>
      </c>
      <c r="G1252" s="2">
        <v>4</v>
      </c>
      <c r="H1252" s="2">
        <v>2</v>
      </c>
      <c r="I1252" s="2">
        <f>COUNTIFS($E$3:E1252,E1252,$H$3:H1252,H1252)</f>
        <v>1</v>
      </c>
      <c r="N1252" s="11">
        <v>1022201</v>
      </c>
      <c r="O1252" s="11">
        <f t="shared" si="45"/>
        <v>1022301</v>
      </c>
      <c r="P1252" s="11">
        <f t="shared" si="46"/>
        <v>1022401</v>
      </c>
      <c r="Q1252" s="11">
        <f t="shared" si="47"/>
        <v>1022501</v>
      </c>
      <c r="R1252" s="11">
        <v>1022101</v>
      </c>
    </row>
    <row r="1253" spans="1:18">
      <c r="A1253" s="11">
        <f t="shared" si="41"/>
        <v>70224202</v>
      </c>
      <c r="B1253" s="2" t="s">
        <v>1397</v>
      </c>
      <c r="D1253" s="2" t="str">
        <f>E1253&amp;(VLOOKUP(F1253,编号表!$E$1:$G$8,2,0))&amp;G1253&amp;"_"&amp;H1253&amp;"_"&amp;I1253</f>
        <v>22N4_2_2</v>
      </c>
      <c r="E1253" s="2">
        <v>22</v>
      </c>
      <c r="F1253" s="2" t="s">
        <v>174</v>
      </c>
      <c r="G1253" s="2">
        <v>4</v>
      </c>
      <c r="H1253" s="2">
        <v>2</v>
      </c>
      <c r="I1253" s="2">
        <f>COUNTIFS($E$3:E1253,E1253,$H$3:H1253,H1253)</f>
        <v>2</v>
      </c>
      <c r="N1253" s="11">
        <v>1022201</v>
      </c>
      <c r="O1253" s="11">
        <f t="shared" si="45"/>
        <v>1022301</v>
      </c>
      <c r="P1253" s="11">
        <f t="shared" si="46"/>
        <v>1022401</v>
      </c>
      <c r="Q1253" s="11">
        <f t="shared" si="47"/>
        <v>1022501</v>
      </c>
    </row>
    <row r="1254" spans="1:18">
      <c r="A1254" s="11">
        <f t="shared" si="41"/>
        <v>70224203</v>
      </c>
      <c r="B1254" s="2" t="s">
        <v>1398</v>
      </c>
      <c r="D1254" s="2" t="str">
        <f>E1254&amp;(VLOOKUP(F1254,编号表!$E$1:$G$8,2,0))&amp;G1254&amp;"_"&amp;H1254&amp;"_"&amp;I1254</f>
        <v>22N4_2_3</v>
      </c>
      <c r="E1254" s="2">
        <v>22</v>
      </c>
      <c r="F1254" s="2" t="s">
        <v>174</v>
      </c>
      <c r="G1254" s="2">
        <v>4</v>
      </c>
      <c r="H1254" s="2">
        <v>2</v>
      </c>
      <c r="I1254" s="2">
        <f>COUNTIFS($E$3:E1254,E1254,$H$3:H1254,H1254)</f>
        <v>3</v>
      </c>
      <c r="N1254" s="11">
        <v>1022201</v>
      </c>
      <c r="O1254" s="11">
        <f t="shared" si="45"/>
        <v>1022301</v>
      </c>
      <c r="P1254" s="11">
        <f t="shared" si="46"/>
        <v>1022401</v>
      </c>
      <c r="Q1254" s="11">
        <f t="shared" si="47"/>
        <v>1022501</v>
      </c>
    </row>
    <row r="1255" spans="1:18">
      <c r="A1255" s="11">
        <f t="shared" si="41"/>
        <v>70224204</v>
      </c>
      <c r="B1255" s="2" t="s">
        <v>1399</v>
      </c>
      <c r="D1255" s="2" t="str">
        <f>E1255&amp;(VLOOKUP(F1255,编号表!$E$1:$G$8,2,0))&amp;G1255&amp;"_"&amp;H1255&amp;"_"&amp;I1255</f>
        <v>22N4_2_4</v>
      </c>
      <c r="E1255" s="2">
        <v>22</v>
      </c>
      <c r="F1255" s="2" t="s">
        <v>174</v>
      </c>
      <c r="G1255" s="2">
        <v>4</v>
      </c>
      <c r="H1255" s="2">
        <v>2</v>
      </c>
      <c r="I1255" s="2">
        <f>COUNTIFS($E$3:E1255,E1255,$H$3:H1255,H1255)</f>
        <v>4</v>
      </c>
      <c r="N1255" s="11">
        <v>1022201</v>
      </c>
      <c r="O1255" s="11">
        <f t="shared" si="45"/>
        <v>1022301</v>
      </c>
      <c r="P1255" s="11">
        <f t="shared" si="46"/>
        <v>1022401</v>
      </c>
      <c r="Q1255" s="11">
        <f t="shared" si="47"/>
        <v>1022501</v>
      </c>
    </row>
    <row r="1256" spans="1:18">
      <c r="A1256" s="11">
        <f t="shared" si="41"/>
        <v>70224205</v>
      </c>
      <c r="B1256" s="2" t="s">
        <v>1400</v>
      </c>
      <c r="D1256" s="2" t="str">
        <f>E1256&amp;(VLOOKUP(F1256,编号表!$E$1:$G$8,2,0))&amp;G1256&amp;"_"&amp;H1256&amp;"_"&amp;I1256</f>
        <v>22N4_2_5</v>
      </c>
      <c r="E1256" s="2">
        <v>22</v>
      </c>
      <c r="F1256" s="2" t="s">
        <v>174</v>
      </c>
      <c r="G1256" s="2">
        <v>4</v>
      </c>
      <c r="H1256" s="2">
        <v>2</v>
      </c>
      <c r="I1256" s="2">
        <f>COUNTIFS($E$3:E1256,E1256,$H$3:H1256,H1256)</f>
        <v>5</v>
      </c>
      <c r="N1256" s="11">
        <v>1022201</v>
      </c>
      <c r="O1256" s="11">
        <f t="shared" si="45"/>
        <v>1022301</v>
      </c>
      <c r="P1256" s="11">
        <f t="shared" si="46"/>
        <v>1022401</v>
      </c>
      <c r="Q1256" s="11">
        <f t="shared" si="47"/>
        <v>1022501</v>
      </c>
    </row>
    <row r="1257" spans="1:18">
      <c r="A1257" s="11">
        <f t="shared" si="41"/>
        <v>70224301</v>
      </c>
      <c r="B1257" s="2" t="s">
        <v>1401</v>
      </c>
      <c r="D1257" s="2" t="str">
        <f>E1257&amp;(VLOOKUP(F1257,编号表!$E$1:$G$8,2,0))&amp;G1257&amp;"_"&amp;H1257&amp;"_"&amp;I1257</f>
        <v>22N4_3_1</v>
      </c>
      <c r="E1257" s="2">
        <v>22</v>
      </c>
      <c r="F1257" s="2" t="s">
        <v>174</v>
      </c>
      <c r="G1257" s="2">
        <v>4</v>
      </c>
      <c r="H1257" s="2">
        <v>3</v>
      </c>
      <c r="I1257" s="2">
        <f>COUNTIFS($E$3:E1257,E1257,$H$3:H1257,H1257)</f>
        <v>1</v>
      </c>
      <c r="N1257" s="11">
        <v>1022201</v>
      </c>
      <c r="O1257" s="11">
        <f t="shared" si="45"/>
        <v>1022301</v>
      </c>
      <c r="P1257" s="11">
        <f t="shared" si="46"/>
        <v>1022401</v>
      </c>
      <c r="Q1257" s="11">
        <f t="shared" si="47"/>
        <v>1022501</v>
      </c>
    </row>
    <row r="1258" spans="1:18">
      <c r="A1258" s="11">
        <f t="shared" si="41"/>
        <v>70224302</v>
      </c>
      <c r="B1258" s="2" t="s">
        <v>1402</v>
      </c>
      <c r="D1258" s="2" t="str">
        <f>E1258&amp;(VLOOKUP(F1258,编号表!$E$1:$G$8,2,0))&amp;G1258&amp;"_"&amp;H1258&amp;"_"&amp;I1258</f>
        <v>22N4_3_2</v>
      </c>
      <c r="E1258" s="2">
        <v>22</v>
      </c>
      <c r="F1258" s="2" t="s">
        <v>174</v>
      </c>
      <c r="G1258" s="2">
        <v>4</v>
      </c>
      <c r="H1258" s="2">
        <v>3</v>
      </c>
      <c r="I1258" s="2">
        <f>COUNTIFS($E$3:E1258,E1258,$H$3:H1258,H1258)</f>
        <v>2</v>
      </c>
      <c r="N1258" s="11">
        <v>1022201</v>
      </c>
      <c r="O1258" s="11">
        <f t="shared" si="45"/>
        <v>1022301</v>
      </c>
      <c r="P1258" s="11">
        <f t="shared" si="46"/>
        <v>1022401</v>
      </c>
      <c r="Q1258" s="11">
        <f t="shared" si="47"/>
        <v>1022501</v>
      </c>
    </row>
    <row r="1259" spans="1:18">
      <c r="A1259" s="11">
        <f t="shared" si="41"/>
        <v>70222303</v>
      </c>
      <c r="B1259" s="2" t="s">
        <v>1403</v>
      </c>
      <c r="D1259" s="2" t="str">
        <f>E1259&amp;(VLOOKUP(F1259,编号表!$E$1:$G$8,2,0))&amp;G1259&amp;"_"&amp;H1259&amp;"_"&amp;I1259</f>
        <v>22N2_3_3</v>
      </c>
      <c r="E1259" s="2">
        <v>22</v>
      </c>
      <c r="F1259" s="2" t="s">
        <v>174</v>
      </c>
      <c r="G1259" s="2">
        <v>2</v>
      </c>
      <c r="H1259" s="2">
        <v>3</v>
      </c>
      <c r="I1259" s="2">
        <f>COUNTIFS($E$3:E1259,E1259,$H$3:H1259,H1259)</f>
        <v>3</v>
      </c>
      <c r="N1259" s="11">
        <v>1022201</v>
      </c>
      <c r="O1259" s="11">
        <f t="shared" si="45"/>
        <v>1022301</v>
      </c>
      <c r="P1259" s="11">
        <f t="shared" si="46"/>
        <v>1022401</v>
      </c>
      <c r="Q1259" s="11">
        <f t="shared" si="47"/>
        <v>1022501</v>
      </c>
    </row>
    <row r="1260" spans="1:18">
      <c r="A1260" s="11">
        <f t="shared" si="41"/>
        <v>70224304</v>
      </c>
      <c r="B1260" s="2" t="s">
        <v>1404</v>
      </c>
      <c r="D1260" s="2" t="str">
        <f>E1260&amp;(VLOOKUP(F1260,编号表!$E$1:$G$8,2,0))&amp;G1260&amp;"_"&amp;H1260&amp;"_"&amp;I1260</f>
        <v>22N4_3_4</v>
      </c>
      <c r="E1260" s="2">
        <v>22</v>
      </c>
      <c r="F1260" s="2" t="s">
        <v>174</v>
      </c>
      <c r="G1260" s="2">
        <v>4</v>
      </c>
      <c r="H1260" s="2">
        <v>3</v>
      </c>
      <c r="I1260" s="2">
        <f>COUNTIFS($E$3:E1260,E1260,$H$3:H1260,H1260)</f>
        <v>4</v>
      </c>
      <c r="N1260" s="11">
        <v>1022201</v>
      </c>
      <c r="O1260" s="11">
        <f t="shared" si="45"/>
        <v>1022301</v>
      </c>
      <c r="P1260" s="11">
        <f t="shared" si="46"/>
        <v>1022401</v>
      </c>
      <c r="Q1260" s="11">
        <f t="shared" si="47"/>
        <v>1022501</v>
      </c>
    </row>
    <row r="1261" spans="1:18">
      <c r="A1261" s="11">
        <f t="shared" si="41"/>
        <v>70224305</v>
      </c>
      <c r="B1261" s="2" t="s">
        <v>1405</v>
      </c>
      <c r="D1261" s="2" t="str">
        <f>E1261&amp;(VLOOKUP(F1261,编号表!$E$1:$G$8,2,0))&amp;G1261&amp;"_"&amp;H1261&amp;"_"&amp;I1261</f>
        <v>22N4_3_5</v>
      </c>
      <c r="E1261" s="2">
        <v>22</v>
      </c>
      <c r="F1261" s="2" t="s">
        <v>174</v>
      </c>
      <c r="G1261" s="2">
        <v>4</v>
      </c>
      <c r="H1261" s="2">
        <v>3</v>
      </c>
      <c r="I1261" s="2">
        <f>COUNTIFS($E$3:E1261,E1261,$H$3:H1261,H1261)</f>
        <v>5</v>
      </c>
      <c r="N1261" s="11">
        <v>1022201</v>
      </c>
      <c r="O1261" s="11">
        <f t="shared" si="45"/>
        <v>1022301</v>
      </c>
      <c r="P1261" s="11">
        <f t="shared" si="46"/>
        <v>1022401</v>
      </c>
      <c r="Q1261" s="11">
        <f t="shared" si="47"/>
        <v>1022501</v>
      </c>
    </row>
    <row r="1262" spans="1:18">
      <c r="A1262" s="11">
        <f t="shared" si="41"/>
        <v>70224306</v>
      </c>
      <c r="B1262" s="2" t="s">
        <v>1406</v>
      </c>
      <c r="D1262" s="2" t="str">
        <f>E1262&amp;(VLOOKUP(F1262,编号表!$E$1:$G$8,2,0))&amp;G1262&amp;"_"&amp;H1262&amp;"_"&amp;I1262</f>
        <v>22N4_3_6</v>
      </c>
      <c r="E1262" s="2">
        <v>22</v>
      </c>
      <c r="F1262" s="2" t="s">
        <v>174</v>
      </c>
      <c r="G1262" s="2">
        <v>4</v>
      </c>
      <c r="H1262" s="2">
        <v>3</v>
      </c>
      <c r="I1262" s="2">
        <f>COUNTIFS($E$3:E1262,E1262,$H$3:H1262,H1262)</f>
        <v>6</v>
      </c>
      <c r="N1262" s="11">
        <v>1022201</v>
      </c>
      <c r="O1262" s="11">
        <f t="shared" si="45"/>
        <v>1022301</v>
      </c>
      <c r="P1262" s="11">
        <f t="shared" si="46"/>
        <v>1022401</v>
      </c>
      <c r="Q1262" s="11">
        <f t="shared" si="47"/>
        <v>1022501</v>
      </c>
    </row>
    <row r="1263" spans="1:18">
      <c r="A1263" s="11">
        <f t="shared" si="41"/>
        <v>70223307</v>
      </c>
      <c r="B1263" s="2" t="s">
        <v>1407</v>
      </c>
      <c r="D1263" s="2" t="str">
        <f>E1263&amp;(VLOOKUP(F1263,编号表!$E$1:$G$8,2,0))&amp;G1263&amp;"_"&amp;H1263&amp;"_"&amp;I1263</f>
        <v>22N3_3_7</v>
      </c>
      <c r="E1263" s="2">
        <v>22</v>
      </c>
      <c r="F1263" s="2" t="s">
        <v>174</v>
      </c>
      <c r="G1263" s="2">
        <v>3</v>
      </c>
      <c r="H1263" s="2">
        <v>3</v>
      </c>
      <c r="I1263" s="2">
        <f>COUNTIFS($E$3:E1263,E1263,$H$3:H1263,H1263)</f>
        <v>7</v>
      </c>
      <c r="N1263" s="11">
        <v>1022201</v>
      </c>
      <c r="O1263" s="11">
        <f t="shared" si="45"/>
        <v>1022301</v>
      </c>
      <c r="P1263" s="11">
        <f t="shared" si="46"/>
        <v>1022401</v>
      </c>
      <c r="Q1263" s="11">
        <f t="shared" si="47"/>
        <v>1022501</v>
      </c>
    </row>
    <row r="1264" spans="1:18">
      <c r="A1264" s="11">
        <f t="shared" si="41"/>
        <v>70224308</v>
      </c>
      <c r="B1264" s="2" t="s">
        <v>1408</v>
      </c>
      <c r="D1264" s="2" t="str">
        <f>E1264&amp;(VLOOKUP(F1264,编号表!$E$1:$G$8,2,0))&amp;G1264&amp;"_"&amp;H1264&amp;"_"&amp;I1264</f>
        <v>22N4_3_8</v>
      </c>
      <c r="E1264" s="2">
        <v>22</v>
      </c>
      <c r="F1264" s="2" t="s">
        <v>174</v>
      </c>
      <c r="G1264" s="2">
        <v>4</v>
      </c>
      <c r="H1264" s="2">
        <v>3</v>
      </c>
      <c r="I1264" s="2">
        <f>COUNTIFS($E$3:E1264,E1264,$H$3:H1264,H1264)</f>
        <v>8</v>
      </c>
      <c r="N1264" s="11">
        <v>1022201</v>
      </c>
      <c r="O1264" s="11">
        <f t="shared" si="45"/>
        <v>1022301</v>
      </c>
      <c r="P1264" s="11">
        <f t="shared" si="46"/>
        <v>1022401</v>
      </c>
      <c r="Q1264" s="11">
        <f t="shared" si="47"/>
        <v>1022501</v>
      </c>
    </row>
    <row r="1265" spans="1:17">
      <c r="A1265" s="11">
        <f t="shared" si="41"/>
        <v>70228309</v>
      </c>
      <c r="B1265" s="2" t="s">
        <v>1409</v>
      </c>
      <c r="D1265" s="2" t="str">
        <f>E1265&amp;(VLOOKUP(F1265,编号表!$E$1:$G$8,2,0))&amp;G1265&amp;"_"&amp;H1265&amp;"_"&amp;I1265</f>
        <v>22N8_3_9</v>
      </c>
      <c r="E1265" s="2">
        <v>22</v>
      </c>
      <c r="F1265" s="2" t="s">
        <v>174</v>
      </c>
      <c r="G1265" s="2">
        <v>8</v>
      </c>
      <c r="H1265" s="2">
        <v>3</v>
      </c>
      <c r="I1265" s="2">
        <f>COUNTIFS($E$3:E1265,E1265,$H$3:H1265,H1265)</f>
        <v>9</v>
      </c>
      <c r="N1265" s="11">
        <v>1022201</v>
      </c>
      <c r="O1265" s="11">
        <f t="shared" si="45"/>
        <v>1022301</v>
      </c>
      <c r="P1265" s="11">
        <f t="shared" si="46"/>
        <v>1022401</v>
      </c>
      <c r="Q1265" s="11">
        <f t="shared" si="47"/>
        <v>1022501</v>
      </c>
    </row>
    <row r="1266" spans="1:17">
      <c r="A1266" s="11">
        <f t="shared" si="41"/>
        <v>70224401</v>
      </c>
      <c r="B1266" s="2" t="s">
        <v>1410</v>
      </c>
      <c r="D1266" s="2" t="str">
        <f>E1266&amp;(VLOOKUP(F1266,编号表!$E$1:$G$8,2,0))&amp;G1266&amp;"_"&amp;H1266&amp;"_"&amp;I1266</f>
        <v>22N4_4_1</v>
      </c>
      <c r="E1266" s="2">
        <v>22</v>
      </c>
      <c r="F1266" s="2" t="s">
        <v>174</v>
      </c>
      <c r="G1266" s="2">
        <v>4</v>
      </c>
      <c r="H1266" s="2">
        <v>4</v>
      </c>
      <c r="I1266" s="2">
        <f>COUNTIFS($E$3:E1266,E1266,$H$3:H1266,H1266)</f>
        <v>1</v>
      </c>
      <c r="N1266" s="11">
        <v>1022201</v>
      </c>
      <c r="O1266" s="11">
        <f t="shared" si="45"/>
        <v>1022301</v>
      </c>
      <c r="P1266" s="11">
        <f t="shared" si="46"/>
        <v>1022401</v>
      </c>
      <c r="Q1266" s="11">
        <f t="shared" si="47"/>
        <v>1022501</v>
      </c>
    </row>
    <row r="1267" spans="1:17">
      <c r="A1267" s="11">
        <f t="shared" si="41"/>
        <v>70223402</v>
      </c>
      <c r="B1267" s="2" t="s">
        <v>1411</v>
      </c>
      <c r="D1267" s="2" t="str">
        <f>E1267&amp;(VLOOKUP(F1267,编号表!$E$1:$G$8,2,0))&amp;G1267&amp;"_"&amp;H1267&amp;"_"&amp;I1267</f>
        <v>22N3_4_2</v>
      </c>
      <c r="E1267" s="2">
        <v>22</v>
      </c>
      <c r="F1267" s="2" t="s">
        <v>174</v>
      </c>
      <c r="G1267" s="2">
        <v>3</v>
      </c>
      <c r="H1267" s="2">
        <v>4</v>
      </c>
      <c r="I1267" s="2">
        <f>COUNTIFS($E$3:E1267,E1267,$H$3:H1267,H1267)</f>
        <v>2</v>
      </c>
      <c r="N1267" s="11">
        <v>1022201</v>
      </c>
      <c r="O1267" s="11">
        <f t="shared" si="45"/>
        <v>1022301</v>
      </c>
      <c r="P1267" s="11">
        <f t="shared" si="46"/>
        <v>1022401</v>
      </c>
      <c r="Q1267" s="11">
        <f t="shared" si="47"/>
        <v>1022501</v>
      </c>
    </row>
    <row r="1268" spans="1:17">
      <c r="A1268" s="11">
        <f t="shared" si="41"/>
        <v>70224403</v>
      </c>
      <c r="B1268" s="2" t="s">
        <v>1412</v>
      </c>
      <c r="D1268" s="2" t="str">
        <f>E1268&amp;(VLOOKUP(F1268,编号表!$E$1:$G$8,2,0))&amp;G1268&amp;"_"&amp;H1268&amp;"_"&amp;I1268</f>
        <v>22N4_4_3</v>
      </c>
      <c r="E1268" s="2">
        <v>22</v>
      </c>
      <c r="F1268" s="2" t="s">
        <v>174</v>
      </c>
      <c r="G1268" s="2">
        <v>4</v>
      </c>
      <c r="H1268" s="2">
        <v>4</v>
      </c>
      <c r="I1268" s="2">
        <f>COUNTIFS($E$3:E1268,E1268,$H$3:H1268,H1268)</f>
        <v>3</v>
      </c>
      <c r="N1268" s="11">
        <v>1022201</v>
      </c>
      <c r="O1268" s="11">
        <f t="shared" si="45"/>
        <v>1022301</v>
      </c>
      <c r="P1268" s="11">
        <f t="shared" si="46"/>
        <v>1022401</v>
      </c>
      <c r="Q1268" s="11">
        <f t="shared" si="47"/>
        <v>1022501</v>
      </c>
    </row>
    <row r="1269" spans="1:17">
      <c r="A1269" s="11">
        <f t="shared" si="41"/>
        <v>70224404</v>
      </c>
      <c r="B1269" s="2" t="s">
        <v>1413</v>
      </c>
      <c r="D1269" s="2" t="str">
        <f>E1269&amp;(VLOOKUP(F1269,编号表!$E$1:$G$8,2,0))&amp;G1269&amp;"_"&amp;H1269&amp;"_"&amp;I1269</f>
        <v>22N4_4_4</v>
      </c>
      <c r="E1269" s="2">
        <v>22</v>
      </c>
      <c r="F1269" s="2" t="s">
        <v>174</v>
      </c>
      <c r="G1269" s="2">
        <v>4</v>
      </c>
      <c r="H1269" s="2">
        <v>4</v>
      </c>
      <c r="I1269" s="2">
        <f>COUNTIFS($E$3:E1269,E1269,$H$3:H1269,H1269)</f>
        <v>4</v>
      </c>
      <c r="N1269" s="11">
        <v>1022201</v>
      </c>
      <c r="O1269" s="11">
        <f t="shared" si="45"/>
        <v>1022301</v>
      </c>
      <c r="P1269" s="11">
        <f t="shared" si="46"/>
        <v>1022401</v>
      </c>
      <c r="Q1269" s="11">
        <f t="shared" si="47"/>
        <v>1022501</v>
      </c>
    </row>
    <row r="1270" spans="1:17">
      <c r="A1270" s="11">
        <f t="shared" si="41"/>
        <v>70221405</v>
      </c>
      <c r="B1270" s="15" t="s">
        <v>1382</v>
      </c>
      <c r="D1270" s="2" t="str">
        <f>E1270&amp;(VLOOKUP(F1270,编号表!$E$1:$G$8,2,0))&amp;G1270&amp;"_"&amp;H1270&amp;"_"&amp;I1270</f>
        <v>22T1_4_5</v>
      </c>
      <c r="E1270" s="2">
        <v>22</v>
      </c>
      <c r="F1270" s="2" t="s">
        <v>190</v>
      </c>
      <c r="G1270" s="2">
        <v>1</v>
      </c>
      <c r="H1270" s="2">
        <v>4</v>
      </c>
      <c r="I1270" s="2">
        <f>COUNTIFS($E$3:E1270,E1270,$H$3:H1270,H1270)</f>
        <v>5</v>
      </c>
      <c r="K1270" s="2">
        <v>1</v>
      </c>
    </row>
    <row r="1271" spans="1:17">
      <c r="A1271" s="11">
        <f t="shared" si="41"/>
        <v>70223406</v>
      </c>
      <c r="B1271" s="16" t="s">
        <v>76</v>
      </c>
      <c r="C1271" s="2" t="s">
        <v>1381</v>
      </c>
      <c r="D1271" s="2" t="str">
        <f>E1271&amp;(VLOOKUP(F1271,编号表!$E$1:$G$8,2,0))&amp;G1271&amp;"_"&amp;H1271&amp;"_"&amp;I1271</f>
        <v>22T3_4_6</v>
      </c>
      <c r="E1271" s="2">
        <v>22</v>
      </c>
      <c r="F1271" s="2" t="s">
        <v>190</v>
      </c>
      <c r="G1271" s="2">
        <v>3</v>
      </c>
      <c r="H1271" s="2">
        <v>4</v>
      </c>
      <c r="I1271" s="2">
        <f>COUNTIFS($E$3:E1271,E1271,$H$3:H1271,H1271)</f>
        <v>6</v>
      </c>
      <c r="J1271" s="14"/>
      <c r="L1271" s="2">
        <v>144</v>
      </c>
    </row>
    <row r="1272" spans="1:17">
      <c r="A1272" s="11">
        <f t="shared" si="41"/>
        <v>70224407</v>
      </c>
      <c r="B1272" s="2" t="s">
        <v>1414</v>
      </c>
      <c r="D1272" s="2" t="str">
        <f>E1272&amp;(VLOOKUP(F1272,编号表!$E$1:$G$8,2,0))&amp;G1272&amp;"_"&amp;H1272&amp;"_"&amp;I1272</f>
        <v>22N4_4_7</v>
      </c>
      <c r="E1272" s="2">
        <v>22</v>
      </c>
      <c r="F1272" s="2" t="s">
        <v>174</v>
      </c>
      <c r="G1272" s="2">
        <v>4</v>
      </c>
      <c r="H1272" s="2">
        <v>4</v>
      </c>
      <c r="I1272" s="2">
        <f>COUNTIFS($E$3:E1272,E1272,$H$3:H1272,H1272)</f>
        <v>7</v>
      </c>
      <c r="J1272" s="14"/>
      <c r="N1272" s="11">
        <v>1022201</v>
      </c>
      <c r="O1272" s="11">
        <f t="shared" ref="O1272:O1292" si="48">N1272+100</f>
        <v>1022301</v>
      </c>
      <c r="P1272" s="11">
        <f t="shared" ref="P1272:P1292" si="49">O1272+100</f>
        <v>1022401</v>
      </c>
      <c r="Q1272" s="11">
        <f t="shared" ref="Q1272:Q1292" si="50">P1272+100</f>
        <v>1022501</v>
      </c>
    </row>
    <row r="1273" spans="1:17">
      <c r="A1273" s="11">
        <f t="shared" si="41"/>
        <v>70222408</v>
      </c>
      <c r="B1273" s="2" t="s">
        <v>1415</v>
      </c>
      <c r="D1273" s="2" t="str">
        <f>E1273&amp;(VLOOKUP(F1273,编号表!$E$1:$G$8,2,0))&amp;G1273&amp;"_"&amp;H1273&amp;"_"&amp;I1273</f>
        <v>22N2_4_8</v>
      </c>
      <c r="E1273" s="2">
        <v>22</v>
      </c>
      <c r="F1273" s="2" t="s">
        <v>174</v>
      </c>
      <c r="G1273" s="2">
        <v>2</v>
      </c>
      <c r="H1273" s="2">
        <v>4</v>
      </c>
      <c r="I1273" s="2">
        <f>COUNTIFS($E$3:E1273,E1273,$H$3:H1273,H1273)</f>
        <v>8</v>
      </c>
      <c r="J1273" s="14"/>
      <c r="N1273" s="11">
        <v>1022201</v>
      </c>
      <c r="O1273" s="11">
        <f t="shared" si="48"/>
        <v>1022301</v>
      </c>
      <c r="P1273" s="11">
        <f t="shared" si="49"/>
        <v>1022401</v>
      </c>
      <c r="Q1273" s="11">
        <f t="shared" si="50"/>
        <v>1022501</v>
      </c>
    </row>
    <row r="1274" spans="1:17">
      <c r="A1274" s="11">
        <f t="shared" si="41"/>
        <v>70223409</v>
      </c>
      <c r="B1274" s="2" t="s">
        <v>1416</v>
      </c>
      <c r="D1274" s="2" t="str">
        <f>E1274&amp;(VLOOKUP(F1274,编号表!$E$1:$G$8,2,0))&amp;G1274&amp;"_"&amp;H1274&amp;"_"&amp;I1274</f>
        <v>22N3_4_9</v>
      </c>
      <c r="E1274" s="2">
        <v>22</v>
      </c>
      <c r="F1274" s="2" t="s">
        <v>174</v>
      </c>
      <c r="G1274" s="2">
        <v>3</v>
      </c>
      <c r="H1274" s="2">
        <v>4</v>
      </c>
      <c r="I1274" s="2">
        <f>COUNTIFS($E$3:E1274,E1274,$H$3:H1274,H1274)</f>
        <v>9</v>
      </c>
      <c r="J1274" s="14"/>
      <c r="N1274" s="11">
        <v>1022201</v>
      </c>
      <c r="O1274" s="11">
        <f t="shared" si="48"/>
        <v>1022301</v>
      </c>
      <c r="P1274" s="11">
        <f t="shared" si="49"/>
        <v>1022401</v>
      </c>
      <c r="Q1274" s="11">
        <f t="shared" si="50"/>
        <v>1022501</v>
      </c>
    </row>
    <row r="1275" spans="1:17">
      <c r="A1275" s="11">
        <f t="shared" si="41"/>
        <v>70225410</v>
      </c>
      <c r="B1275" s="2" t="s">
        <v>1417</v>
      </c>
      <c r="D1275" s="2" t="str">
        <f>E1275&amp;(VLOOKUP(F1275,编号表!$E$1:$G$8,2,0))&amp;G1275&amp;"_"&amp;H1275&amp;"_"&amp;I1275</f>
        <v>22N5_4_10</v>
      </c>
      <c r="E1275" s="2">
        <v>22</v>
      </c>
      <c r="F1275" s="2" t="s">
        <v>174</v>
      </c>
      <c r="G1275" s="2">
        <v>5</v>
      </c>
      <c r="H1275" s="2">
        <v>4</v>
      </c>
      <c r="I1275" s="2">
        <f>COUNTIFS($E$3:E1275,E1275,$H$3:H1275,H1275)</f>
        <v>10</v>
      </c>
      <c r="J1275" s="14"/>
      <c r="N1275" s="11">
        <v>1022201</v>
      </c>
      <c r="O1275" s="11">
        <f t="shared" si="48"/>
        <v>1022301</v>
      </c>
      <c r="P1275" s="11">
        <f t="shared" si="49"/>
        <v>1022401</v>
      </c>
      <c r="Q1275" s="11">
        <f t="shared" si="50"/>
        <v>1022501</v>
      </c>
    </row>
    <row r="1276" spans="1:17">
      <c r="A1276" s="11">
        <f t="shared" ref="A1276:A1339" si="51">70000000+E1276*10000+G1276*1000+H1276*100+I1276</f>
        <v>70224501</v>
      </c>
      <c r="B1276" s="2" t="s">
        <v>1418</v>
      </c>
      <c r="D1276" s="2" t="str">
        <f>E1276&amp;(VLOOKUP(F1276,编号表!$E$1:$G$8,2,0))&amp;G1276&amp;"_"&amp;H1276&amp;"_"&amp;I1276</f>
        <v>22N4_5_1</v>
      </c>
      <c r="E1276" s="2">
        <v>22</v>
      </c>
      <c r="F1276" s="2" t="s">
        <v>174</v>
      </c>
      <c r="G1276" s="2">
        <v>4</v>
      </c>
      <c r="H1276" s="2">
        <v>5</v>
      </c>
      <c r="I1276" s="2">
        <f>COUNTIFS($E$3:E1276,E1276,$H$3:H1276,H1276)</f>
        <v>1</v>
      </c>
      <c r="J1276" s="14"/>
      <c r="N1276" s="11">
        <v>1022201</v>
      </c>
      <c r="O1276" s="11">
        <f t="shared" si="48"/>
        <v>1022301</v>
      </c>
      <c r="P1276" s="11">
        <f t="shared" si="49"/>
        <v>1022401</v>
      </c>
      <c r="Q1276" s="11">
        <f t="shared" si="50"/>
        <v>1022501</v>
      </c>
    </row>
    <row r="1277" spans="1:17">
      <c r="A1277" s="11">
        <f t="shared" si="51"/>
        <v>70224502</v>
      </c>
      <c r="B1277" s="2" t="s">
        <v>1419</v>
      </c>
      <c r="D1277" s="2" t="str">
        <f>E1277&amp;(VLOOKUP(F1277,编号表!$E$1:$G$8,2,0))&amp;G1277&amp;"_"&amp;H1277&amp;"_"&amp;I1277</f>
        <v>22N4_5_2</v>
      </c>
      <c r="E1277" s="2">
        <v>22</v>
      </c>
      <c r="F1277" s="2" t="s">
        <v>174</v>
      </c>
      <c r="G1277" s="2">
        <v>4</v>
      </c>
      <c r="H1277" s="2">
        <v>5</v>
      </c>
      <c r="I1277" s="2">
        <f>COUNTIFS($E$3:E1277,E1277,$H$3:H1277,H1277)</f>
        <v>2</v>
      </c>
      <c r="J1277" s="14"/>
      <c r="N1277" s="11">
        <v>1022201</v>
      </c>
      <c r="O1277" s="11">
        <f t="shared" si="48"/>
        <v>1022301</v>
      </c>
      <c r="P1277" s="11">
        <f t="shared" si="49"/>
        <v>1022401</v>
      </c>
      <c r="Q1277" s="11">
        <f t="shared" si="50"/>
        <v>1022501</v>
      </c>
    </row>
    <row r="1278" spans="1:17">
      <c r="A1278" s="11">
        <f t="shared" si="51"/>
        <v>70224503</v>
      </c>
      <c r="B1278" s="2" t="s">
        <v>1420</v>
      </c>
      <c r="D1278" s="2" t="str">
        <f>E1278&amp;(VLOOKUP(F1278,编号表!$E$1:$G$8,2,0))&amp;G1278&amp;"_"&amp;H1278&amp;"_"&amp;I1278</f>
        <v>22N4_5_3</v>
      </c>
      <c r="E1278" s="2">
        <v>22</v>
      </c>
      <c r="F1278" s="2" t="s">
        <v>174</v>
      </c>
      <c r="G1278" s="2">
        <v>4</v>
      </c>
      <c r="H1278" s="2">
        <v>5</v>
      </c>
      <c r="I1278" s="2">
        <f>COUNTIFS($E$3:E1278,E1278,$H$3:H1278,H1278)</f>
        <v>3</v>
      </c>
      <c r="N1278" s="11">
        <v>1022201</v>
      </c>
      <c r="O1278" s="11">
        <f t="shared" si="48"/>
        <v>1022301</v>
      </c>
      <c r="P1278" s="11">
        <f t="shared" si="49"/>
        <v>1022401</v>
      </c>
      <c r="Q1278" s="11">
        <f t="shared" si="50"/>
        <v>1022501</v>
      </c>
    </row>
    <row r="1279" spans="1:17">
      <c r="A1279" s="11">
        <f t="shared" si="51"/>
        <v>70223504</v>
      </c>
      <c r="B1279" s="2" t="s">
        <v>1421</v>
      </c>
      <c r="D1279" s="2" t="str">
        <f>E1279&amp;(VLOOKUP(F1279,编号表!$E$1:$G$8,2,0))&amp;G1279&amp;"_"&amp;H1279&amp;"_"&amp;I1279</f>
        <v>22N3_5_4</v>
      </c>
      <c r="E1279" s="2">
        <v>22</v>
      </c>
      <c r="F1279" s="2" t="s">
        <v>174</v>
      </c>
      <c r="G1279" s="2">
        <v>3</v>
      </c>
      <c r="H1279" s="2">
        <v>5</v>
      </c>
      <c r="I1279" s="2">
        <f>COUNTIFS($E$3:E1279,E1279,$H$3:H1279,H1279)</f>
        <v>4</v>
      </c>
      <c r="N1279" s="11">
        <v>1022201</v>
      </c>
      <c r="O1279" s="11">
        <f t="shared" si="48"/>
        <v>1022301</v>
      </c>
      <c r="P1279" s="11">
        <f t="shared" si="49"/>
        <v>1022401</v>
      </c>
      <c r="Q1279" s="11">
        <f t="shared" si="50"/>
        <v>1022501</v>
      </c>
    </row>
    <row r="1280" spans="1:17">
      <c r="A1280" s="11">
        <f t="shared" si="51"/>
        <v>70224505</v>
      </c>
      <c r="B1280" s="2" t="s">
        <v>1422</v>
      </c>
      <c r="D1280" s="2" t="str">
        <f>E1280&amp;(VLOOKUP(F1280,编号表!$E$1:$G$8,2,0))&amp;G1280&amp;"_"&amp;H1280&amp;"_"&amp;I1280</f>
        <v>22N4_5_5</v>
      </c>
      <c r="E1280" s="2">
        <v>22</v>
      </c>
      <c r="F1280" s="2" t="s">
        <v>174</v>
      </c>
      <c r="G1280" s="2">
        <v>4</v>
      </c>
      <c r="H1280" s="2">
        <v>5</v>
      </c>
      <c r="I1280" s="2">
        <f>COUNTIFS($E$3:E1280,E1280,$H$3:H1280,H1280)</f>
        <v>5</v>
      </c>
      <c r="N1280" s="11">
        <v>1022201</v>
      </c>
      <c r="O1280" s="11">
        <f t="shared" si="48"/>
        <v>1022301</v>
      </c>
      <c r="P1280" s="11">
        <f t="shared" si="49"/>
        <v>1022401</v>
      </c>
      <c r="Q1280" s="11">
        <f t="shared" si="50"/>
        <v>1022501</v>
      </c>
    </row>
    <row r="1281" spans="1:17">
      <c r="A1281" s="11">
        <f t="shared" si="51"/>
        <v>70228506</v>
      </c>
      <c r="B1281" s="2" t="s">
        <v>1423</v>
      </c>
      <c r="D1281" s="2" t="str">
        <f>E1281&amp;(VLOOKUP(F1281,编号表!$E$1:$G$8,2,0))&amp;G1281&amp;"_"&amp;H1281&amp;"_"&amp;I1281</f>
        <v>22N8_5_6</v>
      </c>
      <c r="E1281" s="2">
        <v>22</v>
      </c>
      <c r="F1281" s="2" t="s">
        <v>174</v>
      </c>
      <c r="G1281" s="2">
        <v>8</v>
      </c>
      <c r="H1281" s="2">
        <v>5</v>
      </c>
      <c r="I1281" s="2">
        <f>COUNTIFS($E$3:E1281,E1281,$H$3:H1281,H1281)</f>
        <v>6</v>
      </c>
      <c r="N1281" s="11">
        <v>1022201</v>
      </c>
      <c r="O1281" s="11">
        <f t="shared" si="48"/>
        <v>1022301</v>
      </c>
      <c r="P1281" s="11">
        <f t="shared" si="49"/>
        <v>1022401</v>
      </c>
      <c r="Q1281" s="11">
        <f t="shared" si="50"/>
        <v>1022501</v>
      </c>
    </row>
    <row r="1282" spans="1:17">
      <c r="A1282" s="11">
        <f t="shared" si="51"/>
        <v>70223601</v>
      </c>
      <c r="B1282" s="2" t="s">
        <v>1424</v>
      </c>
      <c r="D1282" s="2" t="str">
        <f>E1282&amp;(VLOOKUP(F1282,编号表!$E$1:$G$8,2,0))&amp;G1282&amp;"_"&amp;H1282&amp;"_"&amp;I1282</f>
        <v>22N3_6_1</v>
      </c>
      <c r="E1282" s="2">
        <v>22</v>
      </c>
      <c r="F1282" s="2" t="s">
        <v>174</v>
      </c>
      <c r="G1282" s="2">
        <v>3</v>
      </c>
      <c r="H1282" s="2">
        <v>6</v>
      </c>
      <c r="I1282" s="2">
        <f>COUNTIFS($E$3:E1282,E1282,$H$3:H1282,H1282)</f>
        <v>1</v>
      </c>
      <c r="N1282" s="11">
        <v>1022201</v>
      </c>
      <c r="O1282" s="11">
        <f t="shared" si="48"/>
        <v>1022301</v>
      </c>
      <c r="P1282" s="11">
        <f t="shared" si="49"/>
        <v>1022401</v>
      </c>
      <c r="Q1282" s="11">
        <f t="shared" si="50"/>
        <v>1022501</v>
      </c>
    </row>
    <row r="1283" spans="1:17">
      <c r="A1283" s="11">
        <f t="shared" si="51"/>
        <v>70222602</v>
      </c>
      <c r="B1283" s="2" t="s">
        <v>1425</v>
      </c>
      <c r="D1283" s="2" t="str">
        <f>E1283&amp;(VLOOKUP(F1283,编号表!$E$1:$G$8,2,0))&amp;G1283&amp;"_"&amp;H1283&amp;"_"&amp;I1283</f>
        <v>22N2_6_2</v>
      </c>
      <c r="E1283" s="2">
        <v>22</v>
      </c>
      <c r="F1283" s="2" t="s">
        <v>174</v>
      </c>
      <c r="G1283" s="2">
        <v>2</v>
      </c>
      <c r="H1283" s="2">
        <v>6</v>
      </c>
      <c r="I1283" s="2">
        <f>COUNTIFS($E$3:E1283,E1283,$H$3:H1283,H1283)</f>
        <v>2</v>
      </c>
      <c r="N1283" s="11">
        <v>1022201</v>
      </c>
      <c r="O1283" s="11">
        <f t="shared" si="48"/>
        <v>1022301</v>
      </c>
      <c r="P1283" s="11">
        <f t="shared" si="49"/>
        <v>1022401</v>
      </c>
      <c r="Q1283" s="11">
        <f t="shared" si="50"/>
        <v>1022501</v>
      </c>
    </row>
    <row r="1284" spans="1:17">
      <c r="A1284" s="11">
        <f t="shared" si="51"/>
        <v>70224603</v>
      </c>
      <c r="B1284" s="2" t="s">
        <v>1426</v>
      </c>
      <c r="D1284" s="2" t="str">
        <f>E1284&amp;(VLOOKUP(F1284,编号表!$E$1:$G$8,2,0))&amp;G1284&amp;"_"&amp;H1284&amp;"_"&amp;I1284</f>
        <v>22N4_6_3</v>
      </c>
      <c r="E1284" s="2">
        <v>22</v>
      </c>
      <c r="F1284" s="2" t="s">
        <v>174</v>
      </c>
      <c r="G1284" s="2">
        <v>4</v>
      </c>
      <c r="H1284" s="2">
        <v>6</v>
      </c>
      <c r="I1284" s="2">
        <f>COUNTIFS($E$3:E1284,E1284,$H$3:H1284,H1284)</f>
        <v>3</v>
      </c>
      <c r="N1284" s="11">
        <v>1022201</v>
      </c>
      <c r="O1284" s="11">
        <f t="shared" si="48"/>
        <v>1022301</v>
      </c>
      <c r="P1284" s="11">
        <f t="shared" si="49"/>
        <v>1022401</v>
      </c>
      <c r="Q1284" s="11">
        <f t="shared" si="50"/>
        <v>1022501</v>
      </c>
    </row>
    <row r="1285" spans="1:17">
      <c r="A1285" s="11">
        <f t="shared" si="51"/>
        <v>70224604</v>
      </c>
      <c r="B1285" s="2" t="s">
        <v>1427</v>
      </c>
      <c r="D1285" s="2" t="str">
        <f>E1285&amp;(VLOOKUP(F1285,编号表!$E$1:$G$8,2,0))&amp;G1285&amp;"_"&amp;H1285&amp;"_"&amp;I1285</f>
        <v>22N4_6_4</v>
      </c>
      <c r="E1285" s="2">
        <v>22</v>
      </c>
      <c r="F1285" s="2" t="s">
        <v>174</v>
      </c>
      <c r="G1285" s="2">
        <v>4</v>
      </c>
      <c r="H1285" s="2">
        <v>6</v>
      </c>
      <c r="I1285" s="2">
        <f>COUNTIFS($E$3:E1285,E1285,$H$3:H1285,H1285)</f>
        <v>4</v>
      </c>
      <c r="N1285" s="11">
        <v>1022201</v>
      </c>
      <c r="O1285" s="11">
        <f t="shared" si="48"/>
        <v>1022301</v>
      </c>
      <c r="P1285" s="11">
        <f t="shared" si="49"/>
        <v>1022401</v>
      </c>
      <c r="Q1285" s="11">
        <f t="shared" si="50"/>
        <v>1022501</v>
      </c>
    </row>
    <row r="1286" spans="1:17">
      <c r="A1286" s="11">
        <f t="shared" si="51"/>
        <v>70224605</v>
      </c>
      <c r="B1286" s="2" t="s">
        <v>1428</v>
      </c>
      <c r="D1286" s="2" t="str">
        <f>E1286&amp;(VLOOKUP(F1286,编号表!$E$1:$G$8,2,0))&amp;G1286&amp;"_"&amp;H1286&amp;"_"&amp;I1286</f>
        <v>22N4_6_5</v>
      </c>
      <c r="E1286" s="2">
        <v>22</v>
      </c>
      <c r="F1286" s="2" t="s">
        <v>174</v>
      </c>
      <c r="G1286" s="2">
        <v>4</v>
      </c>
      <c r="H1286" s="2">
        <v>6</v>
      </c>
      <c r="I1286" s="2">
        <f>COUNTIFS($E$3:E1286,E1286,$H$3:H1286,H1286)</f>
        <v>5</v>
      </c>
      <c r="N1286" s="11">
        <v>1022201</v>
      </c>
      <c r="O1286" s="11">
        <f t="shared" si="48"/>
        <v>1022301</v>
      </c>
      <c r="P1286" s="11">
        <f t="shared" si="49"/>
        <v>1022401</v>
      </c>
      <c r="Q1286" s="11">
        <f t="shared" si="50"/>
        <v>1022501</v>
      </c>
    </row>
    <row r="1287" spans="1:17">
      <c r="A1287" s="11">
        <f t="shared" si="51"/>
        <v>70224606</v>
      </c>
      <c r="B1287" s="2" t="s">
        <v>1429</v>
      </c>
      <c r="D1287" s="2" t="str">
        <f>E1287&amp;(VLOOKUP(F1287,编号表!$E$1:$G$8,2,0))&amp;G1287&amp;"_"&amp;H1287&amp;"_"&amp;I1287</f>
        <v>22N4_6_6</v>
      </c>
      <c r="E1287" s="2">
        <v>22</v>
      </c>
      <c r="F1287" s="2" t="s">
        <v>174</v>
      </c>
      <c r="G1287" s="2">
        <v>4</v>
      </c>
      <c r="H1287" s="2">
        <v>6</v>
      </c>
      <c r="I1287" s="2">
        <f>COUNTIFS($E$3:E1287,E1287,$H$3:H1287,H1287)</f>
        <v>6</v>
      </c>
      <c r="N1287" s="11">
        <v>1022201</v>
      </c>
      <c r="O1287" s="11">
        <f t="shared" si="48"/>
        <v>1022301</v>
      </c>
      <c r="P1287" s="11">
        <f t="shared" si="49"/>
        <v>1022401</v>
      </c>
      <c r="Q1287" s="11">
        <f t="shared" si="50"/>
        <v>1022501</v>
      </c>
    </row>
    <row r="1288" spans="1:17">
      <c r="A1288" s="11">
        <f t="shared" si="51"/>
        <v>70224701</v>
      </c>
      <c r="B1288" s="2" t="s">
        <v>1430</v>
      </c>
      <c r="D1288" s="2" t="str">
        <f>E1288&amp;(VLOOKUP(F1288,编号表!$E$1:$G$8,2,0))&amp;G1288&amp;"_"&amp;H1288&amp;"_"&amp;I1288</f>
        <v>22N4_7_1</v>
      </c>
      <c r="E1288" s="2">
        <v>22</v>
      </c>
      <c r="F1288" s="2" t="s">
        <v>174</v>
      </c>
      <c r="G1288" s="2">
        <v>4</v>
      </c>
      <c r="H1288" s="2">
        <v>7</v>
      </c>
      <c r="I1288" s="2">
        <f>COUNTIFS($E$3:E1288,E1288,$H$3:H1288,H1288)</f>
        <v>1</v>
      </c>
      <c r="N1288" s="11">
        <v>1022201</v>
      </c>
      <c r="O1288" s="11">
        <f t="shared" si="48"/>
        <v>1022301</v>
      </c>
      <c r="P1288" s="11">
        <f t="shared" si="49"/>
        <v>1022401</v>
      </c>
      <c r="Q1288" s="11">
        <f t="shared" si="50"/>
        <v>1022501</v>
      </c>
    </row>
    <row r="1289" spans="1:17">
      <c r="A1289" s="11">
        <f t="shared" si="51"/>
        <v>70224702</v>
      </c>
      <c r="B1289" s="2" t="s">
        <v>1431</v>
      </c>
      <c r="D1289" s="2" t="str">
        <f>E1289&amp;(VLOOKUP(F1289,编号表!$E$1:$G$8,2,0))&amp;G1289&amp;"_"&amp;H1289&amp;"_"&amp;I1289</f>
        <v>22N4_7_2</v>
      </c>
      <c r="E1289" s="2">
        <v>22</v>
      </c>
      <c r="F1289" s="2" t="s">
        <v>174</v>
      </c>
      <c r="G1289" s="2">
        <v>4</v>
      </c>
      <c r="H1289" s="2">
        <v>7</v>
      </c>
      <c r="I1289" s="2">
        <f>COUNTIFS($E$3:E1289,E1289,$H$3:H1289,H1289)</f>
        <v>2</v>
      </c>
      <c r="N1289" s="11">
        <v>1022201</v>
      </c>
      <c r="O1289" s="11">
        <f t="shared" si="48"/>
        <v>1022301</v>
      </c>
      <c r="P1289" s="11">
        <f t="shared" si="49"/>
        <v>1022401</v>
      </c>
      <c r="Q1289" s="11">
        <f t="shared" si="50"/>
        <v>1022501</v>
      </c>
    </row>
    <row r="1290" spans="1:17">
      <c r="A1290" s="11">
        <f t="shared" si="51"/>
        <v>70224703</v>
      </c>
      <c r="B1290" s="2" t="s">
        <v>1432</v>
      </c>
      <c r="D1290" s="2" t="str">
        <f>E1290&amp;(VLOOKUP(F1290,编号表!$E$1:$G$8,2,0))&amp;G1290&amp;"_"&amp;H1290&amp;"_"&amp;I1290</f>
        <v>22N4_7_3</v>
      </c>
      <c r="E1290" s="2">
        <v>22</v>
      </c>
      <c r="F1290" s="2" t="s">
        <v>174</v>
      </c>
      <c r="G1290" s="2">
        <v>4</v>
      </c>
      <c r="H1290" s="2">
        <v>7</v>
      </c>
      <c r="I1290" s="2">
        <f>COUNTIFS($E$3:E1290,E1290,$H$3:H1290,H1290)</f>
        <v>3</v>
      </c>
      <c r="N1290" s="11">
        <v>1022201</v>
      </c>
      <c r="O1290" s="11">
        <f t="shared" si="48"/>
        <v>1022301</v>
      </c>
      <c r="P1290" s="11">
        <f t="shared" si="49"/>
        <v>1022401</v>
      </c>
      <c r="Q1290" s="11">
        <f t="shared" si="50"/>
        <v>1022501</v>
      </c>
    </row>
    <row r="1291" spans="1:17">
      <c r="A1291" s="11">
        <f t="shared" si="51"/>
        <v>70224704</v>
      </c>
      <c r="B1291" s="2" t="s">
        <v>1433</v>
      </c>
      <c r="D1291" s="2" t="str">
        <f>E1291&amp;(VLOOKUP(F1291,编号表!$E$1:$G$8,2,0))&amp;G1291&amp;"_"&amp;H1291&amp;"_"&amp;I1291</f>
        <v>22N4_7_4</v>
      </c>
      <c r="E1291" s="2">
        <v>22</v>
      </c>
      <c r="F1291" s="2" t="s">
        <v>174</v>
      </c>
      <c r="G1291" s="2">
        <v>4</v>
      </c>
      <c r="H1291" s="2">
        <v>7</v>
      </c>
      <c r="I1291" s="2">
        <f>COUNTIFS($E$3:E1291,E1291,$H$3:H1291,H1291)</f>
        <v>4</v>
      </c>
      <c r="N1291" s="11">
        <v>1022201</v>
      </c>
      <c r="O1291" s="11">
        <f t="shared" si="48"/>
        <v>1022301</v>
      </c>
      <c r="P1291" s="11">
        <f t="shared" si="49"/>
        <v>1022401</v>
      </c>
      <c r="Q1291" s="11">
        <f t="shared" si="50"/>
        <v>1022501</v>
      </c>
    </row>
    <row r="1292" spans="1:17">
      <c r="A1292" s="11">
        <f t="shared" si="51"/>
        <v>70224705</v>
      </c>
      <c r="B1292" s="2" t="s">
        <v>1434</v>
      </c>
      <c r="D1292" s="2" t="str">
        <f>E1292&amp;(VLOOKUP(F1292,编号表!$E$1:$G$8,2,0))&amp;G1292&amp;"_"&amp;H1292&amp;"_"&amp;I1292</f>
        <v>22N4_7_5</v>
      </c>
      <c r="E1292" s="2">
        <v>22</v>
      </c>
      <c r="F1292" s="2" t="s">
        <v>174</v>
      </c>
      <c r="G1292" s="2">
        <v>4</v>
      </c>
      <c r="H1292" s="2">
        <v>7</v>
      </c>
      <c r="I1292" s="2">
        <f>COUNTIFS($E$3:E1292,E1292,$H$3:H1292,H1292)</f>
        <v>5</v>
      </c>
      <c r="N1292" s="11">
        <v>1022201</v>
      </c>
      <c r="O1292" s="11">
        <f t="shared" si="48"/>
        <v>1022301</v>
      </c>
      <c r="P1292" s="11">
        <f t="shared" si="49"/>
        <v>1022401</v>
      </c>
      <c r="Q1292" s="11">
        <f t="shared" si="50"/>
        <v>1022501</v>
      </c>
    </row>
    <row r="1293" spans="1:17">
      <c r="A1293" s="11">
        <f t="shared" si="51"/>
        <v>70220001</v>
      </c>
      <c r="B1293" s="24" t="s">
        <v>1435</v>
      </c>
      <c r="D1293" s="2" t="str">
        <f>E1293&amp;(VLOOKUP(F1293,编号表!$E$1:$G$8,2,0))&amp;G1293&amp;"_"&amp;H1293&amp;"_"&amp;I1293</f>
        <v>22J0_0_1</v>
      </c>
      <c r="E1293" s="2">
        <v>22</v>
      </c>
      <c r="F1293" s="2" t="s">
        <v>222</v>
      </c>
      <c r="G1293" s="2">
        <v>0</v>
      </c>
      <c r="H1293" s="2">
        <v>0</v>
      </c>
      <c r="I1293" s="2">
        <f>COUNTIFS($E$3:E1293,E1293,$H$3:H1293,H1293)</f>
        <v>1</v>
      </c>
      <c r="J1293" s="2">
        <v>1</v>
      </c>
    </row>
    <row r="1294" spans="1:17">
      <c r="A1294" s="11">
        <f t="shared" si="51"/>
        <v>70233001</v>
      </c>
      <c r="B1294" s="16" t="s">
        <v>79</v>
      </c>
      <c r="C1294" s="2" t="s">
        <v>1394</v>
      </c>
      <c r="D1294" s="2" t="str">
        <f>E1294&amp;(VLOOKUP(F1294,编号表!$E$1:$G$8,2,0))&amp;G1294&amp;"_"&amp;H1294&amp;"_"&amp;I1294</f>
        <v>23T3_0_1</v>
      </c>
      <c r="E1294" s="2">
        <v>23</v>
      </c>
      <c r="F1294" s="2" t="s">
        <v>190</v>
      </c>
      <c r="G1294" s="2">
        <v>3</v>
      </c>
      <c r="H1294" s="2">
        <v>0</v>
      </c>
      <c r="I1294" s="2">
        <f>COUNTIFS($E$3:E1294,E1294,$H$3:H1294,H1294)</f>
        <v>1</v>
      </c>
      <c r="L1294" s="2">
        <v>146</v>
      </c>
    </row>
    <row r="1295" spans="1:17">
      <c r="A1295" s="11">
        <f t="shared" si="51"/>
        <v>70231002</v>
      </c>
      <c r="B1295" s="15" t="s">
        <v>1393</v>
      </c>
      <c r="D1295" s="2" t="str">
        <f>E1295&amp;(VLOOKUP(F1295,编号表!$E$1:$G$8,2,0))&amp;G1295&amp;"_"&amp;H1295&amp;"_"&amp;I1295</f>
        <v>23T1_0_2</v>
      </c>
      <c r="E1295" s="2">
        <v>23</v>
      </c>
      <c r="F1295" s="2" t="s">
        <v>190</v>
      </c>
      <c r="G1295" s="2">
        <v>1</v>
      </c>
      <c r="H1295" s="2">
        <v>0</v>
      </c>
      <c r="I1295" s="2">
        <f>COUNTIFS($E$3:E1295,E1295,$H$3:H1295,H1295)</f>
        <v>2</v>
      </c>
      <c r="K1295" s="2">
        <v>1</v>
      </c>
    </row>
    <row r="1296" spans="1:17">
      <c r="A1296" s="11">
        <f t="shared" si="51"/>
        <v>70233003</v>
      </c>
      <c r="B1296" s="16" t="s">
        <v>85</v>
      </c>
      <c r="C1296" s="2" t="s">
        <v>1436</v>
      </c>
      <c r="D1296" s="2" t="str">
        <f>E1296&amp;(VLOOKUP(F1296,编号表!$E$1:$G$8,2,0))&amp;G1296&amp;"_"&amp;H1296&amp;"_"&amp;I1296</f>
        <v>23T3_0_3</v>
      </c>
      <c r="E1296" s="2">
        <v>23</v>
      </c>
      <c r="F1296" s="2" t="s">
        <v>190</v>
      </c>
      <c r="G1296" s="2">
        <v>3</v>
      </c>
      <c r="H1296" s="2">
        <v>0</v>
      </c>
      <c r="I1296" s="2">
        <f>COUNTIFS($E$3:E1296,E1296,$H$3:H1296,H1296)</f>
        <v>3</v>
      </c>
      <c r="L1296" s="2">
        <v>147</v>
      </c>
    </row>
    <row r="1297" spans="1:18">
      <c r="A1297" s="11">
        <f t="shared" si="51"/>
        <v>70231004</v>
      </c>
      <c r="B1297" s="15" t="s">
        <v>1437</v>
      </c>
      <c r="D1297" s="2" t="str">
        <f>E1297&amp;(VLOOKUP(F1297,编号表!$E$1:$G$8,2,0))&amp;G1297&amp;"_"&amp;H1297&amp;"_"&amp;I1297</f>
        <v>23T1_0_4</v>
      </c>
      <c r="E1297" s="2">
        <v>23</v>
      </c>
      <c r="F1297" s="2" t="s">
        <v>190</v>
      </c>
      <c r="G1297" s="2">
        <v>1</v>
      </c>
      <c r="H1297" s="2">
        <v>0</v>
      </c>
      <c r="I1297" s="2">
        <f>COUNTIFS($E$3:E1297,E1297,$H$3:H1297,H1297)</f>
        <v>4</v>
      </c>
    </row>
    <row r="1298" spans="1:18">
      <c r="A1298" s="11">
        <f t="shared" si="51"/>
        <v>70233005</v>
      </c>
      <c r="B1298" s="16" t="s">
        <v>85</v>
      </c>
      <c r="C1298" s="2" t="s">
        <v>1438</v>
      </c>
      <c r="D1298" s="2" t="str">
        <f>E1298&amp;(VLOOKUP(F1298,编号表!$E$1:$G$8,2,0))&amp;G1298&amp;"_"&amp;H1298&amp;"_"&amp;I1298</f>
        <v>23T3_0_5</v>
      </c>
      <c r="E1298" s="2">
        <v>23</v>
      </c>
      <c r="F1298" s="2" t="s">
        <v>190</v>
      </c>
      <c r="G1298" s="2">
        <v>3</v>
      </c>
      <c r="H1298" s="2">
        <v>0</v>
      </c>
      <c r="I1298" s="2">
        <f>COUNTIFS($E$3:E1298,E1298,$H$3:H1298,H1298)</f>
        <v>5</v>
      </c>
      <c r="L1298" s="2">
        <v>147</v>
      </c>
    </row>
    <row r="1299" spans="1:18">
      <c r="A1299" s="11">
        <f t="shared" si="51"/>
        <v>70231006</v>
      </c>
      <c r="B1299" s="15" t="s">
        <v>1439</v>
      </c>
      <c r="D1299" s="2" t="str">
        <f>E1299&amp;(VLOOKUP(F1299,编号表!$E$1:$G$8,2,0))&amp;G1299&amp;"_"&amp;H1299&amp;"_"&amp;I1299</f>
        <v>23T1_0_6</v>
      </c>
      <c r="E1299" s="2">
        <v>23</v>
      </c>
      <c r="F1299" s="2" t="s">
        <v>190</v>
      </c>
      <c r="G1299" s="2">
        <v>1</v>
      </c>
      <c r="H1299" s="2">
        <v>0</v>
      </c>
      <c r="I1299" s="2">
        <f>COUNTIFS($E$3:E1299,E1299,$H$3:H1299,H1299)</f>
        <v>6</v>
      </c>
    </row>
    <row r="1300" spans="1:18">
      <c r="A1300" s="11">
        <f t="shared" si="51"/>
        <v>70233007</v>
      </c>
      <c r="B1300" s="16" t="s">
        <v>85</v>
      </c>
      <c r="C1300" s="2" t="s">
        <v>1440</v>
      </c>
      <c r="D1300" s="2" t="str">
        <f>E1300&amp;(VLOOKUP(F1300,编号表!$E$1:$G$8,2,0))&amp;G1300&amp;"_"&amp;H1300&amp;"_"&amp;I1300</f>
        <v>23T3_0_7</v>
      </c>
      <c r="E1300" s="2">
        <v>23</v>
      </c>
      <c r="F1300" s="2" t="s">
        <v>190</v>
      </c>
      <c r="G1300" s="2">
        <v>3</v>
      </c>
      <c r="H1300" s="2">
        <v>0</v>
      </c>
      <c r="I1300" s="2">
        <f>COUNTIFS($E$3:E1300,E1300,$H$3:H1300,H1300)</f>
        <v>7</v>
      </c>
      <c r="L1300" s="2">
        <v>147</v>
      </c>
    </row>
    <row r="1301" spans="1:18">
      <c r="A1301" s="11">
        <f t="shared" si="51"/>
        <v>70231008</v>
      </c>
      <c r="B1301" s="15" t="s">
        <v>1394</v>
      </c>
      <c r="D1301" s="2" t="str">
        <f>E1301&amp;(VLOOKUP(F1301,编号表!$E$1:$G$8,2,0))&amp;G1301&amp;"_"&amp;H1301&amp;"_"&amp;I1301</f>
        <v>23T1_0_8</v>
      </c>
      <c r="E1301" s="2">
        <v>23</v>
      </c>
      <c r="F1301" s="2" t="s">
        <v>190</v>
      </c>
      <c r="G1301" s="2">
        <v>1</v>
      </c>
      <c r="H1301" s="2">
        <v>0</v>
      </c>
      <c r="I1301" s="2">
        <f>COUNTIFS($E$3:E1301,E1301,$H$3:H1301,H1301)</f>
        <v>8</v>
      </c>
    </row>
    <row r="1302" spans="1:18">
      <c r="A1302" s="11">
        <f t="shared" si="51"/>
        <v>70235101</v>
      </c>
      <c r="B1302" s="2" t="s">
        <v>1441</v>
      </c>
      <c r="D1302" s="2" t="str">
        <f>E1302&amp;(VLOOKUP(F1302,编号表!$E$1:$G$8,2,0))&amp;G1302&amp;"_"&amp;H1302&amp;"_"&amp;I1302</f>
        <v>23N5_1_1</v>
      </c>
      <c r="E1302" s="2">
        <v>23</v>
      </c>
      <c r="F1302" s="2" t="s">
        <v>174</v>
      </c>
      <c r="G1302" s="2">
        <v>5</v>
      </c>
      <c r="H1302" s="2">
        <v>1</v>
      </c>
      <c r="I1302" s="2">
        <f>COUNTIFS($E$3:E1302,E1302,$H$3:H1302,H1302)</f>
        <v>1</v>
      </c>
      <c r="N1302" s="11">
        <v>1023201</v>
      </c>
      <c r="O1302" s="11">
        <f t="shared" ref="O1302:O1307" si="52">N1302+100</f>
        <v>1023301</v>
      </c>
      <c r="P1302" s="11">
        <f t="shared" ref="P1302:P1307" si="53">O1302+100</f>
        <v>1023401</v>
      </c>
      <c r="Q1302" s="11">
        <f t="shared" ref="Q1302:Q1307" si="54">P1302+100</f>
        <v>1023501</v>
      </c>
      <c r="R1302" s="11">
        <v>1023001</v>
      </c>
    </row>
    <row r="1303" spans="1:18">
      <c r="A1303" s="11">
        <f t="shared" si="51"/>
        <v>70235102</v>
      </c>
      <c r="B1303" s="2" t="s">
        <v>1442</v>
      </c>
      <c r="D1303" s="2" t="str">
        <f>E1303&amp;(VLOOKUP(F1303,编号表!$E$1:$G$8,2,0))&amp;G1303&amp;"_"&amp;H1303&amp;"_"&amp;I1303</f>
        <v>23N5_1_2</v>
      </c>
      <c r="E1303" s="2">
        <v>23</v>
      </c>
      <c r="F1303" s="2" t="s">
        <v>174</v>
      </c>
      <c r="G1303" s="2">
        <v>5</v>
      </c>
      <c r="H1303" s="2">
        <v>1</v>
      </c>
      <c r="I1303" s="2">
        <f>COUNTIFS($E$3:E1303,E1303,$H$3:H1303,H1303)</f>
        <v>2</v>
      </c>
      <c r="N1303" s="11">
        <v>1023201</v>
      </c>
      <c r="O1303" s="11">
        <f t="shared" si="52"/>
        <v>1023301</v>
      </c>
      <c r="P1303" s="11">
        <f t="shared" si="53"/>
        <v>1023401</v>
      </c>
      <c r="Q1303" s="11">
        <f t="shared" si="54"/>
        <v>1023501</v>
      </c>
      <c r="R1303" s="11">
        <v>1023101</v>
      </c>
    </row>
    <row r="1304" spans="1:18">
      <c r="A1304" s="11">
        <f t="shared" si="51"/>
        <v>70235103</v>
      </c>
      <c r="B1304" s="2" t="s">
        <v>1443</v>
      </c>
      <c r="D1304" s="2" t="str">
        <f>E1304&amp;(VLOOKUP(F1304,编号表!$E$1:$G$8,2,0))&amp;G1304&amp;"_"&amp;H1304&amp;"_"&amp;I1304</f>
        <v>23N5_1_3</v>
      </c>
      <c r="E1304" s="2">
        <v>23</v>
      </c>
      <c r="F1304" s="2" t="s">
        <v>174</v>
      </c>
      <c r="G1304" s="2">
        <v>5</v>
      </c>
      <c r="H1304" s="2">
        <v>1</v>
      </c>
      <c r="I1304" s="2">
        <f>COUNTIFS($E$3:E1304,E1304,$H$3:H1304,H1304)</f>
        <v>3</v>
      </c>
      <c r="N1304" s="11">
        <v>1023201</v>
      </c>
      <c r="O1304" s="11">
        <f t="shared" si="52"/>
        <v>1023301</v>
      </c>
      <c r="P1304" s="11">
        <f t="shared" si="53"/>
        <v>1023401</v>
      </c>
      <c r="Q1304" s="11">
        <f t="shared" si="54"/>
        <v>1023501</v>
      </c>
    </row>
    <row r="1305" spans="1:18">
      <c r="A1305" s="11">
        <f t="shared" si="51"/>
        <v>70235201</v>
      </c>
      <c r="B1305" s="2" t="s">
        <v>1444</v>
      </c>
      <c r="D1305" s="2" t="str">
        <f>E1305&amp;(VLOOKUP(F1305,编号表!$E$1:$G$8,2,0))&amp;G1305&amp;"_"&amp;H1305&amp;"_"&amp;I1305</f>
        <v>23N5_2_1</v>
      </c>
      <c r="E1305" s="2">
        <v>23</v>
      </c>
      <c r="F1305" s="2" t="s">
        <v>174</v>
      </c>
      <c r="G1305" s="2">
        <v>5</v>
      </c>
      <c r="H1305" s="2">
        <v>2</v>
      </c>
      <c r="I1305" s="2">
        <f>COUNTIFS($E$3:E1305,E1305,$H$3:H1305,H1305)</f>
        <v>1</v>
      </c>
      <c r="N1305" s="11">
        <v>1023201</v>
      </c>
      <c r="O1305" s="11">
        <f t="shared" si="52"/>
        <v>1023301</v>
      </c>
      <c r="P1305" s="11">
        <f t="shared" si="53"/>
        <v>1023401</v>
      </c>
      <c r="Q1305" s="11">
        <f t="shared" si="54"/>
        <v>1023501</v>
      </c>
    </row>
    <row r="1306" spans="1:18">
      <c r="A1306" s="11">
        <f t="shared" si="51"/>
        <v>70235202</v>
      </c>
      <c r="B1306" s="2" t="s">
        <v>1445</v>
      </c>
      <c r="D1306" s="2" t="str">
        <f>E1306&amp;(VLOOKUP(F1306,编号表!$E$1:$G$8,2,0))&amp;G1306&amp;"_"&amp;H1306&amp;"_"&amp;I1306</f>
        <v>23N5_2_2</v>
      </c>
      <c r="E1306" s="2">
        <v>23</v>
      </c>
      <c r="F1306" s="2" t="s">
        <v>174</v>
      </c>
      <c r="G1306" s="2">
        <v>5</v>
      </c>
      <c r="H1306" s="2">
        <v>2</v>
      </c>
      <c r="I1306" s="2">
        <f>COUNTIFS($E$3:E1306,E1306,$H$3:H1306,H1306)</f>
        <v>2</v>
      </c>
      <c r="N1306" s="11">
        <v>1023201</v>
      </c>
      <c r="O1306" s="11">
        <f t="shared" si="52"/>
        <v>1023301</v>
      </c>
      <c r="P1306" s="11">
        <f t="shared" si="53"/>
        <v>1023401</v>
      </c>
      <c r="Q1306" s="11">
        <f t="shared" si="54"/>
        <v>1023501</v>
      </c>
    </row>
    <row r="1307" spans="1:18">
      <c r="A1307" s="11">
        <f t="shared" si="51"/>
        <v>70230203</v>
      </c>
      <c r="B1307" s="2" t="s">
        <v>1446</v>
      </c>
      <c r="D1307" s="2" t="str">
        <f>E1307&amp;(VLOOKUP(F1307,编号表!$E$1:$G$8,2,0))&amp;G1307&amp;"_"&amp;H1307&amp;"_"&amp;I1307</f>
        <v>23N0_2_3</v>
      </c>
      <c r="E1307" s="2">
        <v>23</v>
      </c>
      <c r="F1307" s="2" t="s">
        <v>174</v>
      </c>
      <c r="G1307" s="2">
        <v>0</v>
      </c>
      <c r="H1307" s="2">
        <v>2</v>
      </c>
      <c r="I1307" s="2">
        <f>COUNTIFS($E$3:E1307,E1307,$H$3:H1307,H1307)</f>
        <v>3</v>
      </c>
      <c r="N1307" s="11">
        <v>1023201</v>
      </c>
      <c r="O1307" s="11">
        <f t="shared" si="52"/>
        <v>1023301</v>
      </c>
      <c r="P1307" s="11">
        <f t="shared" si="53"/>
        <v>1023401</v>
      </c>
      <c r="Q1307" s="11">
        <f t="shared" si="54"/>
        <v>1023501</v>
      </c>
    </row>
    <row r="1308" spans="1:18">
      <c r="A1308" s="11">
        <f t="shared" si="51"/>
        <v>70230009</v>
      </c>
      <c r="B1308" s="24" t="s">
        <v>1447</v>
      </c>
      <c r="D1308" s="2" t="str">
        <f>E1308&amp;(VLOOKUP(F1308,编号表!$E$1:$G$8,2,0))&amp;G1308&amp;"_"&amp;H1308&amp;"_"&amp;I1308</f>
        <v>23J0_0_9</v>
      </c>
      <c r="E1308" s="2">
        <v>23</v>
      </c>
      <c r="F1308" s="2" t="s">
        <v>222</v>
      </c>
      <c r="G1308" s="2">
        <v>0</v>
      </c>
      <c r="H1308" s="2">
        <v>0</v>
      </c>
      <c r="I1308" s="2">
        <f>COUNTIFS($E$3:E1308,E1308,$H$3:H1308,H1308)</f>
        <v>9</v>
      </c>
      <c r="J1308" s="2">
        <v>1</v>
      </c>
    </row>
    <row r="1309" spans="1:18">
      <c r="A1309" s="11">
        <f t="shared" si="51"/>
        <v>70245101</v>
      </c>
      <c r="B1309" s="2" t="s">
        <v>1448</v>
      </c>
      <c r="D1309" s="2" t="str">
        <f>E1309&amp;(VLOOKUP(F1309,编号表!$E$1:$G$8,2,0))&amp;G1309&amp;"_"&amp;H1309&amp;"_"&amp;I1309</f>
        <v>24N5_1_1</v>
      </c>
      <c r="E1309" s="2">
        <v>24</v>
      </c>
      <c r="F1309" s="2" t="s">
        <v>174</v>
      </c>
      <c r="G1309" s="2">
        <v>5</v>
      </c>
      <c r="H1309" s="2">
        <v>1</v>
      </c>
      <c r="I1309" s="2">
        <f>COUNTIFS($E$3:E1309,E1309,$H$3:H1309,H1309)</f>
        <v>1</v>
      </c>
      <c r="N1309" s="11">
        <v>1024201</v>
      </c>
      <c r="O1309" s="11">
        <f t="shared" ref="O1309:O1314" si="55">N1309+100</f>
        <v>1024301</v>
      </c>
      <c r="P1309" s="11">
        <f t="shared" ref="P1309:P1314" si="56">O1309+100</f>
        <v>1024401</v>
      </c>
      <c r="Q1309" s="11">
        <f t="shared" ref="Q1309:Q1314" si="57">P1309+100</f>
        <v>1024501</v>
      </c>
      <c r="R1309" s="11">
        <v>1024001</v>
      </c>
    </row>
    <row r="1310" spans="1:18">
      <c r="A1310" s="11">
        <f t="shared" si="51"/>
        <v>70245102</v>
      </c>
      <c r="B1310" s="2" t="s">
        <v>1449</v>
      </c>
      <c r="D1310" s="2" t="str">
        <f>E1310&amp;(VLOOKUP(F1310,编号表!$E$1:$G$8,2,0))&amp;G1310&amp;"_"&amp;H1310&amp;"_"&amp;I1310</f>
        <v>24N5_1_2</v>
      </c>
      <c r="E1310" s="2">
        <v>24</v>
      </c>
      <c r="F1310" s="2" t="s">
        <v>174</v>
      </c>
      <c r="G1310" s="2">
        <v>5</v>
      </c>
      <c r="H1310" s="2">
        <v>1</v>
      </c>
      <c r="I1310" s="2">
        <f>COUNTIFS($E$3:E1310,E1310,$H$3:H1310,H1310)</f>
        <v>2</v>
      </c>
      <c r="N1310" s="11">
        <v>1024201</v>
      </c>
      <c r="O1310" s="11">
        <f t="shared" si="55"/>
        <v>1024301</v>
      </c>
      <c r="P1310" s="11">
        <f t="shared" si="56"/>
        <v>1024401</v>
      </c>
      <c r="Q1310" s="11">
        <f t="shared" si="57"/>
        <v>1024501</v>
      </c>
      <c r="R1310" s="11">
        <v>1024101</v>
      </c>
    </row>
    <row r="1311" spans="1:18">
      <c r="A1311" s="11">
        <f t="shared" si="51"/>
        <v>70245103</v>
      </c>
      <c r="B1311" s="2" t="s">
        <v>1450</v>
      </c>
      <c r="D1311" s="2" t="str">
        <f>E1311&amp;(VLOOKUP(F1311,编号表!$E$1:$G$8,2,0))&amp;G1311&amp;"_"&amp;H1311&amp;"_"&amp;I1311</f>
        <v>24N5_1_3</v>
      </c>
      <c r="E1311" s="2">
        <v>24</v>
      </c>
      <c r="F1311" s="2" t="s">
        <v>174</v>
      </c>
      <c r="G1311" s="2">
        <v>5</v>
      </c>
      <c r="H1311" s="2">
        <v>1</v>
      </c>
      <c r="I1311" s="2">
        <f>COUNTIFS($E$3:E1311,E1311,$H$3:H1311,H1311)</f>
        <v>3</v>
      </c>
      <c r="N1311" s="11">
        <v>1024201</v>
      </c>
      <c r="O1311" s="11">
        <f t="shared" si="55"/>
        <v>1024301</v>
      </c>
      <c r="P1311" s="11">
        <f t="shared" si="56"/>
        <v>1024401</v>
      </c>
      <c r="Q1311" s="11">
        <f t="shared" si="57"/>
        <v>1024501</v>
      </c>
    </row>
    <row r="1312" spans="1:18">
      <c r="A1312" s="11">
        <f t="shared" si="51"/>
        <v>70244201</v>
      </c>
      <c r="B1312" s="2" t="s">
        <v>1451</v>
      </c>
      <c r="D1312" s="2" t="str">
        <f>E1312&amp;(VLOOKUP(F1312,编号表!$E$1:$G$8,2,0))&amp;G1312&amp;"_"&amp;H1312&amp;"_"&amp;I1312</f>
        <v>24N4_2_1</v>
      </c>
      <c r="E1312" s="2">
        <v>24</v>
      </c>
      <c r="F1312" s="2" t="s">
        <v>174</v>
      </c>
      <c r="G1312" s="2">
        <v>4</v>
      </c>
      <c r="H1312" s="2">
        <v>2</v>
      </c>
      <c r="I1312" s="2">
        <f>COUNTIFS($E$3:E1312,E1312,$H$3:H1312,H1312)</f>
        <v>1</v>
      </c>
      <c r="N1312" s="11">
        <v>1024201</v>
      </c>
      <c r="O1312" s="11">
        <f t="shared" si="55"/>
        <v>1024301</v>
      </c>
      <c r="P1312" s="11">
        <f t="shared" si="56"/>
        <v>1024401</v>
      </c>
      <c r="Q1312" s="11">
        <f t="shared" si="57"/>
        <v>1024501</v>
      </c>
    </row>
    <row r="1313" spans="1:18">
      <c r="A1313" s="11">
        <f t="shared" si="51"/>
        <v>70245202</v>
      </c>
      <c r="B1313" s="2" t="s">
        <v>1452</v>
      </c>
      <c r="D1313" s="2" t="str">
        <f>E1313&amp;(VLOOKUP(F1313,编号表!$E$1:$G$8,2,0))&amp;G1313&amp;"_"&amp;H1313&amp;"_"&amp;I1313</f>
        <v>24N5_2_2</v>
      </c>
      <c r="E1313" s="2">
        <v>24</v>
      </c>
      <c r="F1313" s="2" t="s">
        <v>174</v>
      </c>
      <c r="G1313" s="2">
        <v>5</v>
      </c>
      <c r="H1313" s="2">
        <v>2</v>
      </c>
      <c r="I1313" s="2">
        <f>COUNTIFS($E$3:E1313,E1313,$H$3:H1313,H1313)</f>
        <v>2</v>
      </c>
      <c r="N1313" s="11">
        <v>1024201</v>
      </c>
      <c r="O1313" s="11">
        <f t="shared" si="55"/>
        <v>1024301</v>
      </c>
      <c r="P1313" s="11">
        <f t="shared" si="56"/>
        <v>1024401</v>
      </c>
      <c r="Q1313" s="11">
        <f t="shared" si="57"/>
        <v>1024501</v>
      </c>
    </row>
    <row r="1314" spans="1:18">
      <c r="A1314" s="11">
        <f t="shared" si="51"/>
        <v>70245203</v>
      </c>
      <c r="B1314" s="2" t="s">
        <v>1453</v>
      </c>
      <c r="D1314" s="2" t="str">
        <f>E1314&amp;(VLOOKUP(F1314,编号表!$E$1:$G$8,2,0))&amp;G1314&amp;"_"&amp;H1314&amp;"_"&amp;I1314</f>
        <v>24N5_2_3</v>
      </c>
      <c r="E1314" s="2">
        <v>24</v>
      </c>
      <c r="F1314" s="2" t="s">
        <v>174</v>
      </c>
      <c r="G1314" s="2">
        <v>5</v>
      </c>
      <c r="H1314" s="2">
        <v>2</v>
      </c>
      <c r="I1314" s="2">
        <f>COUNTIFS($E$3:E1314,E1314,$H$3:H1314,H1314)</f>
        <v>3</v>
      </c>
      <c r="N1314" s="11">
        <v>1024201</v>
      </c>
      <c r="O1314" s="11">
        <f t="shared" si="55"/>
        <v>1024301</v>
      </c>
      <c r="P1314" s="11">
        <f t="shared" si="56"/>
        <v>1024401</v>
      </c>
      <c r="Q1314" s="11">
        <f t="shared" si="57"/>
        <v>1024501</v>
      </c>
    </row>
    <row r="1315" spans="1:18">
      <c r="A1315" s="11">
        <f t="shared" si="51"/>
        <v>70243301</v>
      </c>
      <c r="B1315" s="16" t="s">
        <v>82</v>
      </c>
      <c r="C1315" s="2" t="s">
        <v>1454</v>
      </c>
      <c r="D1315" s="2" t="str">
        <f>E1315&amp;(VLOOKUP(F1315,编号表!$E$1:$G$8,2,0))&amp;G1315&amp;"_"&amp;H1315&amp;"_"&amp;I1315</f>
        <v>24T3_3_1</v>
      </c>
      <c r="E1315" s="2">
        <v>24</v>
      </c>
      <c r="F1315" s="2" t="s">
        <v>190</v>
      </c>
      <c r="G1315" s="2">
        <v>3</v>
      </c>
      <c r="H1315" s="2">
        <v>3</v>
      </c>
      <c r="I1315" s="2">
        <f>COUNTIFS($E$3:E1315,E1315,$H$3:H1315,H1315)</f>
        <v>1</v>
      </c>
      <c r="L1315" s="2">
        <v>148</v>
      </c>
    </row>
    <row r="1316" spans="1:18">
      <c r="A1316" s="11">
        <f t="shared" si="51"/>
        <v>70241302</v>
      </c>
      <c r="B1316" s="15" t="s">
        <v>1455</v>
      </c>
      <c r="D1316" s="2" t="str">
        <f>E1316&amp;(VLOOKUP(F1316,编号表!$E$1:$G$8,2,0))&amp;G1316&amp;"_"&amp;H1316&amp;"_"&amp;I1316</f>
        <v>24T1_3_2</v>
      </c>
      <c r="E1316" s="2">
        <v>24</v>
      </c>
      <c r="F1316" s="2" t="s">
        <v>190</v>
      </c>
      <c r="G1316" s="2">
        <v>1</v>
      </c>
      <c r="H1316" s="2">
        <v>3</v>
      </c>
      <c r="I1316" s="2">
        <f>COUNTIFS($E$3:E1316,E1316,$H$3:H1316,H1316)</f>
        <v>2</v>
      </c>
      <c r="K1316" s="2">
        <v>1</v>
      </c>
    </row>
    <row r="1317" spans="1:18">
      <c r="A1317" s="11">
        <f t="shared" si="51"/>
        <v>70244303</v>
      </c>
      <c r="B1317" s="2" t="s">
        <v>1456</v>
      </c>
      <c r="D1317" s="2" t="str">
        <f>E1317&amp;(VLOOKUP(F1317,编号表!$E$1:$G$8,2,0))&amp;G1317&amp;"_"&amp;H1317&amp;"_"&amp;I1317</f>
        <v>24N4_3_3</v>
      </c>
      <c r="E1317" s="2">
        <v>24</v>
      </c>
      <c r="F1317" s="2" t="s">
        <v>174</v>
      </c>
      <c r="G1317" s="2">
        <v>4</v>
      </c>
      <c r="H1317" s="2">
        <v>3</v>
      </c>
      <c r="I1317" s="2">
        <f>COUNTIFS($E$3:E1317,E1317,$H$3:H1317,H1317)</f>
        <v>3</v>
      </c>
      <c r="N1317" s="11">
        <v>1024201</v>
      </c>
      <c r="O1317" s="11">
        <f t="shared" ref="O1317:R1317" si="58">N1317+100</f>
        <v>1024301</v>
      </c>
      <c r="P1317" s="11">
        <f t="shared" si="58"/>
        <v>1024401</v>
      </c>
      <c r="Q1317" s="11">
        <f t="shared" si="58"/>
        <v>1024501</v>
      </c>
    </row>
    <row r="1318" spans="1:18">
      <c r="A1318" s="11">
        <f t="shared" si="51"/>
        <v>70243304</v>
      </c>
      <c r="B1318" s="2" t="s">
        <v>1457</v>
      </c>
      <c r="D1318" s="2" t="str">
        <f>E1318&amp;(VLOOKUP(F1318,编号表!$E$1:$G$8,2,0))&amp;G1318&amp;"_"&amp;H1318&amp;"_"&amp;I1318</f>
        <v>24N3_3_4</v>
      </c>
      <c r="E1318" s="2">
        <v>24</v>
      </c>
      <c r="F1318" s="2" t="s">
        <v>174</v>
      </c>
      <c r="G1318" s="2">
        <v>3</v>
      </c>
      <c r="H1318" s="2">
        <v>3</v>
      </c>
      <c r="I1318" s="2">
        <f>COUNTIFS($E$3:E1318,E1318,$H$3:H1318,H1318)</f>
        <v>4</v>
      </c>
      <c r="N1318" s="11">
        <v>1024201</v>
      </c>
      <c r="O1318" s="11">
        <f t="shared" ref="O1318:R1318" si="59">N1318+100</f>
        <v>1024301</v>
      </c>
      <c r="P1318" s="11">
        <f t="shared" si="59"/>
        <v>1024401</v>
      </c>
      <c r="Q1318" s="11">
        <f t="shared" si="59"/>
        <v>1024501</v>
      </c>
    </row>
    <row r="1319" spans="1:18">
      <c r="A1319" s="11">
        <f t="shared" si="51"/>
        <v>70240001</v>
      </c>
      <c r="B1319" s="18" t="s">
        <v>1458</v>
      </c>
      <c r="D1319" s="2" t="str">
        <f>E1319&amp;(VLOOKUP(F1319,编号表!$E$1:$G$8,2,0))&amp;G1319&amp;"_"&amp;H1319&amp;"_"&amp;I1319</f>
        <v>24J0_0_1</v>
      </c>
      <c r="E1319" s="2">
        <v>24</v>
      </c>
      <c r="F1319" s="2" t="s">
        <v>222</v>
      </c>
      <c r="G1319" s="2">
        <v>0</v>
      </c>
      <c r="H1319" s="2">
        <v>0</v>
      </c>
      <c r="I1319" s="2">
        <f>COUNTIFS($E$3:E1319,E1319,$H$3:H1319,H1319)</f>
        <v>1</v>
      </c>
      <c r="J1319" s="2">
        <v>1</v>
      </c>
    </row>
    <row r="1320" spans="1:18">
      <c r="A1320" s="11">
        <f t="shared" si="51"/>
        <v>70254101</v>
      </c>
      <c r="B1320" s="2" t="s">
        <v>1459</v>
      </c>
      <c r="D1320" s="2" t="str">
        <f>E1320&amp;(VLOOKUP(F1320,编号表!$E$1:$G$8,2,0))&amp;G1320&amp;"_"&amp;H1320&amp;"_"&amp;I1320</f>
        <v>25N4_1_1</v>
      </c>
      <c r="E1320" s="2">
        <v>25</v>
      </c>
      <c r="F1320" s="2" t="s">
        <v>174</v>
      </c>
      <c r="G1320" s="2">
        <v>4</v>
      </c>
      <c r="H1320" s="2">
        <v>1</v>
      </c>
      <c r="I1320" s="2">
        <f>COUNTIFS($E$3:E1320,E1320,$H$3:H1320,H1320)</f>
        <v>1</v>
      </c>
      <c r="N1320" s="11">
        <v>1025201</v>
      </c>
      <c r="O1320" s="11">
        <v>1025301</v>
      </c>
      <c r="P1320" s="11">
        <v>1025401</v>
      </c>
      <c r="Q1320" s="11">
        <v>1025501</v>
      </c>
      <c r="R1320" s="11">
        <v>1025001</v>
      </c>
    </row>
    <row r="1321" spans="1:18">
      <c r="A1321" s="11">
        <f t="shared" si="51"/>
        <v>70255102</v>
      </c>
      <c r="B1321" s="2" t="s">
        <v>1460</v>
      </c>
      <c r="D1321" s="2" t="str">
        <f>E1321&amp;(VLOOKUP(F1321,编号表!$E$1:$G$8,2,0))&amp;G1321&amp;"_"&amp;H1321&amp;"_"&amp;I1321</f>
        <v>25N5_1_2</v>
      </c>
      <c r="E1321" s="2">
        <v>25</v>
      </c>
      <c r="F1321" s="2" t="s">
        <v>174</v>
      </c>
      <c r="G1321" s="2">
        <v>5</v>
      </c>
      <c r="H1321" s="2">
        <v>1</v>
      </c>
      <c r="I1321" s="2">
        <f>COUNTIFS($E$3:E1321,E1321,$H$3:H1321,H1321)</f>
        <v>2</v>
      </c>
      <c r="N1321" s="11">
        <v>1025201</v>
      </c>
      <c r="O1321" s="11">
        <v>1025301</v>
      </c>
      <c r="P1321" s="11">
        <v>1025401</v>
      </c>
      <c r="Q1321" s="11">
        <v>1025501</v>
      </c>
      <c r="R1321" s="11">
        <v>1025101</v>
      </c>
    </row>
    <row r="1322" spans="1:18">
      <c r="A1322" s="11">
        <f t="shared" si="51"/>
        <v>70255103</v>
      </c>
      <c r="B1322" s="2" t="s">
        <v>1461</v>
      </c>
      <c r="D1322" s="2" t="str">
        <f>E1322&amp;(VLOOKUP(F1322,编号表!$E$1:$G$8,2,0))&amp;G1322&amp;"_"&amp;H1322&amp;"_"&amp;I1322</f>
        <v>25N5_1_3</v>
      </c>
      <c r="E1322" s="2">
        <v>25</v>
      </c>
      <c r="F1322" s="2" t="s">
        <v>174</v>
      </c>
      <c r="G1322" s="2">
        <v>5</v>
      </c>
      <c r="H1322" s="2">
        <v>1</v>
      </c>
      <c r="I1322" s="2">
        <f>COUNTIFS($E$3:E1322,E1322,$H$3:H1322,H1322)</f>
        <v>3</v>
      </c>
      <c r="N1322" s="11">
        <v>1025201</v>
      </c>
      <c r="O1322" s="11">
        <v>1025301</v>
      </c>
      <c r="P1322" s="11">
        <v>1025401</v>
      </c>
      <c r="Q1322" s="11">
        <v>1025501</v>
      </c>
    </row>
    <row r="1323" spans="1:18">
      <c r="A1323" s="11">
        <f t="shared" si="51"/>
        <v>70254104</v>
      </c>
      <c r="B1323" s="2" t="s">
        <v>1462</v>
      </c>
      <c r="D1323" s="2" t="str">
        <f>E1323&amp;(VLOOKUP(F1323,编号表!$E$1:$G$8,2,0))&amp;G1323&amp;"_"&amp;H1323&amp;"_"&amp;I1323</f>
        <v>25N4_1_4</v>
      </c>
      <c r="E1323" s="2">
        <v>25</v>
      </c>
      <c r="F1323" s="2" t="s">
        <v>174</v>
      </c>
      <c r="G1323" s="2">
        <v>4</v>
      </c>
      <c r="H1323" s="2">
        <v>1</v>
      </c>
      <c r="I1323" s="2">
        <f>COUNTIFS($E$3:E1323,E1323,$H$3:H1323,H1323)</f>
        <v>4</v>
      </c>
      <c r="N1323" s="11">
        <v>1025201</v>
      </c>
      <c r="O1323" s="11">
        <v>1025301</v>
      </c>
      <c r="P1323" s="11">
        <v>1025401</v>
      </c>
      <c r="Q1323" s="11">
        <v>1025501</v>
      </c>
    </row>
    <row r="1324" spans="1:18">
      <c r="A1324" s="11">
        <f t="shared" si="51"/>
        <v>70253105</v>
      </c>
      <c r="B1324" s="2" t="s">
        <v>1463</v>
      </c>
      <c r="D1324" s="2" t="str">
        <f>E1324&amp;(VLOOKUP(F1324,编号表!$E$1:$G$8,2,0))&amp;G1324&amp;"_"&amp;H1324&amp;"_"&amp;I1324</f>
        <v>25N3_1_5</v>
      </c>
      <c r="E1324" s="2">
        <v>25</v>
      </c>
      <c r="F1324" s="2" t="s">
        <v>174</v>
      </c>
      <c r="G1324" s="2">
        <v>3</v>
      </c>
      <c r="H1324" s="2">
        <v>1</v>
      </c>
      <c r="I1324" s="2">
        <f>COUNTIFS($E$3:E1324,E1324,$H$3:H1324,H1324)</f>
        <v>5</v>
      </c>
      <c r="N1324" s="11">
        <v>1025201</v>
      </c>
      <c r="O1324" s="11">
        <v>1025301</v>
      </c>
      <c r="P1324" s="11">
        <v>1025401</v>
      </c>
      <c r="Q1324" s="11">
        <v>1025501</v>
      </c>
    </row>
    <row r="1325" spans="1:18">
      <c r="A1325" s="11">
        <f t="shared" si="51"/>
        <v>70255106</v>
      </c>
      <c r="B1325" s="2" t="s">
        <v>1464</v>
      </c>
      <c r="D1325" s="2" t="str">
        <f>E1325&amp;(VLOOKUP(F1325,编号表!$E$1:$G$8,2,0))&amp;G1325&amp;"_"&amp;H1325&amp;"_"&amp;I1325</f>
        <v>25N5_1_6</v>
      </c>
      <c r="E1325" s="2">
        <v>25</v>
      </c>
      <c r="F1325" s="2" t="s">
        <v>174</v>
      </c>
      <c r="G1325" s="2">
        <v>5</v>
      </c>
      <c r="H1325" s="2">
        <v>1</v>
      </c>
      <c r="I1325" s="2">
        <f>COUNTIFS($E$3:E1325,E1325,$H$3:H1325,H1325)</f>
        <v>6</v>
      </c>
      <c r="N1325" s="11">
        <v>1025201</v>
      </c>
      <c r="O1325" s="11">
        <v>1025301</v>
      </c>
      <c r="P1325" s="11">
        <v>1025401</v>
      </c>
      <c r="Q1325" s="11">
        <v>1025501</v>
      </c>
    </row>
    <row r="1326" spans="1:18">
      <c r="A1326" s="11">
        <f t="shared" si="51"/>
        <v>70254107</v>
      </c>
      <c r="B1326" s="2" t="s">
        <v>1465</v>
      </c>
      <c r="D1326" s="2" t="str">
        <f>E1326&amp;(VLOOKUP(F1326,编号表!$E$1:$G$8,2,0))&amp;G1326&amp;"_"&amp;H1326&amp;"_"&amp;I1326</f>
        <v>25N4_1_7</v>
      </c>
      <c r="E1326" s="2">
        <v>25</v>
      </c>
      <c r="F1326" s="2" t="s">
        <v>174</v>
      </c>
      <c r="G1326" s="2">
        <v>4</v>
      </c>
      <c r="H1326" s="2">
        <v>1</v>
      </c>
      <c r="I1326" s="2">
        <f>COUNTIFS($E$3:E1326,E1326,$H$3:H1326,H1326)</f>
        <v>7</v>
      </c>
      <c r="N1326" s="11">
        <v>1025201</v>
      </c>
      <c r="O1326" s="11">
        <v>1025301</v>
      </c>
      <c r="P1326" s="11">
        <v>1025401</v>
      </c>
      <c r="Q1326" s="11">
        <v>1025501</v>
      </c>
    </row>
    <row r="1327" spans="1:18">
      <c r="A1327" s="11">
        <f t="shared" si="51"/>
        <v>70255108</v>
      </c>
      <c r="B1327" s="2" t="s">
        <v>1466</v>
      </c>
      <c r="D1327" s="2" t="str">
        <f>E1327&amp;(VLOOKUP(F1327,编号表!$E$1:$G$8,2,0))&amp;G1327&amp;"_"&amp;H1327&amp;"_"&amp;I1327</f>
        <v>25N5_1_8</v>
      </c>
      <c r="E1327" s="2">
        <v>25</v>
      </c>
      <c r="F1327" s="2" t="s">
        <v>174</v>
      </c>
      <c r="G1327" s="2">
        <v>5</v>
      </c>
      <c r="H1327" s="2">
        <v>1</v>
      </c>
      <c r="I1327" s="2">
        <f>COUNTIFS($E$3:E1327,E1327,$H$3:H1327,H1327)</f>
        <v>8</v>
      </c>
      <c r="N1327" s="11">
        <v>1025201</v>
      </c>
      <c r="O1327" s="11">
        <v>1025301</v>
      </c>
      <c r="P1327" s="11">
        <v>1025401</v>
      </c>
      <c r="Q1327" s="11">
        <v>1025501</v>
      </c>
    </row>
    <row r="1328" spans="1:18">
      <c r="A1328" s="11">
        <f t="shared" si="51"/>
        <v>70254109</v>
      </c>
      <c r="B1328" s="2" t="s">
        <v>1467</v>
      </c>
      <c r="D1328" s="2" t="str">
        <f>E1328&amp;(VLOOKUP(F1328,编号表!$E$1:$G$8,2,0))&amp;G1328&amp;"_"&amp;H1328&amp;"_"&amp;I1328</f>
        <v>25N4_1_9</v>
      </c>
      <c r="E1328" s="2">
        <v>25</v>
      </c>
      <c r="F1328" s="2" t="s">
        <v>174</v>
      </c>
      <c r="G1328" s="2">
        <v>4</v>
      </c>
      <c r="H1328" s="2">
        <v>1</v>
      </c>
      <c r="I1328" s="2">
        <f>COUNTIFS($E$3:E1328,E1328,$H$3:H1328,H1328)</f>
        <v>9</v>
      </c>
      <c r="N1328" s="11">
        <v>1025201</v>
      </c>
      <c r="O1328" s="11">
        <v>1025301</v>
      </c>
      <c r="P1328" s="11">
        <v>1025401</v>
      </c>
      <c r="Q1328" s="11">
        <v>1025501</v>
      </c>
    </row>
    <row r="1329" spans="1:17">
      <c r="A1329" s="11">
        <f t="shared" si="51"/>
        <v>70255110</v>
      </c>
      <c r="B1329" s="2" t="s">
        <v>1468</v>
      </c>
      <c r="D1329" s="2" t="str">
        <f>E1329&amp;(VLOOKUP(F1329,编号表!$E$1:$G$8,2,0))&amp;G1329&amp;"_"&amp;H1329&amp;"_"&amp;I1329</f>
        <v>25N5_1_10</v>
      </c>
      <c r="E1329" s="2">
        <v>25</v>
      </c>
      <c r="F1329" s="2" t="s">
        <v>174</v>
      </c>
      <c r="G1329" s="2">
        <v>5</v>
      </c>
      <c r="H1329" s="2">
        <v>1</v>
      </c>
      <c r="I1329" s="2">
        <f>COUNTIFS($E$3:E1329,E1329,$H$3:H1329,H1329)</f>
        <v>10</v>
      </c>
      <c r="N1329" s="11">
        <v>1025201</v>
      </c>
      <c r="O1329" s="11">
        <v>1025301</v>
      </c>
      <c r="P1329" s="11">
        <v>1025401</v>
      </c>
      <c r="Q1329" s="11">
        <v>1025501</v>
      </c>
    </row>
    <row r="1330" spans="1:17">
      <c r="A1330" s="11">
        <f t="shared" si="51"/>
        <v>70255111</v>
      </c>
      <c r="B1330" s="2" t="s">
        <v>1469</v>
      </c>
      <c r="D1330" s="2" t="str">
        <f>E1330&amp;(VLOOKUP(F1330,编号表!$E$1:$G$8,2,0))&amp;G1330&amp;"_"&amp;H1330&amp;"_"&amp;I1330</f>
        <v>25N5_1_11</v>
      </c>
      <c r="E1330" s="2">
        <v>25</v>
      </c>
      <c r="F1330" s="2" t="s">
        <v>174</v>
      </c>
      <c r="G1330" s="2">
        <v>5</v>
      </c>
      <c r="H1330" s="2">
        <v>1</v>
      </c>
      <c r="I1330" s="2">
        <f>COUNTIFS($E$3:E1330,E1330,$H$3:H1330,H1330)</f>
        <v>11</v>
      </c>
      <c r="N1330" s="11">
        <v>1025201</v>
      </c>
      <c r="O1330" s="11">
        <v>1025301</v>
      </c>
      <c r="P1330" s="11">
        <v>1025401</v>
      </c>
      <c r="Q1330" s="11">
        <v>1025501</v>
      </c>
    </row>
    <row r="1331" spans="1:17">
      <c r="A1331" s="11">
        <f t="shared" si="51"/>
        <v>70253201</v>
      </c>
      <c r="B1331" s="16" t="s">
        <v>19</v>
      </c>
      <c r="C1331" s="2" t="s">
        <v>1470</v>
      </c>
      <c r="D1331" s="2" t="str">
        <f>E1331&amp;(VLOOKUP(F1331,编号表!$E$1:$G$8,2,0))&amp;G1331&amp;"_"&amp;H1331&amp;"_"&amp;I1331</f>
        <v>25T3_2_1</v>
      </c>
      <c r="E1331" s="2">
        <v>25</v>
      </c>
      <c r="F1331" s="2" t="s">
        <v>190</v>
      </c>
      <c r="G1331" s="2">
        <v>3</v>
      </c>
      <c r="H1331" s="2">
        <v>2</v>
      </c>
      <c r="I1331" s="2">
        <f>COUNTIFS($E$3:E1331,E1331,$H$3:H1331,H1331)</f>
        <v>1</v>
      </c>
    </row>
    <row r="1332" spans="1:17">
      <c r="A1332" s="11">
        <f t="shared" si="51"/>
        <v>70251202</v>
      </c>
      <c r="B1332" s="15" t="s">
        <v>1471</v>
      </c>
      <c r="D1332" s="2" t="str">
        <f>E1332&amp;(VLOOKUP(F1332,编号表!$E$1:$G$8,2,0))&amp;G1332&amp;"_"&amp;H1332&amp;"_"&amp;I1332</f>
        <v>25T1_2_2</v>
      </c>
      <c r="E1332" s="2">
        <v>25</v>
      </c>
      <c r="F1332" s="2" t="s">
        <v>190</v>
      </c>
      <c r="G1332" s="2">
        <v>1</v>
      </c>
      <c r="H1332" s="2">
        <v>2</v>
      </c>
      <c r="I1332" s="2">
        <f>COUNTIFS($E$3:E1332,E1332,$H$3:H1332,H1332)</f>
        <v>2</v>
      </c>
      <c r="K1332" s="2">
        <v>1</v>
      </c>
    </row>
    <row r="1333" spans="1:17">
      <c r="A1333" s="11">
        <f t="shared" si="51"/>
        <v>70253203</v>
      </c>
      <c r="B1333" s="2" t="s">
        <v>1472</v>
      </c>
      <c r="D1333" s="2" t="str">
        <f>E1333&amp;(VLOOKUP(F1333,编号表!$E$1:$G$8,2,0))&amp;G1333&amp;"_"&amp;H1333&amp;"_"&amp;I1333</f>
        <v>25N3_2_3</v>
      </c>
      <c r="E1333" s="2">
        <v>25</v>
      </c>
      <c r="F1333" s="2" t="s">
        <v>174</v>
      </c>
      <c r="G1333" s="2">
        <v>3</v>
      </c>
      <c r="H1333" s="2">
        <v>2</v>
      </c>
      <c r="I1333" s="2">
        <f>COUNTIFS($E$3:E1333,E1333,$H$3:H1333,H1333)</f>
        <v>3</v>
      </c>
      <c r="N1333" s="11">
        <v>1025201</v>
      </c>
      <c r="O1333" s="11">
        <v>1025301</v>
      </c>
      <c r="P1333" s="11">
        <v>1025401</v>
      </c>
      <c r="Q1333" s="11">
        <v>1025501</v>
      </c>
    </row>
    <row r="1334" spans="1:17">
      <c r="A1334" s="11">
        <f t="shared" si="51"/>
        <v>70254204</v>
      </c>
      <c r="B1334" s="2" t="s">
        <v>1473</v>
      </c>
      <c r="D1334" s="2" t="str">
        <f>E1334&amp;(VLOOKUP(F1334,编号表!$E$1:$G$8,2,0))&amp;G1334&amp;"_"&amp;H1334&amp;"_"&amp;I1334</f>
        <v>25N4_2_4</v>
      </c>
      <c r="E1334" s="2">
        <v>25</v>
      </c>
      <c r="F1334" s="2" t="s">
        <v>174</v>
      </c>
      <c r="G1334" s="2">
        <v>4</v>
      </c>
      <c r="H1334" s="2">
        <v>2</v>
      </c>
      <c r="I1334" s="2">
        <f>COUNTIFS($E$3:E1334,E1334,$H$3:H1334,H1334)</f>
        <v>4</v>
      </c>
      <c r="N1334" s="11">
        <v>1025201</v>
      </c>
      <c r="O1334" s="11">
        <v>1025301</v>
      </c>
      <c r="P1334" s="11">
        <v>1025401</v>
      </c>
      <c r="Q1334" s="11">
        <v>1025501</v>
      </c>
    </row>
    <row r="1335" spans="1:17">
      <c r="A1335" s="11">
        <f t="shared" si="51"/>
        <v>70254205</v>
      </c>
      <c r="B1335" s="2" t="s">
        <v>1474</v>
      </c>
      <c r="D1335" s="2" t="str">
        <f>E1335&amp;(VLOOKUP(F1335,编号表!$E$1:$G$8,2,0))&amp;G1335&amp;"_"&amp;H1335&amp;"_"&amp;I1335</f>
        <v>25N4_2_5</v>
      </c>
      <c r="E1335" s="2">
        <v>25</v>
      </c>
      <c r="F1335" s="2" t="s">
        <v>174</v>
      </c>
      <c r="G1335" s="2">
        <v>4</v>
      </c>
      <c r="H1335" s="2">
        <v>2</v>
      </c>
      <c r="I1335" s="2">
        <f>COUNTIFS($E$3:E1335,E1335,$H$3:H1335,H1335)</f>
        <v>5</v>
      </c>
      <c r="N1335" s="11">
        <v>1025201</v>
      </c>
      <c r="O1335" s="11">
        <v>1025301</v>
      </c>
      <c r="P1335" s="11">
        <v>1025401</v>
      </c>
      <c r="Q1335" s="11">
        <v>1025501</v>
      </c>
    </row>
    <row r="1336" spans="1:17">
      <c r="A1336" s="11">
        <f t="shared" si="51"/>
        <v>70255206</v>
      </c>
      <c r="B1336" s="2" t="s">
        <v>1475</v>
      </c>
      <c r="D1336" s="2" t="str">
        <f>E1336&amp;(VLOOKUP(F1336,编号表!$E$1:$G$8,2,0))&amp;G1336&amp;"_"&amp;H1336&amp;"_"&amp;I1336</f>
        <v>25N5_2_6</v>
      </c>
      <c r="E1336" s="2">
        <v>25</v>
      </c>
      <c r="F1336" s="2" t="s">
        <v>174</v>
      </c>
      <c r="G1336" s="2">
        <v>5</v>
      </c>
      <c r="H1336" s="2">
        <v>2</v>
      </c>
      <c r="I1336" s="2">
        <f>COUNTIFS($E$3:E1336,E1336,$H$3:H1336,H1336)</f>
        <v>6</v>
      </c>
      <c r="N1336" s="11">
        <v>1025201</v>
      </c>
      <c r="O1336" s="11">
        <v>1025301</v>
      </c>
      <c r="P1336" s="11">
        <v>1025401</v>
      </c>
      <c r="Q1336" s="11">
        <v>1025501</v>
      </c>
    </row>
    <row r="1337" spans="1:17">
      <c r="A1337" s="11">
        <f t="shared" si="51"/>
        <v>70252207</v>
      </c>
      <c r="B1337" s="2" t="s">
        <v>1476</v>
      </c>
      <c r="D1337" s="2" t="str">
        <f>E1337&amp;(VLOOKUP(F1337,编号表!$E$1:$G$8,2,0))&amp;G1337&amp;"_"&amp;H1337&amp;"_"&amp;I1337</f>
        <v>25N2_2_7</v>
      </c>
      <c r="E1337" s="2">
        <v>25</v>
      </c>
      <c r="F1337" s="2" t="s">
        <v>174</v>
      </c>
      <c r="G1337" s="2">
        <v>2</v>
      </c>
      <c r="H1337" s="2">
        <v>2</v>
      </c>
      <c r="I1337" s="2">
        <f>COUNTIFS($E$3:E1337,E1337,$H$3:H1337,H1337)</f>
        <v>7</v>
      </c>
      <c r="N1337" s="11">
        <v>1025201</v>
      </c>
      <c r="O1337" s="11">
        <v>1025301</v>
      </c>
      <c r="P1337" s="11">
        <v>1025401</v>
      </c>
      <c r="Q1337" s="11">
        <v>1025501</v>
      </c>
    </row>
    <row r="1338" spans="1:17">
      <c r="A1338" s="11">
        <f t="shared" si="51"/>
        <v>70253208</v>
      </c>
      <c r="B1338" s="2" t="s">
        <v>1477</v>
      </c>
      <c r="D1338" s="2" t="str">
        <f>E1338&amp;(VLOOKUP(F1338,编号表!$E$1:$G$8,2,0))&amp;G1338&amp;"_"&amp;H1338&amp;"_"&amp;I1338</f>
        <v>25N3_2_8</v>
      </c>
      <c r="E1338" s="2">
        <v>25</v>
      </c>
      <c r="F1338" s="2" t="s">
        <v>174</v>
      </c>
      <c r="G1338" s="2">
        <v>3</v>
      </c>
      <c r="H1338" s="2">
        <v>2</v>
      </c>
      <c r="I1338" s="2">
        <f>COUNTIFS($E$3:E1338,E1338,$H$3:H1338,H1338)</f>
        <v>8</v>
      </c>
      <c r="N1338" s="11">
        <v>1025201</v>
      </c>
      <c r="O1338" s="11">
        <v>1025301</v>
      </c>
      <c r="P1338" s="11">
        <v>1025401</v>
      </c>
      <c r="Q1338" s="11">
        <v>1025501</v>
      </c>
    </row>
    <row r="1339" spans="1:17">
      <c r="A1339" s="11">
        <f t="shared" si="51"/>
        <v>70255209</v>
      </c>
      <c r="B1339" s="2" t="s">
        <v>1478</v>
      </c>
      <c r="D1339" s="2" t="str">
        <f>E1339&amp;(VLOOKUP(F1339,编号表!$E$1:$G$8,2,0))&amp;G1339&amp;"_"&amp;H1339&amp;"_"&amp;I1339</f>
        <v>25N5_2_9</v>
      </c>
      <c r="E1339" s="2">
        <v>25</v>
      </c>
      <c r="F1339" s="2" t="s">
        <v>174</v>
      </c>
      <c r="G1339" s="2">
        <v>5</v>
      </c>
      <c r="H1339" s="2">
        <v>2</v>
      </c>
      <c r="I1339" s="2">
        <f>COUNTIFS($E$3:E1339,E1339,$H$3:H1339,H1339)</f>
        <v>9</v>
      </c>
      <c r="N1339" s="11">
        <v>1025201</v>
      </c>
      <c r="O1339" s="11">
        <v>1025301</v>
      </c>
      <c r="P1339" s="11">
        <v>1025401</v>
      </c>
      <c r="Q1339" s="11">
        <v>1025501</v>
      </c>
    </row>
    <row r="1340" spans="1:17">
      <c r="A1340" s="11">
        <f t="shared" ref="A1340:A1357" si="60">70000000+E1340*10000+G1340*1000+H1340*100+I1340</f>
        <v>70253301</v>
      </c>
      <c r="B1340" s="2" t="s">
        <v>1479</v>
      </c>
      <c r="D1340" s="2" t="str">
        <f>E1340&amp;(VLOOKUP(F1340,编号表!$E$1:$G$8,2,0))&amp;G1340&amp;"_"&amp;H1340&amp;"_"&amp;I1340</f>
        <v>25N3_3_1</v>
      </c>
      <c r="E1340" s="2">
        <v>25</v>
      </c>
      <c r="F1340" s="2" t="s">
        <v>174</v>
      </c>
      <c r="G1340" s="2">
        <v>3</v>
      </c>
      <c r="H1340" s="2">
        <v>3</v>
      </c>
      <c r="I1340" s="2">
        <f>COUNTIFS($E$3:E1340,E1340,$H$3:H1340,H1340)</f>
        <v>1</v>
      </c>
      <c r="N1340" s="11">
        <v>1025201</v>
      </c>
      <c r="O1340" s="11">
        <v>1025301</v>
      </c>
      <c r="P1340" s="11">
        <v>1025401</v>
      </c>
      <c r="Q1340" s="11">
        <v>1025501</v>
      </c>
    </row>
    <row r="1341" spans="1:17">
      <c r="A1341" s="11">
        <f t="shared" si="60"/>
        <v>70254302</v>
      </c>
      <c r="B1341" s="2" t="s">
        <v>1480</v>
      </c>
      <c r="D1341" s="2" t="str">
        <f>E1341&amp;(VLOOKUP(F1341,编号表!$E$1:$G$8,2,0))&amp;G1341&amp;"_"&amp;H1341&amp;"_"&amp;I1341</f>
        <v>25N4_3_2</v>
      </c>
      <c r="E1341" s="2">
        <v>25</v>
      </c>
      <c r="F1341" s="2" t="s">
        <v>174</v>
      </c>
      <c r="G1341" s="2">
        <v>4</v>
      </c>
      <c r="H1341" s="2">
        <v>3</v>
      </c>
      <c r="I1341" s="2">
        <f>COUNTIFS($E$3:E1341,E1341,$H$3:H1341,H1341)</f>
        <v>2</v>
      </c>
      <c r="N1341" s="11">
        <v>1025201</v>
      </c>
      <c r="O1341" s="11">
        <v>1025301</v>
      </c>
      <c r="P1341" s="11">
        <v>1025401</v>
      </c>
      <c r="Q1341" s="11">
        <v>1025501</v>
      </c>
    </row>
    <row r="1342" spans="1:17">
      <c r="A1342" s="11">
        <f t="shared" si="60"/>
        <v>70252303</v>
      </c>
      <c r="B1342" s="2" t="s">
        <v>1481</v>
      </c>
      <c r="D1342" s="2" t="str">
        <f>E1342&amp;(VLOOKUP(F1342,编号表!$E$1:$G$8,2,0))&amp;G1342&amp;"_"&amp;H1342&amp;"_"&amp;I1342</f>
        <v>25N2_3_3</v>
      </c>
      <c r="E1342" s="2">
        <v>25</v>
      </c>
      <c r="F1342" s="2" t="s">
        <v>174</v>
      </c>
      <c r="G1342" s="2">
        <v>2</v>
      </c>
      <c r="H1342" s="2">
        <v>3</v>
      </c>
      <c r="I1342" s="2">
        <f>COUNTIFS($E$3:E1342,E1342,$H$3:H1342,H1342)</f>
        <v>3</v>
      </c>
      <c r="N1342" s="11">
        <v>1025201</v>
      </c>
      <c r="O1342" s="11">
        <v>1025301</v>
      </c>
      <c r="P1342" s="11">
        <v>1025401</v>
      </c>
      <c r="Q1342" s="11">
        <v>1025501</v>
      </c>
    </row>
    <row r="1343" spans="1:17">
      <c r="A1343" s="11">
        <f t="shared" si="60"/>
        <v>70252304</v>
      </c>
      <c r="B1343" s="2" t="s">
        <v>1482</v>
      </c>
      <c r="D1343" s="2" t="str">
        <f>E1343&amp;(VLOOKUP(F1343,编号表!$E$1:$G$8,2,0))&amp;G1343&amp;"_"&amp;H1343&amp;"_"&amp;I1343</f>
        <v>25N2_3_4</v>
      </c>
      <c r="E1343" s="2">
        <v>25</v>
      </c>
      <c r="F1343" s="2" t="s">
        <v>174</v>
      </c>
      <c r="G1343" s="2">
        <v>2</v>
      </c>
      <c r="H1343" s="2">
        <v>3</v>
      </c>
      <c r="I1343" s="2">
        <f>COUNTIFS($E$3:E1343,E1343,$H$3:H1343,H1343)</f>
        <v>4</v>
      </c>
      <c r="N1343" s="11">
        <v>1025201</v>
      </c>
      <c r="O1343" s="11">
        <v>1025301</v>
      </c>
      <c r="P1343" s="11">
        <v>1025401</v>
      </c>
      <c r="Q1343" s="11">
        <v>1025501</v>
      </c>
    </row>
    <row r="1344" spans="1:17">
      <c r="A1344" s="11">
        <f t="shared" si="60"/>
        <v>70255305</v>
      </c>
      <c r="B1344" s="2" t="s">
        <v>1483</v>
      </c>
      <c r="D1344" s="2" t="str">
        <f>E1344&amp;(VLOOKUP(F1344,编号表!$E$1:$G$8,2,0))&amp;G1344&amp;"_"&amp;H1344&amp;"_"&amp;I1344</f>
        <v>25N5_3_5</v>
      </c>
      <c r="E1344" s="2">
        <v>25</v>
      </c>
      <c r="F1344" s="2" t="s">
        <v>174</v>
      </c>
      <c r="G1344" s="2">
        <v>5</v>
      </c>
      <c r="H1344" s="2">
        <v>3</v>
      </c>
      <c r="I1344" s="2">
        <f>COUNTIFS($E$3:E1344,E1344,$H$3:H1344,H1344)</f>
        <v>5</v>
      </c>
      <c r="N1344" s="11">
        <v>1025201</v>
      </c>
      <c r="O1344" s="11">
        <v>1025301</v>
      </c>
      <c r="P1344" s="11">
        <v>1025401</v>
      </c>
      <c r="Q1344" s="11">
        <v>1025501</v>
      </c>
    </row>
    <row r="1345" spans="1:21">
      <c r="A1345" s="11">
        <f t="shared" si="60"/>
        <v>70254306</v>
      </c>
      <c r="B1345" s="2" t="s">
        <v>1484</v>
      </c>
      <c r="D1345" s="2" t="str">
        <f>E1345&amp;(VLOOKUP(F1345,编号表!$E$1:$G$8,2,0))&amp;G1345&amp;"_"&amp;H1345&amp;"_"&amp;I1345</f>
        <v>25N4_3_6</v>
      </c>
      <c r="E1345" s="2">
        <v>25</v>
      </c>
      <c r="F1345" s="2" t="s">
        <v>174</v>
      </c>
      <c r="G1345" s="2">
        <v>4</v>
      </c>
      <c r="H1345" s="2">
        <v>3</v>
      </c>
      <c r="I1345" s="2">
        <f>COUNTIFS($E$3:E1345,E1345,$H$3:H1345,H1345)</f>
        <v>6</v>
      </c>
      <c r="N1345" s="11">
        <v>1025201</v>
      </c>
      <c r="O1345" s="11">
        <v>1025301</v>
      </c>
      <c r="P1345" s="11">
        <v>1025401</v>
      </c>
      <c r="Q1345" s="11">
        <v>1025501</v>
      </c>
    </row>
    <row r="1346" spans="1:21">
      <c r="A1346" s="11">
        <f t="shared" si="60"/>
        <v>70254307</v>
      </c>
      <c r="B1346" s="2" t="s">
        <v>1485</v>
      </c>
      <c r="D1346" s="2" t="str">
        <f>E1346&amp;(VLOOKUP(F1346,编号表!$E$1:$G$8,2,0))&amp;G1346&amp;"_"&amp;H1346&amp;"_"&amp;I1346</f>
        <v>25N4_3_7</v>
      </c>
      <c r="E1346" s="2">
        <v>25</v>
      </c>
      <c r="F1346" s="2" t="s">
        <v>174</v>
      </c>
      <c r="G1346" s="2">
        <v>4</v>
      </c>
      <c r="H1346" s="2">
        <v>3</v>
      </c>
      <c r="I1346" s="2">
        <f>COUNTIFS($E$3:E1346,E1346,$H$3:H1346,H1346)</f>
        <v>7</v>
      </c>
      <c r="N1346" s="11">
        <v>1025201</v>
      </c>
      <c r="O1346" s="11">
        <v>1025301</v>
      </c>
      <c r="P1346" s="11">
        <v>1025401</v>
      </c>
      <c r="Q1346" s="11">
        <v>1025501</v>
      </c>
    </row>
    <row r="1347" spans="1:21">
      <c r="A1347" s="11">
        <f t="shared" si="60"/>
        <v>70255308</v>
      </c>
      <c r="B1347" s="2" t="s">
        <v>1486</v>
      </c>
      <c r="D1347" s="2" t="str">
        <f>E1347&amp;(VLOOKUP(F1347,编号表!$E$1:$G$8,2,0))&amp;G1347&amp;"_"&amp;H1347&amp;"_"&amp;I1347</f>
        <v>25N5_3_8</v>
      </c>
      <c r="E1347" s="2">
        <v>25</v>
      </c>
      <c r="F1347" s="2" t="s">
        <v>174</v>
      </c>
      <c r="G1347" s="2">
        <v>5</v>
      </c>
      <c r="H1347" s="2">
        <v>3</v>
      </c>
      <c r="I1347" s="2">
        <f>COUNTIFS($E$3:E1347,E1347,$H$3:H1347,H1347)</f>
        <v>8</v>
      </c>
      <c r="N1347" s="11">
        <v>1025201</v>
      </c>
      <c r="O1347" s="11">
        <v>1025301</v>
      </c>
      <c r="P1347" s="11">
        <v>1025401</v>
      </c>
      <c r="Q1347" s="11">
        <v>1025501</v>
      </c>
    </row>
    <row r="1348" spans="1:21">
      <c r="A1348" s="11">
        <f t="shared" si="60"/>
        <v>70252309</v>
      </c>
      <c r="B1348" s="2" t="s">
        <v>1487</v>
      </c>
      <c r="D1348" s="2" t="str">
        <f>E1348&amp;(VLOOKUP(F1348,编号表!$E$1:$G$8,2,0))&amp;G1348&amp;"_"&amp;H1348&amp;"_"&amp;I1348</f>
        <v>25N2_3_9</v>
      </c>
      <c r="E1348" s="2">
        <v>25</v>
      </c>
      <c r="F1348" s="2" t="s">
        <v>174</v>
      </c>
      <c r="G1348" s="2">
        <v>2</v>
      </c>
      <c r="H1348" s="2">
        <v>3</v>
      </c>
      <c r="I1348" s="2">
        <f>COUNTIFS($E$3:E1348,E1348,$H$3:H1348,H1348)</f>
        <v>9</v>
      </c>
      <c r="N1348" s="11">
        <v>1025201</v>
      </c>
      <c r="O1348" s="11">
        <v>1025301</v>
      </c>
      <c r="P1348" s="11">
        <v>1025401</v>
      </c>
      <c r="Q1348" s="11">
        <v>1025501</v>
      </c>
    </row>
    <row r="1349" spans="1:21">
      <c r="A1349" s="11">
        <f t="shared" si="60"/>
        <v>70255310</v>
      </c>
      <c r="B1349" s="2" t="s">
        <v>1488</v>
      </c>
      <c r="D1349" s="2" t="str">
        <f>E1349&amp;(VLOOKUP(F1349,编号表!$E$1:$G$8,2,0))&amp;G1349&amp;"_"&amp;H1349&amp;"_"&amp;I1349</f>
        <v>25N5_3_10</v>
      </c>
      <c r="E1349" s="2">
        <v>25</v>
      </c>
      <c r="F1349" s="2" t="s">
        <v>174</v>
      </c>
      <c r="G1349" s="2">
        <v>5</v>
      </c>
      <c r="H1349" s="2">
        <v>3</v>
      </c>
      <c r="I1349" s="2">
        <f>COUNTIFS($E$3:E1349,E1349,$H$3:H1349,H1349)</f>
        <v>10</v>
      </c>
      <c r="N1349" s="11">
        <v>1025201</v>
      </c>
      <c r="O1349" s="11">
        <v>1025301</v>
      </c>
      <c r="P1349" s="11">
        <v>1025401</v>
      </c>
      <c r="Q1349" s="11">
        <v>1025501</v>
      </c>
    </row>
    <row r="1350" spans="1:21">
      <c r="A1350" s="11">
        <f t="shared" si="60"/>
        <v>70255401</v>
      </c>
      <c r="B1350" s="2" t="s">
        <v>1489</v>
      </c>
      <c r="D1350" s="2" t="str">
        <f>E1350&amp;(VLOOKUP(F1350,编号表!$E$1:$G$8,2,0))&amp;G1350&amp;"_"&amp;H1350&amp;"_"&amp;I1350</f>
        <v>25N5_4_1</v>
      </c>
      <c r="E1350" s="2">
        <v>25</v>
      </c>
      <c r="F1350" s="2" t="s">
        <v>174</v>
      </c>
      <c r="G1350" s="2">
        <v>5</v>
      </c>
      <c r="H1350" s="2">
        <v>4</v>
      </c>
      <c r="I1350" s="2">
        <f>COUNTIFS($E$3:E1350,E1350,$H$3:H1350,H1350)</f>
        <v>1</v>
      </c>
      <c r="N1350" s="11">
        <v>1025201</v>
      </c>
      <c r="O1350" s="11">
        <v>1025301</v>
      </c>
      <c r="P1350" s="11">
        <v>1025401</v>
      </c>
      <c r="Q1350" s="11">
        <v>1025501</v>
      </c>
    </row>
    <row r="1351" spans="1:21">
      <c r="A1351" s="11">
        <f t="shared" si="60"/>
        <v>70254402</v>
      </c>
      <c r="B1351" s="2" t="s">
        <v>1490</v>
      </c>
      <c r="D1351" s="2" t="str">
        <f>E1351&amp;(VLOOKUP(F1351,编号表!$E$1:$G$8,2,0))&amp;G1351&amp;"_"&amp;H1351&amp;"_"&amp;I1351</f>
        <v>25N4_4_2</v>
      </c>
      <c r="E1351" s="2">
        <v>25</v>
      </c>
      <c r="F1351" s="2" t="s">
        <v>174</v>
      </c>
      <c r="G1351" s="2">
        <v>4</v>
      </c>
      <c r="H1351" s="2">
        <v>4</v>
      </c>
      <c r="I1351" s="2">
        <f>COUNTIFS($E$3:E1351,E1351,$H$3:H1351,H1351)</f>
        <v>2</v>
      </c>
      <c r="N1351" s="11">
        <v>1025201</v>
      </c>
      <c r="O1351" s="11">
        <v>1025301</v>
      </c>
      <c r="P1351" s="11">
        <v>1025401</v>
      </c>
      <c r="Q1351" s="11">
        <v>1025501</v>
      </c>
    </row>
    <row r="1352" spans="1:21">
      <c r="A1352" s="11">
        <f t="shared" si="60"/>
        <v>70253403</v>
      </c>
      <c r="B1352" s="2" t="s">
        <v>1491</v>
      </c>
      <c r="D1352" s="2" t="str">
        <f>E1352&amp;(VLOOKUP(F1352,编号表!$E$1:$G$8,2,0))&amp;G1352&amp;"_"&amp;H1352&amp;"_"&amp;I1352</f>
        <v>25N3_4_3</v>
      </c>
      <c r="E1352" s="2">
        <v>25</v>
      </c>
      <c r="F1352" s="2" t="s">
        <v>174</v>
      </c>
      <c r="G1352" s="2">
        <v>3</v>
      </c>
      <c r="H1352" s="2">
        <v>4</v>
      </c>
      <c r="I1352" s="2">
        <f>COUNTIFS($E$3:E1352,E1352,$H$3:H1352,H1352)</f>
        <v>3</v>
      </c>
      <c r="N1352" s="11">
        <v>1025201</v>
      </c>
      <c r="O1352" s="11">
        <v>1025301</v>
      </c>
      <c r="P1352" s="11">
        <v>1025401</v>
      </c>
      <c r="Q1352" s="11">
        <v>1025501</v>
      </c>
    </row>
    <row r="1353" spans="1:21">
      <c r="A1353" s="11">
        <f t="shared" si="60"/>
        <v>70254404</v>
      </c>
      <c r="B1353" s="2" t="s">
        <v>1492</v>
      </c>
      <c r="D1353" s="2" t="str">
        <f>E1353&amp;(VLOOKUP(F1353,编号表!$E$1:$G$8,2,0))&amp;G1353&amp;"_"&amp;H1353&amp;"_"&amp;I1353</f>
        <v>25N4_4_4</v>
      </c>
      <c r="E1353" s="2">
        <v>25</v>
      </c>
      <c r="F1353" s="2" t="s">
        <v>174</v>
      </c>
      <c r="G1353" s="2">
        <v>4</v>
      </c>
      <c r="H1353" s="2">
        <v>4</v>
      </c>
      <c r="I1353" s="2">
        <f>COUNTIFS($E$3:E1353,E1353,$H$3:H1353,H1353)</f>
        <v>4</v>
      </c>
      <c r="N1353" s="11">
        <v>1025201</v>
      </c>
      <c r="O1353" s="11">
        <v>1025301</v>
      </c>
      <c r="P1353" s="11">
        <v>1025401</v>
      </c>
      <c r="Q1353" s="11">
        <v>1025501</v>
      </c>
    </row>
    <row r="1354" spans="1:21">
      <c r="A1354" s="11">
        <f t="shared" si="60"/>
        <v>70254405</v>
      </c>
      <c r="B1354" s="2" t="s">
        <v>1493</v>
      </c>
      <c r="D1354" s="2" t="str">
        <f>E1354&amp;(VLOOKUP(F1354,编号表!$E$1:$G$8,2,0))&amp;G1354&amp;"_"&amp;H1354&amp;"_"&amp;I1354</f>
        <v>25N4_4_5</v>
      </c>
      <c r="E1354" s="2">
        <v>25</v>
      </c>
      <c r="F1354" s="2" t="s">
        <v>174</v>
      </c>
      <c r="G1354" s="2">
        <v>4</v>
      </c>
      <c r="H1354" s="2">
        <v>4</v>
      </c>
      <c r="I1354" s="2">
        <f>COUNTIFS($E$3:E1354,E1354,$H$3:H1354,H1354)</f>
        <v>5</v>
      </c>
      <c r="N1354" s="11">
        <v>1025201</v>
      </c>
      <c r="O1354" s="11">
        <v>1025301</v>
      </c>
      <c r="P1354" s="11">
        <v>1025401</v>
      </c>
      <c r="Q1354" s="11">
        <v>1025501</v>
      </c>
    </row>
    <row r="1355" spans="1:21">
      <c r="A1355" s="11">
        <f t="shared" si="60"/>
        <v>70251501</v>
      </c>
      <c r="B1355" s="15" t="s">
        <v>1494</v>
      </c>
      <c r="D1355" s="2" t="str">
        <f>E1355&amp;(VLOOKUP(F1355,编号表!$E$1:$G$8,2,0))&amp;G1355&amp;"_"&amp;H1355&amp;"_"&amp;I1355</f>
        <v>25T1_5_1</v>
      </c>
      <c r="E1355" s="2">
        <v>25</v>
      </c>
      <c r="F1355" s="2" t="s">
        <v>190</v>
      </c>
      <c r="G1355" s="2">
        <v>1</v>
      </c>
      <c r="H1355" s="2">
        <v>5</v>
      </c>
      <c r="I1355" s="2">
        <f>COUNTIFS($E$3:E1355,E1355,$H$3:H1355,H1355)</f>
        <v>1</v>
      </c>
    </row>
    <row r="1356" spans="1:21">
      <c r="A1356" s="11">
        <f t="shared" si="60"/>
        <v>70253502</v>
      </c>
      <c r="B1356" s="16" t="s">
        <v>91</v>
      </c>
      <c r="C1356" s="2" t="s">
        <v>1495</v>
      </c>
      <c r="D1356" s="2" t="str">
        <f>E1356&amp;(VLOOKUP(F1356,编号表!$E$1:$G$8,2,0))&amp;G1356&amp;"_"&amp;H1356&amp;"_"&amp;I1356</f>
        <v>25T3_5_2</v>
      </c>
      <c r="E1356" s="2">
        <v>25</v>
      </c>
      <c r="F1356" s="2" t="s">
        <v>190</v>
      </c>
      <c r="G1356" s="2">
        <v>3</v>
      </c>
      <c r="H1356" s="2">
        <v>5</v>
      </c>
      <c r="I1356" s="2">
        <f>COUNTIFS($E$3:E1356,E1356,$H$3:H1356,H1356)</f>
        <v>2</v>
      </c>
      <c r="L1356" s="2">
        <v>151</v>
      </c>
    </row>
    <row r="1357" spans="1:21">
      <c r="A1357" s="11">
        <f t="shared" si="60"/>
        <v>70250001</v>
      </c>
      <c r="B1357" s="24" t="s">
        <v>1496</v>
      </c>
      <c r="D1357" s="2" t="str">
        <f>E1357&amp;(VLOOKUP(F1357,编号表!$E$1:$G$8,2,0))&amp;G1357&amp;"_"&amp;H1357&amp;"_"&amp;I1357</f>
        <v>25J0_0_1</v>
      </c>
      <c r="E1357" s="2">
        <v>25</v>
      </c>
      <c r="F1357" s="2" t="s">
        <v>222</v>
      </c>
      <c r="G1357" s="2">
        <v>0</v>
      </c>
      <c r="H1357" s="2">
        <v>0</v>
      </c>
      <c r="I1357" s="2">
        <f>COUNTIFS($E$3:E1357,E1357,$H$3:H1357,H1357)</f>
        <v>1</v>
      </c>
      <c r="J1357" s="2">
        <v>1</v>
      </c>
    </row>
    <row r="1358" spans="1:21">
      <c r="A1358" s="11">
        <f t="shared" ref="A1358:A1389" si="61">70000000+E1358*10000+G1358*1000+H1358*100+I1358</f>
        <v>70266101</v>
      </c>
      <c r="B1358" s="2" t="s">
        <v>1497</v>
      </c>
      <c r="D1358" s="2" t="str">
        <f>E1358&amp;(VLOOKUP(F1358,[2]编号表!$E$1:$G$8,2,0))&amp;G1358&amp;"_"&amp;H1358&amp;"_"&amp;I1358</f>
        <v>26N6_1_1</v>
      </c>
      <c r="E1358" s="2">
        <v>26</v>
      </c>
      <c r="F1358" s="2" t="s">
        <v>174</v>
      </c>
      <c r="G1358" s="2">
        <v>6</v>
      </c>
      <c r="H1358" s="2">
        <v>1</v>
      </c>
      <c r="I1358" s="2">
        <f>COUNTIFS($E$3:E1358,E1358,$H$3:H1358,H1358)</f>
        <v>1</v>
      </c>
      <c r="N1358" s="11">
        <v>1026201</v>
      </c>
      <c r="O1358" s="11">
        <v>1026301</v>
      </c>
      <c r="P1358" s="11">
        <v>1026401</v>
      </c>
      <c r="Q1358" s="11">
        <v>1026501</v>
      </c>
      <c r="R1358" s="11">
        <v>1026601</v>
      </c>
      <c r="S1358" s="11">
        <v>1026701</v>
      </c>
      <c r="T1358" s="11">
        <v>1026801</v>
      </c>
      <c r="U1358" s="11">
        <v>1026001</v>
      </c>
    </row>
    <row r="1359" spans="1:21">
      <c r="A1359" s="11">
        <f t="shared" si="61"/>
        <v>70266102</v>
      </c>
      <c r="B1359" s="2" t="s">
        <v>1498</v>
      </c>
      <c r="D1359" s="2" t="str">
        <f>E1359&amp;(VLOOKUP(F1359,[2]编号表!$E$1:$G$8,2,0))&amp;G1359&amp;"_"&amp;H1359&amp;"_"&amp;I1359</f>
        <v>26N6_1_2</v>
      </c>
      <c r="E1359" s="2">
        <v>26</v>
      </c>
      <c r="F1359" s="2" t="s">
        <v>174</v>
      </c>
      <c r="G1359" s="2">
        <v>6</v>
      </c>
      <c r="H1359" s="2">
        <v>1</v>
      </c>
      <c r="I1359" s="2">
        <f>COUNTIFS($E$3:E1359,E1359,$H$3:H1359,H1359)</f>
        <v>2</v>
      </c>
      <c r="N1359" s="11">
        <v>1026201</v>
      </c>
      <c r="O1359" s="11">
        <v>1026301</v>
      </c>
      <c r="P1359" s="11">
        <v>1026401</v>
      </c>
      <c r="Q1359" s="11">
        <v>1026501</v>
      </c>
      <c r="R1359" s="11">
        <v>1026601</v>
      </c>
      <c r="S1359" s="11">
        <v>1026701</v>
      </c>
      <c r="T1359" s="11">
        <v>1026801</v>
      </c>
      <c r="U1359" s="11">
        <v>1026101</v>
      </c>
    </row>
    <row r="1360" spans="1:21">
      <c r="A1360" s="11">
        <f t="shared" si="61"/>
        <v>70263103</v>
      </c>
      <c r="B1360" s="16" t="s">
        <v>94</v>
      </c>
      <c r="C1360" s="2" t="s">
        <v>1499</v>
      </c>
      <c r="D1360" s="2" t="str">
        <f>E1360&amp;(VLOOKUP(F1360,[2]编号表!$E$1:$G$8,2,0))&amp;G1360&amp;"_"&amp;H1360&amp;"_"&amp;I1360</f>
        <v>26T3_1_3</v>
      </c>
      <c r="E1360" s="2">
        <v>26</v>
      </c>
      <c r="F1360" s="2" t="s">
        <v>190</v>
      </c>
      <c r="G1360" s="2">
        <v>3</v>
      </c>
      <c r="H1360" s="2">
        <v>1</v>
      </c>
      <c r="I1360" s="2">
        <f>COUNTIFS($E$3:E1360,E1360,$H$3:H1360,H1360)</f>
        <v>3</v>
      </c>
      <c r="L1360" s="2">
        <v>153</v>
      </c>
    </row>
    <row r="1361" spans="1:21">
      <c r="A1361" s="11">
        <f t="shared" si="61"/>
        <v>70261104</v>
      </c>
      <c r="B1361" s="15" t="s">
        <v>1500</v>
      </c>
      <c r="D1361" s="2" t="str">
        <f>E1361&amp;(VLOOKUP(F1361,[2]编号表!$E$1:$G$8,2,0))&amp;G1361&amp;"_"&amp;H1361&amp;"_"&amp;I1361</f>
        <v>26T1_1_4</v>
      </c>
      <c r="E1361" s="2">
        <v>26</v>
      </c>
      <c r="F1361" s="2" t="s">
        <v>190</v>
      </c>
      <c r="G1361" s="2">
        <v>1</v>
      </c>
      <c r="H1361" s="2">
        <v>1</v>
      </c>
      <c r="I1361" s="2">
        <f>COUNTIFS($E$3:E1361,E1361,$H$3:H1361,H1361)</f>
        <v>4</v>
      </c>
    </row>
    <row r="1362" spans="1:21">
      <c r="A1362" s="11">
        <f t="shared" si="61"/>
        <v>70262105</v>
      </c>
      <c r="B1362" s="2" t="s">
        <v>1501</v>
      </c>
      <c r="D1362" s="2" t="str">
        <f>E1362&amp;(VLOOKUP(F1362,[2]编号表!$E$1:$G$8,2,0))&amp;G1362&amp;"_"&amp;H1362&amp;"_"&amp;I1362</f>
        <v>26N2_1_5</v>
      </c>
      <c r="E1362" s="2">
        <v>26</v>
      </c>
      <c r="F1362" s="2" t="s">
        <v>174</v>
      </c>
      <c r="G1362" s="2">
        <v>2</v>
      </c>
      <c r="H1362" s="2">
        <v>1</v>
      </c>
      <c r="I1362" s="2">
        <f>COUNTIFS($E$3:E1362,E1362,$H$3:H1362,H1362)</f>
        <v>5</v>
      </c>
      <c r="N1362" s="11">
        <v>1026201</v>
      </c>
      <c r="O1362" s="11">
        <v>1026301</v>
      </c>
    </row>
    <row r="1363" spans="1:21">
      <c r="A1363" s="11">
        <f t="shared" si="61"/>
        <v>70266106</v>
      </c>
      <c r="B1363" s="2" t="s">
        <v>1502</v>
      </c>
      <c r="D1363" s="2" t="str">
        <f>E1363&amp;(VLOOKUP(F1363,[2]编号表!$E$1:$G$8,2,0))&amp;G1363&amp;"_"&amp;H1363&amp;"_"&amp;I1363</f>
        <v>26N6_1_6</v>
      </c>
      <c r="E1363" s="2">
        <v>26</v>
      </c>
      <c r="F1363" s="2" t="s">
        <v>174</v>
      </c>
      <c r="G1363" s="2">
        <v>6</v>
      </c>
      <c r="H1363" s="2">
        <v>1</v>
      </c>
      <c r="I1363" s="2">
        <f>COUNTIFS($E$3:E1363,E1363,$H$3:H1363,H1363)</f>
        <v>6</v>
      </c>
      <c r="N1363" s="11">
        <v>1026201</v>
      </c>
      <c r="O1363" s="11">
        <v>1026301</v>
      </c>
      <c r="P1363" s="11">
        <v>1026401</v>
      </c>
      <c r="Q1363" s="11">
        <v>1026501</v>
      </c>
      <c r="R1363" s="11">
        <v>1026601</v>
      </c>
      <c r="S1363" s="11">
        <v>1026701</v>
      </c>
      <c r="T1363" s="11">
        <v>1026801</v>
      </c>
      <c r="U1363" s="11">
        <v>1026102</v>
      </c>
    </row>
    <row r="1364" spans="1:21">
      <c r="A1364" s="11">
        <f t="shared" si="61"/>
        <v>70264107</v>
      </c>
      <c r="B1364" s="2" t="s">
        <v>1503</v>
      </c>
      <c r="D1364" s="2" t="str">
        <f>E1364&amp;(VLOOKUP(F1364,[2]编号表!$E$1:$G$8,2,0))&amp;G1364&amp;"_"&amp;H1364&amp;"_"&amp;I1364</f>
        <v>26N4_1_7</v>
      </c>
      <c r="E1364" s="2">
        <v>26</v>
      </c>
      <c r="F1364" s="2" t="s">
        <v>174</v>
      </c>
      <c r="G1364" s="2">
        <v>4</v>
      </c>
      <c r="H1364" s="2">
        <v>1</v>
      </c>
      <c r="I1364" s="2">
        <f>COUNTIFS($E$3:E1364,E1364,$H$3:H1364,H1364)</f>
        <v>7</v>
      </c>
      <c r="N1364" s="11">
        <v>1026201</v>
      </c>
      <c r="O1364" s="11">
        <v>1026301</v>
      </c>
      <c r="P1364" s="11">
        <v>1026401</v>
      </c>
      <c r="Q1364" s="11">
        <v>1026501</v>
      </c>
    </row>
    <row r="1365" spans="1:21">
      <c r="A1365" s="11">
        <f t="shared" si="61"/>
        <v>70266201</v>
      </c>
      <c r="B1365" s="2" t="s">
        <v>1504</v>
      </c>
      <c r="D1365" s="2" t="str">
        <f>E1365&amp;(VLOOKUP(F1365,[2]编号表!$E$1:$G$8,2,0))&amp;G1365&amp;"_"&amp;H1365&amp;"_"&amp;I1365</f>
        <v>26N6_2_1</v>
      </c>
      <c r="E1365" s="2">
        <v>26</v>
      </c>
      <c r="F1365" s="2" t="s">
        <v>174</v>
      </c>
      <c r="G1365" s="2">
        <v>6</v>
      </c>
      <c r="H1365" s="2">
        <v>2</v>
      </c>
      <c r="I1365" s="2">
        <f>COUNTIFS($E$3:E1365,E1365,$H$3:H1365,H1365)</f>
        <v>1</v>
      </c>
      <c r="N1365" s="11">
        <v>1026201</v>
      </c>
      <c r="O1365" s="11">
        <v>1026301</v>
      </c>
      <c r="P1365" s="11">
        <v>1026401</v>
      </c>
      <c r="Q1365" s="11">
        <v>1026501</v>
      </c>
      <c r="R1365" s="11">
        <v>1026601</v>
      </c>
      <c r="S1365" s="11">
        <v>1026701</v>
      </c>
      <c r="T1365" s="11">
        <v>1026801</v>
      </c>
    </row>
    <row r="1366" spans="1:21">
      <c r="A1366" s="11">
        <f t="shared" si="61"/>
        <v>70264202</v>
      </c>
      <c r="B1366" s="2" t="s">
        <v>1505</v>
      </c>
      <c r="D1366" s="2" t="str">
        <f>E1366&amp;(VLOOKUP(F1366,[2]编号表!$E$1:$G$8,2,0))&amp;G1366&amp;"_"&amp;H1366&amp;"_"&amp;I1366</f>
        <v>26N4_2_2</v>
      </c>
      <c r="E1366" s="2">
        <v>26</v>
      </c>
      <c r="F1366" s="2" t="s">
        <v>174</v>
      </c>
      <c r="G1366" s="2">
        <v>4</v>
      </c>
      <c r="H1366" s="2">
        <v>2</v>
      </c>
      <c r="I1366" s="2">
        <f>COUNTIFS($E$3:E1366,E1366,$H$3:H1366,H1366)</f>
        <v>2</v>
      </c>
      <c r="N1366" s="11">
        <v>1026201</v>
      </c>
      <c r="O1366" s="11">
        <v>1026301</v>
      </c>
      <c r="P1366" s="11">
        <v>1026401</v>
      </c>
      <c r="Q1366" s="11">
        <v>1026501</v>
      </c>
    </row>
    <row r="1367" spans="1:21">
      <c r="A1367" s="11">
        <f t="shared" si="61"/>
        <v>70268203</v>
      </c>
      <c r="B1367" s="2" t="s">
        <v>1506</v>
      </c>
      <c r="D1367" s="2" t="str">
        <f>E1367&amp;(VLOOKUP(F1367,[2]编号表!$E$1:$G$8,2,0))&amp;G1367&amp;"_"&amp;H1367&amp;"_"&amp;I1367</f>
        <v>26N8_2_3</v>
      </c>
      <c r="E1367" s="2">
        <v>26</v>
      </c>
      <c r="F1367" s="2" t="s">
        <v>174</v>
      </c>
      <c r="G1367" s="2">
        <v>8</v>
      </c>
      <c r="H1367" s="2">
        <v>2</v>
      </c>
      <c r="I1367" s="2">
        <f>COUNTIFS($E$3:E1367,E1367,$H$3:H1367,H1367)</f>
        <v>3</v>
      </c>
      <c r="N1367" s="11">
        <v>1026201</v>
      </c>
      <c r="O1367" s="11">
        <v>1026301</v>
      </c>
      <c r="P1367" s="11">
        <v>1026401</v>
      </c>
      <c r="Q1367" s="11">
        <v>1026501</v>
      </c>
      <c r="R1367" s="11">
        <v>1026601</v>
      </c>
      <c r="S1367" s="11">
        <v>1026701</v>
      </c>
      <c r="T1367" s="11">
        <v>1026801</v>
      </c>
    </row>
    <row r="1368" spans="1:21">
      <c r="A1368" s="11">
        <f t="shared" si="61"/>
        <v>70268204</v>
      </c>
      <c r="B1368" s="2" t="s">
        <v>1507</v>
      </c>
      <c r="D1368" s="2" t="str">
        <f>E1368&amp;(VLOOKUP(F1368,[2]编号表!$E$1:$G$8,2,0))&amp;G1368&amp;"_"&amp;H1368&amp;"_"&amp;I1368</f>
        <v>26N8_2_4</v>
      </c>
      <c r="E1368" s="2">
        <v>26</v>
      </c>
      <c r="F1368" s="2" t="s">
        <v>174</v>
      </c>
      <c r="G1368" s="2">
        <v>8</v>
      </c>
      <c r="H1368" s="2">
        <v>2</v>
      </c>
      <c r="I1368" s="2">
        <f>COUNTIFS($E$3:E1368,E1368,$H$3:H1368,H1368)</f>
        <v>4</v>
      </c>
      <c r="N1368" s="11">
        <v>1026201</v>
      </c>
      <c r="O1368" s="11">
        <v>1026301</v>
      </c>
      <c r="P1368" s="11">
        <v>1026401</v>
      </c>
      <c r="Q1368" s="11">
        <v>1026501</v>
      </c>
      <c r="R1368" s="11">
        <v>1026601</v>
      </c>
      <c r="S1368" s="11">
        <v>1026701</v>
      </c>
      <c r="T1368" s="11">
        <v>1026801</v>
      </c>
    </row>
    <row r="1369" spans="1:21">
      <c r="A1369" s="11">
        <f t="shared" si="61"/>
        <v>70268205</v>
      </c>
      <c r="B1369" s="2" t="s">
        <v>1508</v>
      </c>
      <c r="D1369" s="2" t="str">
        <f>E1369&amp;(VLOOKUP(F1369,[2]编号表!$E$1:$G$8,2,0))&amp;G1369&amp;"_"&amp;H1369&amp;"_"&amp;I1369</f>
        <v>26N8_2_5</v>
      </c>
      <c r="E1369" s="2">
        <v>26</v>
      </c>
      <c r="F1369" s="2" t="s">
        <v>174</v>
      </c>
      <c r="G1369" s="2">
        <v>8</v>
      </c>
      <c r="H1369" s="2">
        <v>2</v>
      </c>
      <c r="I1369" s="2">
        <f>COUNTIFS($E$3:E1369,E1369,$H$3:H1369,H1369)</f>
        <v>5</v>
      </c>
      <c r="N1369" s="11">
        <v>1026201</v>
      </c>
      <c r="O1369" s="11">
        <v>1026301</v>
      </c>
      <c r="P1369" s="11">
        <v>1026401</v>
      </c>
      <c r="Q1369" s="11">
        <v>1026501</v>
      </c>
      <c r="R1369" s="11">
        <v>1026601</v>
      </c>
      <c r="S1369" s="11">
        <v>1026701</v>
      </c>
      <c r="T1369" s="11">
        <v>1026801</v>
      </c>
    </row>
    <row r="1370" spans="1:21">
      <c r="A1370" s="11">
        <f t="shared" si="61"/>
        <v>70268206</v>
      </c>
      <c r="B1370" s="2" t="s">
        <v>1509</v>
      </c>
      <c r="D1370" s="2" t="str">
        <f>E1370&amp;(VLOOKUP(F1370,[2]编号表!$E$1:$G$8,2,0))&amp;G1370&amp;"_"&amp;H1370&amp;"_"&amp;I1370</f>
        <v>26N8_2_6</v>
      </c>
      <c r="E1370" s="2">
        <v>26</v>
      </c>
      <c r="F1370" s="2" t="s">
        <v>174</v>
      </c>
      <c r="G1370" s="2">
        <v>8</v>
      </c>
      <c r="H1370" s="2">
        <v>2</v>
      </c>
      <c r="I1370" s="2">
        <f>COUNTIFS($E$3:E1370,E1370,$H$3:H1370,H1370)</f>
        <v>6</v>
      </c>
      <c r="N1370" s="11">
        <v>1026201</v>
      </c>
      <c r="O1370" s="11">
        <v>1026301</v>
      </c>
      <c r="P1370" s="11">
        <v>1026401</v>
      </c>
      <c r="Q1370" s="11">
        <v>1026501</v>
      </c>
      <c r="R1370" s="11">
        <v>1026601</v>
      </c>
      <c r="S1370" s="11">
        <v>1026701</v>
      </c>
      <c r="T1370" s="11">
        <v>1026801</v>
      </c>
    </row>
    <row r="1371" spans="1:21">
      <c r="A1371" s="11">
        <f t="shared" si="61"/>
        <v>70264207</v>
      </c>
      <c r="B1371" s="2" t="s">
        <v>1510</v>
      </c>
      <c r="D1371" s="2" t="str">
        <f>E1371&amp;(VLOOKUP(F1371,[2]编号表!$E$1:$G$8,2,0))&amp;G1371&amp;"_"&amp;H1371&amp;"_"&amp;I1371</f>
        <v>26N4_2_7</v>
      </c>
      <c r="E1371" s="2">
        <v>26</v>
      </c>
      <c r="F1371" s="2" t="s">
        <v>174</v>
      </c>
      <c r="G1371" s="2">
        <v>4</v>
      </c>
      <c r="H1371" s="2">
        <v>2</v>
      </c>
      <c r="I1371" s="2">
        <f>COUNTIFS($E$3:E1371,E1371,$H$3:H1371,H1371)</f>
        <v>7</v>
      </c>
      <c r="N1371" s="11">
        <v>1026501</v>
      </c>
      <c r="O1371" s="11">
        <v>1026601</v>
      </c>
      <c r="P1371" s="11">
        <v>1026701</v>
      </c>
      <c r="Q1371" s="11">
        <v>1026801</v>
      </c>
    </row>
    <row r="1372" spans="1:21">
      <c r="A1372" s="11">
        <f t="shared" si="61"/>
        <v>70266208</v>
      </c>
      <c r="B1372" s="2" t="s">
        <v>1511</v>
      </c>
      <c r="D1372" s="2" t="str">
        <f>E1372&amp;(VLOOKUP(F1372,[2]编号表!$E$1:$G$8,2,0))&amp;G1372&amp;"_"&amp;H1372&amp;"_"&amp;I1372</f>
        <v>26N6_2_8</v>
      </c>
      <c r="E1372" s="2">
        <v>26</v>
      </c>
      <c r="F1372" s="2" t="s">
        <v>174</v>
      </c>
      <c r="G1372" s="2">
        <v>6</v>
      </c>
      <c r="H1372" s="2">
        <v>2</v>
      </c>
      <c r="I1372" s="2">
        <f>COUNTIFS($E$3:E1372,E1372,$H$3:H1372,H1372)</f>
        <v>8</v>
      </c>
      <c r="N1372" s="11">
        <v>1026201</v>
      </c>
      <c r="O1372" s="11">
        <v>1026301</v>
      </c>
      <c r="P1372" s="11">
        <v>1026401</v>
      </c>
      <c r="Q1372" s="11">
        <v>1026501</v>
      </c>
      <c r="R1372" s="11">
        <v>1026601</v>
      </c>
      <c r="S1372" s="11">
        <v>1026701</v>
      </c>
      <c r="T1372" s="11">
        <v>1026801</v>
      </c>
    </row>
    <row r="1373" spans="1:21">
      <c r="A1373" s="11">
        <f t="shared" si="61"/>
        <v>70268301</v>
      </c>
      <c r="B1373" s="2" t="s">
        <v>1512</v>
      </c>
      <c r="D1373" s="2" t="str">
        <f>E1373&amp;(VLOOKUP(F1373,[2]编号表!$E$1:$G$8,2,0))&amp;G1373&amp;"_"&amp;H1373&amp;"_"&amp;I1373</f>
        <v>26N8_3_1</v>
      </c>
      <c r="E1373" s="2">
        <v>26</v>
      </c>
      <c r="F1373" s="2" t="s">
        <v>174</v>
      </c>
      <c r="G1373" s="2">
        <v>8</v>
      </c>
      <c r="H1373" s="2">
        <v>3</v>
      </c>
      <c r="I1373" s="2">
        <f>COUNTIFS($E$3:E1373,E1373,$H$3:H1373,H1373)</f>
        <v>1</v>
      </c>
      <c r="N1373" s="11">
        <v>1026201</v>
      </c>
      <c r="O1373" s="11">
        <v>1026301</v>
      </c>
      <c r="P1373" s="11">
        <v>1026401</v>
      </c>
      <c r="Q1373" s="11">
        <v>1026501</v>
      </c>
      <c r="R1373" s="11">
        <v>1026601</v>
      </c>
      <c r="S1373" s="11">
        <v>1026701</v>
      </c>
      <c r="T1373" s="11">
        <v>1026801</v>
      </c>
    </row>
    <row r="1374" spans="1:21">
      <c r="A1374" s="11">
        <f t="shared" si="61"/>
        <v>70264302</v>
      </c>
      <c r="B1374" s="2" t="s">
        <v>1513</v>
      </c>
      <c r="D1374" s="2" t="str">
        <f>E1374&amp;(VLOOKUP(F1374,[2]编号表!$E$1:$G$8,2,0))&amp;G1374&amp;"_"&amp;H1374&amp;"_"&amp;I1374</f>
        <v>26N4_3_2</v>
      </c>
      <c r="E1374" s="2">
        <v>26</v>
      </c>
      <c r="F1374" s="2" t="s">
        <v>174</v>
      </c>
      <c r="G1374" s="2">
        <v>4</v>
      </c>
      <c r="H1374" s="2">
        <v>3</v>
      </c>
      <c r="I1374" s="2">
        <f>COUNTIFS($E$3:E1374,E1374,$H$3:H1374,H1374)</f>
        <v>2</v>
      </c>
      <c r="N1374" s="11">
        <v>1026501</v>
      </c>
      <c r="O1374" s="11">
        <v>1026601</v>
      </c>
      <c r="P1374" s="11">
        <v>1026701</v>
      </c>
      <c r="Q1374" s="11">
        <v>1026801</v>
      </c>
    </row>
    <row r="1375" spans="1:21">
      <c r="A1375" s="11">
        <f t="shared" si="61"/>
        <v>70268303</v>
      </c>
      <c r="B1375" s="2" t="s">
        <v>1514</v>
      </c>
      <c r="D1375" s="2" t="str">
        <f>E1375&amp;(VLOOKUP(F1375,[2]编号表!$E$1:$G$8,2,0))&amp;G1375&amp;"_"&amp;H1375&amp;"_"&amp;I1375</f>
        <v>26N8_3_3</v>
      </c>
      <c r="E1375" s="2">
        <v>26</v>
      </c>
      <c r="F1375" s="2" t="s">
        <v>174</v>
      </c>
      <c r="G1375" s="2">
        <v>8</v>
      </c>
      <c r="H1375" s="2">
        <v>3</v>
      </c>
      <c r="I1375" s="2">
        <f>COUNTIFS($E$3:E1375,E1375,$H$3:H1375,H1375)</f>
        <v>3</v>
      </c>
      <c r="N1375" s="11">
        <v>1026201</v>
      </c>
      <c r="O1375" s="11">
        <v>1026301</v>
      </c>
      <c r="P1375" s="11">
        <v>1026401</v>
      </c>
      <c r="Q1375" s="11">
        <v>1026501</v>
      </c>
      <c r="R1375" s="11">
        <v>1026601</v>
      </c>
      <c r="S1375" s="11">
        <v>1026701</v>
      </c>
      <c r="T1375" s="11">
        <v>1026801</v>
      </c>
      <c r="U1375" s="11">
        <v>1026901</v>
      </c>
    </row>
    <row r="1376" spans="1:21">
      <c r="A1376" s="11">
        <f t="shared" si="61"/>
        <v>70268304</v>
      </c>
      <c r="B1376" s="2" t="s">
        <v>1515</v>
      </c>
      <c r="D1376" s="2" t="str">
        <f>E1376&amp;(VLOOKUP(F1376,[2]编号表!$E$1:$G$8,2,0))&amp;G1376&amp;"_"&amp;H1376&amp;"_"&amp;I1376</f>
        <v>26N8_3_4</v>
      </c>
      <c r="E1376" s="2">
        <v>26</v>
      </c>
      <c r="F1376" s="2" t="s">
        <v>174</v>
      </c>
      <c r="G1376" s="2">
        <v>8</v>
      </c>
      <c r="H1376" s="2">
        <v>3</v>
      </c>
      <c r="I1376" s="2">
        <f>COUNTIFS($E$3:E1376,E1376,$H$3:H1376,H1376)</f>
        <v>4</v>
      </c>
      <c r="N1376" s="11">
        <v>1026201</v>
      </c>
      <c r="O1376" s="11">
        <v>1026301</v>
      </c>
      <c r="P1376" s="11">
        <v>1026401</v>
      </c>
      <c r="Q1376" s="11">
        <v>1026501</v>
      </c>
      <c r="R1376" s="11">
        <v>1026601</v>
      </c>
      <c r="S1376" s="11">
        <v>1026701</v>
      </c>
      <c r="T1376" s="11">
        <v>1026801</v>
      </c>
      <c r="U1376" s="11">
        <v>1026901</v>
      </c>
    </row>
    <row r="1377" spans="1:21">
      <c r="A1377" s="11">
        <f t="shared" si="61"/>
        <v>70266305</v>
      </c>
      <c r="B1377" s="2" t="s">
        <v>1516</v>
      </c>
      <c r="D1377" s="2" t="str">
        <f>E1377&amp;(VLOOKUP(F1377,[2]编号表!$E$1:$G$8,2,0))&amp;G1377&amp;"_"&amp;H1377&amp;"_"&amp;I1377</f>
        <v>26N6_3_5</v>
      </c>
      <c r="E1377" s="2">
        <v>26</v>
      </c>
      <c r="F1377" s="2" t="s">
        <v>174</v>
      </c>
      <c r="G1377" s="2">
        <v>6</v>
      </c>
      <c r="H1377" s="2">
        <v>3</v>
      </c>
      <c r="I1377" s="2">
        <f>COUNTIFS($E$3:E1377,E1377,$H$3:H1377,H1377)</f>
        <v>5</v>
      </c>
      <c r="N1377" s="11">
        <v>1026201</v>
      </c>
      <c r="O1377" s="11">
        <v>1026301</v>
      </c>
      <c r="P1377" s="11">
        <v>1026401</v>
      </c>
      <c r="Q1377" s="11">
        <v>1026501</v>
      </c>
      <c r="R1377" s="11">
        <v>1026601</v>
      </c>
      <c r="S1377" s="11">
        <v>1026701</v>
      </c>
      <c r="T1377" s="11">
        <v>1026801</v>
      </c>
      <c r="U1377" s="11">
        <v>1026901</v>
      </c>
    </row>
    <row r="1378" spans="1:21">
      <c r="A1378" s="11">
        <f t="shared" si="61"/>
        <v>70268306</v>
      </c>
      <c r="B1378" s="2" t="s">
        <v>1517</v>
      </c>
      <c r="D1378" s="2" t="str">
        <f>E1378&amp;(VLOOKUP(F1378,[2]编号表!$E$1:$G$8,2,0))&amp;G1378&amp;"_"&amp;H1378&amp;"_"&amp;I1378</f>
        <v>26N8_3_6</v>
      </c>
      <c r="E1378" s="2">
        <v>26</v>
      </c>
      <c r="F1378" s="2" t="s">
        <v>174</v>
      </c>
      <c r="G1378" s="2">
        <v>8</v>
      </c>
      <c r="H1378" s="2">
        <v>3</v>
      </c>
      <c r="I1378" s="2">
        <f>COUNTIFS($E$3:E1378,E1378,$H$3:H1378,H1378)</f>
        <v>6</v>
      </c>
      <c r="N1378" s="11">
        <v>1026201</v>
      </c>
      <c r="O1378" s="11">
        <v>1026301</v>
      </c>
      <c r="P1378" s="11">
        <v>1026401</v>
      </c>
      <c r="Q1378" s="11">
        <v>1026501</v>
      </c>
      <c r="R1378" s="11">
        <v>1026601</v>
      </c>
      <c r="S1378" s="11">
        <v>1026701</v>
      </c>
      <c r="T1378" s="11">
        <v>1026801</v>
      </c>
      <c r="U1378" s="11">
        <v>1026901</v>
      </c>
    </row>
    <row r="1379" spans="1:21">
      <c r="A1379" s="11">
        <f t="shared" si="61"/>
        <v>70268307</v>
      </c>
      <c r="B1379" s="2" t="s">
        <v>1518</v>
      </c>
      <c r="D1379" s="2" t="str">
        <f>E1379&amp;(VLOOKUP(F1379,[2]编号表!$E$1:$G$8,2,0))&amp;G1379&amp;"_"&amp;H1379&amp;"_"&amp;I1379</f>
        <v>26N8_3_7</v>
      </c>
      <c r="E1379" s="2">
        <v>26</v>
      </c>
      <c r="F1379" s="2" t="s">
        <v>174</v>
      </c>
      <c r="G1379" s="2">
        <v>8</v>
      </c>
      <c r="H1379" s="2">
        <v>3</v>
      </c>
      <c r="I1379" s="2">
        <f>COUNTIFS($E$3:E1379,E1379,$H$3:H1379,H1379)</f>
        <v>7</v>
      </c>
      <c r="N1379" s="11">
        <v>1026201</v>
      </c>
      <c r="O1379" s="11">
        <v>1026301</v>
      </c>
      <c r="P1379" s="11">
        <v>1026401</v>
      </c>
      <c r="Q1379" s="11">
        <v>1026501</v>
      </c>
      <c r="R1379" s="11">
        <v>1026601</v>
      </c>
      <c r="S1379" s="11">
        <v>1026701</v>
      </c>
      <c r="T1379" s="11">
        <v>1026801</v>
      </c>
      <c r="U1379" s="11">
        <v>1026901</v>
      </c>
    </row>
    <row r="1380" spans="1:21">
      <c r="A1380" s="11">
        <f t="shared" si="61"/>
        <v>70264308</v>
      </c>
      <c r="B1380" s="2" t="s">
        <v>1519</v>
      </c>
      <c r="D1380" s="2" t="str">
        <f>E1380&amp;(VLOOKUP(F1380,[2]编号表!$E$1:$G$8,2,0))&amp;G1380&amp;"_"&amp;H1380&amp;"_"&amp;I1380</f>
        <v>26N4_3_8</v>
      </c>
      <c r="E1380" s="2">
        <v>26</v>
      </c>
      <c r="F1380" s="2" t="s">
        <v>174</v>
      </c>
      <c r="G1380" s="2">
        <v>4</v>
      </c>
      <c r="H1380" s="2">
        <v>3</v>
      </c>
      <c r="I1380" s="2">
        <f>COUNTIFS($E$3:E1380,E1380,$H$3:H1380,H1380)</f>
        <v>8</v>
      </c>
      <c r="N1380" s="11">
        <v>1026601</v>
      </c>
      <c r="O1380" s="11">
        <v>1026701</v>
      </c>
      <c r="P1380" s="11">
        <v>1026801</v>
      </c>
      <c r="Q1380" s="11">
        <v>1026901</v>
      </c>
    </row>
    <row r="1381" spans="1:21">
      <c r="A1381" s="11">
        <f t="shared" si="61"/>
        <v>70268309</v>
      </c>
      <c r="B1381" s="2" t="s">
        <v>1520</v>
      </c>
      <c r="D1381" s="2" t="str">
        <f>E1381&amp;(VLOOKUP(F1381,[2]编号表!$E$1:$G$8,2,0))&amp;G1381&amp;"_"&amp;H1381&amp;"_"&amp;I1381</f>
        <v>26N8_3_9</v>
      </c>
      <c r="E1381" s="2">
        <v>26</v>
      </c>
      <c r="F1381" s="2" t="s">
        <v>174</v>
      </c>
      <c r="G1381" s="2">
        <v>8</v>
      </c>
      <c r="H1381" s="2">
        <v>3</v>
      </c>
      <c r="I1381" s="2">
        <f>COUNTIFS($E$3:E1381,E1381,$H$3:H1381,H1381)</f>
        <v>9</v>
      </c>
      <c r="N1381" s="11">
        <v>1026201</v>
      </c>
      <c r="O1381" s="11">
        <v>1026301</v>
      </c>
      <c r="P1381" s="11">
        <v>1026401</v>
      </c>
      <c r="Q1381" s="11">
        <v>1026501</v>
      </c>
      <c r="R1381" s="11">
        <v>1026601</v>
      </c>
      <c r="S1381" s="11">
        <v>1026701</v>
      </c>
      <c r="T1381" s="11">
        <v>1026801</v>
      </c>
      <c r="U1381" s="11">
        <v>1026901</v>
      </c>
    </row>
    <row r="1382" spans="1:21">
      <c r="A1382" s="11">
        <f t="shared" si="61"/>
        <v>70265401</v>
      </c>
      <c r="B1382" s="2" t="s">
        <v>1521</v>
      </c>
      <c r="D1382" s="2" t="str">
        <f>E1382&amp;(VLOOKUP(F1382,[2]编号表!$E$1:$G$8,2,0))&amp;G1382&amp;"_"&amp;H1382&amp;"_"&amp;I1382</f>
        <v>26N5_4_1</v>
      </c>
      <c r="E1382" s="2">
        <v>26</v>
      </c>
      <c r="F1382" s="2" t="s">
        <v>174</v>
      </c>
      <c r="G1382" s="2">
        <v>5</v>
      </c>
      <c r="H1382" s="2">
        <v>4</v>
      </c>
      <c r="I1382" s="2">
        <f>COUNTIFS($E$3:E1382,E1382,$H$3:H1382,H1382)</f>
        <v>1</v>
      </c>
      <c r="N1382" s="11">
        <v>1026501</v>
      </c>
      <c r="O1382" s="11">
        <v>1026601</v>
      </c>
      <c r="P1382" s="11">
        <v>1026701</v>
      </c>
      <c r="Q1382" s="11">
        <v>1026801</v>
      </c>
      <c r="R1382" s="11">
        <v>1026901</v>
      </c>
    </row>
    <row r="1383" spans="1:21">
      <c r="A1383" s="11">
        <f t="shared" si="61"/>
        <v>70264402</v>
      </c>
      <c r="B1383" s="2" t="s">
        <v>1522</v>
      </c>
      <c r="D1383" s="2" t="str">
        <f>E1383&amp;(VLOOKUP(F1383,[2]编号表!$E$1:$G$8,2,0))&amp;G1383&amp;"_"&amp;H1383&amp;"_"&amp;I1383</f>
        <v>26N4_4_2</v>
      </c>
      <c r="E1383" s="2">
        <v>26</v>
      </c>
      <c r="F1383" s="2" t="s">
        <v>174</v>
      </c>
      <c r="G1383" s="2">
        <v>4</v>
      </c>
      <c r="H1383" s="2">
        <v>4</v>
      </c>
      <c r="I1383" s="2">
        <f>COUNTIFS($E$3:E1383,E1383,$H$3:H1383,H1383)</f>
        <v>2</v>
      </c>
      <c r="N1383" s="11">
        <v>1026601</v>
      </c>
      <c r="O1383" s="11">
        <v>1026701</v>
      </c>
      <c r="P1383" s="11">
        <v>1026801</v>
      </c>
      <c r="Q1383" s="11">
        <v>1026901</v>
      </c>
    </row>
    <row r="1384" spans="1:21">
      <c r="A1384" s="11">
        <f t="shared" si="61"/>
        <v>70262403</v>
      </c>
      <c r="B1384" s="2" t="s">
        <v>1523</v>
      </c>
      <c r="D1384" s="2" t="str">
        <f>E1384&amp;(VLOOKUP(F1384,[2]编号表!$E$1:$G$8,2,0))&amp;G1384&amp;"_"&amp;H1384&amp;"_"&amp;I1384</f>
        <v>26N2_4_3</v>
      </c>
      <c r="E1384" s="2">
        <v>26</v>
      </c>
      <c r="F1384" s="2" t="s">
        <v>174</v>
      </c>
      <c r="G1384" s="2">
        <v>2</v>
      </c>
      <c r="H1384" s="2">
        <v>4</v>
      </c>
      <c r="I1384" s="2">
        <f>COUNTIFS($E$3:E1384,E1384,$H$3:H1384,H1384)</f>
        <v>3</v>
      </c>
      <c r="N1384" s="11">
        <v>1026801</v>
      </c>
      <c r="O1384" s="11">
        <v>1026901</v>
      </c>
    </row>
    <row r="1385" spans="1:21">
      <c r="A1385" s="11">
        <f t="shared" si="61"/>
        <v>70261404</v>
      </c>
      <c r="B1385" s="15" t="s">
        <v>1495</v>
      </c>
      <c r="D1385" s="2" t="str">
        <f>E1385&amp;(VLOOKUP(F1385,[2]编号表!$E$1:$G$8,2,0))&amp;G1385&amp;"_"&amp;H1385&amp;"_"&amp;I1385</f>
        <v>26T1_4_4</v>
      </c>
      <c r="E1385" s="2">
        <v>26</v>
      </c>
      <c r="F1385" s="2" t="s">
        <v>190</v>
      </c>
      <c r="G1385" s="2">
        <v>1</v>
      </c>
      <c r="H1385" s="2">
        <v>4</v>
      </c>
      <c r="I1385" s="2">
        <f>COUNTIFS($E$3:E1385,E1385,$H$3:H1385,H1385)</f>
        <v>4</v>
      </c>
      <c r="K1385" s="2">
        <v>1</v>
      </c>
    </row>
    <row r="1386" spans="1:21">
      <c r="A1386" s="11">
        <f t="shared" si="61"/>
        <v>70263405</v>
      </c>
      <c r="B1386" s="16" t="s">
        <v>88</v>
      </c>
      <c r="C1386" s="2" t="s">
        <v>1524</v>
      </c>
      <c r="D1386" s="2" t="str">
        <f>E1386&amp;(VLOOKUP(F1386,[2]编号表!$E$1:$G$8,2,0))&amp;G1386&amp;"_"&amp;H1386&amp;"_"&amp;I1386</f>
        <v>26T3_4_5</v>
      </c>
      <c r="E1386" s="2">
        <v>26</v>
      </c>
      <c r="F1386" s="2" t="s">
        <v>190</v>
      </c>
      <c r="G1386" s="2">
        <v>3</v>
      </c>
      <c r="H1386" s="2">
        <v>4</v>
      </c>
      <c r="I1386" s="2">
        <f>COUNTIFS($E$3:E1386,E1386,$H$3:H1386,H1386)</f>
        <v>5</v>
      </c>
      <c r="L1386" s="2">
        <v>152</v>
      </c>
    </row>
    <row r="1387" spans="1:21">
      <c r="A1387" s="11">
        <f t="shared" si="61"/>
        <v>70264406</v>
      </c>
      <c r="B1387" s="2" t="s">
        <v>1525</v>
      </c>
      <c r="D1387" s="2" t="str">
        <f>E1387&amp;(VLOOKUP(F1387,[2]编号表!$E$1:$G$8,2,0))&amp;G1387&amp;"_"&amp;H1387&amp;"_"&amp;I1387</f>
        <v>26N4_4_6</v>
      </c>
      <c r="E1387" s="2">
        <v>26</v>
      </c>
      <c r="F1387" s="2" t="s">
        <v>174</v>
      </c>
      <c r="G1387" s="2">
        <v>4</v>
      </c>
      <c r="H1387" s="2">
        <v>4</v>
      </c>
      <c r="I1387" s="2">
        <f>COUNTIFS($E$3:E1387,E1387,$H$3:H1387,H1387)</f>
        <v>6</v>
      </c>
      <c r="N1387" s="11">
        <v>1026501</v>
      </c>
      <c r="O1387" s="11">
        <v>1026601</v>
      </c>
      <c r="P1387" s="11">
        <v>1026701</v>
      </c>
      <c r="Q1387" s="11">
        <v>1026801</v>
      </c>
    </row>
    <row r="1388" spans="1:21">
      <c r="A1388" s="11">
        <f t="shared" si="61"/>
        <v>70265407</v>
      </c>
      <c r="B1388" s="2" t="s">
        <v>1526</v>
      </c>
      <c r="D1388" s="2" t="str">
        <f>E1388&amp;(VLOOKUP(F1388,[2]编号表!$E$1:$G$8,2,0))&amp;G1388&amp;"_"&amp;H1388&amp;"_"&amp;I1388</f>
        <v>26N5_4_7</v>
      </c>
      <c r="E1388" s="2">
        <v>26</v>
      </c>
      <c r="F1388" s="2" t="s">
        <v>174</v>
      </c>
      <c r="G1388" s="2">
        <v>5</v>
      </c>
      <c r="H1388" s="2">
        <v>4</v>
      </c>
      <c r="I1388" s="2">
        <f>COUNTIFS($E$3:E1388,E1388,$H$3:H1388,H1388)</f>
        <v>7</v>
      </c>
      <c r="N1388" s="11">
        <v>1026501</v>
      </c>
      <c r="O1388" s="11">
        <v>1026601</v>
      </c>
      <c r="P1388" s="11">
        <v>1026701</v>
      </c>
      <c r="Q1388" s="11">
        <v>1026801</v>
      </c>
    </row>
    <row r="1389" spans="1:21">
      <c r="A1389" s="11">
        <f t="shared" si="61"/>
        <v>70260001</v>
      </c>
      <c r="B1389" s="24" t="s">
        <v>1527</v>
      </c>
      <c r="D1389" s="2" t="str">
        <f>E1389&amp;(VLOOKUP(F1389,[2]编号表!$E$1:$G$8,2,0))&amp;G1389&amp;"_"&amp;H1389&amp;"_"&amp;I1389</f>
        <v>26J0_0_1</v>
      </c>
      <c r="E1389" s="2">
        <v>26</v>
      </c>
      <c r="F1389" s="2" t="s">
        <v>222</v>
      </c>
      <c r="G1389" s="2">
        <v>0</v>
      </c>
      <c r="H1389" s="2">
        <v>0</v>
      </c>
      <c r="I1389" s="2">
        <f>COUNTIFS($E$3:E1389,E1389,$H$3:H1389,H1389)</f>
        <v>1</v>
      </c>
      <c r="J1389" s="2">
        <v>1</v>
      </c>
    </row>
    <row r="1390" spans="1:21">
      <c r="A1390" s="11">
        <f t="shared" ref="A1390:A1421" si="62">70000000+E1390*10000+G1390*1000+H1390*100+I1390</f>
        <v>70276101</v>
      </c>
      <c r="B1390" s="2" t="s">
        <v>1528</v>
      </c>
      <c r="D1390" s="2" t="str">
        <f>E1390&amp;(VLOOKUP(F1390,[2]编号表!$E$1:$G$8,2,0))&amp;G1390&amp;"_"&amp;H1390&amp;"_"&amp;I1390</f>
        <v>27N6_1_1</v>
      </c>
      <c r="E1390" s="2">
        <v>27</v>
      </c>
      <c r="F1390" s="2" t="s">
        <v>174</v>
      </c>
      <c r="G1390" s="2">
        <v>6</v>
      </c>
      <c r="H1390" s="2">
        <v>1</v>
      </c>
      <c r="I1390" s="2">
        <f>COUNTIFS($E$3:E1390,E1390,$H$3:H1390,H1390)</f>
        <v>1</v>
      </c>
      <c r="N1390" s="11">
        <v>1027201</v>
      </c>
      <c r="O1390" s="11">
        <v>1027301</v>
      </c>
      <c r="P1390" s="11">
        <v>1027401</v>
      </c>
      <c r="Q1390" s="11">
        <v>1027501</v>
      </c>
      <c r="R1390" s="11">
        <v>1027601</v>
      </c>
      <c r="S1390" s="11">
        <v>1027701</v>
      </c>
      <c r="T1390" s="11">
        <v>1027801</v>
      </c>
      <c r="U1390" s="11">
        <v>1027001</v>
      </c>
    </row>
    <row r="1391" spans="1:21">
      <c r="A1391" s="11">
        <f t="shared" si="62"/>
        <v>70276102</v>
      </c>
      <c r="B1391" s="2" t="s">
        <v>1529</v>
      </c>
      <c r="D1391" s="2" t="str">
        <f>E1391&amp;(VLOOKUP(F1391,[2]编号表!$E$1:$G$8,2,0))&amp;G1391&amp;"_"&amp;H1391&amp;"_"&amp;I1391</f>
        <v>27N6_1_2</v>
      </c>
      <c r="E1391" s="2">
        <v>27</v>
      </c>
      <c r="F1391" s="2" t="s">
        <v>174</v>
      </c>
      <c r="G1391" s="2">
        <v>6</v>
      </c>
      <c r="H1391" s="2">
        <v>1</v>
      </c>
      <c r="I1391" s="2">
        <f>COUNTIFS($E$3:E1391,E1391,$H$3:H1391,H1391)</f>
        <v>2</v>
      </c>
      <c r="N1391" s="11">
        <v>1027201</v>
      </c>
      <c r="O1391" s="11">
        <v>1027301</v>
      </c>
      <c r="P1391" s="11">
        <v>1027401</v>
      </c>
      <c r="Q1391" s="11">
        <v>1027501</v>
      </c>
      <c r="R1391" s="11">
        <v>1027601</v>
      </c>
      <c r="S1391" s="11">
        <v>1027701</v>
      </c>
      <c r="T1391" s="11">
        <v>1027801</v>
      </c>
      <c r="U1391" s="11">
        <v>1027002</v>
      </c>
    </row>
    <row r="1392" spans="1:21">
      <c r="A1392" s="11">
        <f t="shared" si="62"/>
        <v>70271103</v>
      </c>
      <c r="B1392" s="2" t="s">
        <v>1530</v>
      </c>
      <c r="D1392" s="2" t="str">
        <f>E1392&amp;(VLOOKUP(F1392,[2]编号表!$E$1:$G$8,2,0))&amp;G1392&amp;"_"&amp;H1392&amp;"_"&amp;I1392</f>
        <v>27N1_1_3</v>
      </c>
      <c r="E1392" s="2">
        <v>27</v>
      </c>
      <c r="F1392" s="2" t="s">
        <v>174</v>
      </c>
      <c r="G1392" s="2">
        <v>1</v>
      </c>
      <c r="H1392" s="2">
        <v>1</v>
      </c>
      <c r="I1392" s="2">
        <f>COUNTIFS($E$3:E1392,E1392,$H$3:H1392,H1392)</f>
        <v>3</v>
      </c>
      <c r="N1392" s="11">
        <v>1027801</v>
      </c>
    </row>
    <row r="1393" spans="1:21">
      <c r="A1393" s="11">
        <f t="shared" si="62"/>
        <v>70271104</v>
      </c>
      <c r="B1393" s="2" t="s">
        <v>1531</v>
      </c>
      <c r="D1393" s="2" t="str">
        <f>E1393&amp;(VLOOKUP(F1393,[2]编号表!$E$1:$G$8,2,0))&amp;G1393&amp;"_"&amp;H1393&amp;"_"&amp;I1393</f>
        <v>27N1_1_4</v>
      </c>
      <c r="E1393" s="2">
        <v>27</v>
      </c>
      <c r="F1393" s="2" t="s">
        <v>174</v>
      </c>
      <c r="G1393" s="2">
        <v>1</v>
      </c>
      <c r="H1393" s="2">
        <v>1</v>
      </c>
      <c r="I1393" s="2">
        <f>COUNTIFS($E$3:E1393,E1393,$H$3:H1393,H1393)</f>
        <v>4</v>
      </c>
      <c r="N1393" s="11">
        <v>1027801</v>
      </c>
    </row>
    <row r="1394" spans="1:21">
      <c r="A1394" s="11">
        <f t="shared" si="62"/>
        <v>70273105</v>
      </c>
      <c r="B1394" s="2" t="s">
        <v>1532</v>
      </c>
      <c r="D1394" s="2" t="str">
        <f>E1394&amp;(VLOOKUP(F1394,[2]编号表!$E$1:$G$8,2,0))&amp;G1394&amp;"_"&amp;H1394&amp;"_"&amp;I1394</f>
        <v>27N3_1_5</v>
      </c>
      <c r="E1394" s="2">
        <v>27</v>
      </c>
      <c r="F1394" s="2" t="s">
        <v>174</v>
      </c>
      <c r="G1394" s="2">
        <v>3</v>
      </c>
      <c r="H1394" s="2">
        <v>1</v>
      </c>
      <c r="I1394" s="2">
        <f>COUNTIFS($E$3:E1394,E1394,$H$3:H1394,H1394)</f>
        <v>5</v>
      </c>
      <c r="N1394" s="11">
        <v>1027601</v>
      </c>
      <c r="O1394" s="11">
        <v>1027701</v>
      </c>
      <c r="P1394" s="11">
        <v>1027801</v>
      </c>
    </row>
    <row r="1395" spans="1:21">
      <c r="A1395" s="11">
        <f t="shared" si="62"/>
        <v>70276106</v>
      </c>
      <c r="B1395" s="2" t="s">
        <v>1533</v>
      </c>
      <c r="D1395" s="2" t="str">
        <f>E1395&amp;(VLOOKUP(F1395,[2]编号表!$E$1:$G$8,2,0))&amp;G1395&amp;"_"&amp;H1395&amp;"_"&amp;I1395</f>
        <v>27N6_1_6</v>
      </c>
      <c r="E1395" s="2">
        <v>27</v>
      </c>
      <c r="F1395" s="2" t="s">
        <v>174</v>
      </c>
      <c r="G1395" s="2">
        <v>6</v>
      </c>
      <c r="H1395" s="2">
        <v>1</v>
      </c>
      <c r="I1395" s="2">
        <f>COUNTIFS($E$3:E1395,E1395,$H$3:H1395,H1395)</f>
        <v>6</v>
      </c>
      <c r="N1395" s="11">
        <v>1027201</v>
      </c>
      <c r="O1395" s="11">
        <v>1027301</v>
      </c>
      <c r="P1395" s="11">
        <v>1027401</v>
      </c>
      <c r="Q1395" s="11">
        <v>1027501</v>
      </c>
      <c r="R1395" s="11">
        <v>1027601</v>
      </c>
      <c r="S1395" s="11">
        <v>1027701</v>
      </c>
      <c r="T1395" s="11">
        <v>1027801</v>
      </c>
      <c r="U1395" s="11">
        <v>1027003</v>
      </c>
    </row>
    <row r="1396" spans="1:21">
      <c r="A1396" s="11">
        <f t="shared" si="62"/>
        <v>70276107</v>
      </c>
      <c r="B1396" s="2" t="s">
        <v>1534</v>
      </c>
      <c r="D1396" s="2" t="str">
        <f>E1396&amp;(VLOOKUP(F1396,[2]编号表!$E$1:$G$8,2,0))&amp;G1396&amp;"_"&amp;H1396&amp;"_"&amp;I1396</f>
        <v>27N6_1_7</v>
      </c>
      <c r="E1396" s="2">
        <v>27</v>
      </c>
      <c r="F1396" s="2" t="s">
        <v>174</v>
      </c>
      <c r="G1396" s="2">
        <v>6</v>
      </c>
      <c r="H1396" s="2">
        <v>1</v>
      </c>
      <c r="I1396" s="2">
        <f>COUNTIFS($E$3:E1396,E1396,$H$3:H1396,H1396)</f>
        <v>7</v>
      </c>
      <c r="N1396" s="11">
        <v>1027201</v>
      </c>
      <c r="O1396" s="11">
        <v>1027301</v>
      </c>
      <c r="P1396" s="11">
        <v>1027401</v>
      </c>
      <c r="Q1396" s="11">
        <v>1027501</v>
      </c>
      <c r="R1396" s="11">
        <v>1027601</v>
      </c>
      <c r="S1396" s="11">
        <v>1027701</v>
      </c>
      <c r="T1396" s="11">
        <v>1027801</v>
      </c>
      <c r="U1396" s="11">
        <v>1027101</v>
      </c>
    </row>
    <row r="1397" spans="1:21">
      <c r="A1397" s="11">
        <f t="shared" si="62"/>
        <v>70278201</v>
      </c>
      <c r="B1397" s="2" t="s">
        <v>1535</v>
      </c>
      <c r="D1397" s="2" t="str">
        <f>E1397&amp;(VLOOKUP(F1397,[2]编号表!$E$1:$G$8,2,0))&amp;G1397&amp;"_"&amp;H1397&amp;"_"&amp;I1397</f>
        <v>27N8_2_1</v>
      </c>
      <c r="E1397" s="2">
        <v>27</v>
      </c>
      <c r="F1397" s="2" t="s">
        <v>174</v>
      </c>
      <c r="G1397" s="2">
        <v>8</v>
      </c>
      <c r="H1397" s="2">
        <v>2</v>
      </c>
      <c r="I1397" s="2">
        <f>COUNTIFS($E$3:E1397,E1397,$H$3:H1397,H1397)</f>
        <v>1</v>
      </c>
      <c r="N1397" s="11">
        <v>1027201</v>
      </c>
      <c r="O1397" s="11">
        <v>1027301</v>
      </c>
      <c r="P1397" s="11">
        <v>1027401</v>
      </c>
      <c r="Q1397" s="11">
        <v>1027501</v>
      </c>
      <c r="R1397" s="11">
        <v>1027601</v>
      </c>
      <c r="S1397" s="11">
        <v>1027701</v>
      </c>
      <c r="T1397" s="11">
        <v>1027801</v>
      </c>
      <c r="U1397" s="11">
        <v>1027102</v>
      </c>
    </row>
    <row r="1398" spans="1:21">
      <c r="A1398" s="11">
        <f t="shared" si="62"/>
        <v>70278202</v>
      </c>
      <c r="B1398" s="2" t="s">
        <v>1536</v>
      </c>
      <c r="D1398" s="2" t="str">
        <f>E1398&amp;(VLOOKUP(F1398,[2]编号表!$E$1:$G$8,2,0))&amp;G1398&amp;"_"&amp;H1398&amp;"_"&amp;I1398</f>
        <v>27N8_2_2</v>
      </c>
      <c r="E1398" s="2">
        <v>27</v>
      </c>
      <c r="F1398" s="2" t="s">
        <v>174</v>
      </c>
      <c r="G1398" s="2">
        <v>8</v>
      </c>
      <c r="H1398" s="2">
        <v>2</v>
      </c>
      <c r="I1398" s="2">
        <f>COUNTIFS($E$3:E1398,E1398,$H$3:H1398,H1398)</f>
        <v>2</v>
      </c>
      <c r="N1398" s="11">
        <v>1027201</v>
      </c>
      <c r="O1398" s="11">
        <v>1027301</v>
      </c>
      <c r="P1398" s="11">
        <v>1027401</v>
      </c>
      <c r="Q1398" s="11">
        <v>1027501</v>
      </c>
      <c r="R1398" s="11">
        <v>1027601</v>
      </c>
      <c r="S1398" s="11">
        <v>1027701</v>
      </c>
      <c r="T1398" s="11">
        <v>1027801</v>
      </c>
      <c r="U1398" s="11">
        <v>1027103</v>
      </c>
    </row>
    <row r="1399" spans="1:21">
      <c r="A1399" s="11">
        <f t="shared" si="62"/>
        <v>70278203</v>
      </c>
      <c r="B1399" s="2" t="s">
        <v>1537</v>
      </c>
      <c r="D1399" s="2" t="str">
        <f>E1399&amp;(VLOOKUP(F1399,[2]编号表!$E$1:$G$8,2,0))&amp;G1399&amp;"_"&amp;H1399&amp;"_"&amp;I1399</f>
        <v>27N8_2_3</v>
      </c>
      <c r="E1399" s="2">
        <v>27</v>
      </c>
      <c r="F1399" s="2" t="s">
        <v>174</v>
      </c>
      <c r="G1399" s="2">
        <v>8</v>
      </c>
      <c r="H1399" s="2">
        <v>2</v>
      </c>
      <c r="I1399" s="2">
        <f>COUNTIFS($E$3:E1399,E1399,$H$3:H1399,H1399)</f>
        <v>3</v>
      </c>
      <c r="N1399" s="11">
        <v>1027201</v>
      </c>
      <c r="O1399" s="11">
        <v>1027301</v>
      </c>
      <c r="P1399" s="11">
        <v>1027401</v>
      </c>
      <c r="Q1399" s="11">
        <v>1027501</v>
      </c>
      <c r="R1399" s="11">
        <v>1027601</v>
      </c>
      <c r="S1399" s="11">
        <v>1027701</v>
      </c>
      <c r="T1399" s="11">
        <v>1027801</v>
      </c>
    </row>
    <row r="1400" spans="1:21">
      <c r="A1400" s="11">
        <f t="shared" si="62"/>
        <v>70278204</v>
      </c>
      <c r="B1400" s="2" t="s">
        <v>1538</v>
      </c>
      <c r="D1400" s="2" t="str">
        <f>E1400&amp;(VLOOKUP(F1400,[2]编号表!$E$1:$G$8,2,0))&amp;G1400&amp;"_"&amp;H1400&amp;"_"&amp;I1400</f>
        <v>27N8_2_4</v>
      </c>
      <c r="E1400" s="2">
        <v>27</v>
      </c>
      <c r="F1400" s="2" t="s">
        <v>174</v>
      </c>
      <c r="G1400" s="2">
        <v>8</v>
      </c>
      <c r="H1400" s="2">
        <v>2</v>
      </c>
      <c r="I1400" s="2">
        <f>COUNTIFS($E$3:E1400,E1400,$H$3:H1400,H1400)</f>
        <v>4</v>
      </c>
      <c r="N1400" s="11">
        <v>1027201</v>
      </c>
      <c r="O1400" s="11">
        <v>1027301</v>
      </c>
      <c r="P1400" s="11">
        <v>1027401</v>
      </c>
      <c r="Q1400" s="11">
        <v>1027501</v>
      </c>
      <c r="R1400" s="11">
        <v>1027601</v>
      </c>
      <c r="S1400" s="11">
        <v>1027701</v>
      </c>
      <c r="T1400" s="11">
        <v>1027801</v>
      </c>
    </row>
    <row r="1401" spans="1:21">
      <c r="A1401" s="11">
        <f t="shared" si="62"/>
        <v>70278205</v>
      </c>
      <c r="B1401" s="2" t="s">
        <v>1539</v>
      </c>
      <c r="D1401" s="2" t="str">
        <f>E1401&amp;(VLOOKUP(F1401,[2]编号表!$E$1:$G$8,2,0))&amp;G1401&amp;"_"&amp;H1401&amp;"_"&amp;I1401</f>
        <v>27N8_2_5</v>
      </c>
      <c r="E1401" s="2">
        <v>27</v>
      </c>
      <c r="F1401" s="2" t="s">
        <v>174</v>
      </c>
      <c r="G1401" s="2">
        <v>8</v>
      </c>
      <c r="H1401" s="2">
        <v>2</v>
      </c>
      <c r="I1401" s="2">
        <f>COUNTIFS($E$3:E1401,E1401,$H$3:H1401,H1401)</f>
        <v>5</v>
      </c>
      <c r="N1401" s="11">
        <v>1027201</v>
      </c>
      <c r="O1401" s="11">
        <v>1027301</v>
      </c>
      <c r="P1401" s="11">
        <v>1027401</v>
      </c>
      <c r="Q1401" s="11">
        <v>1027501</v>
      </c>
      <c r="R1401" s="11">
        <v>1027601</v>
      </c>
      <c r="S1401" s="11">
        <v>1027701</v>
      </c>
      <c r="T1401" s="11">
        <v>1027801</v>
      </c>
    </row>
    <row r="1402" spans="1:21">
      <c r="A1402" s="11">
        <f t="shared" si="62"/>
        <v>70278206</v>
      </c>
      <c r="B1402" s="2" t="s">
        <v>1540</v>
      </c>
      <c r="D1402" s="2" t="str">
        <f>E1402&amp;(VLOOKUP(F1402,[2]编号表!$E$1:$G$8,2,0))&amp;G1402&amp;"_"&amp;H1402&amp;"_"&amp;I1402</f>
        <v>27N8_2_6</v>
      </c>
      <c r="E1402" s="2">
        <v>27</v>
      </c>
      <c r="F1402" s="2" t="s">
        <v>174</v>
      </c>
      <c r="G1402" s="2">
        <v>8</v>
      </c>
      <c r="H1402" s="2">
        <v>2</v>
      </c>
      <c r="I1402" s="2">
        <f>COUNTIFS($E$3:E1402,E1402,$H$3:H1402,H1402)</f>
        <v>6</v>
      </c>
      <c r="N1402" s="11">
        <v>1027201</v>
      </c>
      <c r="O1402" s="11">
        <v>1027301</v>
      </c>
      <c r="P1402" s="11">
        <v>1027401</v>
      </c>
      <c r="Q1402" s="11">
        <v>1027501</v>
      </c>
      <c r="R1402" s="11">
        <v>1027601</v>
      </c>
      <c r="S1402" s="11">
        <v>1027701</v>
      </c>
      <c r="T1402" s="11">
        <v>1027801</v>
      </c>
    </row>
    <row r="1403" spans="1:21">
      <c r="A1403" s="11">
        <f t="shared" si="62"/>
        <v>70275207</v>
      </c>
      <c r="B1403" s="2" t="s">
        <v>1541</v>
      </c>
      <c r="D1403" s="2" t="str">
        <f>E1403&amp;(VLOOKUP(F1403,[2]编号表!$E$1:$G$8,2,0))&amp;G1403&amp;"_"&amp;H1403&amp;"_"&amp;I1403</f>
        <v>27N5_2_7</v>
      </c>
      <c r="E1403" s="2">
        <v>27</v>
      </c>
      <c r="F1403" s="2" t="s">
        <v>174</v>
      </c>
      <c r="G1403" s="2">
        <v>5</v>
      </c>
      <c r="H1403" s="2">
        <v>2</v>
      </c>
      <c r="I1403" s="2">
        <f>COUNTIFS($E$3:E1403,E1403,$H$3:H1403,H1403)</f>
        <v>7</v>
      </c>
      <c r="N1403" s="11">
        <v>1027201</v>
      </c>
      <c r="O1403" s="11">
        <v>1027301</v>
      </c>
      <c r="P1403" s="11">
        <v>1027401</v>
      </c>
      <c r="Q1403" s="11">
        <v>1027501</v>
      </c>
      <c r="R1403" s="11">
        <v>1027601</v>
      </c>
    </row>
    <row r="1404" spans="1:21">
      <c r="A1404" s="11">
        <f t="shared" si="62"/>
        <v>70278301</v>
      </c>
      <c r="B1404" s="2" t="s">
        <v>1542</v>
      </c>
      <c r="D1404" s="2" t="str">
        <f>E1404&amp;(VLOOKUP(F1404,[2]编号表!$E$1:$G$8,2,0))&amp;G1404&amp;"_"&amp;H1404&amp;"_"&amp;I1404</f>
        <v>27N8_3_1</v>
      </c>
      <c r="E1404" s="2">
        <v>27</v>
      </c>
      <c r="F1404" s="2" t="s">
        <v>174</v>
      </c>
      <c r="G1404" s="2">
        <v>8</v>
      </c>
      <c r="H1404" s="2">
        <v>3</v>
      </c>
      <c r="I1404" s="2">
        <f>COUNTIFS($E$3:E1404,E1404,$H$3:H1404,H1404)</f>
        <v>1</v>
      </c>
      <c r="N1404" s="11">
        <v>1027201</v>
      </c>
      <c r="O1404" s="11">
        <v>1027301</v>
      </c>
      <c r="P1404" s="11">
        <v>1027401</v>
      </c>
      <c r="Q1404" s="11">
        <v>1027501</v>
      </c>
      <c r="R1404" s="11">
        <v>1027601</v>
      </c>
      <c r="S1404" s="11">
        <v>1027701</v>
      </c>
      <c r="T1404" s="11">
        <v>1027801</v>
      </c>
    </row>
    <row r="1405" spans="1:21">
      <c r="A1405" s="11">
        <f t="shared" si="62"/>
        <v>70278302</v>
      </c>
      <c r="B1405" s="2" t="s">
        <v>1543</v>
      </c>
      <c r="D1405" s="2" t="str">
        <f>E1405&amp;(VLOOKUP(F1405,[2]编号表!$E$1:$G$8,2,0))&amp;G1405&amp;"_"&amp;H1405&amp;"_"&amp;I1405</f>
        <v>27N8_3_2</v>
      </c>
      <c r="E1405" s="2">
        <v>27</v>
      </c>
      <c r="F1405" s="2" t="s">
        <v>174</v>
      </c>
      <c r="G1405" s="2">
        <v>8</v>
      </c>
      <c r="H1405" s="2">
        <v>3</v>
      </c>
      <c r="I1405" s="2">
        <f>COUNTIFS($E$3:E1405,E1405,$H$3:H1405,H1405)</f>
        <v>2</v>
      </c>
      <c r="N1405" s="11">
        <v>1027201</v>
      </c>
      <c r="O1405" s="11">
        <v>1027301</v>
      </c>
      <c r="P1405" s="11">
        <v>1027401</v>
      </c>
      <c r="Q1405" s="11">
        <v>1027501</v>
      </c>
      <c r="R1405" s="11">
        <v>1027601</v>
      </c>
      <c r="S1405" s="11">
        <v>1027701</v>
      </c>
      <c r="T1405" s="11">
        <v>1027801</v>
      </c>
    </row>
    <row r="1406" spans="1:21">
      <c r="A1406" s="11">
        <f t="shared" si="62"/>
        <v>70278303</v>
      </c>
      <c r="B1406" s="2" t="s">
        <v>1544</v>
      </c>
      <c r="D1406" s="2" t="str">
        <f>E1406&amp;(VLOOKUP(F1406,[2]编号表!$E$1:$G$8,2,0))&amp;G1406&amp;"_"&amp;H1406&amp;"_"&amp;I1406</f>
        <v>27N8_3_3</v>
      </c>
      <c r="E1406" s="2">
        <v>27</v>
      </c>
      <c r="F1406" s="2" t="s">
        <v>174</v>
      </c>
      <c r="G1406" s="2">
        <v>8</v>
      </c>
      <c r="H1406" s="2">
        <v>3</v>
      </c>
      <c r="I1406" s="2">
        <f>COUNTIFS($E$3:E1406,E1406,$H$3:H1406,H1406)</f>
        <v>3</v>
      </c>
      <c r="N1406" s="11">
        <v>1027201</v>
      </c>
      <c r="O1406" s="11">
        <v>1027301</v>
      </c>
      <c r="P1406" s="11">
        <v>1027401</v>
      </c>
      <c r="Q1406" s="11">
        <v>1027501</v>
      </c>
      <c r="R1406" s="11">
        <v>1027601</v>
      </c>
      <c r="S1406" s="11">
        <v>1027701</v>
      </c>
      <c r="T1406" s="11">
        <v>1027801</v>
      </c>
    </row>
    <row r="1407" spans="1:21">
      <c r="A1407" s="11">
        <f t="shared" si="62"/>
        <v>70278304</v>
      </c>
      <c r="B1407" s="2" t="s">
        <v>1545</v>
      </c>
      <c r="D1407" s="2" t="str">
        <f>E1407&amp;(VLOOKUP(F1407,[2]编号表!$E$1:$G$8,2,0))&amp;G1407&amp;"_"&amp;H1407&amp;"_"&amp;I1407</f>
        <v>27N8_3_4</v>
      </c>
      <c r="E1407" s="2">
        <v>27</v>
      </c>
      <c r="F1407" s="2" t="s">
        <v>174</v>
      </c>
      <c r="G1407" s="2">
        <v>8</v>
      </c>
      <c r="H1407" s="2">
        <v>3</v>
      </c>
      <c r="I1407" s="2">
        <f>COUNTIFS($E$3:E1407,E1407,$H$3:H1407,H1407)</f>
        <v>4</v>
      </c>
      <c r="N1407" s="11">
        <v>1027201</v>
      </c>
      <c r="O1407" s="11">
        <v>1027301</v>
      </c>
      <c r="P1407" s="11">
        <v>1027401</v>
      </c>
      <c r="Q1407" s="11">
        <v>1027501</v>
      </c>
      <c r="R1407" s="11">
        <v>1027601</v>
      </c>
      <c r="S1407" s="11">
        <v>1027701</v>
      </c>
      <c r="T1407" s="11">
        <v>1027801</v>
      </c>
    </row>
    <row r="1408" spans="1:21">
      <c r="A1408" s="11">
        <f t="shared" si="62"/>
        <v>70278305</v>
      </c>
      <c r="B1408" s="2" t="s">
        <v>1546</v>
      </c>
      <c r="D1408" s="2" t="str">
        <f>E1408&amp;(VLOOKUP(F1408,[2]编号表!$E$1:$G$8,2,0))&amp;G1408&amp;"_"&amp;H1408&amp;"_"&amp;I1408</f>
        <v>27N8_3_5</v>
      </c>
      <c r="E1408" s="2">
        <v>27</v>
      </c>
      <c r="F1408" s="2" t="s">
        <v>174</v>
      </c>
      <c r="G1408" s="2">
        <v>8</v>
      </c>
      <c r="H1408" s="2">
        <v>3</v>
      </c>
      <c r="I1408" s="2">
        <f>COUNTIFS($E$3:E1408,E1408,$H$3:H1408,H1408)</f>
        <v>5</v>
      </c>
      <c r="N1408" s="11">
        <v>1027201</v>
      </c>
      <c r="O1408" s="11">
        <v>1027301</v>
      </c>
      <c r="P1408" s="11">
        <v>1027401</v>
      </c>
      <c r="Q1408" s="11">
        <v>1027501</v>
      </c>
      <c r="R1408" s="11">
        <v>1027601</v>
      </c>
      <c r="S1408" s="11">
        <v>1027701</v>
      </c>
      <c r="T1408" s="11">
        <v>1027801</v>
      </c>
    </row>
    <row r="1409" spans="1:20">
      <c r="A1409" s="11">
        <f t="shared" si="62"/>
        <v>70278306</v>
      </c>
      <c r="B1409" s="2" t="s">
        <v>1547</v>
      </c>
      <c r="D1409" s="2" t="str">
        <f>E1409&amp;(VLOOKUP(F1409,[2]编号表!$E$1:$G$8,2,0))&amp;G1409&amp;"_"&amp;H1409&amp;"_"&amp;I1409</f>
        <v>27N8_3_6</v>
      </c>
      <c r="E1409" s="2">
        <v>27</v>
      </c>
      <c r="F1409" s="2" t="s">
        <v>174</v>
      </c>
      <c r="G1409" s="2">
        <v>8</v>
      </c>
      <c r="H1409" s="2">
        <v>3</v>
      </c>
      <c r="I1409" s="2">
        <f>COUNTIFS($E$3:E1409,E1409,$H$3:H1409,H1409)</f>
        <v>6</v>
      </c>
      <c r="N1409" s="11">
        <v>1027201</v>
      </c>
      <c r="O1409" s="11">
        <v>1027301</v>
      </c>
      <c r="P1409" s="11">
        <v>1027401</v>
      </c>
      <c r="Q1409" s="11">
        <v>1027501</v>
      </c>
      <c r="R1409" s="11">
        <v>1027601</v>
      </c>
      <c r="S1409" s="11">
        <v>1027701</v>
      </c>
      <c r="T1409" s="11">
        <v>1027801</v>
      </c>
    </row>
    <row r="1410" spans="1:20">
      <c r="A1410" s="11">
        <f t="shared" si="62"/>
        <v>70275307</v>
      </c>
      <c r="B1410" s="2" t="s">
        <v>1548</v>
      </c>
      <c r="D1410" s="2" t="str">
        <f>E1410&amp;(VLOOKUP(F1410,[2]编号表!$E$1:$G$8,2,0))&amp;G1410&amp;"_"&amp;H1410&amp;"_"&amp;I1410</f>
        <v>27N5_3_7</v>
      </c>
      <c r="E1410" s="2">
        <v>27</v>
      </c>
      <c r="F1410" s="2" t="s">
        <v>174</v>
      </c>
      <c r="G1410" s="2">
        <v>5</v>
      </c>
      <c r="H1410" s="2">
        <v>3</v>
      </c>
      <c r="I1410" s="2">
        <f>COUNTIFS($E$3:E1410,E1410,$H$3:H1410,H1410)</f>
        <v>7</v>
      </c>
      <c r="N1410" s="11">
        <v>1027201</v>
      </c>
      <c r="O1410" s="11">
        <v>1027301</v>
      </c>
      <c r="P1410" s="11">
        <v>1027401</v>
      </c>
      <c r="Q1410" s="11">
        <v>1027501</v>
      </c>
      <c r="R1410" s="11">
        <v>1027601</v>
      </c>
    </row>
    <row r="1411" spans="1:20">
      <c r="A1411" s="11">
        <f t="shared" si="62"/>
        <v>70274401</v>
      </c>
      <c r="B1411" s="2" t="s">
        <v>1549</v>
      </c>
      <c r="D1411" s="2" t="str">
        <f>E1411&amp;(VLOOKUP(F1411,[2]编号表!$E$1:$G$8,2,0))&amp;G1411&amp;"_"&amp;H1411&amp;"_"&amp;I1411</f>
        <v>27N4_4_1</v>
      </c>
      <c r="E1411" s="2">
        <v>27</v>
      </c>
      <c r="F1411" s="2" t="s">
        <v>174</v>
      </c>
      <c r="G1411" s="2">
        <v>4</v>
      </c>
      <c r="H1411" s="2">
        <v>4</v>
      </c>
      <c r="I1411" s="2">
        <f>COUNTIFS($E$3:E1411,E1411,$H$3:H1411,H1411)</f>
        <v>1</v>
      </c>
      <c r="N1411" s="11">
        <v>1027201</v>
      </c>
      <c r="O1411" s="11">
        <v>1027301</v>
      </c>
      <c r="P1411" s="11">
        <v>1027401</v>
      </c>
      <c r="Q1411" s="11">
        <v>1027501</v>
      </c>
    </row>
    <row r="1412" spans="1:20">
      <c r="A1412" s="11">
        <f t="shared" si="62"/>
        <v>70278402</v>
      </c>
      <c r="B1412" s="2" t="s">
        <v>1550</v>
      </c>
      <c r="D1412" s="2" t="str">
        <f>E1412&amp;(VLOOKUP(F1412,[2]编号表!$E$1:$G$8,2,0))&amp;G1412&amp;"_"&amp;H1412&amp;"_"&amp;I1412</f>
        <v>27N8_4_2</v>
      </c>
      <c r="E1412" s="2">
        <v>27</v>
      </c>
      <c r="F1412" s="2" t="s">
        <v>174</v>
      </c>
      <c r="G1412" s="2">
        <v>8</v>
      </c>
      <c r="H1412" s="2">
        <v>4</v>
      </c>
      <c r="I1412" s="2">
        <f>COUNTIFS($E$3:E1412,E1412,$H$3:H1412,H1412)</f>
        <v>2</v>
      </c>
      <c r="N1412" s="11">
        <v>1027201</v>
      </c>
      <c r="O1412" s="11">
        <v>1027301</v>
      </c>
      <c r="P1412" s="11">
        <v>1027401</v>
      </c>
      <c r="Q1412" s="11">
        <v>1027501</v>
      </c>
      <c r="R1412" s="11">
        <v>1027601</v>
      </c>
      <c r="S1412" s="11">
        <v>1027701</v>
      </c>
      <c r="T1412" s="11">
        <v>1027801</v>
      </c>
    </row>
    <row r="1413" spans="1:20">
      <c r="A1413" s="11">
        <f t="shared" si="62"/>
        <v>70275403</v>
      </c>
      <c r="B1413" s="2" t="s">
        <v>1551</v>
      </c>
      <c r="D1413" s="2" t="str">
        <f>E1413&amp;(VLOOKUP(F1413,[2]编号表!$E$1:$G$8,2,0))&amp;G1413&amp;"_"&amp;H1413&amp;"_"&amp;I1413</f>
        <v>27N5_4_3</v>
      </c>
      <c r="E1413" s="2">
        <v>27</v>
      </c>
      <c r="F1413" s="2" t="s">
        <v>174</v>
      </c>
      <c r="G1413" s="2">
        <v>5</v>
      </c>
      <c r="H1413" s="2">
        <v>4</v>
      </c>
      <c r="I1413" s="2">
        <f>COUNTIFS($E$3:E1413,E1413,$H$3:H1413,H1413)</f>
        <v>3</v>
      </c>
      <c r="N1413" s="11">
        <v>1027201</v>
      </c>
      <c r="O1413" s="11">
        <v>1027301</v>
      </c>
      <c r="P1413" s="11">
        <v>1027401</v>
      </c>
      <c r="Q1413" s="11">
        <v>1027501</v>
      </c>
      <c r="R1413" s="11">
        <v>1027601</v>
      </c>
    </row>
    <row r="1414" spans="1:20">
      <c r="A1414" s="11">
        <f t="shared" si="62"/>
        <v>70278404</v>
      </c>
      <c r="B1414" s="2" t="s">
        <v>1552</v>
      </c>
      <c r="D1414" s="2" t="str">
        <f>E1414&amp;(VLOOKUP(F1414,[2]编号表!$E$1:$G$8,2,0))&amp;G1414&amp;"_"&amp;H1414&amp;"_"&amp;I1414</f>
        <v>27N8_4_4</v>
      </c>
      <c r="E1414" s="2">
        <v>27</v>
      </c>
      <c r="F1414" s="2" t="s">
        <v>174</v>
      </c>
      <c r="G1414" s="2">
        <v>8</v>
      </c>
      <c r="H1414" s="2">
        <v>4</v>
      </c>
      <c r="I1414" s="2">
        <f>COUNTIFS($E$3:E1414,E1414,$H$3:H1414,H1414)</f>
        <v>4</v>
      </c>
      <c r="N1414" s="11">
        <v>1027201</v>
      </c>
      <c r="O1414" s="11">
        <v>1027301</v>
      </c>
      <c r="P1414" s="11">
        <v>1027401</v>
      </c>
      <c r="Q1414" s="11">
        <v>1027501</v>
      </c>
      <c r="R1414" s="11">
        <v>1027601</v>
      </c>
      <c r="S1414" s="11">
        <v>1027701</v>
      </c>
      <c r="T1414" s="11">
        <v>1027801</v>
      </c>
    </row>
    <row r="1415" spans="1:20">
      <c r="A1415" s="11">
        <f t="shared" si="62"/>
        <v>70275405</v>
      </c>
      <c r="B1415" s="2" t="s">
        <v>1553</v>
      </c>
      <c r="D1415" s="2" t="str">
        <f>E1415&amp;(VLOOKUP(F1415,[2]编号表!$E$1:$G$8,2,0))&amp;G1415&amp;"_"&amp;H1415&amp;"_"&amp;I1415</f>
        <v>27N5_4_5</v>
      </c>
      <c r="E1415" s="2">
        <v>27</v>
      </c>
      <c r="F1415" s="2" t="s">
        <v>174</v>
      </c>
      <c r="G1415" s="2">
        <v>5</v>
      </c>
      <c r="H1415" s="2">
        <v>4</v>
      </c>
      <c r="I1415" s="2">
        <f>COUNTIFS($E$3:E1415,E1415,$H$3:H1415,H1415)</f>
        <v>5</v>
      </c>
      <c r="N1415" s="11">
        <v>1027201</v>
      </c>
      <c r="O1415" s="11">
        <v>1027301</v>
      </c>
      <c r="P1415" s="11">
        <v>1027401</v>
      </c>
      <c r="Q1415" s="11">
        <v>1027501</v>
      </c>
      <c r="R1415" s="11">
        <v>1027601</v>
      </c>
    </row>
    <row r="1416" spans="1:20">
      <c r="A1416" s="11">
        <f t="shared" si="62"/>
        <v>70274501</v>
      </c>
      <c r="B1416" s="2" t="s">
        <v>1554</v>
      </c>
      <c r="D1416" s="2" t="str">
        <f>E1416&amp;(VLOOKUP(F1416,[2]编号表!$E$1:$G$8,2,0))&amp;G1416&amp;"_"&amp;H1416&amp;"_"&amp;I1416</f>
        <v>27N4_5_1</v>
      </c>
      <c r="E1416" s="2">
        <v>27</v>
      </c>
      <c r="F1416" s="2" t="s">
        <v>174</v>
      </c>
      <c r="G1416" s="2">
        <v>4</v>
      </c>
      <c r="H1416" s="2">
        <v>5</v>
      </c>
      <c r="I1416" s="2">
        <f>COUNTIFS($E$3:E1416,E1416,$H$3:H1416,H1416)</f>
        <v>1</v>
      </c>
      <c r="N1416" s="11">
        <v>1027201</v>
      </c>
      <c r="O1416" s="11">
        <v>1027301</v>
      </c>
      <c r="P1416" s="11">
        <v>1027401</v>
      </c>
      <c r="Q1416" s="11">
        <v>1027501</v>
      </c>
    </row>
    <row r="1417" spans="1:20">
      <c r="A1417" s="11">
        <f t="shared" si="62"/>
        <v>70271502</v>
      </c>
      <c r="B1417" s="15" t="s">
        <v>1499</v>
      </c>
      <c r="D1417" s="2" t="str">
        <f>E1417&amp;(VLOOKUP(F1417,[2]编号表!$E$1:$G$8,2,0))&amp;G1417&amp;"_"&amp;H1417&amp;"_"&amp;I1417</f>
        <v>27T1_5_2</v>
      </c>
      <c r="E1417" s="2">
        <v>27</v>
      </c>
      <c r="F1417" s="2" t="s">
        <v>190</v>
      </c>
      <c r="G1417" s="2">
        <v>1</v>
      </c>
      <c r="H1417" s="2">
        <v>5</v>
      </c>
      <c r="I1417" s="2">
        <f>COUNTIFS($E$3:E1417,E1417,$H$3:H1417,H1417)</f>
        <v>2</v>
      </c>
      <c r="K1417" s="2">
        <v>1</v>
      </c>
    </row>
    <row r="1418" spans="1:20">
      <c r="A1418" s="11">
        <f t="shared" si="62"/>
        <v>70273503</v>
      </c>
      <c r="B1418" s="16" t="s">
        <v>91</v>
      </c>
      <c r="C1418" s="2" t="s">
        <v>1500</v>
      </c>
      <c r="D1418" s="2" t="str">
        <f>E1418&amp;(VLOOKUP(F1418,[2]编号表!$E$1:$G$8,2,0))&amp;G1418&amp;"_"&amp;H1418&amp;"_"&amp;I1418</f>
        <v>27T3_5_3</v>
      </c>
      <c r="E1418" s="2">
        <v>27</v>
      </c>
      <c r="F1418" s="2" t="s">
        <v>190</v>
      </c>
      <c r="G1418" s="2">
        <v>3</v>
      </c>
      <c r="H1418" s="2">
        <v>5</v>
      </c>
      <c r="I1418" s="2">
        <f>COUNTIFS($E$3:E1418,E1418,$H$3:H1418,H1418)</f>
        <v>3</v>
      </c>
      <c r="L1418" s="2">
        <v>154</v>
      </c>
    </row>
    <row r="1419" spans="1:20">
      <c r="A1419" s="11">
        <f t="shared" si="62"/>
        <v>70274504</v>
      </c>
      <c r="B1419" s="2" t="s">
        <v>1555</v>
      </c>
      <c r="D1419" s="2" t="str">
        <f>E1419&amp;(VLOOKUP(F1419,[2]编号表!$E$1:$G$8,2,0))&amp;G1419&amp;"_"&amp;H1419&amp;"_"&amp;I1419</f>
        <v>27N4_5_4</v>
      </c>
      <c r="E1419" s="2">
        <v>27</v>
      </c>
      <c r="F1419" s="2" t="s">
        <v>174</v>
      </c>
      <c r="G1419" s="2">
        <v>4</v>
      </c>
      <c r="H1419" s="2">
        <v>5</v>
      </c>
      <c r="I1419" s="2">
        <f>COUNTIFS($E$3:E1419,E1419,$H$3:H1419,H1419)</f>
        <v>4</v>
      </c>
      <c r="N1419" s="11">
        <v>1027201</v>
      </c>
      <c r="O1419" s="11">
        <v>1027301</v>
      </c>
      <c r="P1419" s="11">
        <v>1027401</v>
      </c>
      <c r="Q1419" s="11">
        <v>1027501</v>
      </c>
    </row>
    <row r="1420" spans="1:20">
      <c r="A1420" s="11">
        <f t="shared" si="62"/>
        <v>70270001</v>
      </c>
      <c r="B1420" s="24" t="s">
        <v>1556</v>
      </c>
      <c r="D1420" s="2" t="str">
        <f>E1420&amp;(VLOOKUP(F1420,[2]编号表!$E$1:$G$8,2,0))&amp;G1420&amp;"_"&amp;H1420&amp;"_"&amp;I1420</f>
        <v>27J0_0_1</v>
      </c>
      <c r="E1420" s="2">
        <v>27</v>
      </c>
      <c r="F1420" s="2" t="s">
        <v>222</v>
      </c>
      <c r="G1420" s="2">
        <v>0</v>
      </c>
      <c r="H1420" s="2">
        <v>0</v>
      </c>
      <c r="I1420" s="2">
        <f>COUNTIFS($E$3:E1420,E1420,$H$3:H1420,H1420)</f>
        <v>1</v>
      </c>
      <c r="J1420" s="2">
        <v>1</v>
      </c>
    </row>
    <row r="1421" spans="1:20">
      <c r="A1421" s="11">
        <f t="shared" ref="A1421:A1466" si="63">70000000+E1421*10000+G1421*1000+H1421*100+I1421</f>
        <v>70284101</v>
      </c>
      <c r="B1421" s="2" t="s">
        <v>1557</v>
      </c>
      <c r="D1421" s="2" t="str">
        <f>E1421&amp;(VLOOKUP(F1421,编号表!$E$1:$G$8,2,0))&amp;G1421&amp;"_"&amp;H1421&amp;"_"&amp;I1421</f>
        <v>28N4_1_1</v>
      </c>
      <c r="E1421" s="2">
        <v>28</v>
      </c>
      <c r="F1421" s="2" t="s">
        <v>174</v>
      </c>
      <c r="G1421" s="2">
        <v>4</v>
      </c>
      <c r="H1421" s="2">
        <v>1</v>
      </c>
      <c r="I1421" s="2">
        <f>COUNTIFS($E$3:E1421,E1421,$H$3:H1421,H1421)</f>
        <v>1</v>
      </c>
      <c r="N1421" s="11">
        <v>1028203</v>
      </c>
      <c r="O1421" s="11">
        <v>1028303</v>
      </c>
      <c r="P1421" s="11">
        <v>1028001</v>
      </c>
    </row>
    <row r="1422" spans="1:20">
      <c r="A1422" s="11">
        <f t="shared" si="63"/>
        <v>70285102</v>
      </c>
      <c r="B1422" s="2" t="s">
        <v>1558</v>
      </c>
      <c r="D1422" s="2" t="str">
        <f>E1422&amp;(VLOOKUP(F1422,编号表!$E$1:$G$8,2,0))&amp;G1422&amp;"_"&amp;H1422&amp;"_"&amp;I1422</f>
        <v>28N5_1_2</v>
      </c>
      <c r="E1422" s="2">
        <v>28</v>
      </c>
      <c r="F1422" s="2" t="s">
        <v>174</v>
      </c>
      <c r="G1422" s="2">
        <v>5</v>
      </c>
      <c r="H1422" s="2">
        <v>1</v>
      </c>
      <c r="I1422" s="2">
        <f>COUNTIFS($E$3:E1422,E1422,$H$3:H1422,H1422)</f>
        <v>2</v>
      </c>
      <c r="N1422" s="11">
        <v>1028203</v>
      </c>
      <c r="O1422" s="11">
        <v>1028303</v>
      </c>
      <c r="P1422" s="11">
        <v>1028101</v>
      </c>
    </row>
    <row r="1423" spans="1:20">
      <c r="A1423" s="11">
        <f t="shared" si="63"/>
        <v>70283103</v>
      </c>
      <c r="B1423" s="16" t="s">
        <v>19</v>
      </c>
      <c r="C1423" s="2" t="s">
        <v>1559</v>
      </c>
      <c r="D1423" s="2" t="str">
        <f>E1423&amp;(VLOOKUP(F1423,编号表!$E$1:$G$8,2,0))&amp;G1423&amp;"_"&amp;H1423&amp;"_"&amp;I1423</f>
        <v>28T3_1_3</v>
      </c>
      <c r="E1423" s="2">
        <v>28</v>
      </c>
      <c r="F1423" s="2" t="s">
        <v>190</v>
      </c>
      <c r="G1423" s="2">
        <v>3</v>
      </c>
      <c r="H1423" s="2">
        <v>1</v>
      </c>
      <c r="I1423" s="2">
        <f>COUNTIFS($E$3:E1423,E1423,$H$3:H1423,H1423)</f>
        <v>3</v>
      </c>
    </row>
    <row r="1424" spans="1:20">
      <c r="A1424" s="11">
        <f t="shared" si="63"/>
        <v>70281104</v>
      </c>
      <c r="B1424" s="15" t="s">
        <v>1560</v>
      </c>
      <c r="D1424" s="2" t="str">
        <f>E1424&amp;(VLOOKUP(F1424,编号表!$E$1:$G$8,2,0))&amp;G1424&amp;"_"&amp;H1424&amp;"_"&amp;I1424</f>
        <v>28T1_1_4</v>
      </c>
      <c r="E1424" s="2">
        <v>28</v>
      </c>
      <c r="F1424" s="2" t="s">
        <v>190</v>
      </c>
      <c r="G1424" s="2">
        <v>1</v>
      </c>
      <c r="H1424" s="2">
        <v>1</v>
      </c>
      <c r="I1424" s="2">
        <f>COUNTIFS($E$3:E1424,E1424,$H$3:H1424,H1424)</f>
        <v>4</v>
      </c>
      <c r="K1424" s="2">
        <v>1</v>
      </c>
    </row>
    <row r="1425" spans="1:15">
      <c r="A1425" s="11">
        <f t="shared" si="63"/>
        <v>70281105</v>
      </c>
      <c r="B1425" s="2" t="s">
        <v>1561</v>
      </c>
      <c r="D1425" s="2" t="str">
        <f>E1425&amp;(VLOOKUP(F1425,编号表!$E$1:$G$8,2,0))&amp;G1425&amp;"_"&amp;H1425&amp;"_"&amp;I1425</f>
        <v>28N1_1_5</v>
      </c>
      <c r="E1425" s="2">
        <v>28</v>
      </c>
      <c r="F1425" s="2" t="s">
        <v>174</v>
      </c>
      <c r="G1425" s="2">
        <v>1</v>
      </c>
      <c r="H1425" s="2">
        <v>1</v>
      </c>
      <c r="I1425" s="2">
        <f>COUNTIFS($E$3:E1425,E1425,$H$3:H1425,H1425)</f>
        <v>5</v>
      </c>
      <c r="N1425" s="11">
        <v>1028203</v>
      </c>
      <c r="O1425" s="11">
        <v>1028303</v>
      </c>
    </row>
    <row r="1426" spans="1:15">
      <c r="A1426" s="11">
        <f t="shared" si="63"/>
        <v>70283106</v>
      </c>
      <c r="B1426" s="2" t="s">
        <v>1562</v>
      </c>
      <c r="D1426" s="2" t="str">
        <f>E1426&amp;(VLOOKUP(F1426,编号表!$E$1:$G$8,2,0))&amp;G1426&amp;"_"&amp;H1426&amp;"_"&amp;I1426</f>
        <v>28N3_1_6</v>
      </c>
      <c r="E1426" s="2">
        <v>28</v>
      </c>
      <c r="F1426" s="2" t="s">
        <v>174</v>
      </c>
      <c r="G1426" s="2">
        <v>3</v>
      </c>
      <c r="H1426" s="2">
        <v>1</v>
      </c>
      <c r="I1426" s="2">
        <f>COUNTIFS($E$3:E1426,E1426,$H$3:H1426,H1426)</f>
        <v>6</v>
      </c>
      <c r="N1426" s="11">
        <v>1028203</v>
      </c>
      <c r="O1426" s="11">
        <v>1028303</v>
      </c>
    </row>
    <row r="1427" spans="1:15">
      <c r="A1427" s="11">
        <f t="shared" si="63"/>
        <v>70283107</v>
      </c>
      <c r="B1427" s="2" t="s">
        <v>1563</v>
      </c>
      <c r="D1427" s="2" t="str">
        <f>E1427&amp;(VLOOKUP(F1427,编号表!$E$1:$G$8,2,0))&amp;G1427&amp;"_"&amp;H1427&amp;"_"&amp;I1427</f>
        <v>28N3_1_7</v>
      </c>
      <c r="E1427" s="2">
        <v>28</v>
      </c>
      <c r="F1427" s="2" t="s">
        <v>174</v>
      </c>
      <c r="G1427" s="2">
        <v>3</v>
      </c>
      <c r="H1427" s="2">
        <v>1</v>
      </c>
      <c r="I1427" s="2">
        <f>COUNTIFS($E$3:E1427,E1427,$H$3:H1427,H1427)</f>
        <v>7</v>
      </c>
      <c r="N1427" s="11">
        <v>1028203</v>
      </c>
      <c r="O1427" s="11">
        <v>1028303</v>
      </c>
    </row>
    <row r="1428" spans="1:15">
      <c r="A1428" s="11">
        <f t="shared" si="63"/>
        <v>70283108</v>
      </c>
      <c r="B1428" s="2" t="s">
        <v>1564</v>
      </c>
      <c r="D1428" s="2" t="str">
        <f>E1428&amp;(VLOOKUP(F1428,编号表!$E$1:$G$8,2,0))&amp;G1428&amp;"_"&amp;H1428&amp;"_"&amp;I1428</f>
        <v>28N3_1_8</v>
      </c>
      <c r="E1428" s="2">
        <v>28</v>
      </c>
      <c r="F1428" s="2" t="s">
        <v>174</v>
      </c>
      <c r="G1428" s="2">
        <v>3</v>
      </c>
      <c r="H1428" s="2">
        <v>1</v>
      </c>
      <c r="I1428" s="2">
        <f>COUNTIFS($E$3:E1428,E1428,$H$3:H1428,H1428)</f>
        <v>8</v>
      </c>
      <c r="N1428" s="11">
        <v>1028203</v>
      </c>
      <c r="O1428" s="11">
        <v>1028303</v>
      </c>
    </row>
    <row r="1429" spans="1:15">
      <c r="A1429" s="11">
        <f t="shared" si="63"/>
        <v>70283109</v>
      </c>
      <c r="B1429" s="2" t="s">
        <v>1565</v>
      </c>
      <c r="D1429" s="2" t="str">
        <f>E1429&amp;(VLOOKUP(F1429,编号表!$E$1:$G$8,2,0))&amp;G1429&amp;"_"&amp;H1429&amp;"_"&amp;I1429</f>
        <v>28N3_1_9</v>
      </c>
      <c r="E1429" s="2">
        <v>28</v>
      </c>
      <c r="F1429" s="2" t="s">
        <v>174</v>
      </c>
      <c r="G1429" s="2">
        <v>3</v>
      </c>
      <c r="H1429" s="2">
        <v>1</v>
      </c>
      <c r="I1429" s="2">
        <f>COUNTIFS($E$3:E1429,E1429,$H$3:H1429,H1429)</f>
        <v>9</v>
      </c>
      <c r="N1429" s="11">
        <v>1028203</v>
      </c>
      <c r="O1429" s="11">
        <v>1028303</v>
      </c>
    </row>
    <row r="1430" spans="1:15">
      <c r="A1430" s="11">
        <f t="shared" si="63"/>
        <v>70283110</v>
      </c>
      <c r="B1430" s="2" t="s">
        <v>1566</v>
      </c>
      <c r="D1430" s="2" t="str">
        <f>E1430&amp;(VLOOKUP(F1430,编号表!$E$1:$G$8,2,0))&amp;G1430&amp;"_"&amp;H1430&amp;"_"&amp;I1430</f>
        <v>28N3_1_10</v>
      </c>
      <c r="E1430" s="2">
        <v>28</v>
      </c>
      <c r="F1430" s="2" t="s">
        <v>174</v>
      </c>
      <c r="G1430" s="2">
        <v>3</v>
      </c>
      <c r="H1430" s="2">
        <v>1</v>
      </c>
      <c r="I1430" s="2">
        <f>COUNTIFS($E$3:E1430,E1430,$H$3:H1430,H1430)</f>
        <v>10</v>
      </c>
      <c r="N1430" s="11">
        <v>1028203</v>
      </c>
      <c r="O1430" s="11">
        <v>1028303</v>
      </c>
    </row>
    <row r="1431" spans="1:15">
      <c r="A1431" s="11">
        <f t="shared" si="63"/>
        <v>70283111</v>
      </c>
      <c r="B1431" s="2" t="s">
        <v>1567</v>
      </c>
      <c r="D1431" s="2" t="str">
        <f>E1431&amp;(VLOOKUP(F1431,编号表!$E$1:$G$8,2,0))&amp;G1431&amp;"_"&amp;H1431&amp;"_"&amp;I1431</f>
        <v>28N3_1_11</v>
      </c>
      <c r="E1431" s="2">
        <v>28</v>
      </c>
      <c r="F1431" s="2" t="s">
        <v>174</v>
      </c>
      <c r="G1431" s="2">
        <v>3</v>
      </c>
      <c r="H1431" s="2">
        <v>1</v>
      </c>
      <c r="I1431" s="2">
        <f>COUNTIFS($E$3:E1431,E1431,$H$3:H1431,H1431)</f>
        <v>11</v>
      </c>
      <c r="N1431" s="11">
        <v>1028203</v>
      </c>
      <c r="O1431" s="11">
        <v>1028303</v>
      </c>
    </row>
    <row r="1432" spans="1:15">
      <c r="A1432" s="11">
        <f t="shared" si="63"/>
        <v>70283112</v>
      </c>
      <c r="B1432" s="2" t="s">
        <v>1568</v>
      </c>
      <c r="D1432" s="2" t="str">
        <f>E1432&amp;(VLOOKUP(F1432,编号表!$E$1:$G$8,2,0))&amp;G1432&amp;"_"&amp;H1432&amp;"_"&amp;I1432</f>
        <v>28N3_1_12</v>
      </c>
      <c r="E1432" s="2">
        <v>28</v>
      </c>
      <c r="F1432" s="2" t="s">
        <v>174</v>
      </c>
      <c r="G1432" s="2">
        <v>3</v>
      </c>
      <c r="H1432" s="2">
        <v>1</v>
      </c>
      <c r="I1432" s="2">
        <f>COUNTIFS($E$3:E1432,E1432,$H$3:H1432,H1432)</f>
        <v>12</v>
      </c>
      <c r="N1432" s="11">
        <v>1028203</v>
      </c>
      <c r="O1432" s="11">
        <v>1028303</v>
      </c>
    </row>
    <row r="1433" spans="1:15">
      <c r="A1433" s="11">
        <f t="shared" si="63"/>
        <v>70281201</v>
      </c>
      <c r="B1433" s="2" t="s">
        <v>1569</v>
      </c>
      <c r="D1433" s="2" t="str">
        <f>E1433&amp;(VLOOKUP(F1433,编号表!$E$1:$G$8,2,0))&amp;G1433&amp;"_"&amp;H1433&amp;"_"&amp;I1433</f>
        <v>28N1_2_1</v>
      </c>
      <c r="E1433" s="2">
        <v>28</v>
      </c>
      <c r="F1433" s="2" t="s">
        <v>174</v>
      </c>
      <c r="G1433" s="2">
        <v>1</v>
      </c>
      <c r="H1433" s="2">
        <v>2</v>
      </c>
      <c r="I1433" s="2">
        <f>COUNTIFS($E$3:E1433,E1433,$H$3:H1433,H1433)</f>
        <v>1</v>
      </c>
      <c r="N1433" s="11">
        <v>1028203</v>
      </c>
      <c r="O1433" s="11">
        <v>1028303</v>
      </c>
    </row>
    <row r="1434" spans="1:15">
      <c r="A1434" s="11">
        <f t="shared" si="63"/>
        <v>70285202</v>
      </c>
      <c r="B1434" s="2" t="s">
        <v>1570</v>
      </c>
      <c r="D1434" s="2" t="str">
        <f>E1434&amp;(VLOOKUP(F1434,编号表!$E$1:$G$8,2,0))&amp;G1434&amp;"_"&amp;H1434&amp;"_"&amp;I1434</f>
        <v>28N5_2_2</v>
      </c>
      <c r="E1434" s="2">
        <v>28</v>
      </c>
      <c r="F1434" s="2" t="s">
        <v>174</v>
      </c>
      <c r="G1434" s="2">
        <v>5</v>
      </c>
      <c r="H1434" s="2">
        <v>2</v>
      </c>
      <c r="I1434" s="2">
        <f>COUNTIFS($E$3:E1434,E1434,$H$3:H1434,H1434)</f>
        <v>2</v>
      </c>
      <c r="N1434" s="11">
        <v>1028203</v>
      </c>
      <c r="O1434" s="11">
        <v>1028303</v>
      </c>
    </row>
    <row r="1435" spans="1:15">
      <c r="A1435" s="11">
        <f t="shared" si="63"/>
        <v>70284203</v>
      </c>
      <c r="B1435" s="2" t="s">
        <v>1571</v>
      </c>
      <c r="D1435" s="2" t="str">
        <f>E1435&amp;(VLOOKUP(F1435,编号表!$E$1:$G$8,2,0))&amp;G1435&amp;"_"&amp;H1435&amp;"_"&amp;I1435</f>
        <v>28N4_2_3</v>
      </c>
      <c r="E1435" s="2">
        <v>28</v>
      </c>
      <c r="F1435" s="2" t="s">
        <v>174</v>
      </c>
      <c r="G1435" s="2">
        <v>4</v>
      </c>
      <c r="H1435" s="2">
        <v>2</v>
      </c>
      <c r="I1435" s="2">
        <f>COUNTIFS($E$3:E1435,E1435,$H$3:H1435,H1435)</f>
        <v>3</v>
      </c>
      <c r="N1435" s="11">
        <v>1028203</v>
      </c>
      <c r="O1435" s="11">
        <v>1028303</v>
      </c>
    </row>
    <row r="1436" spans="1:15">
      <c r="A1436" s="11">
        <f t="shared" si="63"/>
        <v>70284204</v>
      </c>
      <c r="B1436" s="2" t="s">
        <v>1572</v>
      </c>
      <c r="D1436" s="2" t="str">
        <f>E1436&amp;(VLOOKUP(F1436,编号表!$E$1:$G$8,2,0))&amp;G1436&amp;"_"&amp;H1436&amp;"_"&amp;I1436</f>
        <v>28N4_2_4</v>
      </c>
      <c r="E1436" s="2">
        <v>28</v>
      </c>
      <c r="F1436" s="2" t="s">
        <v>174</v>
      </c>
      <c r="G1436" s="2">
        <v>4</v>
      </c>
      <c r="H1436" s="2">
        <v>2</v>
      </c>
      <c r="I1436" s="2">
        <f>COUNTIFS($E$3:E1436,E1436,$H$3:H1436,H1436)</f>
        <v>4</v>
      </c>
      <c r="N1436" s="11">
        <v>1028203</v>
      </c>
      <c r="O1436" s="11">
        <v>1028303</v>
      </c>
    </row>
    <row r="1437" spans="1:15">
      <c r="A1437" s="11">
        <f t="shared" si="63"/>
        <v>70283205</v>
      </c>
      <c r="B1437" s="2" t="s">
        <v>1573</v>
      </c>
      <c r="D1437" s="2" t="str">
        <f>E1437&amp;(VLOOKUP(F1437,编号表!$E$1:$G$8,2,0))&amp;G1437&amp;"_"&amp;H1437&amp;"_"&amp;I1437</f>
        <v>28N3_2_5</v>
      </c>
      <c r="E1437" s="2">
        <v>28</v>
      </c>
      <c r="F1437" s="2" t="s">
        <v>174</v>
      </c>
      <c r="G1437" s="2">
        <v>3</v>
      </c>
      <c r="H1437" s="2">
        <v>2</v>
      </c>
      <c r="I1437" s="2">
        <f>COUNTIFS($E$3:E1437,E1437,$H$3:H1437,H1437)</f>
        <v>5</v>
      </c>
      <c r="N1437" s="11">
        <v>1028203</v>
      </c>
      <c r="O1437" s="11">
        <v>1028303</v>
      </c>
    </row>
    <row r="1438" spans="1:15">
      <c r="A1438" s="11">
        <f t="shared" si="63"/>
        <v>70283206</v>
      </c>
      <c r="B1438" s="2" t="s">
        <v>1574</v>
      </c>
      <c r="D1438" s="2" t="str">
        <f>E1438&amp;(VLOOKUP(F1438,编号表!$E$1:$G$8,2,0))&amp;G1438&amp;"_"&amp;H1438&amp;"_"&amp;I1438</f>
        <v>28N3_2_6</v>
      </c>
      <c r="E1438" s="2">
        <v>28</v>
      </c>
      <c r="F1438" s="2" t="s">
        <v>174</v>
      </c>
      <c r="G1438" s="2">
        <v>3</v>
      </c>
      <c r="H1438" s="2">
        <v>2</v>
      </c>
      <c r="I1438" s="2">
        <f>COUNTIFS($E$3:E1438,E1438,$H$3:H1438,H1438)</f>
        <v>6</v>
      </c>
      <c r="N1438" s="11">
        <v>1028203</v>
      </c>
      <c r="O1438" s="11">
        <v>1028303</v>
      </c>
    </row>
    <row r="1439" spans="1:15">
      <c r="A1439" s="11">
        <f t="shared" si="63"/>
        <v>70284207</v>
      </c>
      <c r="B1439" s="2" t="s">
        <v>1575</v>
      </c>
      <c r="D1439" s="2" t="str">
        <f>E1439&amp;(VLOOKUP(F1439,编号表!$E$1:$G$8,2,0))&amp;G1439&amp;"_"&amp;H1439&amp;"_"&amp;I1439</f>
        <v>28N4_2_7</v>
      </c>
      <c r="E1439" s="2">
        <v>28</v>
      </c>
      <c r="F1439" s="2" t="s">
        <v>174</v>
      </c>
      <c r="G1439" s="2">
        <v>4</v>
      </c>
      <c r="H1439" s="2">
        <v>2</v>
      </c>
      <c r="I1439" s="2">
        <f>COUNTIFS($E$3:E1439,E1439,$H$3:H1439,H1439)</f>
        <v>7</v>
      </c>
      <c r="N1439" s="11">
        <v>1028203</v>
      </c>
      <c r="O1439" s="11">
        <v>1028303</v>
      </c>
    </row>
    <row r="1440" spans="1:15">
      <c r="A1440" s="11">
        <f t="shared" si="63"/>
        <v>70284208</v>
      </c>
      <c r="B1440" s="2" t="s">
        <v>1576</v>
      </c>
      <c r="D1440" s="2" t="str">
        <f>E1440&amp;(VLOOKUP(F1440,编号表!$E$1:$G$8,2,0))&amp;G1440&amp;"_"&amp;H1440&amp;"_"&amp;I1440</f>
        <v>28N4_2_8</v>
      </c>
      <c r="E1440" s="2">
        <v>28</v>
      </c>
      <c r="F1440" s="2" t="s">
        <v>174</v>
      </c>
      <c r="G1440" s="2">
        <v>4</v>
      </c>
      <c r="H1440" s="2">
        <v>2</v>
      </c>
      <c r="I1440" s="2">
        <f>COUNTIFS($E$3:E1440,E1440,$H$3:H1440,H1440)</f>
        <v>8</v>
      </c>
      <c r="N1440" s="11">
        <v>1028203</v>
      </c>
      <c r="O1440" s="11">
        <v>1028303</v>
      </c>
    </row>
    <row r="1441" spans="1:15">
      <c r="A1441" s="11">
        <f t="shared" si="63"/>
        <v>70283301</v>
      </c>
      <c r="B1441" s="2" t="s">
        <v>1577</v>
      </c>
      <c r="D1441" s="2" t="str">
        <f>E1441&amp;(VLOOKUP(F1441,编号表!$E$1:$G$8,2,0))&amp;G1441&amp;"_"&amp;H1441&amp;"_"&amp;I1441</f>
        <v>28N3_3_1</v>
      </c>
      <c r="E1441" s="2">
        <v>28</v>
      </c>
      <c r="F1441" s="2" t="s">
        <v>174</v>
      </c>
      <c r="G1441" s="2">
        <v>3</v>
      </c>
      <c r="H1441" s="2">
        <v>3</v>
      </c>
      <c r="I1441" s="2">
        <f>COUNTIFS($E$3:E1441,E1441,$H$3:H1441,H1441)</f>
        <v>1</v>
      </c>
      <c r="N1441" s="11">
        <v>1028203</v>
      </c>
      <c r="O1441" s="11">
        <v>1028303</v>
      </c>
    </row>
    <row r="1442" spans="1:15">
      <c r="A1442" s="11">
        <f t="shared" si="63"/>
        <v>70282302</v>
      </c>
      <c r="B1442" s="2" t="s">
        <v>1578</v>
      </c>
      <c r="D1442" s="2" t="str">
        <f>E1442&amp;(VLOOKUP(F1442,编号表!$E$1:$G$8,2,0))&amp;G1442&amp;"_"&amp;H1442&amp;"_"&amp;I1442</f>
        <v>28N2_3_2</v>
      </c>
      <c r="E1442" s="2">
        <v>28</v>
      </c>
      <c r="F1442" s="2" t="s">
        <v>174</v>
      </c>
      <c r="G1442" s="2">
        <v>2</v>
      </c>
      <c r="H1442" s="2">
        <v>3</v>
      </c>
      <c r="I1442" s="2">
        <f>COUNTIFS($E$3:E1442,E1442,$H$3:H1442,H1442)</f>
        <v>2</v>
      </c>
      <c r="N1442" s="11">
        <v>1028203</v>
      </c>
      <c r="O1442" s="11">
        <v>1028303</v>
      </c>
    </row>
    <row r="1443" spans="1:15">
      <c r="A1443" s="11">
        <f t="shared" si="63"/>
        <v>70282303</v>
      </c>
      <c r="B1443" s="2" t="s">
        <v>1579</v>
      </c>
      <c r="D1443" s="2" t="str">
        <f>E1443&amp;(VLOOKUP(F1443,编号表!$E$1:$G$8,2,0))&amp;G1443&amp;"_"&amp;H1443&amp;"_"&amp;I1443</f>
        <v>28N2_3_3</v>
      </c>
      <c r="E1443" s="2">
        <v>28</v>
      </c>
      <c r="F1443" s="2" t="s">
        <v>174</v>
      </c>
      <c r="G1443" s="2">
        <v>2</v>
      </c>
      <c r="H1443" s="2">
        <v>3</v>
      </c>
      <c r="I1443" s="2">
        <f>COUNTIFS($E$3:E1443,E1443,$H$3:H1443,H1443)</f>
        <v>3</v>
      </c>
      <c r="N1443" s="11">
        <v>1028203</v>
      </c>
      <c r="O1443" s="11">
        <v>1028303</v>
      </c>
    </row>
    <row r="1444" spans="1:15">
      <c r="A1444" s="11">
        <f t="shared" si="63"/>
        <v>70284304</v>
      </c>
      <c r="B1444" s="2" t="s">
        <v>1580</v>
      </c>
      <c r="D1444" s="2" t="str">
        <f>E1444&amp;(VLOOKUP(F1444,编号表!$E$1:$G$8,2,0))&amp;G1444&amp;"_"&amp;H1444&amp;"_"&amp;I1444</f>
        <v>28N4_3_4</v>
      </c>
      <c r="E1444" s="2">
        <v>28</v>
      </c>
      <c r="F1444" s="2" t="s">
        <v>174</v>
      </c>
      <c r="G1444" s="2">
        <v>4</v>
      </c>
      <c r="H1444" s="2">
        <v>3</v>
      </c>
      <c r="I1444" s="2">
        <f>COUNTIFS($E$3:E1444,E1444,$H$3:H1444,H1444)</f>
        <v>4</v>
      </c>
      <c r="N1444" s="11">
        <v>1028203</v>
      </c>
      <c r="O1444" s="11">
        <v>1028303</v>
      </c>
    </row>
    <row r="1445" spans="1:15">
      <c r="A1445" s="11">
        <f t="shared" si="63"/>
        <v>70283305</v>
      </c>
      <c r="B1445" s="2" t="s">
        <v>1581</v>
      </c>
      <c r="D1445" s="2" t="str">
        <f>E1445&amp;(VLOOKUP(F1445,编号表!$E$1:$G$8,2,0))&amp;G1445&amp;"_"&amp;H1445&amp;"_"&amp;I1445</f>
        <v>28N3_3_5</v>
      </c>
      <c r="E1445" s="2">
        <v>28</v>
      </c>
      <c r="F1445" s="2" t="s">
        <v>174</v>
      </c>
      <c r="G1445" s="2">
        <v>3</v>
      </c>
      <c r="H1445" s="2">
        <v>3</v>
      </c>
      <c r="I1445" s="2">
        <f>COUNTIFS($E$3:E1445,E1445,$H$3:H1445,H1445)</f>
        <v>5</v>
      </c>
      <c r="N1445" s="11">
        <v>1028203</v>
      </c>
      <c r="O1445" s="11">
        <v>1028303</v>
      </c>
    </row>
    <row r="1446" spans="1:15">
      <c r="A1446" s="11">
        <f t="shared" si="63"/>
        <v>70285306</v>
      </c>
      <c r="B1446" s="2" t="s">
        <v>1582</v>
      </c>
      <c r="D1446" s="2" t="str">
        <f>E1446&amp;(VLOOKUP(F1446,编号表!$E$1:$G$8,2,0))&amp;G1446&amp;"_"&amp;H1446&amp;"_"&amp;I1446</f>
        <v>28N5_3_6</v>
      </c>
      <c r="E1446" s="2">
        <v>28</v>
      </c>
      <c r="F1446" s="2" t="s">
        <v>174</v>
      </c>
      <c r="G1446" s="2">
        <v>5</v>
      </c>
      <c r="H1446" s="2">
        <v>3</v>
      </c>
      <c r="I1446" s="2">
        <f>COUNTIFS($E$3:E1446,E1446,$H$3:H1446,H1446)</f>
        <v>6</v>
      </c>
      <c r="N1446" s="11">
        <v>1028203</v>
      </c>
      <c r="O1446" s="11">
        <v>1028303</v>
      </c>
    </row>
    <row r="1447" spans="1:15">
      <c r="A1447" s="11">
        <f t="shared" si="63"/>
        <v>70285307</v>
      </c>
      <c r="B1447" s="2" t="s">
        <v>1583</v>
      </c>
      <c r="D1447" s="2" t="str">
        <f>E1447&amp;(VLOOKUP(F1447,编号表!$E$1:$G$8,2,0))&amp;G1447&amp;"_"&amp;H1447&amp;"_"&amp;I1447</f>
        <v>28N5_3_7</v>
      </c>
      <c r="E1447" s="2">
        <v>28</v>
      </c>
      <c r="F1447" s="2" t="s">
        <v>174</v>
      </c>
      <c r="G1447" s="2">
        <v>5</v>
      </c>
      <c r="H1447" s="2">
        <v>3</v>
      </c>
      <c r="I1447" s="2">
        <f>COUNTIFS($E$3:E1447,E1447,$H$3:H1447,H1447)</f>
        <v>7</v>
      </c>
      <c r="N1447" s="11">
        <v>1028203</v>
      </c>
      <c r="O1447" s="11">
        <v>1028303</v>
      </c>
    </row>
    <row r="1448" spans="1:15">
      <c r="A1448" s="11">
        <f t="shared" si="63"/>
        <v>70284308</v>
      </c>
      <c r="B1448" s="2" t="s">
        <v>1584</v>
      </c>
      <c r="D1448" s="2" t="str">
        <f>E1448&amp;(VLOOKUP(F1448,编号表!$E$1:$G$8,2,0))&amp;G1448&amp;"_"&amp;H1448&amp;"_"&amp;I1448</f>
        <v>28N4_3_8</v>
      </c>
      <c r="E1448" s="2">
        <v>28</v>
      </c>
      <c r="F1448" s="2" t="s">
        <v>174</v>
      </c>
      <c r="G1448" s="2">
        <v>4</v>
      </c>
      <c r="H1448" s="2">
        <v>3</v>
      </c>
      <c r="I1448" s="2">
        <f>COUNTIFS($E$3:E1448,E1448,$H$3:H1448,H1448)</f>
        <v>8</v>
      </c>
      <c r="N1448" s="11">
        <v>1028203</v>
      </c>
      <c r="O1448" s="11">
        <v>1028303</v>
      </c>
    </row>
    <row r="1449" spans="1:15">
      <c r="A1449" s="11">
        <f t="shared" si="63"/>
        <v>70281401</v>
      </c>
      <c r="B1449" s="2" t="s">
        <v>1585</v>
      </c>
      <c r="D1449" s="2" t="str">
        <f>E1449&amp;(VLOOKUP(F1449,编号表!$E$1:$G$8,2,0))&amp;G1449&amp;"_"&amp;H1449&amp;"_"&amp;I1449</f>
        <v>28N1_4_1</v>
      </c>
      <c r="E1449" s="2">
        <v>28</v>
      </c>
      <c r="F1449" s="2" t="s">
        <v>174</v>
      </c>
      <c r="G1449" s="2">
        <v>1</v>
      </c>
      <c r="H1449" s="2">
        <v>4</v>
      </c>
      <c r="I1449" s="2">
        <f>COUNTIFS($E$3:E1449,E1449,$H$3:H1449,H1449)</f>
        <v>1</v>
      </c>
      <c r="N1449" s="11">
        <v>1028203</v>
      </c>
      <c r="O1449" s="11">
        <v>1028303</v>
      </c>
    </row>
    <row r="1450" spans="1:15">
      <c r="A1450" s="11">
        <f t="shared" si="63"/>
        <v>70285402</v>
      </c>
      <c r="B1450" s="2" t="s">
        <v>1586</v>
      </c>
      <c r="D1450" s="2" t="str">
        <f>E1450&amp;(VLOOKUP(F1450,编号表!$E$1:$G$8,2,0))&amp;G1450&amp;"_"&amp;H1450&amp;"_"&amp;I1450</f>
        <v>28N5_4_2</v>
      </c>
      <c r="E1450" s="2">
        <v>28</v>
      </c>
      <c r="F1450" s="2" t="s">
        <v>174</v>
      </c>
      <c r="G1450" s="2">
        <v>5</v>
      </c>
      <c r="H1450" s="2">
        <v>4</v>
      </c>
      <c r="I1450" s="2">
        <f>COUNTIFS($E$3:E1450,E1450,$H$3:H1450,H1450)</f>
        <v>2</v>
      </c>
      <c r="N1450" s="11">
        <v>1028203</v>
      </c>
      <c r="O1450" s="11">
        <v>1028303</v>
      </c>
    </row>
    <row r="1451" spans="1:15">
      <c r="A1451" s="11">
        <f t="shared" si="63"/>
        <v>70283403</v>
      </c>
      <c r="B1451" s="2" t="s">
        <v>1587</v>
      </c>
      <c r="D1451" s="2" t="str">
        <f>E1451&amp;(VLOOKUP(F1451,编号表!$E$1:$G$8,2,0))&amp;G1451&amp;"_"&amp;H1451&amp;"_"&amp;I1451</f>
        <v>28N3_4_3</v>
      </c>
      <c r="E1451" s="2">
        <v>28</v>
      </c>
      <c r="F1451" s="2" t="s">
        <v>174</v>
      </c>
      <c r="G1451" s="2">
        <v>3</v>
      </c>
      <c r="H1451" s="2">
        <v>4</v>
      </c>
      <c r="I1451" s="2">
        <f>COUNTIFS($E$3:E1451,E1451,$H$3:H1451,H1451)</f>
        <v>3</v>
      </c>
      <c r="N1451" s="11">
        <v>1028203</v>
      </c>
      <c r="O1451" s="11">
        <v>1028303</v>
      </c>
    </row>
    <row r="1452" spans="1:15">
      <c r="A1452" s="11">
        <f t="shared" si="63"/>
        <v>70285404</v>
      </c>
      <c r="B1452" s="2" t="s">
        <v>1588</v>
      </c>
      <c r="D1452" s="2" t="str">
        <f>E1452&amp;(VLOOKUP(F1452,编号表!$E$1:$G$8,2,0))&amp;G1452&amp;"_"&amp;H1452&amp;"_"&amp;I1452</f>
        <v>28N5_4_4</v>
      </c>
      <c r="E1452" s="2">
        <v>28</v>
      </c>
      <c r="F1452" s="2" t="s">
        <v>174</v>
      </c>
      <c r="G1452" s="2">
        <v>5</v>
      </c>
      <c r="H1452" s="2">
        <v>4</v>
      </c>
      <c r="I1452" s="2">
        <f>COUNTIFS($E$3:E1452,E1452,$H$3:H1452,H1452)</f>
        <v>4</v>
      </c>
      <c r="N1452" s="11">
        <v>1028203</v>
      </c>
      <c r="O1452" s="11">
        <v>1028303</v>
      </c>
    </row>
    <row r="1453" spans="1:15">
      <c r="A1453" s="11">
        <f t="shared" si="63"/>
        <v>70285405</v>
      </c>
      <c r="B1453" s="2" t="s">
        <v>1589</v>
      </c>
      <c r="D1453" s="2" t="str">
        <f>E1453&amp;(VLOOKUP(F1453,编号表!$E$1:$G$8,2,0))&amp;G1453&amp;"_"&amp;H1453&amp;"_"&amp;I1453</f>
        <v>28N5_4_5</v>
      </c>
      <c r="E1453" s="2">
        <v>28</v>
      </c>
      <c r="F1453" s="2" t="s">
        <v>174</v>
      </c>
      <c r="G1453" s="2">
        <v>5</v>
      </c>
      <c r="H1453" s="2">
        <v>4</v>
      </c>
      <c r="I1453" s="2">
        <f>COUNTIFS($E$3:E1453,E1453,$H$3:H1453,H1453)</f>
        <v>5</v>
      </c>
      <c r="N1453" s="11">
        <v>1028203</v>
      </c>
      <c r="O1453" s="11">
        <v>1028303</v>
      </c>
    </row>
    <row r="1454" spans="1:15">
      <c r="A1454" s="11">
        <f t="shared" si="63"/>
        <v>70284406</v>
      </c>
      <c r="B1454" s="2" t="s">
        <v>1590</v>
      </c>
      <c r="D1454" s="2" t="str">
        <f>E1454&amp;(VLOOKUP(F1454,编号表!$E$1:$G$8,2,0))&amp;G1454&amp;"_"&amp;H1454&amp;"_"&amp;I1454</f>
        <v>28N4_4_6</v>
      </c>
      <c r="E1454" s="2">
        <v>28</v>
      </c>
      <c r="F1454" s="2" t="s">
        <v>174</v>
      </c>
      <c r="G1454" s="2">
        <v>4</v>
      </c>
      <c r="H1454" s="2">
        <v>4</v>
      </c>
      <c r="I1454" s="2">
        <f>COUNTIFS($E$3:E1454,E1454,$H$3:H1454,H1454)</f>
        <v>6</v>
      </c>
      <c r="N1454" s="11">
        <v>1028203</v>
      </c>
      <c r="O1454" s="11">
        <v>1028303</v>
      </c>
    </row>
    <row r="1455" spans="1:15">
      <c r="A1455" s="11">
        <f t="shared" si="63"/>
        <v>70284407</v>
      </c>
      <c r="B1455" s="2" t="s">
        <v>1591</v>
      </c>
      <c r="D1455" s="2" t="str">
        <f>E1455&amp;(VLOOKUP(F1455,编号表!$E$1:$G$8,2,0))&amp;G1455&amp;"_"&amp;H1455&amp;"_"&amp;I1455</f>
        <v>28N4_4_7</v>
      </c>
      <c r="E1455" s="2">
        <v>28</v>
      </c>
      <c r="F1455" s="2" t="s">
        <v>174</v>
      </c>
      <c r="G1455" s="2">
        <v>4</v>
      </c>
      <c r="H1455" s="2">
        <v>4</v>
      </c>
      <c r="I1455" s="2">
        <f>COUNTIFS($E$3:E1455,E1455,$H$3:H1455,H1455)</f>
        <v>7</v>
      </c>
      <c r="N1455" s="11">
        <v>1028203</v>
      </c>
      <c r="O1455" s="11">
        <v>1028303</v>
      </c>
    </row>
    <row r="1456" spans="1:15">
      <c r="A1456" s="11">
        <f t="shared" si="63"/>
        <v>70283408</v>
      </c>
      <c r="B1456" s="2" t="s">
        <v>1592</v>
      </c>
      <c r="D1456" s="2" t="str">
        <f>E1456&amp;(VLOOKUP(F1456,编号表!$E$1:$G$8,2,0))&amp;G1456&amp;"_"&amp;H1456&amp;"_"&amp;I1456</f>
        <v>28N3_4_8</v>
      </c>
      <c r="E1456" s="2">
        <v>28</v>
      </c>
      <c r="F1456" s="2" t="s">
        <v>174</v>
      </c>
      <c r="G1456" s="2">
        <v>3</v>
      </c>
      <c r="H1456" s="2">
        <v>4</v>
      </c>
      <c r="I1456" s="2">
        <f>COUNTIFS($E$3:E1456,E1456,$H$3:H1456,H1456)</f>
        <v>8</v>
      </c>
      <c r="N1456" s="11">
        <v>1028203</v>
      </c>
      <c r="O1456" s="11">
        <v>1028303</v>
      </c>
    </row>
    <row r="1457" spans="1:15">
      <c r="A1457" s="11">
        <f t="shared" si="63"/>
        <v>70282409</v>
      </c>
      <c r="B1457" s="2" t="s">
        <v>1593</v>
      </c>
      <c r="D1457" s="2" t="str">
        <f>E1457&amp;(VLOOKUP(F1457,编号表!$E$1:$G$8,2,0))&amp;G1457&amp;"_"&amp;H1457&amp;"_"&amp;I1457</f>
        <v>28N2_4_9</v>
      </c>
      <c r="E1457" s="2">
        <v>28</v>
      </c>
      <c r="F1457" s="2" t="s">
        <v>174</v>
      </c>
      <c r="G1457" s="2">
        <v>2</v>
      </c>
      <c r="H1457" s="2">
        <v>4</v>
      </c>
      <c r="I1457" s="2">
        <f>COUNTIFS($E$3:E1457,E1457,$H$3:H1457,H1457)</f>
        <v>9</v>
      </c>
      <c r="N1457" s="11">
        <v>1028203</v>
      </c>
      <c r="O1457" s="11">
        <v>1028303</v>
      </c>
    </row>
    <row r="1458" spans="1:15">
      <c r="A1458" s="11">
        <f t="shared" si="63"/>
        <v>70284410</v>
      </c>
      <c r="B1458" s="2" t="s">
        <v>1594</v>
      </c>
      <c r="D1458" s="2" t="str">
        <f>E1458&amp;(VLOOKUP(F1458,编号表!$E$1:$G$8,2,0))&amp;G1458&amp;"_"&amp;H1458&amp;"_"&amp;I1458</f>
        <v>28N4_4_10</v>
      </c>
      <c r="E1458" s="2">
        <v>28</v>
      </c>
      <c r="F1458" s="2" t="s">
        <v>174</v>
      </c>
      <c r="G1458" s="2">
        <v>4</v>
      </c>
      <c r="H1458" s="2">
        <v>4</v>
      </c>
      <c r="I1458" s="2">
        <f>COUNTIFS($E$3:E1458,E1458,$H$3:H1458,H1458)</f>
        <v>10</v>
      </c>
      <c r="N1458" s="11">
        <v>1028203</v>
      </c>
      <c r="O1458" s="11">
        <v>1028303</v>
      </c>
    </row>
    <row r="1459" spans="1:15">
      <c r="A1459" s="11">
        <f t="shared" si="63"/>
        <v>70284411</v>
      </c>
      <c r="B1459" s="2" t="s">
        <v>1595</v>
      </c>
      <c r="D1459" s="2" t="str">
        <f>E1459&amp;(VLOOKUP(F1459,编号表!$E$1:$G$8,2,0))&amp;G1459&amp;"_"&amp;H1459&amp;"_"&amp;I1459</f>
        <v>28N4_4_11</v>
      </c>
      <c r="E1459" s="2">
        <v>28</v>
      </c>
      <c r="F1459" s="2" t="s">
        <v>174</v>
      </c>
      <c r="G1459" s="2">
        <v>4</v>
      </c>
      <c r="H1459" s="2">
        <v>4</v>
      </c>
      <c r="I1459" s="2">
        <f>COUNTIFS($E$3:E1459,E1459,$H$3:H1459,H1459)</f>
        <v>11</v>
      </c>
      <c r="N1459" s="11">
        <v>1028203</v>
      </c>
      <c r="O1459" s="11">
        <v>1028303</v>
      </c>
    </row>
    <row r="1460" spans="1:15">
      <c r="A1460" s="11">
        <f t="shared" si="63"/>
        <v>70285412</v>
      </c>
      <c r="B1460" s="2" t="s">
        <v>1596</v>
      </c>
      <c r="D1460" s="2" t="str">
        <f>E1460&amp;(VLOOKUP(F1460,编号表!$E$1:$G$8,2,0))&amp;G1460&amp;"_"&amp;H1460&amp;"_"&amp;I1460</f>
        <v>28N5_4_12</v>
      </c>
      <c r="E1460" s="2">
        <v>28</v>
      </c>
      <c r="F1460" s="2" t="s">
        <v>174</v>
      </c>
      <c r="G1460" s="2">
        <v>5</v>
      </c>
      <c r="H1460" s="2">
        <v>4</v>
      </c>
      <c r="I1460" s="2">
        <f>COUNTIFS($E$3:E1460,E1460,$H$3:H1460,H1460)</f>
        <v>12</v>
      </c>
      <c r="N1460" s="11">
        <v>1028203</v>
      </c>
      <c r="O1460" s="11">
        <v>1028303</v>
      </c>
    </row>
    <row r="1461" spans="1:15">
      <c r="A1461" s="11">
        <f t="shared" si="63"/>
        <v>70285413</v>
      </c>
      <c r="B1461" s="2" t="s">
        <v>1597</v>
      </c>
      <c r="D1461" s="2" t="str">
        <f>E1461&amp;(VLOOKUP(F1461,编号表!$E$1:$G$8,2,0))&amp;G1461&amp;"_"&amp;H1461&amp;"_"&amp;I1461</f>
        <v>28N5_4_13</v>
      </c>
      <c r="E1461" s="2">
        <v>28</v>
      </c>
      <c r="F1461" s="2" t="s">
        <v>174</v>
      </c>
      <c r="G1461" s="2">
        <v>5</v>
      </c>
      <c r="H1461" s="2">
        <v>4</v>
      </c>
      <c r="I1461" s="2">
        <f>COUNTIFS($E$3:E1461,E1461,$H$3:H1461,H1461)</f>
        <v>13</v>
      </c>
      <c r="N1461" s="11">
        <v>1028203</v>
      </c>
      <c r="O1461" s="11">
        <v>1028303</v>
      </c>
    </row>
    <row r="1462" spans="1:15">
      <c r="A1462" s="11">
        <f t="shared" si="63"/>
        <v>70283414</v>
      </c>
      <c r="B1462" s="2" t="s">
        <v>1598</v>
      </c>
      <c r="D1462" s="2" t="str">
        <f>E1462&amp;(VLOOKUP(F1462,编号表!$E$1:$G$8,2,0))&amp;G1462&amp;"_"&amp;H1462&amp;"_"&amp;I1462</f>
        <v>28N3_4_14</v>
      </c>
      <c r="E1462" s="2">
        <v>28</v>
      </c>
      <c r="F1462" s="2" t="s">
        <v>174</v>
      </c>
      <c r="G1462" s="2">
        <v>3</v>
      </c>
      <c r="H1462" s="2">
        <v>4</v>
      </c>
      <c r="I1462" s="2">
        <f>COUNTIFS($E$3:E1462,E1462,$H$3:H1462,H1462)</f>
        <v>14</v>
      </c>
      <c r="N1462" s="11">
        <v>1028203</v>
      </c>
      <c r="O1462" s="11">
        <v>1028303</v>
      </c>
    </row>
    <row r="1463" spans="1:15">
      <c r="A1463" s="11">
        <f t="shared" si="63"/>
        <v>70283501</v>
      </c>
      <c r="B1463" s="16" t="s">
        <v>100</v>
      </c>
      <c r="C1463" s="2" t="s">
        <v>1599</v>
      </c>
      <c r="D1463" s="2" t="str">
        <f>E1463&amp;(VLOOKUP(F1463,编号表!$E$1:$G$8,2,0))&amp;G1463&amp;"_"&amp;H1463&amp;"_"&amp;I1463</f>
        <v>28T3_5_1</v>
      </c>
      <c r="E1463" s="2">
        <v>28</v>
      </c>
      <c r="F1463" s="2" t="s">
        <v>190</v>
      </c>
      <c r="G1463" s="2">
        <v>3</v>
      </c>
      <c r="H1463" s="2">
        <v>5</v>
      </c>
      <c r="I1463" s="2">
        <f>COUNTIFS($E$3:E1463,E1463,$H$3:H1463,H1463)</f>
        <v>1</v>
      </c>
      <c r="L1463" s="2">
        <v>157</v>
      </c>
    </row>
    <row r="1464" spans="1:15">
      <c r="A1464" s="11">
        <f t="shared" si="63"/>
        <v>70281502</v>
      </c>
      <c r="B1464" s="15" t="s">
        <v>1600</v>
      </c>
      <c r="D1464" s="2" t="str">
        <f>E1464&amp;(VLOOKUP(F1464,编号表!$E$1:$G$8,2,0))&amp;G1464&amp;"_"&amp;H1464&amp;"_"&amp;I1464</f>
        <v>28T1_5_2</v>
      </c>
      <c r="E1464" s="2">
        <v>28</v>
      </c>
      <c r="F1464" s="2" t="s">
        <v>190</v>
      </c>
      <c r="G1464" s="2">
        <v>1</v>
      </c>
      <c r="H1464" s="2">
        <v>5</v>
      </c>
      <c r="I1464" s="2">
        <f>COUNTIFS($E$3:E1464,E1464,$H$3:H1464,H1464)</f>
        <v>2</v>
      </c>
    </row>
    <row r="1465" spans="1:15">
      <c r="A1465" s="11">
        <f t="shared" si="63"/>
        <v>70284503</v>
      </c>
      <c r="B1465" s="2" t="s">
        <v>1601</v>
      </c>
      <c r="D1465" s="2" t="str">
        <f>E1465&amp;(VLOOKUP(F1465,编号表!$E$1:$G$8,2,0))&amp;G1465&amp;"_"&amp;H1465&amp;"_"&amp;I1465</f>
        <v>28N4_5_3</v>
      </c>
      <c r="E1465" s="2">
        <v>28</v>
      </c>
      <c r="F1465" s="2" t="s">
        <v>174</v>
      </c>
      <c r="G1465" s="2">
        <v>4</v>
      </c>
      <c r="H1465" s="2">
        <v>5</v>
      </c>
      <c r="I1465" s="2">
        <f>COUNTIFS($E$3:E1465,E1465,$H$3:H1465,H1465)</f>
        <v>3</v>
      </c>
      <c r="N1465" s="11">
        <v>1028203</v>
      </c>
      <c r="O1465" s="11">
        <v>1028303</v>
      </c>
    </row>
    <row r="1466" spans="1:15">
      <c r="A1466" s="11">
        <f t="shared" si="63"/>
        <v>70284504</v>
      </c>
      <c r="B1466" s="2" t="s">
        <v>1602</v>
      </c>
      <c r="D1466" s="2" t="str">
        <f>E1466&amp;(VLOOKUP(F1466,编号表!$E$1:$G$8,2,0))&amp;G1466&amp;"_"&amp;H1466&amp;"_"&amp;I1466</f>
        <v>28N4_5_4</v>
      </c>
      <c r="E1466" s="2">
        <v>28</v>
      </c>
      <c r="F1466" s="2" t="s">
        <v>174</v>
      </c>
      <c r="G1466" s="2">
        <v>4</v>
      </c>
      <c r="H1466" s="2">
        <v>5</v>
      </c>
      <c r="I1466" s="2">
        <f>COUNTIFS($E$3:E1466,E1466,$H$3:H1466,H1466)</f>
        <v>4</v>
      </c>
      <c r="N1466" s="11">
        <v>1028203</v>
      </c>
      <c r="O1466" s="11">
        <v>1028303</v>
      </c>
    </row>
    <row r="1467" spans="1:15">
      <c r="A1467" s="11">
        <f t="shared" ref="A1467:A1530" si="64">70000000+E1467*10000+G1467*1000+H1467*100+I1467</f>
        <v>70284505</v>
      </c>
      <c r="B1467" s="2" t="s">
        <v>1603</v>
      </c>
      <c r="D1467" s="2" t="str">
        <f>E1467&amp;(VLOOKUP(F1467,编号表!$E$1:$G$8,2,0))&amp;G1467&amp;"_"&amp;H1467&amp;"_"&amp;I1467</f>
        <v>28N4_5_5</v>
      </c>
      <c r="E1467" s="2">
        <v>28</v>
      </c>
      <c r="F1467" s="2" t="s">
        <v>174</v>
      </c>
      <c r="G1467" s="2">
        <v>4</v>
      </c>
      <c r="H1467" s="2">
        <v>5</v>
      </c>
      <c r="I1467" s="2">
        <f>COUNTIFS($E$3:E1467,E1467,$H$3:H1467,H1467)</f>
        <v>5</v>
      </c>
      <c r="N1467" s="11">
        <v>1028203</v>
      </c>
      <c r="O1467" s="11">
        <v>1028303</v>
      </c>
    </row>
    <row r="1468" spans="1:15">
      <c r="A1468" s="11">
        <f t="shared" si="64"/>
        <v>70284506</v>
      </c>
      <c r="B1468" s="2" t="s">
        <v>1604</v>
      </c>
      <c r="D1468" s="2" t="str">
        <f>E1468&amp;(VLOOKUP(F1468,编号表!$E$1:$G$8,2,0))&amp;G1468&amp;"_"&amp;H1468&amp;"_"&amp;I1468</f>
        <v>28N4_5_6</v>
      </c>
      <c r="E1468" s="2">
        <v>28</v>
      </c>
      <c r="F1468" s="2" t="s">
        <v>174</v>
      </c>
      <c r="G1468" s="2">
        <v>4</v>
      </c>
      <c r="H1468" s="2">
        <v>5</v>
      </c>
      <c r="I1468" s="2">
        <f>COUNTIFS($E$3:E1468,E1468,$H$3:H1468,H1468)</f>
        <v>6</v>
      </c>
      <c r="N1468" s="11">
        <v>1028203</v>
      </c>
      <c r="O1468" s="11">
        <v>1028303</v>
      </c>
    </row>
    <row r="1469" spans="1:15">
      <c r="A1469" s="11">
        <f t="shared" si="64"/>
        <v>70284507</v>
      </c>
      <c r="B1469" s="2" t="s">
        <v>1605</v>
      </c>
      <c r="D1469" s="2" t="str">
        <f>E1469&amp;(VLOOKUP(F1469,编号表!$E$1:$G$8,2,0))&amp;G1469&amp;"_"&amp;H1469&amp;"_"&amp;I1469</f>
        <v>28N4_5_7</v>
      </c>
      <c r="E1469" s="2">
        <v>28</v>
      </c>
      <c r="F1469" s="2" t="s">
        <v>174</v>
      </c>
      <c r="G1469" s="2">
        <v>4</v>
      </c>
      <c r="H1469" s="2">
        <v>5</v>
      </c>
      <c r="I1469" s="2">
        <f>COUNTIFS($E$3:E1469,E1469,$H$3:H1469,H1469)</f>
        <v>7</v>
      </c>
      <c r="N1469" s="11">
        <v>1028203</v>
      </c>
      <c r="O1469" s="11">
        <v>1028303</v>
      </c>
    </row>
    <row r="1470" spans="1:15">
      <c r="A1470" s="11">
        <f t="shared" si="64"/>
        <v>70281508</v>
      </c>
      <c r="B1470" s="2" t="s">
        <v>1606</v>
      </c>
      <c r="D1470" s="2" t="str">
        <f>E1470&amp;(VLOOKUP(F1470,编号表!$E$1:$G$8,2,0))&amp;G1470&amp;"_"&amp;H1470&amp;"_"&amp;I1470</f>
        <v>28N1_5_8</v>
      </c>
      <c r="E1470" s="2">
        <v>28</v>
      </c>
      <c r="F1470" s="2" t="s">
        <v>174</v>
      </c>
      <c r="G1470" s="2">
        <v>1</v>
      </c>
      <c r="H1470" s="2">
        <v>5</v>
      </c>
      <c r="I1470" s="2">
        <f>COUNTIFS($E$3:E1470,E1470,$H$3:H1470,H1470)</f>
        <v>8</v>
      </c>
      <c r="N1470" s="11">
        <v>1028203</v>
      </c>
      <c r="O1470" s="11">
        <v>1028303</v>
      </c>
    </row>
    <row r="1471" spans="1:15">
      <c r="A1471" s="11">
        <f t="shared" si="64"/>
        <v>70284509</v>
      </c>
      <c r="B1471" s="2" t="s">
        <v>1607</v>
      </c>
      <c r="D1471" s="2" t="str">
        <f>E1471&amp;(VLOOKUP(F1471,编号表!$E$1:$G$8,2,0))&amp;G1471&amp;"_"&amp;H1471&amp;"_"&amp;I1471</f>
        <v>28N4_5_9</v>
      </c>
      <c r="E1471" s="2">
        <v>28</v>
      </c>
      <c r="F1471" s="2" t="s">
        <v>174</v>
      </c>
      <c r="G1471" s="2">
        <v>4</v>
      </c>
      <c r="H1471" s="2">
        <v>5</v>
      </c>
      <c r="I1471" s="2">
        <f>COUNTIFS($E$3:E1471,E1471,$H$3:H1471,H1471)</f>
        <v>9</v>
      </c>
      <c r="N1471" s="11">
        <v>1028203</v>
      </c>
      <c r="O1471" s="11">
        <v>1028303</v>
      </c>
    </row>
    <row r="1472" spans="1:15">
      <c r="A1472" s="11">
        <f t="shared" si="64"/>
        <v>70283510</v>
      </c>
      <c r="B1472" s="2" t="s">
        <v>1608</v>
      </c>
      <c r="D1472" s="2" t="str">
        <f>E1472&amp;(VLOOKUP(F1472,编号表!$E$1:$G$8,2,0))&amp;G1472&amp;"_"&amp;H1472&amp;"_"&amp;I1472</f>
        <v>28N3_5_10</v>
      </c>
      <c r="E1472" s="2">
        <v>28</v>
      </c>
      <c r="F1472" s="2" t="s">
        <v>174</v>
      </c>
      <c r="G1472" s="2">
        <v>3</v>
      </c>
      <c r="H1472" s="2">
        <v>5</v>
      </c>
      <c r="I1472" s="2">
        <f>COUNTIFS($E$3:E1472,E1472,$H$3:H1472,H1472)</f>
        <v>10</v>
      </c>
      <c r="N1472" s="11">
        <v>1028203</v>
      </c>
      <c r="O1472" s="11">
        <v>1028303</v>
      </c>
    </row>
    <row r="1473" spans="1:16">
      <c r="A1473" s="11">
        <f t="shared" si="64"/>
        <v>70280001</v>
      </c>
      <c r="B1473" s="24" t="s">
        <v>1609</v>
      </c>
      <c r="D1473" s="2" t="str">
        <f>E1473&amp;(VLOOKUP(F1473,编号表!$E$1:$G$8,2,0))&amp;G1473&amp;"_"&amp;H1473&amp;"_"&amp;I1473</f>
        <v>28J0_0_1</v>
      </c>
      <c r="E1473" s="2">
        <v>28</v>
      </c>
      <c r="F1473" s="2" t="s">
        <v>222</v>
      </c>
      <c r="G1473" s="2">
        <v>0</v>
      </c>
      <c r="H1473" s="2">
        <v>0</v>
      </c>
      <c r="I1473" s="2">
        <f>COUNTIFS($E$3:E1473,E1473,$H$3:H1473,H1473)</f>
        <v>1</v>
      </c>
      <c r="J1473" s="2">
        <v>1</v>
      </c>
    </row>
    <row r="1474" spans="1:16">
      <c r="A1474" s="11">
        <f t="shared" si="64"/>
        <v>70293101</v>
      </c>
      <c r="B1474" s="2" t="s">
        <v>1610</v>
      </c>
      <c r="D1474" s="2" t="str">
        <f>E1474&amp;(VLOOKUP(F1474,编号表!$E$1:$G$8,2,0))&amp;G1474&amp;"_"&amp;H1474&amp;"_"&amp;I1474</f>
        <v>29N3_1_1</v>
      </c>
      <c r="E1474" s="2">
        <v>29</v>
      </c>
      <c r="F1474" s="2" t="s">
        <v>174</v>
      </c>
      <c r="G1474" s="2">
        <v>3</v>
      </c>
      <c r="H1474" s="2">
        <v>1</v>
      </c>
      <c r="I1474" s="2">
        <f>COUNTIFS($E$3:E1474,E1474,$H$3:H1474,H1474)</f>
        <v>1</v>
      </c>
      <c r="N1474" s="11">
        <v>1029203</v>
      </c>
      <c r="O1474" s="11">
        <v>1029303</v>
      </c>
      <c r="P1474" s="11">
        <v>1029001</v>
      </c>
    </row>
    <row r="1475" spans="1:16">
      <c r="A1475" s="11">
        <f t="shared" si="64"/>
        <v>70295102</v>
      </c>
      <c r="B1475" s="2" t="s">
        <v>1611</v>
      </c>
      <c r="D1475" s="2" t="str">
        <f>E1475&amp;(VLOOKUP(F1475,编号表!$E$1:$G$8,2,0))&amp;G1475&amp;"_"&amp;H1475&amp;"_"&amp;I1475</f>
        <v>29N5_1_2</v>
      </c>
      <c r="E1475" s="2">
        <v>29</v>
      </c>
      <c r="F1475" s="2" t="s">
        <v>174</v>
      </c>
      <c r="G1475" s="2">
        <v>5</v>
      </c>
      <c r="H1475" s="2">
        <v>1</v>
      </c>
      <c r="I1475" s="2">
        <f>COUNTIFS($E$3:E1475,E1475,$H$3:H1475,H1475)</f>
        <v>2</v>
      </c>
      <c r="N1475" s="11">
        <v>1029203</v>
      </c>
      <c r="O1475" s="11">
        <v>1029303</v>
      </c>
      <c r="P1475" s="11">
        <v>1029101</v>
      </c>
    </row>
    <row r="1476" spans="1:16">
      <c r="A1476" s="11">
        <f t="shared" si="64"/>
        <v>70295103</v>
      </c>
      <c r="B1476" s="2" t="s">
        <v>1612</v>
      </c>
      <c r="D1476" s="2" t="str">
        <f>E1476&amp;(VLOOKUP(F1476,编号表!$E$1:$G$8,2,0))&amp;G1476&amp;"_"&amp;H1476&amp;"_"&amp;I1476</f>
        <v>29N5_1_3</v>
      </c>
      <c r="E1476" s="2">
        <v>29</v>
      </c>
      <c r="F1476" s="2" t="s">
        <v>174</v>
      </c>
      <c r="G1476" s="2">
        <v>5</v>
      </c>
      <c r="H1476" s="2">
        <v>1</v>
      </c>
      <c r="I1476" s="2">
        <f>COUNTIFS($E$3:E1476,E1476,$H$3:H1476,H1476)</f>
        <v>3</v>
      </c>
      <c r="N1476" s="11">
        <v>1029203</v>
      </c>
      <c r="O1476" s="11">
        <v>1029303</v>
      </c>
    </row>
    <row r="1477" spans="1:16">
      <c r="A1477" s="11">
        <f t="shared" si="64"/>
        <v>70295104</v>
      </c>
      <c r="B1477" s="2" t="s">
        <v>1613</v>
      </c>
      <c r="D1477" s="2" t="str">
        <f>E1477&amp;(VLOOKUP(F1477,编号表!$E$1:$G$8,2,0))&amp;G1477&amp;"_"&amp;H1477&amp;"_"&amp;I1477</f>
        <v>29N5_1_4</v>
      </c>
      <c r="E1477" s="2">
        <v>29</v>
      </c>
      <c r="F1477" s="2" t="s">
        <v>174</v>
      </c>
      <c r="G1477" s="2">
        <v>5</v>
      </c>
      <c r="H1477" s="2">
        <v>1</v>
      </c>
      <c r="I1477" s="2">
        <f>COUNTIFS($E$3:E1477,E1477,$H$3:H1477,H1477)</f>
        <v>4</v>
      </c>
      <c r="N1477" s="11">
        <v>1029203</v>
      </c>
      <c r="O1477" s="11">
        <v>1029303</v>
      </c>
    </row>
    <row r="1478" spans="1:16">
      <c r="A1478" s="11">
        <f t="shared" si="64"/>
        <v>70295105</v>
      </c>
      <c r="B1478" s="2" t="s">
        <v>1614</v>
      </c>
      <c r="D1478" s="2" t="str">
        <f>E1478&amp;(VLOOKUP(F1478,编号表!$E$1:$G$8,2,0))&amp;G1478&amp;"_"&amp;H1478&amp;"_"&amp;I1478</f>
        <v>29N5_1_5</v>
      </c>
      <c r="E1478" s="2">
        <v>29</v>
      </c>
      <c r="F1478" s="2" t="s">
        <v>174</v>
      </c>
      <c r="G1478" s="2">
        <v>5</v>
      </c>
      <c r="H1478" s="2">
        <v>1</v>
      </c>
      <c r="I1478" s="2">
        <f>COUNTIFS($E$3:E1478,E1478,$H$3:H1478,H1478)</f>
        <v>5</v>
      </c>
      <c r="N1478" s="11">
        <v>1029203</v>
      </c>
      <c r="O1478" s="11">
        <v>1029303</v>
      </c>
    </row>
    <row r="1479" spans="1:16">
      <c r="A1479" s="11">
        <f t="shared" si="64"/>
        <v>70295106</v>
      </c>
      <c r="B1479" s="2" t="s">
        <v>1615</v>
      </c>
      <c r="D1479" s="2" t="str">
        <f>E1479&amp;(VLOOKUP(F1479,编号表!$E$1:$G$8,2,0))&amp;G1479&amp;"_"&amp;H1479&amp;"_"&amp;I1479</f>
        <v>29N5_1_6</v>
      </c>
      <c r="E1479" s="2">
        <v>29</v>
      </c>
      <c r="F1479" s="2" t="s">
        <v>174</v>
      </c>
      <c r="G1479" s="2">
        <v>5</v>
      </c>
      <c r="H1479" s="2">
        <v>1</v>
      </c>
      <c r="I1479" s="2">
        <f>COUNTIFS($E$3:E1479,E1479,$H$3:H1479,H1479)</f>
        <v>6</v>
      </c>
      <c r="N1479" s="11">
        <v>1029203</v>
      </c>
      <c r="O1479" s="11">
        <v>1029303</v>
      </c>
    </row>
    <row r="1480" spans="1:16">
      <c r="A1480" s="11">
        <f t="shared" si="64"/>
        <v>70295107</v>
      </c>
      <c r="B1480" s="2" t="s">
        <v>1616</v>
      </c>
      <c r="D1480" s="2" t="str">
        <f>E1480&amp;(VLOOKUP(F1480,编号表!$E$1:$G$8,2,0))&amp;G1480&amp;"_"&amp;H1480&amp;"_"&amp;I1480</f>
        <v>29N5_1_7</v>
      </c>
      <c r="E1480" s="2">
        <v>29</v>
      </c>
      <c r="F1480" s="2" t="s">
        <v>174</v>
      </c>
      <c r="G1480" s="2">
        <v>5</v>
      </c>
      <c r="H1480" s="2">
        <v>1</v>
      </c>
      <c r="I1480" s="2">
        <f>COUNTIFS($E$3:E1480,E1480,$H$3:H1480,H1480)</f>
        <v>7</v>
      </c>
      <c r="N1480" s="11">
        <v>1029203</v>
      </c>
      <c r="O1480" s="11">
        <v>1029303</v>
      </c>
    </row>
    <row r="1481" spans="1:16">
      <c r="A1481" s="11">
        <f t="shared" si="64"/>
        <v>70293201</v>
      </c>
      <c r="B1481" s="16" t="s">
        <v>97</v>
      </c>
      <c r="C1481" s="2" t="s">
        <v>1600</v>
      </c>
      <c r="D1481" s="2" t="str">
        <f>E1481&amp;(VLOOKUP(F1481,编号表!$E$1:$G$8,2,0))&amp;G1481&amp;"_"&amp;H1481&amp;"_"&amp;I1481</f>
        <v>29T3_2_1</v>
      </c>
      <c r="E1481" s="2">
        <v>29</v>
      </c>
      <c r="F1481" s="2" t="s">
        <v>190</v>
      </c>
      <c r="G1481" s="2">
        <v>3</v>
      </c>
      <c r="H1481" s="2">
        <v>2</v>
      </c>
      <c r="I1481" s="2">
        <f>COUNTIFS($E$3:E1481,E1481,$H$3:H1481,H1481)</f>
        <v>1</v>
      </c>
      <c r="L1481" s="2">
        <v>158</v>
      </c>
    </row>
    <row r="1482" spans="1:16">
      <c r="A1482" s="11">
        <f t="shared" si="64"/>
        <v>70291202</v>
      </c>
      <c r="B1482" s="15" t="s">
        <v>1599</v>
      </c>
      <c r="D1482" s="2" t="str">
        <f>E1482&amp;(VLOOKUP(F1482,编号表!$E$1:$G$8,2,0))&amp;G1482&amp;"_"&amp;H1482&amp;"_"&amp;I1482</f>
        <v>29T1_2_2</v>
      </c>
      <c r="E1482" s="2">
        <v>29</v>
      </c>
      <c r="F1482" s="2" t="s">
        <v>190</v>
      </c>
      <c r="G1482" s="2">
        <v>1</v>
      </c>
      <c r="H1482" s="2">
        <v>2</v>
      </c>
      <c r="I1482" s="2">
        <f>COUNTIFS($E$3:E1482,E1482,$H$3:H1482,H1482)</f>
        <v>2</v>
      </c>
      <c r="K1482" s="2">
        <v>1</v>
      </c>
    </row>
    <row r="1483" spans="1:16">
      <c r="A1483" s="11">
        <f t="shared" si="64"/>
        <v>70294203</v>
      </c>
      <c r="B1483" s="2" t="s">
        <v>1617</v>
      </c>
      <c r="D1483" s="2" t="str">
        <f>E1483&amp;(VLOOKUP(F1483,编号表!$E$1:$G$8,2,0))&amp;G1483&amp;"_"&amp;H1483&amp;"_"&amp;I1483</f>
        <v>29N4_2_3</v>
      </c>
      <c r="E1483" s="2">
        <v>29</v>
      </c>
      <c r="F1483" s="2" t="s">
        <v>174</v>
      </c>
      <c r="G1483" s="2">
        <v>4</v>
      </c>
      <c r="H1483" s="2">
        <v>2</v>
      </c>
      <c r="I1483" s="2">
        <f>COUNTIFS($E$3:E1483,E1483,$H$3:H1483,H1483)</f>
        <v>3</v>
      </c>
      <c r="N1483" s="11">
        <v>1029203</v>
      </c>
      <c r="O1483" s="11">
        <v>1029303</v>
      </c>
    </row>
    <row r="1484" spans="1:16">
      <c r="A1484" s="11">
        <f t="shared" si="64"/>
        <v>70294204</v>
      </c>
      <c r="B1484" s="2" t="s">
        <v>1618</v>
      </c>
      <c r="D1484" s="2" t="str">
        <f>E1484&amp;(VLOOKUP(F1484,编号表!$E$1:$G$8,2,0))&amp;G1484&amp;"_"&amp;H1484&amp;"_"&amp;I1484</f>
        <v>29N4_2_4</v>
      </c>
      <c r="E1484" s="2">
        <v>29</v>
      </c>
      <c r="F1484" s="2" t="s">
        <v>174</v>
      </c>
      <c r="G1484" s="2">
        <v>4</v>
      </c>
      <c r="H1484" s="2">
        <v>2</v>
      </c>
      <c r="I1484" s="2">
        <f>COUNTIFS($E$3:E1484,E1484,$H$3:H1484,H1484)</f>
        <v>4</v>
      </c>
      <c r="N1484" s="11">
        <v>1029203</v>
      </c>
      <c r="O1484" s="11">
        <v>1029303</v>
      </c>
    </row>
    <row r="1485" spans="1:16">
      <c r="A1485" s="11">
        <f t="shared" si="64"/>
        <v>70295205</v>
      </c>
      <c r="B1485" s="2" t="s">
        <v>1619</v>
      </c>
      <c r="D1485" s="2" t="str">
        <f>E1485&amp;(VLOOKUP(F1485,编号表!$E$1:$G$8,2,0))&amp;G1485&amp;"_"&amp;H1485&amp;"_"&amp;I1485</f>
        <v>29N5_2_5</v>
      </c>
      <c r="E1485" s="2">
        <v>29</v>
      </c>
      <c r="F1485" s="2" t="s">
        <v>174</v>
      </c>
      <c r="G1485" s="2">
        <v>5</v>
      </c>
      <c r="H1485" s="2">
        <v>2</v>
      </c>
      <c r="I1485" s="2">
        <f>COUNTIFS($E$3:E1485,E1485,$H$3:H1485,H1485)</f>
        <v>5</v>
      </c>
      <c r="N1485" s="11">
        <v>1029203</v>
      </c>
      <c r="O1485" s="11">
        <v>1029303</v>
      </c>
    </row>
    <row r="1486" spans="1:16">
      <c r="A1486" s="11">
        <f t="shared" si="64"/>
        <v>70295206</v>
      </c>
      <c r="B1486" s="2" t="s">
        <v>1620</v>
      </c>
      <c r="D1486" s="2" t="str">
        <f>E1486&amp;(VLOOKUP(F1486,编号表!$E$1:$G$8,2,0))&amp;G1486&amp;"_"&amp;H1486&amp;"_"&amp;I1486</f>
        <v>29N5_2_6</v>
      </c>
      <c r="E1486" s="2">
        <v>29</v>
      </c>
      <c r="F1486" s="2" t="s">
        <v>174</v>
      </c>
      <c r="G1486" s="2">
        <v>5</v>
      </c>
      <c r="H1486" s="2">
        <v>2</v>
      </c>
      <c r="I1486" s="2">
        <f>COUNTIFS($E$3:E1486,E1486,$H$3:H1486,H1486)</f>
        <v>6</v>
      </c>
      <c r="N1486" s="11">
        <v>1029203</v>
      </c>
      <c r="O1486" s="11">
        <v>1029303</v>
      </c>
    </row>
    <row r="1487" spans="1:16">
      <c r="A1487" s="11">
        <f t="shared" si="64"/>
        <v>70295207</v>
      </c>
      <c r="B1487" s="2" t="s">
        <v>1621</v>
      </c>
      <c r="D1487" s="2" t="str">
        <f>E1487&amp;(VLOOKUP(F1487,编号表!$E$1:$G$8,2,0))&amp;G1487&amp;"_"&amp;H1487&amp;"_"&amp;I1487</f>
        <v>29N5_2_7</v>
      </c>
      <c r="E1487" s="2">
        <v>29</v>
      </c>
      <c r="F1487" s="2" t="s">
        <v>174</v>
      </c>
      <c r="G1487" s="2">
        <v>5</v>
      </c>
      <c r="H1487" s="2">
        <v>2</v>
      </c>
      <c r="I1487" s="2">
        <f>COUNTIFS($E$3:E1487,E1487,$H$3:H1487,H1487)</f>
        <v>7</v>
      </c>
      <c r="N1487" s="11">
        <v>1029203</v>
      </c>
      <c r="O1487" s="11">
        <v>1029303</v>
      </c>
    </row>
    <row r="1488" spans="1:16">
      <c r="A1488" s="11">
        <f t="shared" si="64"/>
        <v>70295208</v>
      </c>
      <c r="B1488" s="2" t="s">
        <v>1622</v>
      </c>
      <c r="D1488" s="2" t="str">
        <f>E1488&amp;(VLOOKUP(F1488,编号表!$E$1:$G$8,2,0))&amp;G1488&amp;"_"&amp;H1488&amp;"_"&amp;I1488</f>
        <v>29N5_2_8</v>
      </c>
      <c r="E1488" s="2">
        <v>29</v>
      </c>
      <c r="F1488" s="2" t="s">
        <v>174</v>
      </c>
      <c r="G1488" s="2">
        <v>5</v>
      </c>
      <c r="H1488" s="2">
        <v>2</v>
      </c>
      <c r="I1488" s="2">
        <f>COUNTIFS($E$3:E1488,E1488,$H$3:H1488,H1488)</f>
        <v>8</v>
      </c>
      <c r="N1488" s="11">
        <v>1029203</v>
      </c>
      <c r="O1488" s="11">
        <v>1029303</v>
      </c>
    </row>
    <row r="1489" spans="1:15">
      <c r="A1489" s="11">
        <f t="shared" si="64"/>
        <v>70295209</v>
      </c>
      <c r="B1489" s="2" t="s">
        <v>1623</v>
      </c>
      <c r="D1489" s="2" t="str">
        <f>E1489&amp;(VLOOKUP(F1489,编号表!$E$1:$G$8,2,0))&amp;G1489&amp;"_"&amp;H1489&amp;"_"&amp;I1489</f>
        <v>29N5_2_9</v>
      </c>
      <c r="E1489" s="2">
        <v>29</v>
      </c>
      <c r="F1489" s="2" t="s">
        <v>174</v>
      </c>
      <c r="G1489" s="2">
        <v>5</v>
      </c>
      <c r="H1489" s="2">
        <v>2</v>
      </c>
      <c r="I1489" s="2">
        <f>COUNTIFS($E$3:E1489,E1489,$H$3:H1489,H1489)</f>
        <v>9</v>
      </c>
      <c r="N1489" s="11">
        <v>1029203</v>
      </c>
      <c r="O1489" s="11">
        <v>1029303</v>
      </c>
    </row>
    <row r="1490" spans="1:15">
      <c r="A1490" s="11">
        <f t="shared" si="64"/>
        <v>70294210</v>
      </c>
      <c r="B1490" s="2" t="s">
        <v>1624</v>
      </c>
      <c r="D1490" s="2" t="str">
        <f>E1490&amp;(VLOOKUP(F1490,编号表!$E$1:$G$8,2,0))&amp;G1490&amp;"_"&amp;H1490&amp;"_"&amp;I1490</f>
        <v>29N4_2_10</v>
      </c>
      <c r="E1490" s="2">
        <v>29</v>
      </c>
      <c r="F1490" s="2" t="s">
        <v>174</v>
      </c>
      <c r="G1490" s="2">
        <v>4</v>
      </c>
      <c r="H1490" s="2">
        <v>2</v>
      </c>
      <c r="I1490" s="2">
        <f>COUNTIFS($E$3:E1490,E1490,$H$3:H1490,H1490)</f>
        <v>10</v>
      </c>
      <c r="N1490" s="11">
        <v>1029203</v>
      </c>
      <c r="O1490" s="11">
        <v>1029303</v>
      </c>
    </row>
    <row r="1491" spans="1:15">
      <c r="A1491" s="11">
        <f t="shared" si="64"/>
        <v>70293301</v>
      </c>
      <c r="B1491" s="2" t="s">
        <v>1625</v>
      </c>
      <c r="D1491" s="2" t="str">
        <f>E1491&amp;(VLOOKUP(F1491,编号表!$E$1:$G$8,2,0))&amp;G1491&amp;"_"&amp;H1491&amp;"_"&amp;I1491</f>
        <v>29N3_3_1</v>
      </c>
      <c r="E1491" s="2">
        <v>29</v>
      </c>
      <c r="F1491" s="2" t="s">
        <v>174</v>
      </c>
      <c r="G1491" s="2">
        <v>3</v>
      </c>
      <c r="H1491" s="2">
        <v>3</v>
      </c>
      <c r="I1491" s="2">
        <f>COUNTIFS($E$3:E1491,E1491,$H$3:H1491,H1491)</f>
        <v>1</v>
      </c>
      <c r="N1491" s="11">
        <v>1029203</v>
      </c>
      <c r="O1491" s="11">
        <v>1029303</v>
      </c>
    </row>
    <row r="1492" spans="1:15">
      <c r="A1492" s="11">
        <f t="shared" si="64"/>
        <v>70293302</v>
      </c>
      <c r="B1492" s="2" t="s">
        <v>1626</v>
      </c>
      <c r="D1492" s="2" t="str">
        <f>E1492&amp;(VLOOKUP(F1492,编号表!$E$1:$G$8,2,0))&amp;G1492&amp;"_"&amp;H1492&amp;"_"&amp;I1492</f>
        <v>29N3_3_2</v>
      </c>
      <c r="E1492" s="2">
        <v>29</v>
      </c>
      <c r="F1492" s="2" t="s">
        <v>174</v>
      </c>
      <c r="G1492" s="2">
        <v>3</v>
      </c>
      <c r="H1492" s="2">
        <v>3</v>
      </c>
      <c r="I1492" s="2">
        <f>COUNTIFS($E$3:E1492,E1492,$H$3:H1492,H1492)</f>
        <v>2</v>
      </c>
      <c r="N1492" s="11">
        <v>1029203</v>
      </c>
      <c r="O1492" s="11">
        <v>1029303</v>
      </c>
    </row>
    <row r="1493" spans="1:15">
      <c r="A1493" s="11">
        <f t="shared" si="64"/>
        <v>70294303</v>
      </c>
      <c r="B1493" s="2" t="s">
        <v>1627</v>
      </c>
      <c r="D1493" s="2" t="str">
        <f>E1493&amp;(VLOOKUP(F1493,编号表!$E$1:$G$8,2,0))&amp;G1493&amp;"_"&amp;H1493&amp;"_"&amp;I1493</f>
        <v>29N4_3_3</v>
      </c>
      <c r="E1493" s="2">
        <v>29</v>
      </c>
      <c r="F1493" s="2" t="s">
        <v>174</v>
      </c>
      <c r="G1493" s="2">
        <v>4</v>
      </c>
      <c r="H1493" s="2">
        <v>3</v>
      </c>
      <c r="I1493" s="2">
        <f>COUNTIFS($E$3:E1493,E1493,$H$3:H1493,H1493)</f>
        <v>3</v>
      </c>
      <c r="N1493" s="11">
        <v>1029203</v>
      </c>
      <c r="O1493" s="11">
        <v>1029303</v>
      </c>
    </row>
    <row r="1494" spans="1:15">
      <c r="A1494" s="11">
        <f t="shared" si="64"/>
        <v>70294304</v>
      </c>
      <c r="B1494" s="2" t="s">
        <v>1628</v>
      </c>
      <c r="D1494" s="2" t="str">
        <f>E1494&amp;(VLOOKUP(F1494,编号表!$E$1:$G$8,2,0))&amp;G1494&amp;"_"&amp;H1494&amp;"_"&amp;I1494</f>
        <v>29N4_3_4</v>
      </c>
      <c r="E1494" s="2">
        <v>29</v>
      </c>
      <c r="F1494" s="2" t="s">
        <v>174</v>
      </c>
      <c r="G1494" s="2">
        <v>4</v>
      </c>
      <c r="H1494" s="2">
        <v>3</v>
      </c>
      <c r="I1494" s="2">
        <f>COUNTIFS($E$3:E1494,E1494,$H$3:H1494,H1494)</f>
        <v>4</v>
      </c>
      <c r="N1494" s="11">
        <v>1029203</v>
      </c>
      <c r="O1494" s="11">
        <v>1029303</v>
      </c>
    </row>
    <row r="1495" spans="1:15">
      <c r="A1495" s="11">
        <f t="shared" si="64"/>
        <v>70293305</v>
      </c>
      <c r="B1495" s="2" t="s">
        <v>1629</v>
      </c>
      <c r="D1495" s="2" t="str">
        <f>E1495&amp;(VLOOKUP(F1495,编号表!$E$1:$G$8,2,0))&amp;G1495&amp;"_"&amp;H1495&amp;"_"&amp;I1495</f>
        <v>29N3_3_5</v>
      </c>
      <c r="E1495" s="2">
        <v>29</v>
      </c>
      <c r="F1495" s="2" t="s">
        <v>174</v>
      </c>
      <c r="G1495" s="2">
        <v>3</v>
      </c>
      <c r="H1495" s="2">
        <v>3</v>
      </c>
      <c r="I1495" s="2">
        <f>COUNTIFS($E$3:E1495,E1495,$H$3:H1495,H1495)</f>
        <v>5</v>
      </c>
      <c r="N1495" s="11">
        <v>1029203</v>
      </c>
      <c r="O1495" s="11">
        <v>1029303</v>
      </c>
    </row>
    <row r="1496" spans="1:15">
      <c r="A1496" s="11">
        <f t="shared" si="64"/>
        <v>70293306</v>
      </c>
      <c r="B1496" s="2" t="s">
        <v>1630</v>
      </c>
      <c r="D1496" s="2" t="str">
        <f>E1496&amp;(VLOOKUP(F1496,编号表!$E$1:$G$8,2,0))&amp;G1496&amp;"_"&amp;H1496&amp;"_"&amp;I1496</f>
        <v>29N3_3_6</v>
      </c>
      <c r="E1496" s="2">
        <v>29</v>
      </c>
      <c r="F1496" s="2" t="s">
        <v>174</v>
      </c>
      <c r="G1496" s="2">
        <v>3</v>
      </c>
      <c r="H1496" s="2">
        <v>3</v>
      </c>
      <c r="I1496" s="2">
        <f>COUNTIFS($E$3:E1496,E1496,$H$3:H1496,H1496)</f>
        <v>6</v>
      </c>
      <c r="N1496" s="11">
        <v>1029203</v>
      </c>
      <c r="O1496" s="11">
        <v>1029303</v>
      </c>
    </row>
    <row r="1497" spans="1:15">
      <c r="A1497" s="11">
        <f t="shared" si="64"/>
        <v>70293401</v>
      </c>
      <c r="B1497" s="16" t="s">
        <v>103</v>
      </c>
      <c r="C1497" s="2" t="s">
        <v>1631</v>
      </c>
      <c r="D1497" s="2" t="str">
        <f>E1497&amp;(VLOOKUP(F1497,编号表!$E$1:$G$8,2,0))&amp;G1497&amp;"_"&amp;H1497&amp;"_"&amp;I1497</f>
        <v>29T3_4_1</v>
      </c>
      <c r="E1497" s="2">
        <v>29</v>
      </c>
      <c r="F1497" s="2" t="s">
        <v>190</v>
      </c>
      <c r="G1497" s="2">
        <v>3</v>
      </c>
      <c r="H1497" s="2">
        <v>4</v>
      </c>
      <c r="I1497" s="2">
        <f>COUNTIFS($E$3:E1497,E1497,$H$3:H1497,H1497)</f>
        <v>1</v>
      </c>
      <c r="L1497" s="2">
        <v>159</v>
      </c>
    </row>
    <row r="1498" spans="1:15">
      <c r="A1498" s="11">
        <f t="shared" si="64"/>
        <v>70291402</v>
      </c>
      <c r="B1498" s="15" t="s">
        <v>1632</v>
      </c>
      <c r="D1498" s="2" t="str">
        <f>E1498&amp;(VLOOKUP(F1498,编号表!$E$1:$G$8,2,0))&amp;G1498&amp;"_"&amp;H1498&amp;"_"&amp;I1498</f>
        <v>29T1_4_2</v>
      </c>
      <c r="E1498" s="2">
        <v>29</v>
      </c>
      <c r="F1498" s="2" t="s">
        <v>190</v>
      </c>
      <c r="G1498" s="2">
        <v>1</v>
      </c>
      <c r="H1498" s="2">
        <v>4</v>
      </c>
      <c r="I1498" s="2">
        <f>COUNTIFS($E$3:E1498,E1498,$H$3:H1498,H1498)</f>
        <v>2</v>
      </c>
    </row>
    <row r="1499" s="10" customFormat="1" spans="1:15">
      <c r="A1499" s="11">
        <f t="shared" ref="A1499:A1540" si="65">70000000+E1499*10000+G1499*1000+H1499*100+I1499</f>
        <v>70294403</v>
      </c>
      <c r="B1499" s="2" t="s">
        <v>1633</v>
      </c>
      <c r="C1499" s="14"/>
      <c r="D1499" s="2" t="str">
        <f>E1499&amp;(VLOOKUP(F1499,编号表!$E$1:$G$8,2,0))&amp;G1499&amp;"_"&amp;H1499&amp;"_"&amp;I1499</f>
        <v>29N4_4_3</v>
      </c>
      <c r="E1499" s="2">
        <v>29</v>
      </c>
      <c r="F1499" s="2" t="s">
        <v>174</v>
      </c>
      <c r="G1499" s="2">
        <v>4</v>
      </c>
      <c r="H1499" s="2">
        <v>4</v>
      </c>
      <c r="I1499" s="2">
        <f>COUNTIFS($E$3:E1499,E1499,$H$3:H1499,H1499)</f>
        <v>3</v>
      </c>
      <c r="J1499" s="2"/>
      <c r="K1499" s="14"/>
      <c r="L1499" s="14"/>
      <c r="N1499" s="11">
        <v>1029203</v>
      </c>
      <c r="O1499" s="11">
        <v>1029303</v>
      </c>
    </row>
    <row r="1500" s="10" customFormat="1" spans="1:15">
      <c r="A1500" s="11">
        <f t="shared" si="65"/>
        <v>70294404</v>
      </c>
      <c r="B1500" s="2" t="s">
        <v>1634</v>
      </c>
      <c r="C1500" s="14"/>
      <c r="D1500" s="2" t="str">
        <f>E1500&amp;(VLOOKUP(F1500,编号表!$E$1:$G$8,2,0))&amp;G1500&amp;"_"&amp;H1500&amp;"_"&amp;I1500</f>
        <v>29N4_4_4</v>
      </c>
      <c r="E1500" s="2">
        <v>29</v>
      </c>
      <c r="F1500" s="2" t="s">
        <v>174</v>
      </c>
      <c r="G1500" s="2">
        <v>4</v>
      </c>
      <c r="H1500" s="2">
        <v>4</v>
      </c>
      <c r="I1500" s="2">
        <f>COUNTIFS($E$3:E1500,E1500,$H$3:H1500,H1500)</f>
        <v>4</v>
      </c>
      <c r="J1500" s="2"/>
      <c r="K1500" s="14"/>
      <c r="L1500" s="14"/>
      <c r="N1500" s="11">
        <v>1029203</v>
      </c>
      <c r="O1500" s="11">
        <v>1029303</v>
      </c>
    </row>
    <row r="1501" s="10" customFormat="1" spans="1:15">
      <c r="A1501" s="11">
        <f t="shared" si="65"/>
        <v>70294405</v>
      </c>
      <c r="B1501" s="2" t="s">
        <v>1635</v>
      </c>
      <c r="C1501" s="14"/>
      <c r="D1501" s="2" t="str">
        <f>E1501&amp;(VLOOKUP(F1501,编号表!$E$1:$G$8,2,0))&amp;G1501&amp;"_"&amp;H1501&amp;"_"&amp;I1501</f>
        <v>29N4_4_5</v>
      </c>
      <c r="E1501" s="2">
        <v>29</v>
      </c>
      <c r="F1501" s="2" t="s">
        <v>174</v>
      </c>
      <c r="G1501" s="2">
        <v>4</v>
      </c>
      <c r="H1501" s="2">
        <v>4</v>
      </c>
      <c r="I1501" s="2">
        <f>COUNTIFS($E$3:E1501,E1501,$H$3:H1501,H1501)</f>
        <v>5</v>
      </c>
      <c r="J1501" s="2"/>
      <c r="K1501" s="14"/>
      <c r="L1501" s="14"/>
      <c r="N1501" s="11">
        <v>1029203</v>
      </c>
      <c r="O1501" s="11">
        <v>1029303</v>
      </c>
    </row>
    <row r="1502" s="10" customFormat="1" spans="1:15">
      <c r="A1502" s="11">
        <f t="shared" si="65"/>
        <v>70294406</v>
      </c>
      <c r="B1502" s="2" t="s">
        <v>1636</v>
      </c>
      <c r="C1502" s="14"/>
      <c r="D1502" s="2" t="str">
        <f>E1502&amp;(VLOOKUP(F1502,编号表!$E$1:$G$8,2,0))&amp;G1502&amp;"_"&amp;H1502&amp;"_"&amp;I1502</f>
        <v>29N4_4_6</v>
      </c>
      <c r="E1502" s="2">
        <v>29</v>
      </c>
      <c r="F1502" s="2" t="s">
        <v>174</v>
      </c>
      <c r="G1502" s="2">
        <v>4</v>
      </c>
      <c r="H1502" s="2">
        <v>4</v>
      </c>
      <c r="I1502" s="2">
        <f>COUNTIFS($E$3:E1502,E1502,$H$3:H1502,H1502)</f>
        <v>6</v>
      </c>
      <c r="J1502" s="2"/>
      <c r="K1502" s="14"/>
      <c r="L1502" s="14"/>
      <c r="N1502" s="11">
        <v>1029203</v>
      </c>
      <c r="O1502" s="11">
        <v>1029303</v>
      </c>
    </row>
    <row r="1503" s="10" customFormat="1" spans="1:15">
      <c r="A1503" s="11">
        <f t="shared" si="65"/>
        <v>70294407</v>
      </c>
      <c r="B1503" s="2" t="s">
        <v>1637</v>
      </c>
      <c r="C1503" s="14"/>
      <c r="D1503" s="2" t="str">
        <f>E1503&amp;(VLOOKUP(F1503,编号表!$E$1:$G$8,2,0))&amp;G1503&amp;"_"&amp;H1503&amp;"_"&amp;I1503</f>
        <v>29N4_4_7</v>
      </c>
      <c r="E1503" s="2">
        <v>29</v>
      </c>
      <c r="F1503" s="2" t="s">
        <v>174</v>
      </c>
      <c r="G1503" s="2">
        <v>4</v>
      </c>
      <c r="H1503" s="2">
        <v>4</v>
      </c>
      <c r="I1503" s="2">
        <f>COUNTIFS($E$3:E1503,E1503,$H$3:H1503,H1503)</f>
        <v>7</v>
      </c>
      <c r="J1503" s="2"/>
      <c r="K1503" s="14"/>
      <c r="L1503" s="14"/>
      <c r="N1503" s="11">
        <v>1029203</v>
      </c>
      <c r="O1503" s="11">
        <v>1029303</v>
      </c>
    </row>
    <row r="1504" s="10" customFormat="1" spans="1:15">
      <c r="A1504" s="11">
        <f t="shared" si="65"/>
        <v>70294408</v>
      </c>
      <c r="B1504" s="2" t="s">
        <v>1638</v>
      </c>
      <c r="C1504" s="14"/>
      <c r="D1504" s="2" t="str">
        <f>E1504&amp;(VLOOKUP(F1504,编号表!$E$1:$G$8,2,0))&amp;G1504&amp;"_"&amp;H1504&amp;"_"&amp;I1504</f>
        <v>29N4_4_8</v>
      </c>
      <c r="E1504" s="2">
        <v>29</v>
      </c>
      <c r="F1504" s="2" t="s">
        <v>174</v>
      </c>
      <c r="G1504" s="2">
        <v>4</v>
      </c>
      <c r="H1504" s="2">
        <v>4</v>
      </c>
      <c r="I1504" s="2">
        <f>COUNTIFS($E$3:E1504,E1504,$H$3:H1504,H1504)</f>
        <v>8</v>
      </c>
      <c r="J1504" s="2"/>
      <c r="K1504" s="14"/>
      <c r="L1504" s="14"/>
      <c r="N1504" s="11">
        <v>1029203</v>
      </c>
      <c r="O1504" s="11">
        <v>1029303</v>
      </c>
    </row>
    <row r="1505" s="10" customFormat="1" spans="1:18">
      <c r="A1505" s="11">
        <f t="shared" si="65"/>
        <v>70291409</v>
      </c>
      <c r="B1505" s="2" t="s">
        <v>1639</v>
      </c>
      <c r="C1505" s="14"/>
      <c r="D1505" s="2" t="str">
        <f>E1505&amp;(VLOOKUP(F1505,编号表!$E$1:$G$8,2,0))&amp;G1505&amp;"_"&amp;H1505&amp;"_"&amp;I1505</f>
        <v>29N1_4_9</v>
      </c>
      <c r="E1505" s="2">
        <v>29</v>
      </c>
      <c r="F1505" s="2" t="s">
        <v>174</v>
      </c>
      <c r="G1505" s="2">
        <v>1</v>
      </c>
      <c r="H1505" s="2">
        <v>4</v>
      </c>
      <c r="I1505" s="2">
        <f>COUNTIFS($E$3:E1505,E1505,$H$3:H1505,H1505)</f>
        <v>9</v>
      </c>
      <c r="J1505" s="2"/>
      <c r="K1505" s="14"/>
      <c r="L1505" s="14"/>
      <c r="N1505" s="11">
        <v>1029203</v>
      </c>
      <c r="O1505" s="11">
        <v>1029303</v>
      </c>
    </row>
    <row r="1506" spans="1:18">
      <c r="A1506" s="11">
        <f t="shared" si="65"/>
        <v>70290001</v>
      </c>
      <c r="B1506" s="24" t="s">
        <v>1640</v>
      </c>
      <c r="D1506" s="2" t="str">
        <f>E1506&amp;(VLOOKUP(F1506,编号表!$E$1:$G$8,2,0))&amp;G1506&amp;"_"&amp;H1506&amp;"_"&amp;I1506</f>
        <v>29J0_0_1</v>
      </c>
      <c r="E1506" s="2">
        <v>29</v>
      </c>
      <c r="F1506" s="2" t="s">
        <v>222</v>
      </c>
      <c r="G1506" s="2">
        <v>0</v>
      </c>
      <c r="H1506" s="2">
        <v>0</v>
      </c>
      <c r="I1506" s="2">
        <f>COUNTIFS($E$3:E1506,E1506,$H$3:H1506,H1506)</f>
        <v>1</v>
      </c>
      <c r="J1506" s="2">
        <v>1</v>
      </c>
    </row>
    <row r="1507" spans="1:18">
      <c r="A1507" s="11">
        <f t="shared" si="65"/>
        <v>70304101</v>
      </c>
      <c r="B1507" s="2" t="s">
        <v>1641</v>
      </c>
      <c r="D1507" s="2" t="str">
        <f>E1507&amp;(VLOOKUP(F1507,编号表!$E$1:$G$8,2,0))&amp;G1507&amp;"_"&amp;H1507&amp;"_"&amp;I1507</f>
        <v>30N4_1_1</v>
      </c>
      <c r="E1507" s="2">
        <v>30</v>
      </c>
      <c r="F1507" s="2" t="s">
        <v>174</v>
      </c>
      <c r="G1507" s="2">
        <v>4</v>
      </c>
      <c r="H1507" s="2">
        <v>1</v>
      </c>
      <c r="I1507" s="2">
        <f>COUNTIFS($E$3:E1507,E1507,$H$3:H1507,H1507)</f>
        <v>1</v>
      </c>
      <c r="N1507" s="11">
        <v>1030201</v>
      </c>
      <c r="O1507" s="11">
        <v>1030301</v>
      </c>
      <c r="P1507" s="11">
        <v>1030401</v>
      </c>
      <c r="Q1507" s="11">
        <v>1030501</v>
      </c>
      <c r="R1507" s="11">
        <v>1030001</v>
      </c>
    </row>
    <row r="1508" spans="1:18">
      <c r="A1508" s="11">
        <f t="shared" si="65"/>
        <v>70303102</v>
      </c>
      <c r="B1508" s="2" t="s">
        <v>1642</v>
      </c>
      <c r="D1508" s="2" t="str">
        <f>E1508&amp;(VLOOKUP(F1508,编号表!$E$1:$G$8,2,0))&amp;G1508&amp;"_"&amp;H1508&amp;"_"&amp;I1508</f>
        <v>30N3_1_2</v>
      </c>
      <c r="E1508" s="2">
        <v>30</v>
      </c>
      <c r="F1508" s="2" t="s">
        <v>174</v>
      </c>
      <c r="G1508" s="2">
        <v>3</v>
      </c>
      <c r="H1508" s="2">
        <v>1</v>
      </c>
      <c r="I1508" s="2">
        <f>COUNTIFS($E$3:E1508,E1508,$H$3:H1508,H1508)</f>
        <v>2</v>
      </c>
      <c r="N1508" s="11">
        <v>1030201</v>
      </c>
      <c r="O1508" s="11">
        <v>1030301</v>
      </c>
      <c r="P1508" s="11">
        <v>1030401</v>
      </c>
      <c r="Q1508" s="11">
        <v>1030501</v>
      </c>
      <c r="R1508" s="11">
        <v>1030101</v>
      </c>
    </row>
    <row r="1509" spans="1:18">
      <c r="A1509" s="11">
        <f t="shared" si="65"/>
        <v>70303103</v>
      </c>
      <c r="B1509" s="2" t="s">
        <v>1643</v>
      </c>
      <c r="D1509" s="2" t="str">
        <f>E1509&amp;(VLOOKUP(F1509,编号表!$E$1:$G$8,2,0))&amp;G1509&amp;"_"&amp;H1509&amp;"_"&amp;I1509</f>
        <v>30N3_1_3</v>
      </c>
      <c r="E1509" s="2">
        <v>30</v>
      </c>
      <c r="F1509" s="2" t="s">
        <v>174</v>
      </c>
      <c r="G1509" s="2">
        <v>3</v>
      </c>
      <c r="H1509" s="2">
        <v>1</v>
      </c>
      <c r="I1509" s="2">
        <f>COUNTIFS($E$3:E1509,E1509,$H$3:H1509,H1509)</f>
        <v>3</v>
      </c>
      <c r="N1509" s="11">
        <v>1030201</v>
      </c>
      <c r="O1509" s="11">
        <v>1030301</v>
      </c>
      <c r="P1509" s="11">
        <v>1030401</v>
      </c>
      <c r="Q1509" s="11">
        <v>1030501</v>
      </c>
    </row>
    <row r="1510" spans="1:18">
      <c r="A1510" s="11">
        <f t="shared" si="65"/>
        <v>70304104</v>
      </c>
      <c r="B1510" s="2" t="s">
        <v>1644</v>
      </c>
      <c r="D1510" s="2" t="str">
        <f>E1510&amp;(VLOOKUP(F1510,编号表!$E$1:$G$8,2,0))&amp;G1510&amp;"_"&amp;H1510&amp;"_"&amp;I1510</f>
        <v>30N4_1_4</v>
      </c>
      <c r="E1510" s="2">
        <v>30</v>
      </c>
      <c r="F1510" s="2" t="s">
        <v>174</v>
      </c>
      <c r="G1510" s="2">
        <v>4</v>
      </c>
      <c r="H1510" s="2">
        <v>1</v>
      </c>
      <c r="I1510" s="2">
        <f>COUNTIFS($E$3:E1510,E1510,$H$3:H1510,H1510)</f>
        <v>4</v>
      </c>
      <c r="N1510" s="11">
        <v>1030201</v>
      </c>
      <c r="O1510" s="11">
        <v>1030301</v>
      </c>
      <c r="P1510" s="11">
        <v>1030401</v>
      </c>
      <c r="Q1510" s="11">
        <v>1030501</v>
      </c>
    </row>
    <row r="1511" spans="1:18">
      <c r="A1511" s="11">
        <f t="shared" si="65"/>
        <v>70301105</v>
      </c>
      <c r="B1511" s="2" t="s">
        <v>1645</v>
      </c>
      <c r="D1511" s="2" t="str">
        <f>E1511&amp;(VLOOKUP(F1511,编号表!$E$1:$G$8,2,0))&amp;G1511&amp;"_"&amp;H1511&amp;"_"&amp;I1511</f>
        <v>30N1_1_5</v>
      </c>
      <c r="E1511" s="2">
        <v>30</v>
      </c>
      <c r="F1511" s="2" t="s">
        <v>174</v>
      </c>
      <c r="G1511" s="2">
        <v>1</v>
      </c>
      <c r="H1511" s="2">
        <v>1</v>
      </c>
      <c r="I1511" s="2">
        <f>COUNTIFS($E$3:E1511,E1511,$H$3:H1511,H1511)</f>
        <v>5</v>
      </c>
      <c r="N1511" s="11">
        <v>1030201</v>
      </c>
      <c r="O1511" s="11">
        <v>1030301</v>
      </c>
      <c r="P1511" s="11">
        <v>1030401</v>
      </c>
      <c r="Q1511" s="11">
        <v>1030501</v>
      </c>
    </row>
    <row r="1512" spans="1:18">
      <c r="A1512" s="11">
        <f t="shared" si="65"/>
        <v>70304106</v>
      </c>
      <c r="B1512" s="2" t="s">
        <v>1646</v>
      </c>
      <c r="D1512" s="2" t="str">
        <f>E1512&amp;(VLOOKUP(F1512,编号表!$E$1:$G$8,2,0))&amp;G1512&amp;"_"&amp;H1512&amp;"_"&amp;I1512</f>
        <v>30N4_1_6</v>
      </c>
      <c r="E1512" s="2">
        <v>30</v>
      </c>
      <c r="F1512" s="2" t="s">
        <v>174</v>
      </c>
      <c r="G1512" s="2">
        <v>4</v>
      </c>
      <c r="H1512" s="2">
        <v>1</v>
      </c>
      <c r="I1512" s="2">
        <f>COUNTIFS($E$3:E1512,E1512,$H$3:H1512,H1512)</f>
        <v>6</v>
      </c>
      <c r="N1512" s="11">
        <v>1030201</v>
      </c>
      <c r="O1512" s="11">
        <v>1030301</v>
      </c>
      <c r="P1512" s="11">
        <v>1030401</v>
      </c>
      <c r="Q1512" s="11">
        <v>1030501</v>
      </c>
    </row>
    <row r="1513" spans="1:18">
      <c r="A1513" s="11">
        <f t="shared" si="65"/>
        <v>70303201</v>
      </c>
      <c r="B1513" s="16" t="s">
        <v>106</v>
      </c>
      <c r="C1513" s="2" t="s">
        <v>1647</v>
      </c>
      <c r="D1513" s="2" t="str">
        <f>E1513&amp;(VLOOKUP(F1513,编号表!$E$1:$G$8,2,0))&amp;G1513&amp;"_"&amp;H1513&amp;"_"&amp;I1513</f>
        <v>30T3_2_1</v>
      </c>
      <c r="E1513" s="2">
        <v>30</v>
      </c>
      <c r="F1513" s="2" t="s">
        <v>190</v>
      </c>
      <c r="G1513" s="2">
        <v>3</v>
      </c>
      <c r="H1513" s="2">
        <v>2</v>
      </c>
      <c r="I1513" s="2">
        <f>COUNTIFS($E$3:E1513,E1513,$H$3:H1513,H1513)</f>
        <v>1</v>
      </c>
      <c r="L1513" s="2">
        <v>161</v>
      </c>
    </row>
    <row r="1514" spans="1:18">
      <c r="A1514" s="11">
        <f t="shared" si="65"/>
        <v>70301202</v>
      </c>
      <c r="B1514" s="15" t="s">
        <v>1648</v>
      </c>
      <c r="D1514" s="2" t="str">
        <f>E1514&amp;(VLOOKUP(F1514,编号表!$E$1:$G$8,2,0))&amp;G1514&amp;"_"&amp;H1514&amp;"_"&amp;I1514</f>
        <v>30T1_2_2</v>
      </c>
      <c r="E1514" s="2">
        <v>30</v>
      </c>
      <c r="F1514" s="2" t="s">
        <v>190</v>
      </c>
      <c r="G1514" s="2">
        <v>1</v>
      </c>
      <c r="H1514" s="2">
        <v>2</v>
      </c>
      <c r="I1514" s="2">
        <f>COUNTIFS($E$3:E1514,E1514,$H$3:H1514,H1514)</f>
        <v>2</v>
      </c>
    </row>
    <row r="1515" spans="1:18">
      <c r="A1515" s="11">
        <f t="shared" si="65"/>
        <v>70305203</v>
      </c>
      <c r="B1515" s="2" t="s">
        <v>1649</v>
      </c>
      <c r="D1515" s="2" t="str">
        <f>E1515&amp;(VLOOKUP(F1515,编号表!$E$1:$G$8,2,0))&amp;G1515&amp;"_"&amp;H1515&amp;"_"&amp;I1515</f>
        <v>30N5_2_3</v>
      </c>
      <c r="E1515" s="2">
        <v>30</v>
      </c>
      <c r="F1515" s="2" t="s">
        <v>174</v>
      </c>
      <c r="G1515" s="2">
        <v>5</v>
      </c>
      <c r="H1515" s="2">
        <v>2</v>
      </c>
      <c r="I1515" s="2">
        <f>COUNTIFS($E$3:E1515,E1515,$H$3:H1515,H1515)</f>
        <v>3</v>
      </c>
      <c r="N1515" s="11">
        <v>1030201</v>
      </c>
      <c r="O1515" s="11">
        <v>1030301</v>
      </c>
      <c r="P1515" s="11">
        <v>1030401</v>
      </c>
      <c r="Q1515" s="11">
        <v>1030501</v>
      </c>
    </row>
    <row r="1516" spans="1:18">
      <c r="A1516" s="11">
        <f t="shared" si="65"/>
        <v>70306204</v>
      </c>
      <c r="B1516" s="2" t="s">
        <v>1650</v>
      </c>
      <c r="D1516" s="2" t="str">
        <f>E1516&amp;(VLOOKUP(F1516,编号表!$E$1:$G$8,2,0))&amp;G1516&amp;"_"&amp;H1516&amp;"_"&amp;I1516</f>
        <v>30N6_2_4</v>
      </c>
      <c r="E1516" s="2">
        <v>30</v>
      </c>
      <c r="F1516" s="2" t="s">
        <v>174</v>
      </c>
      <c r="G1516" s="2">
        <v>6</v>
      </c>
      <c r="H1516" s="2">
        <v>2</v>
      </c>
      <c r="I1516" s="2">
        <f>COUNTIFS($E$3:E1516,E1516,$H$3:H1516,H1516)</f>
        <v>4</v>
      </c>
      <c r="N1516" s="11">
        <v>1030201</v>
      </c>
      <c r="O1516" s="11">
        <v>1030301</v>
      </c>
      <c r="P1516" s="11">
        <v>1030401</v>
      </c>
      <c r="Q1516" s="11">
        <v>1030501</v>
      </c>
    </row>
    <row r="1517" spans="1:18">
      <c r="A1517" s="11">
        <f t="shared" si="65"/>
        <v>70303205</v>
      </c>
      <c r="B1517" s="2" t="s">
        <v>1651</v>
      </c>
      <c r="D1517" s="2" t="str">
        <f>E1517&amp;(VLOOKUP(F1517,编号表!$E$1:$G$8,2,0))&amp;G1517&amp;"_"&amp;H1517&amp;"_"&amp;I1517</f>
        <v>30N3_2_5</v>
      </c>
      <c r="E1517" s="2">
        <v>30</v>
      </c>
      <c r="F1517" s="2" t="s">
        <v>174</v>
      </c>
      <c r="G1517" s="2">
        <v>3</v>
      </c>
      <c r="H1517" s="2">
        <v>2</v>
      </c>
      <c r="I1517" s="2">
        <f>COUNTIFS($E$3:E1517,E1517,$H$3:H1517,H1517)</f>
        <v>5</v>
      </c>
      <c r="N1517" s="11">
        <v>1030201</v>
      </c>
      <c r="O1517" s="11">
        <v>1030301</v>
      </c>
      <c r="P1517" s="11">
        <v>1030401</v>
      </c>
      <c r="Q1517" s="11">
        <v>1030501</v>
      </c>
    </row>
    <row r="1518" spans="1:18">
      <c r="A1518" s="11">
        <f t="shared" si="65"/>
        <v>70304206</v>
      </c>
      <c r="B1518" s="2" t="s">
        <v>1652</v>
      </c>
      <c r="D1518" s="2" t="str">
        <f>E1518&amp;(VLOOKUP(F1518,编号表!$E$1:$G$8,2,0))&amp;G1518&amp;"_"&amp;H1518&amp;"_"&amp;I1518</f>
        <v>30N4_2_6</v>
      </c>
      <c r="E1518" s="2">
        <v>30</v>
      </c>
      <c r="F1518" s="2" t="s">
        <v>174</v>
      </c>
      <c r="G1518" s="2">
        <v>4</v>
      </c>
      <c r="H1518" s="2">
        <v>2</v>
      </c>
      <c r="I1518" s="2">
        <f>COUNTIFS($E$3:E1518,E1518,$H$3:H1518,H1518)</f>
        <v>6</v>
      </c>
      <c r="N1518" s="11">
        <v>1030201</v>
      </c>
      <c r="O1518" s="11">
        <v>1030301</v>
      </c>
      <c r="P1518" s="11">
        <v>1030401</v>
      </c>
      <c r="Q1518" s="11">
        <v>1030501</v>
      </c>
    </row>
    <row r="1519" spans="1:18">
      <c r="A1519" s="11">
        <f t="shared" si="65"/>
        <v>70305207</v>
      </c>
      <c r="B1519" s="2" t="s">
        <v>1653</v>
      </c>
      <c r="D1519" s="2" t="str">
        <f>E1519&amp;(VLOOKUP(F1519,编号表!$E$1:$G$8,2,0))&amp;G1519&amp;"_"&amp;H1519&amp;"_"&amp;I1519</f>
        <v>30N5_2_7</v>
      </c>
      <c r="E1519" s="2">
        <v>30</v>
      </c>
      <c r="F1519" s="2" t="s">
        <v>174</v>
      </c>
      <c r="G1519" s="2">
        <v>5</v>
      </c>
      <c r="H1519" s="2">
        <v>2</v>
      </c>
      <c r="I1519" s="2">
        <f>COUNTIFS($E$3:E1519,E1519,$H$3:H1519,H1519)</f>
        <v>7</v>
      </c>
      <c r="N1519" s="11">
        <v>1030201</v>
      </c>
      <c r="O1519" s="11">
        <v>1030301</v>
      </c>
      <c r="P1519" s="11">
        <v>1030401</v>
      </c>
      <c r="Q1519" s="11">
        <v>1030501</v>
      </c>
    </row>
    <row r="1520" spans="1:18">
      <c r="A1520" s="11">
        <f t="shared" si="65"/>
        <v>70302208</v>
      </c>
      <c r="B1520" s="2" t="s">
        <v>1654</v>
      </c>
      <c r="D1520" s="2" t="str">
        <f>E1520&amp;(VLOOKUP(F1520,编号表!$E$1:$G$8,2,0))&amp;G1520&amp;"_"&amp;H1520&amp;"_"&amp;I1520</f>
        <v>30N2_2_8</v>
      </c>
      <c r="E1520" s="2">
        <v>30</v>
      </c>
      <c r="F1520" s="2" t="s">
        <v>174</v>
      </c>
      <c r="G1520" s="2">
        <v>2</v>
      </c>
      <c r="H1520" s="2">
        <v>2</v>
      </c>
      <c r="I1520" s="2">
        <f>COUNTIFS($E$3:E1520,E1520,$H$3:H1520,H1520)</f>
        <v>8</v>
      </c>
      <c r="N1520" s="11">
        <v>1030201</v>
      </c>
      <c r="O1520" s="11">
        <v>1030301</v>
      </c>
      <c r="P1520" s="11">
        <v>1030401</v>
      </c>
      <c r="Q1520" s="11">
        <v>1030501</v>
      </c>
    </row>
    <row r="1521" spans="1:17">
      <c r="A1521" s="11">
        <f t="shared" si="65"/>
        <v>70304209</v>
      </c>
      <c r="B1521" s="2" t="s">
        <v>1655</v>
      </c>
      <c r="D1521" s="2" t="str">
        <f>E1521&amp;(VLOOKUP(F1521,编号表!$E$1:$G$8,2,0))&amp;G1521&amp;"_"&amp;H1521&amp;"_"&amp;I1521</f>
        <v>30N4_2_9</v>
      </c>
      <c r="E1521" s="2">
        <v>30</v>
      </c>
      <c r="F1521" s="2" t="s">
        <v>174</v>
      </c>
      <c r="G1521" s="2">
        <v>4</v>
      </c>
      <c r="H1521" s="2">
        <v>2</v>
      </c>
      <c r="I1521" s="2">
        <f>COUNTIFS($E$3:E1521,E1521,$H$3:H1521,H1521)</f>
        <v>9</v>
      </c>
      <c r="N1521" s="11">
        <v>1030201</v>
      </c>
      <c r="O1521" s="11">
        <v>1030301</v>
      </c>
      <c r="P1521" s="11">
        <v>1030401</v>
      </c>
      <c r="Q1521" s="11">
        <v>1030501</v>
      </c>
    </row>
    <row r="1522" spans="1:17">
      <c r="A1522" s="11">
        <f t="shared" si="65"/>
        <v>70305301</v>
      </c>
      <c r="B1522" s="2" t="s">
        <v>1656</v>
      </c>
      <c r="D1522" s="2" t="str">
        <f>E1522&amp;(VLOOKUP(F1522,编号表!$E$1:$G$8,2,0))&amp;G1522&amp;"_"&amp;H1522&amp;"_"&amp;I1522</f>
        <v>30N5_3_1</v>
      </c>
      <c r="E1522" s="2">
        <v>30</v>
      </c>
      <c r="F1522" s="2" t="s">
        <v>174</v>
      </c>
      <c r="G1522" s="2">
        <v>5</v>
      </c>
      <c r="H1522" s="2">
        <v>3</v>
      </c>
      <c r="I1522" s="2">
        <f>COUNTIFS($E$3:E1522,E1522,$H$3:H1522,H1522)</f>
        <v>1</v>
      </c>
      <c r="N1522" s="11">
        <v>1030201</v>
      </c>
      <c r="O1522" s="11">
        <v>1030301</v>
      </c>
      <c r="P1522" s="11">
        <v>1030401</v>
      </c>
      <c r="Q1522" s="11">
        <v>1030501</v>
      </c>
    </row>
    <row r="1523" spans="1:17">
      <c r="A1523" s="11">
        <f t="shared" si="65"/>
        <v>70305302</v>
      </c>
      <c r="B1523" s="2" t="s">
        <v>1657</v>
      </c>
      <c r="D1523" s="2" t="str">
        <f>E1523&amp;(VLOOKUP(F1523,编号表!$E$1:$G$8,2,0))&amp;G1523&amp;"_"&amp;H1523&amp;"_"&amp;I1523</f>
        <v>30N5_3_2</v>
      </c>
      <c r="E1523" s="2">
        <v>30</v>
      </c>
      <c r="F1523" s="2" t="s">
        <v>174</v>
      </c>
      <c r="G1523" s="2">
        <v>5</v>
      </c>
      <c r="H1523" s="2">
        <v>3</v>
      </c>
      <c r="I1523" s="2">
        <f>COUNTIFS($E$3:E1523,E1523,$H$3:H1523,H1523)</f>
        <v>2</v>
      </c>
      <c r="N1523" s="11">
        <v>1030201</v>
      </c>
      <c r="O1523" s="11">
        <v>1030301</v>
      </c>
      <c r="P1523" s="11">
        <v>1030401</v>
      </c>
      <c r="Q1523" s="11">
        <v>1030501</v>
      </c>
    </row>
    <row r="1524" spans="1:17">
      <c r="A1524" s="11">
        <f t="shared" si="65"/>
        <v>70303303</v>
      </c>
      <c r="B1524" s="2" t="s">
        <v>1658</v>
      </c>
      <c r="D1524" s="2" t="str">
        <f>E1524&amp;(VLOOKUP(F1524,编号表!$E$1:$G$8,2,0))&amp;G1524&amp;"_"&amp;H1524&amp;"_"&amp;I1524</f>
        <v>30N3_3_3</v>
      </c>
      <c r="E1524" s="2">
        <v>30</v>
      </c>
      <c r="F1524" s="2" t="s">
        <v>174</v>
      </c>
      <c r="G1524" s="2">
        <v>3</v>
      </c>
      <c r="H1524" s="2">
        <v>3</v>
      </c>
      <c r="I1524" s="2">
        <f>COUNTIFS($E$3:E1524,E1524,$H$3:H1524,H1524)</f>
        <v>3</v>
      </c>
      <c r="N1524" s="11">
        <v>1030201</v>
      </c>
      <c r="O1524" s="11">
        <v>1030301</v>
      </c>
      <c r="P1524" s="11">
        <v>1030401</v>
      </c>
      <c r="Q1524" s="11">
        <v>1030501</v>
      </c>
    </row>
    <row r="1525" spans="1:17">
      <c r="A1525" s="11">
        <f t="shared" si="65"/>
        <v>70305304</v>
      </c>
      <c r="B1525" s="2" t="s">
        <v>1659</v>
      </c>
      <c r="D1525" s="2" t="str">
        <f>E1525&amp;(VLOOKUP(F1525,编号表!$E$1:$G$8,2,0))&amp;G1525&amp;"_"&amp;H1525&amp;"_"&amp;I1525</f>
        <v>30N5_3_4</v>
      </c>
      <c r="E1525" s="2">
        <v>30</v>
      </c>
      <c r="F1525" s="2" t="s">
        <v>174</v>
      </c>
      <c r="G1525" s="2">
        <v>5</v>
      </c>
      <c r="H1525" s="2">
        <v>3</v>
      </c>
      <c r="I1525" s="2">
        <f>COUNTIFS($E$3:E1525,E1525,$H$3:H1525,H1525)</f>
        <v>4</v>
      </c>
      <c r="N1525" s="11">
        <v>1030201</v>
      </c>
      <c r="O1525" s="11">
        <v>1030301</v>
      </c>
      <c r="P1525" s="11">
        <v>1030401</v>
      </c>
      <c r="Q1525" s="11">
        <v>1030501</v>
      </c>
    </row>
    <row r="1526" spans="1:17">
      <c r="A1526" s="11">
        <f t="shared" si="65"/>
        <v>70304401</v>
      </c>
      <c r="B1526" s="2" t="s">
        <v>1660</v>
      </c>
      <c r="D1526" s="2" t="str">
        <f>E1526&amp;(VLOOKUP(F1526,编号表!$E$1:$G$8,2,0))&amp;G1526&amp;"_"&amp;H1526&amp;"_"&amp;I1526</f>
        <v>30N4_4_1</v>
      </c>
      <c r="E1526" s="2">
        <v>30</v>
      </c>
      <c r="F1526" s="2" t="s">
        <v>174</v>
      </c>
      <c r="G1526" s="2">
        <v>4</v>
      </c>
      <c r="H1526" s="2">
        <v>4</v>
      </c>
      <c r="I1526" s="2">
        <f>COUNTIFS($E$3:E1526,E1526,$H$3:H1526,H1526)</f>
        <v>1</v>
      </c>
      <c r="N1526" s="11">
        <v>1030201</v>
      </c>
      <c r="O1526" s="11">
        <v>1030301</v>
      </c>
      <c r="P1526" s="11">
        <v>1030401</v>
      </c>
      <c r="Q1526" s="11">
        <v>1030501</v>
      </c>
    </row>
    <row r="1527" spans="1:17">
      <c r="A1527" s="11">
        <f t="shared" si="65"/>
        <v>70301402</v>
      </c>
      <c r="B1527" s="2" t="s">
        <v>1661</v>
      </c>
      <c r="D1527" s="2" t="str">
        <f>E1527&amp;(VLOOKUP(F1527,编号表!$E$1:$G$8,2,0))&amp;G1527&amp;"_"&amp;H1527&amp;"_"&amp;I1527</f>
        <v>30N1_4_2</v>
      </c>
      <c r="E1527" s="2">
        <v>30</v>
      </c>
      <c r="F1527" s="2" t="s">
        <v>174</v>
      </c>
      <c r="G1527" s="2">
        <v>1</v>
      </c>
      <c r="H1527" s="2">
        <v>4</v>
      </c>
      <c r="I1527" s="2">
        <f>COUNTIFS($E$3:E1527,E1527,$H$3:H1527,H1527)</f>
        <v>2</v>
      </c>
      <c r="N1527" s="11">
        <v>1030201</v>
      </c>
      <c r="O1527" s="11">
        <v>1030301</v>
      </c>
      <c r="P1527" s="11">
        <v>1030401</v>
      </c>
      <c r="Q1527" s="11">
        <v>1030501</v>
      </c>
    </row>
    <row r="1528" spans="1:17">
      <c r="A1528" s="11">
        <f t="shared" si="65"/>
        <v>70306403</v>
      </c>
      <c r="B1528" s="2" t="s">
        <v>1662</v>
      </c>
      <c r="D1528" s="2" t="str">
        <f>E1528&amp;(VLOOKUP(F1528,编号表!$E$1:$G$8,2,0))&amp;G1528&amp;"_"&amp;H1528&amp;"_"&amp;I1528</f>
        <v>30N6_4_3</v>
      </c>
      <c r="E1528" s="2">
        <v>30</v>
      </c>
      <c r="F1528" s="2" t="s">
        <v>174</v>
      </c>
      <c r="G1528" s="2">
        <v>6</v>
      </c>
      <c r="H1528" s="2">
        <v>4</v>
      </c>
      <c r="I1528" s="2">
        <f>COUNTIFS($E$3:E1528,E1528,$H$3:H1528,H1528)</f>
        <v>3</v>
      </c>
      <c r="N1528" s="11">
        <v>1030201</v>
      </c>
      <c r="O1528" s="11">
        <v>1030301</v>
      </c>
      <c r="P1528" s="11">
        <v>1030401</v>
      </c>
      <c r="Q1528" s="11">
        <v>1030501</v>
      </c>
    </row>
    <row r="1529" spans="1:17">
      <c r="A1529" s="11">
        <f t="shared" si="65"/>
        <v>70304404</v>
      </c>
      <c r="B1529" s="2" t="s">
        <v>1663</v>
      </c>
      <c r="D1529" s="2" t="str">
        <f>E1529&amp;(VLOOKUP(F1529,编号表!$E$1:$G$8,2,0))&amp;G1529&amp;"_"&amp;H1529&amp;"_"&amp;I1529</f>
        <v>30N4_4_4</v>
      </c>
      <c r="E1529" s="2">
        <v>30</v>
      </c>
      <c r="F1529" s="2" t="s">
        <v>174</v>
      </c>
      <c r="G1529" s="2">
        <v>4</v>
      </c>
      <c r="H1529" s="2">
        <v>4</v>
      </c>
      <c r="I1529" s="2">
        <f>COUNTIFS($E$3:E1529,E1529,$H$3:H1529,H1529)</f>
        <v>4</v>
      </c>
      <c r="N1529" s="11">
        <v>1030201</v>
      </c>
      <c r="O1529" s="11">
        <v>1030301</v>
      </c>
      <c r="P1529" s="11">
        <v>1030401</v>
      </c>
      <c r="Q1529" s="11">
        <v>1030501</v>
      </c>
    </row>
    <row r="1530" spans="1:17">
      <c r="A1530" s="11">
        <f t="shared" si="65"/>
        <v>70304405</v>
      </c>
      <c r="B1530" s="2" t="s">
        <v>1664</v>
      </c>
      <c r="D1530" s="2" t="str">
        <f>E1530&amp;(VLOOKUP(F1530,编号表!$E$1:$G$8,2,0))&amp;G1530&amp;"_"&amp;H1530&amp;"_"&amp;I1530</f>
        <v>30N4_4_5</v>
      </c>
      <c r="E1530" s="2">
        <v>30</v>
      </c>
      <c r="F1530" s="2" t="s">
        <v>174</v>
      </c>
      <c r="G1530" s="2">
        <v>4</v>
      </c>
      <c r="H1530" s="2">
        <v>4</v>
      </c>
      <c r="I1530" s="2">
        <f>COUNTIFS($E$3:E1530,E1530,$H$3:H1530,H1530)</f>
        <v>5</v>
      </c>
      <c r="N1530" s="11">
        <v>1030201</v>
      </c>
      <c r="O1530" s="11">
        <v>1030301</v>
      </c>
      <c r="P1530" s="11">
        <v>1030401</v>
      </c>
      <c r="Q1530" s="11">
        <v>1030501</v>
      </c>
    </row>
    <row r="1531" spans="1:17">
      <c r="A1531" s="11">
        <f t="shared" si="65"/>
        <v>70304406</v>
      </c>
      <c r="B1531" s="2" t="s">
        <v>1665</v>
      </c>
      <c r="D1531" s="2" t="str">
        <f>E1531&amp;(VLOOKUP(F1531,编号表!$E$1:$G$8,2,0))&amp;G1531&amp;"_"&amp;H1531&amp;"_"&amp;I1531</f>
        <v>30N4_4_6</v>
      </c>
      <c r="E1531" s="2">
        <v>30</v>
      </c>
      <c r="F1531" s="2" t="s">
        <v>174</v>
      </c>
      <c r="G1531" s="2">
        <v>4</v>
      </c>
      <c r="H1531" s="2">
        <v>4</v>
      </c>
      <c r="I1531" s="2">
        <f>COUNTIFS($E$3:E1531,E1531,$H$3:H1531,H1531)</f>
        <v>6</v>
      </c>
      <c r="N1531" s="11">
        <v>1030201</v>
      </c>
      <c r="O1531" s="11">
        <v>1030301</v>
      </c>
      <c r="P1531" s="11">
        <v>1030401</v>
      </c>
      <c r="Q1531" s="11">
        <v>1030501</v>
      </c>
    </row>
    <row r="1532" spans="1:17">
      <c r="A1532" s="11">
        <f t="shared" si="65"/>
        <v>70303407</v>
      </c>
      <c r="B1532" s="2" t="s">
        <v>1666</v>
      </c>
      <c r="D1532" s="2" t="str">
        <f>E1532&amp;(VLOOKUP(F1532,编号表!$E$1:$G$8,2,0))&amp;G1532&amp;"_"&amp;H1532&amp;"_"&amp;I1532</f>
        <v>30N3_4_7</v>
      </c>
      <c r="E1532" s="2">
        <v>30</v>
      </c>
      <c r="F1532" s="2" t="s">
        <v>174</v>
      </c>
      <c r="G1532" s="2">
        <v>3</v>
      </c>
      <c r="H1532" s="2">
        <v>4</v>
      </c>
      <c r="I1532" s="2">
        <f>COUNTIFS($E$3:E1532,E1532,$H$3:H1532,H1532)</f>
        <v>7</v>
      </c>
      <c r="N1532" s="11">
        <v>1030201</v>
      </c>
      <c r="O1532" s="11">
        <v>1030301</v>
      </c>
      <c r="P1532" s="11">
        <v>1030401</v>
      </c>
      <c r="Q1532" s="11">
        <v>1030501</v>
      </c>
    </row>
    <row r="1533" spans="1:17">
      <c r="A1533" s="11">
        <f t="shared" si="65"/>
        <v>70305408</v>
      </c>
      <c r="B1533" s="2" t="s">
        <v>1667</v>
      </c>
      <c r="D1533" s="2" t="str">
        <f>E1533&amp;(VLOOKUP(F1533,编号表!$E$1:$G$8,2,0))&amp;G1533&amp;"_"&amp;H1533&amp;"_"&amp;I1533</f>
        <v>30N5_4_8</v>
      </c>
      <c r="E1533" s="2">
        <v>30</v>
      </c>
      <c r="F1533" s="2" t="s">
        <v>174</v>
      </c>
      <c r="G1533" s="2">
        <v>5</v>
      </c>
      <c r="H1533" s="2">
        <v>4</v>
      </c>
      <c r="I1533" s="2">
        <f>COUNTIFS($E$3:E1533,E1533,$H$3:H1533,H1533)</f>
        <v>8</v>
      </c>
      <c r="N1533" s="11">
        <v>1030201</v>
      </c>
      <c r="O1533" s="11">
        <v>1030301</v>
      </c>
      <c r="P1533" s="11">
        <v>1030401</v>
      </c>
      <c r="Q1533" s="11">
        <v>1030501</v>
      </c>
    </row>
    <row r="1534" spans="1:17">
      <c r="A1534" s="11">
        <f t="shared" si="65"/>
        <v>70304409</v>
      </c>
      <c r="B1534" s="2" t="s">
        <v>1668</v>
      </c>
      <c r="D1534" s="2" t="str">
        <f>E1534&amp;(VLOOKUP(F1534,编号表!$E$1:$G$8,2,0))&amp;G1534&amp;"_"&amp;H1534&amp;"_"&amp;I1534</f>
        <v>30N4_4_9</v>
      </c>
      <c r="E1534" s="2">
        <v>30</v>
      </c>
      <c r="F1534" s="2" t="s">
        <v>174</v>
      </c>
      <c r="G1534" s="2">
        <v>4</v>
      </c>
      <c r="H1534" s="2">
        <v>4</v>
      </c>
      <c r="I1534" s="2">
        <f>COUNTIFS($E$3:E1534,E1534,$H$3:H1534,H1534)</f>
        <v>9</v>
      </c>
      <c r="N1534" s="11">
        <v>1030201</v>
      </c>
      <c r="O1534" s="11">
        <v>1030301</v>
      </c>
      <c r="P1534" s="11">
        <v>1030401</v>
      </c>
      <c r="Q1534" s="11">
        <v>1030501</v>
      </c>
    </row>
    <row r="1535" spans="1:17">
      <c r="A1535" s="11">
        <f t="shared" si="65"/>
        <v>70304501</v>
      </c>
      <c r="B1535" s="2" t="s">
        <v>1669</v>
      </c>
      <c r="D1535" s="2" t="str">
        <f>E1535&amp;(VLOOKUP(F1535,编号表!$E$1:$G$8,2,0))&amp;G1535&amp;"_"&amp;H1535&amp;"_"&amp;I1535</f>
        <v>30N4_5_1</v>
      </c>
      <c r="E1535" s="2">
        <v>30</v>
      </c>
      <c r="F1535" s="2" t="s">
        <v>174</v>
      </c>
      <c r="G1535" s="2">
        <v>4</v>
      </c>
      <c r="H1535" s="2">
        <v>5</v>
      </c>
      <c r="I1535" s="2">
        <f>COUNTIFS($E$3:E1535,E1535,$H$3:H1535,H1535)</f>
        <v>1</v>
      </c>
      <c r="N1535" s="11">
        <v>1030201</v>
      </c>
      <c r="O1535" s="11">
        <v>1030301</v>
      </c>
      <c r="P1535" s="11">
        <v>1030401</v>
      </c>
      <c r="Q1535" s="11">
        <v>1030501</v>
      </c>
    </row>
    <row r="1536" spans="1:17">
      <c r="A1536" s="11">
        <f t="shared" si="65"/>
        <v>70305502</v>
      </c>
      <c r="B1536" s="2" t="s">
        <v>1670</v>
      </c>
      <c r="D1536" s="2" t="str">
        <f>E1536&amp;(VLOOKUP(F1536,编号表!$E$1:$G$8,2,0))&amp;G1536&amp;"_"&amp;H1536&amp;"_"&amp;I1536</f>
        <v>30N5_5_2</v>
      </c>
      <c r="E1536" s="2">
        <v>30</v>
      </c>
      <c r="F1536" s="2" t="s">
        <v>174</v>
      </c>
      <c r="G1536" s="2">
        <v>5</v>
      </c>
      <c r="H1536" s="2">
        <v>5</v>
      </c>
      <c r="I1536" s="2">
        <f>COUNTIFS($E$3:E1536,E1536,$H$3:H1536,H1536)</f>
        <v>2</v>
      </c>
      <c r="N1536" s="11">
        <v>1030201</v>
      </c>
      <c r="O1536" s="11">
        <v>1030301</v>
      </c>
      <c r="P1536" s="11">
        <v>1030401</v>
      </c>
      <c r="Q1536" s="11">
        <v>1030501</v>
      </c>
    </row>
    <row r="1537" spans="1:18">
      <c r="A1537" s="11">
        <f t="shared" si="65"/>
        <v>70305503</v>
      </c>
      <c r="B1537" s="2" t="s">
        <v>1671</v>
      </c>
      <c r="D1537" s="2" t="str">
        <f>E1537&amp;(VLOOKUP(F1537,编号表!$E$1:$G$8,2,0))&amp;G1537&amp;"_"&amp;H1537&amp;"_"&amp;I1537</f>
        <v>30N5_5_3</v>
      </c>
      <c r="E1537" s="2">
        <v>30</v>
      </c>
      <c r="F1537" s="2" t="s">
        <v>174</v>
      </c>
      <c r="G1537" s="2">
        <v>5</v>
      </c>
      <c r="H1537" s="2">
        <v>5</v>
      </c>
      <c r="I1537" s="2">
        <f>COUNTIFS($E$3:E1537,E1537,$H$3:H1537,H1537)</f>
        <v>3</v>
      </c>
      <c r="N1537" s="11">
        <v>1030201</v>
      </c>
      <c r="O1537" s="11">
        <v>1030301</v>
      </c>
      <c r="P1537" s="11">
        <v>1030401</v>
      </c>
      <c r="Q1537" s="11">
        <v>1030501</v>
      </c>
    </row>
    <row r="1538" spans="1:18">
      <c r="A1538" s="11">
        <f t="shared" si="65"/>
        <v>70303504</v>
      </c>
      <c r="B1538" s="2" t="s">
        <v>1672</v>
      </c>
      <c r="D1538" s="2" t="str">
        <f>E1538&amp;(VLOOKUP(F1538,编号表!$E$1:$G$8,2,0))&amp;G1538&amp;"_"&amp;H1538&amp;"_"&amp;I1538</f>
        <v>30N3_5_4</v>
      </c>
      <c r="E1538" s="2">
        <v>30</v>
      </c>
      <c r="F1538" s="2" t="s">
        <v>174</v>
      </c>
      <c r="G1538" s="2">
        <v>3</v>
      </c>
      <c r="H1538" s="2">
        <v>5</v>
      </c>
      <c r="I1538" s="2">
        <f>COUNTIFS($E$3:E1538,E1538,$H$3:H1538,H1538)</f>
        <v>4</v>
      </c>
      <c r="N1538" s="11">
        <v>1030201</v>
      </c>
      <c r="O1538" s="11">
        <v>1030301</v>
      </c>
      <c r="P1538" s="11">
        <v>1030401</v>
      </c>
      <c r="Q1538" s="11">
        <v>1030501</v>
      </c>
    </row>
    <row r="1539" spans="1:18">
      <c r="A1539" s="11">
        <f t="shared" si="65"/>
        <v>70301505</v>
      </c>
      <c r="B1539" s="2" t="s">
        <v>1673</v>
      </c>
      <c r="D1539" s="2" t="str">
        <f>E1539&amp;(VLOOKUP(F1539,编号表!$E$1:$G$8,2,0))&amp;G1539&amp;"_"&amp;H1539&amp;"_"&amp;I1539</f>
        <v>30N1_5_5</v>
      </c>
      <c r="E1539" s="2">
        <v>30</v>
      </c>
      <c r="F1539" s="2" t="s">
        <v>174</v>
      </c>
      <c r="G1539" s="2">
        <v>1</v>
      </c>
      <c r="H1539" s="2">
        <v>5</v>
      </c>
      <c r="I1539" s="2">
        <f>COUNTIFS($E$3:E1539,E1539,$H$3:H1539,H1539)</f>
        <v>5</v>
      </c>
      <c r="N1539" s="11">
        <v>1030201</v>
      </c>
      <c r="O1539" s="11">
        <v>1030301</v>
      </c>
      <c r="P1539" s="11">
        <v>1030401</v>
      </c>
      <c r="Q1539" s="11">
        <v>1030501</v>
      </c>
    </row>
    <row r="1540" spans="1:18">
      <c r="A1540" s="11">
        <f t="shared" si="65"/>
        <v>70303506</v>
      </c>
      <c r="B1540" s="2" t="s">
        <v>1674</v>
      </c>
      <c r="D1540" s="2" t="str">
        <f>E1540&amp;(VLOOKUP(F1540,编号表!$E$1:$G$8,2,0))&amp;G1540&amp;"_"&amp;H1540&amp;"_"&amp;I1540</f>
        <v>30N3_5_6</v>
      </c>
      <c r="E1540" s="2">
        <v>30</v>
      </c>
      <c r="F1540" s="2" t="s">
        <v>174</v>
      </c>
      <c r="G1540" s="2">
        <v>3</v>
      </c>
      <c r="H1540" s="2">
        <v>5</v>
      </c>
      <c r="I1540" s="2">
        <f>COUNTIFS($E$3:E1540,E1540,$H$3:H1540,H1540)</f>
        <v>6</v>
      </c>
      <c r="N1540" s="11">
        <v>1030201</v>
      </c>
      <c r="O1540" s="11">
        <v>1030301</v>
      </c>
      <c r="P1540" s="11">
        <v>1030401</v>
      </c>
      <c r="Q1540" s="11">
        <v>1030501</v>
      </c>
    </row>
    <row r="1541" spans="1:18">
      <c r="A1541" s="11">
        <f t="shared" ref="A1541:A1600" si="66">70000000+E1541*10000+G1541*1000+H1541*100+I1541</f>
        <v>70308601</v>
      </c>
      <c r="B1541" s="2" t="s">
        <v>1675</v>
      </c>
      <c r="D1541" s="2" t="str">
        <f>E1541&amp;(VLOOKUP(F1541,编号表!$E$1:$G$8,2,0))&amp;G1541&amp;"_"&amp;H1541&amp;"_"&amp;I1541</f>
        <v>30N8_6_1</v>
      </c>
      <c r="E1541" s="2">
        <v>30</v>
      </c>
      <c r="F1541" s="2" t="s">
        <v>174</v>
      </c>
      <c r="G1541" s="2">
        <v>8</v>
      </c>
      <c r="H1541" s="2">
        <v>6</v>
      </c>
      <c r="I1541" s="2">
        <f>COUNTIFS($E$3:E1541,E1541,$H$3:H1541,H1541)</f>
        <v>1</v>
      </c>
      <c r="N1541" s="11">
        <v>1030201</v>
      </c>
      <c r="O1541" s="11">
        <v>1030301</v>
      </c>
      <c r="P1541" s="11">
        <v>1030401</v>
      </c>
      <c r="Q1541" s="11">
        <v>1030501</v>
      </c>
    </row>
    <row r="1542" spans="1:18">
      <c r="A1542" s="11">
        <f t="shared" si="66"/>
        <v>70308602</v>
      </c>
      <c r="B1542" s="2" t="s">
        <v>1676</v>
      </c>
      <c r="D1542" s="2" t="str">
        <f>E1542&amp;(VLOOKUP(F1542,编号表!$E$1:$G$8,2,0))&amp;G1542&amp;"_"&amp;H1542&amp;"_"&amp;I1542</f>
        <v>30N8_6_2</v>
      </c>
      <c r="E1542" s="2">
        <v>30</v>
      </c>
      <c r="F1542" s="2" t="s">
        <v>174</v>
      </c>
      <c r="G1542" s="2">
        <v>8</v>
      </c>
      <c r="H1542" s="2">
        <v>6</v>
      </c>
      <c r="I1542" s="2">
        <f>COUNTIFS($E$3:E1542,E1542,$H$3:H1542,H1542)</f>
        <v>2</v>
      </c>
      <c r="N1542" s="11">
        <v>1030201</v>
      </c>
      <c r="O1542" s="11">
        <v>1030301</v>
      </c>
      <c r="P1542" s="11">
        <v>1030401</v>
      </c>
      <c r="Q1542" s="11">
        <v>1030501</v>
      </c>
    </row>
    <row r="1543" spans="1:18">
      <c r="A1543" s="11">
        <f t="shared" si="66"/>
        <v>70304603</v>
      </c>
      <c r="B1543" s="2" t="s">
        <v>1677</v>
      </c>
      <c r="D1543" s="2" t="str">
        <f>E1543&amp;(VLOOKUP(F1543,编号表!$E$1:$G$8,2,0))&amp;G1543&amp;"_"&amp;H1543&amp;"_"&amp;I1543</f>
        <v>30N4_6_3</v>
      </c>
      <c r="E1543" s="2">
        <v>30</v>
      </c>
      <c r="F1543" s="2" t="s">
        <v>174</v>
      </c>
      <c r="G1543" s="2">
        <v>4</v>
      </c>
      <c r="H1543" s="2">
        <v>6</v>
      </c>
      <c r="I1543" s="2">
        <f>COUNTIFS($E$3:E1543,E1543,$H$3:H1543,H1543)</f>
        <v>3</v>
      </c>
      <c r="N1543" s="11">
        <v>1030201</v>
      </c>
      <c r="O1543" s="11">
        <v>1030301</v>
      </c>
      <c r="P1543" s="11">
        <v>1030401</v>
      </c>
      <c r="Q1543" s="11">
        <v>1030501</v>
      </c>
    </row>
    <row r="1544" spans="1:18">
      <c r="A1544" s="11">
        <f t="shared" si="66"/>
        <v>70302604</v>
      </c>
      <c r="B1544" s="2" t="s">
        <v>1678</v>
      </c>
      <c r="D1544" s="2" t="str">
        <f>E1544&amp;(VLOOKUP(F1544,编号表!$E$1:$G$8,2,0))&amp;G1544&amp;"_"&amp;H1544&amp;"_"&amp;I1544</f>
        <v>30N2_6_4</v>
      </c>
      <c r="E1544" s="2">
        <v>30</v>
      </c>
      <c r="F1544" s="2" t="s">
        <v>174</v>
      </c>
      <c r="G1544" s="2">
        <v>2</v>
      </c>
      <c r="H1544" s="2">
        <v>6</v>
      </c>
      <c r="I1544" s="2">
        <f>COUNTIFS($E$3:E1544,E1544,$H$3:H1544,H1544)</f>
        <v>4</v>
      </c>
      <c r="N1544" s="11">
        <v>1030201</v>
      </c>
      <c r="O1544" s="11">
        <v>1030301</v>
      </c>
      <c r="P1544" s="11">
        <v>1030401</v>
      </c>
      <c r="Q1544" s="11">
        <v>1030501</v>
      </c>
    </row>
    <row r="1545" spans="1:18">
      <c r="A1545" s="11">
        <f t="shared" si="66"/>
        <v>70301605</v>
      </c>
      <c r="B1545" s="15" t="s">
        <v>1631</v>
      </c>
      <c r="D1545" s="2" t="str">
        <f>E1545&amp;(VLOOKUP(F1545,编号表!$E$1:$G$8,2,0))&amp;G1545&amp;"_"&amp;H1545&amp;"_"&amp;I1545</f>
        <v>30T1_6_5</v>
      </c>
      <c r="E1545" s="2">
        <v>30</v>
      </c>
      <c r="F1545" s="2" t="s">
        <v>190</v>
      </c>
      <c r="G1545" s="2">
        <v>1</v>
      </c>
      <c r="H1545" s="2">
        <v>6</v>
      </c>
      <c r="I1545" s="2">
        <f>COUNTIFS($E$3:E1545,E1545,$H$3:H1545,H1545)</f>
        <v>5</v>
      </c>
      <c r="K1545" s="2">
        <v>1</v>
      </c>
    </row>
    <row r="1546" spans="1:18">
      <c r="A1546" s="11">
        <f t="shared" si="66"/>
        <v>70303606</v>
      </c>
      <c r="B1546" s="16" t="s">
        <v>100</v>
      </c>
      <c r="C1546" s="2" t="s">
        <v>1632</v>
      </c>
      <c r="D1546" s="2" t="str">
        <f>E1546&amp;(VLOOKUP(F1546,编号表!$E$1:$G$8,2,0))&amp;G1546&amp;"_"&amp;H1546&amp;"_"&amp;I1546</f>
        <v>30T3_6_6</v>
      </c>
      <c r="E1546" s="2">
        <v>30</v>
      </c>
      <c r="F1546" s="2" t="s">
        <v>190</v>
      </c>
      <c r="G1546" s="2">
        <v>3</v>
      </c>
      <c r="H1546" s="2">
        <v>6</v>
      </c>
      <c r="I1546" s="2">
        <f>COUNTIFS($E$3:E1546,E1546,$H$3:H1546,H1546)</f>
        <v>6</v>
      </c>
      <c r="L1546" s="2">
        <v>160</v>
      </c>
    </row>
    <row r="1547" spans="1:18">
      <c r="A1547" s="11">
        <f t="shared" si="66"/>
        <v>70300001</v>
      </c>
      <c r="B1547" s="24" t="s">
        <v>1679</v>
      </c>
      <c r="D1547" s="2" t="str">
        <f>E1547&amp;(VLOOKUP(F1547,编号表!$E$1:$G$8,2,0))&amp;G1547&amp;"_"&amp;H1547&amp;"_"&amp;I1547</f>
        <v>30J0_0_1</v>
      </c>
      <c r="E1547" s="2">
        <v>30</v>
      </c>
      <c r="F1547" s="2" t="s">
        <v>222</v>
      </c>
      <c r="G1547" s="2">
        <v>0</v>
      </c>
      <c r="H1547" s="2">
        <v>0</v>
      </c>
      <c r="I1547" s="2">
        <f>COUNTIFS($E$3:E1547,E1547,$H$3:H1547,H1547)</f>
        <v>1</v>
      </c>
      <c r="J1547" s="2">
        <v>1</v>
      </c>
    </row>
    <row r="1548" spans="1:18">
      <c r="A1548" s="11">
        <f t="shared" si="66"/>
        <v>70314101</v>
      </c>
      <c r="B1548" s="2" t="s">
        <v>1680</v>
      </c>
      <c r="D1548" s="2" t="str">
        <f>E1548&amp;(VLOOKUP(F1548,编号表!$E$1:$G$8,2,0))&amp;G1548&amp;"_"&amp;H1548&amp;"_"&amp;I1548</f>
        <v>31N4_1_1</v>
      </c>
      <c r="E1548" s="2">
        <v>31</v>
      </c>
      <c r="F1548" s="2" t="s">
        <v>174</v>
      </c>
      <c r="G1548" s="2">
        <v>4</v>
      </c>
      <c r="H1548" s="2">
        <v>1</v>
      </c>
      <c r="I1548" s="2">
        <f>COUNTIFS($E$3:E1548,E1548,$H$3:H1548,H1548)</f>
        <v>1</v>
      </c>
      <c r="N1548" s="11">
        <v>1031201</v>
      </c>
      <c r="O1548" s="11">
        <v>1031301</v>
      </c>
      <c r="P1548" s="11">
        <v>1031401</v>
      </c>
      <c r="Q1548" s="11">
        <v>1031501</v>
      </c>
      <c r="R1548" s="11">
        <v>1031001</v>
      </c>
    </row>
    <row r="1549" spans="1:18">
      <c r="A1549" s="11">
        <f t="shared" si="66"/>
        <v>70314102</v>
      </c>
      <c r="B1549" s="2" t="s">
        <v>1681</v>
      </c>
      <c r="D1549" s="2" t="str">
        <f>E1549&amp;(VLOOKUP(F1549,编号表!$E$1:$G$8,2,0))&amp;G1549&amp;"_"&amp;H1549&amp;"_"&amp;I1549</f>
        <v>31N4_1_2</v>
      </c>
      <c r="E1549" s="2">
        <v>31</v>
      </c>
      <c r="F1549" s="2" t="s">
        <v>174</v>
      </c>
      <c r="G1549" s="2">
        <v>4</v>
      </c>
      <c r="H1549" s="2">
        <v>1</v>
      </c>
      <c r="I1549" s="2">
        <f>COUNTIFS($E$3:E1549,E1549,$H$3:H1549,H1549)</f>
        <v>2</v>
      </c>
      <c r="N1549" s="11">
        <v>1031201</v>
      </c>
      <c r="O1549" s="11">
        <v>1031301</v>
      </c>
      <c r="P1549" s="11">
        <v>1031401</v>
      </c>
      <c r="Q1549" s="11">
        <v>1031501</v>
      </c>
      <c r="R1549" s="11">
        <v>1031101</v>
      </c>
    </row>
    <row r="1550" spans="1:18">
      <c r="A1550" s="11">
        <f t="shared" si="66"/>
        <v>70312103</v>
      </c>
      <c r="B1550" s="2" t="s">
        <v>1682</v>
      </c>
      <c r="D1550" s="2" t="str">
        <f>E1550&amp;(VLOOKUP(F1550,编号表!$E$1:$G$8,2,0))&amp;G1550&amp;"_"&amp;H1550&amp;"_"&amp;I1550</f>
        <v>31N2_1_3</v>
      </c>
      <c r="E1550" s="2">
        <v>31</v>
      </c>
      <c r="F1550" s="2" t="s">
        <v>174</v>
      </c>
      <c r="G1550" s="2">
        <v>2</v>
      </c>
      <c r="H1550" s="2">
        <v>1</v>
      </c>
      <c r="I1550" s="2">
        <f>COUNTIFS($E$3:E1550,E1550,$H$3:H1550,H1550)</f>
        <v>3</v>
      </c>
      <c r="N1550" s="11">
        <v>1031201</v>
      </c>
      <c r="O1550" s="11">
        <v>1031301</v>
      </c>
      <c r="P1550" s="11">
        <v>1031401</v>
      </c>
      <c r="Q1550" s="11">
        <v>1031501</v>
      </c>
    </row>
    <row r="1551" spans="1:18">
      <c r="A1551" s="11">
        <f t="shared" si="66"/>
        <v>70314104</v>
      </c>
      <c r="B1551" s="2" t="s">
        <v>1683</v>
      </c>
      <c r="D1551" s="2" t="str">
        <f>E1551&amp;(VLOOKUP(F1551,编号表!$E$1:$G$8,2,0))&amp;G1551&amp;"_"&amp;H1551&amp;"_"&amp;I1551</f>
        <v>31N4_1_4</v>
      </c>
      <c r="E1551" s="2">
        <v>31</v>
      </c>
      <c r="F1551" s="2" t="s">
        <v>174</v>
      </c>
      <c r="G1551" s="2">
        <v>4</v>
      </c>
      <c r="H1551" s="2">
        <v>1</v>
      </c>
      <c r="I1551" s="2">
        <f>COUNTIFS($E$3:E1551,E1551,$H$3:H1551,H1551)</f>
        <v>4</v>
      </c>
      <c r="N1551" s="11">
        <v>1031201</v>
      </c>
      <c r="O1551" s="11">
        <v>1031301</v>
      </c>
      <c r="P1551" s="11">
        <v>1031401</v>
      </c>
      <c r="Q1551" s="11">
        <v>1031501</v>
      </c>
    </row>
    <row r="1552" spans="1:18">
      <c r="A1552" s="11">
        <f t="shared" si="66"/>
        <v>70314201</v>
      </c>
      <c r="B1552" s="2" t="s">
        <v>1684</v>
      </c>
      <c r="D1552" s="2" t="str">
        <f>E1552&amp;(VLOOKUP(F1552,编号表!$E$1:$G$8,2,0))&amp;G1552&amp;"_"&amp;H1552&amp;"_"&amp;I1552</f>
        <v>31N4_2_1</v>
      </c>
      <c r="E1552" s="2">
        <v>31</v>
      </c>
      <c r="F1552" s="2" t="s">
        <v>174</v>
      </c>
      <c r="G1552" s="2">
        <v>4</v>
      </c>
      <c r="H1552" s="2">
        <v>2</v>
      </c>
      <c r="I1552" s="2">
        <f>COUNTIFS($E$3:E1552,E1552,$H$3:H1552,H1552)</f>
        <v>1</v>
      </c>
      <c r="N1552" s="11">
        <v>1031201</v>
      </c>
      <c r="O1552" s="11">
        <v>1031301</v>
      </c>
      <c r="P1552" s="11">
        <v>1031401</v>
      </c>
      <c r="Q1552" s="11">
        <v>1031501</v>
      </c>
    </row>
    <row r="1553" spans="1:17">
      <c r="A1553" s="11">
        <f t="shared" si="66"/>
        <v>70314202</v>
      </c>
      <c r="B1553" s="2" t="s">
        <v>1685</v>
      </c>
      <c r="D1553" s="2" t="str">
        <f>E1553&amp;(VLOOKUP(F1553,编号表!$E$1:$G$8,2,0))&amp;G1553&amp;"_"&amp;H1553&amp;"_"&amp;I1553</f>
        <v>31N4_2_2</v>
      </c>
      <c r="E1553" s="2">
        <v>31</v>
      </c>
      <c r="F1553" s="2" t="s">
        <v>174</v>
      </c>
      <c r="G1553" s="2">
        <v>4</v>
      </c>
      <c r="H1553" s="2">
        <v>2</v>
      </c>
      <c r="I1553" s="2">
        <f>COUNTIFS($E$3:E1553,E1553,$H$3:H1553,H1553)</f>
        <v>2</v>
      </c>
      <c r="N1553" s="11">
        <v>1031201</v>
      </c>
      <c r="O1553" s="11">
        <v>1031301</v>
      </c>
      <c r="P1553" s="11">
        <v>1031401</v>
      </c>
      <c r="Q1553" s="11">
        <v>1031501</v>
      </c>
    </row>
    <row r="1554" spans="1:17">
      <c r="A1554" s="11">
        <f t="shared" si="66"/>
        <v>70314203</v>
      </c>
      <c r="B1554" s="2" t="s">
        <v>1686</v>
      </c>
      <c r="D1554" s="2" t="str">
        <f>E1554&amp;(VLOOKUP(F1554,编号表!$E$1:$G$8,2,0))&amp;G1554&amp;"_"&amp;H1554&amp;"_"&amp;I1554</f>
        <v>31N4_2_3</v>
      </c>
      <c r="E1554" s="2">
        <v>31</v>
      </c>
      <c r="F1554" s="2" t="s">
        <v>174</v>
      </c>
      <c r="G1554" s="2">
        <v>4</v>
      </c>
      <c r="H1554" s="2">
        <v>2</v>
      </c>
      <c r="I1554" s="2">
        <f>COUNTIFS($E$3:E1554,E1554,$H$3:H1554,H1554)</f>
        <v>3</v>
      </c>
      <c r="N1554" s="11">
        <v>1031201</v>
      </c>
      <c r="O1554" s="11">
        <v>1031301</v>
      </c>
      <c r="P1554" s="11">
        <v>1031401</v>
      </c>
      <c r="Q1554" s="11">
        <v>1031501</v>
      </c>
    </row>
    <row r="1555" spans="1:17">
      <c r="A1555" s="11">
        <f t="shared" si="66"/>
        <v>70314204</v>
      </c>
      <c r="B1555" s="2" t="s">
        <v>1687</v>
      </c>
      <c r="D1555" s="2" t="str">
        <f>E1555&amp;(VLOOKUP(F1555,编号表!$E$1:$G$8,2,0))&amp;G1555&amp;"_"&amp;H1555&amp;"_"&amp;I1555</f>
        <v>31N4_2_4</v>
      </c>
      <c r="E1555" s="2">
        <v>31</v>
      </c>
      <c r="F1555" s="2" t="s">
        <v>174</v>
      </c>
      <c r="G1555" s="2">
        <v>4</v>
      </c>
      <c r="H1555" s="2">
        <v>2</v>
      </c>
      <c r="I1555" s="2">
        <f>COUNTIFS($E$3:E1555,E1555,$H$3:H1555,H1555)</f>
        <v>4</v>
      </c>
      <c r="N1555" s="11">
        <v>1031201</v>
      </c>
      <c r="O1555" s="11">
        <v>1031301</v>
      </c>
      <c r="P1555" s="11">
        <v>1031401</v>
      </c>
      <c r="Q1555" s="11">
        <v>1031501</v>
      </c>
    </row>
    <row r="1556" spans="1:17">
      <c r="A1556" s="11">
        <f t="shared" si="66"/>
        <v>70314205</v>
      </c>
      <c r="B1556" s="2" t="s">
        <v>1688</v>
      </c>
      <c r="D1556" s="2" t="str">
        <f>E1556&amp;(VLOOKUP(F1556,编号表!$E$1:$G$8,2,0))&amp;G1556&amp;"_"&amp;H1556&amp;"_"&amp;I1556</f>
        <v>31N4_2_5</v>
      </c>
      <c r="E1556" s="2">
        <v>31</v>
      </c>
      <c r="F1556" s="2" t="s">
        <v>174</v>
      </c>
      <c r="G1556" s="2">
        <v>4</v>
      </c>
      <c r="H1556" s="2">
        <v>2</v>
      </c>
      <c r="I1556" s="2">
        <f>COUNTIFS($E$3:E1556,E1556,$H$3:H1556,H1556)</f>
        <v>5</v>
      </c>
      <c r="N1556" s="11">
        <v>1031201</v>
      </c>
      <c r="O1556" s="11">
        <v>1031301</v>
      </c>
      <c r="P1556" s="11">
        <v>1031401</v>
      </c>
      <c r="Q1556" s="11">
        <v>1031501</v>
      </c>
    </row>
    <row r="1557" spans="1:17">
      <c r="A1557" s="11">
        <f t="shared" si="66"/>
        <v>70313206</v>
      </c>
      <c r="B1557" s="2" t="s">
        <v>1689</v>
      </c>
      <c r="D1557" s="2" t="str">
        <f>E1557&amp;(VLOOKUP(F1557,编号表!$E$1:$G$8,2,0))&amp;G1557&amp;"_"&amp;H1557&amp;"_"&amp;I1557</f>
        <v>31N3_2_6</v>
      </c>
      <c r="E1557" s="2">
        <v>31</v>
      </c>
      <c r="F1557" s="2" t="s">
        <v>174</v>
      </c>
      <c r="G1557" s="2">
        <v>3</v>
      </c>
      <c r="H1557" s="2">
        <v>2</v>
      </c>
      <c r="I1557" s="2">
        <f>COUNTIFS($E$3:E1557,E1557,$H$3:H1557,H1557)</f>
        <v>6</v>
      </c>
      <c r="N1557" s="11">
        <v>1031201</v>
      </c>
      <c r="O1557" s="11">
        <v>1031301</v>
      </c>
      <c r="P1557" s="11">
        <v>1031401</v>
      </c>
      <c r="Q1557" s="11">
        <v>1031501</v>
      </c>
    </row>
    <row r="1558" spans="1:17">
      <c r="A1558" s="11">
        <f t="shared" si="66"/>
        <v>70314207</v>
      </c>
      <c r="B1558" s="2" t="s">
        <v>1690</v>
      </c>
      <c r="D1558" s="2" t="str">
        <f>E1558&amp;(VLOOKUP(F1558,编号表!$E$1:$G$8,2,0))&amp;G1558&amp;"_"&amp;H1558&amp;"_"&amp;I1558</f>
        <v>31N4_2_7</v>
      </c>
      <c r="E1558" s="2">
        <v>31</v>
      </c>
      <c r="F1558" s="2" t="s">
        <v>174</v>
      </c>
      <c r="G1558" s="2">
        <v>4</v>
      </c>
      <c r="H1558" s="2">
        <v>2</v>
      </c>
      <c r="I1558" s="2">
        <f>COUNTIFS($E$3:E1558,E1558,$H$3:H1558,H1558)</f>
        <v>7</v>
      </c>
      <c r="N1558" s="11">
        <v>1031201</v>
      </c>
      <c r="O1558" s="11">
        <v>1031301</v>
      </c>
      <c r="P1558" s="11">
        <v>1031401</v>
      </c>
      <c r="Q1558" s="11">
        <v>1031501</v>
      </c>
    </row>
    <row r="1559" spans="1:17">
      <c r="A1559" s="11">
        <f t="shared" si="66"/>
        <v>70314208</v>
      </c>
      <c r="B1559" s="2" t="s">
        <v>1691</v>
      </c>
      <c r="D1559" s="2" t="str">
        <f>E1559&amp;(VLOOKUP(F1559,编号表!$E$1:$G$8,2,0))&amp;G1559&amp;"_"&amp;H1559&amp;"_"&amp;I1559</f>
        <v>31N4_2_8</v>
      </c>
      <c r="E1559" s="2">
        <v>31</v>
      </c>
      <c r="F1559" s="2" t="s">
        <v>174</v>
      </c>
      <c r="G1559" s="2">
        <v>4</v>
      </c>
      <c r="H1559" s="2">
        <v>2</v>
      </c>
      <c r="I1559" s="2">
        <f>COUNTIFS($E$3:E1559,E1559,$H$3:H1559,H1559)</f>
        <v>8</v>
      </c>
      <c r="N1559" s="11">
        <v>1031201</v>
      </c>
      <c r="O1559" s="11">
        <v>1031301</v>
      </c>
      <c r="P1559" s="11">
        <v>1031401</v>
      </c>
      <c r="Q1559" s="11">
        <v>1031501</v>
      </c>
    </row>
    <row r="1560" spans="1:17">
      <c r="A1560" s="11">
        <f t="shared" si="66"/>
        <v>70313301</v>
      </c>
      <c r="B1560" s="16" t="s">
        <v>109</v>
      </c>
      <c r="C1560" s="2" t="s">
        <v>1692</v>
      </c>
      <c r="D1560" s="2" t="str">
        <f>E1560&amp;(VLOOKUP(F1560,编号表!$E$1:$G$8,2,0))&amp;G1560&amp;"_"&amp;H1560&amp;"_"&amp;I1560</f>
        <v>31T3_3_1</v>
      </c>
      <c r="E1560" s="2">
        <v>31</v>
      </c>
      <c r="F1560" s="2" t="s">
        <v>190</v>
      </c>
      <c r="G1560" s="2">
        <v>3</v>
      </c>
      <c r="H1560" s="2">
        <v>3</v>
      </c>
      <c r="I1560" s="2">
        <f>COUNTIFS($E$3:E1560,E1560,$H$3:H1560,H1560)</f>
        <v>1</v>
      </c>
    </row>
    <row r="1561" spans="1:17">
      <c r="A1561" s="11">
        <f t="shared" si="66"/>
        <v>70311302</v>
      </c>
      <c r="B1561" s="15" t="s">
        <v>1693</v>
      </c>
      <c r="D1561" s="2" t="str">
        <f>E1561&amp;(VLOOKUP(F1561,编号表!$E$1:$G$8,2,0))&amp;G1561&amp;"_"&amp;H1561&amp;"_"&amp;I1561</f>
        <v>31T1_3_2</v>
      </c>
      <c r="E1561" s="2">
        <v>31</v>
      </c>
      <c r="F1561" s="2" t="s">
        <v>190</v>
      </c>
      <c r="G1561" s="2">
        <v>1</v>
      </c>
      <c r="H1561" s="2">
        <v>3</v>
      </c>
      <c r="I1561" s="2">
        <f>COUNTIFS($E$3:E1561,E1561,$H$3:H1561,H1561)</f>
        <v>2</v>
      </c>
    </row>
    <row r="1562" spans="1:17">
      <c r="A1562" s="11">
        <f t="shared" si="66"/>
        <v>70314303</v>
      </c>
      <c r="B1562" s="2" t="s">
        <v>1691</v>
      </c>
      <c r="D1562" s="2" t="str">
        <f>E1562&amp;(VLOOKUP(F1562,编号表!$E$1:$G$8,2,0))&amp;G1562&amp;"_"&amp;H1562&amp;"_"&amp;I1562</f>
        <v>31N4_3_3</v>
      </c>
      <c r="E1562" s="2">
        <v>31</v>
      </c>
      <c r="F1562" s="2" t="s">
        <v>174</v>
      </c>
      <c r="G1562" s="2">
        <v>4</v>
      </c>
      <c r="H1562" s="2">
        <v>3</v>
      </c>
      <c r="I1562" s="2">
        <f>COUNTIFS($E$3:E1562,E1562,$H$3:H1562,H1562)</f>
        <v>3</v>
      </c>
      <c r="N1562" s="11">
        <v>1031201</v>
      </c>
      <c r="O1562" s="11">
        <v>1031301</v>
      </c>
      <c r="P1562" s="11">
        <v>1031401</v>
      </c>
      <c r="Q1562" s="11">
        <v>1031501</v>
      </c>
    </row>
    <row r="1563" spans="1:17">
      <c r="A1563" s="11">
        <f t="shared" si="66"/>
        <v>70313304</v>
      </c>
      <c r="B1563" s="2" t="s">
        <v>1694</v>
      </c>
      <c r="D1563" s="2" t="str">
        <f>E1563&amp;(VLOOKUP(F1563,编号表!$E$1:$G$8,2,0))&amp;G1563&amp;"_"&amp;H1563&amp;"_"&amp;I1563</f>
        <v>31N3_3_4</v>
      </c>
      <c r="E1563" s="2">
        <v>31</v>
      </c>
      <c r="F1563" s="2" t="s">
        <v>174</v>
      </c>
      <c r="G1563" s="2">
        <v>3</v>
      </c>
      <c r="H1563" s="2">
        <v>3</v>
      </c>
      <c r="I1563" s="2">
        <f>COUNTIFS($E$3:E1563,E1563,$H$3:H1563,H1563)</f>
        <v>4</v>
      </c>
      <c r="N1563" s="11">
        <v>1031201</v>
      </c>
      <c r="O1563" s="11">
        <v>1031301</v>
      </c>
      <c r="P1563" s="11">
        <v>1031401</v>
      </c>
      <c r="Q1563" s="11">
        <v>1031501</v>
      </c>
    </row>
    <row r="1564" spans="1:17">
      <c r="A1564" s="11">
        <f t="shared" si="66"/>
        <v>70314305</v>
      </c>
      <c r="B1564" s="2" t="s">
        <v>1695</v>
      </c>
      <c r="D1564" s="2" t="str">
        <f>E1564&amp;(VLOOKUP(F1564,编号表!$E$1:$G$8,2,0))&amp;G1564&amp;"_"&amp;H1564&amp;"_"&amp;I1564</f>
        <v>31N4_3_5</v>
      </c>
      <c r="E1564" s="2">
        <v>31</v>
      </c>
      <c r="F1564" s="2" t="s">
        <v>174</v>
      </c>
      <c r="G1564" s="2">
        <v>4</v>
      </c>
      <c r="H1564" s="2">
        <v>3</v>
      </c>
      <c r="I1564" s="2">
        <f>COUNTIFS($E$3:E1564,E1564,$H$3:H1564,H1564)</f>
        <v>5</v>
      </c>
      <c r="N1564" s="11">
        <v>1031201</v>
      </c>
      <c r="O1564" s="11">
        <v>1031301</v>
      </c>
      <c r="P1564" s="11">
        <v>1031401</v>
      </c>
      <c r="Q1564" s="11">
        <v>1031501</v>
      </c>
    </row>
    <row r="1565" spans="1:17">
      <c r="A1565" s="11">
        <f t="shared" si="66"/>
        <v>70311306</v>
      </c>
      <c r="B1565" s="2" t="s">
        <v>1696</v>
      </c>
      <c r="D1565" s="2" t="str">
        <f>E1565&amp;(VLOOKUP(F1565,编号表!$E$1:$G$8,2,0))&amp;G1565&amp;"_"&amp;H1565&amp;"_"&amp;I1565</f>
        <v>31N1_3_6</v>
      </c>
      <c r="E1565" s="2">
        <v>31</v>
      </c>
      <c r="F1565" s="2" t="s">
        <v>174</v>
      </c>
      <c r="G1565" s="2">
        <v>1</v>
      </c>
      <c r="H1565" s="2">
        <v>3</v>
      </c>
      <c r="I1565" s="2">
        <f>COUNTIFS($E$3:E1565,E1565,$H$3:H1565,H1565)</f>
        <v>6</v>
      </c>
      <c r="N1565" s="11">
        <v>1031201</v>
      </c>
      <c r="O1565" s="11">
        <v>1031301</v>
      </c>
      <c r="P1565" s="11">
        <v>1031401</v>
      </c>
      <c r="Q1565" s="11">
        <v>1031501</v>
      </c>
    </row>
    <row r="1566" spans="1:17">
      <c r="A1566" s="11">
        <f t="shared" si="66"/>
        <v>70311307</v>
      </c>
      <c r="B1566" s="15" t="s">
        <v>1647</v>
      </c>
      <c r="D1566" s="2" t="str">
        <f>E1566&amp;(VLOOKUP(F1566,编号表!$E$1:$G$8,2,0))&amp;G1566&amp;"_"&amp;H1566&amp;"_"&amp;I1566</f>
        <v>31T1_3_7</v>
      </c>
      <c r="E1566" s="2">
        <v>31</v>
      </c>
      <c r="F1566" s="2" t="s">
        <v>190</v>
      </c>
      <c r="G1566" s="2">
        <v>1</v>
      </c>
      <c r="H1566" s="2">
        <v>3</v>
      </c>
      <c r="I1566" s="2">
        <f>COUNTIFS($E$3:E1566,E1566,$H$3:H1566,H1566)</f>
        <v>7</v>
      </c>
      <c r="K1566" s="2">
        <v>1</v>
      </c>
    </row>
    <row r="1567" spans="1:17">
      <c r="A1567" s="11">
        <f t="shared" si="66"/>
        <v>70313308</v>
      </c>
      <c r="B1567" s="16" t="s">
        <v>103</v>
      </c>
      <c r="C1567" s="2" t="s">
        <v>1648</v>
      </c>
      <c r="D1567" s="2" t="str">
        <f>E1567&amp;(VLOOKUP(F1567,编号表!$E$1:$G$8,2,0))&amp;G1567&amp;"_"&amp;H1567&amp;"_"&amp;I1567</f>
        <v>31T3_3_8</v>
      </c>
      <c r="E1567" s="2">
        <v>31</v>
      </c>
      <c r="F1567" s="2" t="s">
        <v>190</v>
      </c>
      <c r="G1567" s="2">
        <v>3</v>
      </c>
      <c r="H1567" s="2">
        <v>3</v>
      </c>
      <c r="I1567" s="2">
        <f>COUNTIFS($E$3:E1567,E1567,$H$3:H1567,H1567)</f>
        <v>8</v>
      </c>
      <c r="L1567" s="2">
        <v>162</v>
      </c>
    </row>
    <row r="1568" spans="1:17">
      <c r="A1568" s="11">
        <f t="shared" si="66"/>
        <v>70316309</v>
      </c>
      <c r="B1568" s="2" t="s">
        <v>1697</v>
      </c>
      <c r="D1568" s="2" t="str">
        <f>E1568&amp;(VLOOKUP(F1568,编号表!$E$1:$G$8,2,0))&amp;G1568&amp;"_"&amp;H1568&amp;"_"&amp;I1568</f>
        <v>31N6_3_9</v>
      </c>
      <c r="E1568" s="2">
        <v>31</v>
      </c>
      <c r="F1568" s="2" t="s">
        <v>174</v>
      </c>
      <c r="G1568" s="2">
        <v>6</v>
      </c>
      <c r="H1568" s="2">
        <v>3</v>
      </c>
      <c r="I1568" s="2">
        <f>COUNTIFS($E$3:E1568,E1568,$H$3:H1568,H1568)</f>
        <v>9</v>
      </c>
      <c r="N1568" s="11">
        <v>1031201</v>
      </c>
      <c r="O1568" s="11">
        <v>1031301</v>
      </c>
      <c r="P1568" s="11">
        <v>1031401</v>
      </c>
      <c r="Q1568" s="11">
        <v>1031501</v>
      </c>
    </row>
    <row r="1569" spans="1:17">
      <c r="A1569" s="11">
        <f t="shared" si="66"/>
        <v>70312310</v>
      </c>
      <c r="B1569" s="2" t="s">
        <v>1698</v>
      </c>
      <c r="D1569" s="2" t="str">
        <f>E1569&amp;(VLOOKUP(F1569,编号表!$E$1:$G$8,2,0))&amp;G1569&amp;"_"&amp;H1569&amp;"_"&amp;I1569</f>
        <v>31N2_3_10</v>
      </c>
      <c r="E1569" s="2">
        <v>31</v>
      </c>
      <c r="F1569" s="2" t="s">
        <v>174</v>
      </c>
      <c r="G1569" s="2">
        <v>2</v>
      </c>
      <c r="H1569" s="2">
        <v>3</v>
      </c>
      <c r="I1569" s="2">
        <f>COUNTIFS($E$3:E1569,E1569,$H$3:H1569,H1569)</f>
        <v>10</v>
      </c>
      <c r="N1569" s="11">
        <v>1031201</v>
      </c>
      <c r="O1569" s="11">
        <v>1031301</v>
      </c>
      <c r="P1569" s="11">
        <v>1031401</v>
      </c>
      <c r="Q1569" s="11">
        <v>1031501</v>
      </c>
    </row>
    <row r="1570" spans="1:17">
      <c r="A1570" s="11">
        <f t="shared" si="66"/>
        <v>70314311</v>
      </c>
      <c r="B1570" s="2" t="s">
        <v>1699</v>
      </c>
      <c r="D1570" s="2" t="str">
        <f>E1570&amp;(VLOOKUP(F1570,编号表!$E$1:$G$8,2,0))&amp;G1570&amp;"_"&amp;H1570&amp;"_"&amp;I1570</f>
        <v>31N4_3_11</v>
      </c>
      <c r="E1570" s="2">
        <v>31</v>
      </c>
      <c r="F1570" s="2" t="s">
        <v>174</v>
      </c>
      <c r="G1570" s="2">
        <v>4</v>
      </c>
      <c r="H1570" s="2">
        <v>3</v>
      </c>
      <c r="I1570" s="2">
        <f>COUNTIFS($E$3:E1570,E1570,$H$3:H1570,H1570)</f>
        <v>11</v>
      </c>
      <c r="N1570" s="11">
        <v>1031201</v>
      </c>
      <c r="O1570" s="11">
        <v>1031301</v>
      </c>
      <c r="P1570" s="11">
        <v>1031401</v>
      </c>
      <c r="Q1570" s="11">
        <v>1031501</v>
      </c>
    </row>
    <row r="1571" spans="1:17">
      <c r="A1571" s="11">
        <f t="shared" si="66"/>
        <v>70315312</v>
      </c>
      <c r="B1571" s="2" t="s">
        <v>1700</v>
      </c>
      <c r="D1571" s="2" t="str">
        <f>E1571&amp;(VLOOKUP(F1571,编号表!$E$1:$G$8,2,0))&amp;G1571&amp;"_"&amp;H1571&amp;"_"&amp;I1571</f>
        <v>31N5_3_12</v>
      </c>
      <c r="E1571" s="2">
        <v>31</v>
      </c>
      <c r="F1571" s="2" t="s">
        <v>174</v>
      </c>
      <c r="G1571" s="2">
        <v>5</v>
      </c>
      <c r="H1571" s="2">
        <v>3</v>
      </c>
      <c r="I1571" s="2">
        <f>COUNTIFS($E$3:E1571,E1571,$H$3:H1571,H1571)</f>
        <v>12</v>
      </c>
      <c r="N1571" s="11">
        <v>1031201</v>
      </c>
      <c r="O1571" s="11">
        <v>1031301</v>
      </c>
      <c r="P1571" s="11">
        <v>1031401</v>
      </c>
      <c r="Q1571" s="11">
        <v>1031501</v>
      </c>
    </row>
    <row r="1572" spans="1:17">
      <c r="A1572" s="11">
        <f t="shared" si="66"/>
        <v>70314313</v>
      </c>
      <c r="B1572" s="2" t="s">
        <v>1701</v>
      </c>
      <c r="D1572" s="2" t="str">
        <f>E1572&amp;(VLOOKUP(F1572,编号表!$E$1:$G$8,2,0))&amp;G1572&amp;"_"&amp;H1572&amp;"_"&amp;I1572</f>
        <v>31N4_3_13</v>
      </c>
      <c r="E1572" s="2">
        <v>31</v>
      </c>
      <c r="F1572" s="2" t="s">
        <v>174</v>
      </c>
      <c r="G1572" s="2">
        <v>4</v>
      </c>
      <c r="H1572" s="2">
        <v>3</v>
      </c>
      <c r="I1572" s="2">
        <f>COUNTIFS($E$3:E1572,E1572,$H$3:H1572,H1572)</f>
        <v>13</v>
      </c>
      <c r="N1572" s="11">
        <v>1031201</v>
      </c>
      <c r="O1572" s="11">
        <v>1031301</v>
      </c>
      <c r="P1572" s="11">
        <v>1031401</v>
      </c>
      <c r="Q1572" s="11">
        <v>1031501</v>
      </c>
    </row>
    <row r="1573" spans="1:17">
      <c r="A1573" s="11">
        <f t="shared" si="66"/>
        <v>70314401</v>
      </c>
      <c r="B1573" s="2" t="s">
        <v>1702</v>
      </c>
      <c r="D1573" s="2" t="str">
        <f>E1573&amp;(VLOOKUP(F1573,编号表!$E$1:$G$8,2,0))&amp;G1573&amp;"_"&amp;H1573&amp;"_"&amp;I1573</f>
        <v>31N4_4_1</v>
      </c>
      <c r="E1573" s="2">
        <v>31</v>
      </c>
      <c r="F1573" s="2" t="s">
        <v>174</v>
      </c>
      <c r="G1573" s="2">
        <v>4</v>
      </c>
      <c r="H1573" s="2">
        <v>4</v>
      </c>
      <c r="I1573" s="2">
        <f>COUNTIFS($E$3:E1573,E1573,$H$3:H1573,H1573)</f>
        <v>1</v>
      </c>
      <c r="N1573" s="11">
        <v>1031201</v>
      </c>
      <c r="O1573" s="11">
        <v>1031301</v>
      </c>
      <c r="P1573" s="11">
        <v>1031401</v>
      </c>
      <c r="Q1573" s="11">
        <v>1031501</v>
      </c>
    </row>
    <row r="1574" spans="1:17">
      <c r="A1574" s="11">
        <f t="shared" si="66"/>
        <v>70314402</v>
      </c>
      <c r="B1574" s="2" t="s">
        <v>1703</v>
      </c>
      <c r="D1574" s="2" t="str">
        <f>E1574&amp;(VLOOKUP(F1574,编号表!$E$1:$G$8,2,0))&amp;G1574&amp;"_"&amp;H1574&amp;"_"&amp;I1574</f>
        <v>31N4_4_2</v>
      </c>
      <c r="E1574" s="2">
        <v>31</v>
      </c>
      <c r="F1574" s="2" t="s">
        <v>174</v>
      </c>
      <c r="G1574" s="2">
        <v>4</v>
      </c>
      <c r="H1574" s="2">
        <v>4</v>
      </c>
      <c r="I1574" s="2">
        <f>COUNTIFS($E$3:E1574,E1574,$H$3:H1574,H1574)</f>
        <v>2</v>
      </c>
      <c r="N1574" s="11">
        <v>1031201</v>
      </c>
      <c r="O1574" s="11">
        <v>1031301</v>
      </c>
      <c r="P1574" s="11">
        <v>1031401</v>
      </c>
      <c r="Q1574" s="11">
        <v>1031501</v>
      </c>
    </row>
    <row r="1575" spans="1:17">
      <c r="A1575" s="11">
        <f t="shared" si="66"/>
        <v>70315403</v>
      </c>
      <c r="B1575" s="2" t="s">
        <v>1704</v>
      </c>
      <c r="D1575" s="2" t="str">
        <f>E1575&amp;(VLOOKUP(F1575,编号表!$E$1:$G$8,2,0))&amp;G1575&amp;"_"&amp;H1575&amp;"_"&amp;I1575</f>
        <v>31N5_4_3</v>
      </c>
      <c r="E1575" s="2">
        <v>31</v>
      </c>
      <c r="F1575" s="2" t="s">
        <v>174</v>
      </c>
      <c r="G1575" s="2">
        <v>5</v>
      </c>
      <c r="H1575" s="2">
        <v>4</v>
      </c>
      <c r="I1575" s="2">
        <f>COUNTIFS($E$3:E1575,E1575,$H$3:H1575,H1575)</f>
        <v>3</v>
      </c>
      <c r="N1575" s="11">
        <v>1031201</v>
      </c>
      <c r="O1575" s="11">
        <v>1031301</v>
      </c>
      <c r="P1575" s="11">
        <v>1031401</v>
      </c>
      <c r="Q1575" s="11">
        <v>1031501</v>
      </c>
    </row>
    <row r="1576" spans="1:17">
      <c r="A1576" s="11">
        <f t="shared" si="66"/>
        <v>70313404</v>
      </c>
      <c r="B1576" s="2" t="s">
        <v>1705</v>
      </c>
      <c r="D1576" s="2" t="str">
        <f>E1576&amp;(VLOOKUP(F1576,编号表!$E$1:$G$8,2,0))&amp;G1576&amp;"_"&amp;H1576&amp;"_"&amp;I1576</f>
        <v>31N3_4_4</v>
      </c>
      <c r="E1576" s="2">
        <v>31</v>
      </c>
      <c r="F1576" s="2" t="s">
        <v>174</v>
      </c>
      <c r="G1576" s="2">
        <v>3</v>
      </c>
      <c r="H1576" s="2">
        <v>4</v>
      </c>
      <c r="I1576" s="2">
        <f>COUNTIFS($E$3:E1576,E1576,$H$3:H1576,H1576)</f>
        <v>4</v>
      </c>
      <c r="N1576" s="11">
        <v>1031201</v>
      </c>
      <c r="O1576" s="11">
        <v>1031301</v>
      </c>
      <c r="P1576" s="11">
        <v>1031401</v>
      </c>
      <c r="Q1576" s="11">
        <v>1031501</v>
      </c>
    </row>
    <row r="1577" spans="1:17">
      <c r="A1577" s="11">
        <f t="shared" si="66"/>
        <v>70315405</v>
      </c>
      <c r="B1577" s="2" t="s">
        <v>1706</v>
      </c>
      <c r="D1577" s="2" t="str">
        <f>E1577&amp;(VLOOKUP(F1577,编号表!$E$1:$G$8,2,0))&amp;G1577&amp;"_"&amp;H1577&amp;"_"&amp;I1577</f>
        <v>31N5_4_5</v>
      </c>
      <c r="E1577" s="2">
        <v>31</v>
      </c>
      <c r="F1577" s="2" t="s">
        <v>174</v>
      </c>
      <c r="G1577" s="2">
        <v>5</v>
      </c>
      <c r="H1577" s="2">
        <v>4</v>
      </c>
      <c r="I1577" s="2">
        <f>COUNTIFS($E$3:E1577,E1577,$H$3:H1577,H1577)</f>
        <v>5</v>
      </c>
      <c r="N1577" s="11">
        <v>1031201</v>
      </c>
      <c r="O1577" s="11">
        <v>1031301</v>
      </c>
      <c r="P1577" s="11">
        <v>1031401</v>
      </c>
      <c r="Q1577" s="11">
        <v>1031501</v>
      </c>
    </row>
    <row r="1578" spans="1:17">
      <c r="A1578" s="11">
        <f t="shared" si="66"/>
        <v>70313406</v>
      </c>
      <c r="B1578" s="2" t="s">
        <v>1707</v>
      </c>
      <c r="D1578" s="2" t="str">
        <f>E1578&amp;(VLOOKUP(F1578,编号表!$E$1:$G$8,2,0))&amp;G1578&amp;"_"&amp;H1578&amp;"_"&amp;I1578</f>
        <v>31N3_4_6</v>
      </c>
      <c r="E1578" s="2">
        <v>31</v>
      </c>
      <c r="F1578" s="2" t="s">
        <v>174</v>
      </c>
      <c r="G1578" s="2">
        <v>3</v>
      </c>
      <c r="H1578" s="2">
        <v>4</v>
      </c>
      <c r="I1578" s="2">
        <f>COUNTIFS($E$3:E1578,E1578,$H$3:H1578,H1578)</f>
        <v>6</v>
      </c>
      <c r="N1578" s="11">
        <v>1031201</v>
      </c>
      <c r="O1578" s="11">
        <v>1031301</v>
      </c>
      <c r="P1578" s="11">
        <v>1031401</v>
      </c>
      <c r="Q1578" s="11">
        <v>1031501</v>
      </c>
    </row>
    <row r="1579" spans="1:17">
      <c r="A1579" s="11">
        <f t="shared" si="66"/>
        <v>70314407</v>
      </c>
      <c r="B1579" s="2" t="s">
        <v>1708</v>
      </c>
      <c r="D1579" s="2" t="str">
        <f>E1579&amp;(VLOOKUP(F1579,编号表!$E$1:$G$8,2,0))&amp;G1579&amp;"_"&amp;H1579&amp;"_"&amp;I1579</f>
        <v>31N4_4_7</v>
      </c>
      <c r="E1579" s="2">
        <v>31</v>
      </c>
      <c r="F1579" s="2" t="s">
        <v>174</v>
      </c>
      <c r="G1579" s="2">
        <v>4</v>
      </c>
      <c r="H1579" s="2">
        <v>4</v>
      </c>
      <c r="I1579" s="2">
        <f>COUNTIFS($E$3:E1579,E1579,$H$3:H1579,H1579)</f>
        <v>7</v>
      </c>
      <c r="N1579" s="11">
        <v>1031201</v>
      </c>
      <c r="O1579" s="11">
        <v>1031301</v>
      </c>
      <c r="P1579" s="11">
        <v>1031401</v>
      </c>
      <c r="Q1579" s="11">
        <v>1031501</v>
      </c>
    </row>
    <row r="1580" spans="1:17">
      <c r="A1580" s="11">
        <f t="shared" si="66"/>
        <v>70315408</v>
      </c>
      <c r="B1580" s="2" t="s">
        <v>1709</v>
      </c>
      <c r="D1580" s="2" t="str">
        <f>E1580&amp;(VLOOKUP(F1580,编号表!$E$1:$G$8,2,0))&amp;G1580&amp;"_"&amp;H1580&amp;"_"&amp;I1580</f>
        <v>31N5_4_8</v>
      </c>
      <c r="E1580" s="2">
        <v>31</v>
      </c>
      <c r="F1580" s="2" t="s">
        <v>174</v>
      </c>
      <c r="G1580" s="2">
        <v>5</v>
      </c>
      <c r="H1580" s="2">
        <v>4</v>
      </c>
      <c r="I1580" s="2">
        <f>COUNTIFS($E$3:E1580,E1580,$H$3:H1580,H1580)</f>
        <v>8</v>
      </c>
      <c r="N1580" s="11">
        <v>1031201</v>
      </c>
      <c r="O1580" s="11">
        <v>1031301</v>
      </c>
      <c r="P1580" s="11">
        <v>1031401</v>
      </c>
      <c r="Q1580" s="11">
        <v>1031501</v>
      </c>
    </row>
    <row r="1581" spans="1:17">
      <c r="A1581" s="11">
        <f t="shared" si="66"/>
        <v>70313501</v>
      </c>
      <c r="B1581" s="2" t="s">
        <v>1710</v>
      </c>
      <c r="D1581" s="2" t="str">
        <f>E1581&amp;(VLOOKUP(F1581,编号表!$E$1:$G$8,2,0))&amp;G1581&amp;"_"&amp;H1581&amp;"_"&amp;I1581</f>
        <v>31N3_5_1</v>
      </c>
      <c r="E1581" s="2">
        <v>31</v>
      </c>
      <c r="F1581" s="2" t="s">
        <v>174</v>
      </c>
      <c r="G1581" s="2">
        <v>3</v>
      </c>
      <c r="H1581" s="2">
        <v>5</v>
      </c>
      <c r="I1581" s="2">
        <f>COUNTIFS($E$3:E1581,E1581,$H$3:H1581,H1581)</f>
        <v>1</v>
      </c>
      <c r="N1581" s="11">
        <v>1031201</v>
      </c>
      <c r="O1581" s="11">
        <v>1031301</v>
      </c>
      <c r="P1581" s="11">
        <v>1031401</v>
      </c>
      <c r="Q1581" s="11">
        <v>1031501</v>
      </c>
    </row>
    <row r="1582" spans="1:17">
      <c r="A1582" s="11">
        <f t="shared" si="66"/>
        <v>70314502</v>
      </c>
      <c r="B1582" s="2" t="s">
        <v>1711</v>
      </c>
      <c r="D1582" s="2" t="str">
        <f>E1582&amp;(VLOOKUP(F1582,编号表!$E$1:$G$8,2,0))&amp;G1582&amp;"_"&amp;H1582&amp;"_"&amp;I1582</f>
        <v>31N4_5_2</v>
      </c>
      <c r="E1582" s="2">
        <v>31</v>
      </c>
      <c r="F1582" s="2" t="s">
        <v>174</v>
      </c>
      <c r="G1582" s="2">
        <v>4</v>
      </c>
      <c r="H1582" s="2">
        <v>5</v>
      </c>
      <c r="I1582" s="2">
        <f>COUNTIFS($E$3:E1582,E1582,$H$3:H1582,H1582)</f>
        <v>2</v>
      </c>
      <c r="N1582" s="11">
        <v>1031201</v>
      </c>
      <c r="O1582" s="11">
        <v>1031301</v>
      </c>
      <c r="P1582" s="11">
        <v>1031401</v>
      </c>
      <c r="Q1582" s="11">
        <v>1031501</v>
      </c>
    </row>
    <row r="1583" spans="1:17">
      <c r="A1583" s="11">
        <f t="shared" si="66"/>
        <v>70314503</v>
      </c>
      <c r="B1583" s="2" t="s">
        <v>1712</v>
      </c>
      <c r="D1583" s="2" t="str">
        <f>E1583&amp;(VLOOKUP(F1583,编号表!$E$1:$G$8,2,0))&amp;G1583&amp;"_"&amp;H1583&amp;"_"&amp;I1583</f>
        <v>31N4_5_3</v>
      </c>
      <c r="E1583" s="2">
        <v>31</v>
      </c>
      <c r="F1583" s="2" t="s">
        <v>174</v>
      </c>
      <c r="G1583" s="2">
        <v>4</v>
      </c>
      <c r="H1583" s="2">
        <v>5</v>
      </c>
      <c r="I1583" s="2">
        <f>COUNTIFS($E$3:E1583,E1583,$H$3:H1583,H1583)</f>
        <v>3</v>
      </c>
      <c r="N1583" s="11">
        <v>1031201</v>
      </c>
      <c r="O1583" s="11">
        <v>1031301</v>
      </c>
      <c r="P1583" s="11">
        <v>1031401</v>
      </c>
      <c r="Q1583" s="11">
        <v>1031501</v>
      </c>
    </row>
    <row r="1584" spans="1:17">
      <c r="A1584" s="11">
        <f t="shared" si="66"/>
        <v>70314504</v>
      </c>
      <c r="B1584" s="2" t="s">
        <v>1713</v>
      </c>
      <c r="D1584" s="2" t="str">
        <f>E1584&amp;(VLOOKUP(F1584,编号表!$E$1:$G$8,2,0))&amp;G1584&amp;"_"&amp;H1584&amp;"_"&amp;I1584</f>
        <v>31N4_5_4</v>
      </c>
      <c r="E1584" s="2">
        <v>31</v>
      </c>
      <c r="F1584" s="2" t="s">
        <v>174</v>
      </c>
      <c r="G1584" s="2">
        <v>4</v>
      </c>
      <c r="H1584" s="2">
        <v>5</v>
      </c>
      <c r="I1584" s="2">
        <f>COUNTIFS($E$3:E1584,E1584,$H$3:H1584,H1584)</f>
        <v>4</v>
      </c>
      <c r="N1584" s="11">
        <v>1031201</v>
      </c>
      <c r="O1584" s="11">
        <v>1031301</v>
      </c>
      <c r="P1584" s="11">
        <v>1031401</v>
      </c>
      <c r="Q1584" s="11">
        <v>1031501</v>
      </c>
    </row>
    <row r="1585" spans="1:20">
      <c r="A1585" s="11">
        <f t="shared" si="66"/>
        <v>70310001</v>
      </c>
      <c r="B1585" s="24" t="s">
        <v>1714</v>
      </c>
      <c r="D1585" s="2" t="str">
        <f>E1585&amp;(VLOOKUP(F1585,编号表!$E$1:$G$8,2,0))&amp;G1585&amp;"_"&amp;H1585&amp;"_"&amp;I1585</f>
        <v>31J0_0_1</v>
      </c>
      <c r="E1585" s="2">
        <v>31</v>
      </c>
      <c r="F1585" s="2" t="s">
        <v>222</v>
      </c>
      <c r="G1585" s="2">
        <v>0</v>
      </c>
      <c r="H1585" s="2">
        <v>0</v>
      </c>
      <c r="I1585" s="2">
        <f>COUNTIFS($E$3:E1585,E1585,$H$3:H1585,H1585)</f>
        <v>1</v>
      </c>
      <c r="J1585" s="2">
        <v>1</v>
      </c>
    </row>
    <row r="1586" spans="1:20">
      <c r="A1586" s="11">
        <f t="shared" si="66"/>
        <v>70323101</v>
      </c>
      <c r="B1586" s="16" t="s">
        <v>112</v>
      </c>
      <c r="C1586" s="2" t="s">
        <v>1715</v>
      </c>
      <c r="D1586" s="2" t="str">
        <f>E1586&amp;(VLOOKUP(F1586,编号表!$E$1:$G$8,2,0))&amp;G1586&amp;"_"&amp;H1586&amp;"_"&amp;I1586</f>
        <v>32T3_1_1</v>
      </c>
      <c r="E1586" s="2">
        <v>32</v>
      </c>
      <c r="F1586" s="2" t="s">
        <v>190</v>
      </c>
      <c r="G1586" s="2">
        <v>3</v>
      </c>
      <c r="H1586" s="2">
        <v>1</v>
      </c>
      <c r="I1586" s="2">
        <f>COUNTIFS($E$3:E1586,E1586,$H$3:H1586,H1586)</f>
        <v>1</v>
      </c>
      <c r="L1586" s="2">
        <v>165</v>
      </c>
    </row>
    <row r="1587" spans="1:20">
      <c r="A1587" s="11">
        <f t="shared" si="66"/>
        <v>70321102</v>
      </c>
      <c r="B1587" s="15" t="s">
        <v>1716</v>
      </c>
      <c r="D1587" s="2" t="str">
        <f>E1587&amp;(VLOOKUP(F1587,编号表!$E$1:$G$8,2,0))&amp;G1587&amp;"_"&amp;H1587&amp;"_"&amp;I1587</f>
        <v>32T1_1_2</v>
      </c>
      <c r="E1587" s="2">
        <v>32</v>
      </c>
      <c r="F1587" s="2" t="s">
        <v>190</v>
      </c>
      <c r="G1587" s="2">
        <v>1</v>
      </c>
      <c r="H1587" s="2">
        <v>1</v>
      </c>
      <c r="I1587" s="2">
        <f>COUNTIFS($E$3:E1587,E1587,$H$3:H1587,H1587)</f>
        <v>2</v>
      </c>
    </row>
    <row r="1588" spans="1:20">
      <c r="A1588" s="11">
        <f t="shared" si="66"/>
        <v>70324201</v>
      </c>
      <c r="B1588" s="2" t="s">
        <v>1717</v>
      </c>
      <c r="D1588" s="2" t="str">
        <f>E1588&amp;(VLOOKUP(F1588,编号表!$E$1:$G$8,2,0))&amp;G1588&amp;"_"&amp;H1588&amp;"_"&amp;I1588</f>
        <v>32N4_2_1</v>
      </c>
      <c r="E1588" s="2">
        <v>32</v>
      </c>
      <c r="F1588" s="2" t="s">
        <v>174</v>
      </c>
      <c r="G1588" s="2">
        <v>4</v>
      </c>
      <c r="H1588" s="2">
        <v>2</v>
      </c>
      <c r="I1588" s="2">
        <f>COUNTIFS($E$3:E1588,E1588,$H$3:H1588,H1588)</f>
        <v>1</v>
      </c>
      <c r="N1588" s="11">
        <v>1032201</v>
      </c>
      <c r="O1588" s="11">
        <v>1032301</v>
      </c>
      <c r="P1588" s="11">
        <v>1032401</v>
      </c>
      <c r="Q1588" s="11">
        <v>1032501</v>
      </c>
      <c r="R1588" s="11">
        <v>1032601</v>
      </c>
      <c r="S1588" s="11">
        <v>1032001</v>
      </c>
    </row>
    <row r="1589" spans="1:20">
      <c r="A1589" s="11">
        <f t="shared" si="66"/>
        <v>70324202</v>
      </c>
      <c r="B1589" s="2" t="s">
        <v>1718</v>
      </c>
      <c r="D1589" s="2" t="str">
        <f>E1589&amp;(VLOOKUP(F1589,编号表!$E$1:$G$8,2,0))&amp;G1589&amp;"_"&amp;H1589&amp;"_"&amp;I1589</f>
        <v>32N4_2_2</v>
      </c>
      <c r="E1589" s="2">
        <v>32</v>
      </c>
      <c r="F1589" s="2" t="s">
        <v>174</v>
      </c>
      <c r="G1589" s="2">
        <v>4</v>
      </c>
      <c r="H1589" s="2">
        <v>2</v>
      </c>
      <c r="I1589" s="2">
        <f>COUNTIFS($E$3:E1589,E1589,$H$3:H1589,H1589)</f>
        <v>2</v>
      </c>
      <c r="N1589" s="11">
        <v>1032201</v>
      </c>
      <c r="O1589" s="11">
        <v>1032301</v>
      </c>
      <c r="P1589" s="11">
        <v>1032401</v>
      </c>
      <c r="Q1589" s="11">
        <v>1032501</v>
      </c>
      <c r="R1589" s="11">
        <v>1032601</v>
      </c>
      <c r="S1589" s="11">
        <v>1032101</v>
      </c>
    </row>
    <row r="1590" spans="1:20">
      <c r="A1590" s="11">
        <f t="shared" si="66"/>
        <v>70324203</v>
      </c>
      <c r="B1590" s="2" t="s">
        <v>1719</v>
      </c>
      <c r="D1590" s="2" t="str">
        <f>E1590&amp;(VLOOKUP(F1590,编号表!$E$1:$G$8,2,0))&amp;G1590&amp;"_"&amp;H1590&amp;"_"&amp;I1590</f>
        <v>32N4_2_3</v>
      </c>
      <c r="E1590" s="2">
        <v>32</v>
      </c>
      <c r="F1590" s="2" t="s">
        <v>174</v>
      </c>
      <c r="G1590" s="2">
        <v>4</v>
      </c>
      <c r="H1590" s="2">
        <v>2</v>
      </c>
      <c r="I1590" s="2">
        <f>COUNTIFS($E$3:E1590,E1590,$H$3:H1590,H1590)</f>
        <v>3</v>
      </c>
      <c r="N1590" s="11">
        <v>1032201</v>
      </c>
      <c r="O1590" s="11">
        <v>1032301</v>
      </c>
      <c r="P1590" s="11">
        <v>1032401</v>
      </c>
      <c r="Q1590" s="11">
        <v>1032501</v>
      </c>
      <c r="R1590" s="11">
        <v>1032601</v>
      </c>
    </row>
    <row r="1591" spans="1:20">
      <c r="A1591" s="11">
        <f t="shared" si="66"/>
        <v>70324301</v>
      </c>
      <c r="B1591" s="2" t="s">
        <v>1720</v>
      </c>
      <c r="D1591" s="2" t="str">
        <f>E1591&amp;(VLOOKUP(F1591,编号表!$E$1:$G$8,2,0))&amp;G1591&amp;"_"&amp;H1591&amp;"_"&amp;I1591</f>
        <v>32N4_3_1</v>
      </c>
      <c r="E1591" s="2">
        <v>32</v>
      </c>
      <c r="F1591" s="2" t="s">
        <v>174</v>
      </c>
      <c r="G1591" s="2">
        <v>4</v>
      </c>
      <c r="H1591" s="2">
        <v>3</v>
      </c>
      <c r="I1591" s="2">
        <f>COUNTIFS($E$3:E1591,E1591,$H$3:H1591,H1591)</f>
        <v>1</v>
      </c>
      <c r="N1591" s="11">
        <v>1032201</v>
      </c>
      <c r="O1591" s="11">
        <v>1032301</v>
      </c>
      <c r="P1591" s="11">
        <v>1032401</v>
      </c>
      <c r="Q1591" s="11">
        <v>1032501</v>
      </c>
      <c r="R1591" s="11">
        <v>1032601</v>
      </c>
    </row>
    <row r="1592" spans="1:20">
      <c r="A1592" s="11">
        <f t="shared" si="66"/>
        <v>70324302</v>
      </c>
      <c r="B1592" s="2" t="s">
        <v>1721</v>
      </c>
      <c r="D1592" s="2" t="str">
        <f>E1592&amp;(VLOOKUP(F1592,编号表!$E$1:$G$8,2,0))&amp;G1592&amp;"_"&amp;H1592&amp;"_"&amp;I1592</f>
        <v>32N4_3_2</v>
      </c>
      <c r="E1592" s="2">
        <v>32</v>
      </c>
      <c r="F1592" s="2" t="s">
        <v>174</v>
      </c>
      <c r="G1592" s="2">
        <v>4</v>
      </c>
      <c r="H1592" s="2">
        <v>3</v>
      </c>
      <c r="I1592" s="2">
        <f>COUNTIFS($E$3:E1592,E1592,$H$3:H1592,H1592)</f>
        <v>2</v>
      </c>
      <c r="N1592" s="11">
        <v>1032201</v>
      </c>
      <c r="O1592" s="11">
        <v>1032301</v>
      </c>
      <c r="P1592" s="11">
        <v>1032401</v>
      </c>
      <c r="Q1592" s="11">
        <v>1032501</v>
      </c>
      <c r="R1592" s="11">
        <v>1032601</v>
      </c>
    </row>
    <row r="1593" spans="1:20">
      <c r="A1593" s="11">
        <f t="shared" si="66"/>
        <v>70323303</v>
      </c>
      <c r="B1593" s="2" t="s">
        <v>1722</v>
      </c>
      <c r="D1593" s="2" t="str">
        <f>E1593&amp;(VLOOKUP(F1593,编号表!$E$1:$G$8,2,0))&amp;G1593&amp;"_"&amp;H1593&amp;"_"&amp;I1593</f>
        <v>32N3_3_3</v>
      </c>
      <c r="E1593" s="2">
        <v>32</v>
      </c>
      <c r="F1593" s="2" t="s">
        <v>174</v>
      </c>
      <c r="G1593" s="2">
        <v>3</v>
      </c>
      <c r="H1593" s="2">
        <v>3</v>
      </c>
      <c r="I1593" s="2">
        <f>COUNTIFS($E$3:E1593,E1593,$H$3:H1593,H1593)</f>
        <v>3</v>
      </c>
      <c r="N1593" s="11">
        <v>1032201</v>
      </c>
      <c r="O1593" s="11">
        <v>1032301</v>
      </c>
      <c r="P1593" s="11">
        <v>1032401</v>
      </c>
      <c r="Q1593" s="11">
        <v>1032501</v>
      </c>
      <c r="R1593" s="11">
        <v>1032601</v>
      </c>
    </row>
    <row r="1594" spans="1:20">
      <c r="A1594" s="11">
        <f t="shared" si="66"/>
        <v>70321304</v>
      </c>
      <c r="B1594" s="15" t="s">
        <v>1723</v>
      </c>
      <c r="D1594" s="2" t="str">
        <f>E1594&amp;(VLOOKUP(F1594,编号表!$E$1:$G$8,2,0))&amp;G1594&amp;"_"&amp;H1594&amp;"_"&amp;I1594</f>
        <v>32T1_3_4</v>
      </c>
      <c r="E1594" s="2">
        <v>32</v>
      </c>
      <c r="F1594" s="2" t="s">
        <v>190</v>
      </c>
      <c r="G1594" s="2">
        <v>1</v>
      </c>
      <c r="H1594" s="2">
        <v>3</v>
      </c>
      <c r="I1594" s="2">
        <f>COUNTIFS($E$3:E1594,E1594,$H$3:H1594,H1594)</f>
        <v>4</v>
      </c>
      <c r="K1594" s="2">
        <v>1</v>
      </c>
    </row>
    <row r="1595" spans="1:20">
      <c r="A1595" s="11">
        <f t="shared" si="66"/>
        <v>70323305</v>
      </c>
      <c r="B1595" s="16" t="s">
        <v>19</v>
      </c>
      <c r="C1595" s="2" t="s">
        <v>1723</v>
      </c>
      <c r="D1595" s="2" t="str">
        <f>E1595&amp;(VLOOKUP(F1595,编号表!$E$1:$G$8,2,0))&amp;G1595&amp;"_"&amp;H1595&amp;"_"&amp;I1595</f>
        <v>32T3_3_5</v>
      </c>
      <c r="E1595" s="2">
        <v>32</v>
      </c>
      <c r="F1595" s="2" t="s">
        <v>190</v>
      </c>
      <c r="G1595" s="2">
        <v>3</v>
      </c>
      <c r="H1595" s="2">
        <v>3</v>
      </c>
      <c r="I1595" s="2">
        <f>COUNTIFS($E$3:E1595,E1595,$H$3:H1595,H1595)</f>
        <v>5</v>
      </c>
    </row>
    <row r="1596" spans="1:20">
      <c r="A1596" s="11">
        <f t="shared" si="66"/>
        <v>70322306</v>
      </c>
      <c r="B1596" s="2" t="s">
        <v>1724</v>
      </c>
      <c r="D1596" s="2" t="str">
        <f>E1596&amp;(VLOOKUP(F1596,编号表!$E$1:$G$8,2,0))&amp;G1596&amp;"_"&amp;H1596&amp;"_"&amp;I1596</f>
        <v>32N2_3_6</v>
      </c>
      <c r="E1596" s="2">
        <v>32</v>
      </c>
      <c r="F1596" s="2" t="s">
        <v>174</v>
      </c>
      <c r="G1596" s="2">
        <v>2</v>
      </c>
      <c r="H1596" s="2">
        <v>3</v>
      </c>
      <c r="I1596" s="2">
        <f>COUNTIFS($E$3:E1596,E1596,$H$3:H1596,H1596)</f>
        <v>6</v>
      </c>
      <c r="N1596" s="11">
        <v>1032201</v>
      </c>
      <c r="O1596" s="11">
        <v>1032301</v>
      </c>
      <c r="P1596" s="11">
        <v>1032401</v>
      </c>
      <c r="Q1596" s="11">
        <v>1032501</v>
      </c>
      <c r="R1596" s="11">
        <v>1032601</v>
      </c>
    </row>
    <row r="1597" spans="1:20">
      <c r="A1597" s="11">
        <f t="shared" si="66"/>
        <v>70320001</v>
      </c>
      <c r="B1597" s="24" t="s">
        <v>1725</v>
      </c>
      <c r="D1597" s="2" t="str">
        <f>E1597&amp;(VLOOKUP(F1597,编号表!$E$1:$G$8,2,0))&amp;G1597&amp;"_"&amp;H1597&amp;"_"&amp;I1597</f>
        <v>32J0_0_1</v>
      </c>
      <c r="E1597" s="2">
        <v>32</v>
      </c>
      <c r="F1597" s="2" t="s">
        <v>222</v>
      </c>
      <c r="G1597" s="2">
        <v>0</v>
      </c>
      <c r="H1597" s="2">
        <v>0</v>
      </c>
      <c r="I1597" s="2">
        <f>COUNTIFS($E$3:E1597,E1597,$H$3:H1597,H1597)</f>
        <v>1</v>
      </c>
      <c r="J1597" s="2">
        <v>1</v>
      </c>
    </row>
    <row r="1598" spans="1:20">
      <c r="A1598" s="11">
        <f t="shared" si="66"/>
        <v>70335101</v>
      </c>
      <c r="B1598" s="2" t="s">
        <v>1726</v>
      </c>
      <c r="D1598" s="2" t="str">
        <f>E1598&amp;(VLOOKUP(F1598,编号表!$E$1:$G$8,2,0))&amp;G1598&amp;"_"&amp;H1598&amp;"_"&amp;I1598</f>
        <v>33N5_1_1</v>
      </c>
      <c r="E1598" s="2">
        <v>33</v>
      </c>
      <c r="F1598" s="2" t="s">
        <v>174</v>
      </c>
      <c r="G1598" s="2">
        <v>5</v>
      </c>
      <c r="H1598" s="2">
        <v>1</v>
      </c>
      <c r="I1598" s="2">
        <f>COUNTIFS($E$3:E1598,E1598,$H$3:H1598,H1598)</f>
        <v>1</v>
      </c>
      <c r="N1598" s="11">
        <v>1033201</v>
      </c>
      <c r="O1598" s="11">
        <v>1033301</v>
      </c>
      <c r="P1598" s="11">
        <v>1033401</v>
      </c>
      <c r="Q1598" s="11">
        <v>1033501</v>
      </c>
      <c r="R1598" s="11">
        <v>1033601</v>
      </c>
      <c r="S1598" s="11">
        <v>1033701</v>
      </c>
      <c r="T1598" s="11">
        <v>1033001</v>
      </c>
    </row>
    <row r="1599" spans="1:20">
      <c r="A1599" s="11">
        <f t="shared" si="66"/>
        <v>70335102</v>
      </c>
      <c r="B1599" s="2" t="s">
        <v>1727</v>
      </c>
      <c r="D1599" s="2" t="str">
        <f>E1599&amp;(VLOOKUP(F1599,编号表!$E$1:$G$8,2,0))&amp;G1599&amp;"_"&amp;H1599&amp;"_"&amp;I1599</f>
        <v>33N5_1_2</v>
      </c>
      <c r="E1599" s="2">
        <v>33</v>
      </c>
      <c r="F1599" s="2" t="s">
        <v>174</v>
      </c>
      <c r="G1599" s="2">
        <v>5</v>
      </c>
      <c r="H1599" s="2">
        <v>1</v>
      </c>
      <c r="I1599" s="2">
        <f>COUNTIFS($E$3:E1599,E1599,$H$3:H1599,H1599)</f>
        <v>2</v>
      </c>
      <c r="N1599" s="11">
        <v>1033201</v>
      </c>
      <c r="O1599" s="11">
        <v>1033301</v>
      </c>
      <c r="P1599" s="11">
        <v>1033401</v>
      </c>
      <c r="Q1599" s="11">
        <v>1033501</v>
      </c>
      <c r="R1599" s="11">
        <v>1033601</v>
      </c>
      <c r="S1599" s="11">
        <v>1033701</v>
      </c>
      <c r="T1599" s="11">
        <v>1033101</v>
      </c>
    </row>
    <row r="1600" spans="1:20">
      <c r="A1600" s="11">
        <f t="shared" si="66"/>
        <v>70335103</v>
      </c>
      <c r="B1600" s="2" t="s">
        <v>1728</v>
      </c>
      <c r="D1600" s="2" t="str">
        <f>E1600&amp;(VLOOKUP(F1600,编号表!$E$1:$G$8,2,0))&amp;G1600&amp;"_"&amp;H1600&amp;"_"&amp;I1600</f>
        <v>33N5_1_3</v>
      </c>
      <c r="E1600" s="2">
        <v>33</v>
      </c>
      <c r="F1600" s="2" t="s">
        <v>174</v>
      </c>
      <c r="G1600" s="2">
        <v>5</v>
      </c>
      <c r="H1600" s="2">
        <v>1</v>
      </c>
      <c r="I1600" s="2">
        <f>COUNTIFS($E$3:E1600,E1600,$H$3:H1600,H1600)</f>
        <v>3</v>
      </c>
      <c r="N1600" s="11">
        <v>1033201</v>
      </c>
      <c r="O1600" s="11">
        <v>1033301</v>
      </c>
      <c r="P1600" s="11">
        <v>1033401</v>
      </c>
      <c r="Q1600" s="11">
        <v>1033501</v>
      </c>
      <c r="R1600" s="11">
        <v>1033601</v>
      </c>
      <c r="S1600" s="11">
        <v>1033701</v>
      </c>
      <c r="T1600" s="11">
        <v>1033102</v>
      </c>
    </row>
    <row r="1601" spans="1:19">
      <c r="A1601" s="11">
        <f t="shared" ref="A1601:A1664" si="67">70000000+E1601*10000+G1601*1000+H1601*100+I1601</f>
        <v>70335104</v>
      </c>
      <c r="B1601" s="2" t="s">
        <v>1729</v>
      </c>
      <c r="D1601" s="2" t="str">
        <f>E1601&amp;(VLOOKUP(F1601,编号表!$E$1:$G$8,2,0))&amp;G1601&amp;"_"&amp;H1601&amp;"_"&amp;I1601</f>
        <v>33N5_1_4</v>
      </c>
      <c r="E1601" s="2">
        <v>33</v>
      </c>
      <c r="F1601" s="2" t="s">
        <v>174</v>
      </c>
      <c r="G1601" s="2">
        <v>5</v>
      </c>
      <c r="H1601" s="2">
        <v>1</v>
      </c>
      <c r="I1601" s="2">
        <f>COUNTIFS($E$3:E1601,E1601,$H$3:H1601,H1601)</f>
        <v>4</v>
      </c>
      <c r="N1601" s="11">
        <v>1033201</v>
      </c>
      <c r="O1601" s="11">
        <v>1033301</v>
      </c>
      <c r="P1601" s="11">
        <v>1033401</v>
      </c>
      <c r="Q1601" s="11">
        <v>1033501</v>
      </c>
      <c r="R1601" s="11">
        <v>1033601</v>
      </c>
      <c r="S1601" s="11">
        <v>1033701</v>
      </c>
    </row>
    <row r="1602" spans="1:19">
      <c r="A1602" s="11">
        <f t="shared" si="67"/>
        <v>70334105</v>
      </c>
      <c r="B1602" s="2" t="s">
        <v>1730</v>
      </c>
      <c r="D1602" s="2" t="str">
        <f>E1602&amp;(VLOOKUP(F1602,编号表!$E$1:$G$8,2,0))&amp;G1602&amp;"_"&amp;H1602&amp;"_"&amp;I1602</f>
        <v>33N4_1_5</v>
      </c>
      <c r="E1602" s="2">
        <v>33</v>
      </c>
      <c r="F1602" s="2" t="s">
        <v>174</v>
      </c>
      <c r="G1602" s="2">
        <v>4</v>
      </c>
      <c r="H1602" s="2">
        <v>1</v>
      </c>
      <c r="I1602" s="2">
        <f>COUNTIFS($E$3:E1602,E1602,$H$3:H1602,H1602)</f>
        <v>5</v>
      </c>
      <c r="N1602" s="11">
        <v>1033201</v>
      </c>
      <c r="O1602" s="11">
        <v>1033301</v>
      </c>
      <c r="P1602" s="11">
        <v>1033401</v>
      </c>
      <c r="Q1602" s="11">
        <v>1033501</v>
      </c>
      <c r="R1602" s="11">
        <v>1033601</v>
      </c>
      <c r="S1602" s="11">
        <v>1033701</v>
      </c>
    </row>
    <row r="1603" spans="1:19">
      <c r="A1603" s="11">
        <f t="shared" si="67"/>
        <v>70335106</v>
      </c>
      <c r="B1603" s="2" t="s">
        <v>1731</v>
      </c>
      <c r="D1603" s="2" t="str">
        <f>E1603&amp;(VLOOKUP(F1603,编号表!$E$1:$G$8,2,0))&amp;G1603&amp;"_"&amp;H1603&amp;"_"&amp;I1603</f>
        <v>33N5_1_6</v>
      </c>
      <c r="E1603" s="2">
        <v>33</v>
      </c>
      <c r="F1603" s="2" t="s">
        <v>174</v>
      </c>
      <c r="G1603" s="2">
        <v>5</v>
      </c>
      <c r="H1603" s="2">
        <v>1</v>
      </c>
      <c r="I1603" s="2">
        <f>COUNTIFS($E$3:E1603,E1603,$H$3:H1603,H1603)</f>
        <v>6</v>
      </c>
      <c r="N1603" s="11">
        <v>1033201</v>
      </c>
      <c r="O1603" s="11">
        <v>1033301</v>
      </c>
      <c r="P1603" s="11">
        <v>1033401</v>
      </c>
      <c r="Q1603" s="11">
        <v>1033501</v>
      </c>
      <c r="R1603" s="11">
        <v>1033601</v>
      </c>
      <c r="S1603" s="11">
        <v>1033701</v>
      </c>
    </row>
    <row r="1604" spans="1:19">
      <c r="A1604" s="11">
        <f t="shared" si="67"/>
        <v>70333107</v>
      </c>
      <c r="B1604" s="2" t="s">
        <v>1732</v>
      </c>
      <c r="D1604" s="2" t="str">
        <f>E1604&amp;(VLOOKUP(F1604,编号表!$E$1:$G$8,2,0))&amp;G1604&amp;"_"&amp;H1604&amp;"_"&amp;I1604</f>
        <v>33N3_1_7</v>
      </c>
      <c r="E1604" s="2">
        <v>33</v>
      </c>
      <c r="F1604" s="2" t="s">
        <v>174</v>
      </c>
      <c r="G1604" s="2">
        <v>3</v>
      </c>
      <c r="H1604" s="2">
        <v>1</v>
      </c>
      <c r="I1604" s="2">
        <f>COUNTIFS($E$3:E1604,E1604,$H$3:H1604,H1604)</f>
        <v>7</v>
      </c>
      <c r="N1604" s="11">
        <v>1033201</v>
      </c>
      <c r="O1604" s="11">
        <v>1033301</v>
      </c>
      <c r="P1604" s="11">
        <v>1033401</v>
      </c>
      <c r="Q1604" s="11">
        <v>1033501</v>
      </c>
      <c r="R1604" s="11">
        <v>1033601</v>
      </c>
      <c r="S1604" s="11">
        <v>1033701</v>
      </c>
    </row>
    <row r="1605" spans="1:19">
      <c r="A1605" s="11">
        <f t="shared" si="67"/>
        <v>70334201</v>
      </c>
      <c r="B1605" s="2" t="s">
        <v>1733</v>
      </c>
      <c r="D1605" s="2" t="str">
        <f>E1605&amp;(VLOOKUP(F1605,编号表!$E$1:$G$8,2,0))&amp;G1605&amp;"_"&amp;H1605&amp;"_"&amp;I1605</f>
        <v>33N4_2_1</v>
      </c>
      <c r="E1605" s="2">
        <v>33</v>
      </c>
      <c r="F1605" s="2" t="s">
        <v>174</v>
      </c>
      <c r="G1605" s="2">
        <v>4</v>
      </c>
      <c r="H1605" s="2">
        <v>2</v>
      </c>
      <c r="I1605" s="2">
        <f>COUNTIFS($E$3:E1605,E1605,$H$3:H1605,H1605)</f>
        <v>1</v>
      </c>
      <c r="N1605" s="11">
        <v>1033201</v>
      </c>
      <c r="O1605" s="11">
        <v>1033301</v>
      </c>
      <c r="P1605" s="11">
        <v>1033401</v>
      </c>
      <c r="Q1605" s="11">
        <v>1033501</v>
      </c>
      <c r="R1605" s="11">
        <v>1033601</v>
      </c>
      <c r="S1605" s="11">
        <v>1033701</v>
      </c>
    </row>
    <row r="1606" spans="1:19">
      <c r="A1606" s="11">
        <f t="shared" si="67"/>
        <v>70335202</v>
      </c>
      <c r="B1606" s="2" t="s">
        <v>1734</v>
      </c>
      <c r="D1606" s="2" t="str">
        <f>E1606&amp;(VLOOKUP(F1606,编号表!$E$1:$G$8,2,0))&amp;G1606&amp;"_"&amp;H1606&amp;"_"&amp;I1606</f>
        <v>33N5_2_2</v>
      </c>
      <c r="E1606" s="2">
        <v>33</v>
      </c>
      <c r="F1606" s="2" t="s">
        <v>174</v>
      </c>
      <c r="G1606" s="2">
        <v>5</v>
      </c>
      <c r="H1606" s="2">
        <v>2</v>
      </c>
      <c r="I1606" s="2">
        <f>COUNTIFS($E$3:E1606,E1606,$H$3:H1606,H1606)</f>
        <v>2</v>
      </c>
      <c r="N1606" s="11">
        <v>1033201</v>
      </c>
      <c r="O1606" s="11">
        <v>1033301</v>
      </c>
      <c r="P1606" s="11">
        <v>1033401</v>
      </c>
      <c r="Q1606" s="11">
        <v>1033501</v>
      </c>
      <c r="R1606" s="11">
        <v>1033601</v>
      </c>
      <c r="S1606" s="11">
        <v>1033701</v>
      </c>
    </row>
    <row r="1607" spans="1:19">
      <c r="A1607" s="11">
        <f t="shared" si="67"/>
        <v>70335203</v>
      </c>
      <c r="B1607" s="2" t="s">
        <v>1735</v>
      </c>
      <c r="D1607" s="2" t="str">
        <f>E1607&amp;(VLOOKUP(F1607,编号表!$E$1:$G$8,2,0))&amp;G1607&amp;"_"&amp;H1607&amp;"_"&amp;I1607</f>
        <v>33N5_2_3</v>
      </c>
      <c r="E1607" s="2">
        <v>33</v>
      </c>
      <c r="F1607" s="2" t="s">
        <v>174</v>
      </c>
      <c r="G1607" s="2">
        <v>5</v>
      </c>
      <c r="H1607" s="2">
        <v>2</v>
      </c>
      <c r="I1607" s="2">
        <f>COUNTIFS($E$3:E1607,E1607,$H$3:H1607,H1607)</f>
        <v>3</v>
      </c>
      <c r="N1607" s="11">
        <v>1033201</v>
      </c>
      <c r="O1607" s="11">
        <v>1033301</v>
      </c>
      <c r="P1607" s="11">
        <v>1033401</v>
      </c>
      <c r="Q1607" s="11">
        <v>1033501</v>
      </c>
      <c r="R1607" s="11">
        <v>1033601</v>
      </c>
      <c r="S1607" s="11">
        <v>1033701</v>
      </c>
    </row>
    <row r="1608" spans="1:19">
      <c r="A1608" s="11">
        <f t="shared" si="67"/>
        <v>70335204</v>
      </c>
      <c r="B1608" s="2" t="s">
        <v>1736</v>
      </c>
      <c r="D1608" s="2" t="str">
        <f>E1608&amp;(VLOOKUP(F1608,编号表!$E$1:$G$8,2,0))&amp;G1608&amp;"_"&amp;H1608&amp;"_"&amp;I1608</f>
        <v>33N5_2_4</v>
      </c>
      <c r="E1608" s="2">
        <v>33</v>
      </c>
      <c r="F1608" s="2" t="s">
        <v>174</v>
      </c>
      <c r="G1608" s="2">
        <v>5</v>
      </c>
      <c r="H1608" s="2">
        <v>2</v>
      </c>
      <c r="I1608" s="2">
        <f>COUNTIFS($E$3:E1608,E1608,$H$3:H1608,H1608)</f>
        <v>4</v>
      </c>
      <c r="N1608" s="11">
        <v>1033201</v>
      </c>
      <c r="O1608" s="11">
        <v>1033301</v>
      </c>
      <c r="P1608" s="11">
        <v>1033401</v>
      </c>
      <c r="Q1608" s="11">
        <v>1033501</v>
      </c>
      <c r="R1608" s="11">
        <v>1033601</v>
      </c>
      <c r="S1608" s="11">
        <v>1033701</v>
      </c>
    </row>
    <row r="1609" spans="1:19">
      <c r="A1609" s="11">
        <f t="shared" si="67"/>
        <v>70334205</v>
      </c>
      <c r="B1609" s="2" t="s">
        <v>1737</v>
      </c>
      <c r="D1609" s="2" t="str">
        <f>E1609&amp;(VLOOKUP(F1609,编号表!$E$1:$G$8,2,0))&amp;G1609&amp;"_"&amp;H1609&amp;"_"&amp;I1609</f>
        <v>33N4_2_5</v>
      </c>
      <c r="E1609" s="2">
        <v>33</v>
      </c>
      <c r="F1609" s="2" t="s">
        <v>174</v>
      </c>
      <c r="G1609" s="2">
        <v>4</v>
      </c>
      <c r="H1609" s="2">
        <v>2</v>
      </c>
      <c r="I1609" s="2">
        <f>COUNTIFS($E$3:E1609,E1609,$H$3:H1609,H1609)</f>
        <v>5</v>
      </c>
      <c r="N1609" s="11">
        <v>1033201</v>
      </c>
      <c r="O1609" s="11">
        <v>1033301</v>
      </c>
      <c r="P1609" s="11">
        <v>1033401</v>
      </c>
      <c r="Q1609" s="11">
        <v>1033501</v>
      </c>
      <c r="R1609" s="11">
        <v>1033601</v>
      </c>
      <c r="S1609" s="11">
        <v>1033701</v>
      </c>
    </row>
    <row r="1610" spans="1:19">
      <c r="A1610" s="11">
        <f t="shared" si="67"/>
        <v>70333206</v>
      </c>
      <c r="B1610" s="2" t="s">
        <v>1738</v>
      </c>
      <c r="D1610" s="2" t="str">
        <f>E1610&amp;(VLOOKUP(F1610,编号表!$E$1:$G$8,2,0))&amp;G1610&amp;"_"&amp;H1610&amp;"_"&amp;I1610</f>
        <v>33N3_2_6</v>
      </c>
      <c r="E1610" s="2">
        <v>33</v>
      </c>
      <c r="F1610" s="2" t="s">
        <v>174</v>
      </c>
      <c r="G1610" s="2">
        <v>3</v>
      </c>
      <c r="H1610" s="2">
        <v>2</v>
      </c>
      <c r="I1610" s="2">
        <f>COUNTIFS($E$3:E1610,E1610,$H$3:H1610,H1610)</f>
        <v>6</v>
      </c>
      <c r="N1610" s="11">
        <v>1033201</v>
      </c>
      <c r="O1610" s="11">
        <v>1033301</v>
      </c>
      <c r="P1610" s="11">
        <v>1033401</v>
      </c>
      <c r="Q1610" s="11">
        <v>1033501</v>
      </c>
      <c r="R1610" s="11">
        <v>1033601</v>
      </c>
      <c r="S1610" s="11">
        <v>1033701</v>
      </c>
    </row>
    <row r="1611" spans="1:19">
      <c r="A1611" s="11">
        <f t="shared" si="67"/>
        <v>70335207</v>
      </c>
      <c r="B1611" s="2" t="s">
        <v>1739</v>
      </c>
      <c r="D1611" s="2" t="str">
        <f>E1611&amp;(VLOOKUP(F1611,编号表!$E$1:$G$8,2,0))&amp;G1611&amp;"_"&amp;H1611&amp;"_"&amp;I1611</f>
        <v>33N5_2_7</v>
      </c>
      <c r="E1611" s="2">
        <v>33</v>
      </c>
      <c r="F1611" s="2" t="s">
        <v>174</v>
      </c>
      <c r="G1611" s="2">
        <v>5</v>
      </c>
      <c r="H1611" s="2">
        <v>2</v>
      </c>
      <c r="I1611" s="2">
        <f>COUNTIFS($E$3:E1611,E1611,$H$3:H1611,H1611)</f>
        <v>7</v>
      </c>
      <c r="N1611" s="11">
        <v>1033201</v>
      </c>
      <c r="O1611" s="11">
        <v>1033301</v>
      </c>
      <c r="P1611" s="11">
        <v>1033401</v>
      </c>
      <c r="Q1611" s="11">
        <v>1033501</v>
      </c>
      <c r="R1611" s="11">
        <v>1033601</v>
      </c>
      <c r="S1611" s="11">
        <v>1033701</v>
      </c>
    </row>
    <row r="1612" spans="1:19">
      <c r="A1612" s="11">
        <f t="shared" si="67"/>
        <v>70331208</v>
      </c>
      <c r="B1612" s="15" t="s">
        <v>1715</v>
      </c>
      <c r="D1612" s="2" t="str">
        <f>E1612&amp;(VLOOKUP(F1612,编号表!$E$1:$G$8,2,0))&amp;G1612&amp;"_"&amp;H1612&amp;"_"&amp;I1612</f>
        <v>33T1_2_8</v>
      </c>
      <c r="E1612" s="2">
        <v>33</v>
      </c>
      <c r="F1612" s="2" t="s">
        <v>190</v>
      </c>
      <c r="G1612" s="2">
        <v>1</v>
      </c>
      <c r="H1612" s="2">
        <v>2</v>
      </c>
      <c r="I1612" s="2">
        <f>COUNTIFS($E$3:E1612,E1612,$H$3:H1612,H1612)</f>
        <v>8</v>
      </c>
      <c r="K1612" s="2">
        <v>1</v>
      </c>
    </row>
    <row r="1613" spans="1:19">
      <c r="A1613" s="11">
        <f t="shared" si="67"/>
        <v>70333209</v>
      </c>
      <c r="B1613" s="16" t="s">
        <v>109</v>
      </c>
      <c r="C1613" s="2" t="s">
        <v>1716</v>
      </c>
      <c r="D1613" s="2" t="str">
        <f>E1613&amp;(VLOOKUP(F1613,编号表!$E$1:$G$8,2,0))&amp;G1613&amp;"_"&amp;H1613&amp;"_"&amp;I1613</f>
        <v>33T3_2_9</v>
      </c>
      <c r="E1613" s="2">
        <v>33</v>
      </c>
      <c r="F1613" s="2" t="s">
        <v>190</v>
      </c>
      <c r="G1613" s="2">
        <v>3</v>
      </c>
      <c r="H1613" s="2">
        <v>2</v>
      </c>
      <c r="I1613" s="2">
        <f>COUNTIFS($E$3:E1613,E1613,$H$3:H1613,H1613)</f>
        <v>9</v>
      </c>
      <c r="L1613" s="2">
        <v>166</v>
      </c>
    </row>
    <row r="1614" spans="1:19">
      <c r="A1614" s="11">
        <f t="shared" si="67"/>
        <v>70333210</v>
      </c>
      <c r="B1614" s="2" t="s">
        <v>1740</v>
      </c>
      <c r="D1614" s="2" t="str">
        <f>E1614&amp;(VLOOKUP(F1614,编号表!$E$1:$G$8,2,0))&amp;G1614&amp;"_"&amp;H1614&amp;"_"&amp;I1614</f>
        <v>33N3_2_10</v>
      </c>
      <c r="E1614" s="2">
        <v>33</v>
      </c>
      <c r="F1614" s="2" t="s">
        <v>174</v>
      </c>
      <c r="G1614" s="2">
        <v>3</v>
      </c>
      <c r="H1614" s="2">
        <v>2</v>
      </c>
      <c r="I1614" s="2">
        <f>COUNTIFS($E$3:E1614,E1614,$H$3:H1614,H1614)</f>
        <v>10</v>
      </c>
      <c r="N1614" s="11">
        <v>1033201</v>
      </c>
      <c r="O1614" s="11">
        <v>1033301</v>
      </c>
      <c r="P1614" s="11">
        <v>1033401</v>
      </c>
      <c r="Q1614" s="11">
        <v>1033501</v>
      </c>
      <c r="R1614" s="11">
        <v>1033601</v>
      </c>
      <c r="S1614" s="11">
        <v>1033701</v>
      </c>
    </row>
    <row r="1615" spans="1:19">
      <c r="A1615" s="11">
        <f t="shared" si="67"/>
        <v>70334301</v>
      </c>
      <c r="B1615" s="2" t="s">
        <v>1741</v>
      </c>
      <c r="D1615" s="2" t="str">
        <f>E1615&amp;(VLOOKUP(F1615,编号表!$E$1:$G$8,2,0))&amp;G1615&amp;"_"&amp;H1615&amp;"_"&amp;I1615</f>
        <v>33N4_3_1</v>
      </c>
      <c r="E1615" s="2">
        <v>33</v>
      </c>
      <c r="F1615" s="2" t="s">
        <v>174</v>
      </c>
      <c r="G1615" s="2">
        <v>4</v>
      </c>
      <c r="H1615" s="2">
        <v>3</v>
      </c>
      <c r="I1615" s="2">
        <f>COUNTIFS($E$3:E1615,E1615,$H$3:H1615,H1615)</f>
        <v>1</v>
      </c>
      <c r="N1615" s="11">
        <v>1033201</v>
      </c>
      <c r="O1615" s="11">
        <v>1033301</v>
      </c>
      <c r="P1615" s="11">
        <v>1033401</v>
      </c>
      <c r="Q1615" s="11">
        <v>1033501</v>
      </c>
      <c r="R1615" s="11">
        <v>1033601</v>
      </c>
      <c r="S1615" s="11">
        <v>1033701</v>
      </c>
    </row>
    <row r="1616" spans="1:19">
      <c r="A1616" s="11">
        <f t="shared" si="67"/>
        <v>70333302</v>
      </c>
      <c r="B1616" s="2" t="s">
        <v>1742</v>
      </c>
      <c r="D1616" s="2" t="str">
        <f>E1616&amp;(VLOOKUP(F1616,编号表!$E$1:$G$8,2,0))&amp;G1616&amp;"_"&amp;H1616&amp;"_"&amp;I1616</f>
        <v>33N3_3_2</v>
      </c>
      <c r="E1616" s="2">
        <v>33</v>
      </c>
      <c r="F1616" s="2" t="s">
        <v>174</v>
      </c>
      <c r="G1616" s="2">
        <v>3</v>
      </c>
      <c r="H1616" s="2">
        <v>3</v>
      </c>
      <c r="I1616" s="2">
        <f>COUNTIFS($E$3:E1616,E1616,$H$3:H1616,H1616)</f>
        <v>2</v>
      </c>
      <c r="N1616" s="11">
        <v>1033201</v>
      </c>
      <c r="O1616" s="11">
        <v>1033301</v>
      </c>
      <c r="P1616" s="11">
        <v>1033401</v>
      </c>
      <c r="Q1616" s="11">
        <v>1033501</v>
      </c>
      <c r="R1616" s="11">
        <v>1033601</v>
      </c>
      <c r="S1616" s="11">
        <v>1033701</v>
      </c>
    </row>
    <row r="1617" spans="1:19">
      <c r="A1617" s="11">
        <f t="shared" si="67"/>
        <v>70332303</v>
      </c>
      <c r="B1617" s="2" t="s">
        <v>1743</v>
      </c>
      <c r="D1617" s="2" t="str">
        <f>E1617&amp;(VLOOKUP(F1617,编号表!$E$1:$G$8,2,0))&amp;G1617&amp;"_"&amp;H1617&amp;"_"&amp;I1617</f>
        <v>33N2_3_3</v>
      </c>
      <c r="E1617" s="2">
        <v>33</v>
      </c>
      <c r="F1617" s="2" t="s">
        <v>174</v>
      </c>
      <c r="G1617" s="2">
        <v>2</v>
      </c>
      <c r="H1617" s="2">
        <v>3</v>
      </c>
      <c r="I1617" s="2">
        <f>COUNTIFS($E$3:E1617,E1617,$H$3:H1617,H1617)</f>
        <v>3</v>
      </c>
      <c r="N1617" s="11">
        <v>1033201</v>
      </c>
      <c r="O1617" s="11">
        <v>1033301</v>
      </c>
      <c r="P1617" s="11">
        <v>1033401</v>
      </c>
      <c r="Q1617" s="11">
        <v>1033501</v>
      </c>
      <c r="R1617" s="11">
        <v>1033601</v>
      </c>
      <c r="S1617" s="11">
        <v>1033701</v>
      </c>
    </row>
    <row r="1618" spans="1:19">
      <c r="A1618" s="11">
        <f t="shared" si="67"/>
        <v>70332304</v>
      </c>
      <c r="B1618" s="2" t="s">
        <v>1744</v>
      </c>
      <c r="D1618" s="2" t="str">
        <f>E1618&amp;(VLOOKUP(F1618,编号表!$E$1:$G$8,2,0))&amp;G1618&amp;"_"&amp;H1618&amp;"_"&amp;I1618</f>
        <v>33N2_3_4</v>
      </c>
      <c r="E1618" s="2">
        <v>33</v>
      </c>
      <c r="F1618" s="2" t="s">
        <v>174</v>
      </c>
      <c r="G1618" s="2">
        <v>2</v>
      </c>
      <c r="H1618" s="2">
        <v>3</v>
      </c>
      <c r="I1618" s="2">
        <f>COUNTIFS($E$3:E1618,E1618,$H$3:H1618,H1618)</f>
        <v>4</v>
      </c>
      <c r="N1618" s="11">
        <v>1033201</v>
      </c>
      <c r="O1618" s="11">
        <v>1033301</v>
      </c>
      <c r="P1618" s="11">
        <v>1033401</v>
      </c>
      <c r="Q1618" s="11">
        <v>1033501</v>
      </c>
      <c r="R1618" s="11">
        <v>1033601</v>
      </c>
      <c r="S1618" s="11">
        <v>1033701</v>
      </c>
    </row>
    <row r="1619" spans="1:19">
      <c r="A1619" s="11">
        <f t="shared" si="67"/>
        <v>70333305</v>
      </c>
      <c r="B1619" s="2" t="s">
        <v>1745</v>
      </c>
      <c r="D1619" s="2" t="str">
        <f>E1619&amp;(VLOOKUP(F1619,编号表!$E$1:$G$8,2,0))&amp;G1619&amp;"_"&amp;H1619&amp;"_"&amp;I1619</f>
        <v>33N3_3_5</v>
      </c>
      <c r="E1619" s="2">
        <v>33</v>
      </c>
      <c r="F1619" s="2" t="s">
        <v>174</v>
      </c>
      <c r="G1619" s="2">
        <v>3</v>
      </c>
      <c r="H1619" s="2">
        <v>3</v>
      </c>
      <c r="I1619" s="2">
        <f>COUNTIFS($E$3:E1619,E1619,$H$3:H1619,H1619)</f>
        <v>5</v>
      </c>
      <c r="N1619" s="11">
        <v>1033201</v>
      </c>
      <c r="O1619" s="11">
        <v>1033301</v>
      </c>
      <c r="P1619" s="11">
        <v>1033401</v>
      </c>
      <c r="Q1619" s="11">
        <v>1033501</v>
      </c>
      <c r="R1619" s="11">
        <v>1033601</v>
      </c>
      <c r="S1619" s="11">
        <v>1033701</v>
      </c>
    </row>
    <row r="1620" spans="1:19">
      <c r="A1620" s="11">
        <f t="shared" si="67"/>
        <v>70332306</v>
      </c>
      <c r="B1620" s="2" t="s">
        <v>1746</v>
      </c>
      <c r="D1620" s="2" t="str">
        <f>E1620&amp;(VLOOKUP(F1620,编号表!$E$1:$G$8,2,0))&amp;G1620&amp;"_"&amp;H1620&amp;"_"&amp;I1620</f>
        <v>33N2_3_6</v>
      </c>
      <c r="E1620" s="2">
        <v>33</v>
      </c>
      <c r="F1620" s="2" t="s">
        <v>174</v>
      </c>
      <c r="G1620" s="2">
        <v>2</v>
      </c>
      <c r="H1620" s="2">
        <v>3</v>
      </c>
      <c r="I1620" s="2">
        <f>COUNTIFS($E$3:E1620,E1620,$H$3:H1620,H1620)</f>
        <v>6</v>
      </c>
      <c r="N1620" s="11">
        <v>1033201</v>
      </c>
      <c r="O1620" s="11">
        <v>1033301</v>
      </c>
      <c r="P1620" s="11">
        <v>1033401</v>
      </c>
      <c r="Q1620" s="11">
        <v>1033501</v>
      </c>
      <c r="R1620" s="11">
        <v>1033601</v>
      </c>
      <c r="S1620" s="11">
        <v>1033701</v>
      </c>
    </row>
    <row r="1621" spans="1:19">
      <c r="A1621" s="11">
        <f t="shared" si="67"/>
        <v>70332307</v>
      </c>
      <c r="B1621" s="2" t="s">
        <v>1747</v>
      </c>
      <c r="D1621" s="2" t="str">
        <f>E1621&amp;(VLOOKUP(F1621,编号表!$E$1:$G$8,2,0))&amp;G1621&amp;"_"&amp;H1621&amp;"_"&amp;I1621</f>
        <v>33N2_3_7</v>
      </c>
      <c r="E1621" s="2">
        <v>33</v>
      </c>
      <c r="F1621" s="2" t="s">
        <v>174</v>
      </c>
      <c r="G1621" s="2">
        <v>2</v>
      </c>
      <c r="H1621" s="2">
        <v>3</v>
      </c>
      <c r="I1621" s="2">
        <f>COUNTIFS($E$3:E1621,E1621,$H$3:H1621,H1621)</f>
        <v>7</v>
      </c>
      <c r="N1621" s="11">
        <v>1033201</v>
      </c>
      <c r="O1621" s="11">
        <v>1033301</v>
      </c>
      <c r="P1621" s="11">
        <v>1033401</v>
      </c>
      <c r="Q1621" s="11">
        <v>1033501</v>
      </c>
      <c r="R1621" s="11">
        <v>1033601</v>
      </c>
      <c r="S1621" s="11">
        <v>1033701</v>
      </c>
    </row>
    <row r="1622" spans="1:19">
      <c r="A1622" s="11">
        <f t="shared" si="67"/>
        <v>70334308</v>
      </c>
      <c r="B1622" s="2" t="s">
        <v>1748</v>
      </c>
      <c r="D1622" s="2" t="str">
        <f>E1622&amp;(VLOOKUP(F1622,编号表!$E$1:$G$8,2,0))&amp;G1622&amp;"_"&amp;H1622&amp;"_"&amp;I1622</f>
        <v>33N4_3_8</v>
      </c>
      <c r="E1622" s="2">
        <v>33</v>
      </c>
      <c r="F1622" s="2" t="s">
        <v>174</v>
      </c>
      <c r="G1622" s="2">
        <v>4</v>
      </c>
      <c r="H1622" s="2">
        <v>3</v>
      </c>
      <c r="I1622" s="2">
        <f>COUNTIFS($E$3:E1622,E1622,$H$3:H1622,H1622)</f>
        <v>8</v>
      </c>
      <c r="N1622" s="11">
        <v>1033201</v>
      </c>
      <c r="O1622" s="11">
        <v>1033301</v>
      </c>
      <c r="P1622" s="11">
        <v>1033401</v>
      </c>
      <c r="Q1622" s="11">
        <v>1033501</v>
      </c>
      <c r="R1622" s="11">
        <v>1033601</v>
      </c>
      <c r="S1622" s="11">
        <v>1033701</v>
      </c>
    </row>
    <row r="1623" spans="1:19">
      <c r="A1623" s="11">
        <f t="shared" si="67"/>
        <v>70332309</v>
      </c>
      <c r="B1623" s="2" t="s">
        <v>1749</v>
      </c>
      <c r="D1623" s="2" t="str">
        <f>E1623&amp;(VLOOKUP(F1623,编号表!$E$1:$G$8,2,0))&amp;G1623&amp;"_"&amp;H1623&amp;"_"&amp;I1623</f>
        <v>33N2_3_9</v>
      </c>
      <c r="E1623" s="2">
        <v>33</v>
      </c>
      <c r="F1623" s="2" t="s">
        <v>174</v>
      </c>
      <c r="G1623" s="2">
        <v>2</v>
      </c>
      <c r="H1623" s="2">
        <v>3</v>
      </c>
      <c r="I1623" s="2">
        <f>COUNTIFS($E$3:E1623,E1623,$H$3:H1623,H1623)</f>
        <v>9</v>
      </c>
      <c r="N1623" s="11">
        <v>1033201</v>
      </c>
      <c r="O1623" s="11">
        <v>1033301</v>
      </c>
      <c r="P1623" s="11">
        <v>1033401</v>
      </c>
      <c r="Q1623" s="11">
        <v>1033501</v>
      </c>
      <c r="R1623" s="11">
        <v>1033601</v>
      </c>
      <c r="S1623" s="11">
        <v>1033701</v>
      </c>
    </row>
    <row r="1624" spans="1:19">
      <c r="A1624" s="11">
        <f t="shared" si="67"/>
        <v>70335310</v>
      </c>
      <c r="B1624" s="2" t="s">
        <v>1750</v>
      </c>
      <c r="D1624" s="2" t="str">
        <f>E1624&amp;(VLOOKUP(F1624,编号表!$E$1:$G$8,2,0))&amp;G1624&amp;"_"&amp;H1624&amp;"_"&amp;I1624</f>
        <v>33N5_3_10</v>
      </c>
      <c r="E1624" s="2">
        <v>33</v>
      </c>
      <c r="F1624" s="2" t="s">
        <v>174</v>
      </c>
      <c r="G1624" s="2">
        <v>5</v>
      </c>
      <c r="H1624" s="2">
        <v>3</v>
      </c>
      <c r="I1624" s="2">
        <f>COUNTIFS($E$3:E1624,E1624,$H$3:H1624,H1624)</f>
        <v>10</v>
      </c>
      <c r="N1624" s="11">
        <v>1033201</v>
      </c>
      <c r="O1624" s="11">
        <v>1033301</v>
      </c>
      <c r="P1624" s="11">
        <v>1033401</v>
      </c>
      <c r="Q1624" s="11">
        <v>1033501</v>
      </c>
      <c r="R1624" s="11">
        <v>1033601</v>
      </c>
      <c r="S1624" s="11">
        <v>1033701</v>
      </c>
    </row>
    <row r="1625" spans="1:19">
      <c r="A1625" s="11">
        <f t="shared" si="67"/>
        <v>70334311</v>
      </c>
      <c r="B1625" s="2" t="s">
        <v>1751</v>
      </c>
      <c r="D1625" s="2" t="str">
        <f>E1625&amp;(VLOOKUP(F1625,编号表!$E$1:$G$8,2,0))&amp;G1625&amp;"_"&amp;H1625&amp;"_"&amp;I1625</f>
        <v>33N4_3_11</v>
      </c>
      <c r="E1625" s="2">
        <v>33</v>
      </c>
      <c r="F1625" s="2" t="s">
        <v>174</v>
      </c>
      <c r="G1625" s="2">
        <v>4</v>
      </c>
      <c r="H1625" s="2">
        <v>3</v>
      </c>
      <c r="I1625" s="2">
        <f>COUNTIFS($E$3:E1625,E1625,$H$3:H1625,H1625)</f>
        <v>11</v>
      </c>
      <c r="N1625" s="11">
        <v>1033201</v>
      </c>
      <c r="O1625" s="11">
        <v>1033301</v>
      </c>
      <c r="P1625" s="11">
        <v>1033401</v>
      </c>
      <c r="Q1625" s="11">
        <v>1033501</v>
      </c>
      <c r="R1625" s="11">
        <v>1033601</v>
      </c>
      <c r="S1625" s="11">
        <v>1033701</v>
      </c>
    </row>
    <row r="1626" spans="1:19">
      <c r="A1626" s="11">
        <f t="shared" si="67"/>
        <v>70334401</v>
      </c>
      <c r="B1626" s="2" t="s">
        <v>1752</v>
      </c>
      <c r="D1626" s="2" t="str">
        <f>E1626&amp;(VLOOKUP(F1626,编号表!$E$1:$G$8,2,0))&amp;G1626&amp;"_"&amp;H1626&amp;"_"&amp;I1626</f>
        <v>33N4_4_1</v>
      </c>
      <c r="E1626" s="2">
        <v>33</v>
      </c>
      <c r="F1626" s="2" t="s">
        <v>174</v>
      </c>
      <c r="G1626" s="2">
        <v>4</v>
      </c>
      <c r="H1626" s="2">
        <v>4</v>
      </c>
      <c r="I1626" s="2">
        <f>COUNTIFS($E$3:E1626,E1626,$H$3:H1626,H1626)</f>
        <v>1</v>
      </c>
      <c r="N1626" s="11">
        <v>1033201</v>
      </c>
      <c r="O1626" s="11">
        <v>1033301</v>
      </c>
      <c r="P1626" s="11">
        <v>1033401</v>
      </c>
      <c r="Q1626" s="11">
        <v>1033501</v>
      </c>
      <c r="R1626" s="11">
        <v>1033601</v>
      </c>
      <c r="S1626" s="11">
        <v>1033701</v>
      </c>
    </row>
    <row r="1627" spans="1:19">
      <c r="A1627" s="11">
        <f t="shared" si="67"/>
        <v>70334402</v>
      </c>
      <c r="B1627" s="2" t="s">
        <v>1753</v>
      </c>
      <c r="D1627" s="2" t="str">
        <f>E1627&amp;(VLOOKUP(F1627,编号表!$E$1:$G$8,2,0))&amp;G1627&amp;"_"&amp;H1627&amp;"_"&amp;I1627</f>
        <v>33N4_4_2</v>
      </c>
      <c r="E1627" s="2">
        <v>33</v>
      </c>
      <c r="F1627" s="2" t="s">
        <v>174</v>
      </c>
      <c r="G1627" s="2">
        <v>4</v>
      </c>
      <c r="H1627" s="2">
        <v>4</v>
      </c>
      <c r="I1627" s="2">
        <f>COUNTIFS($E$3:E1627,E1627,$H$3:H1627,H1627)</f>
        <v>2</v>
      </c>
      <c r="N1627" s="11">
        <v>1033201</v>
      </c>
      <c r="O1627" s="11">
        <v>1033301</v>
      </c>
      <c r="P1627" s="11">
        <v>1033401</v>
      </c>
      <c r="Q1627" s="11">
        <v>1033501</v>
      </c>
      <c r="R1627" s="11">
        <v>1033601</v>
      </c>
      <c r="S1627" s="11">
        <v>1033701</v>
      </c>
    </row>
    <row r="1628" spans="1:19">
      <c r="A1628" s="11">
        <f t="shared" si="67"/>
        <v>70331403</v>
      </c>
      <c r="B1628" s="2" t="s">
        <v>1754</v>
      </c>
      <c r="D1628" s="2" t="str">
        <f>E1628&amp;(VLOOKUP(F1628,编号表!$E$1:$G$8,2,0))&amp;G1628&amp;"_"&amp;H1628&amp;"_"&amp;I1628</f>
        <v>33N1_4_3</v>
      </c>
      <c r="E1628" s="2">
        <v>33</v>
      </c>
      <c r="F1628" s="2" t="s">
        <v>174</v>
      </c>
      <c r="G1628" s="2">
        <v>1</v>
      </c>
      <c r="H1628" s="2">
        <v>4</v>
      </c>
      <c r="I1628" s="2">
        <f>COUNTIFS($E$3:E1628,E1628,$H$3:H1628,H1628)</f>
        <v>3</v>
      </c>
      <c r="N1628" s="11">
        <v>1033201</v>
      </c>
      <c r="O1628" s="11">
        <v>1033301</v>
      </c>
      <c r="P1628" s="11">
        <v>1033401</v>
      </c>
      <c r="Q1628" s="11">
        <v>1033501</v>
      </c>
      <c r="R1628" s="11">
        <v>1033601</v>
      </c>
      <c r="S1628" s="11">
        <v>1033701</v>
      </c>
    </row>
    <row r="1629" spans="1:19">
      <c r="A1629" s="11">
        <f t="shared" si="67"/>
        <v>70335404</v>
      </c>
      <c r="B1629" s="2" t="s">
        <v>1755</v>
      </c>
      <c r="D1629" s="2" t="str">
        <f>E1629&amp;(VLOOKUP(F1629,编号表!$E$1:$G$8,2,0))&amp;G1629&amp;"_"&amp;H1629&amp;"_"&amp;I1629</f>
        <v>33N5_4_4</v>
      </c>
      <c r="E1629" s="2">
        <v>33</v>
      </c>
      <c r="F1629" s="2" t="s">
        <v>174</v>
      </c>
      <c r="G1629" s="2">
        <v>5</v>
      </c>
      <c r="H1629" s="2">
        <v>4</v>
      </c>
      <c r="I1629" s="2">
        <f>COUNTIFS($E$3:E1629,E1629,$H$3:H1629,H1629)</f>
        <v>4</v>
      </c>
      <c r="N1629" s="11">
        <v>1033201</v>
      </c>
      <c r="O1629" s="11">
        <v>1033301</v>
      </c>
      <c r="P1629" s="11">
        <v>1033401</v>
      </c>
      <c r="Q1629" s="11">
        <v>1033501</v>
      </c>
      <c r="R1629" s="11">
        <v>1033601</v>
      </c>
      <c r="S1629" s="11">
        <v>1033701</v>
      </c>
    </row>
    <row r="1630" spans="1:19">
      <c r="A1630" s="11">
        <f t="shared" si="67"/>
        <v>70333405</v>
      </c>
      <c r="B1630" s="16" t="s">
        <v>115</v>
      </c>
      <c r="C1630" s="2" t="s">
        <v>1756</v>
      </c>
      <c r="D1630" s="2" t="str">
        <f>E1630&amp;(VLOOKUP(F1630,编号表!$E$1:$G$8,2,0))&amp;G1630&amp;"_"&amp;H1630&amp;"_"&amp;I1630</f>
        <v>33T3_4_5</v>
      </c>
      <c r="E1630" s="2">
        <v>33</v>
      </c>
      <c r="F1630" s="2" t="s">
        <v>190</v>
      </c>
      <c r="G1630" s="2">
        <v>3</v>
      </c>
      <c r="H1630" s="2">
        <v>4</v>
      </c>
      <c r="I1630" s="2">
        <f>COUNTIFS($E$3:E1630,E1630,$H$3:H1630,H1630)</f>
        <v>5</v>
      </c>
      <c r="L1630" s="2">
        <v>167</v>
      </c>
    </row>
    <row r="1631" spans="1:19">
      <c r="A1631" s="11">
        <f t="shared" si="67"/>
        <v>70331406</v>
      </c>
      <c r="B1631" s="15" t="s">
        <v>1757</v>
      </c>
      <c r="D1631" s="2" t="str">
        <f>E1631&amp;(VLOOKUP(F1631,编号表!$E$1:$G$8,2,0))&amp;G1631&amp;"_"&amp;H1631&amp;"_"&amp;I1631</f>
        <v>33T1_4_6</v>
      </c>
      <c r="E1631" s="2">
        <v>33</v>
      </c>
      <c r="F1631" s="2" t="s">
        <v>190</v>
      </c>
      <c r="G1631" s="2">
        <v>1</v>
      </c>
      <c r="H1631" s="2">
        <v>4</v>
      </c>
      <c r="I1631" s="2">
        <f>COUNTIFS($E$3:E1631,E1631,$H$3:H1631,H1631)</f>
        <v>6</v>
      </c>
    </row>
    <row r="1632" spans="1:19">
      <c r="A1632" s="11">
        <f t="shared" si="67"/>
        <v>70335407</v>
      </c>
      <c r="B1632" s="2" t="s">
        <v>1758</v>
      </c>
      <c r="D1632" s="2" t="str">
        <f>E1632&amp;(VLOOKUP(F1632,编号表!$E$1:$G$8,2,0))&amp;G1632&amp;"_"&amp;H1632&amp;"_"&amp;I1632</f>
        <v>33N5_4_7</v>
      </c>
      <c r="E1632" s="2">
        <v>33</v>
      </c>
      <c r="F1632" s="2" t="s">
        <v>174</v>
      </c>
      <c r="G1632" s="2">
        <v>5</v>
      </c>
      <c r="H1632" s="2">
        <v>4</v>
      </c>
      <c r="I1632" s="2">
        <f>COUNTIFS($E$3:E1632,E1632,$H$3:H1632,H1632)</f>
        <v>7</v>
      </c>
      <c r="N1632" s="11">
        <v>1033201</v>
      </c>
      <c r="O1632" s="11">
        <v>1033301</v>
      </c>
      <c r="P1632" s="11">
        <v>1033401</v>
      </c>
      <c r="Q1632" s="11">
        <v>1033501</v>
      </c>
      <c r="R1632" s="11">
        <v>1033601</v>
      </c>
      <c r="S1632" s="11">
        <v>1033701</v>
      </c>
    </row>
    <row r="1633" spans="1:19">
      <c r="A1633" s="11">
        <f t="shared" si="67"/>
        <v>70331408</v>
      </c>
      <c r="B1633" s="2" t="s">
        <v>1759</v>
      </c>
      <c r="D1633" s="2" t="str">
        <f>E1633&amp;(VLOOKUP(F1633,编号表!$E$1:$G$8,2,0))&amp;G1633&amp;"_"&amp;H1633&amp;"_"&amp;I1633</f>
        <v>33N1_4_8</v>
      </c>
      <c r="E1633" s="2">
        <v>33</v>
      </c>
      <c r="F1633" s="2" t="s">
        <v>174</v>
      </c>
      <c r="G1633" s="2">
        <v>1</v>
      </c>
      <c r="H1633" s="2">
        <v>4</v>
      </c>
      <c r="I1633" s="2">
        <f>COUNTIFS($E$3:E1633,E1633,$H$3:H1633,H1633)</f>
        <v>8</v>
      </c>
      <c r="N1633" s="11">
        <v>1033201</v>
      </c>
      <c r="O1633" s="11">
        <v>1033301</v>
      </c>
      <c r="P1633" s="11">
        <v>1033401</v>
      </c>
      <c r="Q1633" s="11">
        <v>1033501</v>
      </c>
      <c r="R1633" s="11">
        <v>1033601</v>
      </c>
      <c r="S1633" s="11">
        <v>1033701</v>
      </c>
    </row>
    <row r="1634" spans="1:19">
      <c r="A1634" s="11">
        <f t="shared" si="67"/>
        <v>70334409</v>
      </c>
      <c r="B1634" s="2" t="s">
        <v>1760</v>
      </c>
      <c r="D1634" s="2" t="str">
        <f>E1634&amp;(VLOOKUP(F1634,编号表!$E$1:$G$8,2,0))&amp;G1634&amp;"_"&amp;H1634&amp;"_"&amp;I1634</f>
        <v>33N4_4_9</v>
      </c>
      <c r="E1634" s="2">
        <v>33</v>
      </c>
      <c r="F1634" s="2" t="s">
        <v>174</v>
      </c>
      <c r="G1634" s="2">
        <v>4</v>
      </c>
      <c r="H1634" s="2">
        <v>4</v>
      </c>
      <c r="I1634" s="2">
        <f>COUNTIFS($E$3:E1634,E1634,$H$3:H1634,H1634)</f>
        <v>9</v>
      </c>
      <c r="N1634" s="11">
        <v>1033201</v>
      </c>
      <c r="O1634" s="11">
        <v>1033301</v>
      </c>
      <c r="P1634" s="11">
        <v>1033401</v>
      </c>
      <c r="Q1634" s="11">
        <v>1033501</v>
      </c>
      <c r="R1634" s="11">
        <v>1033601</v>
      </c>
      <c r="S1634" s="11">
        <v>1033701</v>
      </c>
    </row>
    <row r="1635" spans="1:19">
      <c r="A1635" s="11">
        <f t="shared" si="67"/>
        <v>70332410</v>
      </c>
      <c r="B1635" s="2" t="s">
        <v>1761</v>
      </c>
      <c r="D1635" s="2" t="str">
        <f>E1635&amp;(VLOOKUP(F1635,编号表!$E$1:$G$8,2,0))&amp;G1635&amp;"_"&amp;H1635&amp;"_"&amp;I1635</f>
        <v>33N2_4_10</v>
      </c>
      <c r="E1635" s="2">
        <v>33</v>
      </c>
      <c r="F1635" s="2" t="s">
        <v>174</v>
      </c>
      <c r="G1635" s="2">
        <v>2</v>
      </c>
      <c r="H1635" s="2">
        <v>4</v>
      </c>
      <c r="I1635" s="2">
        <f>COUNTIFS($E$3:E1635,E1635,$H$3:H1635,H1635)</f>
        <v>10</v>
      </c>
      <c r="N1635" s="11">
        <v>1033201</v>
      </c>
      <c r="O1635" s="11">
        <v>1033301</v>
      </c>
      <c r="P1635" s="11">
        <v>1033401</v>
      </c>
      <c r="Q1635" s="11">
        <v>1033501</v>
      </c>
      <c r="R1635" s="11">
        <v>1033601</v>
      </c>
      <c r="S1635" s="11">
        <v>1033701</v>
      </c>
    </row>
    <row r="1636" spans="1:19">
      <c r="A1636" s="11">
        <f t="shared" si="67"/>
        <v>70337411</v>
      </c>
      <c r="B1636" s="2" t="s">
        <v>1762</v>
      </c>
      <c r="D1636" s="2" t="str">
        <f>E1636&amp;(VLOOKUP(F1636,编号表!$E$1:$G$8,2,0))&amp;G1636&amp;"_"&amp;H1636&amp;"_"&amp;I1636</f>
        <v>33N7_4_11</v>
      </c>
      <c r="E1636" s="2">
        <v>33</v>
      </c>
      <c r="F1636" s="2" t="s">
        <v>174</v>
      </c>
      <c r="G1636" s="2">
        <v>7</v>
      </c>
      <c r="H1636" s="2">
        <v>4</v>
      </c>
      <c r="I1636" s="2">
        <f>COUNTIFS($E$3:E1636,E1636,$H$3:H1636,H1636)</f>
        <v>11</v>
      </c>
      <c r="N1636" s="11">
        <v>1033201</v>
      </c>
      <c r="O1636" s="11">
        <v>1033301</v>
      </c>
      <c r="P1636" s="11">
        <v>1033401</v>
      </c>
      <c r="Q1636" s="11">
        <v>1033501</v>
      </c>
      <c r="R1636" s="11">
        <v>1033601</v>
      </c>
      <c r="S1636" s="11">
        <v>1033701</v>
      </c>
    </row>
    <row r="1637" spans="1:19">
      <c r="A1637" s="11">
        <f t="shared" si="67"/>
        <v>70334501</v>
      </c>
      <c r="B1637" s="2" t="s">
        <v>1763</v>
      </c>
      <c r="D1637" s="2" t="str">
        <f>E1637&amp;(VLOOKUP(F1637,编号表!$E$1:$G$8,2,0))&amp;G1637&amp;"_"&amp;H1637&amp;"_"&amp;I1637</f>
        <v>33N4_5_1</v>
      </c>
      <c r="E1637" s="2">
        <v>33</v>
      </c>
      <c r="F1637" s="2" t="s">
        <v>174</v>
      </c>
      <c r="G1637" s="2">
        <v>4</v>
      </c>
      <c r="H1637" s="2">
        <v>5</v>
      </c>
      <c r="I1637" s="2">
        <f>COUNTIFS($E$3:E1637,E1637,$H$3:H1637,H1637)</f>
        <v>1</v>
      </c>
      <c r="N1637" s="11">
        <v>1033201</v>
      </c>
      <c r="O1637" s="11">
        <v>1033301</v>
      </c>
      <c r="P1637" s="11">
        <v>1033401</v>
      </c>
      <c r="Q1637" s="11">
        <v>1033501</v>
      </c>
      <c r="R1637" s="11">
        <v>1033601</v>
      </c>
      <c r="S1637" s="11">
        <v>1033701</v>
      </c>
    </row>
    <row r="1638" spans="1:19">
      <c r="A1638" s="11">
        <f t="shared" si="67"/>
        <v>70334502</v>
      </c>
      <c r="B1638" s="2" t="s">
        <v>1764</v>
      </c>
      <c r="D1638" s="2" t="str">
        <f>E1638&amp;(VLOOKUP(F1638,编号表!$E$1:$G$8,2,0))&amp;G1638&amp;"_"&amp;H1638&amp;"_"&amp;I1638</f>
        <v>33N4_5_2</v>
      </c>
      <c r="E1638" s="2">
        <v>33</v>
      </c>
      <c r="F1638" s="2" t="s">
        <v>174</v>
      </c>
      <c r="G1638" s="2">
        <v>4</v>
      </c>
      <c r="H1638" s="2">
        <v>5</v>
      </c>
      <c r="I1638" s="2">
        <f>COUNTIFS($E$3:E1638,E1638,$H$3:H1638,H1638)</f>
        <v>2</v>
      </c>
      <c r="N1638" s="11">
        <v>1033201</v>
      </c>
      <c r="O1638" s="11">
        <v>1033301</v>
      </c>
      <c r="P1638" s="11">
        <v>1033401</v>
      </c>
      <c r="Q1638" s="11">
        <v>1033501</v>
      </c>
      <c r="R1638" s="11">
        <v>1033601</v>
      </c>
      <c r="S1638" s="11">
        <v>1033701</v>
      </c>
    </row>
    <row r="1639" spans="1:19">
      <c r="A1639" s="11">
        <f t="shared" si="67"/>
        <v>70335503</v>
      </c>
      <c r="B1639" s="2" t="s">
        <v>1765</v>
      </c>
      <c r="D1639" s="2" t="str">
        <f>E1639&amp;(VLOOKUP(F1639,编号表!$E$1:$G$8,2,0))&amp;G1639&amp;"_"&amp;H1639&amp;"_"&amp;I1639</f>
        <v>33N5_5_3</v>
      </c>
      <c r="E1639" s="2">
        <v>33</v>
      </c>
      <c r="F1639" s="2" t="s">
        <v>174</v>
      </c>
      <c r="G1639" s="2">
        <v>5</v>
      </c>
      <c r="H1639" s="2">
        <v>5</v>
      </c>
      <c r="I1639" s="2">
        <f>COUNTIFS($E$3:E1639,E1639,$H$3:H1639,H1639)</f>
        <v>3</v>
      </c>
      <c r="N1639" s="11">
        <v>1033201</v>
      </c>
      <c r="O1639" s="11">
        <v>1033301</v>
      </c>
      <c r="P1639" s="11">
        <v>1033401</v>
      </c>
      <c r="Q1639" s="11">
        <v>1033501</v>
      </c>
      <c r="R1639" s="11">
        <v>1033601</v>
      </c>
      <c r="S1639" s="11">
        <v>1033701</v>
      </c>
    </row>
    <row r="1640" spans="1:19">
      <c r="A1640" s="11">
        <f t="shared" si="67"/>
        <v>70333504</v>
      </c>
      <c r="B1640" s="2" t="s">
        <v>1766</v>
      </c>
      <c r="D1640" s="2" t="str">
        <f>E1640&amp;(VLOOKUP(F1640,编号表!$E$1:$G$8,2,0))&amp;G1640&amp;"_"&amp;H1640&amp;"_"&amp;I1640</f>
        <v>33N3_5_4</v>
      </c>
      <c r="E1640" s="2">
        <v>33</v>
      </c>
      <c r="F1640" s="2" t="s">
        <v>174</v>
      </c>
      <c r="G1640" s="2">
        <v>3</v>
      </c>
      <c r="H1640" s="2">
        <v>5</v>
      </c>
      <c r="I1640" s="2">
        <f>COUNTIFS($E$3:E1640,E1640,$H$3:H1640,H1640)</f>
        <v>4</v>
      </c>
      <c r="N1640" s="11">
        <v>1033201</v>
      </c>
      <c r="O1640" s="11">
        <v>1033301</v>
      </c>
      <c r="P1640" s="11">
        <v>1033401</v>
      </c>
      <c r="Q1640" s="11">
        <v>1033501</v>
      </c>
      <c r="R1640" s="11">
        <v>1033601</v>
      </c>
      <c r="S1640" s="11">
        <v>1033701</v>
      </c>
    </row>
    <row r="1641" spans="1:19">
      <c r="A1641" s="11">
        <f t="shared" si="67"/>
        <v>70335505</v>
      </c>
      <c r="B1641" s="2" t="s">
        <v>1767</v>
      </c>
      <c r="D1641" s="2" t="str">
        <f>E1641&amp;(VLOOKUP(F1641,编号表!$E$1:$G$8,2,0))&amp;G1641&amp;"_"&amp;H1641&amp;"_"&amp;I1641</f>
        <v>33N5_5_5</v>
      </c>
      <c r="E1641" s="2">
        <v>33</v>
      </c>
      <c r="F1641" s="2" t="s">
        <v>174</v>
      </c>
      <c r="G1641" s="2">
        <v>5</v>
      </c>
      <c r="H1641" s="2">
        <v>5</v>
      </c>
      <c r="I1641" s="2">
        <f>COUNTIFS($E$3:E1641,E1641,$H$3:H1641,H1641)</f>
        <v>5</v>
      </c>
      <c r="N1641" s="11">
        <v>1033201</v>
      </c>
      <c r="O1641" s="11">
        <v>1033301</v>
      </c>
      <c r="P1641" s="11">
        <v>1033401</v>
      </c>
      <c r="Q1641" s="11">
        <v>1033501</v>
      </c>
      <c r="R1641" s="11">
        <v>1033601</v>
      </c>
      <c r="S1641" s="11">
        <v>1033701</v>
      </c>
    </row>
    <row r="1642" spans="1:19">
      <c r="A1642" s="11">
        <f t="shared" si="67"/>
        <v>70334506</v>
      </c>
      <c r="B1642" s="2" t="s">
        <v>1768</v>
      </c>
      <c r="D1642" s="2" t="str">
        <f>E1642&amp;(VLOOKUP(F1642,编号表!$E$1:$G$8,2,0))&amp;G1642&amp;"_"&amp;H1642&amp;"_"&amp;I1642</f>
        <v>33N4_5_6</v>
      </c>
      <c r="E1642" s="2">
        <v>33</v>
      </c>
      <c r="F1642" s="2" t="s">
        <v>174</v>
      </c>
      <c r="G1642" s="2">
        <v>4</v>
      </c>
      <c r="H1642" s="2">
        <v>5</v>
      </c>
      <c r="I1642" s="2">
        <f>COUNTIFS($E$3:E1642,E1642,$H$3:H1642,H1642)</f>
        <v>6</v>
      </c>
      <c r="N1642" s="11">
        <v>1033201</v>
      </c>
      <c r="O1642" s="11">
        <v>1033301</v>
      </c>
      <c r="P1642" s="11">
        <v>1033401</v>
      </c>
      <c r="Q1642" s="11">
        <v>1033501</v>
      </c>
      <c r="R1642" s="11">
        <v>1033601</v>
      </c>
      <c r="S1642" s="11">
        <v>1033701</v>
      </c>
    </row>
    <row r="1643" spans="1:19">
      <c r="A1643" s="11">
        <f t="shared" si="67"/>
        <v>70333507</v>
      </c>
      <c r="B1643" s="2" t="s">
        <v>1769</v>
      </c>
      <c r="D1643" s="2" t="str">
        <f>E1643&amp;(VLOOKUP(F1643,编号表!$E$1:$G$8,2,0))&amp;G1643&amp;"_"&amp;H1643&amp;"_"&amp;I1643</f>
        <v>33N3_5_7</v>
      </c>
      <c r="E1643" s="2">
        <v>33</v>
      </c>
      <c r="F1643" s="2" t="s">
        <v>174</v>
      </c>
      <c r="G1643" s="2">
        <v>3</v>
      </c>
      <c r="H1643" s="2">
        <v>5</v>
      </c>
      <c r="I1643" s="2">
        <f>COUNTIFS($E$3:E1643,E1643,$H$3:H1643,H1643)</f>
        <v>7</v>
      </c>
      <c r="N1643" s="11">
        <v>1033201</v>
      </c>
      <c r="O1643" s="11">
        <v>1033301</v>
      </c>
      <c r="P1643" s="11">
        <v>1033401</v>
      </c>
      <c r="Q1643" s="11">
        <v>1033501</v>
      </c>
      <c r="R1643" s="11">
        <v>1033601</v>
      </c>
      <c r="S1643" s="11">
        <v>1033701</v>
      </c>
    </row>
    <row r="1644" spans="1:19">
      <c r="A1644" s="11">
        <f t="shared" si="67"/>
        <v>70336508</v>
      </c>
      <c r="B1644" s="2" t="s">
        <v>1770</v>
      </c>
      <c r="D1644" s="2" t="str">
        <f>E1644&amp;(VLOOKUP(F1644,编号表!$E$1:$G$8,2,0))&amp;G1644&amp;"_"&amp;H1644&amp;"_"&amp;I1644</f>
        <v>33N6_5_8</v>
      </c>
      <c r="E1644" s="2">
        <v>33</v>
      </c>
      <c r="F1644" s="2" t="s">
        <v>174</v>
      </c>
      <c r="G1644" s="2">
        <v>6</v>
      </c>
      <c r="H1644" s="2">
        <v>5</v>
      </c>
      <c r="I1644" s="2">
        <f>COUNTIFS($E$3:E1644,E1644,$H$3:H1644,H1644)</f>
        <v>8</v>
      </c>
      <c r="N1644" s="11">
        <v>1033201</v>
      </c>
      <c r="O1644" s="11">
        <v>1033301</v>
      </c>
      <c r="P1644" s="11">
        <v>1033401</v>
      </c>
      <c r="Q1644" s="11">
        <v>1033501</v>
      </c>
      <c r="R1644" s="11">
        <v>1033601</v>
      </c>
      <c r="S1644" s="11">
        <v>1033701</v>
      </c>
    </row>
    <row r="1645" spans="1:19">
      <c r="A1645" s="11">
        <f t="shared" si="67"/>
        <v>70334601</v>
      </c>
      <c r="B1645" s="2" t="s">
        <v>1771</v>
      </c>
      <c r="D1645" s="2" t="str">
        <f>E1645&amp;(VLOOKUP(F1645,编号表!$E$1:$G$8,2,0))&amp;G1645&amp;"_"&amp;H1645&amp;"_"&amp;I1645</f>
        <v>33N4_6_1</v>
      </c>
      <c r="E1645" s="2">
        <v>33</v>
      </c>
      <c r="F1645" s="2" t="s">
        <v>174</v>
      </c>
      <c r="G1645" s="2">
        <v>4</v>
      </c>
      <c r="H1645" s="2">
        <v>6</v>
      </c>
      <c r="I1645" s="2">
        <f>COUNTIFS($E$3:E1645,E1645,$H$3:H1645,H1645)</f>
        <v>1</v>
      </c>
      <c r="N1645" s="11">
        <v>1033201</v>
      </c>
      <c r="O1645" s="11">
        <v>1033301</v>
      </c>
      <c r="P1645" s="11">
        <v>1033401</v>
      </c>
      <c r="Q1645" s="11">
        <v>1033501</v>
      </c>
      <c r="R1645" s="11">
        <v>1033601</v>
      </c>
      <c r="S1645" s="11">
        <v>1033701</v>
      </c>
    </row>
    <row r="1646" spans="1:19">
      <c r="A1646" s="11">
        <f t="shared" si="67"/>
        <v>70334602</v>
      </c>
      <c r="B1646" s="2" t="s">
        <v>1772</v>
      </c>
      <c r="D1646" s="2" t="str">
        <f>E1646&amp;(VLOOKUP(F1646,编号表!$E$1:$G$8,2,0))&amp;G1646&amp;"_"&amp;H1646&amp;"_"&amp;I1646</f>
        <v>33N4_6_2</v>
      </c>
      <c r="E1646" s="2">
        <v>33</v>
      </c>
      <c r="F1646" s="2" t="s">
        <v>174</v>
      </c>
      <c r="G1646" s="2">
        <v>4</v>
      </c>
      <c r="H1646" s="2">
        <v>6</v>
      </c>
      <c r="I1646" s="2">
        <f>COUNTIFS($E$3:E1646,E1646,$H$3:H1646,H1646)</f>
        <v>2</v>
      </c>
      <c r="N1646" s="11">
        <v>1033201</v>
      </c>
      <c r="O1646" s="11">
        <v>1033301</v>
      </c>
      <c r="P1646" s="11">
        <v>1033401</v>
      </c>
      <c r="Q1646" s="11">
        <v>1033501</v>
      </c>
      <c r="R1646" s="11">
        <v>1033601</v>
      </c>
      <c r="S1646" s="11">
        <v>1033701</v>
      </c>
    </row>
    <row r="1647" spans="1:19">
      <c r="A1647" s="11">
        <f t="shared" si="67"/>
        <v>70334603</v>
      </c>
      <c r="B1647" s="2" t="s">
        <v>1773</v>
      </c>
      <c r="D1647" s="2" t="str">
        <f>E1647&amp;(VLOOKUP(F1647,编号表!$E$1:$G$8,2,0))&amp;G1647&amp;"_"&amp;H1647&amp;"_"&amp;I1647</f>
        <v>33N4_6_3</v>
      </c>
      <c r="E1647" s="2">
        <v>33</v>
      </c>
      <c r="F1647" s="2" t="s">
        <v>174</v>
      </c>
      <c r="G1647" s="2">
        <v>4</v>
      </c>
      <c r="H1647" s="2">
        <v>6</v>
      </c>
      <c r="I1647" s="2">
        <f>COUNTIFS($E$3:E1647,E1647,$H$3:H1647,H1647)</f>
        <v>3</v>
      </c>
      <c r="N1647" s="11">
        <v>1033201</v>
      </c>
      <c r="O1647" s="11">
        <v>1033301</v>
      </c>
      <c r="P1647" s="11">
        <v>1033401</v>
      </c>
      <c r="Q1647" s="11">
        <v>1033501</v>
      </c>
      <c r="R1647" s="11">
        <v>1033601</v>
      </c>
      <c r="S1647" s="11">
        <v>1033701</v>
      </c>
    </row>
    <row r="1648" spans="1:19">
      <c r="A1648" s="11">
        <f t="shared" si="67"/>
        <v>70333604</v>
      </c>
      <c r="B1648" s="2" t="s">
        <v>1774</v>
      </c>
      <c r="D1648" s="2" t="str">
        <f>E1648&amp;(VLOOKUP(F1648,编号表!$E$1:$G$8,2,0))&amp;G1648&amp;"_"&amp;H1648&amp;"_"&amp;I1648</f>
        <v>33N3_6_4</v>
      </c>
      <c r="E1648" s="2">
        <v>33</v>
      </c>
      <c r="F1648" s="2" t="s">
        <v>174</v>
      </c>
      <c r="G1648" s="2">
        <v>3</v>
      </c>
      <c r="H1648" s="2">
        <v>6</v>
      </c>
      <c r="I1648" s="2">
        <f>COUNTIFS($E$3:E1648,E1648,$H$3:H1648,H1648)</f>
        <v>4</v>
      </c>
      <c r="N1648" s="11">
        <v>1033201</v>
      </c>
      <c r="O1648" s="11">
        <v>1033301</v>
      </c>
      <c r="P1648" s="11">
        <v>1033401</v>
      </c>
      <c r="Q1648" s="11">
        <v>1033501</v>
      </c>
      <c r="R1648" s="11">
        <v>1033601</v>
      </c>
      <c r="S1648" s="11">
        <v>1033701</v>
      </c>
    </row>
    <row r="1649" spans="1:20">
      <c r="A1649" s="11">
        <f t="shared" si="67"/>
        <v>70335605</v>
      </c>
      <c r="B1649" s="2" t="s">
        <v>1775</v>
      </c>
      <c r="D1649" s="2" t="str">
        <f>E1649&amp;(VLOOKUP(F1649,编号表!$E$1:$G$8,2,0))&amp;G1649&amp;"_"&amp;H1649&amp;"_"&amp;I1649</f>
        <v>33N5_6_5</v>
      </c>
      <c r="E1649" s="2">
        <v>33</v>
      </c>
      <c r="F1649" s="2" t="s">
        <v>174</v>
      </c>
      <c r="G1649" s="2">
        <v>5</v>
      </c>
      <c r="H1649" s="2">
        <v>6</v>
      </c>
      <c r="I1649" s="2">
        <f>COUNTIFS($E$3:E1649,E1649,$H$3:H1649,H1649)</f>
        <v>5</v>
      </c>
      <c r="N1649" s="11">
        <v>1033201</v>
      </c>
      <c r="O1649" s="11">
        <v>1033301</v>
      </c>
      <c r="P1649" s="11">
        <v>1033401</v>
      </c>
      <c r="Q1649" s="11">
        <v>1033501</v>
      </c>
      <c r="R1649" s="11">
        <v>1033601</v>
      </c>
      <c r="S1649" s="11">
        <v>1033701</v>
      </c>
    </row>
    <row r="1650" spans="1:20">
      <c r="A1650" s="11">
        <f t="shared" si="67"/>
        <v>70332606</v>
      </c>
      <c r="B1650" s="2" t="s">
        <v>1776</v>
      </c>
      <c r="D1650" s="2" t="str">
        <f>E1650&amp;(VLOOKUP(F1650,编号表!$E$1:$G$8,2,0))&amp;G1650&amp;"_"&amp;H1650&amp;"_"&amp;I1650</f>
        <v>33N2_6_6</v>
      </c>
      <c r="E1650" s="2">
        <v>33</v>
      </c>
      <c r="F1650" s="2" t="s">
        <v>174</v>
      </c>
      <c r="G1650" s="2">
        <v>2</v>
      </c>
      <c r="H1650" s="2">
        <v>6</v>
      </c>
      <c r="I1650" s="2">
        <f>COUNTIFS($E$3:E1650,E1650,$H$3:H1650,H1650)</f>
        <v>6</v>
      </c>
      <c r="N1650" s="11">
        <v>1033201</v>
      </c>
      <c r="O1650" s="11">
        <v>1033301</v>
      </c>
      <c r="P1650" s="11">
        <v>1033401</v>
      </c>
      <c r="Q1650" s="11">
        <v>1033501</v>
      </c>
      <c r="R1650" s="11">
        <v>1033601</v>
      </c>
      <c r="S1650" s="11">
        <v>1033701</v>
      </c>
    </row>
    <row r="1651" spans="1:20">
      <c r="A1651" s="11">
        <f t="shared" si="67"/>
        <v>70335607</v>
      </c>
      <c r="B1651" s="2" t="s">
        <v>1777</v>
      </c>
      <c r="D1651" s="2" t="str">
        <f>E1651&amp;(VLOOKUP(F1651,编号表!$E$1:$G$8,2,0))&amp;G1651&amp;"_"&amp;H1651&amp;"_"&amp;I1651</f>
        <v>33N5_6_7</v>
      </c>
      <c r="E1651" s="2">
        <v>33</v>
      </c>
      <c r="F1651" s="2" t="s">
        <v>174</v>
      </c>
      <c r="G1651" s="2">
        <v>5</v>
      </c>
      <c r="H1651" s="2">
        <v>6</v>
      </c>
      <c r="I1651" s="2">
        <f>COUNTIFS($E$3:E1651,E1651,$H$3:H1651,H1651)</f>
        <v>7</v>
      </c>
      <c r="N1651" s="11">
        <v>1033201</v>
      </c>
      <c r="O1651" s="11">
        <v>1033301</v>
      </c>
      <c r="P1651" s="11">
        <v>1033401</v>
      </c>
      <c r="Q1651" s="11">
        <v>1033501</v>
      </c>
      <c r="R1651" s="11">
        <v>1033601</v>
      </c>
      <c r="S1651" s="11">
        <v>1033701</v>
      </c>
    </row>
    <row r="1652" spans="1:20">
      <c r="A1652" s="11">
        <f t="shared" si="67"/>
        <v>70336701</v>
      </c>
      <c r="B1652" s="2" t="s">
        <v>1778</v>
      </c>
      <c r="D1652" s="2" t="str">
        <f>E1652&amp;(VLOOKUP(F1652,编号表!$E$1:$G$8,2,0))&amp;G1652&amp;"_"&amp;H1652&amp;"_"&amp;I1652</f>
        <v>33N6_7_1</v>
      </c>
      <c r="E1652" s="2">
        <v>33</v>
      </c>
      <c r="F1652" s="2" t="s">
        <v>174</v>
      </c>
      <c r="G1652" s="2">
        <v>6</v>
      </c>
      <c r="H1652" s="2">
        <v>7</v>
      </c>
      <c r="I1652" s="2">
        <f>COUNTIFS($E$3:E1652,E1652,$H$3:H1652,H1652)</f>
        <v>1</v>
      </c>
      <c r="N1652" s="11">
        <v>1033201</v>
      </c>
      <c r="O1652" s="11">
        <v>1033301</v>
      </c>
      <c r="P1652" s="11">
        <v>1033401</v>
      </c>
      <c r="Q1652" s="11">
        <v>1033501</v>
      </c>
      <c r="R1652" s="11">
        <v>1033601</v>
      </c>
      <c r="S1652" s="11">
        <v>1033701</v>
      </c>
    </row>
    <row r="1653" spans="1:20">
      <c r="A1653" s="11">
        <f t="shared" si="67"/>
        <v>70336702</v>
      </c>
      <c r="B1653" s="2" t="s">
        <v>1779</v>
      </c>
      <c r="D1653" s="2" t="str">
        <f>E1653&amp;(VLOOKUP(F1653,编号表!$E$1:$G$8,2,0))&amp;G1653&amp;"_"&amp;H1653&amp;"_"&amp;I1653</f>
        <v>33N6_7_2</v>
      </c>
      <c r="E1653" s="2">
        <v>33</v>
      </c>
      <c r="F1653" s="2" t="s">
        <v>174</v>
      </c>
      <c r="G1653" s="2">
        <v>6</v>
      </c>
      <c r="H1653" s="2">
        <v>7</v>
      </c>
      <c r="I1653" s="2">
        <f>COUNTIFS($E$3:E1653,E1653,$H$3:H1653,H1653)</f>
        <v>2</v>
      </c>
      <c r="N1653" s="11">
        <v>1033201</v>
      </c>
      <c r="O1653" s="11">
        <v>1033301</v>
      </c>
      <c r="P1653" s="11">
        <v>1033401</v>
      </c>
      <c r="Q1653" s="11">
        <v>1033501</v>
      </c>
      <c r="R1653" s="11">
        <v>1033601</v>
      </c>
      <c r="S1653" s="11">
        <v>1033701</v>
      </c>
    </row>
    <row r="1654" spans="1:20">
      <c r="A1654" s="11">
        <f t="shared" si="67"/>
        <v>70336703</v>
      </c>
      <c r="B1654" s="2" t="s">
        <v>1780</v>
      </c>
      <c r="D1654" s="2" t="str">
        <f>E1654&amp;(VLOOKUP(F1654,编号表!$E$1:$G$8,2,0))&amp;G1654&amp;"_"&amp;H1654&amp;"_"&amp;I1654</f>
        <v>33N6_7_3</v>
      </c>
      <c r="E1654" s="2">
        <v>33</v>
      </c>
      <c r="F1654" s="2" t="s">
        <v>174</v>
      </c>
      <c r="G1654" s="2">
        <v>6</v>
      </c>
      <c r="H1654" s="2">
        <v>7</v>
      </c>
      <c r="I1654" s="2">
        <f>COUNTIFS($E$3:E1654,E1654,$H$3:H1654,H1654)</f>
        <v>3</v>
      </c>
      <c r="N1654" s="11">
        <v>1033201</v>
      </c>
      <c r="O1654" s="11">
        <v>1033301</v>
      </c>
      <c r="P1654" s="11">
        <v>1033401</v>
      </c>
      <c r="Q1654" s="11">
        <v>1033501</v>
      </c>
      <c r="R1654" s="11">
        <v>1033601</v>
      </c>
      <c r="S1654" s="11">
        <v>1033701</v>
      </c>
    </row>
    <row r="1655" spans="1:20">
      <c r="A1655" s="11">
        <f t="shared" si="67"/>
        <v>70336704</v>
      </c>
      <c r="B1655" s="2" t="s">
        <v>1781</v>
      </c>
      <c r="D1655" s="2" t="str">
        <f>E1655&amp;(VLOOKUP(F1655,编号表!$E$1:$G$8,2,0))&amp;G1655&amp;"_"&amp;H1655&amp;"_"&amp;I1655</f>
        <v>33N6_7_4</v>
      </c>
      <c r="E1655" s="2">
        <v>33</v>
      </c>
      <c r="F1655" s="2" t="s">
        <v>174</v>
      </c>
      <c r="G1655" s="2">
        <v>6</v>
      </c>
      <c r="H1655" s="2">
        <v>7</v>
      </c>
      <c r="I1655" s="2">
        <f>COUNTIFS($E$3:E1655,E1655,$H$3:H1655,H1655)</f>
        <v>4</v>
      </c>
      <c r="N1655" s="11">
        <v>1033201</v>
      </c>
      <c r="O1655" s="11">
        <v>1033301</v>
      </c>
      <c r="P1655" s="11">
        <v>1033401</v>
      </c>
      <c r="Q1655" s="11">
        <v>1033501</v>
      </c>
      <c r="R1655" s="11">
        <v>1033601</v>
      </c>
      <c r="S1655" s="11">
        <v>1033701</v>
      </c>
    </row>
    <row r="1656" spans="1:20">
      <c r="A1656" s="11">
        <f t="shared" si="67"/>
        <v>70336705</v>
      </c>
      <c r="B1656" s="2" t="s">
        <v>1782</v>
      </c>
      <c r="D1656" s="2" t="str">
        <f>E1656&amp;(VLOOKUP(F1656,编号表!$E$1:$G$8,2,0))&amp;G1656&amp;"_"&amp;H1656&amp;"_"&amp;I1656</f>
        <v>33N6_7_5</v>
      </c>
      <c r="E1656" s="2">
        <v>33</v>
      </c>
      <c r="F1656" s="2" t="s">
        <v>174</v>
      </c>
      <c r="G1656" s="2">
        <v>6</v>
      </c>
      <c r="H1656" s="2">
        <v>7</v>
      </c>
      <c r="I1656" s="2">
        <f>COUNTIFS($E$3:E1656,E1656,$H$3:H1656,H1656)</f>
        <v>5</v>
      </c>
      <c r="N1656" s="11">
        <v>1033201</v>
      </c>
      <c r="O1656" s="11">
        <v>1033301</v>
      </c>
      <c r="P1656" s="11">
        <v>1033401</v>
      </c>
      <c r="Q1656" s="11">
        <v>1033501</v>
      </c>
      <c r="R1656" s="11">
        <v>1033601</v>
      </c>
      <c r="S1656" s="11">
        <v>1033701</v>
      </c>
    </row>
    <row r="1657" spans="1:20">
      <c r="A1657" s="11">
        <f t="shared" si="67"/>
        <v>70330001</v>
      </c>
      <c r="B1657" s="24" t="s">
        <v>1783</v>
      </c>
      <c r="D1657" s="2" t="str">
        <f>E1657&amp;(VLOOKUP(F1657,编号表!$E$1:$G$8,2,0))&amp;G1657&amp;"_"&amp;H1657&amp;"_"&amp;I1657</f>
        <v>33J0_0_1</v>
      </c>
      <c r="E1657" s="2">
        <v>33</v>
      </c>
      <c r="F1657" s="2" t="s">
        <v>222</v>
      </c>
      <c r="G1657" s="2">
        <v>0</v>
      </c>
      <c r="H1657" s="2">
        <v>0</v>
      </c>
      <c r="I1657" s="2">
        <f>COUNTIFS($E$3:E1657,E1657,$H$3:H1657,H1657)</f>
        <v>1</v>
      </c>
      <c r="J1657" s="2">
        <v>1</v>
      </c>
    </row>
    <row r="1658" spans="1:20">
      <c r="A1658" s="11">
        <f t="shared" si="67"/>
        <v>70345101</v>
      </c>
      <c r="B1658" s="2" t="s">
        <v>1784</v>
      </c>
      <c r="D1658" s="2" t="str">
        <f>E1658&amp;(VLOOKUP(F1658,编号表!$E$1:$G$8,2,0))&amp;G1658&amp;"_"&amp;H1658&amp;"_"&amp;I1658</f>
        <v>34N5_1_1</v>
      </c>
      <c r="E1658" s="2">
        <v>34</v>
      </c>
      <c r="F1658" s="2" t="s">
        <v>174</v>
      </c>
      <c r="G1658" s="2">
        <v>5</v>
      </c>
      <c r="H1658" s="2">
        <v>1</v>
      </c>
      <c r="I1658" s="2">
        <f>COUNTIFS($E$3:E1658,E1658,$H$3:H1658,H1658)</f>
        <v>1</v>
      </c>
      <c r="N1658" s="11">
        <v>1034201</v>
      </c>
      <c r="O1658" s="11">
        <f t="shared" ref="O1658:O1666" si="68">N1658+100</f>
        <v>1034301</v>
      </c>
      <c r="P1658" s="11">
        <f t="shared" ref="P1658:P1666" si="69">O1658+100</f>
        <v>1034401</v>
      </c>
      <c r="Q1658" s="11">
        <f t="shared" ref="Q1658:Q1666" si="70">P1658+100</f>
        <v>1034501</v>
      </c>
      <c r="R1658" s="11">
        <f t="shared" ref="R1658:R1666" si="71">Q1658+100</f>
        <v>1034601</v>
      </c>
      <c r="S1658" s="11">
        <f t="shared" ref="S1658:S1666" si="72">R1658+100</f>
        <v>1034701</v>
      </c>
      <c r="T1658" s="11">
        <v>1034001</v>
      </c>
    </row>
    <row r="1659" spans="1:20">
      <c r="A1659" s="11">
        <f t="shared" si="67"/>
        <v>70345102</v>
      </c>
      <c r="B1659" s="2" t="s">
        <v>1785</v>
      </c>
      <c r="D1659" s="2" t="str">
        <f>E1659&amp;(VLOOKUP(F1659,编号表!$E$1:$G$8,2,0))&amp;G1659&amp;"_"&amp;H1659&amp;"_"&amp;I1659</f>
        <v>34N5_1_2</v>
      </c>
      <c r="E1659" s="2">
        <v>34</v>
      </c>
      <c r="F1659" s="2" t="s">
        <v>174</v>
      </c>
      <c r="G1659" s="2">
        <v>5</v>
      </c>
      <c r="H1659" s="2">
        <v>1</v>
      </c>
      <c r="I1659" s="2">
        <f>COUNTIFS($E$3:E1659,E1659,$H$3:H1659,H1659)</f>
        <v>2</v>
      </c>
      <c r="N1659" s="11">
        <v>1034201</v>
      </c>
      <c r="O1659" s="11">
        <f t="shared" si="68"/>
        <v>1034301</v>
      </c>
      <c r="P1659" s="11">
        <f t="shared" si="69"/>
        <v>1034401</v>
      </c>
      <c r="Q1659" s="11">
        <f t="shared" si="70"/>
        <v>1034501</v>
      </c>
      <c r="R1659" s="11">
        <f t="shared" si="71"/>
        <v>1034601</v>
      </c>
      <c r="S1659" s="11">
        <f t="shared" si="72"/>
        <v>1034701</v>
      </c>
      <c r="T1659" s="11">
        <v>1034101</v>
      </c>
    </row>
    <row r="1660" spans="1:20">
      <c r="A1660" s="11">
        <f t="shared" si="67"/>
        <v>70345103</v>
      </c>
      <c r="B1660" s="2" t="s">
        <v>1786</v>
      </c>
      <c r="D1660" s="2" t="str">
        <f>E1660&amp;(VLOOKUP(F1660,编号表!$E$1:$G$8,2,0))&amp;G1660&amp;"_"&amp;H1660&amp;"_"&amp;I1660</f>
        <v>34N5_1_3</v>
      </c>
      <c r="E1660" s="2">
        <v>34</v>
      </c>
      <c r="F1660" s="2" t="s">
        <v>174</v>
      </c>
      <c r="G1660" s="2">
        <v>5</v>
      </c>
      <c r="H1660" s="2">
        <v>1</v>
      </c>
      <c r="I1660" s="2">
        <f>COUNTIFS($E$3:E1660,E1660,$H$3:H1660,H1660)</f>
        <v>3</v>
      </c>
      <c r="N1660" s="11">
        <v>1034201</v>
      </c>
      <c r="O1660" s="11">
        <f t="shared" si="68"/>
        <v>1034301</v>
      </c>
      <c r="P1660" s="11">
        <f t="shared" si="69"/>
        <v>1034401</v>
      </c>
      <c r="Q1660" s="11">
        <f t="shared" si="70"/>
        <v>1034501</v>
      </c>
      <c r="R1660" s="11">
        <f t="shared" si="71"/>
        <v>1034601</v>
      </c>
      <c r="S1660" s="11">
        <f t="shared" si="72"/>
        <v>1034701</v>
      </c>
      <c r="T1660" s="11">
        <v>1034102</v>
      </c>
    </row>
    <row r="1661" spans="1:20">
      <c r="A1661" s="11">
        <f t="shared" si="67"/>
        <v>70345104</v>
      </c>
      <c r="B1661" s="2" t="s">
        <v>1787</v>
      </c>
      <c r="D1661" s="2" t="str">
        <f>E1661&amp;(VLOOKUP(F1661,编号表!$E$1:$G$8,2,0))&amp;G1661&amp;"_"&amp;H1661&amp;"_"&amp;I1661</f>
        <v>34N5_1_4</v>
      </c>
      <c r="E1661" s="2">
        <v>34</v>
      </c>
      <c r="F1661" s="2" t="s">
        <v>174</v>
      </c>
      <c r="G1661" s="2">
        <v>5</v>
      </c>
      <c r="H1661" s="2">
        <v>1</v>
      </c>
      <c r="I1661" s="2">
        <f>COUNTIFS($E$3:E1661,E1661,$H$3:H1661,H1661)</f>
        <v>4</v>
      </c>
      <c r="N1661" s="11">
        <v>1034201</v>
      </c>
      <c r="O1661" s="11">
        <f t="shared" si="68"/>
        <v>1034301</v>
      </c>
      <c r="P1661" s="11">
        <f t="shared" si="69"/>
        <v>1034401</v>
      </c>
      <c r="Q1661" s="11">
        <f t="shared" si="70"/>
        <v>1034501</v>
      </c>
      <c r="R1661" s="11">
        <f t="shared" si="71"/>
        <v>1034601</v>
      </c>
      <c r="S1661" s="11">
        <f t="shared" si="72"/>
        <v>1034701</v>
      </c>
    </row>
    <row r="1662" spans="1:20">
      <c r="A1662" s="11">
        <f t="shared" si="67"/>
        <v>70346201</v>
      </c>
      <c r="B1662" s="2" t="s">
        <v>1788</v>
      </c>
      <c r="D1662" s="2" t="str">
        <f>E1662&amp;(VLOOKUP(F1662,编号表!$E$1:$G$8,2,0))&amp;G1662&amp;"_"&amp;H1662&amp;"_"&amp;I1662</f>
        <v>34N6_2_1</v>
      </c>
      <c r="E1662" s="2">
        <v>34</v>
      </c>
      <c r="F1662" s="2" t="s">
        <v>174</v>
      </c>
      <c r="G1662" s="2">
        <v>6</v>
      </c>
      <c r="H1662" s="2">
        <v>2</v>
      </c>
      <c r="I1662" s="2">
        <f>COUNTIFS($E$3:E1662,E1662,$H$3:H1662,H1662)</f>
        <v>1</v>
      </c>
      <c r="N1662" s="11">
        <v>1034201</v>
      </c>
      <c r="O1662" s="11">
        <f t="shared" si="68"/>
        <v>1034301</v>
      </c>
      <c r="P1662" s="11">
        <f t="shared" si="69"/>
        <v>1034401</v>
      </c>
      <c r="Q1662" s="11">
        <f t="shared" si="70"/>
        <v>1034501</v>
      </c>
      <c r="R1662" s="11">
        <f t="shared" si="71"/>
        <v>1034601</v>
      </c>
      <c r="S1662" s="11">
        <f t="shared" si="72"/>
        <v>1034701</v>
      </c>
    </row>
    <row r="1663" spans="1:20">
      <c r="A1663" s="11">
        <f t="shared" si="67"/>
        <v>70346202</v>
      </c>
      <c r="B1663" s="2" t="s">
        <v>1789</v>
      </c>
      <c r="D1663" s="2" t="str">
        <f>E1663&amp;(VLOOKUP(F1663,编号表!$E$1:$G$8,2,0))&amp;G1663&amp;"_"&amp;H1663&amp;"_"&amp;I1663</f>
        <v>34N6_2_2</v>
      </c>
      <c r="E1663" s="2">
        <v>34</v>
      </c>
      <c r="F1663" s="2" t="s">
        <v>174</v>
      </c>
      <c r="G1663" s="2">
        <v>6</v>
      </c>
      <c r="H1663" s="2">
        <v>2</v>
      </c>
      <c r="I1663" s="2">
        <f>COUNTIFS($E$3:E1663,E1663,$H$3:H1663,H1663)</f>
        <v>2</v>
      </c>
      <c r="N1663" s="11">
        <v>1034201</v>
      </c>
      <c r="O1663" s="11">
        <f t="shared" si="68"/>
        <v>1034301</v>
      </c>
      <c r="P1663" s="11">
        <f t="shared" si="69"/>
        <v>1034401</v>
      </c>
      <c r="Q1663" s="11">
        <f t="shared" si="70"/>
        <v>1034501</v>
      </c>
      <c r="R1663" s="11">
        <f t="shared" si="71"/>
        <v>1034601</v>
      </c>
      <c r="S1663" s="11">
        <f t="shared" si="72"/>
        <v>1034701</v>
      </c>
    </row>
    <row r="1664" spans="1:20">
      <c r="A1664" s="11">
        <f t="shared" si="67"/>
        <v>70346203</v>
      </c>
      <c r="B1664" s="2" t="s">
        <v>1790</v>
      </c>
      <c r="D1664" s="2" t="str">
        <f>E1664&amp;(VLOOKUP(F1664,编号表!$E$1:$G$8,2,0))&amp;G1664&amp;"_"&amp;H1664&amp;"_"&amp;I1664</f>
        <v>34N6_2_3</v>
      </c>
      <c r="E1664" s="2">
        <v>34</v>
      </c>
      <c r="F1664" s="2" t="s">
        <v>174</v>
      </c>
      <c r="G1664" s="2">
        <v>6</v>
      </c>
      <c r="H1664" s="2">
        <v>2</v>
      </c>
      <c r="I1664" s="2">
        <f>COUNTIFS($E$3:E1664,E1664,$H$3:H1664,H1664)</f>
        <v>3</v>
      </c>
      <c r="N1664" s="11">
        <v>1034201</v>
      </c>
      <c r="O1664" s="11">
        <f t="shared" si="68"/>
        <v>1034301</v>
      </c>
      <c r="P1664" s="11">
        <f t="shared" si="69"/>
        <v>1034401</v>
      </c>
      <c r="Q1664" s="11">
        <f t="shared" si="70"/>
        <v>1034501</v>
      </c>
      <c r="R1664" s="11">
        <f t="shared" si="71"/>
        <v>1034601</v>
      </c>
      <c r="S1664" s="11">
        <f t="shared" si="72"/>
        <v>1034701</v>
      </c>
    </row>
    <row r="1665" spans="1:19">
      <c r="A1665" s="11">
        <f t="shared" ref="A1665:A1728" si="73">70000000+E1665*10000+G1665*1000+H1665*100+I1665</f>
        <v>70346204</v>
      </c>
      <c r="B1665" s="2" t="s">
        <v>1791</v>
      </c>
      <c r="D1665" s="2" t="str">
        <f>E1665&amp;(VLOOKUP(F1665,编号表!$E$1:$G$8,2,0))&amp;G1665&amp;"_"&amp;H1665&amp;"_"&amp;I1665</f>
        <v>34N6_2_4</v>
      </c>
      <c r="E1665" s="2">
        <v>34</v>
      </c>
      <c r="F1665" s="2" t="s">
        <v>174</v>
      </c>
      <c r="G1665" s="2">
        <v>6</v>
      </c>
      <c r="H1665" s="2">
        <v>2</v>
      </c>
      <c r="I1665" s="2">
        <f>COUNTIFS($E$3:E1665,E1665,$H$3:H1665,H1665)</f>
        <v>4</v>
      </c>
      <c r="N1665" s="11">
        <v>1034201</v>
      </c>
      <c r="O1665" s="11">
        <f t="shared" si="68"/>
        <v>1034301</v>
      </c>
      <c r="P1665" s="11">
        <f t="shared" si="69"/>
        <v>1034401</v>
      </c>
      <c r="Q1665" s="11">
        <f t="shared" si="70"/>
        <v>1034501</v>
      </c>
      <c r="R1665" s="11">
        <f t="shared" si="71"/>
        <v>1034601</v>
      </c>
      <c r="S1665" s="11">
        <f t="shared" si="72"/>
        <v>1034701</v>
      </c>
    </row>
    <row r="1666" spans="1:19">
      <c r="A1666" s="11">
        <f t="shared" si="73"/>
        <v>70343205</v>
      </c>
      <c r="B1666" s="2" t="s">
        <v>1792</v>
      </c>
      <c r="D1666" s="2" t="str">
        <f>E1666&amp;(VLOOKUP(F1666,编号表!$E$1:$G$8,2,0))&amp;G1666&amp;"_"&amp;H1666&amp;"_"&amp;I1666</f>
        <v>34N3_2_5</v>
      </c>
      <c r="E1666" s="2">
        <v>34</v>
      </c>
      <c r="F1666" s="2" t="s">
        <v>174</v>
      </c>
      <c r="G1666" s="2">
        <v>3</v>
      </c>
      <c r="H1666" s="2">
        <v>2</v>
      </c>
      <c r="I1666" s="2">
        <f>COUNTIFS($E$3:E1666,E1666,$H$3:H1666,H1666)</f>
        <v>5</v>
      </c>
      <c r="N1666" s="11">
        <v>1034201</v>
      </c>
      <c r="O1666" s="11">
        <f t="shared" si="68"/>
        <v>1034301</v>
      </c>
      <c r="P1666" s="11">
        <f t="shared" si="69"/>
        <v>1034401</v>
      </c>
      <c r="Q1666" s="11">
        <f t="shared" si="70"/>
        <v>1034501</v>
      </c>
      <c r="R1666" s="11">
        <f t="shared" si="71"/>
        <v>1034601</v>
      </c>
      <c r="S1666" s="11">
        <f t="shared" si="72"/>
        <v>1034701</v>
      </c>
    </row>
    <row r="1667" spans="1:19">
      <c r="A1667" s="11">
        <f t="shared" si="73"/>
        <v>70343301</v>
      </c>
      <c r="B1667" s="16" t="s">
        <v>112</v>
      </c>
      <c r="C1667" s="2" t="s">
        <v>1757</v>
      </c>
      <c r="D1667" s="2" t="str">
        <f>E1667&amp;(VLOOKUP(F1667,编号表!$E$1:$G$8,2,0))&amp;G1667&amp;"_"&amp;H1667&amp;"_"&amp;I1667</f>
        <v>34T3_3_1</v>
      </c>
      <c r="E1667" s="2">
        <v>34</v>
      </c>
      <c r="F1667" s="2" t="s">
        <v>190</v>
      </c>
      <c r="G1667" s="2">
        <v>3</v>
      </c>
      <c r="H1667" s="2">
        <v>3</v>
      </c>
      <c r="I1667" s="2">
        <f>COUNTIFS($E$3:E1667,E1667,$H$3:H1667,H1667)</f>
        <v>1</v>
      </c>
      <c r="L1667" s="2">
        <v>168</v>
      </c>
    </row>
    <row r="1668" spans="1:19">
      <c r="A1668" s="11">
        <f t="shared" si="73"/>
        <v>70341302</v>
      </c>
      <c r="B1668" s="15" t="s">
        <v>1756</v>
      </c>
      <c r="D1668" s="2" t="str">
        <f>E1668&amp;(VLOOKUP(F1668,编号表!$E$1:$G$8,2,0))&amp;G1668&amp;"_"&amp;H1668&amp;"_"&amp;I1668</f>
        <v>34T1_3_2</v>
      </c>
      <c r="E1668" s="2">
        <v>34</v>
      </c>
      <c r="F1668" s="2" t="s">
        <v>190</v>
      </c>
      <c r="G1668" s="2">
        <v>1</v>
      </c>
      <c r="H1668" s="2">
        <v>3</v>
      </c>
      <c r="I1668" s="2">
        <f>COUNTIFS($E$3:E1668,E1668,$H$3:H1668,H1668)</f>
        <v>2</v>
      </c>
      <c r="K1668" s="2">
        <v>1</v>
      </c>
    </row>
    <row r="1669" spans="1:19">
      <c r="A1669" s="11">
        <f t="shared" si="73"/>
        <v>70343303</v>
      </c>
      <c r="B1669" s="2" t="s">
        <v>1793</v>
      </c>
      <c r="D1669" s="2" t="str">
        <f>E1669&amp;(VLOOKUP(F1669,编号表!$E$1:$G$8,2,0))&amp;G1669&amp;"_"&amp;H1669&amp;"_"&amp;I1669</f>
        <v>34N3_3_3</v>
      </c>
      <c r="E1669" s="2">
        <v>34</v>
      </c>
      <c r="F1669" s="2" t="s">
        <v>174</v>
      </c>
      <c r="G1669" s="2">
        <v>3</v>
      </c>
      <c r="H1669" s="2">
        <v>3</v>
      </c>
      <c r="I1669" s="2">
        <f>COUNTIFS($E$3:E1669,E1669,$H$3:H1669,H1669)</f>
        <v>3</v>
      </c>
      <c r="N1669" s="11">
        <v>1034201</v>
      </c>
      <c r="O1669" s="11">
        <f t="shared" ref="O1669:O1683" si="74">N1669+100</f>
        <v>1034301</v>
      </c>
      <c r="P1669" s="11">
        <f t="shared" ref="P1669:P1683" si="75">O1669+100</f>
        <v>1034401</v>
      </c>
      <c r="Q1669" s="11">
        <f t="shared" ref="Q1669:Q1683" si="76">P1669+100</f>
        <v>1034501</v>
      </c>
      <c r="R1669" s="11">
        <f t="shared" ref="R1669:R1683" si="77">Q1669+100</f>
        <v>1034601</v>
      </c>
      <c r="S1669" s="11">
        <f t="shared" ref="S1669:S1683" si="78">R1669+100</f>
        <v>1034701</v>
      </c>
    </row>
    <row r="1670" spans="1:19">
      <c r="A1670" s="11">
        <f t="shared" si="73"/>
        <v>70343304</v>
      </c>
      <c r="B1670" s="2" t="s">
        <v>1794</v>
      </c>
      <c r="D1670" s="2" t="str">
        <f>E1670&amp;(VLOOKUP(F1670,编号表!$E$1:$G$8,2,0))&amp;G1670&amp;"_"&amp;H1670&amp;"_"&amp;I1670</f>
        <v>34N3_3_4</v>
      </c>
      <c r="E1670" s="2">
        <v>34</v>
      </c>
      <c r="F1670" s="2" t="s">
        <v>174</v>
      </c>
      <c r="G1670" s="2">
        <v>3</v>
      </c>
      <c r="H1670" s="2">
        <v>3</v>
      </c>
      <c r="I1670" s="2">
        <f>COUNTIFS($E$3:E1670,E1670,$H$3:H1670,H1670)</f>
        <v>4</v>
      </c>
      <c r="N1670" s="11">
        <v>1034201</v>
      </c>
      <c r="O1670" s="11">
        <f t="shared" si="74"/>
        <v>1034301</v>
      </c>
      <c r="P1670" s="11">
        <f t="shared" si="75"/>
        <v>1034401</v>
      </c>
      <c r="Q1670" s="11">
        <f t="shared" si="76"/>
        <v>1034501</v>
      </c>
      <c r="R1670" s="11">
        <f t="shared" si="77"/>
        <v>1034601</v>
      </c>
      <c r="S1670" s="11">
        <f t="shared" si="78"/>
        <v>1034701</v>
      </c>
    </row>
    <row r="1671" spans="1:19">
      <c r="A1671" s="11">
        <f t="shared" si="73"/>
        <v>70347305</v>
      </c>
      <c r="B1671" s="2" t="s">
        <v>1795</v>
      </c>
      <c r="D1671" s="2" t="str">
        <f>E1671&amp;(VLOOKUP(F1671,编号表!$E$1:$G$8,2,0))&amp;G1671&amp;"_"&amp;H1671&amp;"_"&amp;I1671</f>
        <v>34N7_3_5</v>
      </c>
      <c r="E1671" s="2">
        <v>34</v>
      </c>
      <c r="F1671" s="2" t="s">
        <v>174</v>
      </c>
      <c r="G1671" s="2">
        <v>7</v>
      </c>
      <c r="H1671" s="2">
        <v>3</v>
      </c>
      <c r="I1671" s="2">
        <f>COUNTIFS($E$3:E1671,E1671,$H$3:H1671,H1671)</f>
        <v>5</v>
      </c>
      <c r="N1671" s="11">
        <v>1034201</v>
      </c>
      <c r="O1671" s="11">
        <f t="shared" si="74"/>
        <v>1034301</v>
      </c>
      <c r="P1671" s="11">
        <f t="shared" si="75"/>
        <v>1034401</v>
      </c>
      <c r="Q1671" s="11">
        <f t="shared" si="76"/>
        <v>1034501</v>
      </c>
      <c r="R1671" s="11">
        <f t="shared" si="77"/>
        <v>1034601</v>
      </c>
      <c r="S1671" s="11">
        <f t="shared" si="78"/>
        <v>1034701</v>
      </c>
    </row>
    <row r="1672" spans="1:19">
      <c r="A1672" s="11">
        <f t="shared" si="73"/>
        <v>70347306</v>
      </c>
      <c r="B1672" s="2" t="s">
        <v>1796</v>
      </c>
      <c r="D1672" s="2" t="str">
        <f>E1672&amp;(VLOOKUP(F1672,编号表!$E$1:$G$8,2,0))&amp;G1672&amp;"_"&amp;H1672&amp;"_"&amp;I1672</f>
        <v>34N7_3_6</v>
      </c>
      <c r="E1672" s="2">
        <v>34</v>
      </c>
      <c r="F1672" s="2" t="s">
        <v>174</v>
      </c>
      <c r="G1672" s="2">
        <v>7</v>
      </c>
      <c r="H1672" s="2">
        <v>3</v>
      </c>
      <c r="I1672" s="2">
        <f>COUNTIFS($E$3:E1672,E1672,$H$3:H1672,H1672)</f>
        <v>6</v>
      </c>
      <c r="N1672" s="11">
        <v>1034201</v>
      </c>
      <c r="O1672" s="11">
        <f t="shared" si="74"/>
        <v>1034301</v>
      </c>
      <c r="P1672" s="11">
        <f t="shared" si="75"/>
        <v>1034401</v>
      </c>
      <c r="Q1672" s="11">
        <f t="shared" si="76"/>
        <v>1034501</v>
      </c>
      <c r="R1672" s="11">
        <f t="shared" si="77"/>
        <v>1034601</v>
      </c>
      <c r="S1672" s="11">
        <f t="shared" si="78"/>
        <v>1034701</v>
      </c>
    </row>
    <row r="1673" spans="1:19">
      <c r="A1673" s="11">
        <f t="shared" si="73"/>
        <v>70347307</v>
      </c>
      <c r="B1673" s="2" t="s">
        <v>1797</v>
      </c>
      <c r="D1673" s="2" t="str">
        <f>E1673&amp;(VLOOKUP(F1673,编号表!$E$1:$G$8,2,0))&amp;G1673&amp;"_"&amp;H1673&amp;"_"&amp;I1673</f>
        <v>34N7_3_7</v>
      </c>
      <c r="E1673" s="2">
        <v>34</v>
      </c>
      <c r="F1673" s="2" t="s">
        <v>174</v>
      </c>
      <c r="G1673" s="2">
        <v>7</v>
      </c>
      <c r="H1673" s="2">
        <v>3</v>
      </c>
      <c r="I1673" s="2">
        <f>COUNTIFS($E$3:E1673,E1673,$H$3:H1673,H1673)</f>
        <v>7</v>
      </c>
      <c r="N1673" s="11">
        <v>1034201</v>
      </c>
      <c r="O1673" s="11">
        <f t="shared" si="74"/>
        <v>1034301</v>
      </c>
      <c r="P1673" s="11">
        <f t="shared" si="75"/>
        <v>1034401</v>
      </c>
      <c r="Q1673" s="11">
        <f t="shared" si="76"/>
        <v>1034501</v>
      </c>
      <c r="R1673" s="11">
        <f t="shared" si="77"/>
        <v>1034601</v>
      </c>
      <c r="S1673" s="11">
        <f t="shared" si="78"/>
        <v>1034701</v>
      </c>
    </row>
    <row r="1674" spans="1:19">
      <c r="A1674" s="11">
        <f t="shared" si="73"/>
        <v>70347308</v>
      </c>
      <c r="B1674" s="2" t="s">
        <v>1798</v>
      </c>
      <c r="D1674" s="2" t="str">
        <f>E1674&amp;(VLOOKUP(F1674,编号表!$E$1:$G$8,2,0))&amp;G1674&amp;"_"&amp;H1674&amp;"_"&amp;I1674</f>
        <v>34N7_3_8</v>
      </c>
      <c r="E1674" s="2">
        <v>34</v>
      </c>
      <c r="F1674" s="2" t="s">
        <v>174</v>
      </c>
      <c r="G1674" s="2">
        <v>7</v>
      </c>
      <c r="H1674" s="2">
        <v>3</v>
      </c>
      <c r="I1674" s="2">
        <f>COUNTIFS($E$3:E1674,E1674,$H$3:H1674,H1674)</f>
        <v>8</v>
      </c>
      <c r="N1674" s="11">
        <v>1034201</v>
      </c>
      <c r="O1674" s="11">
        <f t="shared" si="74"/>
        <v>1034301</v>
      </c>
      <c r="P1674" s="11">
        <f t="shared" si="75"/>
        <v>1034401</v>
      </c>
      <c r="Q1674" s="11">
        <f t="shared" si="76"/>
        <v>1034501</v>
      </c>
      <c r="R1674" s="11">
        <f t="shared" si="77"/>
        <v>1034601</v>
      </c>
      <c r="S1674" s="11">
        <f t="shared" si="78"/>
        <v>1034701</v>
      </c>
    </row>
    <row r="1675" spans="1:19">
      <c r="A1675" s="11">
        <f t="shared" si="73"/>
        <v>70347309</v>
      </c>
      <c r="B1675" s="2" t="s">
        <v>1799</v>
      </c>
      <c r="D1675" s="2" t="str">
        <f>E1675&amp;(VLOOKUP(F1675,编号表!$E$1:$G$8,2,0))&amp;G1675&amp;"_"&amp;H1675&amp;"_"&amp;I1675</f>
        <v>34N7_3_9</v>
      </c>
      <c r="E1675" s="2">
        <v>34</v>
      </c>
      <c r="F1675" s="2" t="s">
        <v>174</v>
      </c>
      <c r="G1675" s="2">
        <v>7</v>
      </c>
      <c r="H1675" s="2">
        <v>3</v>
      </c>
      <c r="I1675" s="2">
        <f>COUNTIFS($E$3:E1675,E1675,$H$3:H1675,H1675)</f>
        <v>9</v>
      </c>
      <c r="N1675" s="11">
        <v>1034201</v>
      </c>
      <c r="O1675" s="11">
        <f t="shared" si="74"/>
        <v>1034301</v>
      </c>
      <c r="P1675" s="11">
        <f t="shared" si="75"/>
        <v>1034401</v>
      </c>
      <c r="Q1675" s="11">
        <f t="shared" si="76"/>
        <v>1034501</v>
      </c>
      <c r="R1675" s="11">
        <f t="shared" si="77"/>
        <v>1034601</v>
      </c>
      <c r="S1675" s="11">
        <f t="shared" si="78"/>
        <v>1034701</v>
      </c>
    </row>
    <row r="1676" spans="1:19">
      <c r="A1676" s="11">
        <f t="shared" si="73"/>
        <v>70347310</v>
      </c>
      <c r="B1676" s="2" t="s">
        <v>1800</v>
      </c>
      <c r="D1676" s="2" t="str">
        <f>E1676&amp;(VLOOKUP(F1676,编号表!$E$1:$G$8,2,0))&amp;G1676&amp;"_"&amp;H1676&amp;"_"&amp;I1676</f>
        <v>34N7_3_10</v>
      </c>
      <c r="E1676" s="2">
        <v>34</v>
      </c>
      <c r="F1676" s="2" t="s">
        <v>174</v>
      </c>
      <c r="G1676" s="2">
        <v>7</v>
      </c>
      <c r="H1676" s="2">
        <v>3</v>
      </c>
      <c r="I1676" s="2">
        <f>COUNTIFS($E$3:E1676,E1676,$H$3:H1676,H1676)</f>
        <v>10</v>
      </c>
      <c r="N1676" s="11">
        <v>1034201</v>
      </c>
      <c r="O1676" s="11">
        <f t="shared" si="74"/>
        <v>1034301</v>
      </c>
      <c r="P1676" s="11">
        <f t="shared" si="75"/>
        <v>1034401</v>
      </c>
      <c r="Q1676" s="11">
        <f t="shared" si="76"/>
        <v>1034501</v>
      </c>
      <c r="R1676" s="11">
        <f t="shared" si="77"/>
        <v>1034601</v>
      </c>
      <c r="S1676" s="11">
        <f t="shared" si="78"/>
        <v>1034701</v>
      </c>
    </row>
    <row r="1677" spans="1:19">
      <c r="A1677" s="11">
        <f t="shared" si="73"/>
        <v>70346401</v>
      </c>
      <c r="B1677" s="2" t="s">
        <v>1801</v>
      </c>
      <c r="D1677" s="2" t="str">
        <f>E1677&amp;(VLOOKUP(F1677,编号表!$E$1:$G$8,2,0))&amp;G1677&amp;"_"&amp;H1677&amp;"_"&amp;I1677</f>
        <v>34N6_4_1</v>
      </c>
      <c r="E1677" s="2">
        <v>34</v>
      </c>
      <c r="F1677" s="2" t="s">
        <v>174</v>
      </c>
      <c r="G1677" s="2">
        <v>6</v>
      </c>
      <c r="H1677" s="2">
        <v>4</v>
      </c>
      <c r="I1677" s="2">
        <f>COUNTIFS($E$3:E1677,E1677,$H$3:H1677,H1677)</f>
        <v>1</v>
      </c>
      <c r="N1677" s="11">
        <v>1034201</v>
      </c>
      <c r="O1677" s="11">
        <f t="shared" si="74"/>
        <v>1034301</v>
      </c>
      <c r="P1677" s="11">
        <f t="shared" si="75"/>
        <v>1034401</v>
      </c>
      <c r="Q1677" s="11">
        <f t="shared" si="76"/>
        <v>1034501</v>
      </c>
      <c r="R1677" s="11">
        <f t="shared" si="77"/>
        <v>1034601</v>
      </c>
      <c r="S1677" s="11">
        <f t="shared" si="78"/>
        <v>1034701</v>
      </c>
    </row>
    <row r="1678" spans="1:19">
      <c r="A1678" s="11">
        <f t="shared" si="73"/>
        <v>70346402</v>
      </c>
      <c r="B1678" s="2" t="s">
        <v>1802</v>
      </c>
      <c r="D1678" s="2" t="str">
        <f>E1678&amp;(VLOOKUP(F1678,编号表!$E$1:$G$8,2,0))&amp;G1678&amp;"_"&amp;H1678&amp;"_"&amp;I1678</f>
        <v>34N6_4_2</v>
      </c>
      <c r="E1678" s="2">
        <v>34</v>
      </c>
      <c r="F1678" s="2" t="s">
        <v>174</v>
      </c>
      <c r="G1678" s="2">
        <v>6</v>
      </c>
      <c r="H1678" s="2">
        <v>4</v>
      </c>
      <c r="I1678" s="2">
        <f>COUNTIFS($E$3:E1678,E1678,$H$3:H1678,H1678)</f>
        <v>2</v>
      </c>
      <c r="N1678" s="11">
        <v>1034201</v>
      </c>
      <c r="O1678" s="11">
        <f t="shared" si="74"/>
        <v>1034301</v>
      </c>
      <c r="P1678" s="11">
        <f t="shared" si="75"/>
        <v>1034401</v>
      </c>
      <c r="Q1678" s="11">
        <f t="shared" si="76"/>
        <v>1034501</v>
      </c>
      <c r="R1678" s="11">
        <f t="shared" si="77"/>
        <v>1034601</v>
      </c>
      <c r="S1678" s="11">
        <f t="shared" si="78"/>
        <v>1034701</v>
      </c>
    </row>
    <row r="1679" spans="1:19">
      <c r="A1679" s="11">
        <f t="shared" si="73"/>
        <v>70346403</v>
      </c>
      <c r="B1679" s="2" t="s">
        <v>1803</v>
      </c>
      <c r="D1679" s="2" t="str">
        <f>E1679&amp;(VLOOKUP(F1679,编号表!$E$1:$G$8,2,0))&amp;G1679&amp;"_"&amp;H1679&amp;"_"&amp;I1679</f>
        <v>34N6_4_3</v>
      </c>
      <c r="E1679" s="2">
        <v>34</v>
      </c>
      <c r="F1679" s="2" t="s">
        <v>174</v>
      </c>
      <c r="G1679" s="2">
        <v>6</v>
      </c>
      <c r="H1679" s="2">
        <v>4</v>
      </c>
      <c r="I1679" s="2">
        <f>COUNTIFS($E$3:E1679,E1679,$H$3:H1679,H1679)</f>
        <v>3</v>
      </c>
      <c r="N1679" s="11">
        <v>1034201</v>
      </c>
      <c r="O1679" s="11">
        <f t="shared" si="74"/>
        <v>1034301</v>
      </c>
      <c r="P1679" s="11">
        <f t="shared" si="75"/>
        <v>1034401</v>
      </c>
      <c r="Q1679" s="11">
        <f t="shared" si="76"/>
        <v>1034501</v>
      </c>
      <c r="R1679" s="11">
        <f t="shared" si="77"/>
        <v>1034601</v>
      </c>
      <c r="S1679" s="11">
        <f t="shared" si="78"/>
        <v>1034701</v>
      </c>
    </row>
    <row r="1680" spans="1:19">
      <c r="A1680" s="11">
        <f t="shared" si="73"/>
        <v>70346404</v>
      </c>
      <c r="B1680" s="2" t="s">
        <v>1804</v>
      </c>
      <c r="D1680" s="2" t="str">
        <f>E1680&amp;(VLOOKUP(F1680,编号表!$E$1:$G$8,2,0))&amp;G1680&amp;"_"&amp;H1680&amp;"_"&amp;I1680</f>
        <v>34N6_4_4</v>
      </c>
      <c r="E1680" s="2">
        <v>34</v>
      </c>
      <c r="F1680" s="2" t="s">
        <v>174</v>
      </c>
      <c r="G1680" s="2">
        <v>6</v>
      </c>
      <c r="H1680" s="2">
        <v>4</v>
      </c>
      <c r="I1680" s="2">
        <f>COUNTIFS($E$3:E1680,E1680,$H$3:H1680,H1680)</f>
        <v>4</v>
      </c>
      <c r="N1680" s="11">
        <v>1034201</v>
      </c>
      <c r="O1680" s="11">
        <f t="shared" si="74"/>
        <v>1034301</v>
      </c>
      <c r="P1680" s="11">
        <f t="shared" si="75"/>
        <v>1034401</v>
      </c>
      <c r="Q1680" s="11">
        <f t="shared" si="76"/>
        <v>1034501</v>
      </c>
      <c r="R1680" s="11">
        <f t="shared" si="77"/>
        <v>1034601</v>
      </c>
      <c r="S1680" s="11">
        <f t="shared" si="78"/>
        <v>1034701</v>
      </c>
    </row>
    <row r="1681" spans="1:19">
      <c r="A1681" s="11">
        <f t="shared" si="73"/>
        <v>70343405</v>
      </c>
      <c r="B1681" s="2" t="s">
        <v>1805</v>
      </c>
      <c r="D1681" s="2" t="str">
        <f>E1681&amp;(VLOOKUP(F1681,编号表!$E$1:$G$8,2,0))&amp;G1681&amp;"_"&amp;H1681&amp;"_"&amp;I1681</f>
        <v>34N3_4_5</v>
      </c>
      <c r="E1681" s="2">
        <v>34</v>
      </c>
      <c r="F1681" s="2" t="s">
        <v>174</v>
      </c>
      <c r="G1681" s="2">
        <v>3</v>
      </c>
      <c r="H1681" s="2">
        <v>4</v>
      </c>
      <c r="I1681" s="2">
        <f>COUNTIFS($E$3:E1681,E1681,$H$3:H1681,H1681)</f>
        <v>5</v>
      </c>
      <c r="N1681" s="11">
        <v>1034201</v>
      </c>
      <c r="O1681" s="11">
        <f t="shared" si="74"/>
        <v>1034301</v>
      </c>
      <c r="P1681" s="11">
        <f t="shared" si="75"/>
        <v>1034401</v>
      </c>
      <c r="Q1681" s="11">
        <f t="shared" si="76"/>
        <v>1034501</v>
      </c>
      <c r="R1681" s="11">
        <f t="shared" si="77"/>
        <v>1034601</v>
      </c>
      <c r="S1681" s="11">
        <f t="shared" si="78"/>
        <v>1034701</v>
      </c>
    </row>
    <row r="1682" spans="1:19">
      <c r="A1682" s="11">
        <f t="shared" si="73"/>
        <v>70347501</v>
      </c>
      <c r="B1682" s="2" t="s">
        <v>1806</v>
      </c>
      <c r="D1682" s="2" t="str">
        <f>E1682&amp;(VLOOKUP(F1682,编号表!$E$1:$G$8,2,0))&amp;G1682&amp;"_"&amp;H1682&amp;"_"&amp;I1682</f>
        <v>34N7_5_1</v>
      </c>
      <c r="E1682" s="2">
        <v>34</v>
      </c>
      <c r="F1682" s="2" t="s">
        <v>174</v>
      </c>
      <c r="G1682" s="2">
        <v>7</v>
      </c>
      <c r="H1682" s="2">
        <v>5</v>
      </c>
      <c r="I1682" s="2">
        <f>COUNTIFS($E$3:E1682,E1682,$H$3:H1682,H1682)</f>
        <v>1</v>
      </c>
      <c r="N1682" s="11">
        <v>1034201</v>
      </c>
      <c r="O1682" s="11">
        <f t="shared" si="74"/>
        <v>1034301</v>
      </c>
      <c r="P1682" s="11">
        <f t="shared" si="75"/>
        <v>1034401</v>
      </c>
      <c r="Q1682" s="11">
        <f t="shared" si="76"/>
        <v>1034501</v>
      </c>
      <c r="R1682" s="11">
        <f t="shared" si="77"/>
        <v>1034601</v>
      </c>
      <c r="S1682" s="11">
        <f t="shared" si="78"/>
        <v>1034701</v>
      </c>
    </row>
    <row r="1683" spans="1:19">
      <c r="A1683" s="11">
        <f t="shared" si="73"/>
        <v>70347502</v>
      </c>
      <c r="B1683" s="2" t="s">
        <v>1807</v>
      </c>
      <c r="D1683" s="2" t="str">
        <f>E1683&amp;(VLOOKUP(F1683,编号表!$E$1:$G$8,2,0))&amp;G1683&amp;"_"&amp;H1683&amp;"_"&amp;I1683</f>
        <v>34N7_5_2</v>
      </c>
      <c r="E1683" s="2">
        <v>34</v>
      </c>
      <c r="F1683" s="2" t="s">
        <v>174</v>
      </c>
      <c r="G1683" s="2">
        <v>7</v>
      </c>
      <c r="H1683" s="2">
        <v>5</v>
      </c>
      <c r="I1683" s="2">
        <f>COUNTIFS($E$3:E1683,E1683,$H$3:H1683,H1683)</f>
        <v>2</v>
      </c>
      <c r="N1683" s="11">
        <v>1034201</v>
      </c>
      <c r="O1683" s="11">
        <f t="shared" si="74"/>
        <v>1034301</v>
      </c>
      <c r="P1683" s="11">
        <f t="shared" si="75"/>
        <v>1034401</v>
      </c>
      <c r="Q1683" s="11">
        <f t="shared" si="76"/>
        <v>1034501</v>
      </c>
      <c r="R1683" s="11">
        <f t="shared" si="77"/>
        <v>1034601</v>
      </c>
      <c r="S1683" s="11">
        <f t="shared" si="78"/>
        <v>1034701</v>
      </c>
    </row>
    <row r="1684" spans="1:19">
      <c r="A1684" s="11">
        <f t="shared" si="73"/>
        <v>70340001</v>
      </c>
      <c r="B1684" s="24" t="s">
        <v>1808</v>
      </c>
      <c r="D1684" s="2" t="str">
        <f>E1684&amp;(VLOOKUP(F1684,编号表!$E$1:$G$8,2,0))&amp;G1684&amp;"_"&amp;H1684&amp;"_"&amp;I1684</f>
        <v>34J0_0_1</v>
      </c>
      <c r="E1684" s="2">
        <v>34</v>
      </c>
      <c r="F1684" s="2" t="s">
        <v>222</v>
      </c>
      <c r="G1684" s="2">
        <v>0</v>
      </c>
      <c r="H1684" s="2">
        <v>0</v>
      </c>
      <c r="I1684" s="2">
        <f>COUNTIFS($E$3:E1684,E1684,$H$3:H1684,H1684)</f>
        <v>1</v>
      </c>
      <c r="J1684" s="2">
        <v>1</v>
      </c>
    </row>
    <row r="1685" spans="1:19">
      <c r="A1685" s="11">
        <f t="shared" si="73"/>
        <v>70355101</v>
      </c>
      <c r="B1685" s="2" t="s">
        <v>1809</v>
      </c>
      <c r="D1685" s="2" t="str">
        <f>E1685&amp;(VLOOKUP(F1685,编号表!$E$1:$G$8,2,0))&amp;G1685&amp;"_"&amp;H1685&amp;"_"&amp;I1685</f>
        <v>35N5_1_1</v>
      </c>
      <c r="E1685" s="2">
        <v>35</v>
      </c>
      <c r="F1685" s="2" t="s">
        <v>174</v>
      </c>
      <c r="G1685" s="2">
        <v>5</v>
      </c>
      <c r="H1685" s="2">
        <v>1</v>
      </c>
      <c r="I1685" s="2">
        <f>COUNTIFS($E$3:E1685,E1685,$H$3:H1685,H1685)</f>
        <v>1</v>
      </c>
      <c r="N1685" s="11">
        <v>1035201</v>
      </c>
      <c r="O1685" s="11">
        <v>1035301</v>
      </c>
      <c r="P1685" s="11">
        <v>1035401</v>
      </c>
      <c r="Q1685" s="11">
        <v>1035501</v>
      </c>
      <c r="R1685" s="11">
        <v>1035601</v>
      </c>
      <c r="S1685" s="11">
        <v>1035001</v>
      </c>
    </row>
    <row r="1686" spans="1:19">
      <c r="A1686" s="11">
        <f t="shared" si="73"/>
        <v>70356102</v>
      </c>
      <c r="B1686" s="2" t="s">
        <v>1810</v>
      </c>
      <c r="D1686" s="2" t="str">
        <f>E1686&amp;(VLOOKUP(F1686,编号表!$E$1:$G$8,2,0))&amp;G1686&amp;"_"&amp;H1686&amp;"_"&amp;I1686</f>
        <v>35N6_1_2</v>
      </c>
      <c r="E1686" s="2">
        <v>35</v>
      </c>
      <c r="F1686" s="2" t="s">
        <v>174</v>
      </c>
      <c r="G1686" s="2">
        <v>6</v>
      </c>
      <c r="H1686" s="2">
        <v>1</v>
      </c>
      <c r="I1686" s="2">
        <f>COUNTIFS($E$3:E1686,E1686,$H$3:H1686,H1686)</f>
        <v>2</v>
      </c>
      <c r="N1686" s="11">
        <v>1035201</v>
      </c>
      <c r="O1686" s="11">
        <v>1035301</v>
      </c>
      <c r="P1686" s="11">
        <v>1035401</v>
      </c>
      <c r="Q1686" s="11">
        <v>1035501</v>
      </c>
      <c r="R1686" s="11">
        <v>1035101</v>
      </c>
    </row>
    <row r="1687" spans="1:19">
      <c r="A1687" s="11">
        <f t="shared" si="73"/>
        <v>70356103</v>
      </c>
      <c r="B1687" s="2" t="s">
        <v>1811</v>
      </c>
      <c r="D1687" s="2" t="str">
        <f>E1687&amp;(VLOOKUP(F1687,编号表!$E$1:$G$8,2,0))&amp;G1687&amp;"_"&amp;H1687&amp;"_"&amp;I1687</f>
        <v>35N6_1_3</v>
      </c>
      <c r="E1687" s="2">
        <v>35</v>
      </c>
      <c r="F1687" s="2" t="s">
        <v>174</v>
      </c>
      <c r="G1687" s="2">
        <v>6</v>
      </c>
      <c r="H1687" s="2">
        <v>1</v>
      </c>
      <c r="I1687" s="2">
        <f>COUNTIFS($E$3:E1687,E1687,$H$3:H1687,H1687)</f>
        <v>3</v>
      </c>
      <c r="N1687" s="11">
        <v>1035201</v>
      </c>
      <c r="O1687" s="11">
        <v>1035301</v>
      </c>
      <c r="P1687" s="11">
        <v>1035401</v>
      </c>
      <c r="Q1687" s="11">
        <v>1035501</v>
      </c>
    </row>
    <row r="1688" spans="1:19">
      <c r="A1688" s="11">
        <f t="shared" si="73"/>
        <v>70356104</v>
      </c>
      <c r="B1688" s="2" t="s">
        <v>1812</v>
      </c>
      <c r="D1688" s="2" t="str">
        <f>E1688&amp;(VLOOKUP(F1688,编号表!$E$1:$G$8,2,0))&amp;G1688&amp;"_"&amp;H1688&amp;"_"&amp;I1688</f>
        <v>35N6_1_4</v>
      </c>
      <c r="E1688" s="2">
        <v>35</v>
      </c>
      <c r="F1688" s="2" t="s">
        <v>174</v>
      </c>
      <c r="G1688" s="2">
        <v>6</v>
      </c>
      <c r="H1688" s="2">
        <v>1</v>
      </c>
      <c r="I1688" s="2">
        <f>COUNTIFS($E$3:E1688,E1688,$H$3:H1688,H1688)</f>
        <v>4</v>
      </c>
      <c r="N1688" s="11">
        <v>1035201</v>
      </c>
      <c r="O1688" s="11">
        <v>1035301</v>
      </c>
      <c r="P1688" s="11">
        <v>1035401</v>
      </c>
      <c r="Q1688" s="11">
        <v>1035501</v>
      </c>
    </row>
    <row r="1689" spans="1:19">
      <c r="A1689" s="11">
        <f t="shared" si="73"/>
        <v>70356105</v>
      </c>
      <c r="B1689" s="2" t="s">
        <v>1813</v>
      </c>
      <c r="D1689" s="2" t="str">
        <f>E1689&amp;(VLOOKUP(F1689,编号表!$E$1:$G$8,2,0))&amp;G1689&amp;"_"&amp;H1689&amp;"_"&amp;I1689</f>
        <v>35N6_1_5</v>
      </c>
      <c r="E1689" s="2">
        <v>35</v>
      </c>
      <c r="F1689" s="2" t="s">
        <v>174</v>
      </c>
      <c r="G1689" s="2">
        <v>6</v>
      </c>
      <c r="H1689" s="2">
        <v>1</v>
      </c>
      <c r="I1689" s="2">
        <f>COUNTIFS($E$3:E1689,E1689,$H$3:H1689,H1689)</f>
        <v>5</v>
      </c>
      <c r="N1689" s="11">
        <v>1035201</v>
      </c>
      <c r="O1689" s="11">
        <v>1035301</v>
      </c>
      <c r="P1689" s="11">
        <v>1035401</v>
      </c>
      <c r="Q1689" s="11">
        <v>1035501</v>
      </c>
    </row>
    <row r="1690" spans="1:19">
      <c r="A1690" s="11">
        <f t="shared" si="73"/>
        <v>70355106</v>
      </c>
      <c r="B1690" s="2" t="s">
        <v>1814</v>
      </c>
      <c r="D1690" s="2" t="str">
        <f>E1690&amp;(VLOOKUP(F1690,编号表!$E$1:$G$8,2,0))&amp;G1690&amp;"_"&amp;H1690&amp;"_"&amp;I1690</f>
        <v>35N5_1_6</v>
      </c>
      <c r="E1690" s="2">
        <v>35</v>
      </c>
      <c r="F1690" s="2" t="s">
        <v>174</v>
      </c>
      <c r="G1690" s="2">
        <v>5</v>
      </c>
      <c r="H1690" s="2">
        <v>1</v>
      </c>
      <c r="I1690" s="2">
        <f>COUNTIFS($E$3:E1690,E1690,$H$3:H1690,H1690)</f>
        <v>6</v>
      </c>
      <c r="N1690" s="11">
        <v>1035201</v>
      </c>
      <c r="O1690" s="11">
        <v>1035301</v>
      </c>
      <c r="P1690" s="11">
        <v>1035401</v>
      </c>
      <c r="Q1690" s="11">
        <v>1035501</v>
      </c>
    </row>
    <row r="1691" spans="1:19">
      <c r="A1691" s="11">
        <f t="shared" si="73"/>
        <v>70351107</v>
      </c>
      <c r="B1691" s="15" t="s">
        <v>1815</v>
      </c>
      <c r="D1691" s="2" t="str">
        <f>E1691&amp;(VLOOKUP(F1691,编号表!$E$1:$G$8,2,0))&amp;G1691&amp;"_"&amp;H1691&amp;"_"&amp;I1691</f>
        <v>35T1_1_7</v>
      </c>
      <c r="E1691" s="2">
        <v>35</v>
      </c>
      <c r="F1691" s="2" t="s">
        <v>190</v>
      </c>
      <c r="G1691" s="2">
        <v>1</v>
      </c>
      <c r="H1691" s="2">
        <v>1</v>
      </c>
      <c r="I1691" s="2">
        <f>COUNTIFS($E$3:E1691,E1691,$H$3:H1691,H1691)</f>
        <v>7</v>
      </c>
    </row>
    <row r="1692" spans="1:19">
      <c r="A1692" s="11">
        <f t="shared" si="73"/>
        <v>70353108</v>
      </c>
      <c r="B1692" s="16" t="s">
        <v>121</v>
      </c>
      <c r="C1692" s="2" t="s">
        <v>1816</v>
      </c>
      <c r="D1692" s="2" t="str">
        <f>E1692&amp;(VLOOKUP(F1692,编号表!$E$1:$G$8,2,0))&amp;G1692&amp;"_"&amp;H1692&amp;"_"&amp;I1692</f>
        <v>35T3_1_8</v>
      </c>
      <c r="E1692" s="2">
        <v>35</v>
      </c>
      <c r="F1692" s="2" t="s">
        <v>190</v>
      </c>
      <c r="G1692" s="2">
        <v>3</v>
      </c>
      <c r="H1692" s="2">
        <v>1</v>
      </c>
      <c r="I1692" s="2">
        <f>COUNTIFS($E$3:E1692,E1692,$H$3:H1692,H1692)</f>
        <v>8</v>
      </c>
      <c r="L1692" s="2">
        <v>171</v>
      </c>
    </row>
    <row r="1693" spans="1:19">
      <c r="A1693" s="11">
        <f t="shared" si="73"/>
        <v>70356201</v>
      </c>
      <c r="B1693" s="2" t="s">
        <v>1817</v>
      </c>
      <c r="D1693" s="2" t="str">
        <f>E1693&amp;(VLOOKUP(F1693,编号表!$E$1:$G$8,2,0))&amp;G1693&amp;"_"&amp;H1693&amp;"_"&amp;I1693</f>
        <v>35N6_2_1</v>
      </c>
      <c r="E1693" s="2">
        <v>35</v>
      </c>
      <c r="F1693" s="2" t="s">
        <v>174</v>
      </c>
      <c r="G1693" s="2">
        <v>6</v>
      </c>
      <c r="H1693" s="2">
        <v>2</v>
      </c>
      <c r="I1693" s="2">
        <f>COUNTIFS($E$3:E1693,E1693,$H$3:H1693,H1693)</f>
        <v>1</v>
      </c>
      <c r="N1693" s="11">
        <v>1035201</v>
      </c>
      <c r="O1693" s="11">
        <v>1035301</v>
      </c>
      <c r="P1693" s="11">
        <v>1035401</v>
      </c>
      <c r="Q1693" s="11">
        <v>1035501</v>
      </c>
    </row>
    <row r="1694" spans="1:19">
      <c r="A1694" s="11">
        <f t="shared" si="73"/>
        <v>70355202</v>
      </c>
      <c r="B1694" s="2" t="s">
        <v>1818</v>
      </c>
      <c r="D1694" s="2" t="str">
        <f>E1694&amp;(VLOOKUP(F1694,编号表!$E$1:$G$8,2,0))&amp;G1694&amp;"_"&amp;H1694&amp;"_"&amp;I1694</f>
        <v>35N5_2_2</v>
      </c>
      <c r="E1694" s="2">
        <v>35</v>
      </c>
      <c r="F1694" s="2" t="s">
        <v>174</v>
      </c>
      <c r="G1694" s="2">
        <v>5</v>
      </c>
      <c r="H1694" s="2">
        <v>2</v>
      </c>
      <c r="I1694" s="2">
        <f>COUNTIFS($E$3:E1694,E1694,$H$3:H1694,H1694)</f>
        <v>2</v>
      </c>
      <c r="N1694" s="11">
        <v>1035201</v>
      </c>
      <c r="O1694" s="11">
        <v>1035301</v>
      </c>
      <c r="P1694" s="11">
        <v>1035401</v>
      </c>
      <c r="Q1694" s="11">
        <v>1035501</v>
      </c>
    </row>
    <row r="1695" spans="1:19">
      <c r="A1695" s="11">
        <f t="shared" si="73"/>
        <v>70353203</v>
      </c>
      <c r="B1695" s="2" t="s">
        <v>1819</v>
      </c>
      <c r="D1695" s="2" t="str">
        <f>E1695&amp;(VLOOKUP(F1695,编号表!$E$1:$G$8,2,0))&amp;G1695&amp;"_"&amp;H1695&amp;"_"&amp;I1695</f>
        <v>35N3_2_3</v>
      </c>
      <c r="E1695" s="2">
        <v>35</v>
      </c>
      <c r="F1695" s="2" t="s">
        <v>174</v>
      </c>
      <c r="G1695" s="2">
        <v>3</v>
      </c>
      <c r="H1695" s="2">
        <v>2</v>
      </c>
      <c r="I1695" s="2">
        <f>COUNTIFS($E$3:E1695,E1695,$H$3:H1695,H1695)</f>
        <v>3</v>
      </c>
      <c r="N1695" s="11">
        <v>1035201</v>
      </c>
      <c r="O1695" s="11">
        <v>1035301</v>
      </c>
      <c r="P1695" s="11">
        <v>1035401</v>
      </c>
      <c r="Q1695" s="11">
        <v>1035501</v>
      </c>
    </row>
    <row r="1696" spans="1:19">
      <c r="A1696" s="11">
        <f t="shared" si="73"/>
        <v>70354204</v>
      </c>
      <c r="B1696" s="2" t="s">
        <v>1820</v>
      </c>
      <c r="D1696" s="2" t="str">
        <f>E1696&amp;(VLOOKUP(F1696,编号表!$E$1:$G$8,2,0))&amp;G1696&amp;"_"&amp;H1696&amp;"_"&amp;I1696</f>
        <v>35N4_2_4</v>
      </c>
      <c r="E1696" s="2">
        <v>35</v>
      </c>
      <c r="F1696" s="2" t="s">
        <v>174</v>
      </c>
      <c r="G1696" s="2">
        <v>4</v>
      </c>
      <c r="H1696" s="2">
        <v>2</v>
      </c>
      <c r="I1696" s="2">
        <f>COUNTIFS($E$3:E1696,E1696,$H$3:H1696,H1696)</f>
        <v>4</v>
      </c>
      <c r="N1696" s="11">
        <v>1035201</v>
      </c>
      <c r="O1696" s="11">
        <v>1035301</v>
      </c>
      <c r="P1696" s="11">
        <v>1035401</v>
      </c>
      <c r="Q1696" s="11">
        <v>1035501</v>
      </c>
    </row>
    <row r="1697" spans="1:17">
      <c r="A1697" s="11">
        <f t="shared" si="73"/>
        <v>70355205</v>
      </c>
      <c r="B1697" s="2" t="s">
        <v>1821</v>
      </c>
      <c r="D1697" s="2" t="str">
        <f>E1697&amp;(VLOOKUP(F1697,编号表!$E$1:$G$8,2,0))&amp;G1697&amp;"_"&amp;H1697&amp;"_"&amp;I1697</f>
        <v>35N5_2_5</v>
      </c>
      <c r="E1697" s="2">
        <v>35</v>
      </c>
      <c r="F1697" s="2" t="s">
        <v>174</v>
      </c>
      <c r="G1697" s="2">
        <v>5</v>
      </c>
      <c r="H1697" s="2">
        <v>2</v>
      </c>
      <c r="I1697" s="2">
        <f>COUNTIFS($E$3:E1697,E1697,$H$3:H1697,H1697)</f>
        <v>5</v>
      </c>
      <c r="N1697" s="11">
        <v>1035201</v>
      </c>
      <c r="O1697" s="11">
        <v>1035301</v>
      </c>
      <c r="P1697" s="11">
        <v>1035401</v>
      </c>
      <c r="Q1697" s="11">
        <v>1035501</v>
      </c>
    </row>
    <row r="1698" spans="1:17">
      <c r="A1698" s="11">
        <f t="shared" si="73"/>
        <v>70355206</v>
      </c>
      <c r="B1698" s="2" t="s">
        <v>1822</v>
      </c>
      <c r="D1698" s="2" t="str">
        <f>E1698&amp;(VLOOKUP(F1698,编号表!$E$1:$G$8,2,0))&amp;G1698&amp;"_"&amp;H1698&amp;"_"&amp;I1698</f>
        <v>35N5_2_6</v>
      </c>
      <c r="E1698" s="2">
        <v>35</v>
      </c>
      <c r="F1698" s="2" t="s">
        <v>174</v>
      </c>
      <c r="G1698" s="2">
        <v>5</v>
      </c>
      <c r="H1698" s="2">
        <v>2</v>
      </c>
      <c r="I1698" s="2">
        <f>COUNTIFS($E$3:E1698,E1698,$H$3:H1698,H1698)</f>
        <v>6</v>
      </c>
      <c r="N1698" s="11">
        <v>1035201</v>
      </c>
      <c r="O1698" s="11">
        <v>1035301</v>
      </c>
      <c r="P1698" s="11">
        <v>1035401</v>
      </c>
      <c r="Q1698" s="11">
        <v>1035501</v>
      </c>
    </row>
    <row r="1699" spans="1:17">
      <c r="A1699" s="11">
        <f t="shared" si="73"/>
        <v>70355207</v>
      </c>
      <c r="B1699" s="2" t="s">
        <v>1823</v>
      </c>
      <c r="D1699" s="2" t="str">
        <f>E1699&amp;(VLOOKUP(F1699,编号表!$E$1:$G$8,2,0))&amp;G1699&amp;"_"&amp;H1699&amp;"_"&amp;I1699</f>
        <v>35N5_2_7</v>
      </c>
      <c r="E1699" s="2">
        <v>35</v>
      </c>
      <c r="F1699" s="2" t="s">
        <v>174</v>
      </c>
      <c r="G1699" s="2">
        <v>5</v>
      </c>
      <c r="H1699" s="2">
        <v>2</v>
      </c>
      <c r="I1699" s="2">
        <f>COUNTIFS($E$3:E1699,E1699,$H$3:H1699,H1699)</f>
        <v>7</v>
      </c>
      <c r="N1699" s="11">
        <v>1035201</v>
      </c>
      <c r="O1699" s="11">
        <v>1035301</v>
      </c>
      <c r="P1699" s="11">
        <v>1035401</v>
      </c>
      <c r="Q1699" s="11">
        <v>1035501</v>
      </c>
    </row>
    <row r="1700" spans="1:17">
      <c r="A1700" s="11">
        <f t="shared" si="73"/>
        <v>70354208</v>
      </c>
      <c r="B1700" s="2" t="s">
        <v>1824</v>
      </c>
      <c r="D1700" s="2" t="str">
        <f>E1700&amp;(VLOOKUP(F1700,编号表!$E$1:$G$8,2,0))&amp;G1700&amp;"_"&amp;H1700&amp;"_"&amp;I1700</f>
        <v>35N4_2_8</v>
      </c>
      <c r="E1700" s="2">
        <v>35</v>
      </c>
      <c r="F1700" s="2" t="s">
        <v>174</v>
      </c>
      <c r="G1700" s="2">
        <v>4</v>
      </c>
      <c r="H1700" s="2">
        <v>2</v>
      </c>
      <c r="I1700" s="2">
        <f>COUNTIFS($E$3:E1700,E1700,$H$3:H1700,H1700)</f>
        <v>8</v>
      </c>
      <c r="N1700" s="11">
        <v>1035201</v>
      </c>
      <c r="O1700" s="11">
        <v>1035301</v>
      </c>
      <c r="P1700" s="11">
        <v>1035401</v>
      </c>
      <c r="Q1700" s="11">
        <v>1035501</v>
      </c>
    </row>
    <row r="1701" spans="1:17">
      <c r="A1701" s="11">
        <f t="shared" si="73"/>
        <v>70353209</v>
      </c>
      <c r="B1701" s="2" t="s">
        <v>1825</v>
      </c>
      <c r="D1701" s="2" t="str">
        <f>E1701&amp;(VLOOKUP(F1701,编号表!$E$1:$G$8,2,0))&amp;G1701&amp;"_"&amp;H1701&amp;"_"&amp;I1701</f>
        <v>35N3_2_9</v>
      </c>
      <c r="E1701" s="2">
        <v>35</v>
      </c>
      <c r="F1701" s="2" t="s">
        <v>174</v>
      </c>
      <c r="G1701" s="2">
        <v>3</v>
      </c>
      <c r="H1701" s="2">
        <v>2</v>
      </c>
      <c r="I1701" s="2">
        <f>COUNTIFS($E$3:E1701,E1701,$H$3:H1701,H1701)</f>
        <v>9</v>
      </c>
      <c r="N1701" s="11">
        <v>1035201</v>
      </c>
      <c r="O1701" s="11">
        <v>1035301</v>
      </c>
      <c r="P1701" s="11">
        <v>1035401</v>
      </c>
      <c r="Q1701" s="11">
        <v>1035501</v>
      </c>
    </row>
    <row r="1702" spans="1:17">
      <c r="A1702" s="11">
        <f t="shared" si="73"/>
        <v>70356301</v>
      </c>
      <c r="B1702" s="2" t="s">
        <v>1826</v>
      </c>
      <c r="D1702" s="2" t="str">
        <f>E1702&amp;(VLOOKUP(F1702,编号表!$E$1:$G$8,2,0))&amp;G1702&amp;"_"&amp;H1702&amp;"_"&amp;I1702</f>
        <v>35N6_3_1</v>
      </c>
      <c r="E1702" s="2">
        <v>35</v>
      </c>
      <c r="F1702" s="2" t="s">
        <v>174</v>
      </c>
      <c r="G1702" s="2">
        <v>6</v>
      </c>
      <c r="H1702" s="2">
        <v>3</v>
      </c>
      <c r="I1702" s="2">
        <f>COUNTIFS($E$3:E1702,E1702,$H$3:H1702,H1702)</f>
        <v>1</v>
      </c>
      <c r="N1702" s="11">
        <v>1035201</v>
      </c>
      <c r="O1702" s="11">
        <v>1035301</v>
      </c>
      <c r="P1702" s="11">
        <v>1035401</v>
      </c>
      <c r="Q1702" s="11">
        <v>1035501</v>
      </c>
    </row>
    <row r="1703" spans="1:17">
      <c r="A1703" s="11">
        <f t="shared" si="73"/>
        <v>70353401</v>
      </c>
      <c r="B1703" s="16" t="s">
        <v>19</v>
      </c>
      <c r="C1703" s="2" t="s">
        <v>1827</v>
      </c>
      <c r="D1703" s="2" t="str">
        <f>E1703&amp;(VLOOKUP(F1703,编号表!$E$1:$G$8,2,0))&amp;G1703&amp;"_"&amp;H1703&amp;"_"&amp;I1703</f>
        <v>35T3_4_1</v>
      </c>
      <c r="E1703" s="2">
        <v>35</v>
      </c>
      <c r="F1703" s="2" t="s">
        <v>190</v>
      </c>
      <c r="G1703" s="2">
        <v>3</v>
      </c>
      <c r="H1703" s="2">
        <v>4</v>
      </c>
      <c r="I1703" s="2">
        <f>COUNTIFS($E$3:E1703,E1703,$H$3:H1703,H1703)</f>
        <v>1</v>
      </c>
    </row>
    <row r="1704" spans="1:17">
      <c r="A1704" s="11">
        <f t="shared" si="73"/>
        <v>70351402</v>
      </c>
      <c r="B1704" s="15" t="s">
        <v>1828</v>
      </c>
      <c r="D1704" s="2" t="str">
        <f>E1704&amp;(VLOOKUP(F1704,编号表!$E$1:$G$8,2,0))&amp;G1704&amp;"_"&amp;H1704&amp;"_"&amp;I1704</f>
        <v>35T1_4_2</v>
      </c>
      <c r="E1704" s="2">
        <v>35</v>
      </c>
      <c r="F1704" s="2" t="s">
        <v>190</v>
      </c>
      <c r="G1704" s="2">
        <v>1</v>
      </c>
      <c r="H1704" s="2">
        <v>4</v>
      </c>
      <c r="I1704" s="2">
        <f>COUNTIFS($E$3:E1704,E1704,$H$3:H1704,H1704)</f>
        <v>2</v>
      </c>
      <c r="K1704" s="2">
        <v>1</v>
      </c>
    </row>
    <row r="1705" spans="1:17">
      <c r="A1705" s="11">
        <f t="shared" si="73"/>
        <v>70353403</v>
      </c>
      <c r="B1705" s="2" t="s">
        <v>1829</v>
      </c>
      <c r="D1705" s="2" t="str">
        <f>E1705&amp;(VLOOKUP(F1705,编号表!$E$1:$G$8,2,0))&amp;G1705&amp;"_"&amp;H1705&amp;"_"&amp;I1705</f>
        <v>35N3_4_3</v>
      </c>
      <c r="E1705" s="2">
        <v>35</v>
      </c>
      <c r="F1705" s="2" t="s">
        <v>174</v>
      </c>
      <c r="G1705" s="2">
        <v>3</v>
      </c>
      <c r="H1705" s="2">
        <v>4</v>
      </c>
      <c r="I1705" s="2">
        <f>COUNTIFS($E$3:E1705,E1705,$H$3:H1705,H1705)</f>
        <v>3</v>
      </c>
      <c r="N1705" s="11">
        <v>1035201</v>
      </c>
      <c r="O1705" s="11">
        <v>1035301</v>
      </c>
      <c r="P1705" s="11">
        <v>1035401</v>
      </c>
      <c r="Q1705" s="11">
        <v>1035501</v>
      </c>
    </row>
    <row r="1706" spans="1:17">
      <c r="A1706" s="11">
        <f t="shared" si="73"/>
        <v>70353404</v>
      </c>
      <c r="B1706" s="2" t="s">
        <v>1830</v>
      </c>
      <c r="D1706" s="2" t="str">
        <f>E1706&amp;(VLOOKUP(F1706,编号表!$E$1:$G$8,2,0))&amp;G1706&amp;"_"&amp;H1706&amp;"_"&amp;I1706</f>
        <v>35N3_4_4</v>
      </c>
      <c r="E1706" s="2">
        <v>35</v>
      </c>
      <c r="F1706" s="2" t="s">
        <v>174</v>
      </c>
      <c r="G1706" s="2">
        <v>3</v>
      </c>
      <c r="H1706" s="2">
        <v>4</v>
      </c>
      <c r="I1706" s="2">
        <f>COUNTIFS($E$3:E1706,E1706,$H$3:H1706,H1706)</f>
        <v>4</v>
      </c>
      <c r="N1706" s="11">
        <v>1035201</v>
      </c>
      <c r="O1706" s="11">
        <v>1035301</v>
      </c>
      <c r="P1706" s="11">
        <v>1035401</v>
      </c>
      <c r="Q1706" s="11">
        <v>1035501</v>
      </c>
    </row>
    <row r="1707" spans="1:17">
      <c r="A1707" s="11">
        <f t="shared" si="73"/>
        <v>70354405</v>
      </c>
      <c r="B1707" s="2" t="s">
        <v>1831</v>
      </c>
      <c r="D1707" s="2" t="str">
        <f>E1707&amp;(VLOOKUP(F1707,编号表!$E$1:$G$8,2,0))&amp;G1707&amp;"_"&amp;H1707&amp;"_"&amp;I1707</f>
        <v>35N4_4_5</v>
      </c>
      <c r="E1707" s="2">
        <v>35</v>
      </c>
      <c r="F1707" s="2" t="s">
        <v>174</v>
      </c>
      <c r="G1707" s="2">
        <v>4</v>
      </c>
      <c r="H1707" s="2">
        <v>4</v>
      </c>
      <c r="I1707" s="2">
        <f>COUNTIFS($E$3:E1707,E1707,$H$3:H1707,H1707)</f>
        <v>5</v>
      </c>
      <c r="N1707" s="11">
        <v>1035201</v>
      </c>
      <c r="O1707" s="11">
        <v>1035301</v>
      </c>
      <c r="P1707" s="11">
        <v>1035401</v>
      </c>
      <c r="Q1707" s="11">
        <v>1035501</v>
      </c>
    </row>
    <row r="1708" spans="1:17">
      <c r="A1708" s="11">
        <f t="shared" si="73"/>
        <v>70350406</v>
      </c>
      <c r="B1708" s="2" t="s">
        <v>1832</v>
      </c>
      <c r="D1708" s="2" t="str">
        <f>E1708&amp;(VLOOKUP(F1708,编号表!$E$1:$G$8,2,0))&amp;G1708&amp;"_"&amp;H1708&amp;"_"&amp;I1708</f>
        <v>35N0_4_6</v>
      </c>
      <c r="E1708" s="2">
        <v>35</v>
      </c>
      <c r="F1708" s="2" t="s">
        <v>174</v>
      </c>
      <c r="G1708" s="2">
        <v>0</v>
      </c>
      <c r="H1708" s="2">
        <v>4</v>
      </c>
      <c r="I1708" s="2">
        <f>COUNTIFS($E$3:E1708,E1708,$H$3:H1708,H1708)</f>
        <v>6</v>
      </c>
      <c r="N1708" s="11">
        <v>1035201</v>
      </c>
      <c r="O1708" s="11">
        <v>1035301</v>
      </c>
      <c r="P1708" s="11">
        <v>1035401</v>
      </c>
      <c r="Q1708" s="11">
        <v>1035501</v>
      </c>
    </row>
    <row r="1709" spans="1:17">
      <c r="A1709" s="11">
        <f t="shared" si="73"/>
        <v>70355407</v>
      </c>
      <c r="B1709" s="2" t="s">
        <v>1833</v>
      </c>
      <c r="D1709" s="2" t="str">
        <f>E1709&amp;(VLOOKUP(F1709,编号表!$E$1:$G$8,2,0))&amp;G1709&amp;"_"&amp;H1709&amp;"_"&amp;I1709</f>
        <v>35N5_4_7</v>
      </c>
      <c r="E1709" s="2">
        <v>35</v>
      </c>
      <c r="F1709" s="2" t="s">
        <v>174</v>
      </c>
      <c r="G1709" s="2">
        <v>5</v>
      </c>
      <c r="H1709" s="2">
        <v>4</v>
      </c>
      <c r="I1709" s="2">
        <f>COUNTIFS($E$3:E1709,E1709,$H$3:H1709,H1709)</f>
        <v>7</v>
      </c>
      <c r="N1709" s="11">
        <v>1035201</v>
      </c>
      <c r="O1709" s="11">
        <v>1035301</v>
      </c>
      <c r="P1709" s="11">
        <v>1035401</v>
      </c>
      <c r="Q1709" s="11">
        <v>1035501</v>
      </c>
    </row>
    <row r="1710" spans="1:17">
      <c r="A1710" s="11">
        <f t="shared" si="73"/>
        <v>70354408</v>
      </c>
      <c r="B1710" s="2" t="s">
        <v>1834</v>
      </c>
      <c r="D1710" s="2" t="str">
        <f>E1710&amp;(VLOOKUP(F1710,编号表!$E$1:$G$8,2,0))&amp;G1710&amp;"_"&amp;H1710&amp;"_"&amp;I1710</f>
        <v>35N4_4_8</v>
      </c>
      <c r="E1710" s="2">
        <v>35</v>
      </c>
      <c r="F1710" s="2" t="s">
        <v>174</v>
      </c>
      <c r="G1710" s="2">
        <v>4</v>
      </c>
      <c r="H1710" s="2">
        <v>4</v>
      </c>
      <c r="I1710" s="2">
        <f>COUNTIFS($E$3:E1710,E1710,$H$3:H1710,H1710)</f>
        <v>8</v>
      </c>
      <c r="N1710" s="11">
        <v>1035201</v>
      </c>
      <c r="O1710" s="11">
        <v>1035301</v>
      </c>
      <c r="P1710" s="11">
        <v>1035401</v>
      </c>
      <c r="Q1710" s="11">
        <v>1035501</v>
      </c>
    </row>
    <row r="1711" spans="1:17">
      <c r="A1711" s="11">
        <f t="shared" si="73"/>
        <v>70354409</v>
      </c>
      <c r="B1711" s="2" t="s">
        <v>1835</v>
      </c>
      <c r="D1711" s="2" t="str">
        <f>E1711&amp;(VLOOKUP(F1711,编号表!$E$1:$G$8,2,0))&amp;G1711&amp;"_"&amp;H1711&amp;"_"&amp;I1711</f>
        <v>35N4_4_9</v>
      </c>
      <c r="E1711" s="2">
        <v>35</v>
      </c>
      <c r="F1711" s="2" t="s">
        <v>174</v>
      </c>
      <c r="G1711" s="2">
        <v>4</v>
      </c>
      <c r="H1711" s="2">
        <v>4</v>
      </c>
      <c r="I1711" s="2">
        <f>COUNTIFS($E$3:E1711,E1711,$H$3:H1711,H1711)</f>
        <v>9</v>
      </c>
      <c r="N1711" s="11">
        <v>1035201</v>
      </c>
      <c r="O1711" s="11">
        <v>1035301</v>
      </c>
      <c r="P1711" s="11">
        <v>1035401</v>
      </c>
      <c r="Q1711" s="11">
        <v>1035501</v>
      </c>
    </row>
    <row r="1712" spans="1:17">
      <c r="A1712" s="11">
        <f t="shared" si="73"/>
        <v>70354410</v>
      </c>
      <c r="B1712" s="2" t="s">
        <v>1836</v>
      </c>
      <c r="D1712" s="2" t="str">
        <f>E1712&amp;(VLOOKUP(F1712,编号表!$E$1:$G$8,2,0))&amp;G1712&amp;"_"&amp;H1712&amp;"_"&amp;I1712</f>
        <v>35N4_4_10</v>
      </c>
      <c r="E1712" s="2">
        <v>35</v>
      </c>
      <c r="F1712" s="2" t="s">
        <v>174</v>
      </c>
      <c r="G1712" s="2">
        <v>4</v>
      </c>
      <c r="H1712" s="2">
        <v>4</v>
      </c>
      <c r="I1712" s="2">
        <f>COUNTIFS($E$3:E1712,E1712,$H$3:H1712,H1712)</f>
        <v>10</v>
      </c>
      <c r="N1712" s="11">
        <v>1035201</v>
      </c>
      <c r="O1712" s="11">
        <v>1035301</v>
      </c>
      <c r="P1712" s="11">
        <v>1035401</v>
      </c>
      <c r="Q1712" s="11">
        <v>1035501</v>
      </c>
    </row>
    <row r="1713" spans="1:19">
      <c r="A1713" s="11">
        <f t="shared" si="73"/>
        <v>70354411</v>
      </c>
      <c r="B1713" s="2" t="s">
        <v>1837</v>
      </c>
      <c r="D1713" s="2" t="str">
        <f>E1713&amp;(VLOOKUP(F1713,编号表!$E$1:$G$8,2,0))&amp;G1713&amp;"_"&amp;H1713&amp;"_"&amp;I1713</f>
        <v>35N4_4_11</v>
      </c>
      <c r="E1713" s="2">
        <v>35</v>
      </c>
      <c r="F1713" s="2" t="s">
        <v>174</v>
      </c>
      <c r="G1713" s="2">
        <v>4</v>
      </c>
      <c r="H1713" s="2">
        <v>4</v>
      </c>
      <c r="I1713" s="2">
        <f>COUNTIFS($E$3:E1713,E1713,$H$3:H1713,H1713)</f>
        <v>11</v>
      </c>
      <c r="N1713" s="11">
        <v>1035201</v>
      </c>
      <c r="O1713" s="11">
        <v>1035301</v>
      </c>
      <c r="P1713" s="11">
        <v>1035401</v>
      </c>
      <c r="Q1713" s="11">
        <v>1035501</v>
      </c>
    </row>
    <row r="1714" spans="1:19">
      <c r="A1714" s="11">
        <f t="shared" si="73"/>
        <v>70353412</v>
      </c>
      <c r="B1714" s="2" t="s">
        <v>1838</v>
      </c>
      <c r="D1714" s="2" t="str">
        <f>E1714&amp;(VLOOKUP(F1714,编号表!$E$1:$G$8,2,0))&amp;G1714&amp;"_"&amp;H1714&amp;"_"&amp;I1714</f>
        <v>35N3_4_12</v>
      </c>
      <c r="E1714" s="2">
        <v>35</v>
      </c>
      <c r="F1714" s="2" t="s">
        <v>174</v>
      </c>
      <c r="G1714" s="2">
        <v>3</v>
      </c>
      <c r="H1714" s="2">
        <v>4</v>
      </c>
      <c r="I1714" s="2">
        <f>COUNTIFS($E$3:E1714,E1714,$H$3:H1714,H1714)</f>
        <v>12</v>
      </c>
      <c r="N1714" s="11">
        <v>1035201</v>
      </c>
      <c r="O1714" s="11">
        <v>1035301</v>
      </c>
      <c r="P1714" s="11">
        <v>1035401</v>
      </c>
      <c r="Q1714" s="11">
        <v>1035501</v>
      </c>
    </row>
    <row r="1715" spans="1:19">
      <c r="A1715" s="11">
        <f t="shared" si="73"/>
        <v>70351413</v>
      </c>
      <c r="B1715" s="15" t="s">
        <v>1839</v>
      </c>
      <c r="D1715" s="2" t="str">
        <f>E1715&amp;(VLOOKUP(F1715,编号表!$E$1:$G$8,2,0))&amp;G1715&amp;"_"&amp;H1715&amp;"_"&amp;I1715</f>
        <v>35T1_4_13</v>
      </c>
      <c r="E1715" s="2">
        <v>35</v>
      </c>
      <c r="F1715" s="2" t="s">
        <v>190</v>
      </c>
      <c r="G1715" s="2">
        <v>1</v>
      </c>
      <c r="H1715" s="2">
        <v>4</v>
      </c>
      <c r="I1715" s="2">
        <f>COUNTIFS($E$3:E1715,E1715,$H$3:H1715,H1715)</f>
        <v>13</v>
      </c>
    </row>
    <row r="1716" spans="1:19">
      <c r="A1716" s="11">
        <f t="shared" si="73"/>
        <v>70353414</v>
      </c>
      <c r="B1716" s="16" t="s">
        <v>124</v>
      </c>
      <c r="C1716" s="2" t="s">
        <v>1840</v>
      </c>
      <c r="D1716" s="2" t="str">
        <f>E1716&amp;(VLOOKUP(F1716,编号表!$E$1:$G$8,2,0))&amp;G1716&amp;"_"&amp;H1716&amp;"_"&amp;I1716</f>
        <v>35T3_4_14</v>
      </c>
      <c r="E1716" s="2">
        <v>35</v>
      </c>
      <c r="F1716" s="2" t="s">
        <v>190</v>
      </c>
      <c r="G1716" s="2">
        <v>3</v>
      </c>
      <c r="H1716" s="2">
        <v>4</v>
      </c>
      <c r="I1716" s="2">
        <f>COUNTIFS($E$3:E1716,E1716,$H$3:H1716,H1716)</f>
        <v>14</v>
      </c>
      <c r="L1716" s="2">
        <v>172</v>
      </c>
    </row>
    <row r="1717" spans="1:19">
      <c r="A1717" s="11">
        <f t="shared" si="73"/>
        <v>70350001</v>
      </c>
      <c r="B1717" s="24" t="s">
        <v>1841</v>
      </c>
      <c r="D1717" s="2" t="str">
        <f>E1717&amp;(VLOOKUP(F1717,编号表!$E$1:$G$8,2,0))&amp;G1717&amp;"_"&amp;H1717&amp;"_"&amp;I1717</f>
        <v>35J0_0_1</v>
      </c>
      <c r="E1717" s="2">
        <v>35</v>
      </c>
      <c r="F1717" s="2" t="s">
        <v>222</v>
      </c>
      <c r="G1717" s="2">
        <v>0</v>
      </c>
      <c r="H1717" s="2">
        <v>0</v>
      </c>
      <c r="I1717" s="2">
        <f>COUNTIFS($E$3:E1717,E1717,$H$3:H1717,H1717)</f>
        <v>1</v>
      </c>
      <c r="J1717" s="2">
        <v>1</v>
      </c>
    </row>
    <row r="1718" spans="1:19">
      <c r="A1718" s="11">
        <f t="shared" si="73"/>
        <v>70363101</v>
      </c>
      <c r="B1718" s="2" t="s">
        <v>1842</v>
      </c>
      <c r="D1718" s="2" t="str">
        <f>E1718&amp;(VLOOKUP(F1718,编号表!$E$1:$G$8,2,0))&amp;G1718&amp;"_"&amp;H1718&amp;"_"&amp;I1718</f>
        <v>36N3_1_1</v>
      </c>
      <c r="E1718" s="2">
        <v>36</v>
      </c>
      <c r="F1718" s="2" t="s">
        <v>174</v>
      </c>
      <c r="G1718" s="2">
        <v>3</v>
      </c>
      <c r="H1718" s="2">
        <v>1</v>
      </c>
      <c r="I1718" s="2">
        <f>COUNTIFS($E$3:E1718,E1718,$H$3:H1718,H1718)</f>
        <v>1</v>
      </c>
      <c r="N1718" s="11">
        <v>1036201</v>
      </c>
      <c r="O1718" s="11">
        <v>1036301</v>
      </c>
      <c r="P1718" s="11">
        <v>1036401</v>
      </c>
      <c r="Q1718" s="11">
        <v>1036501</v>
      </c>
      <c r="R1718" s="11">
        <v>1036601</v>
      </c>
      <c r="S1718" s="11">
        <v>1036001</v>
      </c>
    </row>
    <row r="1719" spans="1:19">
      <c r="A1719" s="11">
        <f t="shared" si="73"/>
        <v>70363102</v>
      </c>
      <c r="B1719" s="2" t="s">
        <v>1843</v>
      </c>
      <c r="D1719" s="2" t="str">
        <f>E1719&amp;(VLOOKUP(F1719,编号表!$E$1:$G$8,2,0))&amp;G1719&amp;"_"&amp;H1719&amp;"_"&amp;I1719</f>
        <v>36N3_1_2</v>
      </c>
      <c r="E1719" s="2">
        <v>36</v>
      </c>
      <c r="F1719" s="2" t="s">
        <v>174</v>
      </c>
      <c r="G1719" s="2">
        <v>3</v>
      </c>
      <c r="H1719" s="2">
        <v>1</v>
      </c>
      <c r="I1719" s="2">
        <f>COUNTIFS($E$3:E1719,E1719,$H$3:H1719,H1719)</f>
        <v>2</v>
      </c>
      <c r="N1719" s="11">
        <v>1036201</v>
      </c>
      <c r="O1719" s="11">
        <v>1036301</v>
      </c>
      <c r="P1719" s="11">
        <v>1036401</v>
      </c>
      <c r="Q1719" s="11">
        <v>1036501</v>
      </c>
      <c r="R1719" s="11">
        <v>1036601</v>
      </c>
      <c r="S1719" s="11">
        <v>1036101</v>
      </c>
    </row>
    <row r="1720" spans="1:19">
      <c r="A1720" s="11">
        <f t="shared" si="73"/>
        <v>70363103</v>
      </c>
      <c r="B1720" s="2" t="s">
        <v>1844</v>
      </c>
      <c r="D1720" s="2" t="str">
        <f>E1720&amp;(VLOOKUP(F1720,编号表!$E$1:$G$8,2,0))&amp;G1720&amp;"_"&amp;H1720&amp;"_"&amp;I1720</f>
        <v>36N3_1_3</v>
      </c>
      <c r="E1720" s="2">
        <v>36</v>
      </c>
      <c r="F1720" s="2" t="s">
        <v>174</v>
      </c>
      <c r="G1720" s="2">
        <v>3</v>
      </c>
      <c r="H1720" s="2">
        <v>1</v>
      </c>
      <c r="I1720" s="2">
        <f>COUNTIFS($E$3:E1720,E1720,$H$3:H1720,H1720)</f>
        <v>3</v>
      </c>
      <c r="N1720" s="11">
        <v>1036201</v>
      </c>
      <c r="O1720" s="11">
        <v>1036301</v>
      </c>
      <c r="P1720" s="11">
        <v>1036401</v>
      </c>
      <c r="Q1720" s="11">
        <v>1036501</v>
      </c>
      <c r="R1720" s="11">
        <v>1036601</v>
      </c>
    </row>
    <row r="1721" spans="1:19">
      <c r="A1721" s="11">
        <f t="shared" si="73"/>
        <v>70364104</v>
      </c>
      <c r="B1721" s="2" t="s">
        <v>1845</v>
      </c>
      <c r="D1721" s="2" t="str">
        <f>E1721&amp;(VLOOKUP(F1721,编号表!$E$1:$G$8,2,0))&amp;G1721&amp;"_"&amp;H1721&amp;"_"&amp;I1721</f>
        <v>36N4_1_4</v>
      </c>
      <c r="E1721" s="2">
        <v>36</v>
      </c>
      <c r="F1721" s="2" t="s">
        <v>174</v>
      </c>
      <c r="G1721" s="2">
        <v>4</v>
      </c>
      <c r="H1721" s="2">
        <v>1</v>
      </c>
      <c r="I1721" s="2">
        <f>COUNTIFS($E$3:E1721,E1721,$H$3:H1721,H1721)</f>
        <v>4</v>
      </c>
      <c r="N1721" s="11">
        <v>1036201</v>
      </c>
      <c r="O1721" s="11">
        <v>1036301</v>
      </c>
      <c r="P1721" s="11">
        <v>1036401</v>
      </c>
      <c r="Q1721" s="11">
        <v>1036501</v>
      </c>
      <c r="R1721" s="11">
        <v>1036601</v>
      </c>
    </row>
    <row r="1722" spans="1:19">
      <c r="A1722" s="11">
        <f t="shared" si="73"/>
        <v>70364105</v>
      </c>
      <c r="B1722" s="2" t="s">
        <v>1846</v>
      </c>
      <c r="D1722" s="2" t="str">
        <f>E1722&amp;(VLOOKUP(F1722,编号表!$E$1:$G$8,2,0))&amp;G1722&amp;"_"&amp;H1722&amp;"_"&amp;I1722</f>
        <v>36N4_1_5</v>
      </c>
      <c r="E1722" s="2">
        <v>36</v>
      </c>
      <c r="F1722" s="2" t="s">
        <v>174</v>
      </c>
      <c r="G1722" s="2">
        <v>4</v>
      </c>
      <c r="H1722" s="2">
        <v>1</v>
      </c>
      <c r="I1722" s="2">
        <f>COUNTIFS($E$3:E1722,E1722,$H$3:H1722,H1722)</f>
        <v>5</v>
      </c>
      <c r="N1722" s="11">
        <v>1036201</v>
      </c>
      <c r="O1722" s="11">
        <v>1036301</v>
      </c>
      <c r="P1722" s="11">
        <v>1036401</v>
      </c>
      <c r="Q1722" s="11">
        <v>1036501</v>
      </c>
      <c r="R1722" s="11">
        <v>1036601</v>
      </c>
    </row>
    <row r="1723" spans="1:19">
      <c r="A1723" s="11">
        <f t="shared" si="73"/>
        <v>70364106</v>
      </c>
      <c r="B1723" s="2" t="s">
        <v>1847</v>
      </c>
      <c r="D1723" s="2" t="str">
        <f>E1723&amp;(VLOOKUP(F1723,编号表!$E$1:$G$8,2,0))&amp;G1723&amp;"_"&amp;H1723&amp;"_"&amp;I1723</f>
        <v>36N4_1_6</v>
      </c>
      <c r="E1723" s="2">
        <v>36</v>
      </c>
      <c r="F1723" s="2" t="s">
        <v>174</v>
      </c>
      <c r="G1723" s="2">
        <v>4</v>
      </c>
      <c r="H1723" s="2">
        <v>1</v>
      </c>
      <c r="I1723" s="2">
        <f>COUNTIFS($E$3:E1723,E1723,$H$3:H1723,H1723)</f>
        <v>6</v>
      </c>
      <c r="N1723" s="11">
        <v>1036201</v>
      </c>
      <c r="O1723" s="11">
        <v>1036301</v>
      </c>
      <c r="P1723" s="11">
        <v>1036401</v>
      </c>
      <c r="Q1723" s="11">
        <v>1036501</v>
      </c>
      <c r="R1723" s="11">
        <v>1036601</v>
      </c>
    </row>
    <row r="1724" spans="1:19">
      <c r="A1724" s="11">
        <f t="shared" si="73"/>
        <v>70363107</v>
      </c>
      <c r="B1724" s="16" t="s">
        <v>124</v>
      </c>
      <c r="C1724" s="2" t="s">
        <v>1848</v>
      </c>
      <c r="D1724" s="2" t="str">
        <f>E1724&amp;(VLOOKUP(F1724,编号表!$E$1:$G$8,2,0))&amp;G1724&amp;"_"&amp;H1724&amp;"_"&amp;I1724</f>
        <v>36T3_1_7</v>
      </c>
      <c r="E1724" s="2">
        <v>36</v>
      </c>
      <c r="F1724" s="2" t="s">
        <v>190</v>
      </c>
      <c r="G1724" s="2">
        <v>3</v>
      </c>
      <c r="H1724" s="2">
        <v>1</v>
      </c>
      <c r="I1724" s="2">
        <f>COUNTIFS($E$3:E1724,E1724,$H$3:H1724,H1724)</f>
        <v>7</v>
      </c>
      <c r="L1724" s="2">
        <v>174</v>
      </c>
    </row>
    <row r="1725" spans="1:19">
      <c r="A1725" s="11">
        <f t="shared" si="73"/>
        <v>70361108</v>
      </c>
      <c r="B1725" s="15" t="s">
        <v>1849</v>
      </c>
      <c r="D1725" s="2" t="str">
        <f>E1725&amp;(VLOOKUP(F1725,编号表!$E$1:$G$8,2,0))&amp;G1725&amp;"_"&amp;H1725&amp;"_"&amp;I1725</f>
        <v>36T1_1_8</v>
      </c>
      <c r="E1725" s="2">
        <v>36</v>
      </c>
      <c r="F1725" s="2" t="s">
        <v>190</v>
      </c>
      <c r="G1725" s="2">
        <v>1</v>
      </c>
      <c r="H1725" s="2">
        <v>1</v>
      </c>
      <c r="I1725" s="2">
        <f>COUNTIFS($E$3:E1725,E1725,$H$3:H1725,H1725)</f>
        <v>8</v>
      </c>
    </row>
    <row r="1726" spans="1:19">
      <c r="A1726" s="11">
        <f t="shared" si="73"/>
        <v>70362201</v>
      </c>
      <c r="B1726" s="2" t="s">
        <v>1850</v>
      </c>
      <c r="D1726" s="2" t="str">
        <f>E1726&amp;(VLOOKUP(F1726,编号表!$E$1:$G$8,2,0))&amp;G1726&amp;"_"&amp;H1726&amp;"_"&amp;I1726</f>
        <v>36N2_2_1</v>
      </c>
      <c r="E1726" s="2">
        <v>36</v>
      </c>
      <c r="F1726" s="2" t="s">
        <v>174</v>
      </c>
      <c r="G1726" s="2">
        <v>2</v>
      </c>
      <c r="H1726" s="2">
        <v>2</v>
      </c>
      <c r="I1726" s="2">
        <f>COUNTIFS($E$3:E1726,E1726,$H$3:H1726,H1726)</f>
        <v>1</v>
      </c>
      <c r="N1726" s="11">
        <v>1036201</v>
      </c>
      <c r="O1726" s="11">
        <v>1036301</v>
      </c>
      <c r="P1726" s="11">
        <v>1036401</v>
      </c>
      <c r="Q1726" s="11">
        <v>1036501</v>
      </c>
      <c r="R1726" s="11">
        <v>1036601</v>
      </c>
    </row>
    <row r="1727" spans="1:19">
      <c r="A1727" s="11">
        <f t="shared" si="73"/>
        <v>70363202</v>
      </c>
      <c r="B1727" s="2" t="s">
        <v>1851</v>
      </c>
      <c r="D1727" s="2" t="str">
        <f>E1727&amp;(VLOOKUP(F1727,编号表!$E$1:$G$8,2,0))&amp;G1727&amp;"_"&amp;H1727&amp;"_"&amp;I1727</f>
        <v>36N3_2_2</v>
      </c>
      <c r="E1727" s="2">
        <v>36</v>
      </c>
      <c r="F1727" s="2" t="s">
        <v>174</v>
      </c>
      <c r="G1727" s="2">
        <v>3</v>
      </c>
      <c r="H1727" s="2">
        <v>2</v>
      </c>
      <c r="I1727" s="2">
        <f>COUNTIFS($E$3:E1727,E1727,$H$3:H1727,H1727)</f>
        <v>2</v>
      </c>
      <c r="N1727" s="11">
        <v>1036201</v>
      </c>
      <c r="O1727" s="11">
        <v>1036301</v>
      </c>
      <c r="P1727" s="11">
        <v>1036401</v>
      </c>
      <c r="Q1727" s="11">
        <v>1036501</v>
      </c>
      <c r="R1727" s="11">
        <v>1036601</v>
      </c>
    </row>
    <row r="1728" spans="1:19">
      <c r="A1728" s="11">
        <f t="shared" si="73"/>
        <v>70365203</v>
      </c>
      <c r="B1728" s="2" t="s">
        <v>1852</v>
      </c>
      <c r="D1728" s="2" t="str">
        <f>E1728&amp;(VLOOKUP(F1728,编号表!$E$1:$G$8,2,0))&amp;G1728&amp;"_"&amp;H1728&amp;"_"&amp;I1728</f>
        <v>36N5_2_3</v>
      </c>
      <c r="E1728" s="2">
        <v>36</v>
      </c>
      <c r="F1728" s="2" t="s">
        <v>174</v>
      </c>
      <c r="G1728" s="2">
        <v>5</v>
      </c>
      <c r="H1728" s="2">
        <v>2</v>
      </c>
      <c r="I1728" s="2">
        <f>COUNTIFS($E$3:E1728,E1728,$H$3:H1728,H1728)</f>
        <v>3</v>
      </c>
      <c r="N1728" s="11">
        <v>1036201</v>
      </c>
      <c r="O1728" s="11">
        <v>1036301</v>
      </c>
      <c r="P1728" s="11">
        <v>1036401</v>
      </c>
      <c r="Q1728" s="11">
        <v>1036501</v>
      </c>
      <c r="R1728" s="11">
        <v>1036601</v>
      </c>
    </row>
    <row r="1729" spans="1:18">
      <c r="A1729" s="11">
        <f t="shared" ref="A1729:A1792" si="79">70000000+E1729*10000+G1729*1000+H1729*100+I1729</f>
        <v>70364204</v>
      </c>
      <c r="B1729" s="2" t="s">
        <v>1853</v>
      </c>
      <c r="D1729" s="2" t="str">
        <f>E1729&amp;(VLOOKUP(F1729,编号表!$E$1:$G$8,2,0))&amp;G1729&amp;"_"&amp;H1729&amp;"_"&amp;I1729</f>
        <v>36N4_2_4</v>
      </c>
      <c r="E1729" s="2">
        <v>36</v>
      </c>
      <c r="F1729" s="2" t="s">
        <v>174</v>
      </c>
      <c r="G1729" s="2">
        <v>4</v>
      </c>
      <c r="H1729" s="2">
        <v>2</v>
      </c>
      <c r="I1729" s="2">
        <f>COUNTIFS($E$3:E1729,E1729,$H$3:H1729,H1729)</f>
        <v>4</v>
      </c>
      <c r="N1729" s="11">
        <v>1036201</v>
      </c>
      <c r="O1729" s="11">
        <v>1036301</v>
      </c>
      <c r="P1729" s="11">
        <v>1036401</v>
      </c>
      <c r="Q1729" s="11">
        <v>1036501</v>
      </c>
      <c r="R1729" s="11">
        <v>1036601</v>
      </c>
    </row>
    <row r="1730" spans="1:18">
      <c r="A1730" s="11">
        <f t="shared" si="79"/>
        <v>70364205</v>
      </c>
      <c r="B1730" s="2" t="s">
        <v>1854</v>
      </c>
      <c r="D1730" s="2" t="str">
        <f>E1730&amp;(VLOOKUP(F1730,编号表!$E$1:$G$8,2,0))&amp;G1730&amp;"_"&amp;H1730&amp;"_"&amp;I1730</f>
        <v>36N4_2_5</v>
      </c>
      <c r="E1730" s="2">
        <v>36</v>
      </c>
      <c r="F1730" s="2" t="s">
        <v>174</v>
      </c>
      <c r="G1730" s="2">
        <v>4</v>
      </c>
      <c r="H1730" s="2">
        <v>2</v>
      </c>
      <c r="I1730" s="2">
        <f>COUNTIFS($E$3:E1730,E1730,$H$3:H1730,H1730)</f>
        <v>5</v>
      </c>
      <c r="N1730" s="11">
        <v>1036201</v>
      </c>
      <c r="O1730" s="11">
        <v>1036301</v>
      </c>
      <c r="P1730" s="11">
        <v>1036401</v>
      </c>
      <c r="Q1730" s="11">
        <v>1036501</v>
      </c>
      <c r="R1730" s="11">
        <v>1036601</v>
      </c>
    </row>
    <row r="1731" spans="1:18">
      <c r="A1731" s="11">
        <f t="shared" si="79"/>
        <v>70363301</v>
      </c>
      <c r="B1731" s="2" t="s">
        <v>1855</v>
      </c>
      <c r="D1731" s="2" t="str">
        <f>E1731&amp;(VLOOKUP(F1731,编号表!$E$1:$G$8,2,0))&amp;G1731&amp;"_"&amp;H1731&amp;"_"&amp;I1731</f>
        <v>36N3_3_1</v>
      </c>
      <c r="E1731" s="2">
        <v>36</v>
      </c>
      <c r="F1731" s="2" t="s">
        <v>174</v>
      </c>
      <c r="G1731" s="2">
        <v>3</v>
      </c>
      <c r="H1731" s="2">
        <v>3</v>
      </c>
      <c r="I1731" s="2">
        <f>COUNTIFS($E$3:E1731,E1731,$H$3:H1731,H1731)</f>
        <v>1</v>
      </c>
      <c r="N1731" s="11">
        <v>1036201</v>
      </c>
      <c r="O1731" s="11">
        <v>1036301</v>
      </c>
      <c r="P1731" s="11">
        <v>1036401</v>
      </c>
      <c r="Q1731" s="11">
        <v>1036501</v>
      </c>
      <c r="R1731" s="11">
        <v>1036601</v>
      </c>
    </row>
    <row r="1732" spans="1:18">
      <c r="A1732" s="11">
        <f t="shared" si="79"/>
        <v>70363302</v>
      </c>
      <c r="B1732" s="2" t="s">
        <v>1856</v>
      </c>
      <c r="D1732" s="2" t="str">
        <f>E1732&amp;(VLOOKUP(F1732,编号表!$E$1:$G$8,2,0))&amp;G1732&amp;"_"&amp;H1732&amp;"_"&amp;I1732</f>
        <v>36N3_3_2</v>
      </c>
      <c r="E1732" s="2">
        <v>36</v>
      </c>
      <c r="F1732" s="2" t="s">
        <v>174</v>
      </c>
      <c r="G1732" s="2">
        <v>3</v>
      </c>
      <c r="H1732" s="2">
        <v>3</v>
      </c>
      <c r="I1732" s="2">
        <f>COUNTIFS($E$3:E1732,E1732,$H$3:H1732,H1732)</f>
        <v>2</v>
      </c>
      <c r="N1732" s="11">
        <v>1036201</v>
      </c>
      <c r="O1732" s="11">
        <v>1036301</v>
      </c>
      <c r="P1732" s="11">
        <v>1036401</v>
      </c>
      <c r="Q1732" s="11">
        <v>1036501</v>
      </c>
      <c r="R1732" s="11">
        <v>1036601</v>
      </c>
    </row>
    <row r="1733" spans="1:18">
      <c r="A1733" s="11">
        <f t="shared" si="79"/>
        <v>70363303</v>
      </c>
      <c r="B1733" s="2" t="s">
        <v>1857</v>
      </c>
      <c r="D1733" s="2" t="str">
        <f>E1733&amp;(VLOOKUP(F1733,编号表!$E$1:$G$8,2,0))&amp;G1733&amp;"_"&amp;H1733&amp;"_"&amp;I1733</f>
        <v>36N3_3_3</v>
      </c>
      <c r="E1733" s="2">
        <v>36</v>
      </c>
      <c r="F1733" s="2" t="s">
        <v>174</v>
      </c>
      <c r="G1733" s="2">
        <v>3</v>
      </c>
      <c r="H1733" s="2">
        <v>3</v>
      </c>
      <c r="I1733" s="2">
        <f>COUNTIFS($E$3:E1733,E1733,$H$3:H1733,H1733)</f>
        <v>3</v>
      </c>
      <c r="N1733" s="11">
        <v>1036201</v>
      </c>
      <c r="O1733" s="11">
        <v>1036301</v>
      </c>
      <c r="P1733" s="11">
        <v>1036401</v>
      </c>
      <c r="Q1733" s="11">
        <v>1036501</v>
      </c>
      <c r="R1733" s="11">
        <v>1036601</v>
      </c>
    </row>
    <row r="1734" spans="1:18">
      <c r="A1734" s="11">
        <f t="shared" si="79"/>
        <v>70364304</v>
      </c>
      <c r="B1734" s="2" t="s">
        <v>1858</v>
      </c>
      <c r="D1734" s="2" t="str">
        <f>E1734&amp;(VLOOKUP(F1734,编号表!$E$1:$G$8,2,0))&amp;G1734&amp;"_"&amp;H1734&amp;"_"&amp;I1734</f>
        <v>36N4_3_4</v>
      </c>
      <c r="E1734" s="2">
        <v>36</v>
      </c>
      <c r="F1734" s="2" t="s">
        <v>174</v>
      </c>
      <c r="G1734" s="2">
        <v>4</v>
      </c>
      <c r="H1734" s="2">
        <v>3</v>
      </c>
      <c r="I1734" s="2">
        <f>COUNTIFS($E$3:E1734,E1734,$H$3:H1734,H1734)</f>
        <v>4</v>
      </c>
      <c r="N1734" s="11">
        <v>1036201</v>
      </c>
      <c r="O1734" s="11">
        <v>1036301</v>
      </c>
      <c r="P1734" s="11">
        <v>1036401</v>
      </c>
      <c r="Q1734" s="11">
        <v>1036501</v>
      </c>
      <c r="R1734" s="11">
        <v>1036601</v>
      </c>
    </row>
    <row r="1735" spans="1:18">
      <c r="A1735" s="11">
        <f t="shared" si="79"/>
        <v>70363305</v>
      </c>
      <c r="B1735" s="2" t="s">
        <v>1859</v>
      </c>
      <c r="D1735" s="2" t="str">
        <f>E1735&amp;(VLOOKUP(F1735,编号表!$E$1:$G$8,2,0))&amp;G1735&amp;"_"&amp;H1735&amp;"_"&amp;I1735</f>
        <v>36N3_3_5</v>
      </c>
      <c r="E1735" s="2">
        <v>36</v>
      </c>
      <c r="F1735" s="2" t="s">
        <v>174</v>
      </c>
      <c r="G1735" s="2">
        <v>3</v>
      </c>
      <c r="H1735" s="2">
        <v>3</v>
      </c>
      <c r="I1735" s="2">
        <f>COUNTIFS($E$3:E1735,E1735,$H$3:H1735,H1735)</f>
        <v>5</v>
      </c>
      <c r="N1735" s="11">
        <v>1036201</v>
      </c>
      <c r="O1735" s="11">
        <v>1036301</v>
      </c>
      <c r="P1735" s="11">
        <v>1036401</v>
      </c>
      <c r="Q1735" s="11">
        <v>1036501</v>
      </c>
      <c r="R1735" s="11">
        <v>1036601</v>
      </c>
    </row>
    <row r="1736" spans="1:18">
      <c r="A1736" s="11">
        <f t="shared" si="79"/>
        <v>70362306</v>
      </c>
      <c r="B1736" s="2" t="s">
        <v>1860</v>
      </c>
      <c r="D1736" s="2" t="str">
        <f>E1736&amp;(VLOOKUP(F1736,编号表!$E$1:$G$8,2,0))&amp;G1736&amp;"_"&amp;H1736&amp;"_"&amp;I1736</f>
        <v>36N2_3_6</v>
      </c>
      <c r="E1736" s="2">
        <v>36</v>
      </c>
      <c r="F1736" s="2" t="s">
        <v>174</v>
      </c>
      <c r="G1736" s="2">
        <v>2</v>
      </c>
      <c r="H1736" s="2">
        <v>3</v>
      </c>
      <c r="I1736" s="2">
        <f>COUNTIFS($E$3:E1736,E1736,$H$3:H1736,H1736)</f>
        <v>6</v>
      </c>
      <c r="N1736" s="11">
        <v>1036201</v>
      </c>
      <c r="O1736" s="11">
        <v>1036301</v>
      </c>
      <c r="P1736" s="11">
        <v>1036401</v>
      </c>
      <c r="Q1736" s="11">
        <v>1036501</v>
      </c>
      <c r="R1736" s="11">
        <v>1036601</v>
      </c>
    </row>
    <row r="1737" spans="1:18">
      <c r="A1737" s="11">
        <f t="shared" si="79"/>
        <v>70363307</v>
      </c>
      <c r="B1737" s="2" t="s">
        <v>1861</v>
      </c>
      <c r="D1737" s="2" t="str">
        <f>E1737&amp;(VLOOKUP(F1737,编号表!$E$1:$G$8,2,0))&amp;G1737&amp;"_"&amp;H1737&amp;"_"&amp;I1737</f>
        <v>36N3_3_7</v>
      </c>
      <c r="E1737" s="2">
        <v>36</v>
      </c>
      <c r="F1737" s="2" t="s">
        <v>174</v>
      </c>
      <c r="G1737" s="2">
        <v>3</v>
      </c>
      <c r="H1737" s="2">
        <v>3</v>
      </c>
      <c r="I1737" s="2">
        <f>COUNTIFS($E$3:E1737,E1737,$H$3:H1737,H1737)</f>
        <v>7</v>
      </c>
      <c r="N1737" s="11">
        <v>1036201</v>
      </c>
      <c r="O1737" s="11">
        <v>1036301</v>
      </c>
      <c r="P1737" s="11">
        <v>1036401</v>
      </c>
      <c r="Q1737" s="11">
        <v>1036501</v>
      </c>
      <c r="R1737" s="11">
        <v>1036601</v>
      </c>
    </row>
    <row r="1738" spans="1:18">
      <c r="A1738" s="11">
        <f t="shared" si="79"/>
        <v>70364308</v>
      </c>
      <c r="B1738" s="2" t="s">
        <v>1862</v>
      </c>
      <c r="D1738" s="2" t="str">
        <f>E1738&amp;(VLOOKUP(F1738,编号表!$E$1:$G$8,2,0))&amp;G1738&amp;"_"&amp;H1738&amp;"_"&amp;I1738</f>
        <v>36N4_3_8</v>
      </c>
      <c r="E1738" s="2">
        <v>36</v>
      </c>
      <c r="F1738" s="2" t="s">
        <v>174</v>
      </c>
      <c r="G1738" s="2">
        <v>4</v>
      </c>
      <c r="H1738" s="2">
        <v>3</v>
      </c>
      <c r="I1738" s="2">
        <f>COUNTIFS($E$3:E1738,E1738,$H$3:H1738,H1738)</f>
        <v>8</v>
      </c>
      <c r="N1738" s="11">
        <v>1036201</v>
      </c>
      <c r="O1738" s="11">
        <v>1036301</v>
      </c>
      <c r="P1738" s="11">
        <v>1036401</v>
      </c>
      <c r="Q1738" s="11">
        <v>1036501</v>
      </c>
      <c r="R1738" s="11">
        <v>1036601</v>
      </c>
    </row>
    <row r="1739" spans="1:18">
      <c r="A1739" s="11">
        <f t="shared" si="79"/>
        <v>70363401</v>
      </c>
      <c r="B1739" s="2" t="s">
        <v>1863</v>
      </c>
      <c r="D1739" s="2" t="str">
        <f>E1739&amp;(VLOOKUP(F1739,编号表!$E$1:$G$8,2,0))&amp;G1739&amp;"_"&amp;H1739&amp;"_"&amp;I1739</f>
        <v>36N3_4_1</v>
      </c>
      <c r="E1739" s="2">
        <v>36</v>
      </c>
      <c r="F1739" s="2" t="s">
        <v>174</v>
      </c>
      <c r="G1739" s="2">
        <v>3</v>
      </c>
      <c r="H1739" s="2">
        <v>4</v>
      </c>
      <c r="I1739" s="2">
        <f>COUNTIFS($E$3:E1739,E1739,$H$3:H1739,H1739)</f>
        <v>1</v>
      </c>
      <c r="N1739" s="11">
        <v>1036201</v>
      </c>
      <c r="O1739" s="11">
        <v>1036301</v>
      </c>
      <c r="P1739" s="11">
        <v>1036401</v>
      </c>
      <c r="Q1739" s="11">
        <v>1036501</v>
      </c>
      <c r="R1739" s="11">
        <v>1036601</v>
      </c>
    </row>
    <row r="1740" spans="1:18">
      <c r="A1740" s="11">
        <f t="shared" si="79"/>
        <v>70361402</v>
      </c>
      <c r="B1740" s="2" t="s">
        <v>1864</v>
      </c>
      <c r="D1740" s="2" t="str">
        <f>E1740&amp;(VLOOKUP(F1740,编号表!$E$1:$G$8,2,0))&amp;G1740&amp;"_"&amp;H1740&amp;"_"&amp;I1740</f>
        <v>36N1_4_2</v>
      </c>
      <c r="E1740" s="2">
        <v>36</v>
      </c>
      <c r="F1740" s="2" t="s">
        <v>174</v>
      </c>
      <c r="G1740" s="2">
        <v>1</v>
      </c>
      <c r="H1740" s="2">
        <v>4</v>
      </c>
      <c r="I1740" s="2">
        <f>COUNTIFS($E$3:E1740,E1740,$H$3:H1740,H1740)</f>
        <v>2</v>
      </c>
      <c r="N1740" s="11">
        <v>1036201</v>
      </c>
      <c r="O1740" s="11">
        <v>1036301</v>
      </c>
      <c r="P1740" s="11">
        <v>1036401</v>
      </c>
      <c r="Q1740" s="11">
        <v>1036501</v>
      </c>
      <c r="R1740" s="11">
        <v>1036601</v>
      </c>
    </row>
    <row r="1741" spans="1:18">
      <c r="A1741" s="11">
        <f t="shared" si="79"/>
        <v>70364403</v>
      </c>
      <c r="B1741" s="2" t="s">
        <v>1865</v>
      </c>
      <c r="D1741" s="2" t="str">
        <f>E1741&amp;(VLOOKUP(F1741,编号表!$E$1:$G$8,2,0))&amp;G1741&amp;"_"&amp;H1741&amp;"_"&amp;I1741</f>
        <v>36N4_4_3</v>
      </c>
      <c r="E1741" s="2">
        <v>36</v>
      </c>
      <c r="F1741" s="2" t="s">
        <v>174</v>
      </c>
      <c r="G1741" s="2">
        <v>4</v>
      </c>
      <c r="H1741" s="2">
        <v>4</v>
      </c>
      <c r="I1741" s="2">
        <f>COUNTIFS($E$3:E1741,E1741,$H$3:H1741,H1741)</f>
        <v>3</v>
      </c>
      <c r="N1741" s="11">
        <v>1036201</v>
      </c>
      <c r="O1741" s="11">
        <v>1036301</v>
      </c>
      <c r="P1741" s="11">
        <v>1036401</v>
      </c>
      <c r="Q1741" s="11">
        <v>1036501</v>
      </c>
      <c r="R1741" s="11">
        <v>1036601</v>
      </c>
    </row>
    <row r="1742" spans="1:18">
      <c r="A1742" s="11">
        <f t="shared" si="79"/>
        <v>70363404</v>
      </c>
      <c r="B1742" s="2" t="s">
        <v>1866</v>
      </c>
      <c r="D1742" s="2" t="str">
        <f>E1742&amp;(VLOOKUP(F1742,编号表!$E$1:$G$8,2,0))&amp;G1742&amp;"_"&amp;H1742&amp;"_"&amp;I1742</f>
        <v>36N3_4_4</v>
      </c>
      <c r="E1742" s="2">
        <v>36</v>
      </c>
      <c r="F1742" s="2" t="s">
        <v>174</v>
      </c>
      <c r="G1742" s="2">
        <v>3</v>
      </c>
      <c r="H1742" s="2">
        <v>4</v>
      </c>
      <c r="I1742" s="2">
        <f>COUNTIFS($E$3:E1742,E1742,$H$3:H1742,H1742)</f>
        <v>4</v>
      </c>
      <c r="N1742" s="11">
        <v>1036201</v>
      </c>
      <c r="O1742" s="11">
        <v>1036301</v>
      </c>
      <c r="P1742" s="11">
        <v>1036401</v>
      </c>
      <c r="Q1742" s="11">
        <v>1036501</v>
      </c>
      <c r="R1742" s="11">
        <v>1036601</v>
      </c>
    </row>
    <row r="1743" spans="1:18">
      <c r="A1743" s="11">
        <f t="shared" si="79"/>
        <v>70364405</v>
      </c>
      <c r="B1743" s="2" t="s">
        <v>1867</v>
      </c>
      <c r="D1743" s="2" t="str">
        <f>E1743&amp;(VLOOKUP(F1743,编号表!$E$1:$G$8,2,0))&amp;G1743&amp;"_"&amp;H1743&amp;"_"&amp;I1743</f>
        <v>36N4_4_5</v>
      </c>
      <c r="E1743" s="2">
        <v>36</v>
      </c>
      <c r="F1743" s="2" t="s">
        <v>174</v>
      </c>
      <c r="G1743" s="2">
        <v>4</v>
      </c>
      <c r="H1743" s="2">
        <v>4</v>
      </c>
      <c r="I1743" s="2">
        <f>COUNTIFS($E$3:E1743,E1743,$H$3:H1743,H1743)</f>
        <v>5</v>
      </c>
      <c r="N1743" s="11">
        <v>1036201</v>
      </c>
      <c r="O1743" s="11">
        <v>1036301</v>
      </c>
      <c r="P1743" s="11">
        <v>1036401</v>
      </c>
      <c r="Q1743" s="11">
        <v>1036501</v>
      </c>
      <c r="R1743" s="11">
        <v>1036601</v>
      </c>
    </row>
    <row r="1744" spans="1:18">
      <c r="A1744" s="11">
        <f t="shared" si="79"/>
        <v>70363406</v>
      </c>
      <c r="B1744" s="2" t="s">
        <v>1868</v>
      </c>
      <c r="D1744" s="2" t="str">
        <f>E1744&amp;(VLOOKUP(F1744,编号表!$E$1:$G$8,2,0))&amp;G1744&amp;"_"&amp;H1744&amp;"_"&amp;I1744</f>
        <v>36N3_4_6</v>
      </c>
      <c r="E1744" s="2">
        <v>36</v>
      </c>
      <c r="F1744" s="2" t="s">
        <v>174</v>
      </c>
      <c r="G1744" s="2">
        <v>3</v>
      </c>
      <c r="H1744" s="2">
        <v>4</v>
      </c>
      <c r="I1744" s="2">
        <f>COUNTIFS($E$3:E1744,E1744,$H$3:H1744,H1744)</f>
        <v>6</v>
      </c>
      <c r="N1744" s="11">
        <v>1036201</v>
      </c>
      <c r="O1744" s="11">
        <v>1036301</v>
      </c>
      <c r="P1744" s="11">
        <v>1036401</v>
      </c>
      <c r="Q1744" s="11">
        <v>1036501</v>
      </c>
      <c r="R1744" s="11">
        <v>1036601</v>
      </c>
    </row>
    <row r="1745" spans="1:18">
      <c r="A1745" s="11">
        <f t="shared" si="79"/>
        <v>70363407</v>
      </c>
      <c r="B1745" s="2" t="s">
        <v>1869</v>
      </c>
      <c r="D1745" s="2" t="str">
        <f>E1745&amp;(VLOOKUP(F1745,编号表!$E$1:$G$8,2,0))&amp;G1745&amp;"_"&amp;H1745&amp;"_"&amp;I1745</f>
        <v>36N3_4_7</v>
      </c>
      <c r="E1745" s="2">
        <v>36</v>
      </c>
      <c r="F1745" s="2" t="s">
        <v>174</v>
      </c>
      <c r="G1745" s="2">
        <v>3</v>
      </c>
      <c r="H1745" s="2">
        <v>4</v>
      </c>
      <c r="I1745" s="2">
        <f>COUNTIFS($E$3:E1745,E1745,$H$3:H1745,H1745)</f>
        <v>7</v>
      </c>
      <c r="N1745" s="11">
        <v>1036201</v>
      </c>
      <c r="O1745" s="11">
        <v>1036301</v>
      </c>
      <c r="P1745" s="11">
        <v>1036401</v>
      </c>
      <c r="Q1745" s="11">
        <v>1036501</v>
      </c>
      <c r="R1745" s="11">
        <v>1036601</v>
      </c>
    </row>
    <row r="1746" spans="1:18">
      <c r="A1746" s="11">
        <f t="shared" si="79"/>
        <v>70365501</v>
      </c>
      <c r="B1746" s="2" t="s">
        <v>1870</v>
      </c>
      <c r="D1746" s="2" t="str">
        <f>E1746&amp;(VLOOKUP(F1746,编号表!$E$1:$G$8,2,0))&amp;G1746&amp;"_"&amp;H1746&amp;"_"&amp;I1746</f>
        <v>36N5_5_1</v>
      </c>
      <c r="E1746" s="2">
        <v>36</v>
      </c>
      <c r="F1746" s="2" t="s">
        <v>174</v>
      </c>
      <c r="G1746" s="2">
        <v>5</v>
      </c>
      <c r="H1746" s="2">
        <v>5</v>
      </c>
      <c r="I1746" s="2">
        <f>COUNTIFS($E$3:E1746,E1746,$H$3:H1746,H1746)</f>
        <v>1</v>
      </c>
      <c r="N1746" s="11">
        <v>1036201</v>
      </c>
      <c r="O1746" s="11">
        <v>1036301</v>
      </c>
      <c r="P1746" s="11">
        <v>1036401</v>
      </c>
      <c r="Q1746" s="11">
        <v>1036501</v>
      </c>
      <c r="R1746" s="11">
        <v>1036601</v>
      </c>
    </row>
    <row r="1747" spans="1:18">
      <c r="A1747" s="11">
        <f t="shared" si="79"/>
        <v>70363502</v>
      </c>
      <c r="B1747" s="2" t="s">
        <v>1871</v>
      </c>
      <c r="D1747" s="2" t="str">
        <f>E1747&amp;(VLOOKUP(F1747,编号表!$E$1:$G$8,2,0))&amp;G1747&amp;"_"&amp;H1747&amp;"_"&amp;I1747</f>
        <v>36N3_5_2</v>
      </c>
      <c r="E1747" s="2">
        <v>36</v>
      </c>
      <c r="F1747" s="2" t="s">
        <v>174</v>
      </c>
      <c r="G1747" s="2">
        <v>3</v>
      </c>
      <c r="H1747" s="2">
        <v>5</v>
      </c>
      <c r="I1747" s="2">
        <f>COUNTIFS($E$3:E1747,E1747,$H$3:H1747,H1747)</f>
        <v>2</v>
      </c>
      <c r="N1747" s="11">
        <v>1036201</v>
      </c>
      <c r="O1747" s="11">
        <v>1036301</v>
      </c>
      <c r="P1747" s="11">
        <v>1036401</v>
      </c>
      <c r="Q1747" s="11">
        <v>1036501</v>
      </c>
      <c r="R1747" s="11">
        <v>1036601</v>
      </c>
    </row>
    <row r="1748" spans="1:18">
      <c r="A1748" s="11">
        <f t="shared" si="79"/>
        <v>70366503</v>
      </c>
      <c r="B1748" s="2" t="s">
        <v>1872</v>
      </c>
      <c r="D1748" s="2" t="str">
        <f>E1748&amp;(VLOOKUP(F1748,编号表!$E$1:$G$8,2,0))&amp;G1748&amp;"_"&amp;H1748&amp;"_"&amp;I1748</f>
        <v>36N6_5_3</v>
      </c>
      <c r="E1748" s="2">
        <v>36</v>
      </c>
      <c r="F1748" s="2" t="s">
        <v>174</v>
      </c>
      <c r="G1748" s="2">
        <v>6</v>
      </c>
      <c r="H1748" s="2">
        <v>5</v>
      </c>
      <c r="I1748" s="2">
        <f>COUNTIFS($E$3:E1748,E1748,$H$3:H1748,H1748)</f>
        <v>3</v>
      </c>
      <c r="N1748" s="11">
        <v>1036201</v>
      </c>
      <c r="O1748" s="11">
        <v>1036301</v>
      </c>
      <c r="P1748" s="11">
        <v>1036401</v>
      </c>
      <c r="Q1748" s="11">
        <v>1036501</v>
      </c>
      <c r="R1748" s="11">
        <v>1036601</v>
      </c>
    </row>
    <row r="1749" spans="1:18">
      <c r="A1749" s="11">
        <f t="shared" si="79"/>
        <v>70364504</v>
      </c>
      <c r="B1749" s="2" t="s">
        <v>1873</v>
      </c>
      <c r="D1749" s="2" t="str">
        <f>E1749&amp;(VLOOKUP(F1749,编号表!$E$1:$G$8,2,0))&amp;G1749&amp;"_"&amp;H1749&amp;"_"&amp;I1749</f>
        <v>36N4_5_4</v>
      </c>
      <c r="E1749" s="2">
        <v>36</v>
      </c>
      <c r="F1749" s="2" t="s">
        <v>174</v>
      </c>
      <c r="G1749" s="2">
        <v>4</v>
      </c>
      <c r="H1749" s="2">
        <v>5</v>
      </c>
      <c r="I1749" s="2">
        <f>COUNTIFS($E$3:E1749,E1749,$H$3:H1749,H1749)</f>
        <v>4</v>
      </c>
      <c r="N1749" s="11">
        <v>1036201</v>
      </c>
      <c r="O1749" s="11">
        <v>1036301</v>
      </c>
      <c r="P1749" s="11">
        <v>1036401</v>
      </c>
      <c r="Q1749" s="11">
        <v>1036501</v>
      </c>
      <c r="R1749" s="11">
        <v>1036601</v>
      </c>
    </row>
    <row r="1750" spans="1:18">
      <c r="A1750" s="11">
        <f t="shared" si="79"/>
        <v>70364505</v>
      </c>
      <c r="B1750" s="2" t="s">
        <v>1874</v>
      </c>
      <c r="D1750" s="2" t="str">
        <f>E1750&amp;(VLOOKUP(F1750,编号表!$E$1:$G$8,2,0))&amp;G1750&amp;"_"&amp;H1750&amp;"_"&amp;I1750</f>
        <v>36N4_5_5</v>
      </c>
      <c r="E1750" s="2">
        <v>36</v>
      </c>
      <c r="F1750" s="2" t="s">
        <v>174</v>
      </c>
      <c r="G1750" s="2">
        <v>4</v>
      </c>
      <c r="H1750" s="2">
        <v>5</v>
      </c>
      <c r="I1750" s="2">
        <f>COUNTIFS($E$3:E1750,E1750,$H$3:H1750,H1750)</f>
        <v>5</v>
      </c>
      <c r="N1750" s="11">
        <v>1036201</v>
      </c>
      <c r="O1750" s="11">
        <v>1036301</v>
      </c>
      <c r="P1750" s="11">
        <v>1036401</v>
      </c>
      <c r="Q1750" s="11">
        <v>1036501</v>
      </c>
      <c r="R1750" s="11">
        <v>1036601</v>
      </c>
    </row>
    <row r="1751" spans="1:18">
      <c r="A1751" s="11">
        <f t="shared" si="79"/>
        <v>70363506</v>
      </c>
      <c r="B1751" s="2" t="s">
        <v>1875</v>
      </c>
      <c r="D1751" s="2" t="str">
        <f>E1751&amp;(VLOOKUP(F1751,编号表!$E$1:$G$8,2,0))&amp;G1751&amp;"_"&amp;H1751&amp;"_"&amp;I1751</f>
        <v>36N3_5_6</v>
      </c>
      <c r="E1751" s="2">
        <v>36</v>
      </c>
      <c r="F1751" s="2" t="s">
        <v>174</v>
      </c>
      <c r="G1751" s="2">
        <v>3</v>
      </c>
      <c r="H1751" s="2">
        <v>5</v>
      </c>
      <c r="I1751" s="2">
        <f>COUNTIFS($E$3:E1751,E1751,$H$3:H1751,H1751)</f>
        <v>6</v>
      </c>
      <c r="N1751" s="11">
        <v>1036201</v>
      </c>
      <c r="O1751" s="11">
        <v>1036301</v>
      </c>
      <c r="P1751" s="11">
        <v>1036401</v>
      </c>
      <c r="Q1751" s="11">
        <v>1036501</v>
      </c>
      <c r="R1751" s="11">
        <v>1036601</v>
      </c>
    </row>
    <row r="1752" spans="1:18">
      <c r="A1752" s="11">
        <f t="shared" si="79"/>
        <v>70364601</v>
      </c>
      <c r="B1752" s="2" t="s">
        <v>1876</v>
      </c>
      <c r="D1752" s="2" t="str">
        <f>E1752&amp;(VLOOKUP(F1752,编号表!$E$1:$G$8,2,0))&amp;G1752&amp;"_"&amp;H1752&amp;"_"&amp;I1752</f>
        <v>36N4_6_1</v>
      </c>
      <c r="E1752" s="2">
        <v>36</v>
      </c>
      <c r="F1752" s="2" t="s">
        <v>174</v>
      </c>
      <c r="G1752" s="2">
        <v>4</v>
      </c>
      <c r="H1752" s="2">
        <v>6</v>
      </c>
      <c r="I1752" s="2">
        <f>COUNTIFS($E$3:E1752,E1752,$H$3:H1752,H1752)</f>
        <v>1</v>
      </c>
      <c r="N1752" s="11">
        <v>1036201</v>
      </c>
      <c r="O1752" s="11">
        <v>1036301</v>
      </c>
      <c r="P1752" s="11">
        <v>1036401</v>
      </c>
      <c r="Q1752" s="11">
        <v>1036501</v>
      </c>
      <c r="R1752" s="11">
        <v>1036601</v>
      </c>
    </row>
    <row r="1753" spans="1:18">
      <c r="A1753" s="11">
        <f t="shared" si="79"/>
        <v>70362602</v>
      </c>
      <c r="B1753" s="2" t="s">
        <v>1877</v>
      </c>
      <c r="D1753" s="2" t="str">
        <f>E1753&amp;(VLOOKUP(F1753,编号表!$E$1:$G$8,2,0))&amp;G1753&amp;"_"&amp;H1753&amp;"_"&amp;I1753</f>
        <v>36N2_6_2</v>
      </c>
      <c r="E1753" s="2">
        <v>36</v>
      </c>
      <c r="F1753" s="2" t="s">
        <v>174</v>
      </c>
      <c r="G1753" s="2">
        <v>2</v>
      </c>
      <c r="H1753" s="2">
        <v>6</v>
      </c>
      <c r="I1753" s="2">
        <f>COUNTIFS($E$3:E1753,E1753,$H$3:H1753,H1753)</f>
        <v>2</v>
      </c>
      <c r="N1753" s="11">
        <v>1036201</v>
      </c>
      <c r="O1753" s="11">
        <v>1036301</v>
      </c>
      <c r="P1753" s="11">
        <v>1036401</v>
      </c>
      <c r="Q1753" s="11">
        <v>1036501</v>
      </c>
      <c r="R1753" s="11">
        <v>1036601</v>
      </c>
    </row>
    <row r="1754" spans="1:18">
      <c r="A1754" s="11">
        <f t="shared" si="79"/>
        <v>70361603</v>
      </c>
      <c r="B1754" s="15" t="s">
        <v>1816</v>
      </c>
      <c r="D1754" s="2" t="str">
        <f>E1754&amp;(VLOOKUP(F1754,编号表!$E$1:$G$8,2,0))&amp;G1754&amp;"_"&amp;H1754&amp;"_"&amp;I1754</f>
        <v>36T1_6_3</v>
      </c>
      <c r="E1754" s="2">
        <v>36</v>
      </c>
      <c r="F1754" s="2" t="s">
        <v>190</v>
      </c>
      <c r="G1754" s="2">
        <v>1</v>
      </c>
      <c r="H1754" s="2">
        <v>6</v>
      </c>
      <c r="I1754" s="2">
        <f>COUNTIFS($E$3:E1754,E1754,$H$3:H1754,H1754)</f>
        <v>3</v>
      </c>
      <c r="K1754" s="2">
        <v>1</v>
      </c>
    </row>
    <row r="1755" spans="1:18">
      <c r="A1755" s="11">
        <f t="shared" si="79"/>
        <v>70363604</v>
      </c>
      <c r="B1755" s="16" t="s">
        <v>118</v>
      </c>
      <c r="C1755" s="2" t="s">
        <v>1815</v>
      </c>
      <c r="D1755" s="2" t="str">
        <f>E1755&amp;(VLOOKUP(F1755,编号表!$E$1:$G$8,2,0))&amp;G1755&amp;"_"&amp;H1755&amp;"_"&amp;I1755</f>
        <v>36T3_6_4</v>
      </c>
      <c r="E1755" s="2">
        <v>36</v>
      </c>
      <c r="F1755" s="2" t="s">
        <v>190</v>
      </c>
      <c r="G1755" s="2">
        <v>3</v>
      </c>
      <c r="H1755" s="2">
        <v>6</v>
      </c>
      <c r="I1755" s="2">
        <f>COUNTIFS($E$3:E1755,E1755,$H$3:H1755,H1755)</f>
        <v>4</v>
      </c>
      <c r="L1755" s="2">
        <v>173</v>
      </c>
    </row>
    <row r="1756" spans="1:18">
      <c r="A1756" s="11">
        <f t="shared" si="79"/>
        <v>70367605</v>
      </c>
      <c r="B1756" s="2" t="s">
        <v>1878</v>
      </c>
      <c r="D1756" s="2" t="str">
        <f>E1756&amp;(VLOOKUP(F1756,编号表!$E$1:$G$8,2,0))&amp;G1756&amp;"_"&amp;H1756&amp;"_"&amp;I1756</f>
        <v>36N7_6_5</v>
      </c>
      <c r="E1756" s="2">
        <v>36</v>
      </c>
      <c r="F1756" s="2" t="s">
        <v>174</v>
      </c>
      <c r="G1756" s="2">
        <v>7</v>
      </c>
      <c r="H1756" s="2">
        <v>6</v>
      </c>
      <c r="I1756" s="2">
        <f>COUNTIFS($E$3:E1756,E1756,$H$3:H1756,H1756)</f>
        <v>5</v>
      </c>
      <c r="N1756" s="11">
        <v>1036201</v>
      </c>
      <c r="O1756" s="11">
        <v>1036301</v>
      </c>
      <c r="P1756" s="11">
        <v>1036401</v>
      </c>
      <c r="Q1756" s="11">
        <v>1036501</v>
      </c>
      <c r="R1756" s="11">
        <v>1036601</v>
      </c>
    </row>
    <row r="1757" spans="1:18">
      <c r="A1757" s="11">
        <f t="shared" si="79"/>
        <v>70367606</v>
      </c>
      <c r="B1757" s="2" t="s">
        <v>1879</v>
      </c>
      <c r="D1757" s="2" t="str">
        <f>E1757&amp;(VLOOKUP(F1757,编号表!$E$1:$G$8,2,0))&amp;G1757&amp;"_"&amp;H1757&amp;"_"&amp;I1757</f>
        <v>36N7_6_6</v>
      </c>
      <c r="E1757" s="2">
        <v>36</v>
      </c>
      <c r="F1757" s="2" t="s">
        <v>174</v>
      </c>
      <c r="G1757" s="2">
        <v>7</v>
      </c>
      <c r="H1757" s="2">
        <v>6</v>
      </c>
      <c r="I1757" s="2">
        <f>COUNTIFS($E$3:E1757,E1757,$H$3:H1757,H1757)</f>
        <v>6</v>
      </c>
      <c r="N1757" s="11">
        <v>1036201</v>
      </c>
      <c r="O1757" s="11">
        <v>1036301</v>
      </c>
      <c r="P1757" s="11">
        <v>1036401</v>
      </c>
      <c r="Q1757" s="11">
        <v>1036501</v>
      </c>
      <c r="R1757" s="11">
        <v>1036601</v>
      </c>
    </row>
    <row r="1758" spans="1:18">
      <c r="A1758" s="11">
        <f t="shared" si="79"/>
        <v>70366607</v>
      </c>
      <c r="B1758" s="2" t="s">
        <v>1880</v>
      </c>
      <c r="D1758" s="2" t="str">
        <f>E1758&amp;(VLOOKUP(F1758,编号表!$E$1:$G$8,2,0))&amp;G1758&amp;"_"&amp;H1758&amp;"_"&amp;I1758</f>
        <v>36N6_6_7</v>
      </c>
      <c r="E1758" s="2">
        <v>36</v>
      </c>
      <c r="F1758" s="2" t="s">
        <v>174</v>
      </c>
      <c r="G1758" s="2">
        <v>6</v>
      </c>
      <c r="H1758" s="2">
        <v>6</v>
      </c>
      <c r="I1758" s="2">
        <f>COUNTIFS($E$3:E1758,E1758,$H$3:H1758,H1758)</f>
        <v>7</v>
      </c>
      <c r="N1758" s="11">
        <v>1036201</v>
      </c>
      <c r="O1758" s="11">
        <v>1036301</v>
      </c>
      <c r="P1758" s="11">
        <v>1036401</v>
      </c>
      <c r="Q1758" s="11">
        <v>1036501</v>
      </c>
      <c r="R1758" s="11">
        <v>1036601</v>
      </c>
    </row>
    <row r="1759" spans="1:18">
      <c r="A1759" s="11">
        <f t="shared" si="79"/>
        <v>70364608</v>
      </c>
      <c r="B1759" s="2" t="s">
        <v>1881</v>
      </c>
      <c r="D1759" s="2" t="str">
        <f>E1759&amp;(VLOOKUP(F1759,编号表!$E$1:$G$8,2,0))&amp;G1759&amp;"_"&amp;H1759&amp;"_"&amp;I1759</f>
        <v>36N4_6_8</v>
      </c>
      <c r="E1759" s="2">
        <v>36</v>
      </c>
      <c r="F1759" s="2" t="s">
        <v>174</v>
      </c>
      <c r="G1759" s="2">
        <v>4</v>
      </c>
      <c r="H1759" s="2">
        <v>6</v>
      </c>
      <c r="I1759" s="2">
        <f>COUNTIFS($E$3:E1759,E1759,$H$3:H1759,H1759)</f>
        <v>8</v>
      </c>
      <c r="N1759" s="11">
        <v>1036201</v>
      </c>
      <c r="O1759" s="11">
        <v>1036301</v>
      </c>
      <c r="P1759" s="11">
        <v>1036401</v>
      </c>
      <c r="Q1759" s="11">
        <v>1036501</v>
      </c>
      <c r="R1759" s="11">
        <v>1036601</v>
      </c>
    </row>
    <row r="1760" spans="1:18">
      <c r="A1760" s="11">
        <f t="shared" si="79"/>
        <v>70363609</v>
      </c>
      <c r="B1760" s="2" t="s">
        <v>1882</v>
      </c>
      <c r="D1760" s="2" t="str">
        <f>E1760&amp;(VLOOKUP(F1760,编号表!$E$1:$G$8,2,0))&amp;G1760&amp;"_"&amp;H1760&amp;"_"&amp;I1760</f>
        <v>36N3_6_9</v>
      </c>
      <c r="E1760" s="2">
        <v>36</v>
      </c>
      <c r="F1760" s="2" t="s">
        <v>174</v>
      </c>
      <c r="G1760" s="2">
        <v>3</v>
      </c>
      <c r="H1760" s="2">
        <v>6</v>
      </c>
      <c r="I1760" s="2">
        <f>COUNTIFS($E$3:E1760,E1760,$H$3:H1760,H1760)</f>
        <v>9</v>
      </c>
      <c r="N1760" s="11">
        <v>1036201</v>
      </c>
      <c r="O1760" s="11">
        <v>1036301</v>
      </c>
      <c r="P1760" s="11">
        <v>1036401</v>
      </c>
      <c r="Q1760" s="11">
        <v>1036501</v>
      </c>
      <c r="R1760" s="11">
        <v>1036601</v>
      </c>
    </row>
    <row r="1761" spans="1:19">
      <c r="A1761" s="11">
        <f t="shared" si="79"/>
        <v>70360001</v>
      </c>
      <c r="B1761" s="24" t="s">
        <v>1883</v>
      </c>
      <c r="D1761" s="2" t="str">
        <f>E1761&amp;(VLOOKUP(F1761,编号表!$E$1:$G$8,2,0))&amp;G1761&amp;"_"&amp;H1761&amp;"_"&amp;I1761</f>
        <v>36J0_0_1</v>
      </c>
      <c r="E1761" s="2">
        <v>36</v>
      </c>
      <c r="F1761" s="2" t="s">
        <v>222</v>
      </c>
      <c r="G1761" s="2">
        <v>0</v>
      </c>
      <c r="H1761" s="2">
        <v>0</v>
      </c>
      <c r="I1761" s="2">
        <f>COUNTIFS($E$3:E1761,E1761,$H$3:H1761,H1761)</f>
        <v>1</v>
      </c>
      <c r="J1761" s="2">
        <v>1</v>
      </c>
    </row>
    <row r="1762" spans="1:19">
      <c r="A1762" s="11">
        <f t="shared" si="79"/>
        <v>70373101</v>
      </c>
      <c r="B1762" s="16" t="s">
        <v>121</v>
      </c>
      <c r="C1762" s="2" t="s">
        <v>1849</v>
      </c>
      <c r="D1762" s="2" t="str">
        <f>E1762&amp;(VLOOKUP(F1762,编号表!$E$1:$G$8,2,0))&amp;G1762&amp;"_"&amp;H1762&amp;"_"&amp;I1762</f>
        <v>37T3_1_1</v>
      </c>
      <c r="E1762" s="2">
        <v>37</v>
      </c>
      <c r="F1762" s="2" t="s">
        <v>190</v>
      </c>
      <c r="G1762" s="2">
        <v>3</v>
      </c>
      <c r="H1762" s="2">
        <v>1</v>
      </c>
      <c r="I1762" s="2">
        <f>COUNTIFS($E$3:E1762,E1762,$H$3:H1762,H1762)</f>
        <v>1</v>
      </c>
      <c r="L1762" s="2">
        <v>176</v>
      </c>
    </row>
    <row r="1763" spans="1:19">
      <c r="A1763" s="11">
        <f t="shared" si="79"/>
        <v>70371102</v>
      </c>
      <c r="B1763" s="15" t="s">
        <v>1848</v>
      </c>
      <c r="D1763" s="2" t="str">
        <f>E1763&amp;(VLOOKUP(F1763,编号表!$E$1:$G$8,2,0))&amp;G1763&amp;"_"&amp;H1763&amp;"_"&amp;I1763</f>
        <v>37T1_1_2</v>
      </c>
      <c r="E1763" s="2">
        <v>37</v>
      </c>
      <c r="F1763" s="2" t="s">
        <v>190</v>
      </c>
      <c r="G1763" s="2">
        <v>1</v>
      </c>
      <c r="H1763" s="2">
        <v>1</v>
      </c>
      <c r="I1763" s="2">
        <f>COUNTIFS($E$3:E1763,E1763,$H$3:H1763,H1763)</f>
        <v>2</v>
      </c>
    </row>
    <row r="1764" spans="1:19">
      <c r="A1764" s="11">
        <f t="shared" si="79"/>
        <v>70372103</v>
      </c>
      <c r="B1764" s="2" t="s">
        <v>1884</v>
      </c>
      <c r="D1764" s="2" t="str">
        <f>E1764&amp;(VLOOKUP(F1764,编号表!$E$1:$G$8,2,0))&amp;G1764&amp;"_"&amp;H1764&amp;"_"&amp;I1764</f>
        <v>37N2_1_3</v>
      </c>
      <c r="E1764" s="2">
        <v>37</v>
      </c>
      <c r="F1764" s="2" t="s">
        <v>174</v>
      </c>
      <c r="G1764" s="2">
        <v>2</v>
      </c>
      <c r="H1764" s="2">
        <v>1</v>
      </c>
      <c r="I1764" s="2">
        <f>COUNTIFS($E$3:E1764,E1764,$H$3:H1764,H1764)</f>
        <v>3</v>
      </c>
      <c r="N1764" s="11">
        <v>1037201</v>
      </c>
      <c r="O1764" s="11">
        <v>1037301</v>
      </c>
      <c r="P1764" s="11">
        <v>1037401</v>
      </c>
      <c r="Q1764" s="11">
        <v>1037501</v>
      </c>
      <c r="R1764" s="11">
        <v>1037601</v>
      </c>
      <c r="S1764" s="11">
        <v>1037001</v>
      </c>
    </row>
    <row r="1765" spans="1:19">
      <c r="A1765" s="11">
        <f t="shared" si="79"/>
        <v>70373104</v>
      </c>
      <c r="B1765" s="2" t="s">
        <v>1885</v>
      </c>
      <c r="D1765" s="2" t="str">
        <f>E1765&amp;(VLOOKUP(F1765,编号表!$E$1:$G$8,2,0))&amp;G1765&amp;"_"&amp;H1765&amp;"_"&amp;I1765</f>
        <v>37N3_1_4</v>
      </c>
      <c r="E1765" s="2">
        <v>37</v>
      </c>
      <c r="F1765" s="2" t="s">
        <v>174</v>
      </c>
      <c r="G1765" s="2">
        <v>3</v>
      </c>
      <c r="H1765" s="2">
        <v>1</v>
      </c>
      <c r="I1765" s="2">
        <f>COUNTIFS($E$3:E1765,E1765,$H$3:H1765,H1765)</f>
        <v>4</v>
      </c>
      <c r="N1765" s="11">
        <v>1037201</v>
      </c>
      <c r="O1765" s="11">
        <v>1037301</v>
      </c>
      <c r="P1765" s="11">
        <v>1037401</v>
      </c>
      <c r="Q1765" s="11">
        <v>1037501</v>
      </c>
      <c r="R1765" s="11">
        <v>1037601</v>
      </c>
      <c r="S1765" s="11">
        <v>1037101</v>
      </c>
    </row>
    <row r="1766" spans="1:19">
      <c r="A1766" s="11">
        <f t="shared" si="79"/>
        <v>70374105</v>
      </c>
      <c r="B1766" s="2" t="s">
        <v>1886</v>
      </c>
      <c r="D1766" s="2" t="str">
        <f>E1766&amp;(VLOOKUP(F1766,编号表!$E$1:$G$8,2,0))&amp;G1766&amp;"_"&amp;H1766&amp;"_"&amp;I1766</f>
        <v>37N4_1_5</v>
      </c>
      <c r="E1766" s="2">
        <v>37</v>
      </c>
      <c r="F1766" s="2" t="s">
        <v>174</v>
      </c>
      <c r="G1766" s="2">
        <v>4</v>
      </c>
      <c r="H1766" s="2">
        <v>1</v>
      </c>
      <c r="I1766" s="2">
        <f>COUNTIFS($E$3:E1766,E1766,$H$3:H1766,H1766)</f>
        <v>5</v>
      </c>
      <c r="N1766" s="11">
        <v>1037201</v>
      </c>
      <c r="O1766" s="11">
        <v>1037301</v>
      </c>
      <c r="P1766" s="11">
        <v>1037401</v>
      </c>
      <c r="Q1766" s="11">
        <v>1037501</v>
      </c>
      <c r="R1766" s="11">
        <v>1037601</v>
      </c>
    </row>
    <row r="1767" spans="1:19">
      <c r="A1767" s="11">
        <f t="shared" si="79"/>
        <v>70374201</v>
      </c>
      <c r="B1767" s="2" t="s">
        <v>1887</v>
      </c>
      <c r="D1767" s="2" t="str">
        <f>E1767&amp;(VLOOKUP(F1767,编号表!$E$1:$G$8,2,0))&amp;G1767&amp;"_"&amp;H1767&amp;"_"&amp;I1767</f>
        <v>37N4_2_1</v>
      </c>
      <c r="E1767" s="2">
        <v>37</v>
      </c>
      <c r="F1767" s="2" t="s">
        <v>174</v>
      </c>
      <c r="G1767" s="2">
        <v>4</v>
      </c>
      <c r="H1767" s="2">
        <v>2</v>
      </c>
      <c r="I1767" s="2">
        <f>COUNTIFS($E$3:E1767,E1767,$H$3:H1767,H1767)</f>
        <v>1</v>
      </c>
      <c r="N1767" s="11">
        <v>1037201</v>
      </c>
      <c r="O1767" s="11">
        <v>1037301</v>
      </c>
      <c r="P1767" s="11">
        <v>1037401</v>
      </c>
      <c r="Q1767" s="11">
        <v>1037501</v>
      </c>
      <c r="R1767" s="11">
        <v>1037601</v>
      </c>
    </row>
    <row r="1768" spans="1:19">
      <c r="A1768" s="11">
        <f t="shared" si="79"/>
        <v>70374202</v>
      </c>
      <c r="B1768" s="2" t="s">
        <v>1888</v>
      </c>
      <c r="D1768" s="2" t="str">
        <f>E1768&amp;(VLOOKUP(F1768,编号表!$E$1:$G$8,2,0))&amp;G1768&amp;"_"&amp;H1768&amp;"_"&amp;I1768</f>
        <v>37N4_2_2</v>
      </c>
      <c r="E1768" s="2">
        <v>37</v>
      </c>
      <c r="F1768" s="2" t="s">
        <v>174</v>
      </c>
      <c r="G1768" s="2">
        <v>4</v>
      </c>
      <c r="H1768" s="2">
        <v>2</v>
      </c>
      <c r="I1768" s="2">
        <f>COUNTIFS($E$3:E1768,E1768,$H$3:H1768,H1768)</f>
        <v>2</v>
      </c>
      <c r="N1768" s="11">
        <v>1037201</v>
      </c>
      <c r="O1768" s="11">
        <v>1037301</v>
      </c>
      <c r="P1768" s="11">
        <v>1037401</v>
      </c>
      <c r="Q1768" s="11">
        <v>1037501</v>
      </c>
      <c r="R1768" s="11">
        <v>1037601</v>
      </c>
    </row>
    <row r="1769" spans="1:19">
      <c r="A1769" s="11">
        <f t="shared" si="79"/>
        <v>70372203</v>
      </c>
      <c r="B1769" s="2" t="s">
        <v>1889</v>
      </c>
      <c r="D1769" s="2" t="str">
        <f>E1769&amp;(VLOOKUP(F1769,编号表!$E$1:$G$8,2,0))&amp;G1769&amp;"_"&amp;H1769&amp;"_"&amp;I1769</f>
        <v>37N2_2_3</v>
      </c>
      <c r="E1769" s="2">
        <v>37</v>
      </c>
      <c r="F1769" s="2" t="s">
        <v>174</v>
      </c>
      <c r="G1769" s="2">
        <v>2</v>
      </c>
      <c r="H1769" s="2">
        <v>2</v>
      </c>
      <c r="I1769" s="2">
        <f>COUNTIFS($E$3:E1769,E1769,$H$3:H1769,H1769)</f>
        <v>3</v>
      </c>
      <c r="N1769" s="11">
        <v>1037201</v>
      </c>
      <c r="O1769" s="11">
        <v>1037301</v>
      </c>
      <c r="P1769" s="11">
        <v>1037401</v>
      </c>
      <c r="Q1769" s="11">
        <v>1037501</v>
      </c>
      <c r="R1769" s="11">
        <v>1037601</v>
      </c>
    </row>
    <row r="1770" spans="1:19">
      <c r="A1770" s="11">
        <f t="shared" si="79"/>
        <v>70375204</v>
      </c>
      <c r="B1770" s="2" t="s">
        <v>1890</v>
      </c>
      <c r="D1770" s="2" t="str">
        <f>E1770&amp;(VLOOKUP(F1770,编号表!$E$1:$G$8,2,0))&amp;G1770&amp;"_"&amp;H1770&amp;"_"&amp;I1770</f>
        <v>37N5_2_4</v>
      </c>
      <c r="E1770" s="2">
        <v>37</v>
      </c>
      <c r="F1770" s="2" t="s">
        <v>174</v>
      </c>
      <c r="G1770" s="2">
        <v>5</v>
      </c>
      <c r="H1770" s="2">
        <v>2</v>
      </c>
      <c r="I1770" s="2">
        <f>COUNTIFS($E$3:E1770,E1770,$H$3:H1770,H1770)</f>
        <v>4</v>
      </c>
      <c r="N1770" s="11">
        <v>1037201</v>
      </c>
      <c r="O1770" s="11">
        <v>1037301</v>
      </c>
      <c r="P1770" s="11">
        <v>1037401</v>
      </c>
      <c r="Q1770" s="11">
        <v>1037501</v>
      </c>
      <c r="R1770" s="11">
        <v>1037601</v>
      </c>
    </row>
    <row r="1771" spans="1:19">
      <c r="A1771" s="11">
        <f t="shared" si="79"/>
        <v>70373205</v>
      </c>
      <c r="B1771" s="2" t="s">
        <v>1891</v>
      </c>
      <c r="D1771" s="2" t="str">
        <f>E1771&amp;(VLOOKUP(F1771,编号表!$E$1:$G$8,2,0))&amp;G1771&amp;"_"&amp;H1771&amp;"_"&amp;I1771</f>
        <v>37N3_2_5</v>
      </c>
      <c r="E1771" s="2">
        <v>37</v>
      </c>
      <c r="F1771" s="2" t="s">
        <v>174</v>
      </c>
      <c r="G1771" s="2">
        <v>3</v>
      </c>
      <c r="H1771" s="2">
        <v>2</v>
      </c>
      <c r="I1771" s="2">
        <f>COUNTIFS($E$3:E1771,E1771,$H$3:H1771,H1771)</f>
        <v>5</v>
      </c>
      <c r="N1771" s="11">
        <v>1037201</v>
      </c>
      <c r="O1771" s="11">
        <v>1037301</v>
      </c>
      <c r="P1771" s="11">
        <v>1037401</v>
      </c>
      <c r="Q1771" s="11">
        <v>1037501</v>
      </c>
      <c r="R1771" s="11">
        <v>1037601</v>
      </c>
    </row>
    <row r="1772" spans="1:19">
      <c r="A1772" s="11">
        <f t="shared" si="79"/>
        <v>70375206</v>
      </c>
      <c r="B1772" s="2" t="s">
        <v>1892</v>
      </c>
      <c r="D1772" s="2" t="str">
        <f>E1772&amp;(VLOOKUP(F1772,编号表!$E$1:$G$8,2,0))&amp;G1772&amp;"_"&amp;H1772&amp;"_"&amp;I1772</f>
        <v>37N5_2_6</v>
      </c>
      <c r="E1772" s="2">
        <v>37</v>
      </c>
      <c r="F1772" s="2" t="s">
        <v>174</v>
      </c>
      <c r="G1772" s="2">
        <v>5</v>
      </c>
      <c r="H1772" s="2">
        <v>2</v>
      </c>
      <c r="I1772" s="2">
        <f>COUNTIFS($E$3:E1772,E1772,$H$3:H1772,H1772)</f>
        <v>6</v>
      </c>
      <c r="N1772" s="11">
        <v>1037201</v>
      </c>
      <c r="O1772" s="11">
        <v>1037301</v>
      </c>
      <c r="P1772" s="11">
        <v>1037401</v>
      </c>
      <c r="Q1772" s="11">
        <v>1037501</v>
      </c>
      <c r="R1772" s="11">
        <v>1037601</v>
      </c>
    </row>
    <row r="1773" spans="1:19">
      <c r="A1773" s="11">
        <f t="shared" si="79"/>
        <v>70375207</v>
      </c>
      <c r="B1773" s="2" t="s">
        <v>1893</v>
      </c>
      <c r="D1773" s="2" t="str">
        <f>E1773&amp;(VLOOKUP(F1773,编号表!$E$1:$G$8,2,0))&amp;G1773&amp;"_"&amp;H1773&amp;"_"&amp;I1773</f>
        <v>37N5_2_7</v>
      </c>
      <c r="E1773" s="2">
        <v>37</v>
      </c>
      <c r="F1773" s="2" t="s">
        <v>174</v>
      </c>
      <c r="G1773" s="2">
        <v>5</v>
      </c>
      <c r="H1773" s="2">
        <v>2</v>
      </c>
      <c r="I1773" s="2">
        <f>COUNTIFS($E$3:E1773,E1773,$H$3:H1773,H1773)</f>
        <v>7</v>
      </c>
      <c r="N1773" s="11">
        <v>1037201</v>
      </c>
      <c r="O1773" s="11">
        <v>1037301</v>
      </c>
      <c r="P1773" s="11">
        <v>1037401</v>
      </c>
      <c r="Q1773" s="11">
        <v>1037501</v>
      </c>
      <c r="R1773" s="11">
        <v>1037601</v>
      </c>
    </row>
    <row r="1774" spans="1:19">
      <c r="A1774" s="11">
        <f t="shared" si="79"/>
        <v>70373208</v>
      </c>
      <c r="B1774" s="2" t="s">
        <v>1894</v>
      </c>
      <c r="D1774" s="2" t="str">
        <f>E1774&amp;(VLOOKUP(F1774,编号表!$E$1:$G$8,2,0))&amp;G1774&amp;"_"&amp;H1774&amp;"_"&amp;I1774</f>
        <v>37N3_2_8</v>
      </c>
      <c r="E1774" s="2">
        <v>37</v>
      </c>
      <c r="F1774" s="2" t="s">
        <v>174</v>
      </c>
      <c r="G1774" s="2">
        <v>3</v>
      </c>
      <c r="H1774" s="2">
        <v>2</v>
      </c>
      <c r="I1774" s="2">
        <f>COUNTIFS($E$3:E1774,E1774,$H$3:H1774,H1774)</f>
        <v>8</v>
      </c>
      <c r="N1774" s="11">
        <v>1037201</v>
      </c>
      <c r="O1774" s="11">
        <v>1037301</v>
      </c>
      <c r="P1774" s="11">
        <v>1037401</v>
      </c>
      <c r="Q1774" s="11">
        <v>1037501</v>
      </c>
      <c r="R1774" s="11">
        <v>1037601</v>
      </c>
    </row>
    <row r="1775" spans="1:19">
      <c r="A1775" s="11">
        <f t="shared" si="79"/>
        <v>70374301</v>
      </c>
      <c r="B1775" s="2" t="s">
        <v>1895</v>
      </c>
      <c r="D1775" s="2" t="str">
        <f>E1775&amp;(VLOOKUP(F1775,编号表!$E$1:$G$8,2,0))&amp;G1775&amp;"_"&amp;H1775&amp;"_"&amp;I1775</f>
        <v>37N4_3_1</v>
      </c>
      <c r="E1775" s="2">
        <v>37</v>
      </c>
      <c r="F1775" s="2" t="s">
        <v>174</v>
      </c>
      <c r="G1775" s="2">
        <v>4</v>
      </c>
      <c r="H1775" s="2">
        <v>3</v>
      </c>
      <c r="I1775" s="2">
        <f>COUNTIFS($E$3:E1775,E1775,$H$3:H1775,H1775)</f>
        <v>1</v>
      </c>
      <c r="N1775" s="11">
        <v>1037201</v>
      </c>
      <c r="O1775" s="11">
        <v>1037301</v>
      </c>
      <c r="P1775" s="11">
        <v>1037401</v>
      </c>
      <c r="Q1775" s="11">
        <v>1037501</v>
      </c>
      <c r="R1775" s="11">
        <v>1037601</v>
      </c>
    </row>
    <row r="1776" spans="1:19">
      <c r="A1776" s="11">
        <f t="shared" si="79"/>
        <v>70374302</v>
      </c>
      <c r="B1776" s="2" t="s">
        <v>1896</v>
      </c>
      <c r="D1776" s="2" t="str">
        <f>E1776&amp;(VLOOKUP(F1776,编号表!$E$1:$G$8,2,0))&amp;G1776&amp;"_"&amp;H1776&amp;"_"&amp;I1776</f>
        <v>37N4_3_2</v>
      </c>
      <c r="E1776" s="2">
        <v>37</v>
      </c>
      <c r="F1776" s="2" t="s">
        <v>174</v>
      </c>
      <c r="G1776" s="2">
        <v>4</v>
      </c>
      <c r="H1776" s="2">
        <v>3</v>
      </c>
      <c r="I1776" s="2">
        <f>COUNTIFS($E$3:E1776,E1776,$H$3:H1776,H1776)</f>
        <v>2</v>
      </c>
      <c r="N1776" s="11">
        <v>1037201</v>
      </c>
      <c r="O1776" s="11">
        <v>1037301</v>
      </c>
      <c r="P1776" s="11">
        <v>1037401</v>
      </c>
      <c r="Q1776" s="11">
        <v>1037501</v>
      </c>
      <c r="R1776" s="11">
        <v>1037601</v>
      </c>
    </row>
    <row r="1777" spans="1:18">
      <c r="A1777" s="11">
        <f t="shared" si="79"/>
        <v>70375303</v>
      </c>
      <c r="B1777" s="2" t="s">
        <v>1897</v>
      </c>
      <c r="D1777" s="2" t="str">
        <f>E1777&amp;(VLOOKUP(F1777,编号表!$E$1:$G$8,2,0))&amp;G1777&amp;"_"&amp;H1777&amp;"_"&amp;I1777</f>
        <v>37N5_3_3</v>
      </c>
      <c r="E1777" s="2">
        <v>37</v>
      </c>
      <c r="F1777" s="2" t="s">
        <v>174</v>
      </c>
      <c r="G1777" s="2">
        <v>5</v>
      </c>
      <c r="H1777" s="2">
        <v>3</v>
      </c>
      <c r="I1777" s="2">
        <f>COUNTIFS($E$3:E1777,E1777,$H$3:H1777,H1777)</f>
        <v>3</v>
      </c>
      <c r="N1777" s="11">
        <v>1037201</v>
      </c>
      <c r="O1777" s="11">
        <v>1037301</v>
      </c>
      <c r="P1777" s="11">
        <v>1037401</v>
      </c>
      <c r="Q1777" s="11">
        <v>1037501</v>
      </c>
      <c r="R1777" s="11">
        <v>1037601</v>
      </c>
    </row>
    <row r="1778" spans="1:18">
      <c r="A1778" s="11">
        <f t="shared" si="79"/>
        <v>70375304</v>
      </c>
      <c r="B1778" s="2" t="s">
        <v>1898</v>
      </c>
      <c r="D1778" s="2" t="str">
        <f>E1778&amp;(VLOOKUP(F1778,编号表!$E$1:$G$8,2,0))&amp;G1778&amp;"_"&amp;H1778&amp;"_"&amp;I1778</f>
        <v>37N5_3_4</v>
      </c>
      <c r="E1778" s="2">
        <v>37</v>
      </c>
      <c r="F1778" s="2" t="s">
        <v>174</v>
      </c>
      <c r="G1778" s="2">
        <v>5</v>
      </c>
      <c r="H1778" s="2">
        <v>3</v>
      </c>
      <c r="I1778" s="2">
        <f>COUNTIFS($E$3:E1778,E1778,$H$3:H1778,H1778)</f>
        <v>4</v>
      </c>
      <c r="N1778" s="11">
        <v>1037201</v>
      </c>
      <c r="O1778" s="11">
        <v>1037301</v>
      </c>
      <c r="P1778" s="11">
        <v>1037401</v>
      </c>
      <c r="Q1778" s="11">
        <v>1037501</v>
      </c>
      <c r="R1778" s="11">
        <v>1037601</v>
      </c>
    </row>
    <row r="1779" spans="1:18">
      <c r="A1779" s="11">
        <f t="shared" si="79"/>
        <v>70375305</v>
      </c>
      <c r="B1779" s="2" t="s">
        <v>1899</v>
      </c>
      <c r="D1779" s="2" t="str">
        <f>E1779&amp;(VLOOKUP(F1779,编号表!$E$1:$G$8,2,0))&amp;G1779&amp;"_"&amp;H1779&amp;"_"&amp;I1779</f>
        <v>37N5_3_5</v>
      </c>
      <c r="E1779" s="2">
        <v>37</v>
      </c>
      <c r="F1779" s="2" t="s">
        <v>174</v>
      </c>
      <c r="G1779" s="2">
        <v>5</v>
      </c>
      <c r="H1779" s="2">
        <v>3</v>
      </c>
      <c r="I1779" s="2">
        <f>COUNTIFS($E$3:E1779,E1779,$H$3:H1779,H1779)</f>
        <v>5</v>
      </c>
      <c r="N1779" s="11">
        <v>1037201</v>
      </c>
      <c r="O1779" s="11">
        <v>1037301</v>
      </c>
      <c r="P1779" s="11">
        <v>1037401</v>
      </c>
      <c r="Q1779" s="11">
        <v>1037501</v>
      </c>
      <c r="R1779" s="11">
        <v>1037601</v>
      </c>
    </row>
    <row r="1780" spans="1:18">
      <c r="A1780" s="11">
        <f t="shared" si="79"/>
        <v>70376306</v>
      </c>
      <c r="B1780" s="2" t="s">
        <v>1900</v>
      </c>
      <c r="D1780" s="2" t="str">
        <f>E1780&amp;(VLOOKUP(F1780,编号表!$E$1:$G$8,2,0))&amp;G1780&amp;"_"&amp;H1780&amp;"_"&amp;I1780</f>
        <v>37N6_3_6</v>
      </c>
      <c r="E1780" s="2">
        <v>37</v>
      </c>
      <c r="F1780" s="2" t="s">
        <v>174</v>
      </c>
      <c r="G1780" s="2">
        <v>6</v>
      </c>
      <c r="H1780" s="2">
        <v>3</v>
      </c>
      <c r="I1780" s="2">
        <f>COUNTIFS($E$3:E1780,E1780,$H$3:H1780,H1780)</f>
        <v>6</v>
      </c>
      <c r="N1780" s="11">
        <v>1037201</v>
      </c>
      <c r="O1780" s="11">
        <v>1037301</v>
      </c>
      <c r="P1780" s="11">
        <v>1037401</v>
      </c>
      <c r="Q1780" s="11">
        <v>1037501</v>
      </c>
      <c r="R1780" s="11">
        <v>1037601</v>
      </c>
    </row>
    <row r="1781" spans="1:18">
      <c r="A1781" s="11">
        <f t="shared" si="79"/>
        <v>70378307</v>
      </c>
      <c r="B1781" s="2" t="s">
        <v>1901</v>
      </c>
      <c r="D1781" s="2" t="str">
        <f>E1781&amp;(VLOOKUP(F1781,编号表!$E$1:$G$8,2,0))&amp;G1781&amp;"_"&amp;H1781&amp;"_"&amp;I1781</f>
        <v>37N8_3_7</v>
      </c>
      <c r="E1781" s="2">
        <v>37</v>
      </c>
      <c r="F1781" s="2" t="s">
        <v>174</v>
      </c>
      <c r="G1781" s="2">
        <v>8</v>
      </c>
      <c r="H1781" s="2">
        <v>3</v>
      </c>
      <c r="I1781" s="2">
        <f>COUNTIFS($E$3:E1781,E1781,$H$3:H1781,H1781)</f>
        <v>7</v>
      </c>
      <c r="N1781" s="11">
        <v>1037201</v>
      </c>
      <c r="O1781" s="11">
        <v>1037301</v>
      </c>
      <c r="P1781" s="11">
        <v>1037401</v>
      </c>
      <c r="Q1781" s="11">
        <v>1037501</v>
      </c>
      <c r="R1781" s="11">
        <v>1037601</v>
      </c>
    </row>
    <row r="1782" spans="1:18">
      <c r="A1782" s="11">
        <f t="shared" si="79"/>
        <v>70375308</v>
      </c>
      <c r="B1782" s="2" t="s">
        <v>1902</v>
      </c>
      <c r="D1782" s="2" t="str">
        <f>E1782&amp;(VLOOKUP(F1782,编号表!$E$1:$G$8,2,0))&amp;G1782&amp;"_"&amp;H1782&amp;"_"&amp;I1782</f>
        <v>37N5_3_8</v>
      </c>
      <c r="E1782" s="2">
        <v>37</v>
      </c>
      <c r="F1782" s="2" t="s">
        <v>174</v>
      </c>
      <c r="G1782" s="2">
        <v>5</v>
      </c>
      <c r="H1782" s="2">
        <v>3</v>
      </c>
      <c r="I1782" s="2">
        <f>COUNTIFS($E$3:E1782,E1782,$H$3:H1782,H1782)</f>
        <v>8</v>
      </c>
      <c r="N1782" s="11">
        <v>1037201</v>
      </c>
      <c r="O1782" s="11">
        <v>1037301</v>
      </c>
      <c r="P1782" s="11">
        <v>1037401</v>
      </c>
      <c r="Q1782" s="11">
        <v>1037501</v>
      </c>
      <c r="R1782" s="11">
        <v>1037601</v>
      </c>
    </row>
    <row r="1783" spans="1:18">
      <c r="A1783" s="11">
        <f t="shared" si="79"/>
        <v>70373401</v>
      </c>
      <c r="B1783" s="2" t="s">
        <v>1903</v>
      </c>
      <c r="D1783" s="2" t="str">
        <f>E1783&amp;(VLOOKUP(F1783,编号表!$E$1:$G$8,2,0))&amp;G1783&amp;"_"&amp;H1783&amp;"_"&amp;I1783</f>
        <v>37N3_4_1</v>
      </c>
      <c r="E1783" s="2">
        <v>37</v>
      </c>
      <c r="F1783" s="2" t="s">
        <v>174</v>
      </c>
      <c r="G1783" s="2">
        <v>3</v>
      </c>
      <c r="H1783" s="2">
        <v>4</v>
      </c>
      <c r="I1783" s="2">
        <f>COUNTIFS($E$3:E1783,E1783,$H$3:H1783,H1783)</f>
        <v>1</v>
      </c>
      <c r="N1783" s="11">
        <v>1037201</v>
      </c>
      <c r="O1783" s="11">
        <v>1037301</v>
      </c>
      <c r="P1783" s="11">
        <v>1037401</v>
      </c>
      <c r="Q1783" s="11">
        <v>1037501</v>
      </c>
      <c r="R1783" s="11">
        <v>1037601</v>
      </c>
    </row>
    <row r="1784" spans="1:18">
      <c r="A1784" s="11">
        <f t="shared" si="79"/>
        <v>70373402</v>
      </c>
      <c r="B1784" s="2" t="s">
        <v>1904</v>
      </c>
      <c r="D1784" s="2" t="str">
        <f>E1784&amp;(VLOOKUP(F1784,编号表!$E$1:$G$8,2,0))&amp;G1784&amp;"_"&amp;H1784&amp;"_"&amp;I1784</f>
        <v>37N3_4_2</v>
      </c>
      <c r="E1784" s="2">
        <v>37</v>
      </c>
      <c r="F1784" s="2" t="s">
        <v>174</v>
      </c>
      <c r="G1784" s="2">
        <v>3</v>
      </c>
      <c r="H1784" s="2">
        <v>4</v>
      </c>
      <c r="I1784" s="2">
        <f>COUNTIFS($E$3:E1784,E1784,$H$3:H1784,H1784)</f>
        <v>2</v>
      </c>
      <c r="N1784" s="11">
        <v>1037201</v>
      </c>
      <c r="O1784" s="11">
        <v>1037301</v>
      </c>
      <c r="P1784" s="11">
        <v>1037401</v>
      </c>
      <c r="Q1784" s="11">
        <v>1037501</v>
      </c>
      <c r="R1784" s="11">
        <v>1037601</v>
      </c>
    </row>
    <row r="1785" spans="1:18">
      <c r="A1785" s="11">
        <f t="shared" si="79"/>
        <v>70375403</v>
      </c>
      <c r="B1785" s="2" t="s">
        <v>1905</v>
      </c>
      <c r="D1785" s="2" t="str">
        <f>E1785&amp;(VLOOKUP(F1785,编号表!$E$1:$G$8,2,0))&amp;G1785&amp;"_"&amp;H1785&amp;"_"&amp;I1785</f>
        <v>37N5_4_3</v>
      </c>
      <c r="E1785" s="2">
        <v>37</v>
      </c>
      <c r="F1785" s="2" t="s">
        <v>174</v>
      </c>
      <c r="G1785" s="2">
        <v>5</v>
      </c>
      <c r="H1785" s="2">
        <v>4</v>
      </c>
      <c r="I1785" s="2">
        <f>COUNTIFS($E$3:E1785,E1785,$H$3:H1785,H1785)</f>
        <v>3</v>
      </c>
      <c r="N1785" s="11">
        <v>1037201</v>
      </c>
      <c r="O1785" s="11">
        <v>1037301</v>
      </c>
      <c r="P1785" s="11">
        <v>1037401</v>
      </c>
      <c r="Q1785" s="11">
        <v>1037501</v>
      </c>
      <c r="R1785" s="11">
        <v>1037601</v>
      </c>
    </row>
    <row r="1786" spans="1:18">
      <c r="A1786" s="11">
        <f t="shared" si="79"/>
        <v>70375404</v>
      </c>
      <c r="B1786" s="2" t="s">
        <v>1906</v>
      </c>
      <c r="D1786" s="2" t="str">
        <f>E1786&amp;(VLOOKUP(F1786,编号表!$E$1:$G$8,2,0))&amp;G1786&amp;"_"&amp;H1786&amp;"_"&amp;I1786</f>
        <v>37N5_4_4</v>
      </c>
      <c r="E1786" s="2">
        <v>37</v>
      </c>
      <c r="F1786" s="2" t="s">
        <v>174</v>
      </c>
      <c r="G1786" s="2">
        <v>5</v>
      </c>
      <c r="H1786" s="2">
        <v>4</v>
      </c>
      <c r="I1786" s="2">
        <f>COUNTIFS($E$3:E1786,E1786,$H$3:H1786,H1786)</f>
        <v>4</v>
      </c>
      <c r="N1786" s="11">
        <v>1037201</v>
      </c>
      <c r="O1786" s="11">
        <v>1037301</v>
      </c>
      <c r="P1786" s="11">
        <v>1037401</v>
      </c>
      <c r="Q1786" s="11">
        <v>1037501</v>
      </c>
      <c r="R1786" s="11">
        <v>1037601</v>
      </c>
    </row>
    <row r="1787" spans="1:18">
      <c r="A1787" s="11">
        <f t="shared" si="79"/>
        <v>70374405</v>
      </c>
      <c r="B1787" s="2" t="s">
        <v>1907</v>
      </c>
      <c r="D1787" s="2" t="str">
        <f>E1787&amp;(VLOOKUP(F1787,编号表!$E$1:$G$8,2,0))&amp;G1787&amp;"_"&amp;H1787&amp;"_"&amp;I1787</f>
        <v>37N4_4_5</v>
      </c>
      <c r="E1787" s="2">
        <v>37</v>
      </c>
      <c r="F1787" s="2" t="s">
        <v>174</v>
      </c>
      <c r="G1787" s="2">
        <v>4</v>
      </c>
      <c r="H1787" s="2">
        <v>4</v>
      </c>
      <c r="I1787" s="2">
        <f>COUNTIFS($E$3:E1787,E1787,$H$3:H1787,H1787)</f>
        <v>5</v>
      </c>
      <c r="N1787" s="11">
        <v>1037201</v>
      </c>
      <c r="O1787" s="11">
        <v>1037301</v>
      </c>
      <c r="P1787" s="11">
        <v>1037401</v>
      </c>
      <c r="Q1787" s="11">
        <v>1037501</v>
      </c>
      <c r="R1787" s="11">
        <v>1037601</v>
      </c>
    </row>
    <row r="1788" spans="1:18">
      <c r="A1788" s="11">
        <f t="shared" si="79"/>
        <v>70372501</v>
      </c>
      <c r="B1788" s="2" t="s">
        <v>1908</v>
      </c>
      <c r="D1788" s="2" t="str">
        <f>E1788&amp;(VLOOKUP(F1788,编号表!$E$1:$G$8,2,0))&amp;G1788&amp;"_"&amp;H1788&amp;"_"&amp;I1788</f>
        <v>37N2_5_1</v>
      </c>
      <c r="E1788" s="2">
        <v>37</v>
      </c>
      <c r="F1788" s="2" t="s">
        <v>174</v>
      </c>
      <c r="G1788" s="2">
        <v>2</v>
      </c>
      <c r="H1788" s="2">
        <v>5</v>
      </c>
      <c r="I1788" s="2">
        <f>COUNTIFS($E$3:E1788,E1788,$H$3:H1788,H1788)</f>
        <v>1</v>
      </c>
      <c r="N1788" s="11">
        <v>1037201</v>
      </c>
      <c r="O1788" s="11">
        <v>1037301</v>
      </c>
      <c r="P1788" s="11">
        <v>1037401</v>
      </c>
      <c r="Q1788" s="11">
        <v>1037501</v>
      </c>
      <c r="R1788" s="11">
        <v>1037601</v>
      </c>
    </row>
    <row r="1789" spans="1:18">
      <c r="A1789" s="11">
        <f t="shared" si="79"/>
        <v>70371502</v>
      </c>
      <c r="B1789" s="15" t="s">
        <v>1840</v>
      </c>
      <c r="D1789" s="2" t="str">
        <f>E1789&amp;(VLOOKUP(F1789,编号表!$E$1:$G$8,2,0))&amp;G1789&amp;"_"&amp;H1789&amp;"_"&amp;I1789</f>
        <v>37T1_5_2</v>
      </c>
      <c r="E1789" s="2">
        <v>37</v>
      </c>
      <c r="F1789" s="2" t="s">
        <v>190</v>
      </c>
      <c r="G1789" s="2">
        <v>1</v>
      </c>
      <c r="H1789" s="2">
        <v>5</v>
      </c>
      <c r="I1789" s="2">
        <f>COUNTIFS($E$3:E1789,E1789,$H$3:H1789,H1789)</f>
        <v>2</v>
      </c>
      <c r="K1789" s="2">
        <v>1</v>
      </c>
    </row>
    <row r="1790" spans="1:18">
      <c r="A1790" s="11">
        <f t="shared" si="79"/>
        <v>70373503</v>
      </c>
      <c r="B1790" s="16" t="s">
        <v>118</v>
      </c>
      <c r="C1790" s="2" t="s">
        <v>1839</v>
      </c>
      <c r="D1790" s="2" t="str">
        <f>E1790&amp;(VLOOKUP(F1790,编号表!$E$1:$G$8,2,0))&amp;G1790&amp;"_"&amp;H1790&amp;"_"&amp;I1790</f>
        <v>37T3_5_3</v>
      </c>
      <c r="E1790" s="2">
        <v>37</v>
      </c>
      <c r="F1790" s="2" t="s">
        <v>190</v>
      </c>
      <c r="G1790" s="2">
        <v>3</v>
      </c>
      <c r="H1790" s="2">
        <v>5</v>
      </c>
      <c r="I1790" s="2">
        <f>COUNTIFS($E$3:E1790,E1790,$H$3:H1790,H1790)</f>
        <v>3</v>
      </c>
      <c r="L1790" s="2">
        <v>175</v>
      </c>
    </row>
    <row r="1791" spans="1:18">
      <c r="A1791" s="11">
        <f t="shared" si="79"/>
        <v>70375504</v>
      </c>
      <c r="B1791" s="2" t="s">
        <v>1909</v>
      </c>
      <c r="D1791" s="2" t="str">
        <f>E1791&amp;(VLOOKUP(F1791,编号表!$E$1:$G$8,2,0))&amp;G1791&amp;"_"&amp;H1791&amp;"_"&amp;I1791</f>
        <v>37N5_5_4</v>
      </c>
      <c r="E1791" s="2">
        <v>37</v>
      </c>
      <c r="F1791" s="2" t="s">
        <v>174</v>
      </c>
      <c r="G1791" s="2">
        <v>5</v>
      </c>
      <c r="H1791" s="2">
        <v>5</v>
      </c>
      <c r="I1791" s="2">
        <f>COUNTIFS($E$3:E1791,E1791,$H$3:H1791,H1791)</f>
        <v>4</v>
      </c>
      <c r="N1791" s="11">
        <v>1037201</v>
      </c>
      <c r="O1791" s="11">
        <v>1037301</v>
      </c>
      <c r="P1791" s="11">
        <v>1037401</v>
      </c>
      <c r="Q1791" s="11">
        <v>1037501</v>
      </c>
      <c r="R1791" s="11">
        <v>1037601</v>
      </c>
    </row>
    <row r="1792" spans="1:18">
      <c r="A1792" s="11">
        <f t="shared" si="79"/>
        <v>70376505</v>
      </c>
      <c r="B1792" s="2" t="s">
        <v>1910</v>
      </c>
      <c r="D1792" s="2" t="str">
        <f>E1792&amp;(VLOOKUP(F1792,编号表!$E$1:$G$8,2,0))&amp;G1792&amp;"_"&amp;H1792&amp;"_"&amp;I1792</f>
        <v>37N6_5_5</v>
      </c>
      <c r="E1792" s="2">
        <v>37</v>
      </c>
      <c r="F1792" s="2" t="s">
        <v>174</v>
      </c>
      <c r="G1792" s="2">
        <v>6</v>
      </c>
      <c r="H1792" s="2">
        <v>5</v>
      </c>
      <c r="I1792" s="2">
        <f>COUNTIFS($E$3:E1792,E1792,$H$3:H1792,H1792)</f>
        <v>5</v>
      </c>
      <c r="N1792" s="11">
        <v>1037201</v>
      </c>
      <c r="O1792" s="11">
        <v>1037301</v>
      </c>
      <c r="P1792" s="11">
        <v>1037401</v>
      </c>
      <c r="Q1792" s="11">
        <v>1037501</v>
      </c>
      <c r="R1792" s="11">
        <v>1037601</v>
      </c>
    </row>
    <row r="1793" spans="1:19">
      <c r="A1793" s="11">
        <f t="shared" ref="A1793:A1856" si="80">70000000+E1793*10000+G1793*1000+H1793*100+I1793</f>
        <v>70374506</v>
      </c>
      <c r="B1793" s="2" t="s">
        <v>1911</v>
      </c>
      <c r="D1793" s="2" t="str">
        <f>E1793&amp;(VLOOKUP(F1793,编号表!$E$1:$G$8,2,0))&amp;G1793&amp;"_"&amp;H1793&amp;"_"&amp;I1793</f>
        <v>37N4_5_6</v>
      </c>
      <c r="E1793" s="2">
        <v>37</v>
      </c>
      <c r="F1793" s="2" t="s">
        <v>174</v>
      </c>
      <c r="G1793" s="2">
        <v>4</v>
      </c>
      <c r="H1793" s="2">
        <v>5</v>
      </c>
      <c r="I1793" s="2">
        <f>COUNTIFS($E$3:E1793,E1793,$H$3:H1793,H1793)</f>
        <v>6</v>
      </c>
      <c r="N1793" s="11">
        <v>1037201</v>
      </c>
      <c r="O1793" s="11">
        <v>1037301</v>
      </c>
      <c r="P1793" s="11">
        <v>1037401</v>
      </c>
      <c r="Q1793" s="11">
        <v>1037501</v>
      </c>
      <c r="R1793" s="11">
        <v>1037601</v>
      </c>
    </row>
    <row r="1794" spans="1:19">
      <c r="A1794" s="11">
        <f t="shared" si="80"/>
        <v>70370507</v>
      </c>
      <c r="B1794" s="15" t="s">
        <v>1912</v>
      </c>
      <c r="D1794" s="2" t="str">
        <f>E1794&amp;(VLOOKUP(F1794,编号表!$E$1:$G$8,2,0))&amp;G1794&amp;"_"&amp;H1794&amp;"_"&amp;I1794</f>
        <v>37T0_5_7</v>
      </c>
      <c r="E1794" s="2">
        <v>37</v>
      </c>
      <c r="F1794" s="2" t="s">
        <v>190</v>
      </c>
      <c r="G1794" s="2">
        <v>0</v>
      </c>
      <c r="H1794" s="2">
        <v>5</v>
      </c>
      <c r="I1794" s="2">
        <f>COUNTIFS($E$3:E1794,E1794,$H$3:H1794,H1794)</f>
        <v>7</v>
      </c>
    </row>
    <row r="1795" spans="1:19">
      <c r="A1795" s="11">
        <f t="shared" si="80"/>
        <v>70370508</v>
      </c>
      <c r="B1795" s="16" t="s">
        <v>127</v>
      </c>
      <c r="C1795" s="2" t="s">
        <v>1913</v>
      </c>
      <c r="D1795" s="2" t="str">
        <f>E1795&amp;(VLOOKUP(F1795,编号表!$E$1:$G$8,2,0))&amp;G1795&amp;"_"&amp;H1795&amp;"_"&amp;I1795</f>
        <v>37T0_5_8</v>
      </c>
      <c r="E1795" s="2">
        <v>37</v>
      </c>
      <c r="F1795" s="2" t="s">
        <v>190</v>
      </c>
      <c r="G1795" s="2">
        <v>0</v>
      </c>
      <c r="H1795" s="2">
        <v>5</v>
      </c>
      <c r="I1795" s="2">
        <f>COUNTIFS($E$3:E1795,E1795,$H$3:H1795,H1795)</f>
        <v>8</v>
      </c>
      <c r="L1795" s="2">
        <v>177</v>
      </c>
    </row>
    <row r="1796" spans="1:19">
      <c r="A1796" s="11">
        <f t="shared" si="80"/>
        <v>70370001</v>
      </c>
      <c r="B1796" s="24" t="s">
        <v>1914</v>
      </c>
      <c r="D1796" s="2" t="str">
        <f>E1796&amp;(VLOOKUP(F1796,编号表!$E$1:$G$8,2,0))&amp;G1796&amp;"_"&amp;H1796&amp;"_"&amp;I1796</f>
        <v>37J0_0_1</v>
      </c>
      <c r="E1796" s="2">
        <v>37</v>
      </c>
      <c r="F1796" s="2" t="s">
        <v>222</v>
      </c>
      <c r="G1796" s="2">
        <v>0</v>
      </c>
      <c r="H1796" s="2">
        <v>0</v>
      </c>
      <c r="I1796" s="2">
        <f>COUNTIFS($E$3:E1796,E1796,$H$3:H1796,H1796)</f>
        <v>1</v>
      </c>
      <c r="J1796" s="2">
        <v>1</v>
      </c>
    </row>
    <row r="1797" spans="1:19">
      <c r="A1797" s="11">
        <f t="shared" si="80"/>
        <v>70387101</v>
      </c>
      <c r="B1797" s="2" t="s">
        <v>1915</v>
      </c>
      <c r="D1797" s="2" t="str">
        <f>E1797&amp;(VLOOKUP(F1797,编号表!$E$1:$G$8,2,0))&amp;G1797&amp;"_"&amp;H1797&amp;"_"&amp;I1797</f>
        <v>38N7_1_1</v>
      </c>
      <c r="E1797" s="2">
        <v>38</v>
      </c>
      <c r="F1797" s="2" t="s">
        <v>174</v>
      </c>
      <c r="G1797" s="2">
        <v>7</v>
      </c>
      <c r="H1797" s="2">
        <v>1</v>
      </c>
      <c r="I1797" s="2">
        <f>COUNTIFS($E$3:E1797,E1797,$H$3:H1797,H1797)</f>
        <v>1</v>
      </c>
      <c r="N1797" s="11">
        <v>1038201</v>
      </c>
      <c r="O1797" s="11">
        <v>1038301</v>
      </c>
      <c r="P1797" s="11">
        <v>1038401</v>
      </c>
      <c r="Q1797" s="11">
        <v>1038501</v>
      </c>
      <c r="R1797" s="11">
        <v>1038601</v>
      </c>
      <c r="S1797" s="11">
        <v>1038001</v>
      </c>
    </row>
    <row r="1798" spans="1:19">
      <c r="A1798" s="11">
        <f t="shared" si="80"/>
        <v>70389102</v>
      </c>
      <c r="B1798" s="2" t="s">
        <v>1916</v>
      </c>
      <c r="D1798" s="2" t="str">
        <f>E1798&amp;(VLOOKUP(F1798,编号表!$E$1:$G$8,2,0))&amp;G1798&amp;"_"&amp;H1798&amp;"_"&amp;I1798</f>
        <v>38N9_1_2</v>
      </c>
      <c r="E1798" s="2">
        <v>38</v>
      </c>
      <c r="F1798" s="2" t="s">
        <v>174</v>
      </c>
      <c r="G1798" s="2">
        <v>9</v>
      </c>
      <c r="H1798" s="2">
        <v>1</v>
      </c>
      <c r="I1798" s="2">
        <f>COUNTIFS($E$3:E1798,E1798,$H$3:H1798,H1798)</f>
        <v>2</v>
      </c>
      <c r="N1798" s="11">
        <v>1038201</v>
      </c>
      <c r="O1798" s="11">
        <v>1038301</v>
      </c>
      <c r="P1798" s="11">
        <v>1038401</v>
      </c>
      <c r="Q1798" s="11">
        <v>1038501</v>
      </c>
      <c r="R1798" s="11">
        <v>1038601</v>
      </c>
      <c r="S1798" s="11">
        <v>1038101</v>
      </c>
    </row>
    <row r="1799" spans="1:19">
      <c r="A1799" s="11">
        <f t="shared" si="80"/>
        <v>70384103</v>
      </c>
      <c r="B1799" s="2" t="s">
        <v>1917</v>
      </c>
      <c r="D1799" s="2" t="str">
        <f>E1799&amp;(VLOOKUP(F1799,编号表!$E$1:$G$8,2,0))&amp;G1799&amp;"_"&amp;H1799&amp;"_"&amp;I1799</f>
        <v>38N4_1_3</v>
      </c>
      <c r="E1799" s="2">
        <v>38</v>
      </c>
      <c r="F1799" s="2" t="s">
        <v>174</v>
      </c>
      <c r="G1799" s="2">
        <v>4</v>
      </c>
      <c r="H1799" s="2">
        <v>1</v>
      </c>
      <c r="I1799" s="2">
        <f>COUNTIFS($E$3:E1799,E1799,$H$3:H1799,H1799)</f>
        <v>3</v>
      </c>
      <c r="N1799" s="11">
        <v>1038201</v>
      </c>
      <c r="O1799" s="11">
        <v>1038301</v>
      </c>
      <c r="P1799" s="11">
        <v>1038401</v>
      </c>
      <c r="Q1799" s="11">
        <v>1038501</v>
      </c>
      <c r="R1799" s="11">
        <v>1038601</v>
      </c>
    </row>
    <row r="1800" spans="1:19">
      <c r="A1800" s="11">
        <f t="shared" si="80"/>
        <v>70381104</v>
      </c>
      <c r="B1800" s="2" t="s">
        <v>1918</v>
      </c>
      <c r="D1800" s="2" t="str">
        <f>E1800&amp;(VLOOKUP(F1800,编号表!$E$1:$G$8,2,0))&amp;G1800&amp;"_"&amp;H1800&amp;"_"&amp;I1800</f>
        <v>38N1_1_4</v>
      </c>
      <c r="E1800" s="2">
        <v>38</v>
      </c>
      <c r="F1800" s="2" t="s">
        <v>174</v>
      </c>
      <c r="G1800" s="2">
        <v>1</v>
      </c>
      <c r="H1800" s="2">
        <v>1</v>
      </c>
      <c r="I1800" s="2">
        <f>COUNTIFS($E$3:E1800,E1800,$H$3:H1800,H1800)</f>
        <v>4</v>
      </c>
      <c r="N1800" s="11">
        <v>1038201</v>
      </c>
      <c r="O1800" s="11">
        <v>1038301</v>
      </c>
      <c r="P1800" s="11">
        <v>1038401</v>
      </c>
      <c r="Q1800" s="11">
        <v>1038501</v>
      </c>
      <c r="R1800" s="11">
        <v>1038601</v>
      </c>
    </row>
    <row r="1801" spans="1:19">
      <c r="A1801" s="11">
        <f t="shared" si="80"/>
        <v>70384105</v>
      </c>
      <c r="B1801" s="2" t="s">
        <v>1919</v>
      </c>
      <c r="D1801" s="2" t="str">
        <f>E1801&amp;(VLOOKUP(F1801,编号表!$E$1:$G$8,2,0))&amp;G1801&amp;"_"&amp;H1801&amp;"_"&amp;I1801</f>
        <v>38N4_1_5</v>
      </c>
      <c r="E1801" s="2">
        <v>38</v>
      </c>
      <c r="F1801" s="2" t="s">
        <v>174</v>
      </c>
      <c r="G1801" s="2">
        <v>4</v>
      </c>
      <c r="H1801" s="2">
        <v>1</v>
      </c>
      <c r="I1801" s="2">
        <f>COUNTIFS($E$3:E1801,E1801,$H$3:H1801,H1801)</f>
        <v>5</v>
      </c>
      <c r="N1801" s="11">
        <v>1038201</v>
      </c>
      <c r="O1801" s="11">
        <v>1038301</v>
      </c>
      <c r="P1801" s="11">
        <v>1038401</v>
      </c>
      <c r="Q1801" s="11">
        <v>1038501</v>
      </c>
      <c r="R1801" s="11">
        <v>1038601</v>
      </c>
    </row>
    <row r="1802" spans="1:19">
      <c r="A1802" s="11">
        <f t="shared" si="80"/>
        <v>70384106</v>
      </c>
      <c r="B1802" s="2" t="s">
        <v>1920</v>
      </c>
      <c r="D1802" s="2" t="str">
        <f>E1802&amp;(VLOOKUP(F1802,编号表!$E$1:$G$8,2,0))&amp;G1802&amp;"_"&amp;H1802&amp;"_"&amp;I1802</f>
        <v>38N4_1_6</v>
      </c>
      <c r="E1802" s="2">
        <v>38</v>
      </c>
      <c r="F1802" s="2" t="s">
        <v>174</v>
      </c>
      <c r="G1802" s="2">
        <v>4</v>
      </c>
      <c r="H1802" s="2">
        <v>1</v>
      </c>
      <c r="I1802" s="2">
        <f>COUNTIFS($E$3:E1802,E1802,$H$3:H1802,H1802)</f>
        <v>6</v>
      </c>
      <c r="N1802" s="11">
        <v>1038201</v>
      </c>
      <c r="O1802" s="11">
        <v>1038301</v>
      </c>
      <c r="P1802" s="11">
        <v>1038401</v>
      </c>
      <c r="Q1802" s="11">
        <v>1038501</v>
      </c>
      <c r="R1802" s="11">
        <v>1038601</v>
      </c>
    </row>
    <row r="1803" spans="1:19">
      <c r="A1803" s="11">
        <f t="shared" si="80"/>
        <v>70385201</v>
      </c>
      <c r="B1803" s="2" t="s">
        <v>1921</v>
      </c>
      <c r="D1803" s="2" t="str">
        <f>E1803&amp;(VLOOKUP(F1803,编号表!$E$1:$G$8,2,0))&amp;G1803&amp;"_"&amp;H1803&amp;"_"&amp;I1803</f>
        <v>38N5_2_1</v>
      </c>
      <c r="E1803" s="2">
        <v>38</v>
      </c>
      <c r="F1803" s="2" t="s">
        <v>174</v>
      </c>
      <c r="G1803" s="2">
        <v>5</v>
      </c>
      <c r="H1803" s="2">
        <v>2</v>
      </c>
      <c r="I1803" s="2">
        <f>COUNTIFS($E$3:E1803,E1803,$H$3:H1803,H1803)</f>
        <v>1</v>
      </c>
      <c r="N1803" s="11">
        <v>1038201</v>
      </c>
      <c r="O1803" s="11">
        <v>1038301</v>
      </c>
      <c r="P1803" s="11">
        <v>1038401</v>
      </c>
      <c r="Q1803" s="11">
        <v>1038501</v>
      </c>
      <c r="R1803" s="11">
        <v>1038601</v>
      </c>
    </row>
    <row r="1804" spans="1:19">
      <c r="A1804" s="11">
        <f t="shared" si="80"/>
        <v>70388202</v>
      </c>
      <c r="B1804" s="2" t="s">
        <v>1922</v>
      </c>
      <c r="D1804" s="2" t="str">
        <f>E1804&amp;(VLOOKUP(F1804,编号表!$E$1:$G$8,2,0))&amp;G1804&amp;"_"&amp;H1804&amp;"_"&amp;I1804</f>
        <v>38N8_2_2</v>
      </c>
      <c r="E1804" s="2">
        <v>38</v>
      </c>
      <c r="F1804" s="2" t="s">
        <v>174</v>
      </c>
      <c r="G1804" s="2">
        <v>8</v>
      </c>
      <c r="H1804" s="2">
        <v>2</v>
      </c>
      <c r="I1804" s="2">
        <f>COUNTIFS($E$3:E1804,E1804,$H$3:H1804,H1804)</f>
        <v>2</v>
      </c>
      <c r="N1804" s="11">
        <v>1038201</v>
      </c>
      <c r="O1804" s="11">
        <v>1038301</v>
      </c>
      <c r="P1804" s="11">
        <v>1038401</v>
      </c>
      <c r="Q1804" s="11">
        <v>1038501</v>
      </c>
      <c r="R1804" s="11">
        <v>1038601</v>
      </c>
    </row>
    <row r="1805" spans="1:19">
      <c r="A1805" s="11">
        <f t="shared" si="80"/>
        <v>70386203</v>
      </c>
      <c r="B1805" s="2" t="s">
        <v>1923</v>
      </c>
      <c r="D1805" s="2" t="str">
        <f>E1805&amp;(VLOOKUP(F1805,编号表!$E$1:$G$8,2,0))&amp;G1805&amp;"_"&amp;H1805&amp;"_"&amp;I1805</f>
        <v>38N6_2_3</v>
      </c>
      <c r="E1805" s="2">
        <v>38</v>
      </c>
      <c r="F1805" s="2" t="s">
        <v>174</v>
      </c>
      <c r="G1805" s="2">
        <v>6</v>
      </c>
      <c r="H1805" s="2">
        <v>2</v>
      </c>
      <c r="I1805" s="2">
        <f>COUNTIFS($E$3:E1805,E1805,$H$3:H1805,H1805)</f>
        <v>3</v>
      </c>
      <c r="N1805" s="11">
        <v>1038201</v>
      </c>
      <c r="O1805" s="11">
        <v>1038301</v>
      </c>
      <c r="P1805" s="11">
        <v>1038401</v>
      </c>
      <c r="Q1805" s="11">
        <v>1038501</v>
      </c>
      <c r="R1805" s="11">
        <v>1038601</v>
      </c>
    </row>
    <row r="1806" spans="1:19">
      <c r="A1806" s="11">
        <f t="shared" si="80"/>
        <v>70383204</v>
      </c>
      <c r="B1806" s="16" t="s">
        <v>124</v>
      </c>
      <c r="C1806" s="2" t="s">
        <v>1912</v>
      </c>
      <c r="D1806" s="2" t="str">
        <f>E1806&amp;(VLOOKUP(F1806,编号表!$E$1:$G$8,2,0))&amp;G1806&amp;"_"&amp;H1806&amp;"_"&amp;I1806</f>
        <v>38T3_2_4</v>
      </c>
      <c r="E1806" s="2">
        <v>38</v>
      </c>
      <c r="F1806" s="2" t="s">
        <v>190</v>
      </c>
      <c r="G1806" s="2">
        <v>3</v>
      </c>
      <c r="H1806" s="2">
        <v>2</v>
      </c>
      <c r="I1806" s="2">
        <f>COUNTIFS($E$3:E1806,E1806,$H$3:H1806,H1806)</f>
        <v>4</v>
      </c>
      <c r="L1806" s="2">
        <v>178</v>
      </c>
    </row>
    <row r="1807" spans="1:19">
      <c r="A1807" s="11">
        <f t="shared" si="80"/>
        <v>70381205</v>
      </c>
      <c r="B1807" s="15" t="s">
        <v>1913</v>
      </c>
      <c r="D1807" s="2" t="str">
        <f>E1807&amp;(VLOOKUP(F1807,编号表!$E$1:$G$8,2,0))&amp;G1807&amp;"_"&amp;H1807&amp;"_"&amp;I1807</f>
        <v>38T1_2_5</v>
      </c>
      <c r="E1807" s="2">
        <v>38</v>
      </c>
      <c r="F1807" s="2" t="s">
        <v>190</v>
      </c>
      <c r="G1807" s="2">
        <v>1</v>
      </c>
      <c r="H1807" s="2">
        <v>2</v>
      </c>
      <c r="I1807" s="2">
        <f>COUNTIFS($E$3:E1807,E1807,$H$3:H1807,H1807)</f>
        <v>5</v>
      </c>
      <c r="K1807" s="2">
        <v>1</v>
      </c>
    </row>
    <row r="1808" spans="1:19">
      <c r="A1808" s="11">
        <f t="shared" si="80"/>
        <v>70385206</v>
      </c>
      <c r="B1808" s="2" t="s">
        <v>1924</v>
      </c>
      <c r="D1808" s="2" t="str">
        <f>E1808&amp;(VLOOKUP(F1808,编号表!$E$1:$G$8,2,0))&amp;G1808&amp;"_"&amp;H1808&amp;"_"&amp;I1808</f>
        <v>38N5_2_6</v>
      </c>
      <c r="E1808" s="2">
        <v>38</v>
      </c>
      <c r="F1808" s="2" t="s">
        <v>174</v>
      </c>
      <c r="G1808" s="2">
        <v>5</v>
      </c>
      <c r="H1808" s="2">
        <v>2</v>
      </c>
      <c r="I1808" s="2">
        <f>COUNTIFS($E$3:E1808,E1808,$H$3:H1808,H1808)</f>
        <v>6</v>
      </c>
      <c r="N1808" s="11">
        <v>1038201</v>
      </c>
      <c r="O1808" s="11">
        <v>1038301</v>
      </c>
      <c r="P1808" s="11">
        <v>1038401</v>
      </c>
      <c r="Q1808" s="11">
        <v>1038501</v>
      </c>
      <c r="R1808" s="11">
        <v>1038601</v>
      </c>
    </row>
    <row r="1809" spans="1:18">
      <c r="A1809" s="11">
        <f t="shared" si="80"/>
        <v>70384207</v>
      </c>
      <c r="B1809" s="2" t="s">
        <v>1925</v>
      </c>
      <c r="D1809" s="2" t="str">
        <f>E1809&amp;(VLOOKUP(F1809,编号表!$E$1:$G$8,2,0))&amp;G1809&amp;"_"&amp;H1809&amp;"_"&amp;I1809</f>
        <v>38N4_2_7</v>
      </c>
      <c r="E1809" s="2">
        <v>38</v>
      </c>
      <c r="F1809" s="2" t="s">
        <v>174</v>
      </c>
      <c r="G1809" s="2">
        <v>4</v>
      </c>
      <c r="H1809" s="2">
        <v>2</v>
      </c>
      <c r="I1809" s="2">
        <f>COUNTIFS($E$3:E1809,E1809,$H$3:H1809,H1809)</f>
        <v>7</v>
      </c>
      <c r="N1809" s="11">
        <v>1038201</v>
      </c>
      <c r="O1809" s="11">
        <v>1038301</v>
      </c>
      <c r="P1809" s="11">
        <v>1038401</v>
      </c>
      <c r="Q1809" s="11">
        <v>1038501</v>
      </c>
      <c r="R1809" s="11">
        <v>1038601</v>
      </c>
    </row>
    <row r="1810" spans="1:18">
      <c r="A1810" s="11">
        <f t="shared" si="80"/>
        <v>70385208</v>
      </c>
      <c r="B1810" s="2" t="s">
        <v>1926</v>
      </c>
      <c r="D1810" s="2" t="str">
        <f>E1810&amp;(VLOOKUP(F1810,编号表!$E$1:$G$8,2,0))&amp;G1810&amp;"_"&amp;H1810&amp;"_"&amp;I1810</f>
        <v>38N5_2_8</v>
      </c>
      <c r="E1810" s="2">
        <v>38</v>
      </c>
      <c r="F1810" s="2" t="s">
        <v>174</v>
      </c>
      <c r="G1810" s="2">
        <v>5</v>
      </c>
      <c r="H1810" s="2">
        <v>2</v>
      </c>
      <c r="I1810" s="2">
        <f>COUNTIFS($E$3:E1810,E1810,$H$3:H1810,H1810)</f>
        <v>8</v>
      </c>
      <c r="N1810" s="11">
        <v>1038201</v>
      </c>
      <c r="O1810" s="11">
        <v>1038301</v>
      </c>
      <c r="P1810" s="11">
        <v>1038401</v>
      </c>
      <c r="Q1810" s="11">
        <v>1038501</v>
      </c>
      <c r="R1810" s="11">
        <v>1038601</v>
      </c>
    </row>
    <row r="1811" spans="1:18">
      <c r="A1811" s="11">
        <f t="shared" si="80"/>
        <v>70385209</v>
      </c>
      <c r="B1811" s="2" t="s">
        <v>1927</v>
      </c>
      <c r="D1811" s="2" t="str">
        <f>E1811&amp;(VLOOKUP(F1811,编号表!$E$1:$G$8,2,0))&amp;G1811&amp;"_"&amp;H1811&amp;"_"&amp;I1811</f>
        <v>38N5_2_9</v>
      </c>
      <c r="E1811" s="2">
        <v>38</v>
      </c>
      <c r="F1811" s="2" t="s">
        <v>174</v>
      </c>
      <c r="G1811" s="2">
        <v>5</v>
      </c>
      <c r="H1811" s="2">
        <v>2</v>
      </c>
      <c r="I1811" s="2">
        <f>COUNTIFS($E$3:E1811,E1811,$H$3:H1811,H1811)</f>
        <v>9</v>
      </c>
      <c r="N1811" s="11">
        <v>1038201</v>
      </c>
      <c r="O1811" s="11">
        <v>1038301</v>
      </c>
      <c r="P1811" s="11">
        <v>1038401</v>
      </c>
      <c r="Q1811" s="11">
        <v>1038501</v>
      </c>
      <c r="R1811" s="11">
        <v>1038601</v>
      </c>
    </row>
    <row r="1812" spans="1:18">
      <c r="A1812" s="11">
        <f t="shared" si="80"/>
        <v>70387301</v>
      </c>
      <c r="B1812" s="2" t="s">
        <v>1928</v>
      </c>
      <c r="D1812" s="2" t="str">
        <f>E1812&amp;(VLOOKUP(F1812,编号表!$E$1:$G$8,2,0))&amp;G1812&amp;"_"&amp;H1812&amp;"_"&amp;I1812</f>
        <v>38N7_3_1</v>
      </c>
      <c r="E1812" s="2">
        <v>38</v>
      </c>
      <c r="F1812" s="2" t="s">
        <v>174</v>
      </c>
      <c r="G1812" s="2">
        <v>7</v>
      </c>
      <c r="H1812" s="2">
        <v>3</v>
      </c>
      <c r="I1812" s="2">
        <f>COUNTIFS($E$3:E1812,E1812,$H$3:H1812,H1812)</f>
        <v>1</v>
      </c>
      <c r="N1812" s="11">
        <v>1038201</v>
      </c>
      <c r="O1812" s="11">
        <v>1038301</v>
      </c>
      <c r="P1812" s="11">
        <v>1038401</v>
      </c>
      <c r="Q1812" s="11">
        <v>1038501</v>
      </c>
      <c r="R1812" s="11">
        <v>1038601</v>
      </c>
    </row>
    <row r="1813" spans="1:18">
      <c r="A1813" s="11">
        <f t="shared" si="80"/>
        <v>70385302</v>
      </c>
      <c r="B1813" s="2" t="s">
        <v>1929</v>
      </c>
      <c r="D1813" s="2" t="str">
        <f>E1813&amp;(VLOOKUP(F1813,编号表!$E$1:$G$8,2,0))&amp;G1813&amp;"_"&amp;H1813&amp;"_"&amp;I1813</f>
        <v>38N5_3_2</v>
      </c>
      <c r="E1813" s="2">
        <v>38</v>
      </c>
      <c r="F1813" s="2" t="s">
        <v>174</v>
      </c>
      <c r="G1813" s="2">
        <v>5</v>
      </c>
      <c r="H1813" s="2">
        <v>3</v>
      </c>
      <c r="I1813" s="2">
        <f>COUNTIFS($E$3:E1813,E1813,$H$3:H1813,H1813)</f>
        <v>2</v>
      </c>
      <c r="N1813" s="11">
        <v>1038201</v>
      </c>
      <c r="O1813" s="11">
        <v>1038301</v>
      </c>
      <c r="P1813" s="11">
        <v>1038401</v>
      </c>
      <c r="Q1813" s="11">
        <v>1038501</v>
      </c>
      <c r="R1813" s="11">
        <v>1038601</v>
      </c>
    </row>
    <row r="1814" spans="1:18">
      <c r="A1814" s="11">
        <f t="shared" si="80"/>
        <v>70384303</v>
      </c>
      <c r="B1814" s="2" t="s">
        <v>1930</v>
      </c>
      <c r="D1814" s="2" t="str">
        <f>E1814&amp;(VLOOKUP(F1814,编号表!$E$1:$G$8,2,0))&amp;G1814&amp;"_"&amp;H1814&amp;"_"&amp;I1814</f>
        <v>38N4_3_3</v>
      </c>
      <c r="E1814" s="2">
        <v>38</v>
      </c>
      <c r="F1814" s="2" t="s">
        <v>174</v>
      </c>
      <c r="G1814" s="2">
        <v>4</v>
      </c>
      <c r="H1814" s="2">
        <v>3</v>
      </c>
      <c r="I1814" s="2">
        <f>COUNTIFS($E$3:E1814,E1814,$H$3:H1814,H1814)</f>
        <v>3</v>
      </c>
      <c r="N1814" s="11">
        <v>1038201</v>
      </c>
      <c r="O1814" s="11">
        <v>1038301</v>
      </c>
      <c r="P1814" s="11">
        <v>1038401</v>
      </c>
      <c r="Q1814" s="11">
        <v>1038501</v>
      </c>
      <c r="R1814" s="11">
        <v>1038601</v>
      </c>
    </row>
    <row r="1815" spans="1:18">
      <c r="A1815" s="11">
        <f t="shared" si="80"/>
        <v>70386304</v>
      </c>
      <c r="B1815" s="2" t="s">
        <v>1931</v>
      </c>
      <c r="D1815" s="2" t="str">
        <f>E1815&amp;(VLOOKUP(F1815,编号表!$E$1:$G$8,2,0))&amp;G1815&amp;"_"&amp;H1815&amp;"_"&amp;I1815</f>
        <v>38N6_3_4</v>
      </c>
      <c r="E1815" s="2">
        <v>38</v>
      </c>
      <c r="F1815" s="2" t="s">
        <v>174</v>
      </c>
      <c r="G1815" s="2">
        <v>6</v>
      </c>
      <c r="H1815" s="2">
        <v>3</v>
      </c>
      <c r="I1815" s="2">
        <f>COUNTIFS($E$3:E1815,E1815,$H$3:H1815,H1815)</f>
        <v>4</v>
      </c>
      <c r="N1815" s="11">
        <v>1038201</v>
      </c>
      <c r="O1815" s="11">
        <v>1038301</v>
      </c>
      <c r="P1815" s="11">
        <v>1038401</v>
      </c>
      <c r="Q1815" s="11">
        <v>1038501</v>
      </c>
      <c r="R1815" s="11">
        <v>1038601</v>
      </c>
    </row>
    <row r="1816" spans="1:18">
      <c r="A1816" s="11">
        <f t="shared" si="80"/>
        <v>70383305</v>
      </c>
      <c r="B1816" s="2" t="s">
        <v>1932</v>
      </c>
      <c r="D1816" s="2" t="str">
        <f>E1816&amp;(VLOOKUP(F1816,编号表!$E$1:$G$8,2,0))&amp;G1816&amp;"_"&amp;H1816&amp;"_"&amp;I1816</f>
        <v>38N3_3_5</v>
      </c>
      <c r="E1816" s="2">
        <v>38</v>
      </c>
      <c r="F1816" s="2" t="s">
        <v>174</v>
      </c>
      <c r="G1816" s="2">
        <v>3</v>
      </c>
      <c r="H1816" s="2">
        <v>3</v>
      </c>
      <c r="I1816" s="2">
        <f>COUNTIFS($E$3:E1816,E1816,$H$3:H1816,H1816)</f>
        <v>5</v>
      </c>
      <c r="N1816" s="11">
        <v>1038201</v>
      </c>
      <c r="O1816" s="11">
        <v>1038301</v>
      </c>
      <c r="P1816" s="11">
        <v>1038401</v>
      </c>
      <c r="Q1816" s="11">
        <v>1038501</v>
      </c>
      <c r="R1816" s="11">
        <v>1038601</v>
      </c>
    </row>
    <row r="1817" spans="1:18">
      <c r="A1817" s="11">
        <f t="shared" si="80"/>
        <v>70387401</v>
      </c>
      <c r="B1817" s="2" t="s">
        <v>1933</v>
      </c>
      <c r="D1817" s="2" t="str">
        <f>E1817&amp;(VLOOKUP(F1817,编号表!$E$1:$G$8,2,0))&amp;G1817&amp;"_"&amp;H1817&amp;"_"&amp;I1817</f>
        <v>38N7_4_1</v>
      </c>
      <c r="E1817" s="2">
        <v>38</v>
      </c>
      <c r="F1817" s="2" t="s">
        <v>174</v>
      </c>
      <c r="G1817" s="2">
        <v>7</v>
      </c>
      <c r="H1817" s="2">
        <v>4</v>
      </c>
      <c r="I1817" s="2">
        <f>COUNTIFS($E$3:E1817,E1817,$H$3:H1817,H1817)</f>
        <v>1</v>
      </c>
      <c r="N1817" s="11">
        <v>1038201</v>
      </c>
      <c r="O1817" s="11">
        <v>1038301</v>
      </c>
      <c r="P1817" s="11">
        <v>1038401</v>
      </c>
      <c r="Q1817" s="11">
        <v>1038501</v>
      </c>
      <c r="R1817" s="11">
        <v>1038601</v>
      </c>
    </row>
    <row r="1818" spans="1:18">
      <c r="A1818" s="11">
        <f t="shared" si="80"/>
        <v>70385402</v>
      </c>
      <c r="B1818" s="2" t="s">
        <v>1934</v>
      </c>
      <c r="D1818" s="2" t="str">
        <f>E1818&amp;(VLOOKUP(F1818,编号表!$E$1:$G$8,2,0))&amp;G1818&amp;"_"&amp;H1818&amp;"_"&amp;I1818</f>
        <v>38N5_4_2</v>
      </c>
      <c r="E1818" s="2">
        <v>38</v>
      </c>
      <c r="F1818" s="2" t="s">
        <v>174</v>
      </c>
      <c r="G1818" s="2">
        <v>5</v>
      </c>
      <c r="H1818" s="2">
        <v>4</v>
      </c>
      <c r="I1818" s="2">
        <f>COUNTIFS($E$3:E1818,E1818,$H$3:H1818,H1818)</f>
        <v>2</v>
      </c>
      <c r="N1818" s="11">
        <v>1038201</v>
      </c>
      <c r="O1818" s="11">
        <v>1038301</v>
      </c>
      <c r="P1818" s="11">
        <v>1038401</v>
      </c>
      <c r="Q1818" s="11">
        <v>1038501</v>
      </c>
      <c r="R1818" s="11">
        <v>1038601</v>
      </c>
    </row>
    <row r="1819" spans="1:18">
      <c r="A1819" s="11">
        <f t="shared" si="80"/>
        <v>70382403</v>
      </c>
      <c r="B1819" s="2" t="s">
        <v>1935</v>
      </c>
      <c r="D1819" s="2" t="str">
        <f>E1819&amp;(VLOOKUP(F1819,编号表!$E$1:$G$8,2,0))&amp;G1819&amp;"_"&amp;H1819&amp;"_"&amp;I1819</f>
        <v>38N2_4_3</v>
      </c>
      <c r="E1819" s="2">
        <v>38</v>
      </c>
      <c r="F1819" s="2" t="s">
        <v>174</v>
      </c>
      <c r="G1819" s="2">
        <v>2</v>
      </c>
      <c r="H1819" s="2">
        <v>4</v>
      </c>
      <c r="I1819" s="2">
        <f>COUNTIFS($E$3:E1819,E1819,$H$3:H1819,H1819)</f>
        <v>3</v>
      </c>
      <c r="N1819" s="11">
        <v>1038201</v>
      </c>
      <c r="O1819" s="11">
        <v>1038301</v>
      </c>
      <c r="P1819" s="11">
        <v>1038401</v>
      </c>
      <c r="Q1819" s="11">
        <v>1038501</v>
      </c>
      <c r="R1819" s="11">
        <v>1038601</v>
      </c>
    </row>
    <row r="1820" spans="1:18">
      <c r="A1820" s="11">
        <f t="shared" si="80"/>
        <v>70384404</v>
      </c>
      <c r="B1820" s="2" t="s">
        <v>1936</v>
      </c>
      <c r="D1820" s="2" t="str">
        <f>E1820&amp;(VLOOKUP(F1820,编号表!$E$1:$G$8,2,0))&amp;G1820&amp;"_"&amp;H1820&amp;"_"&amp;I1820</f>
        <v>38N4_4_4</v>
      </c>
      <c r="E1820" s="2">
        <v>38</v>
      </c>
      <c r="F1820" s="2" t="s">
        <v>174</v>
      </c>
      <c r="G1820" s="2">
        <v>4</v>
      </c>
      <c r="H1820" s="2">
        <v>4</v>
      </c>
      <c r="I1820" s="2">
        <f>COUNTIFS($E$3:E1820,E1820,$H$3:H1820,H1820)</f>
        <v>4</v>
      </c>
      <c r="N1820" s="11">
        <v>1038201</v>
      </c>
      <c r="O1820" s="11">
        <v>1038301</v>
      </c>
      <c r="P1820" s="11">
        <v>1038401</v>
      </c>
      <c r="Q1820" s="11">
        <v>1038501</v>
      </c>
      <c r="R1820" s="11">
        <v>1038601</v>
      </c>
    </row>
    <row r="1821" spans="1:18">
      <c r="A1821" s="11">
        <f t="shared" si="80"/>
        <v>70385405</v>
      </c>
      <c r="B1821" s="2" t="s">
        <v>1937</v>
      </c>
      <c r="D1821" s="2" t="str">
        <f>E1821&amp;(VLOOKUP(F1821,编号表!$E$1:$G$8,2,0))&amp;G1821&amp;"_"&amp;H1821&amp;"_"&amp;I1821</f>
        <v>38N5_4_5</v>
      </c>
      <c r="E1821" s="2">
        <v>38</v>
      </c>
      <c r="F1821" s="2" t="s">
        <v>174</v>
      </c>
      <c r="G1821" s="2">
        <v>5</v>
      </c>
      <c r="H1821" s="2">
        <v>4</v>
      </c>
      <c r="I1821" s="2">
        <f>COUNTIFS($E$3:E1821,E1821,$H$3:H1821,H1821)</f>
        <v>5</v>
      </c>
      <c r="N1821" s="11">
        <v>1038201</v>
      </c>
      <c r="O1821" s="11">
        <v>1038301</v>
      </c>
      <c r="P1821" s="11">
        <v>1038401</v>
      </c>
      <c r="Q1821" s="11">
        <v>1038501</v>
      </c>
      <c r="R1821" s="11">
        <v>1038601</v>
      </c>
    </row>
    <row r="1822" spans="1:18">
      <c r="A1822" s="11">
        <f t="shared" si="80"/>
        <v>70385406</v>
      </c>
      <c r="B1822" s="2" t="s">
        <v>1938</v>
      </c>
      <c r="D1822" s="2" t="str">
        <f>E1822&amp;(VLOOKUP(F1822,编号表!$E$1:$G$8,2,0))&amp;G1822&amp;"_"&amp;H1822&amp;"_"&amp;I1822</f>
        <v>38N5_4_6</v>
      </c>
      <c r="E1822" s="2">
        <v>38</v>
      </c>
      <c r="F1822" s="2" t="s">
        <v>174</v>
      </c>
      <c r="G1822" s="2">
        <v>5</v>
      </c>
      <c r="H1822" s="2">
        <v>4</v>
      </c>
      <c r="I1822" s="2">
        <f>COUNTIFS($E$3:E1822,E1822,$H$3:H1822,H1822)</f>
        <v>6</v>
      </c>
      <c r="N1822" s="11">
        <v>1038201</v>
      </c>
      <c r="O1822" s="11">
        <v>1038301</v>
      </c>
      <c r="P1822" s="11">
        <v>1038401</v>
      </c>
      <c r="Q1822" s="11">
        <v>1038501</v>
      </c>
      <c r="R1822" s="11">
        <v>1038601</v>
      </c>
    </row>
    <row r="1823" spans="1:18">
      <c r="A1823" s="11">
        <f t="shared" si="80"/>
        <v>70381407</v>
      </c>
      <c r="B1823" s="15" t="s">
        <v>1939</v>
      </c>
      <c r="D1823" s="2" t="str">
        <f>E1823&amp;(VLOOKUP(F1823,编号表!$E$1:$G$8,2,0))&amp;G1823&amp;"_"&amp;H1823&amp;"_"&amp;I1823</f>
        <v>38T1_4_7</v>
      </c>
      <c r="E1823" s="2">
        <v>38</v>
      </c>
      <c r="F1823" s="2" t="s">
        <v>190</v>
      </c>
      <c r="G1823" s="2">
        <v>1</v>
      </c>
      <c r="H1823" s="2">
        <v>4</v>
      </c>
      <c r="I1823" s="2">
        <f>COUNTIFS($E$3:E1823,E1823,$H$3:H1823,H1823)</f>
        <v>7</v>
      </c>
    </row>
    <row r="1824" spans="1:18">
      <c r="A1824" s="11">
        <f t="shared" si="80"/>
        <v>70383408</v>
      </c>
      <c r="B1824" s="16" t="s">
        <v>130</v>
      </c>
      <c r="C1824" s="2" t="s">
        <v>1940</v>
      </c>
      <c r="D1824" s="2" t="str">
        <f>E1824&amp;(VLOOKUP(F1824,编号表!$E$1:$G$8,2,0))&amp;G1824&amp;"_"&amp;H1824&amp;"_"&amp;I1824</f>
        <v>38T3_4_8</v>
      </c>
      <c r="E1824" s="2">
        <v>38</v>
      </c>
      <c r="F1824" s="2" t="s">
        <v>190</v>
      </c>
      <c r="G1824" s="2">
        <v>3</v>
      </c>
      <c r="H1824" s="2">
        <v>4</v>
      </c>
      <c r="I1824" s="2">
        <f>COUNTIFS($E$3:E1824,E1824,$H$3:H1824,H1824)</f>
        <v>8</v>
      </c>
      <c r="L1824" s="2">
        <v>179</v>
      </c>
    </row>
    <row r="1825" spans="1:20">
      <c r="A1825" s="11">
        <f t="shared" si="80"/>
        <v>70380001</v>
      </c>
      <c r="B1825" s="24" t="s">
        <v>1941</v>
      </c>
      <c r="D1825" s="2" t="str">
        <f>E1825&amp;(VLOOKUP(F1825,编号表!$E$1:$G$8,2,0))&amp;G1825&amp;"_"&amp;H1825&amp;"_"&amp;I1825</f>
        <v>38J0_0_1</v>
      </c>
      <c r="E1825" s="2">
        <v>38</v>
      </c>
      <c r="F1825" s="2" t="s">
        <v>222</v>
      </c>
      <c r="G1825" s="2">
        <v>0</v>
      </c>
      <c r="H1825" s="2">
        <v>0</v>
      </c>
      <c r="I1825" s="2">
        <f>COUNTIFS($E$3:E1825,E1825,$H$3:H1825,H1825)</f>
        <v>1</v>
      </c>
      <c r="J1825" s="2">
        <v>1</v>
      </c>
    </row>
    <row r="1826" spans="1:20">
      <c r="A1826" s="11">
        <f t="shared" si="80"/>
        <v>70394101</v>
      </c>
      <c r="B1826" s="2" t="s">
        <v>1942</v>
      </c>
      <c r="D1826" s="2" t="str">
        <f>E1826&amp;(VLOOKUP(F1826,编号表!$E$1:$G$8,2,0))&amp;G1826&amp;"_"&amp;H1826&amp;"_"&amp;I1826</f>
        <v>39N4_1_1</v>
      </c>
      <c r="E1826" s="2">
        <v>39</v>
      </c>
      <c r="F1826" s="2" t="s">
        <v>174</v>
      </c>
      <c r="G1826" s="2">
        <v>4</v>
      </c>
      <c r="H1826" s="2">
        <v>1</v>
      </c>
      <c r="I1826" s="2">
        <f>COUNTIFS($E$3:E1826,E1826,$H$3:H1826,H1826)</f>
        <v>1</v>
      </c>
      <c r="N1826" s="11">
        <v>1039201</v>
      </c>
      <c r="O1826" s="11">
        <v>1039301</v>
      </c>
      <c r="P1826" s="11">
        <v>1039401</v>
      </c>
      <c r="Q1826" s="11">
        <v>1039501</v>
      </c>
      <c r="R1826" s="11">
        <v>1039601</v>
      </c>
      <c r="S1826" s="11">
        <v>1039701</v>
      </c>
      <c r="T1826" s="11">
        <v>1039001</v>
      </c>
    </row>
    <row r="1827" spans="1:20">
      <c r="A1827" s="11">
        <f t="shared" si="80"/>
        <v>70393102</v>
      </c>
      <c r="B1827" s="2" t="s">
        <v>1943</v>
      </c>
      <c r="D1827" s="2" t="str">
        <f>E1827&amp;(VLOOKUP(F1827,编号表!$E$1:$G$8,2,0))&amp;G1827&amp;"_"&amp;H1827&amp;"_"&amp;I1827</f>
        <v>39N3_1_2</v>
      </c>
      <c r="E1827" s="2">
        <v>39</v>
      </c>
      <c r="F1827" s="2" t="s">
        <v>174</v>
      </c>
      <c r="G1827" s="2">
        <v>3</v>
      </c>
      <c r="H1827" s="2">
        <v>1</v>
      </c>
      <c r="I1827" s="2">
        <f>COUNTIFS($E$3:E1827,E1827,$H$3:H1827,H1827)</f>
        <v>2</v>
      </c>
      <c r="N1827" s="11">
        <v>1039201</v>
      </c>
      <c r="O1827" s="11">
        <v>1039301</v>
      </c>
      <c r="P1827" s="11">
        <v>1039401</v>
      </c>
      <c r="Q1827" s="11">
        <v>1039501</v>
      </c>
      <c r="R1827" s="11">
        <v>1039601</v>
      </c>
      <c r="S1827" s="11">
        <v>1039701</v>
      </c>
      <c r="T1827" s="11">
        <v>1039101</v>
      </c>
    </row>
    <row r="1828" spans="1:20">
      <c r="A1828" s="11">
        <f t="shared" si="80"/>
        <v>70395103</v>
      </c>
      <c r="B1828" s="2" t="s">
        <v>1944</v>
      </c>
      <c r="D1828" s="2" t="str">
        <f>E1828&amp;(VLOOKUP(F1828,编号表!$E$1:$G$8,2,0))&amp;G1828&amp;"_"&amp;H1828&amp;"_"&amp;I1828</f>
        <v>39N5_1_3</v>
      </c>
      <c r="E1828" s="2">
        <v>39</v>
      </c>
      <c r="F1828" s="2" t="s">
        <v>174</v>
      </c>
      <c r="G1828" s="2">
        <v>5</v>
      </c>
      <c r="H1828" s="2">
        <v>1</v>
      </c>
      <c r="I1828" s="2">
        <f>COUNTIFS($E$3:E1828,E1828,$H$3:H1828,H1828)</f>
        <v>3</v>
      </c>
      <c r="N1828" s="11">
        <v>1039201</v>
      </c>
      <c r="O1828" s="11">
        <v>1039301</v>
      </c>
      <c r="P1828" s="11">
        <v>1039401</v>
      </c>
      <c r="Q1828" s="11">
        <v>1039501</v>
      </c>
      <c r="R1828" s="11">
        <v>1039601</v>
      </c>
      <c r="S1828" s="11">
        <v>1039701</v>
      </c>
      <c r="T1828" s="11">
        <v>1039102</v>
      </c>
    </row>
    <row r="1829" spans="1:20">
      <c r="A1829" s="11">
        <f t="shared" si="80"/>
        <v>70398201</v>
      </c>
      <c r="B1829" s="2" t="s">
        <v>1945</v>
      </c>
      <c r="D1829" s="2" t="str">
        <f>E1829&amp;(VLOOKUP(F1829,编号表!$E$1:$G$8,2,0))&amp;G1829&amp;"_"&amp;H1829&amp;"_"&amp;I1829</f>
        <v>39N8_2_1</v>
      </c>
      <c r="E1829" s="2">
        <v>39</v>
      </c>
      <c r="F1829" s="2" t="s">
        <v>174</v>
      </c>
      <c r="G1829" s="2">
        <v>8</v>
      </c>
      <c r="H1829" s="2">
        <v>2</v>
      </c>
      <c r="I1829" s="2">
        <f>COUNTIFS($E$3:E1829,E1829,$H$3:H1829,H1829)</f>
        <v>1</v>
      </c>
      <c r="N1829" s="11">
        <v>1039201</v>
      </c>
      <c r="O1829" s="11">
        <v>1039301</v>
      </c>
      <c r="P1829" s="11">
        <v>1039401</v>
      </c>
      <c r="Q1829" s="11">
        <v>1039501</v>
      </c>
      <c r="R1829" s="11">
        <v>1039601</v>
      </c>
      <c r="S1829" s="11">
        <v>1039701</v>
      </c>
    </row>
    <row r="1830" spans="1:20">
      <c r="A1830" s="11">
        <f t="shared" si="80"/>
        <v>70398202</v>
      </c>
      <c r="B1830" s="2" t="s">
        <v>1946</v>
      </c>
      <c r="D1830" s="2" t="str">
        <f>E1830&amp;(VLOOKUP(F1830,编号表!$E$1:$G$8,2,0))&amp;G1830&amp;"_"&amp;H1830&amp;"_"&amp;I1830</f>
        <v>39N8_2_2</v>
      </c>
      <c r="E1830" s="2">
        <v>39</v>
      </c>
      <c r="F1830" s="2" t="s">
        <v>174</v>
      </c>
      <c r="G1830" s="2">
        <v>8</v>
      </c>
      <c r="H1830" s="2">
        <v>2</v>
      </c>
      <c r="I1830" s="2">
        <f>COUNTIFS($E$3:E1830,E1830,$H$3:H1830,H1830)</f>
        <v>2</v>
      </c>
      <c r="N1830" s="11">
        <v>1039201</v>
      </c>
      <c r="O1830" s="11">
        <v>1039301</v>
      </c>
      <c r="P1830" s="11">
        <v>1039401</v>
      </c>
      <c r="Q1830" s="11">
        <v>1039501</v>
      </c>
      <c r="R1830" s="11">
        <v>1039601</v>
      </c>
      <c r="S1830" s="11">
        <v>1039701</v>
      </c>
    </row>
    <row r="1831" spans="1:20">
      <c r="A1831" s="11">
        <f t="shared" si="80"/>
        <v>70395203</v>
      </c>
      <c r="B1831" s="2" t="s">
        <v>1947</v>
      </c>
      <c r="D1831" s="2" t="str">
        <f>E1831&amp;(VLOOKUP(F1831,编号表!$E$1:$G$8,2,0))&amp;G1831&amp;"_"&amp;H1831&amp;"_"&amp;I1831</f>
        <v>39N5_2_3</v>
      </c>
      <c r="E1831" s="2">
        <v>39</v>
      </c>
      <c r="F1831" s="2" t="s">
        <v>174</v>
      </c>
      <c r="G1831" s="2">
        <v>5</v>
      </c>
      <c r="H1831" s="2">
        <v>2</v>
      </c>
      <c r="I1831" s="2">
        <f>COUNTIFS($E$3:E1831,E1831,$H$3:H1831,H1831)</f>
        <v>3</v>
      </c>
      <c r="N1831" s="11">
        <v>1039201</v>
      </c>
      <c r="O1831" s="11">
        <v>1039301</v>
      </c>
      <c r="P1831" s="11">
        <v>1039401</v>
      </c>
      <c r="Q1831" s="11">
        <v>1039501</v>
      </c>
      <c r="R1831" s="11">
        <v>1039601</v>
      </c>
      <c r="S1831" s="11">
        <v>1039701</v>
      </c>
    </row>
    <row r="1832" spans="1:20">
      <c r="A1832" s="11">
        <f t="shared" si="80"/>
        <v>70395204</v>
      </c>
      <c r="B1832" s="2" t="s">
        <v>1948</v>
      </c>
      <c r="D1832" s="2" t="str">
        <f>E1832&amp;(VLOOKUP(F1832,编号表!$E$1:$G$8,2,0))&amp;G1832&amp;"_"&amp;H1832&amp;"_"&amp;I1832</f>
        <v>39N5_2_4</v>
      </c>
      <c r="E1832" s="2">
        <v>39</v>
      </c>
      <c r="F1832" s="2" t="s">
        <v>174</v>
      </c>
      <c r="G1832" s="2">
        <v>5</v>
      </c>
      <c r="H1832" s="2">
        <v>2</v>
      </c>
      <c r="I1832" s="2">
        <f>COUNTIFS($E$3:E1832,E1832,$H$3:H1832,H1832)</f>
        <v>4</v>
      </c>
      <c r="N1832" s="11">
        <v>1039201</v>
      </c>
      <c r="O1832" s="11">
        <v>1039301</v>
      </c>
      <c r="P1832" s="11">
        <v>1039401</v>
      </c>
      <c r="Q1832" s="11">
        <v>1039501</v>
      </c>
      <c r="R1832" s="11">
        <v>1039601</v>
      </c>
      <c r="S1832" s="11">
        <v>1039701</v>
      </c>
    </row>
    <row r="1833" spans="1:20">
      <c r="A1833" s="11">
        <f t="shared" si="80"/>
        <v>70393205</v>
      </c>
      <c r="B1833" s="16" t="s">
        <v>136</v>
      </c>
      <c r="C1833" s="2" t="s">
        <v>1949</v>
      </c>
      <c r="D1833" s="2" t="str">
        <f>E1833&amp;(VLOOKUP(F1833,编号表!$E$1:$G$8,2,0))&amp;G1833&amp;"_"&amp;H1833&amp;"_"&amp;I1833</f>
        <v>39T3_2_5</v>
      </c>
      <c r="E1833" s="2">
        <v>39</v>
      </c>
      <c r="F1833" s="2" t="s">
        <v>190</v>
      </c>
      <c r="G1833" s="2">
        <v>3</v>
      </c>
      <c r="H1833" s="2">
        <v>2</v>
      </c>
      <c r="I1833" s="2">
        <f>COUNTIFS($E$3:E1833,E1833,$H$3:H1833,H1833)</f>
        <v>5</v>
      </c>
      <c r="L1833" s="2">
        <v>182</v>
      </c>
    </row>
    <row r="1834" spans="1:20">
      <c r="A1834" s="11">
        <f t="shared" si="80"/>
        <v>70391206</v>
      </c>
      <c r="B1834" s="15" t="s">
        <v>1950</v>
      </c>
      <c r="D1834" s="2" t="str">
        <f>E1834&amp;(VLOOKUP(F1834,编号表!$E$1:$G$8,2,0))&amp;G1834&amp;"_"&amp;H1834&amp;"_"&amp;I1834</f>
        <v>39T1_2_6</v>
      </c>
      <c r="E1834" s="2">
        <v>39</v>
      </c>
      <c r="F1834" s="2" t="s">
        <v>190</v>
      </c>
      <c r="G1834" s="2">
        <v>1</v>
      </c>
      <c r="H1834" s="2">
        <v>2</v>
      </c>
      <c r="I1834" s="2">
        <f>COUNTIFS($E$3:E1834,E1834,$H$3:H1834,H1834)</f>
        <v>6</v>
      </c>
    </row>
    <row r="1835" spans="1:20">
      <c r="A1835" s="11">
        <f t="shared" si="80"/>
        <v>70393207</v>
      </c>
      <c r="B1835" s="2" t="s">
        <v>1951</v>
      </c>
      <c r="D1835" s="2" t="str">
        <f>E1835&amp;(VLOOKUP(F1835,编号表!$E$1:$G$8,2,0))&amp;G1835&amp;"_"&amp;H1835&amp;"_"&amp;I1835</f>
        <v>39N3_2_7</v>
      </c>
      <c r="E1835" s="2">
        <v>39</v>
      </c>
      <c r="F1835" s="2" t="s">
        <v>174</v>
      </c>
      <c r="G1835" s="2">
        <v>3</v>
      </c>
      <c r="H1835" s="2">
        <v>2</v>
      </c>
      <c r="I1835" s="2">
        <f>COUNTIFS($E$3:E1835,E1835,$H$3:H1835,H1835)</f>
        <v>7</v>
      </c>
      <c r="N1835" s="11">
        <v>1039201</v>
      </c>
      <c r="O1835" s="11">
        <v>1039301</v>
      </c>
      <c r="P1835" s="11">
        <v>1039401</v>
      </c>
      <c r="Q1835" s="11">
        <v>1039501</v>
      </c>
      <c r="R1835" s="11">
        <v>1039601</v>
      </c>
      <c r="S1835" s="11">
        <v>1039701</v>
      </c>
    </row>
    <row r="1836" spans="1:20">
      <c r="A1836" s="11">
        <f t="shared" si="80"/>
        <v>70394301</v>
      </c>
      <c r="B1836" s="2" t="s">
        <v>1952</v>
      </c>
      <c r="D1836" s="2" t="str">
        <f>E1836&amp;(VLOOKUP(F1836,编号表!$E$1:$G$8,2,0))&amp;G1836&amp;"_"&amp;H1836&amp;"_"&amp;I1836</f>
        <v>39N4_3_1</v>
      </c>
      <c r="E1836" s="2">
        <v>39</v>
      </c>
      <c r="F1836" s="2" t="s">
        <v>174</v>
      </c>
      <c r="G1836" s="2">
        <v>4</v>
      </c>
      <c r="H1836" s="2">
        <v>3</v>
      </c>
      <c r="I1836" s="2">
        <f>COUNTIFS($E$3:E1836,E1836,$H$3:H1836,H1836)</f>
        <v>1</v>
      </c>
      <c r="N1836" s="11">
        <v>1039201</v>
      </c>
      <c r="O1836" s="11">
        <v>1039301</v>
      </c>
      <c r="P1836" s="11">
        <v>1039401</v>
      </c>
      <c r="Q1836" s="11">
        <v>1039501</v>
      </c>
      <c r="R1836" s="11">
        <v>1039601</v>
      </c>
      <c r="S1836" s="11">
        <v>1039701</v>
      </c>
    </row>
    <row r="1837" spans="1:20">
      <c r="A1837" s="11">
        <f t="shared" si="80"/>
        <v>70396302</v>
      </c>
      <c r="B1837" s="2" t="s">
        <v>1953</v>
      </c>
      <c r="D1837" s="2" t="str">
        <f>E1837&amp;(VLOOKUP(F1837,编号表!$E$1:$G$8,2,0))&amp;G1837&amp;"_"&amp;H1837&amp;"_"&amp;I1837</f>
        <v>39N6_3_2</v>
      </c>
      <c r="E1837" s="2">
        <v>39</v>
      </c>
      <c r="F1837" s="2" t="s">
        <v>174</v>
      </c>
      <c r="G1837" s="2">
        <v>6</v>
      </c>
      <c r="H1837" s="2">
        <v>3</v>
      </c>
      <c r="I1837" s="2">
        <f>COUNTIFS($E$3:E1837,E1837,$H$3:H1837,H1837)</f>
        <v>2</v>
      </c>
      <c r="N1837" s="11">
        <v>1039201</v>
      </c>
      <c r="O1837" s="11">
        <v>1039301</v>
      </c>
      <c r="P1837" s="11">
        <v>1039401</v>
      </c>
      <c r="Q1837" s="11">
        <v>1039501</v>
      </c>
      <c r="R1837" s="11">
        <v>1039601</v>
      </c>
      <c r="S1837" s="11">
        <v>1039701</v>
      </c>
    </row>
    <row r="1838" spans="1:20">
      <c r="A1838" s="11">
        <f t="shared" si="80"/>
        <v>70395303</v>
      </c>
      <c r="B1838" s="2" t="s">
        <v>1954</v>
      </c>
      <c r="D1838" s="2" t="str">
        <f>E1838&amp;(VLOOKUP(F1838,编号表!$E$1:$G$8,2,0))&amp;G1838&amp;"_"&amp;H1838&amp;"_"&amp;I1838</f>
        <v>39N5_3_3</v>
      </c>
      <c r="E1838" s="2">
        <v>39</v>
      </c>
      <c r="F1838" s="2" t="s">
        <v>174</v>
      </c>
      <c r="G1838" s="2">
        <v>5</v>
      </c>
      <c r="H1838" s="2">
        <v>3</v>
      </c>
      <c r="I1838" s="2">
        <f>COUNTIFS($E$3:E1838,E1838,$H$3:H1838,H1838)</f>
        <v>3</v>
      </c>
      <c r="N1838" s="11">
        <v>1039201</v>
      </c>
      <c r="O1838" s="11">
        <v>1039301</v>
      </c>
      <c r="P1838" s="11">
        <v>1039401</v>
      </c>
      <c r="Q1838" s="11">
        <v>1039501</v>
      </c>
      <c r="R1838" s="11">
        <v>1039601</v>
      </c>
      <c r="S1838" s="11">
        <v>1039701</v>
      </c>
    </row>
    <row r="1839" spans="1:20">
      <c r="A1839" s="11">
        <f t="shared" si="80"/>
        <v>70394304</v>
      </c>
      <c r="B1839" s="2" t="s">
        <v>1955</v>
      </c>
      <c r="D1839" s="2" t="str">
        <f>E1839&amp;(VLOOKUP(F1839,编号表!$E$1:$G$8,2,0))&amp;G1839&amp;"_"&amp;H1839&amp;"_"&amp;I1839</f>
        <v>39N4_3_4</v>
      </c>
      <c r="E1839" s="2">
        <v>39</v>
      </c>
      <c r="F1839" s="2" t="s">
        <v>174</v>
      </c>
      <c r="G1839" s="2">
        <v>4</v>
      </c>
      <c r="H1839" s="2">
        <v>3</v>
      </c>
      <c r="I1839" s="2">
        <f>COUNTIFS($E$3:E1839,E1839,$H$3:H1839,H1839)</f>
        <v>4</v>
      </c>
      <c r="N1839" s="11">
        <v>1039201</v>
      </c>
      <c r="O1839" s="11">
        <v>1039301</v>
      </c>
      <c r="P1839" s="11">
        <v>1039401</v>
      </c>
      <c r="Q1839" s="11">
        <v>1039501</v>
      </c>
      <c r="R1839" s="11">
        <v>1039601</v>
      </c>
      <c r="S1839" s="11">
        <v>1039701</v>
      </c>
    </row>
    <row r="1840" spans="1:20">
      <c r="A1840" s="11">
        <f t="shared" si="80"/>
        <v>70397305</v>
      </c>
      <c r="B1840" s="2" t="s">
        <v>1956</v>
      </c>
      <c r="D1840" s="2" t="str">
        <f>E1840&amp;(VLOOKUP(F1840,编号表!$E$1:$G$8,2,0))&amp;G1840&amp;"_"&amp;H1840&amp;"_"&amp;I1840</f>
        <v>39N7_3_5</v>
      </c>
      <c r="E1840" s="2">
        <v>39</v>
      </c>
      <c r="F1840" s="2" t="s">
        <v>174</v>
      </c>
      <c r="G1840" s="2">
        <v>7</v>
      </c>
      <c r="H1840" s="2">
        <v>3</v>
      </c>
      <c r="I1840" s="2">
        <f>COUNTIFS($E$3:E1840,E1840,$H$3:H1840,H1840)</f>
        <v>5</v>
      </c>
      <c r="N1840" s="11">
        <v>1039201</v>
      </c>
      <c r="O1840" s="11">
        <v>1039301</v>
      </c>
      <c r="P1840" s="11">
        <v>1039401</v>
      </c>
      <c r="Q1840" s="11">
        <v>1039501</v>
      </c>
      <c r="R1840" s="11">
        <v>1039601</v>
      </c>
      <c r="S1840" s="11">
        <v>1039701</v>
      </c>
    </row>
    <row r="1841" spans="1:19">
      <c r="A1841" s="11">
        <f t="shared" si="80"/>
        <v>70396401</v>
      </c>
      <c r="B1841" s="2" t="s">
        <v>1957</v>
      </c>
      <c r="D1841" s="2" t="str">
        <f>E1841&amp;(VLOOKUP(F1841,编号表!$E$1:$G$8,2,0))&amp;G1841&amp;"_"&amp;H1841&amp;"_"&amp;I1841</f>
        <v>39N6_4_1</v>
      </c>
      <c r="E1841" s="2">
        <v>39</v>
      </c>
      <c r="F1841" s="2" t="s">
        <v>174</v>
      </c>
      <c r="G1841" s="2">
        <v>6</v>
      </c>
      <c r="H1841" s="2">
        <v>4</v>
      </c>
      <c r="I1841" s="2">
        <f>COUNTIFS($E$3:E1841,E1841,$H$3:H1841,H1841)</f>
        <v>1</v>
      </c>
      <c r="N1841" s="11">
        <v>1039201</v>
      </c>
      <c r="O1841" s="11">
        <v>1039301</v>
      </c>
      <c r="P1841" s="11">
        <v>1039401</v>
      </c>
      <c r="Q1841" s="11">
        <v>1039501</v>
      </c>
      <c r="R1841" s="11">
        <v>1039601</v>
      </c>
      <c r="S1841" s="11">
        <v>1039701</v>
      </c>
    </row>
    <row r="1842" spans="1:19">
      <c r="A1842" s="11">
        <f t="shared" si="80"/>
        <v>70394402</v>
      </c>
      <c r="B1842" s="2" t="s">
        <v>1958</v>
      </c>
      <c r="D1842" s="2" t="str">
        <f>E1842&amp;(VLOOKUP(F1842,编号表!$E$1:$G$8,2,0))&amp;G1842&amp;"_"&amp;H1842&amp;"_"&amp;I1842</f>
        <v>39N4_4_2</v>
      </c>
      <c r="E1842" s="2">
        <v>39</v>
      </c>
      <c r="F1842" s="2" t="s">
        <v>174</v>
      </c>
      <c r="G1842" s="2">
        <v>4</v>
      </c>
      <c r="H1842" s="2">
        <v>4</v>
      </c>
      <c r="I1842" s="2">
        <f>COUNTIFS($E$3:E1842,E1842,$H$3:H1842,H1842)</f>
        <v>2</v>
      </c>
      <c r="N1842" s="11">
        <v>1039201</v>
      </c>
      <c r="O1842" s="11">
        <v>1039301</v>
      </c>
      <c r="P1842" s="11">
        <v>1039401</v>
      </c>
      <c r="Q1842" s="11">
        <v>1039501</v>
      </c>
      <c r="R1842" s="11">
        <v>1039601</v>
      </c>
      <c r="S1842" s="11">
        <v>1039701</v>
      </c>
    </row>
    <row r="1843" spans="1:19">
      <c r="A1843" s="11">
        <f t="shared" si="80"/>
        <v>70396403</v>
      </c>
      <c r="B1843" s="2" t="s">
        <v>1959</v>
      </c>
      <c r="D1843" s="2" t="str">
        <f>E1843&amp;(VLOOKUP(F1843,编号表!$E$1:$G$8,2,0))&amp;G1843&amp;"_"&amp;H1843&amp;"_"&amp;I1843</f>
        <v>39N6_4_3</v>
      </c>
      <c r="E1843" s="2">
        <v>39</v>
      </c>
      <c r="F1843" s="2" t="s">
        <v>174</v>
      </c>
      <c r="G1843" s="2">
        <v>6</v>
      </c>
      <c r="H1843" s="2">
        <v>4</v>
      </c>
      <c r="I1843" s="2">
        <f>COUNTIFS($E$3:E1843,E1843,$H$3:H1843,H1843)</f>
        <v>3</v>
      </c>
      <c r="N1843" s="11">
        <v>1039201</v>
      </c>
      <c r="O1843" s="11">
        <v>1039301</v>
      </c>
      <c r="P1843" s="11">
        <v>1039401</v>
      </c>
      <c r="Q1843" s="11">
        <v>1039501</v>
      </c>
      <c r="R1843" s="11">
        <v>1039601</v>
      </c>
      <c r="S1843" s="11">
        <v>1039701</v>
      </c>
    </row>
    <row r="1844" spans="1:19">
      <c r="A1844" s="11">
        <f t="shared" si="80"/>
        <v>70396404</v>
      </c>
      <c r="B1844" s="2" t="s">
        <v>1960</v>
      </c>
      <c r="D1844" s="2" t="str">
        <f>E1844&amp;(VLOOKUP(F1844,编号表!$E$1:$G$8,2,0))&amp;G1844&amp;"_"&amp;H1844&amp;"_"&amp;I1844</f>
        <v>39N6_4_4</v>
      </c>
      <c r="E1844" s="2">
        <v>39</v>
      </c>
      <c r="F1844" s="2" t="s">
        <v>174</v>
      </c>
      <c r="G1844" s="2">
        <v>6</v>
      </c>
      <c r="H1844" s="2">
        <v>4</v>
      </c>
      <c r="I1844" s="2">
        <f>COUNTIFS($E$3:E1844,E1844,$H$3:H1844,H1844)</f>
        <v>4</v>
      </c>
      <c r="N1844" s="11">
        <v>1039201</v>
      </c>
      <c r="O1844" s="11">
        <v>1039301</v>
      </c>
      <c r="P1844" s="11">
        <v>1039401</v>
      </c>
      <c r="Q1844" s="11">
        <v>1039501</v>
      </c>
      <c r="R1844" s="11">
        <v>1039601</v>
      </c>
      <c r="S1844" s="11">
        <v>1039701</v>
      </c>
    </row>
    <row r="1845" spans="1:19">
      <c r="A1845" s="11">
        <f t="shared" si="80"/>
        <v>70395405</v>
      </c>
      <c r="B1845" s="2" t="s">
        <v>1961</v>
      </c>
      <c r="D1845" s="2" t="str">
        <f>E1845&amp;(VLOOKUP(F1845,编号表!$E$1:$G$8,2,0))&amp;G1845&amp;"_"&amp;H1845&amp;"_"&amp;I1845</f>
        <v>39N5_4_5</v>
      </c>
      <c r="E1845" s="2">
        <v>39</v>
      </c>
      <c r="F1845" s="2" t="s">
        <v>174</v>
      </c>
      <c r="G1845" s="2">
        <v>5</v>
      </c>
      <c r="H1845" s="2">
        <v>4</v>
      </c>
      <c r="I1845" s="2">
        <f>COUNTIFS($E$3:E1845,E1845,$H$3:H1845,H1845)</f>
        <v>5</v>
      </c>
      <c r="N1845" s="11">
        <v>1039201</v>
      </c>
      <c r="O1845" s="11">
        <v>1039301</v>
      </c>
      <c r="P1845" s="11">
        <v>1039401</v>
      </c>
      <c r="Q1845" s="11">
        <v>1039501</v>
      </c>
      <c r="R1845" s="11">
        <v>1039601</v>
      </c>
      <c r="S1845" s="11">
        <v>1039701</v>
      </c>
    </row>
    <row r="1846" spans="1:19">
      <c r="A1846" s="11">
        <f t="shared" si="80"/>
        <v>70391406</v>
      </c>
      <c r="B1846" s="15" t="s">
        <v>1940</v>
      </c>
      <c r="D1846" s="2" t="str">
        <f>E1846&amp;(VLOOKUP(F1846,编号表!$E$1:$G$8,2,0))&amp;G1846&amp;"_"&amp;H1846&amp;"_"&amp;I1846</f>
        <v>39T1_4_6</v>
      </c>
      <c r="E1846" s="2">
        <v>39</v>
      </c>
      <c r="F1846" s="2" t="s">
        <v>190</v>
      </c>
      <c r="G1846" s="2">
        <v>1</v>
      </c>
      <c r="H1846" s="2">
        <v>4</v>
      </c>
      <c r="I1846" s="2">
        <f>COUNTIFS($E$3:E1846,E1846,$H$3:H1846,H1846)</f>
        <v>6</v>
      </c>
      <c r="K1846" s="2">
        <v>1</v>
      </c>
    </row>
    <row r="1847" spans="1:19">
      <c r="A1847" s="11">
        <f t="shared" si="80"/>
        <v>70393407</v>
      </c>
      <c r="B1847" s="16" t="s">
        <v>127</v>
      </c>
      <c r="C1847" s="2" t="s">
        <v>1939</v>
      </c>
      <c r="D1847" s="2" t="str">
        <f>E1847&amp;(VLOOKUP(F1847,编号表!$E$1:$G$8,2,0))&amp;G1847&amp;"_"&amp;H1847&amp;"_"&amp;I1847</f>
        <v>39T3_4_7</v>
      </c>
      <c r="E1847" s="2">
        <v>39</v>
      </c>
      <c r="F1847" s="2" t="s">
        <v>190</v>
      </c>
      <c r="G1847" s="2">
        <v>3</v>
      </c>
      <c r="H1847" s="2">
        <v>4</v>
      </c>
      <c r="I1847" s="2">
        <f>COUNTIFS($E$3:E1847,E1847,$H$3:H1847,H1847)</f>
        <v>7</v>
      </c>
      <c r="L1847" s="2">
        <v>180</v>
      </c>
    </row>
    <row r="1848" spans="1:19">
      <c r="A1848" s="11">
        <f t="shared" si="80"/>
        <v>70398501</v>
      </c>
      <c r="B1848" s="2" t="s">
        <v>1962</v>
      </c>
      <c r="D1848" s="2" t="str">
        <f>E1848&amp;(VLOOKUP(F1848,编号表!$E$1:$G$8,2,0))&amp;G1848&amp;"_"&amp;H1848&amp;"_"&amp;I1848</f>
        <v>39N8_5_1</v>
      </c>
      <c r="E1848" s="2">
        <v>39</v>
      </c>
      <c r="F1848" s="2" t="s">
        <v>174</v>
      </c>
      <c r="G1848" s="2">
        <v>8</v>
      </c>
      <c r="H1848" s="2">
        <v>5</v>
      </c>
      <c r="I1848" s="2">
        <f>COUNTIFS($E$3:E1848,E1848,$H$3:H1848,H1848)</f>
        <v>1</v>
      </c>
      <c r="N1848" s="11">
        <v>1039201</v>
      </c>
      <c r="O1848" s="11">
        <v>1039301</v>
      </c>
      <c r="P1848" s="11">
        <v>1039401</v>
      </c>
      <c r="Q1848" s="11">
        <v>1039501</v>
      </c>
      <c r="R1848" s="11">
        <v>1039601</v>
      </c>
      <c r="S1848" s="11">
        <v>1039701</v>
      </c>
    </row>
    <row r="1849" spans="1:19">
      <c r="A1849" s="11">
        <f t="shared" si="80"/>
        <v>70398502</v>
      </c>
      <c r="B1849" s="2" t="s">
        <v>1963</v>
      </c>
      <c r="D1849" s="2" t="str">
        <f>E1849&amp;(VLOOKUP(F1849,编号表!$E$1:$G$8,2,0))&amp;G1849&amp;"_"&amp;H1849&amp;"_"&amp;I1849</f>
        <v>39N8_5_2</v>
      </c>
      <c r="E1849" s="2">
        <v>39</v>
      </c>
      <c r="F1849" s="2" t="s">
        <v>174</v>
      </c>
      <c r="G1849" s="2">
        <v>8</v>
      </c>
      <c r="H1849" s="2">
        <v>5</v>
      </c>
      <c r="I1849" s="2">
        <f>COUNTIFS($E$3:E1849,E1849,$H$3:H1849,H1849)</f>
        <v>2</v>
      </c>
      <c r="N1849" s="11">
        <v>1039201</v>
      </c>
      <c r="O1849" s="11">
        <v>1039301</v>
      </c>
      <c r="P1849" s="11">
        <v>1039401</v>
      </c>
      <c r="Q1849" s="11">
        <v>1039501</v>
      </c>
      <c r="R1849" s="11">
        <v>1039601</v>
      </c>
      <c r="S1849" s="11">
        <v>1039701</v>
      </c>
    </row>
    <row r="1850" spans="1:19">
      <c r="A1850" s="11">
        <f t="shared" si="80"/>
        <v>70397503</v>
      </c>
      <c r="B1850" s="2" t="s">
        <v>1964</v>
      </c>
      <c r="D1850" s="2" t="str">
        <f>E1850&amp;(VLOOKUP(F1850,编号表!$E$1:$G$8,2,0))&amp;G1850&amp;"_"&amp;H1850&amp;"_"&amp;I1850</f>
        <v>39N7_5_3</v>
      </c>
      <c r="E1850" s="2">
        <v>39</v>
      </c>
      <c r="F1850" s="2" t="s">
        <v>174</v>
      </c>
      <c r="G1850" s="2">
        <v>7</v>
      </c>
      <c r="H1850" s="2">
        <v>5</v>
      </c>
      <c r="I1850" s="2">
        <f>COUNTIFS($E$3:E1850,E1850,$H$3:H1850,H1850)</f>
        <v>3</v>
      </c>
      <c r="N1850" s="11">
        <v>1039201</v>
      </c>
      <c r="O1850" s="11">
        <v>1039301</v>
      </c>
      <c r="P1850" s="11">
        <v>1039401</v>
      </c>
      <c r="Q1850" s="11">
        <v>1039501</v>
      </c>
      <c r="R1850" s="11">
        <v>1039601</v>
      </c>
      <c r="S1850" s="11">
        <v>1039701</v>
      </c>
    </row>
    <row r="1851" spans="1:19">
      <c r="A1851" s="11">
        <f t="shared" si="80"/>
        <v>70395504</v>
      </c>
      <c r="B1851" s="2" t="s">
        <v>1965</v>
      </c>
      <c r="D1851" s="2" t="str">
        <f>E1851&amp;(VLOOKUP(F1851,编号表!$E$1:$G$8,2,0))&amp;G1851&amp;"_"&amp;H1851&amp;"_"&amp;I1851</f>
        <v>39N5_5_4</v>
      </c>
      <c r="E1851" s="2">
        <v>39</v>
      </c>
      <c r="F1851" s="2" t="s">
        <v>174</v>
      </c>
      <c r="G1851" s="2">
        <v>5</v>
      </c>
      <c r="H1851" s="2">
        <v>5</v>
      </c>
      <c r="I1851" s="2">
        <f>COUNTIFS($E$3:E1851,E1851,$H$3:H1851,H1851)</f>
        <v>4</v>
      </c>
      <c r="N1851" s="11">
        <v>1039201</v>
      </c>
      <c r="O1851" s="11">
        <v>1039301</v>
      </c>
      <c r="P1851" s="11">
        <v>1039401</v>
      </c>
      <c r="Q1851" s="11">
        <v>1039501</v>
      </c>
      <c r="R1851" s="11">
        <v>1039601</v>
      </c>
      <c r="S1851" s="11">
        <v>1039701</v>
      </c>
    </row>
    <row r="1852" spans="1:19">
      <c r="A1852" s="11">
        <f t="shared" si="80"/>
        <v>70395505</v>
      </c>
      <c r="B1852" s="2" t="s">
        <v>1966</v>
      </c>
      <c r="D1852" s="2" t="str">
        <f>E1852&amp;(VLOOKUP(F1852,编号表!$E$1:$G$8,2,0))&amp;G1852&amp;"_"&amp;H1852&amp;"_"&amp;I1852</f>
        <v>39N5_5_5</v>
      </c>
      <c r="E1852" s="2">
        <v>39</v>
      </c>
      <c r="F1852" s="2" t="s">
        <v>174</v>
      </c>
      <c r="G1852" s="2">
        <v>5</v>
      </c>
      <c r="H1852" s="2">
        <v>5</v>
      </c>
      <c r="I1852" s="2">
        <f>COUNTIFS($E$3:E1852,E1852,$H$3:H1852,H1852)</f>
        <v>5</v>
      </c>
      <c r="N1852" s="11">
        <v>1039201</v>
      </c>
      <c r="O1852" s="11">
        <v>1039301</v>
      </c>
      <c r="P1852" s="11">
        <v>1039401</v>
      </c>
      <c r="Q1852" s="11">
        <v>1039501</v>
      </c>
      <c r="R1852" s="11">
        <v>1039601</v>
      </c>
      <c r="S1852" s="11">
        <v>1039701</v>
      </c>
    </row>
    <row r="1853" spans="1:19">
      <c r="A1853" s="11">
        <f t="shared" si="80"/>
        <v>70391506</v>
      </c>
      <c r="B1853" s="15" t="s">
        <v>1967</v>
      </c>
      <c r="D1853" s="2" t="str">
        <f>E1853&amp;(VLOOKUP(F1853,编号表!$E$1:$G$8,2,0))&amp;G1853&amp;"_"&amp;H1853&amp;"_"&amp;I1853</f>
        <v>39T1_5_6</v>
      </c>
      <c r="E1853" s="2">
        <v>39</v>
      </c>
      <c r="F1853" s="2" t="s">
        <v>190</v>
      </c>
      <c r="G1853" s="2">
        <v>1</v>
      </c>
      <c r="H1853" s="2">
        <v>5</v>
      </c>
      <c r="I1853" s="2">
        <f>COUNTIFS($E$3:E1853,E1853,$H$3:H1853,H1853)</f>
        <v>6</v>
      </c>
    </row>
    <row r="1854" spans="1:19">
      <c r="A1854" s="11">
        <f t="shared" si="80"/>
        <v>70393507</v>
      </c>
      <c r="B1854" s="16" t="s">
        <v>133</v>
      </c>
      <c r="C1854" s="2" t="s">
        <v>1968</v>
      </c>
      <c r="D1854" s="2" t="str">
        <f>E1854&amp;(VLOOKUP(F1854,编号表!$E$1:$G$8,2,0))&amp;G1854&amp;"_"&amp;H1854&amp;"_"&amp;I1854</f>
        <v>39T3_5_7</v>
      </c>
      <c r="E1854" s="2">
        <v>39</v>
      </c>
      <c r="F1854" s="2" t="s">
        <v>190</v>
      </c>
      <c r="G1854" s="2">
        <v>3</v>
      </c>
      <c r="H1854" s="2">
        <v>5</v>
      </c>
      <c r="I1854" s="2">
        <f>COUNTIFS($E$3:E1854,E1854,$H$3:H1854,H1854)</f>
        <v>7</v>
      </c>
      <c r="L1854" s="2">
        <v>181</v>
      </c>
    </row>
    <row r="1855" spans="1:19">
      <c r="A1855" s="11">
        <f t="shared" si="80"/>
        <v>70390001</v>
      </c>
      <c r="B1855" s="24" t="s">
        <v>1969</v>
      </c>
      <c r="D1855" s="2" t="str">
        <f>E1855&amp;(VLOOKUP(F1855,编号表!$E$1:$G$8,2,0))&amp;G1855&amp;"_"&amp;H1855&amp;"_"&amp;I1855</f>
        <v>39J0_0_1</v>
      </c>
      <c r="E1855" s="2">
        <v>39</v>
      </c>
      <c r="F1855" s="2" t="s">
        <v>222</v>
      </c>
      <c r="G1855" s="2">
        <v>0</v>
      </c>
      <c r="H1855" s="2">
        <v>0</v>
      </c>
      <c r="I1855" s="2">
        <f>COUNTIFS($E$3:E1855,E1855,$H$3:H1855,H1855)</f>
        <v>1</v>
      </c>
      <c r="J1855" s="2">
        <v>1</v>
      </c>
    </row>
    <row r="1856" spans="1:19">
      <c r="A1856" s="11">
        <f t="shared" si="80"/>
        <v>70404101</v>
      </c>
      <c r="B1856" s="2" t="s">
        <v>1970</v>
      </c>
      <c r="D1856" s="2" t="str">
        <f>E1856&amp;(VLOOKUP(F1856,编号表!$E$1:$G$8,2,0))&amp;G1856&amp;"_"&amp;H1856&amp;"_"&amp;I1856</f>
        <v>40N4_1_1</v>
      </c>
      <c r="E1856" s="2">
        <v>40</v>
      </c>
      <c r="F1856" s="2" t="s">
        <v>174</v>
      </c>
      <c r="G1856" s="2">
        <v>4</v>
      </c>
      <c r="H1856" s="2">
        <v>1</v>
      </c>
      <c r="I1856" s="2">
        <f>COUNTIFS($E$3:E1856,E1856,$H$3:H1856,H1856)</f>
        <v>1</v>
      </c>
      <c r="N1856" s="11">
        <v>1040201</v>
      </c>
      <c r="O1856" s="11">
        <v>1040301</v>
      </c>
      <c r="P1856" s="11">
        <v>1040401</v>
      </c>
      <c r="Q1856" s="11">
        <v>1040501</v>
      </c>
      <c r="R1856" s="11">
        <v>1040601</v>
      </c>
      <c r="S1856" s="11">
        <v>1040001</v>
      </c>
    </row>
    <row r="1857" spans="1:19">
      <c r="A1857" s="11">
        <f t="shared" ref="A1857:A1875" si="81">70000000+E1857*10000+G1857*1000+H1857*100+I1857</f>
        <v>70404102</v>
      </c>
      <c r="B1857" s="2" t="s">
        <v>1971</v>
      </c>
      <c r="D1857" s="2" t="str">
        <f>E1857&amp;(VLOOKUP(F1857,编号表!$E$1:$G$8,2,0))&amp;G1857&amp;"_"&amp;H1857&amp;"_"&amp;I1857</f>
        <v>40N4_1_2</v>
      </c>
      <c r="E1857" s="2">
        <v>40</v>
      </c>
      <c r="F1857" s="2" t="s">
        <v>174</v>
      </c>
      <c r="G1857" s="2">
        <v>4</v>
      </c>
      <c r="H1857" s="2">
        <v>1</v>
      </c>
      <c r="I1857" s="2">
        <f>COUNTIFS($E$3:E1857,E1857,$H$3:H1857,H1857)</f>
        <v>2</v>
      </c>
      <c r="N1857" s="11">
        <v>1040201</v>
      </c>
      <c r="O1857" s="11">
        <v>1040301</v>
      </c>
      <c r="P1857" s="11">
        <v>1040401</v>
      </c>
      <c r="Q1857" s="11">
        <v>1040501</v>
      </c>
      <c r="R1857" s="11">
        <v>1040601</v>
      </c>
      <c r="S1857" s="11">
        <v>1040002</v>
      </c>
    </row>
    <row r="1858" spans="1:19">
      <c r="A1858" s="11">
        <f t="shared" si="81"/>
        <v>70403103</v>
      </c>
      <c r="B1858" s="2" t="s">
        <v>1972</v>
      </c>
      <c r="D1858" s="2" t="str">
        <f>E1858&amp;(VLOOKUP(F1858,编号表!$E$1:$G$8,2,0))&amp;G1858&amp;"_"&amp;H1858&amp;"_"&amp;I1858</f>
        <v>40N3_1_3</v>
      </c>
      <c r="E1858" s="2">
        <v>40</v>
      </c>
      <c r="F1858" s="2" t="s">
        <v>174</v>
      </c>
      <c r="G1858" s="2">
        <v>3</v>
      </c>
      <c r="H1858" s="2">
        <v>1</v>
      </c>
      <c r="I1858" s="2">
        <f>COUNTIFS($E$3:E1858,E1858,$H$3:H1858,H1858)</f>
        <v>3</v>
      </c>
      <c r="N1858" s="11">
        <v>1040201</v>
      </c>
      <c r="O1858" s="11">
        <v>1040301</v>
      </c>
      <c r="P1858" s="11">
        <v>1040401</v>
      </c>
      <c r="Q1858" s="11">
        <v>1040501</v>
      </c>
      <c r="R1858" s="11">
        <v>1040601</v>
      </c>
      <c r="S1858" s="11">
        <v>1040101</v>
      </c>
    </row>
    <row r="1859" spans="1:19">
      <c r="A1859" s="11">
        <f t="shared" si="81"/>
        <v>70403201</v>
      </c>
      <c r="B1859" s="2" t="s">
        <v>1973</v>
      </c>
      <c r="D1859" s="2" t="str">
        <f>E1859&amp;(VLOOKUP(F1859,编号表!$E$1:$G$8,2,0))&amp;G1859&amp;"_"&amp;H1859&amp;"_"&amp;I1859</f>
        <v>40N3_2_1</v>
      </c>
      <c r="E1859" s="2">
        <v>40</v>
      </c>
      <c r="F1859" s="2" t="s">
        <v>174</v>
      </c>
      <c r="G1859" s="2">
        <v>3</v>
      </c>
      <c r="H1859" s="2">
        <v>2</v>
      </c>
      <c r="I1859" s="2">
        <f>COUNTIFS($E$3:E1859,E1859,$H$3:H1859,H1859)</f>
        <v>1</v>
      </c>
      <c r="N1859" s="11">
        <v>1040201</v>
      </c>
      <c r="O1859" s="11">
        <v>1040301</v>
      </c>
      <c r="P1859" s="11">
        <v>1040401</v>
      </c>
      <c r="Q1859" s="11">
        <v>1040501</v>
      </c>
      <c r="R1859" s="11">
        <v>1040601</v>
      </c>
    </row>
    <row r="1860" spans="1:19">
      <c r="A1860" s="11">
        <f t="shared" si="81"/>
        <v>70403202</v>
      </c>
      <c r="B1860" s="2" t="s">
        <v>1974</v>
      </c>
      <c r="D1860" s="2" t="str">
        <f>E1860&amp;(VLOOKUP(F1860,编号表!$E$1:$G$8,2,0))&amp;G1860&amp;"_"&amp;H1860&amp;"_"&amp;I1860</f>
        <v>40N3_2_2</v>
      </c>
      <c r="E1860" s="2">
        <v>40</v>
      </c>
      <c r="F1860" s="2" t="s">
        <v>174</v>
      </c>
      <c r="G1860" s="2">
        <v>3</v>
      </c>
      <c r="H1860" s="2">
        <v>2</v>
      </c>
      <c r="I1860" s="2">
        <f>COUNTIFS($E$3:E1860,E1860,$H$3:H1860,H1860)</f>
        <v>2</v>
      </c>
      <c r="N1860" s="11">
        <v>1040201</v>
      </c>
      <c r="O1860" s="11">
        <v>1040301</v>
      </c>
      <c r="P1860" s="11">
        <v>1040401</v>
      </c>
      <c r="Q1860" s="11">
        <v>1040501</v>
      </c>
      <c r="R1860" s="11">
        <v>1040601</v>
      </c>
    </row>
    <row r="1861" spans="1:19">
      <c r="A1861" s="11">
        <f t="shared" si="81"/>
        <v>70402203</v>
      </c>
      <c r="B1861" s="2" t="s">
        <v>1975</v>
      </c>
      <c r="D1861" s="2" t="str">
        <f>E1861&amp;(VLOOKUP(F1861,编号表!$E$1:$G$8,2,0))&amp;G1861&amp;"_"&amp;H1861&amp;"_"&amp;I1861</f>
        <v>40N2_2_3</v>
      </c>
      <c r="E1861" s="2">
        <v>40</v>
      </c>
      <c r="F1861" s="2" t="s">
        <v>174</v>
      </c>
      <c r="G1861" s="2">
        <v>2</v>
      </c>
      <c r="H1861" s="2">
        <v>2</v>
      </c>
      <c r="I1861" s="2">
        <f>COUNTIFS($E$3:E1861,E1861,$H$3:H1861,H1861)</f>
        <v>3</v>
      </c>
      <c r="N1861" s="11">
        <v>1040201</v>
      </c>
      <c r="O1861" s="11">
        <v>1040301</v>
      </c>
      <c r="P1861" s="11">
        <v>1040401</v>
      </c>
      <c r="Q1861" s="11">
        <v>1040501</v>
      </c>
      <c r="R1861" s="11">
        <v>1040601</v>
      </c>
    </row>
    <row r="1862" spans="1:19">
      <c r="A1862" s="11">
        <f t="shared" si="81"/>
        <v>70403204</v>
      </c>
      <c r="B1862" s="2" t="s">
        <v>1976</v>
      </c>
      <c r="D1862" s="2" t="str">
        <f>E1862&amp;(VLOOKUP(F1862,编号表!$E$1:$G$8,2,0))&amp;G1862&amp;"_"&amp;H1862&amp;"_"&amp;I1862</f>
        <v>40N3_2_4</v>
      </c>
      <c r="E1862" s="2">
        <v>40</v>
      </c>
      <c r="F1862" s="2" t="s">
        <v>174</v>
      </c>
      <c r="G1862" s="2">
        <v>3</v>
      </c>
      <c r="H1862" s="2">
        <v>2</v>
      </c>
      <c r="I1862" s="2">
        <f>COUNTIFS($E$3:E1862,E1862,$H$3:H1862,H1862)</f>
        <v>4</v>
      </c>
      <c r="N1862" s="11">
        <v>1040201</v>
      </c>
      <c r="O1862" s="11">
        <v>1040301</v>
      </c>
      <c r="P1862" s="11">
        <v>1040401</v>
      </c>
      <c r="Q1862" s="11">
        <v>1040501</v>
      </c>
      <c r="R1862" s="11">
        <v>1040601</v>
      </c>
    </row>
    <row r="1863" spans="1:19">
      <c r="A1863" s="11">
        <f t="shared" si="81"/>
        <v>70401205</v>
      </c>
      <c r="B1863" s="15" t="s">
        <v>1977</v>
      </c>
      <c r="D1863" s="2" t="str">
        <f>E1863&amp;(VLOOKUP(F1863,编号表!$E$1:$G$8,2,0))&amp;G1863&amp;"_"&amp;H1863&amp;"_"&amp;I1863</f>
        <v>40T1_2_5</v>
      </c>
      <c r="E1863" s="2">
        <v>40</v>
      </c>
      <c r="F1863" s="2" t="s">
        <v>190</v>
      </c>
      <c r="G1863" s="2">
        <v>1</v>
      </c>
      <c r="H1863" s="2">
        <v>2</v>
      </c>
      <c r="I1863" s="2">
        <f>COUNTIFS($E$3:E1863,E1863,$H$3:H1863,H1863)</f>
        <v>5</v>
      </c>
      <c r="K1863" s="2">
        <v>1</v>
      </c>
    </row>
    <row r="1864" spans="1:19">
      <c r="A1864" s="11">
        <f t="shared" si="81"/>
        <v>70403206</v>
      </c>
      <c r="B1864" s="16" t="s">
        <v>1978</v>
      </c>
      <c r="C1864" s="2" t="s">
        <v>1979</v>
      </c>
      <c r="D1864" s="2" t="str">
        <f>E1864&amp;(VLOOKUP(F1864,编号表!$E$1:$G$8,2,0))&amp;G1864&amp;"_"&amp;H1864&amp;"_"&amp;I1864</f>
        <v>40T3_2_6</v>
      </c>
      <c r="E1864" s="2">
        <v>40</v>
      </c>
      <c r="F1864" s="2" t="s">
        <v>190</v>
      </c>
      <c r="G1864" s="2">
        <v>3</v>
      </c>
      <c r="H1864" s="2">
        <v>2</v>
      </c>
      <c r="I1864" s="2">
        <f>COUNTIFS($E$3:E1864,E1864,$H$3:H1864,H1864)</f>
        <v>6</v>
      </c>
      <c r="L1864" s="2">
        <v>183</v>
      </c>
    </row>
    <row r="1865" spans="1:19">
      <c r="A1865" s="11">
        <f t="shared" si="81"/>
        <v>70400001</v>
      </c>
      <c r="B1865" s="24" t="s">
        <v>1980</v>
      </c>
      <c r="D1865" s="2" t="str">
        <f>E1865&amp;(VLOOKUP(F1865,编号表!$E$1:$G$8,2,0))&amp;G1865&amp;"_"&amp;H1865&amp;"_"&amp;I1865</f>
        <v>40J0_0_1</v>
      </c>
      <c r="E1865" s="2">
        <v>40</v>
      </c>
      <c r="F1865" s="2" t="s">
        <v>222</v>
      </c>
      <c r="G1865" s="2">
        <v>0</v>
      </c>
      <c r="H1865" s="2">
        <v>0</v>
      </c>
      <c r="I1865" s="2">
        <f>COUNTIFS($E$3:E1865,E1865,$H$3:H1865,H1865)</f>
        <v>1</v>
      </c>
      <c r="J1865" s="2">
        <v>1</v>
      </c>
    </row>
    <row r="1866" spans="1:19">
      <c r="A1866" s="11">
        <f t="shared" si="81"/>
        <v>70413101</v>
      </c>
      <c r="B1866" s="2" t="s">
        <v>1981</v>
      </c>
      <c r="D1866" s="2" t="str">
        <f>E1866&amp;(VLOOKUP(F1866,编号表!$E$1:$G$8,2,0))&amp;G1866&amp;"_"&amp;H1866&amp;"_"&amp;I1866</f>
        <v>41N3_1_1</v>
      </c>
      <c r="E1866" s="2">
        <v>41</v>
      </c>
      <c r="F1866" s="2" t="s">
        <v>174</v>
      </c>
      <c r="G1866" s="2">
        <v>3</v>
      </c>
      <c r="H1866" s="2">
        <v>1</v>
      </c>
      <c r="I1866" s="2">
        <f>COUNTIFS($E$3:E1866,E1866,$H$3:H1866,H1866)</f>
        <v>1</v>
      </c>
      <c r="N1866" s="11">
        <v>1041201</v>
      </c>
      <c r="O1866" s="11">
        <v>1041301</v>
      </c>
      <c r="P1866" s="11">
        <v>1041401</v>
      </c>
      <c r="Q1866" s="11">
        <v>1041501</v>
      </c>
      <c r="R1866" s="11">
        <v>1041601</v>
      </c>
      <c r="S1866" s="11">
        <v>1041001</v>
      </c>
    </row>
    <row r="1867" spans="1:19">
      <c r="A1867" s="11">
        <f t="shared" si="81"/>
        <v>70412102</v>
      </c>
      <c r="B1867" s="2" t="s">
        <v>1982</v>
      </c>
      <c r="D1867" s="2" t="str">
        <f>E1867&amp;(VLOOKUP(F1867,编号表!$E$1:$G$8,2,0))&amp;G1867&amp;"_"&amp;H1867&amp;"_"&amp;I1867</f>
        <v>41N2_1_2</v>
      </c>
      <c r="E1867" s="2">
        <v>41</v>
      </c>
      <c r="F1867" s="2" t="s">
        <v>174</v>
      </c>
      <c r="G1867" s="2">
        <v>2</v>
      </c>
      <c r="H1867" s="2">
        <v>1</v>
      </c>
      <c r="I1867" s="2">
        <f>COUNTIFS($E$3:E1867,E1867,$H$3:H1867,H1867)</f>
        <v>2</v>
      </c>
      <c r="N1867" s="11">
        <v>1041201</v>
      </c>
      <c r="O1867" s="11">
        <v>1041301</v>
      </c>
      <c r="P1867" s="11">
        <v>1041401</v>
      </c>
      <c r="Q1867" s="11">
        <v>1041501</v>
      </c>
      <c r="R1867" s="11">
        <v>1041601</v>
      </c>
      <c r="S1867" s="11">
        <v>1041002</v>
      </c>
    </row>
    <row r="1868" spans="1:19">
      <c r="A1868" s="11">
        <f t="shared" si="81"/>
        <v>70412103</v>
      </c>
      <c r="B1868" s="2" t="s">
        <v>1983</v>
      </c>
      <c r="D1868" s="2" t="str">
        <f>E1868&amp;(VLOOKUP(F1868,编号表!$E$1:$G$8,2,0))&amp;G1868&amp;"_"&amp;H1868&amp;"_"&amp;I1868</f>
        <v>41N2_1_3</v>
      </c>
      <c r="E1868" s="2">
        <v>41</v>
      </c>
      <c r="F1868" s="2" t="s">
        <v>174</v>
      </c>
      <c r="G1868" s="2">
        <v>2</v>
      </c>
      <c r="H1868" s="2">
        <v>1</v>
      </c>
      <c r="I1868" s="2">
        <f>COUNTIFS($E$3:E1868,E1868,$H$3:H1868,H1868)</f>
        <v>3</v>
      </c>
      <c r="N1868" s="11">
        <v>1041201</v>
      </c>
      <c r="O1868" s="11">
        <v>1041301</v>
      </c>
      <c r="P1868" s="11">
        <v>1041401</v>
      </c>
      <c r="Q1868" s="11">
        <v>1041501</v>
      </c>
      <c r="R1868" s="11">
        <v>1041601</v>
      </c>
      <c r="S1868" s="11">
        <v>1041003</v>
      </c>
    </row>
    <row r="1869" spans="1:19">
      <c r="A1869" s="11">
        <f t="shared" si="81"/>
        <v>70413104</v>
      </c>
      <c r="B1869" s="2" t="s">
        <v>1984</v>
      </c>
      <c r="D1869" s="2" t="str">
        <f>E1869&amp;(VLOOKUP(F1869,编号表!$E$1:$G$8,2,0))&amp;G1869&amp;"_"&amp;H1869&amp;"_"&amp;I1869</f>
        <v>41N3_1_4</v>
      </c>
      <c r="E1869" s="2">
        <v>41</v>
      </c>
      <c r="F1869" s="2" t="s">
        <v>174</v>
      </c>
      <c r="G1869" s="2">
        <v>3</v>
      </c>
      <c r="H1869" s="2">
        <v>1</v>
      </c>
      <c r="I1869" s="2">
        <f>COUNTIFS($E$3:E1869,E1869,$H$3:H1869,H1869)</f>
        <v>4</v>
      </c>
      <c r="N1869" s="11">
        <v>1041201</v>
      </c>
      <c r="O1869" s="11">
        <v>1041301</v>
      </c>
      <c r="P1869" s="11">
        <v>1041401</v>
      </c>
      <c r="Q1869" s="11">
        <v>1041501</v>
      </c>
      <c r="R1869" s="11">
        <v>1041601</v>
      </c>
      <c r="S1869" s="11">
        <v>1041101</v>
      </c>
    </row>
    <row r="1870" spans="1:19">
      <c r="A1870" s="11">
        <f t="shared" si="81"/>
        <v>70413201</v>
      </c>
      <c r="B1870" s="16" t="s">
        <v>1978</v>
      </c>
      <c r="C1870" s="2" t="s">
        <v>1985</v>
      </c>
      <c r="D1870" s="2" t="str">
        <f>E1870&amp;(VLOOKUP(F1870,编号表!$E$1:$G$8,2,0))&amp;G1870&amp;"_"&amp;H1870&amp;"_"&amp;I1870</f>
        <v>41T3_2_1</v>
      </c>
      <c r="E1870" s="2">
        <v>41</v>
      </c>
      <c r="F1870" s="2" t="s">
        <v>190</v>
      </c>
      <c r="G1870" s="2">
        <v>3</v>
      </c>
      <c r="H1870" s="2">
        <v>2</v>
      </c>
      <c r="I1870" s="2">
        <f>COUNTIFS($E$3:E1870,E1870,$H$3:H1870,H1870)</f>
        <v>1</v>
      </c>
      <c r="L1870" s="2">
        <v>185</v>
      </c>
    </row>
    <row r="1871" spans="1:19">
      <c r="A1871" s="11">
        <f t="shared" si="81"/>
        <v>70411202</v>
      </c>
      <c r="B1871" s="15" t="s">
        <v>1986</v>
      </c>
      <c r="D1871" s="2" t="str">
        <f>E1871&amp;(VLOOKUP(F1871,编号表!$E$1:$G$8,2,0))&amp;G1871&amp;"_"&amp;H1871&amp;"_"&amp;I1871</f>
        <v>41T1_2_2</v>
      </c>
      <c r="E1871" s="2">
        <v>41</v>
      </c>
      <c r="F1871" s="2" t="s">
        <v>190</v>
      </c>
      <c r="G1871" s="2">
        <v>1</v>
      </c>
      <c r="H1871" s="2">
        <v>2</v>
      </c>
      <c r="I1871" s="2">
        <f>COUNTIFS($E$3:E1871,E1871,$H$3:H1871,H1871)</f>
        <v>2</v>
      </c>
      <c r="K1871" s="2">
        <v>1</v>
      </c>
    </row>
    <row r="1872" spans="1:19">
      <c r="A1872" s="11">
        <f t="shared" si="81"/>
        <v>70413203</v>
      </c>
      <c r="B1872" s="2" t="s">
        <v>1987</v>
      </c>
      <c r="D1872" s="2" t="str">
        <f>E1872&amp;(VLOOKUP(F1872,编号表!$E$1:$G$8,2,0))&amp;G1872&amp;"_"&amp;H1872&amp;"_"&amp;I1872</f>
        <v>41N3_2_3</v>
      </c>
      <c r="E1872" s="2">
        <v>41</v>
      </c>
      <c r="F1872" s="2" t="s">
        <v>174</v>
      </c>
      <c r="G1872" s="2">
        <v>3</v>
      </c>
      <c r="H1872" s="2">
        <v>2</v>
      </c>
      <c r="I1872" s="2">
        <f>COUNTIFS($E$3:E1872,E1872,$H$3:H1872,H1872)</f>
        <v>3</v>
      </c>
      <c r="N1872" s="11">
        <v>1041201</v>
      </c>
      <c r="O1872" s="11">
        <v>1041301</v>
      </c>
      <c r="P1872" s="11">
        <v>1041401</v>
      </c>
      <c r="Q1872" s="11">
        <v>1041501</v>
      </c>
      <c r="R1872" s="11">
        <v>1041601</v>
      </c>
    </row>
    <row r="1873" spans="1:18">
      <c r="A1873" s="11">
        <f t="shared" si="81"/>
        <v>70413204</v>
      </c>
      <c r="B1873" s="2" t="s">
        <v>1988</v>
      </c>
      <c r="D1873" s="2" t="str">
        <f>E1873&amp;(VLOOKUP(F1873,编号表!$E$1:$G$8,2,0))&amp;G1873&amp;"_"&amp;H1873&amp;"_"&amp;I1873</f>
        <v>41N3_2_4</v>
      </c>
      <c r="E1873" s="2">
        <v>41</v>
      </c>
      <c r="F1873" s="2" t="s">
        <v>174</v>
      </c>
      <c r="G1873" s="2">
        <v>3</v>
      </c>
      <c r="H1873" s="2">
        <v>2</v>
      </c>
      <c r="I1873" s="2">
        <f>COUNTIFS($E$3:E1873,E1873,$H$3:H1873,H1873)</f>
        <v>4</v>
      </c>
      <c r="N1873" s="11">
        <v>1041201</v>
      </c>
      <c r="O1873" s="11">
        <v>1041301</v>
      </c>
      <c r="P1873" s="11">
        <v>1041401</v>
      </c>
      <c r="Q1873" s="11">
        <v>1041501</v>
      </c>
      <c r="R1873" s="11">
        <v>1041601</v>
      </c>
    </row>
    <row r="1874" spans="1:18">
      <c r="A1874" s="11">
        <f t="shared" si="81"/>
        <v>70412205</v>
      </c>
      <c r="B1874" s="2" t="s">
        <v>1989</v>
      </c>
      <c r="D1874" s="2" t="str">
        <f>E1874&amp;(VLOOKUP(F1874,编号表!$E$1:$G$8,2,0))&amp;G1874&amp;"_"&amp;H1874&amp;"_"&amp;I1874</f>
        <v>41N2_2_5</v>
      </c>
      <c r="E1874" s="2">
        <v>41</v>
      </c>
      <c r="F1874" s="2" t="s">
        <v>174</v>
      </c>
      <c r="G1874" s="2">
        <v>2</v>
      </c>
      <c r="H1874" s="2">
        <v>2</v>
      </c>
      <c r="I1874" s="2">
        <f>COUNTIFS($E$3:E1874,E1874,$H$3:H1874,H1874)</f>
        <v>5</v>
      </c>
      <c r="N1874" s="11">
        <v>1041201</v>
      </c>
      <c r="O1874" s="11">
        <v>1041301</v>
      </c>
      <c r="P1874" s="11">
        <v>1041401</v>
      </c>
      <c r="Q1874" s="11">
        <v>1041501</v>
      </c>
      <c r="R1874" s="11">
        <v>1041601</v>
      </c>
    </row>
    <row r="1875" spans="1:18">
      <c r="A1875" s="11">
        <f t="shared" si="81"/>
        <v>70410001</v>
      </c>
      <c r="B1875" s="24" t="s">
        <v>1990</v>
      </c>
      <c r="D1875" s="2" t="str">
        <f>E1875&amp;(VLOOKUP(F1875,编号表!$E$1:$G$8,2,0))&amp;G1875&amp;"_"&amp;H1875&amp;"_"&amp;I1875</f>
        <v>41J0_0_1</v>
      </c>
      <c r="E1875" s="2">
        <v>41</v>
      </c>
      <c r="F1875" s="2" t="s">
        <v>222</v>
      </c>
      <c r="G1875" s="2">
        <v>0</v>
      </c>
      <c r="H1875" s="2">
        <v>0</v>
      </c>
      <c r="I1875" s="2">
        <f>COUNTIFS($E$3:E1875,E1875,$H$3:H1875,H1875)</f>
        <v>1</v>
      </c>
      <c r="J1875" s="2">
        <v>1</v>
      </c>
    </row>
    <row r="1903" spans="2:2">
      <c r="B1903" s="25"/>
    </row>
    <row r="1971" spans="2:2">
      <c r="B1971" s="25"/>
    </row>
    <row r="2041" spans="2:2">
      <c r="B2041" s="25"/>
    </row>
    <row r="2111" spans="2:2">
      <c r="B2111" s="25"/>
    </row>
    <row r="2179" spans="2:2">
      <c r="B2179" s="25"/>
    </row>
    <row r="2249" spans="2:2">
      <c r="B2249" s="25"/>
    </row>
    <row r="2319" spans="2:2">
      <c r="B2319" s="25"/>
    </row>
    <row r="2389" spans="2:2">
      <c r="B2389" s="25"/>
    </row>
    <row r="2459" spans="2:2">
      <c r="B2459" s="25"/>
    </row>
    <row r="2529" spans="2:2">
      <c r="B2529" s="25"/>
    </row>
    <row r="2599" spans="2:2">
      <c r="B2599" s="25"/>
    </row>
    <row r="2667" spans="2:2">
      <c r="B2667" s="25"/>
    </row>
    <row r="2739" spans="2:2">
      <c r="B2739" s="25"/>
    </row>
    <row r="2809" spans="2:2">
      <c r="B2809" s="25"/>
    </row>
    <row r="2881" spans="2:2">
      <c r="B2881" s="25"/>
    </row>
    <row r="2951" spans="2:2">
      <c r="B2951" s="25"/>
    </row>
    <row r="3023" spans="2:2">
      <c r="B3023" s="25"/>
    </row>
    <row r="3091" spans="2:2">
      <c r="B3091" s="25"/>
    </row>
    <row r="3159" spans="2:20">
      <c r="B3159" s="25"/>
    </row>
    <row r="3160" spans="2:20">
      <c r="N3160"/>
      <c r="O3160"/>
      <c r="P3160"/>
      <c r="Q3160"/>
      <c r="R3160"/>
      <c r="S3160"/>
      <c r="T3160"/>
    </row>
  </sheetData>
  <autoFilter xmlns:etc="http://www.wps.cn/officeDocument/2017/etCustomData" ref="A2:U3159" etc:filterBottomFollowUsedRange="0">
    <extLst/>
  </autoFilter>
  <conditionalFormatting sqref="C51">
    <cfRule type="duplicateValues" dxfId="0" priority="29"/>
  </conditionalFormatting>
  <conditionalFormatting sqref="C53">
    <cfRule type="duplicateValues" dxfId="0" priority="28"/>
  </conditionalFormatting>
  <conditionalFormatting sqref="C55">
    <cfRule type="duplicateValues" dxfId="0" priority="27"/>
  </conditionalFormatting>
  <conditionalFormatting sqref="C57">
    <cfRule type="duplicateValues" dxfId="0" priority="1"/>
  </conditionalFormatting>
  <conditionalFormatting sqref="C119">
    <cfRule type="duplicateValues" dxfId="0" priority="140"/>
  </conditionalFormatting>
  <conditionalFormatting sqref="Q128">
    <cfRule type="duplicateValues" dxfId="0" priority="7"/>
  </conditionalFormatting>
  <conditionalFormatting sqref="Q129">
    <cfRule type="duplicateValues" dxfId="1" priority="6"/>
  </conditionalFormatting>
  <conditionalFormatting sqref="P171">
    <cfRule type="duplicateValues" dxfId="0" priority="5"/>
  </conditionalFormatting>
  <conditionalFormatting sqref="C323">
    <cfRule type="duplicateValues" dxfId="0" priority="26"/>
  </conditionalFormatting>
  <conditionalFormatting sqref="C383">
    <cfRule type="duplicateValues" dxfId="0" priority="24"/>
  </conditionalFormatting>
  <conditionalFormatting sqref="C459">
    <cfRule type="duplicateValues" dxfId="0" priority="144"/>
  </conditionalFormatting>
  <conditionalFormatting sqref="C480">
    <cfRule type="duplicateValues" dxfId="0" priority="22"/>
  </conditionalFormatting>
  <conditionalFormatting sqref="C519">
    <cfRule type="duplicateValues" dxfId="0" priority="23"/>
  </conditionalFormatting>
  <conditionalFormatting sqref="C534">
    <cfRule type="duplicateValues" dxfId="0" priority="20"/>
  </conditionalFormatting>
  <conditionalFormatting sqref="C562">
    <cfRule type="duplicateValues" dxfId="0" priority="18"/>
  </conditionalFormatting>
  <conditionalFormatting sqref="C592">
    <cfRule type="duplicateValues" dxfId="0" priority="16"/>
  </conditionalFormatting>
  <conditionalFormatting sqref="C594">
    <cfRule type="duplicateValues" dxfId="0" priority="15"/>
  </conditionalFormatting>
  <conditionalFormatting sqref="C659">
    <cfRule type="duplicateValues" dxfId="0" priority="11"/>
  </conditionalFormatting>
  <conditionalFormatting sqref="C1063">
    <cfRule type="duplicateValues" dxfId="0" priority="112"/>
  </conditionalFormatting>
  <conditionalFormatting sqref="C1544">
    <cfRule type="duplicateValues" dxfId="0" priority="87"/>
  </conditionalFormatting>
  <conditionalFormatting sqref="C1762">
    <cfRule type="duplicateValues" dxfId="0" priority="8"/>
  </conditionalFormatting>
  <conditionalFormatting sqref="C281:C300">
    <cfRule type="duplicateValues" dxfId="0" priority="2"/>
  </conditionalFormatting>
  <conditionalFormatting sqref="C1335:C1336">
    <cfRule type="duplicateValues" dxfId="0" priority="95"/>
  </conditionalFormatting>
  <conditionalFormatting sqref="C1468:C1469">
    <cfRule type="duplicateValues" dxfId="0" priority="91"/>
  </conditionalFormatting>
  <conditionalFormatting sqref="C1822:C1823">
    <cfRule type="duplicateValues" dxfId="0" priority="74"/>
  </conditionalFormatting>
  <conditionalFormatting sqref="C2800:C2801">
    <cfRule type="duplicateValues" dxfId="0" priority="36"/>
  </conditionalFormatting>
  <conditionalFormatting sqref="C2942:C2943">
    <cfRule type="duplicateValues" dxfId="0" priority="32"/>
  </conditionalFormatting>
  <conditionalFormatting sqref="D281:D300">
    <cfRule type="duplicateValues" dxfId="0" priority="3"/>
  </conditionalFormatting>
  <conditionalFormatting sqref="D1358:D1420">
    <cfRule type="duplicateValues" dxfId="0" priority="4"/>
  </conditionalFormatting>
  <conditionalFormatting sqref="C1:D25 D26:D280 D301:D1357 D1421:D3145">
    <cfRule type="duplicateValues" dxfId="0" priority="143"/>
  </conditionalFormatting>
  <conditionalFormatting sqref="C108:C111 C113:C117 C120:C129 C134:C138 C141:C148">
    <cfRule type="duplicateValues" dxfId="0" priority="142"/>
  </conditionalFormatting>
  <conditionalFormatting sqref="C150:C280 C301:C321 C324:C362 C365:C366 C369:C370">
    <cfRule type="duplicateValues" dxfId="0" priority="141"/>
  </conditionalFormatting>
  <conditionalFormatting sqref="C363 C367">
    <cfRule type="duplicateValues" dxfId="0" priority="138"/>
  </conditionalFormatting>
  <conditionalFormatting sqref="C427:C432 C435:C436 C439:C440">
    <cfRule type="duplicateValues" dxfId="0" priority="137"/>
  </conditionalFormatting>
  <conditionalFormatting sqref="C433 C437">
    <cfRule type="duplicateValues" dxfId="0" priority="135"/>
  </conditionalFormatting>
  <conditionalFormatting sqref="C497:C502 C505:C506 C509:C510">
    <cfRule type="duplicateValues" dxfId="0" priority="134"/>
  </conditionalFormatting>
  <conditionalFormatting sqref="C503 C507">
    <cfRule type="duplicateValues" dxfId="0" priority="132"/>
  </conditionalFormatting>
  <conditionalFormatting sqref="C568:C573 C576:C577 C580:C581">
    <cfRule type="duplicateValues" dxfId="0" priority="131"/>
  </conditionalFormatting>
  <conditionalFormatting sqref="C574 C578">
    <cfRule type="duplicateValues" dxfId="0" priority="129"/>
  </conditionalFormatting>
  <conditionalFormatting sqref="C638:C643 C646:C647 C650:C651">
    <cfRule type="duplicateValues" dxfId="0" priority="128"/>
  </conditionalFormatting>
  <conditionalFormatting sqref="C644 C648">
    <cfRule type="duplicateValues" dxfId="0" priority="126"/>
  </conditionalFormatting>
  <conditionalFormatting sqref="C708:C713 C716:C717 C720:C721">
    <cfRule type="duplicateValues" dxfId="0" priority="125"/>
  </conditionalFormatting>
  <conditionalFormatting sqref="C714 C718">
    <cfRule type="duplicateValues" dxfId="0" priority="123"/>
  </conditionalFormatting>
  <conditionalFormatting sqref="C775:C780 C783:C784 C787:C788">
    <cfRule type="duplicateValues" dxfId="0" priority="122"/>
  </conditionalFormatting>
  <conditionalFormatting sqref="C781 C785">
    <cfRule type="duplicateValues" dxfId="0" priority="120"/>
  </conditionalFormatting>
  <conditionalFormatting sqref="C845:C850 C853:C854 C857:C858">
    <cfRule type="duplicateValues" dxfId="0" priority="119"/>
  </conditionalFormatting>
  <conditionalFormatting sqref="C851 C855">
    <cfRule type="duplicateValues" dxfId="0" priority="117"/>
  </conditionalFormatting>
  <conditionalFormatting sqref="C915:C918 C921:C922 C925:C926">
    <cfRule type="duplicateValues" dxfId="0" priority="110"/>
  </conditionalFormatting>
  <conditionalFormatting sqref="C919 C923">
    <cfRule type="duplicateValues" dxfId="0" priority="108"/>
  </conditionalFormatting>
  <conditionalFormatting sqref="C983:C988 C991:C992 C995:C996">
    <cfRule type="duplicateValues" dxfId="0" priority="116"/>
  </conditionalFormatting>
  <conditionalFormatting sqref="C989 C993">
    <cfRule type="duplicateValues" dxfId="0" priority="115"/>
  </conditionalFormatting>
  <conditionalFormatting sqref="C1053:C1058 C1061:C1062 C1065:C1066">
    <cfRule type="duplicateValues" dxfId="0" priority="113"/>
  </conditionalFormatting>
  <conditionalFormatting sqref="C1125:C1128 C1131:C1132 C1135:C1136">
    <cfRule type="duplicateValues" dxfId="0" priority="107"/>
  </conditionalFormatting>
  <conditionalFormatting sqref="C1129 C1133">
    <cfRule type="duplicateValues" dxfId="0" priority="106"/>
  </conditionalFormatting>
  <conditionalFormatting sqref="C1193:C1198 C1201:C1202 C1205:C1206">
    <cfRule type="duplicateValues" dxfId="0" priority="104"/>
  </conditionalFormatting>
  <conditionalFormatting sqref="C1199 C1203">
    <cfRule type="duplicateValues" dxfId="0" priority="103"/>
  </conditionalFormatting>
  <conditionalFormatting sqref="C1263:C1268 C1272 C1275:C1276">
    <cfRule type="duplicateValues" dxfId="0" priority="101"/>
  </conditionalFormatting>
  <conditionalFormatting sqref="C1269 C1273">
    <cfRule type="duplicateValues" dxfId="0" priority="100"/>
  </conditionalFormatting>
  <conditionalFormatting sqref="C1333:C1334 C1337:C1338 C1341:C1342 C1345:C1346">
    <cfRule type="duplicateValues" dxfId="0" priority="98"/>
  </conditionalFormatting>
  <conditionalFormatting sqref="C1339 C1343">
    <cfRule type="duplicateValues" dxfId="0" priority="97"/>
  </conditionalFormatting>
  <conditionalFormatting sqref="C1466:C1467 C1470:C1471 C1474:C1475 C1478:C1479">
    <cfRule type="duplicateValues" dxfId="0" priority="94"/>
  </conditionalFormatting>
  <conditionalFormatting sqref="C1472 C1476">
    <cfRule type="duplicateValues" dxfId="0" priority="93"/>
  </conditionalFormatting>
  <conditionalFormatting sqref="C1542:C1543 C1547 C1550:C1551 C1554:C1555">
    <cfRule type="duplicateValues" dxfId="0" priority="90"/>
  </conditionalFormatting>
  <conditionalFormatting sqref="C1548 C1552">
    <cfRule type="duplicateValues" dxfId="0" priority="89"/>
  </conditionalFormatting>
  <conditionalFormatting sqref="C1614:C1615 C1618:C1619 C1622:C1623">
    <cfRule type="duplicateValues" dxfId="0" priority="86"/>
  </conditionalFormatting>
  <conditionalFormatting sqref="C1616 C1620">
    <cfRule type="duplicateValues" dxfId="0" priority="85"/>
  </conditionalFormatting>
  <conditionalFormatting sqref="C1680:C1685 C1688:C1689 C1693">
    <cfRule type="duplicateValues" dxfId="0" priority="83"/>
  </conditionalFormatting>
  <conditionalFormatting sqref="C1686 C1690">
    <cfRule type="duplicateValues" dxfId="0" priority="82"/>
  </conditionalFormatting>
  <conditionalFormatting sqref="C1750:C1754 C1758:C1759 C1763">
    <cfRule type="duplicateValues" dxfId="0" priority="80"/>
  </conditionalFormatting>
  <conditionalFormatting sqref="C1756 C1760">
    <cfRule type="duplicateValues" dxfId="0" priority="79"/>
  </conditionalFormatting>
  <conditionalFormatting sqref="C1820:C1821 C1825 C1828:C1829 C1832">
    <cfRule type="duplicateValues" dxfId="0" priority="77"/>
  </conditionalFormatting>
  <conditionalFormatting sqref="C1826 C1830">
    <cfRule type="duplicateValues" dxfId="0" priority="76"/>
  </conditionalFormatting>
  <conditionalFormatting sqref="C1890:C1893 C1896:C1897 C1900:C1901">
    <cfRule type="duplicateValues" dxfId="0" priority="73"/>
  </conditionalFormatting>
  <conditionalFormatting sqref="C1894 C1898">
    <cfRule type="duplicateValues" dxfId="0" priority="72"/>
  </conditionalFormatting>
  <conditionalFormatting sqref="C1958:C1963 C1966:C1967 C1970:C1971">
    <cfRule type="duplicateValues" dxfId="0" priority="69"/>
  </conditionalFormatting>
  <conditionalFormatting sqref="C1964 C1968">
    <cfRule type="duplicateValues" dxfId="0" priority="68"/>
  </conditionalFormatting>
  <conditionalFormatting sqref="C2028:C2033 C2036:C2037 C2040:C2041">
    <cfRule type="duplicateValues" dxfId="0" priority="66"/>
  </conditionalFormatting>
  <conditionalFormatting sqref="C2034 C2038">
    <cfRule type="duplicateValues" dxfId="0" priority="65"/>
  </conditionalFormatting>
  <conditionalFormatting sqref="C2098:C2101 C2104:C2105 C2108:C2109">
    <cfRule type="duplicateValues" dxfId="0" priority="63"/>
  </conditionalFormatting>
  <conditionalFormatting sqref="C2102 C2106">
    <cfRule type="duplicateValues" dxfId="0" priority="62"/>
  </conditionalFormatting>
  <conditionalFormatting sqref="C2166:C2171 C2174:C2175 C2178:C2179">
    <cfRule type="duplicateValues" dxfId="0" priority="60"/>
  </conditionalFormatting>
  <conditionalFormatting sqref="C2172 C2176">
    <cfRule type="duplicateValues" dxfId="0" priority="59"/>
  </conditionalFormatting>
  <conditionalFormatting sqref="C2236:C2241 C2244:C2245 C2248:C2249">
    <cfRule type="duplicateValues" dxfId="0" priority="57"/>
  </conditionalFormatting>
  <conditionalFormatting sqref="C2242 C2246">
    <cfRule type="duplicateValues" dxfId="0" priority="56"/>
  </conditionalFormatting>
  <conditionalFormatting sqref="C2306:C2311 C2314:C2315 C2318:C2319">
    <cfRule type="duplicateValues" dxfId="0" priority="54"/>
  </conditionalFormatting>
  <conditionalFormatting sqref="C2312 C2316">
    <cfRule type="duplicateValues" dxfId="0" priority="53"/>
  </conditionalFormatting>
  <conditionalFormatting sqref="C2376:C2381 C2384:C2385 C2388:C2389">
    <cfRule type="duplicateValues" dxfId="0" priority="51"/>
  </conditionalFormatting>
  <conditionalFormatting sqref="C2382 C2386">
    <cfRule type="duplicateValues" dxfId="0" priority="50"/>
  </conditionalFormatting>
  <conditionalFormatting sqref="C2446:C2451 C2454:C2455 C2458:C2459">
    <cfRule type="duplicateValues" dxfId="0" priority="48"/>
  </conditionalFormatting>
  <conditionalFormatting sqref="C2452 C2456">
    <cfRule type="duplicateValues" dxfId="0" priority="47"/>
  </conditionalFormatting>
  <conditionalFormatting sqref="C2516:C2521 C2524:C2525 C2528:C2529">
    <cfRule type="duplicateValues" dxfId="0" priority="45"/>
  </conditionalFormatting>
  <conditionalFormatting sqref="C2522 C2526">
    <cfRule type="duplicateValues" dxfId="0" priority="44"/>
  </conditionalFormatting>
  <conditionalFormatting sqref="C2586:C2589 C2592:C2593 C2596:C2597">
    <cfRule type="duplicateValues" dxfId="0" priority="42"/>
  </conditionalFormatting>
  <conditionalFormatting sqref="C2590 C2594">
    <cfRule type="duplicateValues" dxfId="0" priority="41"/>
  </conditionalFormatting>
  <conditionalFormatting sqref="C2796:C2799 C2802:C2803 C2806:C2807 C2810:C2811">
    <cfRule type="duplicateValues" dxfId="0" priority="39"/>
  </conditionalFormatting>
  <conditionalFormatting sqref="C2804 C2808">
    <cfRule type="duplicateValues" dxfId="0" priority="38"/>
  </conditionalFormatting>
  <conditionalFormatting sqref="C2938:C2941 C2944:C2945 C2948:C2949 C2952:C2953">
    <cfRule type="duplicateValues" dxfId="0" priority="35"/>
  </conditionalFormatting>
  <conditionalFormatting sqref="C2946 C2950">
    <cfRule type="duplicateValues" dxfId="0" priority="34"/>
  </conditionalFormatting>
  <pageMargins left="0.75" right="0.75" top="1" bottom="1" header="0.5" footer="0.5"/>
  <pageSetup paperSize="9" orientation="portrait"/>
  <headerFooter/>
  <ignoredErrors>
    <ignoredError sqref="Q217:U252 Q48:U55" formula="1"/>
    <ignoredError sqref="Q301:U301 F1562:F1565 F1562:F1565 F1533:F1544 F1533:F1544 F1508:F1512 F1508:F1512 F1483:F1496 F1483:F1496 F1425:F1462 F1425:F1462 D1481 D1481 F1515:F1531 F1515:F1531 D1545:D1546 D1545:D1546 Q1545:U1547 Q1545:U1547 D1463:D1464 D1463:D1464 D1567 D1567 C1562:D1566 C1562:D1566 Q1425:U1473 Q1425:U1473 Q1481:U1497 Q1481:U1497 F1548:F1559 F1548:F1559 A1506:A1561 A1506:A1561 F1474:F1480 F1474:F1480 F1421:F1422 F1421:F1422 C1421:D1422 C1421:D1422 C1547:D1559 C1547:D1559 C1482:D1496 C1482:D1496 C1424:D1462 C1424:D1462 A1566:A1567 A1566:A1567 C1506:D1512 C1506:D1512 C1514:D1544 C1514:D1544 C1465:D1480 C1465:D1480 A1463:A1472 A1463:A1472 R1550:U1559 R1550:U1559 R1562:U1565 R1562:U1565 Q1566:U1567 Q1566:U1567 R1568:U1584 R1568:U1584 S1548:T1549 S1548:T1549 Q1474:T1475 Q1474:T1475 S1507:T1508 S1507:T1508 S1509:U1512 S1509:U1512 Q1560:U1561 Q1560:U1561 D1560 D1560 Q1421:T1422 Q1421:T1422 D1423 D1423 A1423:A1424 A1423:A1424 D1497 D1497 A1497 A1497 C1498 C1498 F1568:F1584 F1568:F1584 S1533:U1544 S1533:U1544 S1515:U1522 S1515:U1522 Q1506:U1506 Q1506:U1506 D1513 D1513 Q1513:U1514 Q1513:U1514 F1465:F1472 F1465:F1472 Q360:U360 Q360:U360 Q750:U750 Q750:U750 Q899:U900 Q899:U900 F564:F588 F564:F588 F590 F590 C518:D518 C518:D518 Q462:U462 Q462:U462 C517 C517 D519 D519 F901:F930 F901:F930 F1002:F1012 F1002:F1012 D533 D533 F535:F537 F535:F537 D562 D562 D592 D592 D750 D750 F834:F838 F834:F838 D899 D899 A518:A519 A518:A519 F455:F458 F455:F458 C481:D516 C481:D516 D459 D459 G462 G462 F460:F461 F460:F461 D480 D480 F482:F516 F482:F516 F430:F453 F430:F453 H430:H432 H430:H432 A521 A521 C385:H385 C385:H385 Q839:U839 Q839:U839 C337:H337 C337:H337 Q253:U254 C777:D802 C777:D802 A429:A516 A429:A516 A370:H384 A370:H384 C563:D591 C563:D591 F932:F940 F932:F940 F943:F999 F943:F999 C521:D532 C521:D532 F521:F532 F521:F532 C430:D458 C430:D458 C900:D930 C900:D930 A932:A941 A932:A941 C943:D1000 C943:D1000 Q535:U538 Q535:U538 C719:D749 C719:D749 C833:D859 C833:D859 C538:D561 C538:D561 C663:D670 C663:D670 C894:D898 C894:D898 A337:A338 A337:A338 A339:H361 A339:H361 F539:F561 F539:F561 F664:F670 F664:F670 F778:F801 F778:F801 F720:F737 F720:F737 F895:F898 F895:F898 C404:H429 C404:H429 C394:H399 C394:H399 C460:D479 C460:D479 F463:F479 F463:F479 S932:T933 S932:T933 R934:U940 R934:U940 R943:T943 R943:T943 R944:U999 R944:U999 R1002:U1012 R1002:U1012 S213:U215 A593:A663 A593:A663 A671:A719 A671:A719 A738:A749 A738:A749 A751:A777 A751:A777 A802:A833 A802:A833 A839:A861 A839:A861 A899:A930 A899:A930 R521:T524 R521:T524 Q525:U532 Q525:U532 S539:T541 S539:T541 R542:U561 R542:U561 R564:U590 R564:U590 S660:U662 S660:U662 T664:T666 T664:T666 S667:U670 S667:U670 S673:U718 S673:U718 T725:U737 T725:U737 Q738:U738 Q738:U738 T739:U749 T739:U749 T751:U776 T751:U776 T778:T779 T778:T779 S780:U801 S780:U801 Q802:U803 Q802:U803 S804:U831 S804:U831 S834:U838 S834:U838 S862:U880 S862:U880 S883:U893 S883:U893 T895:T896 T895:T896 S897:U898 S897:U898 S901:U930 S901:U930 A323:H336 A323:H336 U482:U517 U482:U517 D803 D803 T596:T598 T596:T598 S599:U657 S599:U657 T840:T841 T840:T841 S842:U859 S842:U859 Q931:U931 Q931:U931 Q941:U942 Q941:U942 D941 D941 Q1000:U1001 Q1000:U1001 D1001 D1001 G322:H322 G322:H322 A322:E322 A322:E322 A538 A538 Q593:U593 Q593:U593 C593:D593 C593:D593 G593 G593 D658:D659 D658:D659 D594 D594 F660:F662 F660:F662 C595:D657 C595:D657 F596:F657 F596:F657 Q663:U663 Q663:U663 G663 G663 Q671:U672 Q671:U672 D671 D671 F673:F715 F673:F715 Q719:U719 Q719:U719 F739:F743 F739:F743 F751:F774 F751:F774 Q777:U777 Q777:U777 C804:D831 C804:D831 F804:F831 F804:F831 Q832:U833 Q832:U833 D832 D832 F840:F859 F840:F859 D860:D861 D860:D861 Q860:U861 Q860:U861 Q894:U894 Q894:U894 Q429:U429 Q429:U429 Q881:U882 Q881:U882 D881 D881 D338:H338 D338:H338 U473:U479 U473:U479 C862:D880 C862:D880 F862:F880 F862:F880 F883:F893 F883:F893 D400:H400 D400:H400 A301:H301 A301:H301 Q1059:U1060 Q1059:U1060 F1061:F1067 F1061:F1067 D1059 D1059 F1206:F1236 F1206:F1236 F1179:F1182 F1179:F1182 D1300 D1300 C1299:D1299 C1299:D1299 D1298 D1298 C1297:D1297 C1297:D1297 D1296 D1296 C1295:D1295 C1295:D1295 D1294 D1294 D1271 D1271 D1249 D1249 D1204 D1204 C1196:D1203 C1196:D1203 D1184 D1184 F1156:F1159 F1156:F1159 C1143:D1153 C1143:D1153 C1114:D1123 C1114:D1123 F1114:F1124 F1114:F1124 C1103:D1103 C1103:D1103 F1103 F1103 A1087 A1087 F1087 F1087 C1087:D1087 C1087:D1087 C1088 C1088 C1085 C1085 Q1185:U1185 Q1185:U1185 Q1204:U1205 Q1204:U1205 Q1248:U1250 Q1248:U1250 Q1270:U1271 Q1270:U1271 Q1293:U1301 Q1293:U1301 F1170 F1170 C1205:D1205 C1205:D1205 C1060:D1060 C1060:D1060 C1237:D1237 C1237:D1237 D1090 D1090 F1092:F1100 F1092:F1100 T1304:U1308 T1304:U1308 Q1308 Q1308 A1169:A1187 A1169:A1187 F1069:F1084 F1069:F1084 F1302:F1307 F1302:F1307 F1309:F1314 F1309:F1314 F1251:F1269 F1251:F1269 F1186:F1203 F1186:F1203 C1309:D1314 C1309:D1314 C1301:D1307 C1301:D1307 C1250:D1270 C1250:D1270 C1239:D1248 C1239:D1248 C1185:D1187 C1185:D1187 C1156:D1160 C1156:D1160 F1136:F1153 F1136:F1153 Q1090:U1091 Q1090:U1091 C1091:D1100 C1091:D1100 A1091:A1161 A1091:A1161 Q1138:U1169 Q1138:U1169 C1169:D1170 C1169:D1170 A1059:A1084 A1059:A1084 C1272:D1293 C1272:D1293 A1239:A1247 A1239:A1247 A1237 A1237 Q1237:U1238 Q1237:U1238 F1022:F1040 F1022:F1040 Q1041:U1042 Q1041:U1042 U1061:U1067 U1061:U1067 S1069:T1070 S1069:T1070 D1042 D1042 C1041:D1041 C1041:D1041 R1103:U1134 R1103:U1134 R1136:T1137 R1136:T1137 D1161 D1161 S1186:T1187 S1186:T1187 R1188:U1203 R1188:U1203 R1206:U1236 R1206:U1236 R1239:U1247 R1239:U1247 S1251:T1252 S1251:T1252 R1253:U1269 R1253:U1269 R1272:U1292 R1272:U1292 T1302:T1303 T1302:T1303 T1309:T1310 T1309:T1310 T1025:U1040 T1025:U1040 R1092:U1100 R1092:U1100 F1162:F1168 F1162:F1168 Q1101:U1102 Q1101:U1102 D1102 D1102 Q1135:U1135 Q1135:U1135 C1135:D1135 C1135:D1135 D1154 D1154 C1043:D1044 C1043:D1044 F1043:F1044 F1043:F1044 Q1068:U1068 Q1068:U1068 C1068:D1068 C1068:D1068 R1071:U1084 R1071:U1084 R1087:U1088 R1087:U1088 A1272:A1292 A1272:A1292 F1272:F1292 F1272:F1292 F1239:F1247 F1239:F1247 A1308 A1308 D1308 D1308 D1238 D1238 F1046:F1058 F1046:F1058 C1046:D1058 C1046:D1058 Q1170:T1170 Q1170:T1170 Q1833:U1834 Q1833:U1834 D1833 D1833 C1834:D1834 C1834:D1834 Q1853:U1855 Q1853:U1855 D1854 D1854 T1856:T1858 T1856:T1858 D1864 D1864 F1857:F1862 F1857:F1862 S1859:U1862 S1859:U1862 Q1863:U1865 Q1863:U1865 F1835:F1845 F1835:F1845 T1835:U1845 T1835:U1845 D1847 D1847 A1846:A1847 A1846:A1847 C1846:D1846 C1846:D1846 Q1846:U1847 Q1846:U1847 T1848:U1852 T1848:U1852 F1848:F1852 F1848:F1852 C1848:D1853 C1848:D1853 Q1585:U1587 Q1585:U1587 D1586 D1586 C1587:D1587 C1587:D1587 C1568:D1585 C1568:D1585 Q1597:U1597 Q1597:U1597 C1597:D1611 C1597:D1611 F1588:F1593 F1588:F1593 T1588:T1589 T1588:T1589 S1590:U1593 S1590:U1593 A1594:A1595 A1594:A1595 D1595 D1595 C1594:D1594 C1594:D1594 S1596:U1596 S1596:U1596 F1596 F1596 Q1715:U1717 Q1715:U1717 D1716 D1716 D1612:D1613 D1612:D1613 Q1612:U1613 Q1612:U1613 A1598:A1613 A1598:A1613 F1726:F1753 F1726:F1753 S1726:U1753 S1726:U1753 D1755 D1755 A1754:A1755 A1754:A1755 Q1754:U1755 Q1754:U1755 C1717:D1723 C1717:D1723 T1718:T1719 T1718:T1719 F1718:F1723 F1718:F1723 S1720:U1723 S1720:U1723 A1724:A1725 A1724:A1725 D1724 D1724 Q1761:U1763 Q1761:U1763 D1762 D1762 C1756:D1761 C1756:D1761 D1789:D1790 D1789:D1790 C1763:D1788 C1763:D1788 T1764:T1765 T1764:T1765 Q1789:U1790 Q1789:U1790 F1764:F1788 F1764:F1788 S1766:U1788 S1766:U1788 Q1794:U1796 Q1794:U1796 D1795 D1795 C1791:D1794 C1791:D1794 T1797:T1798 T1797:T1798 Q1823:U1825 Q1823:U1825 D1824 D1824 F1829:F1832 F1829:F1832 C1825:D1832 C1825:D1832 T1829:U1832 T1829:U1832 F1808:F1822 F1808:F1822 D1806 D1806 S1799:U1822 S1799:U1822 S1791:U1793 S1791:U1793 F1791:F1793 F1791:F1793 S1756:U1760 S1756:U1760 F1756:F1760 F1756:F1760 C1704:D1715 C1704:D1715 F1708:F1714 F1708:F1714 F1705 F1705 F1669:F1683 F1669:F1683 C1632:D1666 C1632:D1666 F1632:F1656 F1632:F1656 T1632:U1656 T1632:U1656 D1630 D1630 Q1630:U1631 Q1630:U1631 A1657 A1657 Q1657:U1657 Q1657:U1657 T1669:U1683 T1669:U1683 F1693:F1702 F1693:F1702 D1703 D1703 C1693:D1702 C1693:D1702 D1692 D1692 F1685:F1690 F1685:F1690 Q1684:U1684 Q1684:U1684 A1684 A1684 T1685:T1686 T1685:T1686 R1687:U1714 R1687:U1714 D1667 D1667 Q1667:U1668 Q1667:U1668 T1661:U1666 T1661:U1666 F1658:F1666 F1658:F1666 T1614:U1629 T1614:U1629 C1614:D1629 C1614:D1629 F1614:F1629 F1614:F1629 T1601:U1611 T1601:U1611 F1598:F1611 F1598:F1611 F1872:F1874 F1872:F1874 S1872:U1874 S1872:U1874 Q1875:U1875 Q1875:U1875 A1875 A1875 C1875:D1875 C1875:D1875 J1876:U3145 J1876:U3145 B1892:B3159 B1892:B3159 D1870 D1870 C1871:D1871 C1871:D1871 Q1870:U1871 Q1870:U1871 C1865:D1865 C1865:D1865 F1866:F1869 F1866:F1869 T1866:T1869 T1866:T1869 D1315 D1315 Q1315:Q1316 Q1315:Q1316 Q1331:Q1332 Q1331:Q1332 D1331 D1331 C1332:D1354 C1332:D1354 C1329:C1330 C1329:C1330 C1321:D1328 C1321:D1328 F1320:F1330 F1320:F1330 Q1319 Q1319 C1317:D1319 C1317:D1319 F1317:F1318 F1317:F1318 A1317:A1319 A1317:A1319 S1315:U1319 S1315:U1319 A1355:A1356 A1355:A1356 C1002:D1013 C1002:D1013 Q1013:U1013 Q1013:U1013 D1014 D1014 C1015:D1015 C1015:D1015 D1016 D1016 C1017:D1017 C1017:D1017 D1018 D1018 C1019:D1019 C1019:D1019 D1020 D1020 C1021:D1021 C1021:D1021 A1002:A1012 A1002:A1012 B253:H253 B253:H253 B254:C254 B254:C254 H254 H254 S59:T60 S59:T60 F1333:F1354 F1333:F1354 Q1355:U1355 Q1355:U1355 S61:U85 S61:U85 C1855:D1863 C1855:D1863 Q1594:U1595 Q1594:U1595 C1726:D1754 C1726:D1754 Q1724:U1725 Q1724:U1725 C1807:D1823 C1807:D1823 F1797:F1805 F1797:F1805 C1796:D1805 C1796:D1805 A1789:A1793 A1789:A1793 A1630:A1631 A1630:A1631 C1669:D1691 C1669:D1691 A1667:A1668 A1667:A1668 C1876:C3145 C1876:C3145 T1322:U1354 T1322:U1354 D1355:D1357 D1355:D1357 A59:H252 B56:C56 B55:H55 A22:H54 A22:H54 Q22:U30 Q22:U30 S34:U47 S34:U47 Q56:U56 Q48:U55 Q48:U56 A1:U1 E2:U2 E2:U2 A2:C2 A2:C2 T4 T4 S13:U17 S13:U17 T5:U12" formula="1" formulaRange="1"/>
    <ignoredError sqref="I217:P252 A58:U58 H57:U57 A57:F57 A301:P301 A302:U3160 A253:P254 A255:U300 I59:U212 I213:R215 I216:U216 A55:A56 D56:U56 Q48:U55 I55:U55 A2:U4 A5:S1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workbookViewId="0">
      <selection activeCell="Q46" sqref="Q46"/>
    </sheetView>
  </sheetViews>
  <sheetFormatPr defaultColWidth="8.725" defaultRowHeight="13.5"/>
  <cols>
    <col min="1" max="1" width="12.9083333333333" customWidth="1"/>
    <col min="13" max="16" width="13.125" customWidth="1"/>
    <col min="17" max="17" width="19.7583333333333" customWidth="1"/>
    <col min="18" max="21" width="13.125" customWidth="1"/>
  </cols>
  <sheetData>
    <row r="1" spans="1:20">
      <c r="A1" t="s">
        <v>1</v>
      </c>
      <c r="B1" t="s">
        <v>147</v>
      </c>
      <c r="C1" t="s">
        <v>142</v>
      </c>
      <c r="D1" t="s">
        <v>147</v>
      </c>
      <c r="E1" t="s">
        <v>144</v>
      </c>
      <c r="F1" t="s">
        <v>1991</v>
      </c>
      <c r="G1" t="s">
        <v>147</v>
      </c>
    </row>
    <row r="2" ht="14.25" spans="1:20">
      <c r="A2" s="2" t="s">
        <v>19</v>
      </c>
      <c r="B2" s="2">
        <v>1</v>
      </c>
      <c r="C2" s="2" t="s">
        <v>1992</v>
      </c>
      <c r="D2" s="2">
        <v>1</v>
      </c>
      <c r="E2" t="s">
        <v>174</v>
      </c>
      <c r="F2" t="s">
        <v>1993</v>
      </c>
      <c r="G2">
        <v>1</v>
      </c>
      <c r="I2" t="str">
        <f>F4&amp;"-"&amp;E3</f>
        <v>P-传送</v>
      </c>
    </row>
    <row r="3" ht="14.25" spans="1:20">
      <c r="A3" s="2" t="s">
        <v>22</v>
      </c>
      <c r="B3" s="2">
        <v>2</v>
      </c>
      <c r="C3" s="2" t="s">
        <v>1994</v>
      </c>
      <c r="D3" s="2">
        <v>2</v>
      </c>
      <c r="E3" t="s">
        <v>190</v>
      </c>
      <c r="F3" t="s">
        <v>1995</v>
      </c>
      <c r="G3">
        <v>2</v>
      </c>
      <c r="I3" t="str">
        <f>F3&amp;"-"&amp;E4</f>
        <v>T-NPC</v>
      </c>
    </row>
    <row r="4" ht="14.25" spans="1:20">
      <c r="A4" s="2" t="s">
        <v>25</v>
      </c>
      <c r="B4" s="2">
        <v>3</v>
      </c>
      <c r="C4" s="2" t="s">
        <v>1996</v>
      </c>
      <c r="D4" s="2">
        <v>3</v>
      </c>
      <c r="E4" t="s">
        <v>193</v>
      </c>
      <c r="F4" t="s">
        <v>1997</v>
      </c>
      <c r="G4">
        <v>3</v>
      </c>
      <c r="I4" t="str">
        <f>F2&amp;"-"&amp;E2</f>
        <v>N-怪物</v>
      </c>
      <c r="O4" s="3"/>
      <c r="P4" s="3"/>
      <c r="Q4" s="3"/>
      <c r="R4" s="3"/>
      <c r="S4" s="3"/>
      <c r="T4" s="3"/>
    </row>
    <row r="5" ht="14.25" spans="1:20">
      <c r="A5" s="2" t="s">
        <v>28</v>
      </c>
      <c r="B5" s="2">
        <v>4</v>
      </c>
      <c r="C5" s="2" t="s">
        <v>1998</v>
      </c>
      <c r="D5" s="2">
        <v>4</v>
      </c>
      <c r="E5" t="s">
        <v>1999</v>
      </c>
      <c r="F5" t="s">
        <v>2000</v>
      </c>
      <c r="G5">
        <v>4</v>
      </c>
      <c r="I5" t="str">
        <f>F5&amp;"-"&amp;E5</f>
        <v>M-音效</v>
      </c>
      <c r="O5" s="3"/>
      <c r="P5" s="3"/>
      <c r="Q5" s="3"/>
      <c r="R5" s="3"/>
      <c r="S5" s="3"/>
      <c r="T5" s="3"/>
    </row>
    <row r="6" ht="14.25" spans="1:20">
      <c r="A6" s="2" t="s">
        <v>31</v>
      </c>
      <c r="B6" s="2">
        <v>5</v>
      </c>
      <c r="C6" s="2" t="s">
        <v>2001</v>
      </c>
      <c r="D6" s="2">
        <v>5</v>
      </c>
      <c r="E6" t="s">
        <v>222</v>
      </c>
      <c r="F6" t="s">
        <v>2002</v>
      </c>
      <c r="G6">
        <v>5</v>
      </c>
      <c r="I6" t="str">
        <f>F6&amp;"-"&amp;E6</f>
        <v>J-镜头</v>
      </c>
      <c r="O6" s="3"/>
      <c r="P6" s="3"/>
      <c r="Q6" s="3"/>
      <c r="R6" s="3"/>
      <c r="S6" s="3"/>
      <c r="T6" s="3"/>
    </row>
    <row r="7" ht="14.25" spans="1:20">
      <c r="A7" s="2" t="s">
        <v>34</v>
      </c>
      <c r="B7" s="2">
        <v>6</v>
      </c>
      <c r="C7" s="2" t="s">
        <v>2003</v>
      </c>
      <c r="D7" s="2">
        <v>6</v>
      </c>
      <c r="O7" s="3"/>
      <c r="P7" s="3"/>
      <c r="Q7" s="3"/>
      <c r="R7" s="3"/>
      <c r="S7" s="3"/>
      <c r="T7" s="3"/>
    </row>
    <row r="8" ht="14.25" spans="1:20">
      <c r="A8" s="2" t="s">
        <v>37</v>
      </c>
      <c r="B8" s="2">
        <v>7</v>
      </c>
      <c r="C8" s="2" t="s">
        <v>2004</v>
      </c>
      <c r="D8" s="2">
        <v>7</v>
      </c>
      <c r="O8" s="3"/>
      <c r="P8" s="3"/>
      <c r="Q8" s="3"/>
      <c r="R8" s="3"/>
      <c r="S8" s="3"/>
      <c r="T8" s="3"/>
    </row>
    <row r="9" ht="14.25" spans="1:20">
      <c r="A9" s="2" t="s">
        <v>40</v>
      </c>
      <c r="B9" s="2">
        <v>8</v>
      </c>
      <c r="C9" s="2" t="s">
        <v>2005</v>
      </c>
      <c r="D9" s="2">
        <v>8</v>
      </c>
      <c r="O9" s="3"/>
      <c r="P9" s="3"/>
      <c r="Q9" s="3"/>
      <c r="R9" s="3"/>
      <c r="S9" s="3"/>
      <c r="T9" s="3"/>
    </row>
    <row r="10" ht="14.25" spans="1:20">
      <c r="A10" s="2" t="s">
        <v>43</v>
      </c>
      <c r="B10" s="2">
        <v>9</v>
      </c>
      <c r="C10" s="2" t="s">
        <v>2006</v>
      </c>
      <c r="D10" s="2">
        <v>9</v>
      </c>
      <c r="O10" s="3"/>
      <c r="P10" s="3"/>
      <c r="Q10" s="3"/>
      <c r="R10" s="3"/>
      <c r="S10" s="3"/>
      <c r="T10" s="3"/>
    </row>
    <row r="11" ht="14.25" spans="1:20">
      <c r="A11" s="2" t="s">
        <v>46</v>
      </c>
      <c r="B11" s="2">
        <v>10</v>
      </c>
      <c r="C11" s="2" t="s">
        <v>2007</v>
      </c>
      <c r="D11" s="2">
        <v>10</v>
      </c>
    </row>
    <row r="12" ht="14.25" spans="1:20">
      <c r="A12" s="2" t="s">
        <v>49</v>
      </c>
      <c r="B12" s="2">
        <v>11</v>
      </c>
      <c r="C12" s="2" t="s">
        <v>2008</v>
      </c>
      <c r="D12" s="2">
        <v>11</v>
      </c>
    </row>
    <row r="13" ht="14.25" spans="1:20">
      <c r="A13" s="2" t="s">
        <v>52</v>
      </c>
      <c r="B13" s="2">
        <v>12</v>
      </c>
      <c r="C13" s="2" t="s">
        <v>2009</v>
      </c>
      <c r="D13" s="2">
        <v>12</v>
      </c>
    </row>
    <row r="14" ht="14.25" spans="1:20">
      <c r="A14" s="2" t="s">
        <v>55</v>
      </c>
      <c r="B14" s="2">
        <v>13</v>
      </c>
      <c r="C14" s="2" t="s">
        <v>2010</v>
      </c>
      <c r="D14" s="2">
        <v>13</v>
      </c>
    </row>
    <row r="15" ht="14.25" spans="1:20">
      <c r="A15" s="2" t="s">
        <v>58</v>
      </c>
      <c r="B15" s="2">
        <v>14</v>
      </c>
      <c r="C15" s="2" t="s">
        <v>2011</v>
      </c>
      <c r="D15" s="2">
        <v>14</v>
      </c>
    </row>
    <row r="16" ht="14.25" spans="1:20">
      <c r="A16" s="2" t="s">
        <v>61</v>
      </c>
      <c r="B16" s="2">
        <v>15</v>
      </c>
      <c r="C16" s="2" t="s">
        <v>2012</v>
      </c>
      <c r="D16" s="2">
        <v>15</v>
      </c>
    </row>
    <row r="17" ht="14.25" spans="1:21">
      <c r="A17" s="2" t="s">
        <v>64</v>
      </c>
      <c r="B17" s="2">
        <v>16</v>
      </c>
      <c r="C17" s="2" t="s">
        <v>2013</v>
      </c>
      <c r="D17" s="2">
        <v>16</v>
      </c>
    </row>
    <row r="18" ht="14.25" spans="1:21">
      <c r="A18" s="2" t="s">
        <v>67</v>
      </c>
      <c r="B18" s="2">
        <v>17</v>
      </c>
      <c r="C18" s="2" t="s">
        <v>2014</v>
      </c>
      <c r="D18" s="2">
        <v>17</v>
      </c>
    </row>
    <row r="19" ht="14.25" spans="1:21">
      <c r="A19" s="2" t="s">
        <v>70</v>
      </c>
      <c r="B19" s="2">
        <v>18</v>
      </c>
      <c r="C19" s="2" t="s">
        <v>2015</v>
      </c>
      <c r="D19" s="2">
        <v>18</v>
      </c>
    </row>
    <row r="20" ht="14.25" spans="1:21">
      <c r="A20" s="2" t="s">
        <v>73</v>
      </c>
      <c r="B20" s="2">
        <v>19</v>
      </c>
      <c r="C20" s="2" t="s">
        <v>2016</v>
      </c>
      <c r="D20" s="2">
        <v>19</v>
      </c>
    </row>
    <row r="21" ht="14.25" spans="1:21">
      <c r="A21" s="2" t="s">
        <v>76</v>
      </c>
      <c r="B21" s="2">
        <v>20</v>
      </c>
      <c r="C21" s="2" t="s">
        <v>2017</v>
      </c>
      <c r="D21" s="2">
        <v>20</v>
      </c>
    </row>
    <row r="22" ht="14.25" spans="1:21">
      <c r="A22" s="2" t="s">
        <v>79</v>
      </c>
      <c r="B22" s="2">
        <v>21</v>
      </c>
      <c r="C22" s="2" t="s">
        <v>2018</v>
      </c>
      <c r="D22" s="2">
        <v>21</v>
      </c>
    </row>
    <row r="23" ht="14.25" spans="1:21">
      <c r="A23" s="2" t="s">
        <v>82</v>
      </c>
      <c r="B23" s="2">
        <v>22</v>
      </c>
      <c r="C23" s="2" t="s">
        <v>2019</v>
      </c>
      <c r="D23" s="2">
        <v>22</v>
      </c>
    </row>
    <row r="24" ht="14.25" spans="1:21">
      <c r="A24" s="2" t="s">
        <v>85</v>
      </c>
      <c r="B24" s="2">
        <v>23</v>
      </c>
      <c r="C24" s="2" t="s">
        <v>2020</v>
      </c>
      <c r="D24" s="2">
        <v>23</v>
      </c>
    </row>
    <row r="25" ht="14.25" spans="1:21">
      <c r="A25" s="2" t="s">
        <v>88</v>
      </c>
      <c r="B25" s="2">
        <v>24</v>
      </c>
      <c r="C25" s="2" t="s">
        <v>2021</v>
      </c>
      <c r="D25" s="2">
        <v>24</v>
      </c>
      <c r="N25" s="4"/>
      <c r="O25" s="4"/>
      <c r="P25" s="4"/>
      <c r="Q25" s="4"/>
      <c r="R25" s="4"/>
      <c r="S25" s="4"/>
      <c r="T25" s="4"/>
      <c r="U25" s="4"/>
    </row>
    <row r="26" ht="14.25" spans="1:21">
      <c r="A26" s="2" t="s">
        <v>91</v>
      </c>
      <c r="B26" s="2">
        <v>25</v>
      </c>
      <c r="C26" s="2" t="s">
        <v>2022</v>
      </c>
      <c r="D26" s="2">
        <v>25</v>
      </c>
      <c r="M26" s="5" t="s">
        <v>2023</v>
      </c>
      <c r="N26" s="5">
        <v>1</v>
      </c>
      <c r="O26" s="5">
        <v>2</v>
      </c>
      <c r="P26" s="5">
        <v>3</v>
      </c>
      <c r="Q26" s="5">
        <v>4</v>
      </c>
      <c r="R26" s="5">
        <v>5</v>
      </c>
      <c r="S26" s="5">
        <v>6</v>
      </c>
      <c r="T26" s="5">
        <v>7</v>
      </c>
      <c r="U26" s="5">
        <v>8</v>
      </c>
    </row>
    <row r="27" ht="14.25" spans="1:21">
      <c r="A27" s="2" t="s">
        <v>94</v>
      </c>
      <c r="B27" s="2">
        <v>26</v>
      </c>
      <c r="C27" s="2" t="s">
        <v>2024</v>
      </c>
      <c r="D27" s="2">
        <v>26</v>
      </c>
      <c r="M27" s="5"/>
      <c r="N27" s="5" t="s">
        <v>2025</v>
      </c>
      <c r="O27" s="5" t="s">
        <v>2026</v>
      </c>
      <c r="P27" s="5"/>
      <c r="Q27" s="5"/>
      <c r="R27" s="5" t="s">
        <v>2027</v>
      </c>
      <c r="S27" s="6" t="s">
        <v>2028</v>
      </c>
      <c r="T27" s="5" t="s">
        <v>2029</v>
      </c>
      <c r="U27" s="5"/>
    </row>
    <row r="28" ht="14.25" spans="1:21">
      <c r="A28" s="2" t="s">
        <v>97</v>
      </c>
      <c r="B28" s="2">
        <v>27</v>
      </c>
      <c r="C28" s="2" t="s">
        <v>2030</v>
      </c>
      <c r="D28" s="2">
        <v>27</v>
      </c>
      <c r="M28" s="5"/>
      <c r="N28" s="5"/>
      <c r="O28" s="5"/>
      <c r="P28" s="5"/>
      <c r="Q28" s="5"/>
      <c r="R28" s="5"/>
      <c r="S28" s="6"/>
      <c r="T28" s="5"/>
      <c r="U28" s="5"/>
    </row>
    <row r="29" ht="14.25" spans="1:21">
      <c r="A29" s="2" t="s">
        <v>100</v>
      </c>
      <c r="B29" s="2">
        <v>28</v>
      </c>
      <c r="C29" s="2" t="s">
        <v>2031</v>
      </c>
      <c r="D29" s="2">
        <v>28</v>
      </c>
      <c r="M29" s="5" t="s">
        <v>2032</v>
      </c>
      <c r="N29" s="5"/>
      <c r="O29" s="5"/>
      <c r="P29" s="5"/>
      <c r="Q29" s="5"/>
      <c r="R29" s="5"/>
      <c r="S29" s="5"/>
      <c r="T29" s="5"/>
      <c r="U29" s="5"/>
    </row>
    <row r="30" ht="14.25" spans="1:21">
      <c r="A30" s="2" t="s">
        <v>103</v>
      </c>
      <c r="B30" s="2">
        <v>29</v>
      </c>
      <c r="C30" s="2" t="s">
        <v>2033</v>
      </c>
      <c r="D30" s="2">
        <v>29</v>
      </c>
      <c r="M30" s="5"/>
      <c r="N30" s="5"/>
      <c r="O30" s="5"/>
      <c r="P30" s="5"/>
      <c r="Q30" s="5"/>
      <c r="R30" s="5"/>
      <c r="S30" s="5"/>
      <c r="T30" s="5"/>
      <c r="U30" s="5"/>
    </row>
    <row r="31" ht="14.25" spans="1:21">
      <c r="A31" s="2" t="s">
        <v>106</v>
      </c>
      <c r="B31" s="2">
        <v>30</v>
      </c>
      <c r="C31" s="2" t="s">
        <v>2034</v>
      </c>
      <c r="D31" s="2">
        <v>30</v>
      </c>
      <c r="M31" s="7" t="s">
        <v>2035</v>
      </c>
      <c r="N31" s="7"/>
      <c r="O31" s="7"/>
      <c r="P31" s="7"/>
      <c r="Q31" s="7"/>
      <c r="R31" s="7"/>
      <c r="S31" s="7"/>
      <c r="T31" s="7"/>
      <c r="U31" s="7"/>
    </row>
    <row r="32" ht="14.25" spans="1:21">
      <c r="A32" s="2" t="s">
        <v>109</v>
      </c>
      <c r="B32" s="2">
        <v>31</v>
      </c>
      <c r="C32" s="2" t="s">
        <v>2036</v>
      </c>
      <c r="D32" s="2">
        <v>31</v>
      </c>
      <c r="M32" s="7"/>
      <c r="N32" s="7"/>
      <c r="O32" s="7"/>
      <c r="P32" s="7"/>
      <c r="Q32" s="7"/>
      <c r="R32" s="7"/>
      <c r="S32" s="7"/>
      <c r="T32" s="7"/>
      <c r="U32" s="7"/>
    </row>
    <row r="33" ht="14.25" spans="1:21">
      <c r="A33" s="2" t="s">
        <v>112</v>
      </c>
      <c r="B33" s="2">
        <v>32</v>
      </c>
      <c r="C33" s="2" t="s">
        <v>2037</v>
      </c>
      <c r="D33" s="2">
        <v>32</v>
      </c>
    </row>
    <row r="34" ht="14.25" spans="1:21">
      <c r="A34" s="2" t="s">
        <v>115</v>
      </c>
      <c r="B34" s="2">
        <v>33</v>
      </c>
      <c r="C34" s="2" t="s">
        <v>2038</v>
      </c>
      <c r="D34" s="2">
        <v>33</v>
      </c>
      <c r="M34" s="5" t="s">
        <v>2039</v>
      </c>
      <c r="N34" s="8">
        <v>1</v>
      </c>
      <c r="O34" s="8">
        <v>2</v>
      </c>
      <c r="P34" s="8">
        <v>3</v>
      </c>
      <c r="Q34" s="8">
        <v>4</v>
      </c>
      <c r="R34" s="8">
        <v>5</v>
      </c>
    </row>
    <row r="35" ht="14.25" spans="1:21">
      <c r="A35" s="2" t="s">
        <v>118</v>
      </c>
      <c r="B35" s="2">
        <v>34</v>
      </c>
      <c r="C35" s="2" t="s">
        <v>2040</v>
      </c>
      <c r="D35" s="2">
        <v>34</v>
      </c>
      <c r="M35" s="8"/>
      <c r="N35" s="5" t="s">
        <v>2026</v>
      </c>
      <c r="O35" s="9" t="s">
        <v>2041</v>
      </c>
      <c r="P35" s="5" t="s">
        <v>2027</v>
      </c>
      <c r="Q35" s="5" t="s">
        <v>2042</v>
      </c>
      <c r="R35" s="5" t="s">
        <v>2029</v>
      </c>
    </row>
    <row r="36" ht="14.25" spans="1:21">
      <c r="A36" s="2" t="s">
        <v>121</v>
      </c>
      <c r="B36" s="2">
        <v>35</v>
      </c>
      <c r="C36" s="2" t="s">
        <v>2043</v>
      </c>
      <c r="D36" s="2">
        <v>35</v>
      </c>
      <c r="O36" t="s">
        <v>2044</v>
      </c>
      <c r="P36" s="5"/>
      <c r="Q36" s="5"/>
      <c r="R36" s="5"/>
    </row>
    <row r="37" ht="14.25" spans="1:21">
      <c r="A37" s="2" t="s">
        <v>124</v>
      </c>
      <c r="B37" s="2">
        <v>36</v>
      </c>
      <c r="C37" s="2" t="s">
        <v>2045</v>
      </c>
      <c r="D37" s="2">
        <v>36</v>
      </c>
      <c r="O37" t="s">
        <v>2046</v>
      </c>
    </row>
    <row r="38" ht="14.25" spans="1:21">
      <c r="A38" s="2" t="s">
        <v>127</v>
      </c>
      <c r="B38" s="2">
        <v>37</v>
      </c>
      <c r="C38" s="2" t="s">
        <v>2047</v>
      </c>
      <c r="D38" s="2">
        <v>37</v>
      </c>
      <c r="O38" t="s">
        <v>2048</v>
      </c>
    </row>
    <row r="39" ht="14.25" spans="1:21">
      <c r="A39" s="2" t="s">
        <v>130</v>
      </c>
      <c r="B39" s="2">
        <v>38</v>
      </c>
      <c r="C39" s="2" t="s">
        <v>2049</v>
      </c>
      <c r="D39" s="2">
        <v>38</v>
      </c>
      <c r="O39" t="s">
        <v>2050</v>
      </c>
    </row>
    <row r="40" ht="14.25" spans="1:21">
      <c r="A40" s="2" t="s">
        <v>133</v>
      </c>
      <c r="B40" s="2">
        <v>39</v>
      </c>
      <c r="C40" s="2" t="s">
        <v>2051</v>
      </c>
      <c r="D40" s="2">
        <v>39</v>
      </c>
      <c r="O40" t="s">
        <v>2052</v>
      </c>
    </row>
    <row r="41" ht="14.25" spans="1:21">
      <c r="A41" s="2" t="s">
        <v>136</v>
      </c>
      <c r="B41" s="2">
        <v>40</v>
      </c>
      <c r="C41" s="2" t="s">
        <v>2053</v>
      </c>
      <c r="D41" s="2">
        <v>40</v>
      </c>
      <c r="M41" s="5" t="s">
        <v>2054</v>
      </c>
      <c r="N41" s="5"/>
      <c r="O41" s="5"/>
      <c r="P41" s="5"/>
      <c r="Q41" s="5"/>
      <c r="R41" s="5"/>
      <c r="S41" s="5"/>
      <c r="T41" s="5"/>
      <c r="U41" s="5"/>
    </row>
    <row r="42" ht="14.25" spans="1:21">
      <c r="A42" s="2" t="s">
        <v>2055</v>
      </c>
      <c r="B42" s="2">
        <v>41</v>
      </c>
      <c r="C42" s="2" t="s">
        <v>2056</v>
      </c>
      <c r="D42" s="2">
        <v>41</v>
      </c>
      <c r="M42" s="5"/>
      <c r="N42" s="5"/>
      <c r="O42" s="5"/>
      <c r="P42" s="5"/>
      <c r="Q42" s="5"/>
      <c r="R42" s="5"/>
      <c r="S42" s="5"/>
      <c r="T42" s="5"/>
      <c r="U42" s="5"/>
    </row>
    <row r="43" ht="14.25" spans="1:21">
      <c r="A43" s="2"/>
      <c r="B43" s="2"/>
      <c r="C43" s="2"/>
      <c r="D43" s="2">
        <v>42</v>
      </c>
    </row>
    <row r="44" ht="14.25" spans="1:21">
      <c r="A44" s="2"/>
      <c r="B44" s="2"/>
      <c r="C44" s="2"/>
      <c r="D44" s="2">
        <v>43</v>
      </c>
    </row>
    <row r="45" ht="14.25" spans="1:21">
      <c r="D45" s="2">
        <v>44</v>
      </c>
    </row>
    <row r="46" ht="14.25" spans="1:21">
      <c r="D46" s="2">
        <v>45</v>
      </c>
    </row>
  </sheetData>
  <mergeCells count="12">
    <mergeCell ref="M27:M28"/>
    <mergeCell ref="N27:N28"/>
    <mergeCell ref="P35:P36"/>
    <mergeCell ref="Q35:Q36"/>
    <mergeCell ref="R27:R28"/>
    <mergeCell ref="R35:R36"/>
    <mergeCell ref="S27:S28"/>
    <mergeCell ref="O27:Q28"/>
    <mergeCell ref="M29:U30"/>
    <mergeCell ref="T27:U28"/>
    <mergeCell ref="M41:U42"/>
    <mergeCell ref="M31:U32"/>
  </mergeCells>
  <conditionalFormatting sqref="A2:D44 D45:D4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9" defaultRowHeight="13.5" outlineLevelCol="1"/>
  <cols>
    <col min="2" max="2" width="90.375" customWidth="1"/>
  </cols>
  <sheetData>
    <row r="1" spans="1:2">
      <c r="A1" t="s">
        <v>2057</v>
      </c>
      <c r="B1" t="s">
        <v>2058</v>
      </c>
    </row>
    <row r="2" spans="1:2">
      <c r="A2" t="s">
        <v>2059</v>
      </c>
      <c r="B2" t="s">
        <v>2060</v>
      </c>
    </row>
    <row r="3" spans="1:2">
      <c r="A3" t="s">
        <v>2061</v>
      </c>
      <c r="B3" t="s">
        <v>2062</v>
      </c>
    </row>
    <row r="4" spans="1:2">
      <c r="A4" t="s">
        <v>2063</v>
      </c>
    </row>
    <row r="5" spans="1:2">
      <c r="A5" t="s">
        <v>2064</v>
      </c>
    </row>
    <row r="6" spans="1:2">
      <c r="A6" t="s">
        <v>2065</v>
      </c>
      <c r="B6" t="s">
        <v>2066</v>
      </c>
    </row>
    <row r="7" spans="1:2">
      <c r="A7" t="s">
        <v>2067</v>
      </c>
      <c r="B7" t="s">
        <v>2068</v>
      </c>
    </row>
    <row r="8" spans="1:2">
      <c r="A8" t="s">
        <v>2069</v>
      </c>
      <c r="B8" t="s">
        <v>2070</v>
      </c>
    </row>
    <row r="9" spans="1:2">
      <c r="A9" t="s">
        <v>2071</v>
      </c>
      <c r="B9" t="s">
        <v>2072</v>
      </c>
    </row>
    <row r="10" spans="1:2">
      <c r="A10" t="s">
        <v>2073</v>
      </c>
      <c r="B10" t="s">
        <v>2074</v>
      </c>
    </row>
    <row r="11" spans="1:2">
      <c r="A11" t="s">
        <v>2075</v>
      </c>
      <c r="B11" t="s">
        <v>2076</v>
      </c>
    </row>
    <row r="12" spans="1:2">
      <c r="A12" t="s">
        <v>2077</v>
      </c>
      <c r="B12" t="s">
        <v>2078</v>
      </c>
    </row>
    <row r="13" spans="1:2">
      <c r="A13" t="s">
        <v>2079</v>
      </c>
      <c r="B13" t="s">
        <v>2080</v>
      </c>
    </row>
    <row r="14" ht="27" spans="1:2">
      <c r="A14" t="s">
        <v>2081</v>
      </c>
      <c r="B14" s="1" t="s">
        <v>2082</v>
      </c>
    </row>
    <row r="15" ht="54" spans="1:2">
      <c r="A15" t="s">
        <v>2083</v>
      </c>
      <c r="B15" s="1" t="s">
        <v>2084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ConfigScene</vt:lpstr>
      <vt:lpstr>ConfigRect</vt:lpstr>
      <vt:lpstr>编号表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火羽</cp:lastModifiedBy>
  <dcterms:created xsi:type="dcterms:W3CDTF">2025-12-18T11:49:00Z</dcterms:created>
  <dcterms:modified xsi:type="dcterms:W3CDTF">2026-04-29T07:49:03Z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BADAFDCB91E74D1DB231BCD7E2D4C591_13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