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FC7FB68D-6CA8-4DEE-9E8E-FF133BABAE2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gion_config" sheetId="10" r:id="rId1"/>
    <sheet name="ConfigScene" sheetId="1" r:id="rId2"/>
    <sheet name="编号表" sheetId="5" r:id="rId3"/>
    <sheet name="说明" sheetId="3" r:id="rId4"/>
  </sheets>
  <externalReferences>
    <externalReference r:id="rId5"/>
  </externalReferences>
  <definedNames>
    <definedName name="_xlnm._FilterDatabase" localSheetId="0" hidden="1">region_config!$B$1:$V$1885</definedName>
    <definedName name="说明">[1]名称表!$A$3:$A$26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5" i="5"/>
  <c r="I4" i="5"/>
  <c r="I3" i="5"/>
  <c r="I2" i="5"/>
  <c r="J1885" i="10"/>
  <c r="E1885" i="10"/>
  <c r="B1885" i="10"/>
  <c r="J1884" i="10"/>
  <c r="E1884" i="10"/>
  <c r="B1884" i="10"/>
  <c r="J1883" i="10"/>
  <c r="E1883" i="10"/>
  <c r="B1883" i="10"/>
  <c r="J1882" i="10"/>
  <c r="E1882" i="10"/>
  <c r="B1882" i="10"/>
  <c r="J1881" i="10"/>
  <c r="E1881" i="10"/>
  <c r="B1881" i="10"/>
  <c r="J1880" i="10"/>
  <c r="E1880" i="10"/>
  <c r="B1880" i="10"/>
  <c r="J1879" i="10"/>
  <c r="E1879" i="10"/>
  <c r="B1879" i="10"/>
  <c r="J1878" i="10"/>
  <c r="E1878" i="10"/>
  <c r="B1878" i="10"/>
  <c r="J1877" i="10"/>
  <c r="E1877" i="10"/>
  <c r="B1877" i="10"/>
  <c r="J1876" i="10"/>
  <c r="E1876" i="10"/>
  <c r="B1876" i="10"/>
  <c r="J1875" i="10"/>
  <c r="E1875" i="10"/>
  <c r="B1875" i="10"/>
  <c r="J1874" i="10"/>
  <c r="E1874" i="10"/>
  <c r="B1874" i="10"/>
  <c r="J1873" i="10"/>
  <c r="E1873" i="10"/>
  <c r="B1873" i="10"/>
  <c r="J1872" i="10"/>
  <c r="E1872" i="10"/>
  <c r="B1872" i="10"/>
  <c r="J1871" i="10"/>
  <c r="E1871" i="10"/>
  <c r="B1871" i="10"/>
  <c r="J1870" i="10"/>
  <c r="E1870" i="10"/>
  <c r="B1870" i="10"/>
  <c r="J1869" i="10"/>
  <c r="E1869" i="10"/>
  <c r="B1869" i="10"/>
  <c r="J1868" i="10"/>
  <c r="E1868" i="10"/>
  <c r="B1868" i="10"/>
  <c r="J1867" i="10"/>
  <c r="E1867" i="10"/>
  <c r="B1867" i="10"/>
  <c r="J1866" i="10"/>
  <c r="E1866" i="10"/>
  <c r="B1866" i="10"/>
  <c r="J1865" i="10"/>
  <c r="E1865" i="10"/>
  <c r="B1865" i="10"/>
  <c r="J1864" i="10"/>
  <c r="E1864" i="10"/>
  <c r="B1864" i="10"/>
  <c r="J1863" i="10"/>
  <c r="E1863" i="10"/>
  <c r="B1863" i="10"/>
  <c r="J1862" i="10"/>
  <c r="E1862" i="10"/>
  <c r="B1862" i="10"/>
  <c r="J1861" i="10"/>
  <c r="E1861" i="10"/>
  <c r="B1861" i="10"/>
  <c r="J1860" i="10"/>
  <c r="E1860" i="10"/>
  <c r="B1860" i="10"/>
  <c r="J1859" i="10"/>
  <c r="E1859" i="10"/>
  <c r="B1859" i="10"/>
  <c r="J1858" i="10"/>
  <c r="E1858" i="10"/>
  <c r="B1858" i="10"/>
  <c r="J1857" i="10"/>
  <c r="E1857" i="10"/>
  <c r="B1857" i="10"/>
  <c r="J1856" i="10"/>
  <c r="E1856" i="10"/>
  <c r="B1856" i="10"/>
  <c r="J1855" i="10"/>
  <c r="E1855" i="10"/>
  <c r="B1855" i="10"/>
  <c r="J1854" i="10"/>
  <c r="E1854" i="10"/>
  <c r="B1854" i="10"/>
  <c r="J1853" i="10"/>
  <c r="E1853" i="10"/>
  <c r="B1853" i="10"/>
  <c r="J1852" i="10"/>
  <c r="E1852" i="10"/>
  <c r="B1852" i="10"/>
  <c r="J1851" i="10"/>
  <c r="E1851" i="10"/>
  <c r="B1851" i="10"/>
  <c r="J1850" i="10"/>
  <c r="E1850" i="10"/>
  <c r="B1850" i="10"/>
  <c r="J1849" i="10"/>
  <c r="E1849" i="10"/>
  <c r="B1849" i="10"/>
  <c r="J1848" i="10"/>
  <c r="E1848" i="10"/>
  <c r="B1848" i="10"/>
  <c r="J1847" i="10"/>
  <c r="E1847" i="10"/>
  <c r="B1847" i="10"/>
  <c r="J1846" i="10"/>
  <c r="E1846" i="10"/>
  <c r="B1846" i="10"/>
  <c r="J1845" i="10"/>
  <c r="E1845" i="10"/>
  <c r="B1845" i="10"/>
  <c r="J1844" i="10"/>
  <c r="E1844" i="10"/>
  <c r="B1844" i="10"/>
  <c r="J1843" i="10"/>
  <c r="E1843" i="10"/>
  <c r="B1843" i="10"/>
  <c r="J1842" i="10"/>
  <c r="E1842" i="10"/>
  <c r="B1842" i="10"/>
  <c r="J1841" i="10"/>
  <c r="E1841" i="10"/>
  <c r="B1841" i="10"/>
  <c r="J1840" i="10"/>
  <c r="E1840" i="10"/>
  <c r="B1840" i="10"/>
  <c r="J1839" i="10"/>
  <c r="E1839" i="10"/>
  <c r="B1839" i="10"/>
  <c r="J1838" i="10"/>
  <c r="E1838" i="10"/>
  <c r="B1838" i="10"/>
  <c r="J1837" i="10"/>
  <c r="E1837" i="10"/>
  <c r="B1837" i="10"/>
  <c r="J1836" i="10"/>
  <c r="E1836" i="10"/>
  <c r="B1836" i="10"/>
  <c r="J1835" i="10"/>
  <c r="E1835" i="10"/>
  <c r="B1835" i="10"/>
  <c r="J1834" i="10"/>
  <c r="E1834" i="10"/>
  <c r="B1834" i="10"/>
  <c r="J1833" i="10"/>
  <c r="E1833" i="10"/>
  <c r="B1833" i="10"/>
  <c r="J1832" i="10"/>
  <c r="E1832" i="10"/>
  <c r="B1832" i="10"/>
  <c r="J1831" i="10"/>
  <c r="E1831" i="10"/>
  <c r="B1831" i="10"/>
  <c r="J1830" i="10"/>
  <c r="E1830" i="10"/>
  <c r="B1830" i="10"/>
  <c r="J1829" i="10"/>
  <c r="E1829" i="10"/>
  <c r="B1829" i="10"/>
  <c r="J1828" i="10"/>
  <c r="E1828" i="10"/>
  <c r="B1828" i="10"/>
  <c r="J1827" i="10"/>
  <c r="E1827" i="10"/>
  <c r="B1827" i="10"/>
  <c r="J1826" i="10"/>
  <c r="E1826" i="10"/>
  <c r="B1826" i="10"/>
  <c r="J1825" i="10"/>
  <c r="E1825" i="10"/>
  <c r="B1825" i="10"/>
  <c r="J1824" i="10"/>
  <c r="E1824" i="10"/>
  <c r="B1824" i="10"/>
  <c r="J1823" i="10"/>
  <c r="E1823" i="10"/>
  <c r="B1823" i="10"/>
  <c r="J1822" i="10"/>
  <c r="E1822" i="10"/>
  <c r="B1822" i="10"/>
  <c r="J1821" i="10"/>
  <c r="E1821" i="10"/>
  <c r="B1821" i="10"/>
  <c r="J1820" i="10"/>
  <c r="E1820" i="10"/>
  <c r="B1820" i="10"/>
  <c r="J1819" i="10"/>
  <c r="E1819" i="10"/>
  <c r="B1819" i="10"/>
  <c r="J1818" i="10"/>
  <c r="E1818" i="10"/>
  <c r="B1818" i="10"/>
  <c r="J1817" i="10"/>
  <c r="E1817" i="10"/>
  <c r="B1817" i="10"/>
  <c r="J1816" i="10"/>
  <c r="E1816" i="10"/>
  <c r="B1816" i="10"/>
  <c r="J1815" i="10"/>
  <c r="E1815" i="10"/>
  <c r="B1815" i="10"/>
  <c r="J1814" i="10"/>
  <c r="E1814" i="10"/>
  <c r="B1814" i="10"/>
  <c r="J1813" i="10"/>
  <c r="E1813" i="10"/>
  <c r="B1813" i="10"/>
  <c r="J1812" i="10"/>
  <c r="E1812" i="10"/>
  <c r="B1812" i="10"/>
  <c r="J1811" i="10"/>
  <c r="E1811" i="10"/>
  <c r="B1811" i="10"/>
  <c r="J1810" i="10"/>
  <c r="E1810" i="10"/>
  <c r="B1810" i="10"/>
  <c r="J1809" i="10"/>
  <c r="E1809" i="10"/>
  <c r="B1809" i="10"/>
  <c r="J1808" i="10"/>
  <c r="E1808" i="10"/>
  <c r="B1808" i="10"/>
  <c r="J1807" i="10"/>
  <c r="E1807" i="10"/>
  <c r="B1807" i="10"/>
  <c r="J1806" i="10"/>
  <c r="E1806" i="10"/>
  <c r="B1806" i="10"/>
  <c r="J1805" i="10"/>
  <c r="E1805" i="10"/>
  <c r="B1805" i="10"/>
  <c r="J1804" i="10"/>
  <c r="E1804" i="10"/>
  <c r="B1804" i="10"/>
  <c r="J1803" i="10"/>
  <c r="E1803" i="10"/>
  <c r="B1803" i="10"/>
  <c r="J1802" i="10"/>
  <c r="E1802" i="10"/>
  <c r="B1802" i="10"/>
  <c r="J1801" i="10"/>
  <c r="E1801" i="10"/>
  <c r="B1801" i="10"/>
  <c r="J1800" i="10"/>
  <c r="E1800" i="10"/>
  <c r="B1800" i="10"/>
  <c r="J1799" i="10"/>
  <c r="E1799" i="10"/>
  <c r="B1799" i="10"/>
  <c r="J1798" i="10"/>
  <c r="E1798" i="10"/>
  <c r="B1798" i="10"/>
  <c r="J1797" i="10"/>
  <c r="E1797" i="10"/>
  <c r="B1797" i="10"/>
  <c r="J1796" i="10"/>
  <c r="E1796" i="10"/>
  <c r="B1796" i="10"/>
  <c r="J1795" i="10"/>
  <c r="E1795" i="10"/>
  <c r="B1795" i="10"/>
  <c r="J1794" i="10"/>
  <c r="E1794" i="10"/>
  <c r="B1794" i="10"/>
  <c r="J1793" i="10"/>
  <c r="E1793" i="10"/>
  <c r="B1793" i="10"/>
  <c r="J1792" i="10"/>
  <c r="E1792" i="10"/>
  <c r="B1792" i="10"/>
  <c r="J1791" i="10"/>
  <c r="E1791" i="10"/>
  <c r="B1791" i="10"/>
  <c r="J1790" i="10"/>
  <c r="E1790" i="10"/>
  <c r="B1790" i="10"/>
  <c r="J1789" i="10"/>
  <c r="E1789" i="10"/>
  <c r="B1789" i="10"/>
  <c r="J1788" i="10"/>
  <c r="E1788" i="10"/>
  <c r="B1788" i="10"/>
  <c r="J1787" i="10"/>
  <c r="E1787" i="10"/>
  <c r="B1787" i="10"/>
  <c r="J1786" i="10"/>
  <c r="E1786" i="10"/>
  <c r="B1786" i="10"/>
  <c r="J1785" i="10"/>
  <c r="E1785" i="10"/>
  <c r="B1785" i="10"/>
  <c r="J1784" i="10"/>
  <c r="E1784" i="10"/>
  <c r="B1784" i="10"/>
  <c r="J1783" i="10"/>
  <c r="E1783" i="10"/>
  <c r="B1783" i="10"/>
  <c r="J1782" i="10"/>
  <c r="E1782" i="10"/>
  <c r="B1782" i="10"/>
  <c r="J1781" i="10"/>
  <c r="E1781" i="10"/>
  <c r="B1781" i="10"/>
  <c r="J1780" i="10"/>
  <c r="E1780" i="10"/>
  <c r="B1780" i="10"/>
  <c r="J1779" i="10"/>
  <c r="E1779" i="10"/>
  <c r="B1779" i="10"/>
  <c r="J1778" i="10"/>
  <c r="E1778" i="10"/>
  <c r="B1778" i="10"/>
  <c r="J1777" i="10"/>
  <c r="E1777" i="10"/>
  <c r="B1777" i="10"/>
  <c r="J1776" i="10"/>
  <c r="E1776" i="10"/>
  <c r="B1776" i="10"/>
  <c r="J1775" i="10"/>
  <c r="E1775" i="10"/>
  <c r="B1775" i="10"/>
  <c r="J1774" i="10"/>
  <c r="E1774" i="10"/>
  <c r="B1774" i="10"/>
  <c r="J1773" i="10"/>
  <c r="E1773" i="10"/>
  <c r="B1773" i="10"/>
  <c r="J1772" i="10"/>
  <c r="E1772" i="10"/>
  <c r="B1772" i="10"/>
  <c r="J1771" i="10"/>
  <c r="E1771" i="10"/>
  <c r="B1771" i="10"/>
  <c r="J1770" i="10"/>
  <c r="E1770" i="10"/>
  <c r="B1770" i="10"/>
  <c r="J1769" i="10"/>
  <c r="E1769" i="10"/>
  <c r="B1769" i="10"/>
  <c r="J1768" i="10"/>
  <c r="E1768" i="10"/>
  <c r="B1768" i="10"/>
  <c r="J1767" i="10"/>
  <c r="E1767" i="10"/>
  <c r="B1767" i="10"/>
  <c r="J1766" i="10"/>
  <c r="E1766" i="10"/>
  <c r="B1766" i="10"/>
  <c r="J1765" i="10"/>
  <c r="E1765" i="10"/>
  <c r="B1765" i="10"/>
  <c r="J1764" i="10"/>
  <c r="E1764" i="10"/>
  <c r="B1764" i="10"/>
  <c r="J1763" i="10"/>
  <c r="E1763" i="10"/>
  <c r="B1763" i="10"/>
  <c r="J1762" i="10"/>
  <c r="E1762" i="10"/>
  <c r="B1762" i="10"/>
  <c r="J1761" i="10"/>
  <c r="E1761" i="10"/>
  <c r="B1761" i="10"/>
  <c r="J1760" i="10"/>
  <c r="E1760" i="10"/>
  <c r="B1760" i="10"/>
  <c r="J1759" i="10"/>
  <c r="E1759" i="10"/>
  <c r="B1759" i="10"/>
  <c r="J1758" i="10"/>
  <c r="E1758" i="10"/>
  <c r="B1758" i="10"/>
  <c r="J1757" i="10"/>
  <c r="E1757" i="10"/>
  <c r="B1757" i="10"/>
  <c r="J1756" i="10"/>
  <c r="E1756" i="10"/>
  <c r="B1756" i="10"/>
  <c r="J1755" i="10"/>
  <c r="E1755" i="10"/>
  <c r="B1755" i="10"/>
  <c r="J1754" i="10"/>
  <c r="E1754" i="10"/>
  <c r="B1754" i="10"/>
  <c r="J1753" i="10"/>
  <c r="E1753" i="10"/>
  <c r="B1753" i="10"/>
  <c r="J1752" i="10"/>
  <c r="E1752" i="10"/>
  <c r="B1752" i="10"/>
  <c r="J1751" i="10"/>
  <c r="E1751" i="10"/>
  <c r="B1751" i="10"/>
  <c r="J1750" i="10"/>
  <c r="E1750" i="10"/>
  <c r="B1750" i="10"/>
  <c r="J1749" i="10"/>
  <c r="E1749" i="10"/>
  <c r="B1749" i="10"/>
  <c r="J1748" i="10"/>
  <c r="E1748" i="10"/>
  <c r="B1748" i="10"/>
  <c r="J1747" i="10"/>
  <c r="E1747" i="10"/>
  <c r="B1747" i="10"/>
  <c r="J1746" i="10"/>
  <c r="E1746" i="10"/>
  <c r="B1746" i="10"/>
  <c r="J1745" i="10"/>
  <c r="E1745" i="10"/>
  <c r="B1745" i="10"/>
  <c r="J1744" i="10"/>
  <c r="E1744" i="10"/>
  <c r="B1744" i="10"/>
  <c r="J1743" i="10"/>
  <c r="E1743" i="10"/>
  <c r="B1743" i="10"/>
  <c r="J1742" i="10"/>
  <c r="E1742" i="10"/>
  <c r="B1742" i="10"/>
  <c r="J1741" i="10"/>
  <c r="E1741" i="10"/>
  <c r="B1741" i="10"/>
  <c r="J1740" i="10"/>
  <c r="E1740" i="10"/>
  <c r="B1740" i="10"/>
  <c r="J1739" i="10"/>
  <c r="E1739" i="10"/>
  <c r="B1739" i="10"/>
  <c r="J1738" i="10"/>
  <c r="E1738" i="10"/>
  <c r="B1738" i="10"/>
  <c r="J1737" i="10"/>
  <c r="E1737" i="10"/>
  <c r="B1737" i="10"/>
  <c r="J1736" i="10"/>
  <c r="E1736" i="10"/>
  <c r="B1736" i="10"/>
  <c r="J1735" i="10"/>
  <c r="E1735" i="10"/>
  <c r="B1735" i="10"/>
  <c r="J1734" i="10"/>
  <c r="E1734" i="10"/>
  <c r="B1734" i="10"/>
  <c r="J1733" i="10"/>
  <c r="E1733" i="10"/>
  <c r="B1733" i="10"/>
  <c r="J1732" i="10"/>
  <c r="E1732" i="10"/>
  <c r="B1732" i="10"/>
  <c r="J1731" i="10"/>
  <c r="E1731" i="10"/>
  <c r="B1731" i="10"/>
  <c r="J1730" i="10"/>
  <c r="E1730" i="10"/>
  <c r="B1730" i="10"/>
  <c r="J1729" i="10"/>
  <c r="E1729" i="10"/>
  <c r="B1729" i="10"/>
  <c r="J1728" i="10"/>
  <c r="E1728" i="10"/>
  <c r="B1728" i="10"/>
  <c r="J1727" i="10"/>
  <c r="E1727" i="10"/>
  <c r="B1727" i="10"/>
  <c r="J1726" i="10"/>
  <c r="E1726" i="10"/>
  <c r="B1726" i="10"/>
  <c r="J1725" i="10"/>
  <c r="E1725" i="10"/>
  <c r="B1725" i="10"/>
  <c r="J1724" i="10"/>
  <c r="E1724" i="10"/>
  <c r="B1724" i="10"/>
  <c r="J1723" i="10"/>
  <c r="E1723" i="10"/>
  <c r="B1723" i="10"/>
  <c r="J1722" i="10"/>
  <c r="E1722" i="10"/>
  <c r="B1722" i="10"/>
  <c r="J1721" i="10"/>
  <c r="E1721" i="10"/>
  <c r="B1721" i="10"/>
  <c r="J1720" i="10"/>
  <c r="E1720" i="10"/>
  <c r="B1720" i="10"/>
  <c r="J1719" i="10"/>
  <c r="E1719" i="10"/>
  <c r="B1719" i="10"/>
  <c r="J1718" i="10"/>
  <c r="E1718" i="10"/>
  <c r="B1718" i="10"/>
  <c r="J1717" i="10"/>
  <c r="E1717" i="10"/>
  <c r="B1717" i="10"/>
  <c r="J1716" i="10"/>
  <c r="E1716" i="10"/>
  <c r="B1716" i="10"/>
  <c r="J1715" i="10"/>
  <c r="E1715" i="10"/>
  <c r="B1715" i="10"/>
  <c r="J1714" i="10"/>
  <c r="E1714" i="10"/>
  <c r="B1714" i="10"/>
  <c r="J1713" i="10"/>
  <c r="E1713" i="10"/>
  <c r="B1713" i="10"/>
  <c r="J1712" i="10"/>
  <c r="E1712" i="10"/>
  <c r="B1712" i="10"/>
  <c r="J1711" i="10"/>
  <c r="E1711" i="10"/>
  <c r="B1711" i="10"/>
  <c r="J1710" i="10"/>
  <c r="E1710" i="10"/>
  <c r="B1710" i="10"/>
  <c r="J1709" i="10"/>
  <c r="E1709" i="10"/>
  <c r="B1709" i="10"/>
  <c r="J1708" i="10"/>
  <c r="E1708" i="10"/>
  <c r="B1708" i="10"/>
  <c r="J1707" i="10"/>
  <c r="E1707" i="10"/>
  <c r="B1707" i="10"/>
  <c r="J1706" i="10"/>
  <c r="E1706" i="10"/>
  <c r="B1706" i="10"/>
  <c r="J1705" i="10"/>
  <c r="E1705" i="10"/>
  <c r="B1705" i="10"/>
  <c r="J1704" i="10"/>
  <c r="E1704" i="10"/>
  <c r="B1704" i="10"/>
  <c r="J1703" i="10"/>
  <c r="E1703" i="10"/>
  <c r="B1703" i="10"/>
  <c r="J1702" i="10"/>
  <c r="E1702" i="10"/>
  <c r="B1702" i="10"/>
  <c r="J1701" i="10"/>
  <c r="E1701" i="10"/>
  <c r="B1701" i="10"/>
  <c r="J1700" i="10"/>
  <c r="E1700" i="10"/>
  <c r="B1700" i="10"/>
  <c r="J1699" i="10"/>
  <c r="E1699" i="10"/>
  <c r="B1699" i="10"/>
  <c r="J1698" i="10"/>
  <c r="E1698" i="10"/>
  <c r="B1698" i="10"/>
  <c r="J1697" i="10"/>
  <c r="E1697" i="10"/>
  <c r="B1697" i="10"/>
  <c r="J1696" i="10"/>
  <c r="E1696" i="10"/>
  <c r="B1696" i="10"/>
  <c r="J1695" i="10"/>
  <c r="E1695" i="10"/>
  <c r="B1695" i="10"/>
  <c r="J1694" i="10"/>
  <c r="E1694" i="10"/>
  <c r="B1694" i="10"/>
  <c r="T1693" i="10"/>
  <c r="S1693" i="10"/>
  <c r="R1693" i="10"/>
  <c r="Q1693" i="10"/>
  <c r="P1693" i="10"/>
  <c r="J1693" i="10"/>
  <c r="E1693" i="10"/>
  <c r="B1693" i="10"/>
  <c r="T1692" i="10"/>
  <c r="S1692" i="10"/>
  <c r="R1692" i="10"/>
  <c r="Q1692" i="10"/>
  <c r="P1692" i="10"/>
  <c r="J1692" i="10"/>
  <c r="E1692" i="10"/>
  <c r="B1692" i="10"/>
  <c r="T1691" i="10"/>
  <c r="S1691" i="10"/>
  <c r="R1691" i="10"/>
  <c r="Q1691" i="10"/>
  <c r="P1691" i="10"/>
  <c r="J1691" i="10"/>
  <c r="E1691" i="10"/>
  <c r="B1691" i="10"/>
  <c r="T1690" i="10"/>
  <c r="S1690" i="10"/>
  <c r="R1690" i="10"/>
  <c r="Q1690" i="10"/>
  <c r="P1690" i="10"/>
  <c r="J1690" i="10"/>
  <c r="E1690" i="10"/>
  <c r="B1690" i="10"/>
  <c r="T1689" i="10"/>
  <c r="S1689" i="10"/>
  <c r="R1689" i="10"/>
  <c r="Q1689" i="10"/>
  <c r="P1689" i="10"/>
  <c r="J1689" i="10"/>
  <c r="E1689" i="10"/>
  <c r="B1689" i="10"/>
  <c r="T1688" i="10"/>
  <c r="S1688" i="10"/>
  <c r="R1688" i="10"/>
  <c r="Q1688" i="10"/>
  <c r="P1688" i="10"/>
  <c r="J1688" i="10"/>
  <c r="E1688" i="10"/>
  <c r="B1688" i="10"/>
  <c r="T1687" i="10"/>
  <c r="S1687" i="10"/>
  <c r="R1687" i="10"/>
  <c r="Q1687" i="10"/>
  <c r="P1687" i="10"/>
  <c r="J1687" i="10"/>
  <c r="E1687" i="10"/>
  <c r="B1687" i="10"/>
  <c r="T1686" i="10"/>
  <c r="S1686" i="10"/>
  <c r="R1686" i="10"/>
  <c r="Q1686" i="10"/>
  <c r="P1686" i="10"/>
  <c r="J1686" i="10"/>
  <c r="E1686" i="10"/>
  <c r="B1686" i="10"/>
  <c r="T1685" i="10"/>
  <c r="S1685" i="10"/>
  <c r="R1685" i="10"/>
  <c r="Q1685" i="10"/>
  <c r="P1685" i="10"/>
  <c r="J1685" i="10"/>
  <c r="E1685" i="10"/>
  <c r="B1685" i="10"/>
  <c r="T1684" i="10"/>
  <c r="S1684" i="10"/>
  <c r="R1684" i="10"/>
  <c r="Q1684" i="10"/>
  <c r="P1684" i="10"/>
  <c r="J1684" i="10"/>
  <c r="E1684" i="10"/>
  <c r="B1684" i="10"/>
  <c r="T1683" i="10"/>
  <c r="S1683" i="10"/>
  <c r="R1683" i="10"/>
  <c r="Q1683" i="10"/>
  <c r="P1683" i="10"/>
  <c r="J1683" i="10"/>
  <c r="E1683" i="10"/>
  <c r="B1683" i="10"/>
  <c r="T1682" i="10"/>
  <c r="S1682" i="10"/>
  <c r="R1682" i="10"/>
  <c r="Q1682" i="10"/>
  <c r="P1682" i="10"/>
  <c r="J1682" i="10"/>
  <c r="E1682" i="10"/>
  <c r="B1682" i="10"/>
  <c r="T1681" i="10"/>
  <c r="S1681" i="10"/>
  <c r="R1681" i="10"/>
  <c r="Q1681" i="10"/>
  <c r="P1681" i="10"/>
  <c r="J1681" i="10"/>
  <c r="E1681" i="10"/>
  <c r="B1681" i="10"/>
  <c r="T1680" i="10"/>
  <c r="S1680" i="10"/>
  <c r="R1680" i="10"/>
  <c r="Q1680" i="10"/>
  <c r="P1680" i="10"/>
  <c r="J1680" i="10"/>
  <c r="E1680" i="10"/>
  <c r="B1680" i="10"/>
  <c r="T1679" i="10"/>
  <c r="S1679" i="10"/>
  <c r="R1679" i="10"/>
  <c r="Q1679" i="10"/>
  <c r="P1679" i="10"/>
  <c r="J1679" i="10"/>
  <c r="E1679" i="10"/>
  <c r="B1679" i="10"/>
  <c r="J1678" i="10"/>
  <c r="E1678" i="10"/>
  <c r="B1678" i="10"/>
  <c r="J1677" i="10"/>
  <c r="E1677" i="10"/>
  <c r="B1677" i="10"/>
  <c r="T1676" i="10"/>
  <c r="S1676" i="10"/>
  <c r="R1676" i="10"/>
  <c r="Q1676" i="10"/>
  <c r="P1676" i="10"/>
  <c r="J1676" i="10"/>
  <c r="E1676" i="10"/>
  <c r="B1676" i="10"/>
  <c r="T1675" i="10"/>
  <c r="S1675" i="10"/>
  <c r="R1675" i="10"/>
  <c r="Q1675" i="10"/>
  <c r="P1675" i="10"/>
  <c r="J1675" i="10"/>
  <c r="E1675" i="10"/>
  <c r="B1675" i="10"/>
  <c r="T1674" i="10"/>
  <c r="S1674" i="10"/>
  <c r="R1674" i="10"/>
  <c r="Q1674" i="10"/>
  <c r="P1674" i="10"/>
  <c r="J1674" i="10"/>
  <c r="E1674" i="10"/>
  <c r="B1674" i="10"/>
  <c r="T1673" i="10"/>
  <c r="S1673" i="10"/>
  <c r="R1673" i="10"/>
  <c r="Q1673" i="10"/>
  <c r="P1673" i="10"/>
  <c r="J1673" i="10"/>
  <c r="E1673" i="10"/>
  <c r="B1673" i="10"/>
  <c r="T1672" i="10"/>
  <c r="S1672" i="10"/>
  <c r="R1672" i="10"/>
  <c r="Q1672" i="10"/>
  <c r="P1672" i="10"/>
  <c r="J1672" i="10"/>
  <c r="E1672" i="10"/>
  <c r="B1672" i="10"/>
  <c r="T1671" i="10"/>
  <c r="S1671" i="10"/>
  <c r="R1671" i="10"/>
  <c r="Q1671" i="10"/>
  <c r="P1671" i="10"/>
  <c r="J1671" i="10"/>
  <c r="E1671" i="10"/>
  <c r="B1671" i="10"/>
  <c r="T1670" i="10"/>
  <c r="S1670" i="10"/>
  <c r="R1670" i="10"/>
  <c r="Q1670" i="10"/>
  <c r="P1670" i="10"/>
  <c r="J1670" i="10"/>
  <c r="E1670" i="10"/>
  <c r="B1670" i="10"/>
  <c r="T1669" i="10"/>
  <c r="S1669" i="10"/>
  <c r="R1669" i="10"/>
  <c r="Q1669" i="10"/>
  <c r="P1669" i="10"/>
  <c r="J1669" i="10"/>
  <c r="E1669" i="10"/>
  <c r="B1669" i="10"/>
  <c r="T1668" i="10"/>
  <c r="S1668" i="10"/>
  <c r="R1668" i="10"/>
  <c r="Q1668" i="10"/>
  <c r="P1668" i="10"/>
  <c r="J1668" i="10"/>
  <c r="E1668" i="10"/>
  <c r="B1668" i="10"/>
  <c r="J1667" i="10"/>
  <c r="E1667" i="10"/>
  <c r="B1667" i="10"/>
  <c r="J1666" i="10"/>
  <c r="E1666" i="10"/>
  <c r="B1666" i="10"/>
  <c r="J1665" i="10"/>
  <c r="E1665" i="10"/>
  <c r="B1665" i="10"/>
  <c r="J1664" i="10"/>
  <c r="E1664" i="10"/>
  <c r="B1664" i="10"/>
  <c r="J1663" i="10"/>
  <c r="E1663" i="10"/>
  <c r="B1663" i="10"/>
  <c r="J1662" i="10"/>
  <c r="E1662" i="10"/>
  <c r="B1662" i="10"/>
  <c r="J1661" i="10"/>
  <c r="E1661" i="10"/>
  <c r="B1661" i="10"/>
  <c r="J1660" i="10"/>
  <c r="E1660" i="10"/>
  <c r="B1660" i="10"/>
  <c r="J1659" i="10"/>
  <c r="E1659" i="10"/>
  <c r="B1659" i="10"/>
  <c r="J1658" i="10"/>
  <c r="E1658" i="10"/>
  <c r="B1658" i="10"/>
  <c r="J1657" i="10"/>
  <c r="E1657" i="10"/>
  <c r="B1657" i="10"/>
  <c r="J1656" i="10"/>
  <c r="E1656" i="10"/>
  <c r="B1656" i="10"/>
  <c r="J1655" i="10"/>
  <c r="E1655" i="10"/>
  <c r="B1655" i="10"/>
  <c r="J1654" i="10"/>
  <c r="E1654" i="10"/>
  <c r="B1654" i="10"/>
  <c r="J1653" i="10"/>
  <c r="E1653" i="10"/>
  <c r="B1653" i="10"/>
  <c r="J1652" i="10"/>
  <c r="E1652" i="10"/>
  <c r="B1652" i="10"/>
  <c r="J1651" i="10"/>
  <c r="E1651" i="10"/>
  <c r="B1651" i="10"/>
  <c r="J1650" i="10"/>
  <c r="E1650" i="10"/>
  <c r="B1650" i="10"/>
  <c r="J1649" i="10"/>
  <c r="E1649" i="10"/>
  <c r="B1649" i="10"/>
  <c r="J1648" i="10"/>
  <c r="E1648" i="10"/>
  <c r="B1648" i="10"/>
  <c r="J1647" i="10"/>
  <c r="E1647" i="10"/>
  <c r="B1647" i="10"/>
  <c r="J1646" i="10"/>
  <c r="E1646" i="10"/>
  <c r="B1646" i="10"/>
  <c r="J1645" i="10"/>
  <c r="E1645" i="10"/>
  <c r="B1645" i="10"/>
  <c r="J1644" i="10"/>
  <c r="E1644" i="10"/>
  <c r="B1644" i="10"/>
  <c r="J1643" i="10"/>
  <c r="E1643" i="10"/>
  <c r="B1643" i="10"/>
  <c r="J1642" i="10"/>
  <c r="E1642" i="10"/>
  <c r="B1642" i="10"/>
  <c r="J1641" i="10"/>
  <c r="E1641" i="10"/>
  <c r="B1641" i="10"/>
  <c r="J1640" i="10"/>
  <c r="E1640" i="10"/>
  <c r="B1640" i="10"/>
  <c r="J1639" i="10"/>
  <c r="E1639" i="10"/>
  <c r="B1639" i="10"/>
  <c r="J1638" i="10"/>
  <c r="E1638" i="10"/>
  <c r="B1638" i="10"/>
  <c r="J1637" i="10"/>
  <c r="E1637" i="10"/>
  <c r="B1637" i="10"/>
  <c r="J1636" i="10"/>
  <c r="E1636" i="10"/>
  <c r="B1636" i="10"/>
  <c r="J1635" i="10"/>
  <c r="E1635" i="10"/>
  <c r="B1635" i="10"/>
  <c r="J1634" i="10"/>
  <c r="E1634" i="10"/>
  <c r="B1634" i="10"/>
  <c r="J1633" i="10"/>
  <c r="E1633" i="10"/>
  <c r="B1633" i="10"/>
  <c r="J1632" i="10"/>
  <c r="E1632" i="10"/>
  <c r="B1632" i="10"/>
  <c r="J1631" i="10"/>
  <c r="E1631" i="10"/>
  <c r="B1631" i="10"/>
  <c r="J1630" i="10"/>
  <c r="E1630" i="10"/>
  <c r="B1630" i="10"/>
  <c r="J1629" i="10"/>
  <c r="E1629" i="10"/>
  <c r="B1629" i="10"/>
  <c r="J1628" i="10"/>
  <c r="E1628" i="10"/>
  <c r="B1628" i="10"/>
  <c r="J1627" i="10"/>
  <c r="E1627" i="10"/>
  <c r="B1627" i="10"/>
  <c r="J1626" i="10"/>
  <c r="E1626" i="10"/>
  <c r="B1626" i="10"/>
  <c r="J1625" i="10"/>
  <c r="E1625" i="10"/>
  <c r="B1625" i="10"/>
  <c r="J1624" i="10"/>
  <c r="E1624" i="10"/>
  <c r="B1624" i="10"/>
  <c r="J1623" i="10"/>
  <c r="E1623" i="10"/>
  <c r="B1623" i="10"/>
  <c r="J1622" i="10"/>
  <c r="E1622" i="10"/>
  <c r="B1622" i="10"/>
  <c r="J1621" i="10"/>
  <c r="E1621" i="10"/>
  <c r="B1621" i="10"/>
  <c r="J1620" i="10"/>
  <c r="E1620" i="10"/>
  <c r="B1620" i="10"/>
  <c r="J1619" i="10"/>
  <c r="E1619" i="10"/>
  <c r="B1619" i="10"/>
  <c r="J1618" i="10"/>
  <c r="E1618" i="10"/>
  <c r="B1618" i="10"/>
  <c r="J1617" i="10"/>
  <c r="E1617" i="10"/>
  <c r="B1617" i="10"/>
  <c r="J1616" i="10"/>
  <c r="E1616" i="10"/>
  <c r="B1616" i="10"/>
  <c r="J1615" i="10"/>
  <c r="E1615" i="10"/>
  <c r="B1615" i="10"/>
  <c r="J1614" i="10"/>
  <c r="E1614" i="10"/>
  <c r="B1614" i="10"/>
  <c r="J1613" i="10"/>
  <c r="E1613" i="10"/>
  <c r="B1613" i="10"/>
  <c r="J1612" i="10"/>
  <c r="E1612" i="10"/>
  <c r="B1612" i="10"/>
  <c r="J1611" i="10"/>
  <c r="E1611" i="10"/>
  <c r="B1611" i="10"/>
  <c r="J1610" i="10"/>
  <c r="E1610" i="10"/>
  <c r="B1610" i="10"/>
  <c r="J1609" i="10"/>
  <c r="E1609" i="10"/>
  <c r="B1609" i="10"/>
  <c r="J1608" i="10"/>
  <c r="E1608" i="10"/>
  <c r="B1608" i="10"/>
  <c r="J1607" i="10"/>
  <c r="E1607" i="10"/>
  <c r="B1607" i="10"/>
  <c r="J1606" i="10"/>
  <c r="E1606" i="10"/>
  <c r="B1606" i="10"/>
  <c r="J1605" i="10"/>
  <c r="E1605" i="10"/>
  <c r="B1605" i="10"/>
  <c r="J1604" i="10"/>
  <c r="E1604" i="10"/>
  <c r="B1604" i="10"/>
  <c r="J1603" i="10"/>
  <c r="E1603" i="10"/>
  <c r="B1603" i="10"/>
  <c r="J1602" i="10"/>
  <c r="E1602" i="10"/>
  <c r="B1602" i="10"/>
  <c r="J1601" i="10"/>
  <c r="E1601" i="10"/>
  <c r="B1601" i="10"/>
  <c r="J1600" i="10"/>
  <c r="E1600" i="10"/>
  <c r="B1600" i="10"/>
  <c r="J1599" i="10"/>
  <c r="E1599" i="10"/>
  <c r="B1599" i="10"/>
  <c r="J1598" i="10"/>
  <c r="E1598" i="10"/>
  <c r="B1598" i="10"/>
  <c r="J1597" i="10"/>
  <c r="E1597" i="10"/>
  <c r="B1597" i="10"/>
  <c r="J1596" i="10"/>
  <c r="E1596" i="10"/>
  <c r="B1596" i="10"/>
  <c r="J1595" i="10"/>
  <c r="E1595" i="10"/>
  <c r="B1595" i="10"/>
  <c r="J1594" i="10"/>
  <c r="E1594" i="10"/>
  <c r="B1594" i="10"/>
  <c r="J1593" i="10"/>
  <c r="E1593" i="10"/>
  <c r="B1593" i="10"/>
  <c r="J1592" i="10"/>
  <c r="E1592" i="10"/>
  <c r="B1592" i="10"/>
  <c r="J1591" i="10"/>
  <c r="E1591" i="10"/>
  <c r="B1591" i="10"/>
  <c r="J1590" i="10"/>
  <c r="E1590" i="10"/>
  <c r="B1590" i="10"/>
  <c r="J1589" i="10"/>
  <c r="E1589" i="10"/>
  <c r="B1589" i="10"/>
  <c r="J1588" i="10"/>
  <c r="E1588" i="10"/>
  <c r="B1588" i="10"/>
  <c r="J1587" i="10"/>
  <c r="E1587" i="10"/>
  <c r="B1587" i="10"/>
  <c r="J1586" i="10"/>
  <c r="E1586" i="10"/>
  <c r="B1586" i="10"/>
  <c r="J1585" i="10"/>
  <c r="E1585" i="10"/>
  <c r="B1585" i="10"/>
  <c r="J1584" i="10"/>
  <c r="E1584" i="10"/>
  <c r="B1584" i="10"/>
  <c r="J1583" i="10"/>
  <c r="E1583" i="10"/>
  <c r="B1583" i="10"/>
  <c r="J1582" i="10"/>
  <c r="E1582" i="10"/>
  <c r="B1582" i="10"/>
  <c r="J1581" i="10"/>
  <c r="E1581" i="10"/>
  <c r="B1581" i="10"/>
  <c r="J1580" i="10"/>
  <c r="E1580" i="10"/>
  <c r="B1580" i="10"/>
  <c r="J1579" i="10"/>
  <c r="E1579" i="10"/>
  <c r="B1579" i="10"/>
  <c r="J1578" i="10"/>
  <c r="E1578" i="10"/>
  <c r="B1578" i="10"/>
  <c r="J1577" i="10"/>
  <c r="E1577" i="10"/>
  <c r="B1577" i="10"/>
  <c r="J1576" i="10"/>
  <c r="E1576" i="10"/>
  <c r="B1576" i="10"/>
  <c r="J1575" i="10"/>
  <c r="E1575" i="10"/>
  <c r="B1575" i="10"/>
  <c r="J1574" i="10"/>
  <c r="E1574" i="10"/>
  <c r="B1574" i="10"/>
  <c r="J1573" i="10"/>
  <c r="E1573" i="10"/>
  <c r="B1573" i="10"/>
  <c r="J1572" i="10"/>
  <c r="E1572" i="10"/>
  <c r="B1572" i="10"/>
  <c r="J1571" i="10"/>
  <c r="E1571" i="10"/>
  <c r="B1571" i="10"/>
  <c r="J1570" i="10"/>
  <c r="E1570" i="10"/>
  <c r="B1570" i="10"/>
  <c r="J1569" i="10"/>
  <c r="E1569" i="10"/>
  <c r="B1569" i="10"/>
  <c r="J1568" i="10"/>
  <c r="E1568" i="10"/>
  <c r="B1568" i="10"/>
  <c r="J1567" i="10"/>
  <c r="E1567" i="10"/>
  <c r="B1567" i="10"/>
  <c r="J1566" i="10"/>
  <c r="E1566" i="10"/>
  <c r="B1566" i="10"/>
  <c r="J1565" i="10"/>
  <c r="E1565" i="10"/>
  <c r="B1565" i="10"/>
  <c r="J1564" i="10"/>
  <c r="E1564" i="10"/>
  <c r="B1564" i="10"/>
  <c r="J1563" i="10"/>
  <c r="E1563" i="10"/>
  <c r="B1563" i="10"/>
  <c r="J1562" i="10"/>
  <c r="E1562" i="10"/>
  <c r="B1562" i="10"/>
  <c r="J1561" i="10"/>
  <c r="E1561" i="10"/>
  <c r="B1561" i="10"/>
  <c r="J1560" i="10"/>
  <c r="E1560" i="10"/>
  <c r="B1560" i="10"/>
  <c r="J1559" i="10"/>
  <c r="E1559" i="10"/>
  <c r="B1559" i="10"/>
  <c r="J1558" i="10"/>
  <c r="E1558" i="10"/>
  <c r="B1558" i="10"/>
  <c r="J1557" i="10"/>
  <c r="E1557" i="10"/>
  <c r="B1557" i="10"/>
  <c r="J1556" i="10"/>
  <c r="E1556" i="10"/>
  <c r="B1556" i="10"/>
  <c r="J1555" i="10"/>
  <c r="E1555" i="10"/>
  <c r="B1555" i="10"/>
  <c r="J1554" i="10"/>
  <c r="E1554" i="10"/>
  <c r="B1554" i="10"/>
  <c r="J1553" i="10"/>
  <c r="E1553" i="10"/>
  <c r="B1553" i="10"/>
  <c r="J1552" i="10"/>
  <c r="E1552" i="10"/>
  <c r="B1552" i="10"/>
  <c r="J1551" i="10"/>
  <c r="E1551" i="10"/>
  <c r="B1551" i="10"/>
  <c r="J1550" i="10"/>
  <c r="E1550" i="10"/>
  <c r="B1550" i="10"/>
  <c r="J1549" i="10"/>
  <c r="E1549" i="10"/>
  <c r="B1549" i="10"/>
  <c r="J1548" i="10"/>
  <c r="E1548" i="10"/>
  <c r="B1548" i="10"/>
  <c r="J1547" i="10"/>
  <c r="E1547" i="10"/>
  <c r="B1547" i="10"/>
  <c r="J1546" i="10"/>
  <c r="E1546" i="10"/>
  <c r="B1546" i="10"/>
  <c r="J1545" i="10"/>
  <c r="E1545" i="10"/>
  <c r="B1545" i="10"/>
  <c r="J1544" i="10"/>
  <c r="E1544" i="10"/>
  <c r="B1544" i="10"/>
  <c r="J1543" i="10"/>
  <c r="E1543" i="10"/>
  <c r="B1543" i="10"/>
  <c r="J1542" i="10"/>
  <c r="E1542" i="10"/>
  <c r="B1542" i="10"/>
  <c r="J1541" i="10"/>
  <c r="E1541" i="10"/>
  <c r="B1541" i="10"/>
  <c r="J1540" i="10"/>
  <c r="E1540" i="10"/>
  <c r="B1540" i="10"/>
  <c r="J1539" i="10"/>
  <c r="E1539" i="10"/>
  <c r="B1539" i="10"/>
  <c r="J1538" i="10"/>
  <c r="E1538" i="10"/>
  <c r="B1538" i="10"/>
  <c r="J1537" i="10"/>
  <c r="E1537" i="10"/>
  <c r="B1537" i="10"/>
  <c r="J1536" i="10"/>
  <c r="E1536" i="10"/>
  <c r="B1536" i="10"/>
  <c r="J1535" i="10"/>
  <c r="E1535" i="10"/>
  <c r="B1535" i="10"/>
  <c r="J1534" i="10"/>
  <c r="E1534" i="10"/>
  <c r="B1534" i="10"/>
  <c r="J1533" i="10"/>
  <c r="E1533" i="10"/>
  <c r="B1533" i="10"/>
  <c r="J1532" i="10"/>
  <c r="E1532" i="10"/>
  <c r="B1532" i="10"/>
  <c r="J1531" i="10"/>
  <c r="E1531" i="10"/>
  <c r="B1531" i="10"/>
  <c r="J1530" i="10"/>
  <c r="E1530" i="10"/>
  <c r="B1530" i="10"/>
  <c r="J1529" i="10"/>
  <c r="E1529" i="10"/>
  <c r="B1529" i="10"/>
  <c r="J1528" i="10"/>
  <c r="E1528" i="10"/>
  <c r="B1528" i="10"/>
  <c r="J1527" i="10"/>
  <c r="E1527" i="10"/>
  <c r="B1527" i="10"/>
  <c r="J1526" i="10"/>
  <c r="E1526" i="10"/>
  <c r="B1526" i="10"/>
  <c r="J1525" i="10"/>
  <c r="E1525" i="10"/>
  <c r="B1525" i="10"/>
  <c r="J1524" i="10"/>
  <c r="E1524" i="10"/>
  <c r="B1524" i="10"/>
  <c r="J1523" i="10"/>
  <c r="E1523" i="10"/>
  <c r="B1523" i="10"/>
  <c r="J1522" i="10"/>
  <c r="E1522" i="10"/>
  <c r="B1522" i="10"/>
  <c r="J1521" i="10"/>
  <c r="E1521" i="10"/>
  <c r="B1521" i="10"/>
  <c r="J1520" i="10"/>
  <c r="E1520" i="10"/>
  <c r="B1520" i="10"/>
  <c r="J1519" i="10"/>
  <c r="E1519" i="10"/>
  <c r="B1519" i="10"/>
  <c r="J1518" i="10"/>
  <c r="E1518" i="10"/>
  <c r="B1518" i="10"/>
  <c r="J1517" i="10"/>
  <c r="E1517" i="10"/>
  <c r="B1517" i="10"/>
  <c r="J1516" i="10"/>
  <c r="E1516" i="10"/>
  <c r="B1516" i="10"/>
  <c r="J1515" i="10"/>
  <c r="E1515" i="10"/>
  <c r="B1515" i="10"/>
  <c r="J1514" i="10"/>
  <c r="E1514" i="10"/>
  <c r="B1514" i="10"/>
  <c r="J1513" i="10"/>
  <c r="E1513" i="10"/>
  <c r="B1513" i="10"/>
  <c r="J1512" i="10"/>
  <c r="E1512" i="10"/>
  <c r="B1512" i="10"/>
  <c r="J1511" i="10"/>
  <c r="E1511" i="10"/>
  <c r="B1511" i="10"/>
  <c r="J1510" i="10"/>
  <c r="E1510" i="10"/>
  <c r="B1510" i="10"/>
  <c r="J1509" i="10"/>
  <c r="E1509" i="10"/>
  <c r="B1509" i="10"/>
  <c r="J1508" i="10"/>
  <c r="E1508" i="10"/>
  <c r="B1508" i="10"/>
  <c r="J1507" i="10"/>
  <c r="E1507" i="10"/>
  <c r="B1507" i="10"/>
  <c r="J1506" i="10"/>
  <c r="E1506" i="10"/>
  <c r="B1506" i="10"/>
  <c r="J1505" i="10"/>
  <c r="E1505" i="10"/>
  <c r="B1505" i="10"/>
  <c r="J1504" i="10"/>
  <c r="E1504" i="10"/>
  <c r="B1504" i="10"/>
  <c r="J1503" i="10"/>
  <c r="E1503" i="10"/>
  <c r="B1503" i="10"/>
  <c r="J1502" i="10"/>
  <c r="E1502" i="10"/>
  <c r="B1502" i="10"/>
  <c r="J1501" i="10"/>
  <c r="E1501" i="10"/>
  <c r="B1501" i="10"/>
  <c r="J1500" i="10"/>
  <c r="E1500" i="10"/>
  <c r="B1500" i="10"/>
  <c r="J1499" i="10"/>
  <c r="E1499" i="10"/>
  <c r="B1499" i="10"/>
  <c r="J1498" i="10"/>
  <c r="E1498" i="10"/>
  <c r="B1498" i="10"/>
  <c r="J1497" i="10"/>
  <c r="E1497" i="10"/>
  <c r="B1497" i="10"/>
  <c r="J1496" i="10"/>
  <c r="E1496" i="10"/>
  <c r="B1496" i="10"/>
  <c r="J1495" i="10"/>
  <c r="E1495" i="10"/>
  <c r="B1495" i="10"/>
  <c r="J1494" i="10"/>
  <c r="E1494" i="10"/>
  <c r="B1494" i="10"/>
  <c r="J1493" i="10"/>
  <c r="E1493" i="10"/>
  <c r="B1493" i="10"/>
  <c r="J1492" i="10"/>
  <c r="E1492" i="10"/>
  <c r="B1492" i="10"/>
  <c r="J1491" i="10"/>
  <c r="E1491" i="10"/>
  <c r="B1491" i="10"/>
  <c r="J1490" i="10"/>
  <c r="E1490" i="10"/>
  <c r="B1490" i="10"/>
  <c r="J1489" i="10"/>
  <c r="E1489" i="10"/>
  <c r="B1489" i="10"/>
  <c r="J1488" i="10"/>
  <c r="E1488" i="10"/>
  <c r="B1488" i="10"/>
  <c r="J1487" i="10"/>
  <c r="E1487" i="10"/>
  <c r="B1487" i="10"/>
  <c r="J1486" i="10"/>
  <c r="E1486" i="10"/>
  <c r="B1486" i="10"/>
  <c r="J1485" i="10"/>
  <c r="E1485" i="10"/>
  <c r="B1485" i="10"/>
  <c r="J1484" i="10"/>
  <c r="E1484" i="10"/>
  <c r="B1484" i="10"/>
  <c r="J1483" i="10"/>
  <c r="E1483" i="10"/>
  <c r="B1483" i="10"/>
  <c r="J1482" i="10"/>
  <c r="E1482" i="10"/>
  <c r="B1482" i="10"/>
  <c r="J1481" i="10"/>
  <c r="E1481" i="10"/>
  <c r="B1481" i="10"/>
  <c r="J1480" i="10"/>
  <c r="E1480" i="10"/>
  <c r="B1480" i="10"/>
  <c r="J1479" i="10"/>
  <c r="E1479" i="10"/>
  <c r="B1479" i="10"/>
  <c r="J1478" i="10"/>
  <c r="E1478" i="10"/>
  <c r="B1478" i="10"/>
  <c r="J1477" i="10"/>
  <c r="E1477" i="10"/>
  <c r="B1477" i="10"/>
  <c r="J1476" i="10"/>
  <c r="E1476" i="10"/>
  <c r="B1476" i="10"/>
  <c r="J1475" i="10"/>
  <c r="E1475" i="10"/>
  <c r="B1475" i="10"/>
  <c r="J1474" i="10"/>
  <c r="E1474" i="10"/>
  <c r="B1474" i="10"/>
  <c r="J1473" i="10"/>
  <c r="E1473" i="10"/>
  <c r="B1473" i="10"/>
  <c r="J1472" i="10"/>
  <c r="E1472" i="10"/>
  <c r="B1472" i="10"/>
  <c r="J1471" i="10"/>
  <c r="E1471" i="10"/>
  <c r="B1471" i="10"/>
  <c r="J1470" i="10"/>
  <c r="E1470" i="10"/>
  <c r="B1470" i="10"/>
  <c r="J1469" i="10"/>
  <c r="E1469" i="10"/>
  <c r="B1469" i="10"/>
  <c r="J1468" i="10"/>
  <c r="E1468" i="10"/>
  <c r="B1468" i="10"/>
  <c r="J1467" i="10"/>
  <c r="E1467" i="10"/>
  <c r="B1467" i="10"/>
  <c r="J1466" i="10"/>
  <c r="E1466" i="10"/>
  <c r="B1466" i="10"/>
  <c r="J1465" i="10"/>
  <c r="E1465" i="10"/>
  <c r="B1465" i="10"/>
  <c r="J1464" i="10"/>
  <c r="E1464" i="10"/>
  <c r="B1464" i="10"/>
  <c r="J1463" i="10"/>
  <c r="E1463" i="10"/>
  <c r="B1463" i="10"/>
  <c r="J1462" i="10"/>
  <c r="E1462" i="10"/>
  <c r="B1462" i="10"/>
  <c r="J1461" i="10"/>
  <c r="E1461" i="10"/>
  <c r="B1461" i="10"/>
  <c r="J1460" i="10"/>
  <c r="E1460" i="10"/>
  <c r="B1460" i="10"/>
  <c r="J1459" i="10"/>
  <c r="E1459" i="10"/>
  <c r="B1459" i="10"/>
  <c r="J1458" i="10"/>
  <c r="E1458" i="10"/>
  <c r="B1458" i="10"/>
  <c r="J1457" i="10"/>
  <c r="E1457" i="10"/>
  <c r="B1457" i="10"/>
  <c r="J1456" i="10"/>
  <c r="E1456" i="10"/>
  <c r="B1456" i="10"/>
  <c r="J1455" i="10"/>
  <c r="E1455" i="10"/>
  <c r="B1455" i="10"/>
  <c r="J1454" i="10"/>
  <c r="E1454" i="10"/>
  <c r="B1454" i="10"/>
  <c r="J1453" i="10"/>
  <c r="E1453" i="10"/>
  <c r="B1453" i="10"/>
  <c r="J1452" i="10"/>
  <c r="E1452" i="10"/>
  <c r="B1452" i="10"/>
  <c r="J1451" i="10"/>
  <c r="E1451" i="10"/>
  <c r="B1451" i="10"/>
  <c r="J1450" i="10"/>
  <c r="E1450" i="10"/>
  <c r="B1450" i="10"/>
  <c r="J1449" i="10"/>
  <c r="E1449" i="10"/>
  <c r="B1449" i="10"/>
  <c r="J1448" i="10"/>
  <c r="E1448" i="10"/>
  <c r="B1448" i="10"/>
  <c r="J1447" i="10"/>
  <c r="E1447" i="10"/>
  <c r="B1447" i="10"/>
  <c r="J1446" i="10"/>
  <c r="E1446" i="10"/>
  <c r="B1446" i="10"/>
  <c r="J1445" i="10"/>
  <c r="E1445" i="10"/>
  <c r="B1445" i="10"/>
  <c r="J1444" i="10"/>
  <c r="E1444" i="10"/>
  <c r="B1444" i="10"/>
  <c r="J1443" i="10"/>
  <c r="E1443" i="10"/>
  <c r="B1443" i="10"/>
  <c r="J1442" i="10"/>
  <c r="E1442" i="10"/>
  <c r="B1442" i="10"/>
  <c r="J1441" i="10"/>
  <c r="E1441" i="10"/>
  <c r="B1441" i="10"/>
  <c r="J1440" i="10"/>
  <c r="E1440" i="10"/>
  <c r="B1440" i="10"/>
  <c r="J1439" i="10"/>
  <c r="E1439" i="10"/>
  <c r="B1439" i="10"/>
  <c r="J1438" i="10"/>
  <c r="E1438" i="10"/>
  <c r="B1438" i="10"/>
  <c r="J1437" i="10"/>
  <c r="E1437" i="10"/>
  <c r="B1437" i="10"/>
  <c r="J1436" i="10"/>
  <c r="E1436" i="10"/>
  <c r="B1436" i="10"/>
  <c r="J1435" i="10"/>
  <c r="E1435" i="10"/>
  <c r="B1435" i="10"/>
  <c r="J1434" i="10"/>
  <c r="E1434" i="10"/>
  <c r="B1434" i="10"/>
  <c r="J1433" i="10"/>
  <c r="E1433" i="10"/>
  <c r="B1433" i="10"/>
  <c r="J1432" i="10"/>
  <c r="E1432" i="10"/>
  <c r="B1432" i="10"/>
  <c r="J1431" i="10"/>
  <c r="E1431" i="10"/>
  <c r="B1431" i="10"/>
  <c r="J1430" i="10"/>
  <c r="B1430" i="10"/>
  <c r="J1429" i="10"/>
  <c r="B1429" i="10"/>
  <c r="J1428" i="10"/>
  <c r="B1428" i="10"/>
  <c r="J1427" i="10"/>
  <c r="B1427" i="10"/>
  <c r="J1426" i="10"/>
  <c r="B1426" i="10"/>
  <c r="J1425" i="10"/>
  <c r="B1425" i="10"/>
  <c r="J1424" i="10"/>
  <c r="B1424" i="10"/>
  <c r="J1423" i="10"/>
  <c r="B1423" i="10"/>
  <c r="J1422" i="10"/>
  <c r="B1422" i="10"/>
  <c r="J1421" i="10"/>
  <c r="B1421" i="10"/>
  <c r="J1420" i="10"/>
  <c r="B1420" i="10"/>
  <c r="J1419" i="10"/>
  <c r="B1419" i="10"/>
  <c r="J1418" i="10"/>
  <c r="B1418" i="10"/>
  <c r="J1417" i="10"/>
  <c r="B1417" i="10"/>
  <c r="J1416" i="10"/>
  <c r="B1416" i="10"/>
  <c r="J1415" i="10"/>
  <c r="B1415" i="10"/>
  <c r="J1414" i="10"/>
  <c r="B1414" i="10"/>
  <c r="J1413" i="10"/>
  <c r="B1413" i="10"/>
  <c r="J1412" i="10"/>
  <c r="B1412" i="10"/>
  <c r="J1411" i="10"/>
  <c r="B1411" i="10"/>
  <c r="J1410" i="10"/>
  <c r="B1410" i="10"/>
  <c r="J1409" i="10"/>
  <c r="B1409" i="10"/>
  <c r="J1408" i="10"/>
  <c r="B1408" i="10"/>
  <c r="J1407" i="10"/>
  <c r="B1407" i="10"/>
  <c r="J1406" i="10"/>
  <c r="B1406" i="10"/>
  <c r="J1405" i="10"/>
  <c r="B1405" i="10"/>
  <c r="J1404" i="10"/>
  <c r="B1404" i="10"/>
  <c r="J1403" i="10"/>
  <c r="B1403" i="10"/>
  <c r="J1402" i="10"/>
  <c r="B1402" i="10"/>
  <c r="J1401" i="10"/>
  <c r="B1401" i="10"/>
  <c r="J1400" i="10"/>
  <c r="B1400" i="10"/>
  <c r="J1399" i="10"/>
  <c r="B1399" i="10"/>
  <c r="J1398" i="10"/>
  <c r="B1398" i="10"/>
  <c r="J1397" i="10"/>
  <c r="B1397" i="10"/>
  <c r="J1396" i="10"/>
  <c r="B1396" i="10"/>
  <c r="J1395" i="10"/>
  <c r="B1395" i="10"/>
  <c r="J1394" i="10"/>
  <c r="B1394" i="10"/>
  <c r="J1393" i="10"/>
  <c r="B1393" i="10"/>
  <c r="J1392" i="10"/>
  <c r="B1392" i="10"/>
  <c r="J1391" i="10"/>
  <c r="B1391" i="10"/>
  <c r="J1390" i="10"/>
  <c r="B1390" i="10"/>
  <c r="J1389" i="10"/>
  <c r="B1389" i="10"/>
  <c r="J1388" i="10"/>
  <c r="B1388" i="10"/>
  <c r="J1387" i="10"/>
  <c r="B1387" i="10"/>
  <c r="J1386" i="10"/>
  <c r="B1386" i="10"/>
  <c r="J1385" i="10"/>
  <c r="B1385" i="10"/>
  <c r="J1384" i="10"/>
  <c r="B1384" i="10"/>
  <c r="J1383" i="10"/>
  <c r="B1383" i="10"/>
  <c r="J1382" i="10"/>
  <c r="B1382" i="10"/>
  <c r="J1381" i="10"/>
  <c r="B1381" i="10"/>
  <c r="J1380" i="10"/>
  <c r="B1380" i="10"/>
  <c r="J1379" i="10"/>
  <c r="B1379" i="10"/>
  <c r="J1378" i="10"/>
  <c r="B1378" i="10"/>
  <c r="J1377" i="10"/>
  <c r="B1377" i="10"/>
  <c r="J1376" i="10"/>
  <c r="B1376" i="10"/>
  <c r="J1375" i="10"/>
  <c r="B1375" i="10"/>
  <c r="J1374" i="10"/>
  <c r="B1374" i="10"/>
  <c r="J1373" i="10"/>
  <c r="B1373" i="10"/>
  <c r="J1372" i="10"/>
  <c r="B1372" i="10"/>
  <c r="J1371" i="10"/>
  <c r="B1371" i="10"/>
  <c r="J1370" i="10"/>
  <c r="B1370" i="10"/>
  <c r="J1369" i="10"/>
  <c r="B1369" i="10"/>
  <c r="J1368" i="10"/>
  <c r="B1368" i="10"/>
  <c r="J1367" i="10"/>
  <c r="E1367" i="10"/>
  <c r="B1367" i="10"/>
  <c r="J1366" i="10"/>
  <c r="E1366" i="10"/>
  <c r="B1366" i="10"/>
  <c r="J1365" i="10"/>
  <c r="E1365" i="10"/>
  <c r="B1365" i="10"/>
  <c r="J1364" i="10"/>
  <c r="E1364" i="10"/>
  <c r="B1364" i="10"/>
  <c r="J1363" i="10"/>
  <c r="E1363" i="10"/>
  <c r="B1363" i="10"/>
  <c r="J1362" i="10"/>
  <c r="E1362" i="10"/>
  <c r="B1362" i="10"/>
  <c r="J1361" i="10"/>
  <c r="E1361" i="10"/>
  <c r="B1361" i="10"/>
  <c r="J1360" i="10"/>
  <c r="E1360" i="10"/>
  <c r="B1360" i="10"/>
  <c r="J1359" i="10"/>
  <c r="E1359" i="10"/>
  <c r="B1359" i="10"/>
  <c r="J1358" i="10"/>
  <c r="E1358" i="10"/>
  <c r="B1358" i="10"/>
  <c r="J1357" i="10"/>
  <c r="E1357" i="10"/>
  <c r="B1357" i="10"/>
  <c r="J1356" i="10"/>
  <c r="E1356" i="10"/>
  <c r="B1356" i="10"/>
  <c r="J1355" i="10"/>
  <c r="E1355" i="10"/>
  <c r="B1355" i="10"/>
  <c r="J1354" i="10"/>
  <c r="E1354" i="10"/>
  <c r="B1354" i="10"/>
  <c r="J1353" i="10"/>
  <c r="E1353" i="10"/>
  <c r="B1353" i="10"/>
  <c r="J1352" i="10"/>
  <c r="E1352" i="10"/>
  <c r="B1352" i="10"/>
  <c r="J1351" i="10"/>
  <c r="E1351" i="10"/>
  <c r="B1351" i="10"/>
  <c r="J1350" i="10"/>
  <c r="E1350" i="10"/>
  <c r="B1350" i="10"/>
  <c r="J1349" i="10"/>
  <c r="E1349" i="10"/>
  <c r="B1349" i="10"/>
  <c r="J1348" i="10"/>
  <c r="E1348" i="10"/>
  <c r="B1348" i="10"/>
  <c r="J1347" i="10"/>
  <c r="E1347" i="10"/>
  <c r="B1347" i="10"/>
  <c r="J1346" i="10"/>
  <c r="E1346" i="10"/>
  <c r="B1346" i="10"/>
  <c r="J1345" i="10"/>
  <c r="E1345" i="10"/>
  <c r="B1345" i="10"/>
  <c r="J1344" i="10"/>
  <c r="E1344" i="10"/>
  <c r="B1344" i="10"/>
  <c r="J1343" i="10"/>
  <c r="E1343" i="10"/>
  <c r="B1343" i="10"/>
  <c r="J1342" i="10"/>
  <c r="E1342" i="10"/>
  <c r="B1342" i="10"/>
  <c r="J1341" i="10"/>
  <c r="E1341" i="10"/>
  <c r="B1341" i="10"/>
  <c r="J1340" i="10"/>
  <c r="E1340" i="10"/>
  <c r="B1340" i="10"/>
  <c r="J1339" i="10"/>
  <c r="E1339" i="10"/>
  <c r="B1339" i="10"/>
  <c r="J1338" i="10"/>
  <c r="E1338" i="10"/>
  <c r="B1338" i="10"/>
  <c r="J1337" i="10"/>
  <c r="E1337" i="10"/>
  <c r="B1337" i="10"/>
  <c r="J1336" i="10"/>
  <c r="E1336" i="10"/>
  <c r="B1336" i="10"/>
  <c r="J1335" i="10"/>
  <c r="E1335" i="10"/>
  <c r="B1335" i="10"/>
  <c r="J1334" i="10"/>
  <c r="E1334" i="10"/>
  <c r="B1334" i="10"/>
  <c r="J1333" i="10"/>
  <c r="E1333" i="10"/>
  <c r="B1333" i="10"/>
  <c r="J1332" i="10"/>
  <c r="E1332" i="10"/>
  <c r="B1332" i="10"/>
  <c r="J1331" i="10"/>
  <c r="E1331" i="10"/>
  <c r="B1331" i="10"/>
  <c r="J1330" i="10"/>
  <c r="E1330" i="10"/>
  <c r="B1330" i="10"/>
  <c r="J1329" i="10"/>
  <c r="E1329" i="10"/>
  <c r="B1329" i="10"/>
  <c r="R1328" i="10"/>
  <c r="Q1328" i="10"/>
  <c r="P1328" i="10"/>
  <c r="J1328" i="10"/>
  <c r="E1328" i="10"/>
  <c r="B1328" i="10"/>
  <c r="R1327" i="10"/>
  <c r="Q1327" i="10"/>
  <c r="P1327" i="10"/>
  <c r="J1327" i="10"/>
  <c r="E1327" i="10"/>
  <c r="B1327" i="10"/>
  <c r="J1326" i="10"/>
  <c r="E1326" i="10"/>
  <c r="B1326" i="10"/>
  <c r="J1325" i="10"/>
  <c r="E1325" i="10"/>
  <c r="B1325" i="10"/>
  <c r="R1324" i="10"/>
  <c r="Q1324" i="10"/>
  <c r="P1324" i="10"/>
  <c r="J1324" i="10"/>
  <c r="E1324" i="10"/>
  <c r="B1324" i="10"/>
  <c r="R1323" i="10"/>
  <c r="Q1323" i="10"/>
  <c r="P1323" i="10"/>
  <c r="J1323" i="10"/>
  <c r="E1323" i="10"/>
  <c r="B1323" i="10"/>
  <c r="R1322" i="10"/>
  <c r="Q1322" i="10"/>
  <c r="P1322" i="10"/>
  <c r="J1322" i="10"/>
  <c r="E1322" i="10"/>
  <c r="B1322" i="10"/>
  <c r="R1321" i="10"/>
  <c r="Q1321" i="10"/>
  <c r="P1321" i="10"/>
  <c r="J1321" i="10"/>
  <c r="E1321" i="10"/>
  <c r="B1321" i="10"/>
  <c r="R1320" i="10"/>
  <c r="Q1320" i="10"/>
  <c r="P1320" i="10"/>
  <c r="J1320" i="10"/>
  <c r="E1320" i="10"/>
  <c r="B1320" i="10"/>
  <c r="R1319" i="10"/>
  <c r="Q1319" i="10"/>
  <c r="P1319" i="10"/>
  <c r="J1319" i="10"/>
  <c r="E1319" i="10"/>
  <c r="B1319" i="10"/>
  <c r="J1318" i="10"/>
  <c r="E1318" i="10"/>
  <c r="B1318" i="10"/>
  <c r="R1317" i="10"/>
  <c r="Q1317" i="10"/>
  <c r="P1317" i="10"/>
  <c r="J1317" i="10"/>
  <c r="E1317" i="10"/>
  <c r="B1317" i="10"/>
  <c r="R1316" i="10"/>
  <c r="Q1316" i="10"/>
  <c r="P1316" i="10"/>
  <c r="J1316" i="10"/>
  <c r="E1316" i="10"/>
  <c r="B1316" i="10"/>
  <c r="R1315" i="10"/>
  <c r="Q1315" i="10"/>
  <c r="P1315" i="10"/>
  <c r="J1315" i="10"/>
  <c r="E1315" i="10"/>
  <c r="B1315" i="10"/>
  <c r="R1314" i="10"/>
  <c r="Q1314" i="10"/>
  <c r="P1314" i="10"/>
  <c r="J1314" i="10"/>
  <c r="E1314" i="10"/>
  <c r="B1314" i="10"/>
  <c r="R1313" i="10"/>
  <c r="Q1313" i="10"/>
  <c r="P1313" i="10"/>
  <c r="J1313" i="10"/>
  <c r="E1313" i="10"/>
  <c r="B1313" i="10"/>
  <c r="R1312" i="10"/>
  <c r="Q1312" i="10"/>
  <c r="P1312" i="10"/>
  <c r="J1312" i="10"/>
  <c r="E1312" i="10"/>
  <c r="B1312" i="10"/>
  <c r="J1311" i="10"/>
  <c r="E1311" i="10"/>
  <c r="B1311" i="10"/>
  <c r="J1310" i="10"/>
  <c r="E1310" i="10"/>
  <c r="B1310" i="10"/>
  <c r="J1309" i="10"/>
  <c r="E1309" i="10"/>
  <c r="B1309" i="10"/>
  <c r="J1308" i="10"/>
  <c r="E1308" i="10"/>
  <c r="B1308" i="10"/>
  <c r="J1307" i="10"/>
  <c r="E1307" i="10"/>
  <c r="B1307" i="10"/>
  <c r="J1306" i="10"/>
  <c r="E1306" i="10"/>
  <c r="B1306" i="10"/>
  <c r="J1305" i="10"/>
  <c r="E1305" i="10"/>
  <c r="B1305" i="10"/>
  <c r="J1304" i="10"/>
  <c r="E1304" i="10"/>
  <c r="B1304" i="10"/>
  <c r="J1303" i="10"/>
  <c r="E1303" i="10"/>
  <c r="B1303" i="10"/>
  <c r="R1302" i="10"/>
  <c r="Q1302" i="10"/>
  <c r="P1302" i="10"/>
  <c r="J1302" i="10"/>
  <c r="E1302" i="10"/>
  <c r="B1302" i="10"/>
  <c r="R1301" i="10"/>
  <c r="Q1301" i="10"/>
  <c r="P1301" i="10"/>
  <c r="J1301" i="10"/>
  <c r="E1301" i="10"/>
  <c r="B1301" i="10"/>
  <c r="R1300" i="10"/>
  <c r="Q1300" i="10"/>
  <c r="P1300" i="10"/>
  <c r="J1300" i="10"/>
  <c r="E1300" i="10"/>
  <c r="B1300" i="10"/>
  <c r="R1299" i="10"/>
  <c r="Q1299" i="10"/>
  <c r="P1299" i="10"/>
  <c r="J1299" i="10"/>
  <c r="E1299" i="10"/>
  <c r="B1299" i="10"/>
  <c r="R1298" i="10"/>
  <c r="Q1298" i="10"/>
  <c r="P1298" i="10"/>
  <c r="J1298" i="10"/>
  <c r="E1298" i="10"/>
  <c r="B1298" i="10"/>
  <c r="R1297" i="10"/>
  <c r="Q1297" i="10"/>
  <c r="P1297" i="10"/>
  <c r="J1297" i="10"/>
  <c r="E1297" i="10"/>
  <c r="B1297" i="10"/>
  <c r="R1296" i="10"/>
  <c r="Q1296" i="10"/>
  <c r="P1296" i="10"/>
  <c r="J1296" i="10"/>
  <c r="E1296" i="10"/>
  <c r="B1296" i="10"/>
  <c r="R1295" i="10"/>
  <c r="Q1295" i="10"/>
  <c r="P1295" i="10"/>
  <c r="J1295" i="10"/>
  <c r="E1295" i="10"/>
  <c r="B1295" i="10"/>
  <c r="R1294" i="10"/>
  <c r="Q1294" i="10"/>
  <c r="P1294" i="10"/>
  <c r="J1294" i="10"/>
  <c r="E1294" i="10"/>
  <c r="B1294" i="10"/>
  <c r="R1293" i="10"/>
  <c r="Q1293" i="10"/>
  <c r="P1293" i="10"/>
  <c r="J1293" i="10"/>
  <c r="E1293" i="10"/>
  <c r="B1293" i="10"/>
  <c r="R1292" i="10"/>
  <c r="Q1292" i="10"/>
  <c r="P1292" i="10"/>
  <c r="J1292" i="10"/>
  <c r="E1292" i="10"/>
  <c r="B1292" i="10"/>
  <c r="R1291" i="10"/>
  <c r="Q1291" i="10"/>
  <c r="P1291" i="10"/>
  <c r="J1291" i="10"/>
  <c r="E1291" i="10"/>
  <c r="B1291" i="10"/>
  <c r="R1290" i="10"/>
  <c r="Q1290" i="10"/>
  <c r="P1290" i="10"/>
  <c r="J1290" i="10"/>
  <c r="E1290" i="10"/>
  <c r="B1290" i="10"/>
  <c r="R1289" i="10"/>
  <c r="Q1289" i="10"/>
  <c r="P1289" i="10"/>
  <c r="J1289" i="10"/>
  <c r="E1289" i="10"/>
  <c r="B1289" i="10"/>
  <c r="R1288" i="10"/>
  <c r="Q1288" i="10"/>
  <c r="P1288" i="10"/>
  <c r="J1288" i="10"/>
  <c r="E1288" i="10"/>
  <c r="B1288" i="10"/>
  <c r="R1287" i="10"/>
  <c r="Q1287" i="10"/>
  <c r="P1287" i="10"/>
  <c r="J1287" i="10"/>
  <c r="E1287" i="10"/>
  <c r="B1287" i="10"/>
  <c r="R1286" i="10"/>
  <c r="Q1286" i="10"/>
  <c r="P1286" i="10"/>
  <c r="J1286" i="10"/>
  <c r="E1286" i="10"/>
  <c r="B1286" i="10"/>
  <c r="R1285" i="10"/>
  <c r="Q1285" i="10"/>
  <c r="P1285" i="10"/>
  <c r="J1285" i="10"/>
  <c r="E1285" i="10"/>
  <c r="B1285" i="10"/>
  <c r="R1284" i="10"/>
  <c r="Q1284" i="10"/>
  <c r="P1284" i="10"/>
  <c r="J1284" i="10"/>
  <c r="E1284" i="10"/>
  <c r="B1284" i="10"/>
  <c r="R1283" i="10"/>
  <c r="Q1283" i="10"/>
  <c r="P1283" i="10"/>
  <c r="J1283" i="10"/>
  <c r="E1283" i="10"/>
  <c r="B1283" i="10"/>
  <c r="R1282" i="10"/>
  <c r="Q1282" i="10"/>
  <c r="P1282" i="10"/>
  <c r="J1282" i="10"/>
  <c r="E1282" i="10"/>
  <c r="B1282" i="10"/>
  <c r="J1281" i="10"/>
  <c r="E1281" i="10"/>
  <c r="B1281" i="10"/>
  <c r="J1280" i="10"/>
  <c r="E1280" i="10"/>
  <c r="B1280" i="10"/>
  <c r="R1279" i="10"/>
  <c r="Q1279" i="10"/>
  <c r="P1279" i="10"/>
  <c r="J1279" i="10"/>
  <c r="E1279" i="10"/>
  <c r="B1279" i="10"/>
  <c r="R1278" i="10"/>
  <c r="Q1278" i="10"/>
  <c r="P1278" i="10"/>
  <c r="J1278" i="10"/>
  <c r="E1278" i="10"/>
  <c r="B1278" i="10"/>
  <c r="R1277" i="10"/>
  <c r="Q1277" i="10"/>
  <c r="P1277" i="10"/>
  <c r="J1277" i="10"/>
  <c r="E1277" i="10"/>
  <c r="B1277" i="10"/>
  <c r="R1276" i="10"/>
  <c r="Q1276" i="10"/>
  <c r="P1276" i="10"/>
  <c r="J1276" i="10"/>
  <c r="E1276" i="10"/>
  <c r="B1276" i="10"/>
  <c r="R1275" i="10"/>
  <c r="Q1275" i="10"/>
  <c r="P1275" i="10"/>
  <c r="J1275" i="10"/>
  <c r="E1275" i="10"/>
  <c r="B1275" i="10"/>
  <c r="R1274" i="10"/>
  <c r="Q1274" i="10"/>
  <c r="P1274" i="10"/>
  <c r="J1274" i="10"/>
  <c r="E1274" i="10"/>
  <c r="B1274" i="10"/>
  <c r="R1273" i="10"/>
  <c r="Q1273" i="10"/>
  <c r="P1273" i="10"/>
  <c r="J1273" i="10"/>
  <c r="E1273" i="10"/>
  <c r="B1273" i="10"/>
  <c r="R1272" i="10"/>
  <c r="Q1272" i="10"/>
  <c r="P1272" i="10"/>
  <c r="J1272" i="10"/>
  <c r="E1272" i="10"/>
  <c r="B1272" i="10"/>
  <c r="R1271" i="10"/>
  <c r="Q1271" i="10"/>
  <c r="P1271" i="10"/>
  <c r="J1271" i="10"/>
  <c r="E1271" i="10"/>
  <c r="B1271" i="10"/>
  <c r="R1270" i="10"/>
  <c r="Q1270" i="10"/>
  <c r="P1270" i="10"/>
  <c r="J1270" i="10"/>
  <c r="E1270" i="10"/>
  <c r="B1270" i="10"/>
  <c r="R1269" i="10"/>
  <c r="Q1269" i="10"/>
  <c r="P1269" i="10"/>
  <c r="J1269" i="10"/>
  <c r="E1269" i="10"/>
  <c r="B1269" i="10"/>
  <c r="R1268" i="10"/>
  <c r="Q1268" i="10"/>
  <c r="P1268" i="10"/>
  <c r="J1268" i="10"/>
  <c r="E1268" i="10"/>
  <c r="B1268" i="10"/>
  <c r="R1267" i="10"/>
  <c r="Q1267" i="10"/>
  <c r="P1267" i="10"/>
  <c r="J1267" i="10"/>
  <c r="E1267" i="10"/>
  <c r="B1267" i="10"/>
  <c r="R1266" i="10"/>
  <c r="Q1266" i="10"/>
  <c r="P1266" i="10"/>
  <c r="J1266" i="10"/>
  <c r="E1266" i="10"/>
  <c r="B1266" i="10"/>
  <c r="R1265" i="10"/>
  <c r="Q1265" i="10"/>
  <c r="P1265" i="10"/>
  <c r="J1265" i="10"/>
  <c r="E1265" i="10"/>
  <c r="B1265" i="10"/>
  <c r="R1264" i="10"/>
  <c r="Q1264" i="10"/>
  <c r="P1264" i="10"/>
  <c r="J1264" i="10"/>
  <c r="E1264" i="10"/>
  <c r="B1264" i="10"/>
  <c r="R1263" i="10"/>
  <c r="Q1263" i="10"/>
  <c r="P1263" i="10"/>
  <c r="J1263" i="10"/>
  <c r="E1263" i="10"/>
  <c r="B1263" i="10"/>
  <c r="R1262" i="10"/>
  <c r="Q1262" i="10"/>
  <c r="P1262" i="10"/>
  <c r="J1262" i="10"/>
  <c r="E1262" i="10"/>
  <c r="B1262" i="10"/>
  <c r="R1261" i="10"/>
  <c r="Q1261" i="10"/>
  <c r="P1261" i="10"/>
  <c r="J1261" i="10"/>
  <c r="E1261" i="10"/>
  <c r="B1261" i="10"/>
  <c r="J1260" i="10"/>
  <c r="E1260" i="10"/>
  <c r="B1260" i="10"/>
  <c r="J1259" i="10"/>
  <c r="E1259" i="10"/>
  <c r="B1259" i="10"/>
  <c r="J1258" i="10"/>
  <c r="E1258" i="10"/>
  <c r="B1258" i="10"/>
  <c r="R1257" i="10"/>
  <c r="Q1257" i="10"/>
  <c r="P1257" i="10"/>
  <c r="J1257" i="10"/>
  <c r="E1257" i="10"/>
  <c r="B1257" i="10"/>
  <c r="R1256" i="10"/>
  <c r="Q1256" i="10"/>
  <c r="P1256" i="10"/>
  <c r="J1256" i="10"/>
  <c r="E1256" i="10"/>
  <c r="B1256" i="10"/>
  <c r="R1255" i="10"/>
  <c r="Q1255" i="10"/>
  <c r="P1255" i="10"/>
  <c r="J1255" i="10"/>
  <c r="E1255" i="10"/>
  <c r="B1255" i="10"/>
  <c r="R1254" i="10"/>
  <c r="Q1254" i="10"/>
  <c r="P1254" i="10"/>
  <c r="J1254" i="10"/>
  <c r="E1254" i="10"/>
  <c r="B1254" i="10"/>
  <c r="R1253" i="10"/>
  <c r="Q1253" i="10"/>
  <c r="P1253" i="10"/>
  <c r="J1253" i="10"/>
  <c r="E1253" i="10"/>
  <c r="B1253" i="10"/>
  <c r="R1252" i="10"/>
  <c r="Q1252" i="10"/>
  <c r="P1252" i="10"/>
  <c r="J1252" i="10"/>
  <c r="E1252" i="10"/>
  <c r="B1252" i="10"/>
  <c r="R1251" i="10"/>
  <c r="Q1251" i="10"/>
  <c r="P1251" i="10"/>
  <c r="J1251" i="10"/>
  <c r="E1251" i="10"/>
  <c r="B1251" i="10"/>
  <c r="R1250" i="10"/>
  <c r="Q1250" i="10"/>
  <c r="P1250" i="10"/>
  <c r="J1250" i="10"/>
  <c r="E1250" i="10"/>
  <c r="B1250" i="10"/>
  <c r="R1249" i="10"/>
  <c r="Q1249" i="10"/>
  <c r="P1249" i="10"/>
  <c r="J1249" i="10"/>
  <c r="E1249" i="10"/>
  <c r="B1249" i="10"/>
  <c r="J1248" i="10"/>
  <c r="E1248" i="10"/>
  <c r="B1248" i="10"/>
  <c r="J1247" i="10"/>
  <c r="E1247" i="10"/>
  <c r="B1247" i="10"/>
  <c r="R1246" i="10"/>
  <c r="Q1246" i="10"/>
  <c r="P1246" i="10"/>
  <c r="J1246" i="10"/>
  <c r="E1246" i="10"/>
  <c r="B1246" i="10"/>
  <c r="R1245" i="10"/>
  <c r="Q1245" i="10"/>
  <c r="P1245" i="10"/>
  <c r="J1245" i="10"/>
  <c r="E1245" i="10"/>
  <c r="B1245" i="10"/>
  <c r="R1244" i="10"/>
  <c r="Q1244" i="10"/>
  <c r="P1244" i="10"/>
  <c r="J1244" i="10"/>
  <c r="E1244" i="10"/>
  <c r="B1244" i="10"/>
  <c r="R1243" i="10"/>
  <c r="Q1243" i="10"/>
  <c r="P1243" i="10"/>
  <c r="J1243" i="10"/>
  <c r="E1243" i="10"/>
  <c r="B1243" i="10"/>
  <c r="R1242" i="10"/>
  <c r="Q1242" i="10"/>
  <c r="P1242" i="10"/>
  <c r="J1242" i="10"/>
  <c r="E1242" i="10"/>
  <c r="B1242" i="10"/>
  <c r="R1241" i="10"/>
  <c r="Q1241" i="10"/>
  <c r="P1241" i="10"/>
  <c r="J1241" i="10"/>
  <c r="E1241" i="10"/>
  <c r="B1241" i="10"/>
  <c r="R1240" i="10"/>
  <c r="Q1240" i="10"/>
  <c r="P1240" i="10"/>
  <c r="J1240" i="10"/>
  <c r="E1240" i="10"/>
  <c r="B1240" i="10"/>
  <c r="R1239" i="10"/>
  <c r="Q1239" i="10"/>
  <c r="P1239" i="10"/>
  <c r="J1239" i="10"/>
  <c r="E1239" i="10"/>
  <c r="B1239" i="10"/>
  <c r="R1238" i="10"/>
  <c r="Q1238" i="10"/>
  <c r="P1238" i="10"/>
  <c r="J1238" i="10"/>
  <c r="E1238" i="10"/>
  <c r="B1238" i="10"/>
  <c r="R1237" i="10"/>
  <c r="Q1237" i="10"/>
  <c r="P1237" i="10"/>
  <c r="J1237" i="10"/>
  <c r="E1237" i="10"/>
  <c r="B1237" i="10"/>
  <c r="R1236" i="10"/>
  <c r="Q1236" i="10"/>
  <c r="P1236" i="10"/>
  <c r="J1236" i="10"/>
  <c r="E1236" i="10"/>
  <c r="B1236" i="10"/>
  <c r="R1235" i="10"/>
  <c r="Q1235" i="10"/>
  <c r="P1235" i="10"/>
  <c r="J1235" i="10"/>
  <c r="E1235" i="10"/>
  <c r="B1235" i="10"/>
  <c r="R1234" i="10"/>
  <c r="Q1234" i="10"/>
  <c r="P1234" i="10"/>
  <c r="J1234" i="10"/>
  <c r="E1234" i="10"/>
  <c r="B1234" i="10"/>
  <c r="R1233" i="10"/>
  <c r="Q1233" i="10"/>
  <c r="P1233" i="10"/>
  <c r="J1233" i="10"/>
  <c r="E1233" i="10"/>
  <c r="B1233" i="10"/>
  <c r="R1232" i="10"/>
  <c r="Q1232" i="10"/>
  <c r="P1232" i="10"/>
  <c r="J1232" i="10"/>
  <c r="E1232" i="10"/>
  <c r="B1232" i="10"/>
  <c r="R1231" i="10"/>
  <c r="Q1231" i="10"/>
  <c r="P1231" i="10"/>
  <c r="J1231" i="10"/>
  <c r="E1231" i="10"/>
  <c r="B1231" i="10"/>
  <c r="R1230" i="10"/>
  <c r="Q1230" i="10"/>
  <c r="P1230" i="10"/>
  <c r="J1230" i="10"/>
  <c r="E1230" i="10"/>
  <c r="B1230" i="10"/>
  <c r="R1229" i="10"/>
  <c r="Q1229" i="10"/>
  <c r="P1229" i="10"/>
  <c r="J1229" i="10"/>
  <c r="E1229" i="10"/>
  <c r="B1229" i="10"/>
  <c r="R1228" i="10"/>
  <c r="Q1228" i="10"/>
  <c r="P1228" i="10"/>
  <c r="J1228" i="10"/>
  <c r="E1228" i="10"/>
  <c r="B1228" i="10"/>
  <c r="R1227" i="10"/>
  <c r="Q1227" i="10"/>
  <c r="P1227" i="10"/>
  <c r="J1227" i="10"/>
  <c r="E1227" i="10"/>
  <c r="B1227" i="10"/>
  <c r="R1226" i="10"/>
  <c r="Q1226" i="10"/>
  <c r="P1226" i="10"/>
  <c r="J1226" i="10"/>
  <c r="E1226" i="10"/>
  <c r="B1226" i="10"/>
  <c r="R1225" i="10"/>
  <c r="Q1225" i="10"/>
  <c r="P1225" i="10"/>
  <c r="J1225" i="10"/>
  <c r="E1225" i="10"/>
  <c r="B1225" i="10"/>
  <c r="R1224" i="10"/>
  <c r="Q1224" i="10"/>
  <c r="P1224" i="10"/>
  <c r="J1224" i="10"/>
  <c r="E1224" i="10"/>
  <c r="B1224" i="10"/>
  <c r="R1223" i="10"/>
  <c r="Q1223" i="10"/>
  <c r="P1223" i="10"/>
  <c r="J1223" i="10"/>
  <c r="E1223" i="10"/>
  <c r="B1223" i="10"/>
  <c r="R1222" i="10"/>
  <c r="Q1222" i="10"/>
  <c r="P1222" i="10"/>
  <c r="J1222" i="10"/>
  <c r="E1222" i="10"/>
  <c r="B1222" i="10"/>
  <c r="R1221" i="10"/>
  <c r="Q1221" i="10"/>
  <c r="P1221" i="10"/>
  <c r="J1221" i="10"/>
  <c r="E1221" i="10"/>
  <c r="B1221" i="10"/>
  <c r="R1220" i="10"/>
  <c r="Q1220" i="10"/>
  <c r="P1220" i="10"/>
  <c r="J1220" i="10"/>
  <c r="E1220" i="10"/>
  <c r="B1220" i="10"/>
  <c r="R1219" i="10"/>
  <c r="Q1219" i="10"/>
  <c r="P1219" i="10"/>
  <c r="J1219" i="10"/>
  <c r="E1219" i="10"/>
  <c r="B1219" i="10"/>
  <c r="R1218" i="10"/>
  <c r="Q1218" i="10"/>
  <c r="P1218" i="10"/>
  <c r="J1218" i="10"/>
  <c r="E1218" i="10"/>
  <c r="B1218" i="10"/>
  <c r="R1217" i="10"/>
  <c r="Q1217" i="10"/>
  <c r="P1217" i="10"/>
  <c r="J1217" i="10"/>
  <c r="E1217" i="10"/>
  <c r="B1217" i="10"/>
  <c r="R1216" i="10"/>
  <c r="Q1216" i="10"/>
  <c r="P1216" i="10"/>
  <c r="J1216" i="10"/>
  <c r="E1216" i="10"/>
  <c r="B1216" i="10"/>
  <c r="J1215" i="10"/>
  <c r="E1215" i="10"/>
  <c r="B1215" i="10"/>
  <c r="J1214" i="10"/>
  <c r="E1214" i="10"/>
  <c r="B1214" i="10"/>
  <c r="R1213" i="10"/>
  <c r="Q1213" i="10"/>
  <c r="P1213" i="10"/>
  <c r="J1213" i="10"/>
  <c r="E1213" i="10"/>
  <c r="B1213" i="10"/>
  <c r="R1212" i="10"/>
  <c r="Q1212" i="10"/>
  <c r="P1212" i="10"/>
  <c r="J1212" i="10"/>
  <c r="E1212" i="10"/>
  <c r="B1212" i="10"/>
  <c r="R1211" i="10"/>
  <c r="Q1211" i="10"/>
  <c r="P1211" i="10"/>
  <c r="J1211" i="10"/>
  <c r="E1211" i="10"/>
  <c r="B1211" i="10"/>
  <c r="R1210" i="10"/>
  <c r="Q1210" i="10"/>
  <c r="P1210" i="10"/>
  <c r="J1210" i="10"/>
  <c r="E1210" i="10"/>
  <c r="B1210" i="10"/>
  <c r="R1209" i="10"/>
  <c r="Q1209" i="10"/>
  <c r="P1209" i="10"/>
  <c r="J1209" i="10"/>
  <c r="E1209" i="10"/>
  <c r="B1209" i="10"/>
  <c r="R1208" i="10"/>
  <c r="Q1208" i="10"/>
  <c r="P1208" i="10"/>
  <c r="J1208" i="10"/>
  <c r="E1208" i="10"/>
  <c r="B1208" i="10"/>
  <c r="R1207" i="10"/>
  <c r="Q1207" i="10"/>
  <c r="P1207" i="10"/>
  <c r="J1207" i="10"/>
  <c r="E1207" i="10"/>
  <c r="B1207" i="10"/>
  <c r="R1206" i="10"/>
  <c r="Q1206" i="10"/>
  <c r="P1206" i="10"/>
  <c r="J1206" i="10"/>
  <c r="E1206" i="10"/>
  <c r="B1206" i="10"/>
  <c r="R1205" i="10"/>
  <c r="Q1205" i="10"/>
  <c r="P1205" i="10"/>
  <c r="J1205" i="10"/>
  <c r="E1205" i="10"/>
  <c r="B1205" i="10"/>
  <c r="R1204" i="10"/>
  <c r="Q1204" i="10"/>
  <c r="P1204" i="10"/>
  <c r="J1204" i="10"/>
  <c r="E1204" i="10"/>
  <c r="B1204" i="10"/>
  <c r="R1203" i="10"/>
  <c r="Q1203" i="10"/>
  <c r="P1203" i="10"/>
  <c r="J1203" i="10"/>
  <c r="E1203" i="10"/>
  <c r="B1203" i="10"/>
  <c r="R1202" i="10"/>
  <c r="Q1202" i="10"/>
  <c r="P1202" i="10"/>
  <c r="J1202" i="10"/>
  <c r="E1202" i="10"/>
  <c r="B1202" i="10"/>
  <c r="R1201" i="10"/>
  <c r="Q1201" i="10"/>
  <c r="P1201" i="10"/>
  <c r="J1201" i="10"/>
  <c r="E1201" i="10"/>
  <c r="B1201" i="10"/>
  <c r="R1200" i="10"/>
  <c r="Q1200" i="10"/>
  <c r="P1200" i="10"/>
  <c r="J1200" i="10"/>
  <c r="E1200" i="10"/>
  <c r="B1200" i="10"/>
  <c r="R1199" i="10"/>
  <c r="Q1199" i="10"/>
  <c r="P1199" i="10"/>
  <c r="J1199" i="10"/>
  <c r="E1199" i="10"/>
  <c r="B1199" i="10"/>
  <c r="R1198" i="10"/>
  <c r="Q1198" i="10"/>
  <c r="P1198" i="10"/>
  <c r="J1198" i="10"/>
  <c r="E1198" i="10"/>
  <c r="B1198" i="10"/>
  <c r="R1197" i="10"/>
  <c r="Q1197" i="10"/>
  <c r="P1197" i="10"/>
  <c r="J1197" i="10"/>
  <c r="E1197" i="10"/>
  <c r="B1197" i="10"/>
  <c r="R1196" i="10"/>
  <c r="Q1196" i="10"/>
  <c r="P1196" i="10"/>
  <c r="J1196" i="10"/>
  <c r="E1196" i="10"/>
  <c r="B1196" i="10"/>
  <c r="J1195" i="10"/>
  <c r="E1195" i="10"/>
  <c r="B1195" i="10"/>
  <c r="J1194" i="10"/>
  <c r="E1194" i="10"/>
  <c r="B1194" i="10"/>
  <c r="J1193" i="10"/>
  <c r="E1193" i="10"/>
  <c r="B1193" i="10"/>
  <c r="J1192" i="10"/>
  <c r="E1192" i="10"/>
  <c r="B1192" i="10"/>
  <c r="J1191" i="10"/>
  <c r="E1191" i="10"/>
  <c r="B1191" i="10"/>
  <c r="J1190" i="10"/>
  <c r="E1190" i="10"/>
  <c r="B1190" i="10"/>
  <c r="J1189" i="10"/>
  <c r="E1189" i="10"/>
  <c r="B1189" i="10"/>
  <c r="J1188" i="10"/>
  <c r="E1188" i="10"/>
  <c r="B1188" i="10"/>
  <c r="J1187" i="10"/>
  <c r="E1187" i="10"/>
  <c r="B1187" i="10"/>
  <c r="J1186" i="10"/>
  <c r="E1186" i="10"/>
  <c r="B1186" i="10"/>
  <c r="J1185" i="10"/>
  <c r="E1185" i="10"/>
  <c r="B1185" i="10"/>
  <c r="J1184" i="10"/>
  <c r="E1184" i="10"/>
  <c r="B1184" i="10"/>
  <c r="J1183" i="10"/>
  <c r="E1183" i="10"/>
  <c r="B1183" i="10"/>
  <c r="J1182" i="10"/>
  <c r="E1182" i="10"/>
  <c r="B1182" i="10"/>
  <c r="J1181" i="10"/>
  <c r="E1181" i="10"/>
  <c r="B1181" i="10"/>
  <c r="J1180" i="10"/>
  <c r="E1180" i="10"/>
  <c r="B1180" i="10"/>
  <c r="J1179" i="10"/>
  <c r="E1179" i="10"/>
  <c r="B1179" i="10"/>
  <c r="P1178" i="10"/>
  <c r="J1178" i="10"/>
  <c r="E1178" i="10"/>
  <c r="B1178" i="10"/>
  <c r="P1177" i="10"/>
  <c r="J1177" i="10"/>
  <c r="E1177" i="10"/>
  <c r="B1177" i="10"/>
  <c r="P1176" i="10"/>
  <c r="J1176" i="10"/>
  <c r="E1176" i="10"/>
  <c r="B1176" i="10"/>
  <c r="P1175" i="10"/>
  <c r="J1175" i="10"/>
  <c r="E1175" i="10"/>
  <c r="B1175" i="10"/>
  <c r="P1174" i="10"/>
  <c r="J1174" i="10"/>
  <c r="E1174" i="10"/>
  <c r="B1174" i="10"/>
  <c r="P1173" i="10"/>
  <c r="J1173" i="10"/>
  <c r="E1173" i="10"/>
  <c r="B1173" i="10"/>
  <c r="P1172" i="10"/>
  <c r="J1172" i="10"/>
  <c r="E1172" i="10"/>
  <c r="B1172" i="10"/>
  <c r="J1171" i="10"/>
  <c r="E1171" i="10"/>
  <c r="B1171" i="10"/>
  <c r="J1170" i="10"/>
  <c r="E1170" i="10"/>
  <c r="B1170" i="10"/>
  <c r="P1169" i="10"/>
  <c r="J1169" i="10"/>
  <c r="E1169" i="10"/>
  <c r="B1169" i="10"/>
  <c r="P1168" i="10"/>
  <c r="J1168" i="10"/>
  <c r="E1168" i="10"/>
  <c r="B1168" i="10"/>
  <c r="P1167" i="10"/>
  <c r="J1167" i="10"/>
  <c r="E1167" i="10"/>
  <c r="B1167" i="10"/>
  <c r="P1166" i="10"/>
  <c r="J1166" i="10"/>
  <c r="E1166" i="10"/>
  <c r="B1166" i="10"/>
  <c r="J1165" i="10"/>
  <c r="E1165" i="10"/>
  <c r="B1165" i="10"/>
  <c r="J1164" i="10"/>
  <c r="E1164" i="10"/>
  <c r="B1164" i="10"/>
  <c r="P1163" i="10"/>
  <c r="J1163" i="10"/>
  <c r="E1163" i="10"/>
  <c r="B1163" i="10"/>
  <c r="P1162" i="10"/>
  <c r="J1162" i="10"/>
  <c r="E1162" i="10"/>
  <c r="B1162" i="10"/>
  <c r="P1161" i="10"/>
  <c r="J1161" i="10"/>
  <c r="E1161" i="10"/>
  <c r="B1161" i="10"/>
  <c r="P1160" i="10"/>
  <c r="J1160" i="10"/>
  <c r="E1160" i="10"/>
  <c r="B1160" i="10"/>
  <c r="P1159" i="10"/>
  <c r="J1159" i="10"/>
  <c r="E1159" i="10"/>
  <c r="B1159" i="10"/>
  <c r="P1158" i="10"/>
  <c r="J1158" i="10"/>
  <c r="E1158" i="10"/>
  <c r="B1158" i="10"/>
  <c r="P1157" i="10"/>
  <c r="J1157" i="10"/>
  <c r="E1157" i="10"/>
  <c r="B1157" i="10"/>
  <c r="P1156" i="10"/>
  <c r="J1156" i="10"/>
  <c r="E1156" i="10"/>
  <c r="B1156" i="10"/>
  <c r="P1155" i="10"/>
  <c r="J1155" i="10"/>
  <c r="E1155" i="10"/>
  <c r="B1155" i="10"/>
  <c r="P1154" i="10"/>
  <c r="J1154" i="10"/>
  <c r="E1154" i="10"/>
  <c r="B1154" i="10"/>
  <c r="P1153" i="10"/>
  <c r="J1153" i="10"/>
  <c r="E1153" i="10"/>
  <c r="B1153" i="10"/>
  <c r="P1152" i="10"/>
  <c r="J1152" i="10"/>
  <c r="E1152" i="10"/>
  <c r="B1152" i="10"/>
  <c r="P1151" i="10"/>
  <c r="J1151" i="10"/>
  <c r="E1151" i="10"/>
  <c r="B1151" i="10"/>
  <c r="P1150" i="10"/>
  <c r="J1150" i="10"/>
  <c r="E1150" i="10"/>
  <c r="B1150" i="10"/>
  <c r="P1149" i="10"/>
  <c r="J1149" i="10"/>
  <c r="E1149" i="10"/>
  <c r="B1149" i="10"/>
  <c r="P1148" i="10"/>
  <c r="J1148" i="10"/>
  <c r="E1148" i="10"/>
  <c r="B1148" i="10"/>
  <c r="P1147" i="10"/>
  <c r="J1147" i="10"/>
  <c r="E1147" i="10"/>
  <c r="B1147" i="10"/>
  <c r="P1146" i="10"/>
  <c r="J1146" i="10"/>
  <c r="E1146" i="10"/>
  <c r="B1146" i="10"/>
  <c r="J1145" i="10"/>
  <c r="E1145" i="10"/>
  <c r="B1145" i="10"/>
  <c r="R1144" i="10"/>
  <c r="Q1144" i="10"/>
  <c r="P1144" i="10"/>
  <c r="J1144" i="10"/>
  <c r="E1144" i="10"/>
  <c r="B1144" i="10"/>
  <c r="R1143" i="10"/>
  <c r="Q1143" i="10"/>
  <c r="P1143" i="10"/>
  <c r="J1143" i="10"/>
  <c r="E1143" i="10"/>
  <c r="B1143" i="10"/>
  <c r="R1142" i="10"/>
  <c r="Q1142" i="10"/>
  <c r="P1142" i="10"/>
  <c r="J1142" i="10"/>
  <c r="E1142" i="10"/>
  <c r="B1142" i="10"/>
  <c r="R1141" i="10"/>
  <c r="Q1141" i="10"/>
  <c r="P1141" i="10"/>
  <c r="J1141" i="10"/>
  <c r="E1141" i="10"/>
  <c r="B1141" i="10"/>
  <c r="R1140" i="10"/>
  <c r="Q1140" i="10"/>
  <c r="P1140" i="10"/>
  <c r="J1140" i="10"/>
  <c r="E1140" i="10"/>
  <c r="B1140" i="10"/>
  <c r="R1139" i="10"/>
  <c r="Q1139" i="10"/>
  <c r="P1139" i="10"/>
  <c r="J1139" i="10"/>
  <c r="E1139" i="10"/>
  <c r="B1139" i="10"/>
  <c r="R1138" i="10"/>
  <c r="Q1138" i="10"/>
  <c r="P1138" i="10"/>
  <c r="J1138" i="10"/>
  <c r="E1138" i="10"/>
  <c r="B1138" i="10"/>
  <c r="R1137" i="10"/>
  <c r="Q1137" i="10"/>
  <c r="P1137" i="10"/>
  <c r="J1137" i="10"/>
  <c r="E1137" i="10"/>
  <c r="B1137" i="10"/>
  <c r="R1136" i="10"/>
  <c r="Q1136" i="10"/>
  <c r="P1136" i="10"/>
  <c r="J1136" i="10"/>
  <c r="E1136" i="10"/>
  <c r="B1136" i="10"/>
  <c r="R1135" i="10"/>
  <c r="Q1135" i="10"/>
  <c r="P1135" i="10"/>
  <c r="J1135" i="10"/>
  <c r="E1135" i="10"/>
  <c r="B1135" i="10"/>
  <c r="R1134" i="10"/>
  <c r="Q1134" i="10"/>
  <c r="P1134" i="10"/>
  <c r="J1134" i="10"/>
  <c r="E1134" i="10"/>
  <c r="B1134" i="10"/>
  <c r="R1133" i="10"/>
  <c r="Q1133" i="10"/>
  <c r="P1133" i="10"/>
  <c r="J1133" i="10"/>
  <c r="E1133" i="10"/>
  <c r="B1133" i="10"/>
  <c r="R1132" i="10"/>
  <c r="Q1132" i="10"/>
  <c r="P1132" i="10"/>
  <c r="J1132" i="10"/>
  <c r="E1132" i="10"/>
  <c r="B1132" i="10"/>
  <c r="R1131" i="10"/>
  <c r="Q1131" i="10"/>
  <c r="P1131" i="10"/>
  <c r="J1131" i="10"/>
  <c r="E1131" i="10"/>
  <c r="B1131" i="10"/>
  <c r="R1130" i="10"/>
  <c r="Q1130" i="10"/>
  <c r="P1130" i="10"/>
  <c r="J1130" i="10"/>
  <c r="E1130" i="10"/>
  <c r="B1130" i="10"/>
  <c r="R1129" i="10"/>
  <c r="Q1129" i="10"/>
  <c r="P1129" i="10"/>
  <c r="J1129" i="10"/>
  <c r="E1129" i="10"/>
  <c r="B1129" i="10"/>
  <c r="R1128" i="10"/>
  <c r="Q1128" i="10"/>
  <c r="P1128" i="10"/>
  <c r="J1128" i="10"/>
  <c r="E1128" i="10"/>
  <c r="B1128" i="10"/>
  <c r="R1127" i="10"/>
  <c r="Q1127" i="10"/>
  <c r="P1127" i="10"/>
  <c r="J1127" i="10"/>
  <c r="E1127" i="10"/>
  <c r="B1127" i="10"/>
  <c r="R1126" i="10"/>
  <c r="Q1126" i="10"/>
  <c r="P1126" i="10"/>
  <c r="J1126" i="10"/>
  <c r="E1126" i="10"/>
  <c r="B1126" i="10"/>
  <c r="R1125" i="10"/>
  <c r="Q1125" i="10"/>
  <c r="P1125" i="10"/>
  <c r="J1125" i="10"/>
  <c r="E1125" i="10"/>
  <c r="B1125" i="10"/>
  <c r="R1124" i="10"/>
  <c r="Q1124" i="10"/>
  <c r="P1124" i="10"/>
  <c r="J1124" i="10"/>
  <c r="E1124" i="10"/>
  <c r="B1124" i="10"/>
  <c r="R1123" i="10"/>
  <c r="Q1123" i="10"/>
  <c r="P1123" i="10"/>
  <c r="J1123" i="10"/>
  <c r="E1123" i="10"/>
  <c r="B1123" i="10"/>
  <c r="R1122" i="10"/>
  <c r="Q1122" i="10"/>
  <c r="P1122" i="10"/>
  <c r="J1122" i="10"/>
  <c r="E1122" i="10"/>
  <c r="B1122" i="10"/>
  <c r="R1121" i="10"/>
  <c r="Q1121" i="10"/>
  <c r="P1121" i="10"/>
  <c r="J1121" i="10"/>
  <c r="E1121" i="10"/>
  <c r="B1121" i="10"/>
  <c r="R1120" i="10"/>
  <c r="Q1120" i="10"/>
  <c r="P1120" i="10"/>
  <c r="J1120" i="10"/>
  <c r="E1120" i="10"/>
  <c r="B1120" i="10"/>
  <c r="R1119" i="10"/>
  <c r="Q1119" i="10"/>
  <c r="P1119" i="10"/>
  <c r="J1119" i="10"/>
  <c r="E1119" i="10"/>
  <c r="B1119" i="10"/>
  <c r="R1118" i="10"/>
  <c r="Q1118" i="10"/>
  <c r="P1118" i="10"/>
  <c r="J1118" i="10"/>
  <c r="E1118" i="10"/>
  <c r="B1118" i="10"/>
  <c r="R1117" i="10"/>
  <c r="Q1117" i="10"/>
  <c r="P1117" i="10"/>
  <c r="J1117" i="10"/>
  <c r="E1117" i="10"/>
  <c r="B1117" i="10"/>
  <c r="R1116" i="10"/>
  <c r="Q1116" i="10"/>
  <c r="P1116" i="10"/>
  <c r="J1116" i="10"/>
  <c r="E1116" i="10"/>
  <c r="B1116" i="10"/>
  <c r="R1115" i="10"/>
  <c r="Q1115" i="10"/>
  <c r="P1115" i="10"/>
  <c r="J1115" i="10"/>
  <c r="E1115" i="10"/>
  <c r="B1115" i="10"/>
  <c r="R1114" i="10"/>
  <c r="Q1114" i="10"/>
  <c r="P1114" i="10"/>
  <c r="J1114" i="10"/>
  <c r="E1114" i="10"/>
  <c r="B1114" i="10"/>
  <c r="R1113" i="10"/>
  <c r="Q1113" i="10"/>
  <c r="P1113" i="10"/>
  <c r="J1113" i="10"/>
  <c r="E1113" i="10"/>
  <c r="B1113" i="10"/>
  <c r="J1112" i="10"/>
  <c r="E1112" i="10"/>
  <c r="B1112" i="10"/>
  <c r="J1111" i="10"/>
  <c r="E1111" i="10"/>
  <c r="B1111" i="10"/>
  <c r="R1110" i="10"/>
  <c r="Q1110" i="10"/>
  <c r="P1110" i="10"/>
  <c r="J1110" i="10"/>
  <c r="E1110" i="10"/>
  <c r="B1110" i="10"/>
  <c r="R1109" i="10"/>
  <c r="Q1109" i="10"/>
  <c r="P1109" i="10"/>
  <c r="J1109" i="10"/>
  <c r="E1109" i="10"/>
  <c r="B1109" i="10"/>
  <c r="R1108" i="10"/>
  <c r="Q1108" i="10"/>
  <c r="P1108" i="10"/>
  <c r="J1108" i="10"/>
  <c r="E1108" i="10"/>
  <c r="B1108" i="10"/>
  <c r="R1107" i="10"/>
  <c r="Q1107" i="10"/>
  <c r="P1107" i="10"/>
  <c r="J1107" i="10"/>
  <c r="E1107" i="10"/>
  <c r="B1107" i="10"/>
  <c r="R1106" i="10"/>
  <c r="Q1106" i="10"/>
  <c r="P1106" i="10"/>
  <c r="J1106" i="10"/>
  <c r="E1106" i="10"/>
  <c r="B1106" i="10"/>
  <c r="R1105" i="10"/>
  <c r="Q1105" i="10"/>
  <c r="P1105" i="10"/>
  <c r="J1105" i="10"/>
  <c r="E1105" i="10"/>
  <c r="B1105" i="10"/>
  <c r="R1104" i="10"/>
  <c r="Q1104" i="10"/>
  <c r="P1104" i="10"/>
  <c r="J1104" i="10"/>
  <c r="E1104" i="10"/>
  <c r="B1104" i="10"/>
  <c r="R1103" i="10"/>
  <c r="Q1103" i="10"/>
  <c r="P1103" i="10"/>
  <c r="J1103" i="10"/>
  <c r="E1103" i="10"/>
  <c r="B1103" i="10"/>
  <c r="R1102" i="10"/>
  <c r="Q1102" i="10"/>
  <c r="P1102" i="10"/>
  <c r="J1102" i="10"/>
  <c r="E1102" i="10"/>
  <c r="B1102" i="10"/>
  <c r="J1101" i="10"/>
  <c r="E1101" i="10"/>
  <c r="B1101" i="10"/>
  <c r="J1100" i="10"/>
  <c r="E1100" i="10"/>
  <c r="B1100" i="10"/>
  <c r="R1099" i="10"/>
  <c r="Q1099" i="10"/>
  <c r="P1099" i="10"/>
  <c r="J1099" i="10"/>
  <c r="E1099" i="10"/>
  <c r="B1099" i="10"/>
  <c r="R1098" i="10"/>
  <c r="Q1098" i="10"/>
  <c r="P1098" i="10"/>
  <c r="J1098" i="10"/>
  <c r="E1098" i="10"/>
  <c r="B1098" i="10"/>
  <c r="R1097" i="10"/>
  <c r="Q1097" i="10"/>
  <c r="P1097" i="10"/>
  <c r="J1097" i="10"/>
  <c r="E1097" i="10"/>
  <c r="B1097" i="10"/>
  <c r="R1096" i="10"/>
  <c r="Q1096" i="10"/>
  <c r="P1096" i="10"/>
  <c r="J1096" i="10"/>
  <c r="E1096" i="10"/>
  <c r="B1096" i="10"/>
  <c r="R1095" i="10"/>
  <c r="Q1095" i="10"/>
  <c r="P1095" i="10"/>
  <c r="J1095" i="10"/>
  <c r="E1095" i="10"/>
  <c r="B1095" i="10"/>
  <c r="R1094" i="10"/>
  <c r="Q1094" i="10"/>
  <c r="P1094" i="10"/>
  <c r="J1094" i="10"/>
  <c r="E1094" i="10"/>
  <c r="B1094" i="10"/>
  <c r="R1093" i="10"/>
  <c r="Q1093" i="10"/>
  <c r="P1093" i="10"/>
  <c r="J1093" i="10"/>
  <c r="E1093" i="10"/>
  <c r="B1093" i="10"/>
  <c r="R1092" i="10"/>
  <c r="Q1092" i="10"/>
  <c r="P1092" i="10"/>
  <c r="J1092" i="10"/>
  <c r="E1092" i="10"/>
  <c r="B1092" i="10"/>
  <c r="R1091" i="10"/>
  <c r="Q1091" i="10"/>
  <c r="P1091" i="10"/>
  <c r="J1091" i="10"/>
  <c r="E1091" i="10"/>
  <c r="B1091" i="10"/>
  <c r="R1090" i="10"/>
  <c r="Q1090" i="10"/>
  <c r="P1090" i="10"/>
  <c r="J1090" i="10"/>
  <c r="E1090" i="10"/>
  <c r="B1090" i="10"/>
  <c r="R1089" i="10"/>
  <c r="Q1089" i="10"/>
  <c r="P1089" i="10"/>
  <c r="J1089" i="10"/>
  <c r="E1089" i="10"/>
  <c r="B1089" i="10"/>
  <c r="R1088" i="10"/>
  <c r="Q1088" i="10"/>
  <c r="P1088" i="10"/>
  <c r="J1088" i="10"/>
  <c r="E1088" i="10"/>
  <c r="B1088" i="10"/>
  <c r="R1087" i="10"/>
  <c r="Q1087" i="10"/>
  <c r="P1087" i="10"/>
  <c r="J1087" i="10"/>
  <c r="E1087" i="10"/>
  <c r="B1087" i="10"/>
  <c r="R1086" i="10"/>
  <c r="Q1086" i="10"/>
  <c r="P1086" i="10"/>
  <c r="J1086" i="10"/>
  <c r="E1086" i="10"/>
  <c r="B1086" i="10"/>
  <c r="R1085" i="10"/>
  <c r="Q1085" i="10"/>
  <c r="P1085" i="10"/>
  <c r="J1085" i="10"/>
  <c r="E1085" i="10"/>
  <c r="B1085" i="10"/>
  <c r="R1084" i="10"/>
  <c r="Q1084" i="10"/>
  <c r="P1084" i="10"/>
  <c r="J1084" i="10"/>
  <c r="E1084" i="10"/>
  <c r="B1084" i="10"/>
  <c r="R1083" i="10"/>
  <c r="Q1083" i="10"/>
  <c r="P1083" i="10"/>
  <c r="J1083" i="10"/>
  <c r="E1083" i="10"/>
  <c r="B1083" i="10"/>
  <c r="R1082" i="10"/>
  <c r="Q1082" i="10"/>
  <c r="P1082" i="10"/>
  <c r="J1082" i="10"/>
  <c r="E1082" i="10"/>
  <c r="B1082" i="10"/>
  <c r="R1081" i="10"/>
  <c r="Q1081" i="10"/>
  <c r="P1081" i="10"/>
  <c r="J1081" i="10"/>
  <c r="E1081" i="10"/>
  <c r="B1081" i="10"/>
  <c r="R1080" i="10"/>
  <c r="Q1080" i="10"/>
  <c r="P1080" i="10"/>
  <c r="J1080" i="10"/>
  <c r="E1080" i="10"/>
  <c r="B1080" i="10"/>
  <c r="R1079" i="10"/>
  <c r="Q1079" i="10"/>
  <c r="P1079" i="10"/>
  <c r="J1079" i="10"/>
  <c r="E1079" i="10"/>
  <c r="B1079" i="10"/>
  <c r="J1078" i="10"/>
  <c r="E1078" i="10"/>
  <c r="B1078" i="10"/>
  <c r="J1077" i="10"/>
  <c r="E1077" i="10"/>
  <c r="B1077" i="10"/>
  <c r="J1076" i="10"/>
  <c r="E1076" i="10"/>
  <c r="B1076" i="10"/>
  <c r="J1075" i="10"/>
  <c r="E1075" i="10"/>
  <c r="B1075" i="10"/>
  <c r="J1074" i="10"/>
  <c r="E1074" i="10"/>
  <c r="B1074" i="10"/>
  <c r="J1073" i="10"/>
  <c r="E1073" i="10"/>
  <c r="B1073" i="10"/>
  <c r="J1072" i="10"/>
  <c r="E1072" i="10"/>
  <c r="B1072" i="10"/>
  <c r="J1071" i="10"/>
  <c r="E1071" i="10"/>
  <c r="B1071" i="10"/>
  <c r="J1070" i="10"/>
  <c r="E1070" i="10"/>
  <c r="B1070" i="10"/>
  <c r="J1069" i="10"/>
  <c r="E1069" i="10"/>
  <c r="B1069" i="10"/>
  <c r="J1068" i="10"/>
  <c r="E1068" i="10"/>
  <c r="B1068" i="10"/>
  <c r="J1067" i="10"/>
  <c r="E1067" i="10"/>
  <c r="B1067" i="10"/>
  <c r="J1066" i="10"/>
  <c r="E1066" i="10"/>
  <c r="B1066" i="10"/>
  <c r="J1065" i="10"/>
  <c r="E1065" i="10"/>
  <c r="B1065" i="10"/>
  <c r="J1064" i="10"/>
  <c r="E1064" i="10"/>
  <c r="B1064" i="10"/>
  <c r="J1063" i="10"/>
  <c r="E1063" i="10"/>
  <c r="B1063" i="10"/>
  <c r="J1062" i="10"/>
  <c r="E1062" i="10"/>
  <c r="B1062" i="10"/>
  <c r="J1061" i="10"/>
  <c r="E1061" i="10"/>
  <c r="B1061" i="10"/>
  <c r="J1060" i="10"/>
  <c r="E1060" i="10"/>
  <c r="B1060" i="10"/>
  <c r="J1059" i="10"/>
  <c r="E1059" i="10"/>
  <c r="B1059" i="10"/>
  <c r="J1058" i="10"/>
  <c r="E1058" i="10"/>
  <c r="B1058" i="10"/>
  <c r="J1057" i="10"/>
  <c r="E1057" i="10"/>
  <c r="B1057" i="10"/>
  <c r="J1056" i="10"/>
  <c r="E1056" i="10"/>
  <c r="B1056" i="10"/>
  <c r="J1055" i="10"/>
  <c r="E1055" i="10"/>
  <c r="B1055" i="10"/>
  <c r="J1054" i="10"/>
  <c r="E1054" i="10"/>
  <c r="B1054" i="10"/>
  <c r="J1053" i="10"/>
  <c r="E1053" i="10"/>
  <c r="B1053" i="10"/>
  <c r="J1052" i="10"/>
  <c r="E1052" i="10"/>
  <c r="B1052" i="10"/>
  <c r="J1051" i="10"/>
  <c r="E1051" i="10"/>
  <c r="B1051" i="10"/>
  <c r="J1050" i="10"/>
  <c r="E1050" i="10"/>
  <c r="B1050" i="10"/>
  <c r="J1049" i="10"/>
  <c r="E1049" i="10"/>
  <c r="B1049" i="10"/>
  <c r="J1048" i="10"/>
  <c r="E1048" i="10"/>
  <c r="B1048" i="10"/>
  <c r="J1047" i="10"/>
  <c r="E1047" i="10"/>
  <c r="B1047" i="10"/>
  <c r="J1046" i="10"/>
  <c r="E1046" i="10"/>
  <c r="B1046" i="10"/>
  <c r="J1045" i="10"/>
  <c r="E1045" i="10"/>
  <c r="B1045" i="10"/>
  <c r="J1044" i="10"/>
  <c r="E1044" i="10"/>
  <c r="B1044" i="10"/>
  <c r="J1043" i="10"/>
  <c r="E1043" i="10"/>
  <c r="B1043" i="10"/>
  <c r="J1042" i="10"/>
  <c r="E1042" i="10"/>
  <c r="B1042" i="10"/>
  <c r="J1041" i="10"/>
  <c r="E1041" i="10"/>
  <c r="B1041" i="10"/>
  <c r="J1040" i="10"/>
  <c r="E1040" i="10"/>
  <c r="B1040" i="10"/>
  <c r="J1039" i="10"/>
  <c r="E1039" i="10"/>
  <c r="B1039" i="10"/>
  <c r="J1038" i="10"/>
  <c r="E1038" i="10"/>
  <c r="B1038" i="10"/>
  <c r="J1037" i="10"/>
  <c r="E1037" i="10"/>
  <c r="B1037" i="10"/>
  <c r="J1036" i="10"/>
  <c r="E1036" i="10"/>
  <c r="B1036" i="10"/>
  <c r="J1035" i="10"/>
  <c r="E1035" i="10"/>
  <c r="B1035" i="10"/>
  <c r="J1034" i="10"/>
  <c r="E1034" i="10"/>
  <c r="B1034" i="10"/>
  <c r="J1033" i="10"/>
  <c r="E1033" i="10"/>
  <c r="B1033" i="10"/>
  <c r="J1032" i="10"/>
  <c r="E1032" i="10"/>
  <c r="B1032" i="10"/>
  <c r="J1031" i="10"/>
  <c r="E1031" i="10"/>
  <c r="B1031" i="10"/>
  <c r="J1030" i="10"/>
  <c r="E1030" i="10"/>
  <c r="B1030" i="10"/>
  <c r="J1029" i="10"/>
  <c r="E1029" i="10"/>
  <c r="B1029" i="10"/>
  <c r="J1028" i="10"/>
  <c r="E1028" i="10"/>
  <c r="B1028" i="10"/>
  <c r="J1027" i="10"/>
  <c r="E1027" i="10"/>
  <c r="B1027" i="10"/>
  <c r="J1026" i="10"/>
  <c r="E1026" i="10"/>
  <c r="B1026" i="10"/>
  <c r="J1025" i="10"/>
  <c r="E1025" i="10"/>
  <c r="B1025" i="10"/>
  <c r="J1024" i="10"/>
  <c r="E1024" i="10"/>
  <c r="B1024" i="10"/>
  <c r="J1023" i="10"/>
  <c r="E1023" i="10"/>
  <c r="B1023" i="10"/>
  <c r="J1022" i="10"/>
  <c r="E1022" i="10"/>
  <c r="B1022" i="10"/>
  <c r="J1021" i="10"/>
  <c r="E1021" i="10"/>
  <c r="B1021" i="10"/>
  <c r="J1020" i="10"/>
  <c r="E1020" i="10"/>
  <c r="B1020" i="10"/>
  <c r="J1019" i="10"/>
  <c r="E1019" i="10"/>
  <c r="B1019" i="10"/>
  <c r="J1018" i="10"/>
  <c r="E1018" i="10"/>
  <c r="B1018" i="10"/>
  <c r="J1017" i="10"/>
  <c r="E1017" i="10"/>
  <c r="B1017" i="10"/>
  <c r="J1016" i="10"/>
  <c r="E1016" i="10"/>
  <c r="B1016" i="10"/>
  <c r="J1015" i="10"/>
  <c r="E1015" i="10"/>
  <c r="B1015" i="10"/>
  <c r="J1014" i="10"/>
  <c r="E1014" i="10"/>
  <c r="B1014" i="10"/>
  <c r="J1013" i="10"/>
  <c r="E1013" i="10"/>
  <c r="B1013" i="10"/>
  <c r="J1012" i="10"/>
  <c r="E1012" i="10"/>
  <c r="B1012" i="10"/>
  <c r="J1011" i="10"/>
  <c r="E1011" i="10"/>
  <c r="B1011" i="10"/>
  <c r="J1010" i="10"/>
  <c r="E1010" i="10"/>
  <c r="B1010" i="10"/>
  <c r="J1009" i="10"/>
  <c r="E1009" i="10"/>
  <c r="B1009" i="10"/>
  <c r="J1008" i="10"/>
  <c r="E1008" i="10"/>
  <c r="B1008" i="10"/>
  <c r="J1007" i="10"/>
  <c r="E1007" i="10"/>
  <c r="B1007" i="10"/>
  <c r="J1006" i="10"/>
  <c r="E1006" i="10"/>
  <c r="B1006" i="10"/>
  <c r="J1005" i="10"/>
  <c r="E1005" i="10"/>
  <c r="B1005" i="10"/>
  <c r="J1004" i="10"/>
  <c r="E1004" i="10"/>
  <c r="B1004" i="10"/>
  <c r="J1003" i="10"/>
  <c r="E1003" i="10"/>
  <c r="B1003" i="10"/>
  <c r="J1002" i="10"/>
  <c r="E1002" i="10"/>
  <c r="B1002" i="10"/>
  <c r="J1001" i="10"/>
  <c r="E1001" i="10"/>
  <c r="B1001" i="10"/>
  <c r="J1000" i="10"/>
  <c r="E1000" i="10"/>
  <c r="B1000" i="10"/>
  <c r="J999" i="10"/>
  <c r="E999" i="10"/>
  <c r="B999" i="10"/>
  <c r="J998" i="10"/>
  <c r="E998" i="10"/>
  <c r="B998" i="10"/>
  <c r="J997" i="10"/>
  <c r="E997" i="10"/>
  <c r="B997" i="10"/>
  <c r="J996" i="10"/>
  <c r="E996" i="10"/>
  <c r="B996" i="10"/>
  <c r="J995" i="10"/>
  <c r="E995" i="10"/>
  <c r="B995" i="10"/>
  <c r="J994" i="10"/>
  <c r="E994" i="10"/>
  <c r="B994" i="10"/>
  <c r="J993" i="10"/>
  <c r="E993" i="10"/>
  <c r="B993" i="10"/>
  <c r="J992" i="10"/>
  <c r="E992" i="10"/>
  <c r="B992" i="10"/>
  <c r="J991" i="10"/>
  <c r="E991" i="10"/>
  <c r="B991" i="10"/>
  <c r="J990" i="10"/>
  <c r="E990" i="10"/>
  <c r="B990" i="10"/>
  <c r="J989" i="10"/>
  <c r="E989" i="10"/>
  <c r="B989" i="10"/>
  <c r="J988" i="10"/>
  <c r="E988" i="10"/>
  <c r="B988" i="10"/>
  <c r="J987" i="10"/>
  <c r="E987" i="10"/>
  <c r="B987" i="10"/>
  <c r="J986" i="10"/>
  <c r="E986" i="10"/>
  <c r="B986" i="10"/>
  <c r="J985" i="10"/>
  <c r="E985" i="10"/>
  <c r="B985" i="10"/>
  <c r="J984" i="10"/>
  <c r="E984" i="10"/>
  <c r="B984" i="10"/>
  <c r="J983" i="10"/>
  <c r="E983" i="10"/>
  <c r="B983" i="10"/>
  <c r="J982" i="10"/>
  <c r="E982" i="10"/>
  <c r="B982" i="10"/>
  <c r="J981" i="10"/>
  <c r="E981" i="10"/>
  <c r="B981" i="10"/>
  <c r="J980" i="10"/>
  <c r="E980" i="10"/>
  <c r="B980" i="10"/>
  <c r="J979" i="10"/>
  <c r="E979" i="10"/>
  <c r="B979" i="10"/>
  <c r="J978" i="10"/>
  <c r="E978" i="10"/>
  <c r="B978" i="10"/>
  <c r="J977" i="10"/>
  <c r="E977" i="10"/>
  <c r="B977" i="10"/>
  <c r="J976" i="10"/>
  <c r="E976" i="10"/>
  <c r="B976" i="10"/>
  <c r="J975" i="10"/>
  <c r="E975" i="10"/>
  <c r="B975" i="10"/>
  <c r="J974" i="10"/>
  <c r="E974" i="10"/>
  <c r="B974" i="10"/>
  <c r="J973" i="10"/>
  <c r="E973" i="10"/>
  <c r="B973" i="10"/>
  <c r="J972" i="10"/>
  <c r="E972" i="10"/>
  <c r="B972" i="10"/>
  <c r="J971" i="10"/>
  <c r="E971" i="10"/>
  <c r="B971" i="10"/>
  <c r="J970" i="10"/>
  <c r="E970" i="10"/>
  <c r="B970" i="10"/>
  <c r="J969" i="10"/>
  <c r="E969" i="10"/>
  <c r="B969" i="10"/>
  <c r="J968" i="10"/>
  <c r="E968" i="10"/>
  <c r="B968" i="10"/>
  <c r="J967" i="10"/>
  <c r="E967" i="10"/>
  <c r="B967" i="10"/>
  <c r="J966" i="10"/>
  <c r="E966" i="10"/>
  <c r="B966" i="10"/>
  <c r="J965" i="10"/>
  <c r="E965" i="10"/>
  <c r="B965" i="10"/>
  <c r="J964" i="10"/>
  <c r="E964" i="10"/>
  <c r="B964" i="10"/>
  <c r="J963" i="10"/>
  <c r="E963" i="10"/>
  <c r="B963" i="10"/>
  <c r="J962" i="10"/>
  <c r="E962" i="10"/>
  <c r="B962" i="10"/>
  <c r="J961" i="10"/>
  <c r="E961" i="10"/>
  <c r="B961" i="10"/>
  <c r="J960" i="10"/>
  <c r="E960" i="10"/>
  <c r="B960" i="10"/>
  <c r="J959" i="10"/>
  <c r="E959" i="10"/>
  <c r="B959" i="10"/>
  <c r="J958" i="10"/>
  <c r="E958" i="10"/>
  <c r="B958" i="10"/>
  <c r="J957" i="10"/>
  <c r="E957" i="10"/>
  <c r="B957" i="10"/>
  <c r="J956" i="10"/>
  <c r="E956" i="10"/>
  <c r="B956" i="10"/>
  <c r="J955" i="10"/>
  <c r="E955" i="10"/>
  <c r="B955" i="10"/>
  <c r="J954" i="10"/>
  <c r="E954" i="10"/>
  <c r="B954" i="10"/>
  <c r="J953" i="10"/>
  <c r="E953" i="10"/>
  <c r="B953" i="10"/>
  <c r="J952" i="10"/>
  <c r="E952" i="10"/>
  <c r="B952" i="10"/>
  <c r="J951" i="10"/>
  <c r="E951" i="10"/>
  <c r="B951" i="10"/>
  <c r="J950" i="10"/>
  <c r="E950" i="10"/>
  <c r="B950" i="10"/>
  <c r="J949" i="10"/>
  <c r="E949" i="10"/>
  <c r="B949" i="10"/>
  <c r="J948" i="10"/>
  <c r="E948" i="10"/>
  <c r="B948" i="10"/>
  <c r="J947" i="10"/>
  <c r="E947" i="10"/>
  <c r="B947" i="10"/>
  <c r="J946" i="10"/>
  <c r="E946" i="10"/>
  <c r="B946" i="10"/>
  <c r="J945" i="10"/>
  <c r="E945" i="10"/>
  <c r="B945" i="10"/>
  <c r="J944" i="10"/>
  <c r="E944" i="10"/>
  <c r="B944" i="10"/>
  <c r="J943" i="10"/>
  <c r="E943" i="10"/>
  <c r="B943" i="10"/>
  <c r="J942" i="10"/>
  <c r="E942" i="10"/>
  <c r="B942" i="10"/>
  <c r="J941" i="10"/>
  <c r="E941" i="10"/>
  <c r="B941" i="10"/>
  <c r="J940" i="10"/>
  <c r="E940" i="10"/>
  <c r="B940" i="10"/>
  <c r="J939" i="10"/>
  <c r="E939" i="10"/>
  <c r="B939" i="10"/>
  <c r="J938" i="10"/>
  <c r="E938" i="10"/>
  <c r="B938" i="10"/>
  <c r="J937" i="10"/>
  <c r="E937" i="10"/>
  <c r="B937" i="10"/>
  <c r="J936" i="10"/>
  <c r="E936" i="10"/>
  <c r="B936" i="10"/>
  <c r="J935" i="10"/>
  <c r="E935" i="10"/>
  <c r="B935" i="10"/>
  <c r="J934" i="10"/>
  <c r="E934" i="10"/>
  <c r="B934" i="10"/>
  <c r="J933" i="10"/>
  <c r="E933" i="10"/>
  <c r="B933" i="10"/>
  <c r="J932" i="10"/>
  <c r="E932" i="10"/>
  <c r="B932" i="10"/>
  <c r="J931" i="10"/>
  <c r="E931" i="10"/>
  <c r="B931" i="10"/>
  <c r="J930" i="10"/>
  <c r="E930" i="10"/>
  <c r="B930" i="10"/>
  <c r="J929" i="10"/>
  <c r="E929" i="10"/>
  <c r="B929" i="10"/>
  <c r="J928" i="10"/>
  <c r="E928" i="10"/>
  <c r="B928" i="10"/>
  <c r="J927" i="10"/>
  <c r="E927" i="10"/>
  <c r="B927" i="10"/>
  <c r="J926" i="10"/>
  <c r="E926" i="10"/>
  <c r="B926" i="10"/>
  <c r="J925" i="10"/>
  <c r="E925" i="10"/>
  <c r="B925" i="10"/>
  <c r="J924" i="10"/>
  <c r="E924" i="10"/>
  <c r="B924" i="10"/>
  <c r="J923" i="10"/>
  <c r="E923" i="10"/>
  <c r="B923" i="10"/>
  <c r="J922" i="10"/>
  <c r="E922" i="10"/>
  <c r="B922" i="10"/>
  <c r="J921" i="10"/>
  <c r="E921" i="10"/>
  <c r="B921" i="10"/>
  <c r="J920" i="10"/>
  <c r="E920" i="10"/>
  <c r="B920" i="10"/>
  <c r="J919" i="10"/>
  <c r="E919" i="10"/>
  <c r="B919" i="10"/>
  <c r="J918" i="10"/>
  <c r="E918" i="10"/>
  <c r="B918" i="10"/>
  <c r="J917" i="10"/>
  <c r="E917" i="10"/>
  <c r="B917" i="10"/>
  <c r="J916" i="10"/>
  <c r="E916" i="10"/>
  <c r="B916" i="10"/>
  <c r="J915" i="10"/>
  <c r="E915" i="10"/>
  <c r="B915" i="10"/>
  <c r="J914" i="10"/>
  <c r="E914" i="10"/>
  <c r="B914" i="10"/>
  <c r="J913" i="10"/>
  <c r="E913" i="10"/>
  <c r="B913" i="10"/>
  <c r="J912" i="10"/>
  <c r="E912" i="10"/>
  <c r="B912" i="10"/>
  <c r="J911" i="10"/>
  <c r="E911" i="10"/>
  <c r="B911" i="10"/>
  <c r="J910" i="10"/>
  <c r="E910" i="10"/>
  <c r="B910" i="10"/>
  <c r="J909" i="10"/>
  <c r="E909" i="10"/>
  <c r="B909" i="10"/>
  <c r="J908" i="10"/>
  <c r="E908" i="10"/>
  <c r="B908" i="10"/>
  <c r="J907" i="10"/>
  <c r="E907" i="10"/>
  <c r="B907" i="10"/>
  <c r="J906" i="10"/>
  <c r="E906" i="10"/>
  <c r="B906" i="10"/>
  <c r="J905" i="10"/>
  <c r="E905" i="10"/>
  <c r="B905" i="10"/>
  <c r="J904" i="10"/>
  <c r="E904" i="10"/>
  <c r="B904" i="10"/>
  <c r="J903" i="10"/>
  <c r="E903" i="10"/>
  <c r="B903" i="10"/>
  <c r="J902" i="10"/>
  <c r="E902" i="10"/>
  <c r="B902" i="10"/>
  <c r="J901" i="10"/>
  <c r="E901" i="10"/>
  <c r="B901" i="10"/>
  <c r="J900" i="10"/>
  <c r="E900" i="10"/>
  <c r="B900" i="10"/>
  <c r="J899" i="10"/>
  <c r="E899" i="10"/>
  <c r="B899" i="10"/>
  <c r="J898" i="10"/>
  <c r="E898" i="10"/>
  <c r="B898" i="10"/>
  <c r="J897" i="10"/>
  <c r="E897" i="10"/>
  <c r="B897" i="10"/>
  <c r="J896" i="10"/>
  <c r="E896" i="10"/>
  <c r="B896" i="10"/>
  <c r="J895" i="10"/>
  <c r="E895" i="10"/>
  <c r="B895" i="10"/>
  <c r="J894" i="10"/>
  <c r="E894" i="10"/>
  <c r="B894" i="10"/>
  <c r="J893" i="10"/>
  <c r="E893" i="10"/>
  <c r="B893" i="10"/>
  <c r="J892" i="10"/>
  <c r="E892" i="10"/>
  <c r="B892" i="10"/>
  <c r="J891" i="10"/>
  <c r="E891" i="10"/>
  <c r="B891" i="10"/>
  <c r="J890" i="10"/>
  <c r="E890" i="10"/>
  <c r="B890" i="10"/>
  <c r="J889" i="10"/>
  <c r="E889" i="10"/>
  <c r="B889" i="10"/>
  <c r="J888" i="10"/>
  <c r="E888" i="10"/>
  <c r="B888" i="10"/>
  <c r="J887" i="10"/>
  <c r="E887" i="10"/>
  <c r="B887" i="10"/>
  <c r="J886" i="10"/>
  <c r="E886" i="10"/>
  <c r="B886" i="10"/>
  <c r="J885" i="10"/>
  <c r="E885" i="10"/>
  <c r="B885" i="10"/>
  <c r="J884" i="10"/>
  <c r="E884" i="10"/>
  <c r="B884" i="10"/>
  <c r="J883" i="10"/>
  <c r="E883" i="10"/>
  <c r="B883" i="10"/>
  <c r="J882" i="10"/>
  <c r="E882" i="10"/>
  <c r="B882" i="10"/>
  <c r="J881" i="10"/>
  <c r="E881" i="10"/>
  <c r="B881" i="10"/>
  <c r="J880" i="10"/>
  <c r="E880" i="10"/>
  <c r="B880" i="10"/>
  <c r="J879" i="10"/>
  <c r="E879" i="10"/>
  <c r="B879" i="10"/>
  <c r="J878" i="10"/>
  <c r="E878" i="10"/>
  <c r="B878" i="10"/>
  <c r="J877" i="10"/>
  <c r="E877" i="10"/>
  <c r="B877" i="10"/>
  <c r="J876" i="10"/>
  <c r="E876" i="10"/>
  <c r="B876" i="10"/>
  <c r="J875" i="10"/>
  <c r="E875" i="10"/>
  <c r="B875" i="10"/>
  <c r="J874" i="10"/>
  <c r="E874" i="10"/>
  <c r="B874" i="10"/>
  <c r="J873" i="10"/>
  <c r="E873" i="10"/>
  <c r="B873" i="10"/>
  <c r="J872" i="10"/>
  <c r="E872" i="10"/>
  <c r="B872" i="10"/>
  <c r="J871" i="10"/>
  <c r="E871" i="10"/>
  <c r="B871" i="10"/>
  <c r="J870" i="10"/>
  <c r="E870" i="10"/>
  <c r="B870" i="10"/>
  <c r="J869" i="10"/>
  <c r="E869" i="10"/>
  <c r="B869" i="10"/>
  <c r="J868" i="10"/>
  <c r="E868" i="10"/>
  <c r="B868" i="10"/>
  <c r="J867" i="10"/>
  <c r="E867" i="10"/>
  <c r="B867" i="10"/>
  <c r="J866" i="10"/>
  <c r="E866" i="10"/>
  <c r="B866" i="10"/>
  <c r="J865" i="10"/>
  <c r="E865" i="10"/>
  <c r="B865" i="10"/>
  <c r="J864" i="10"/>
  <c r="E864" i="10"/>
  <c r="B864" i="10"/>
  <c r="J863" i="10"/>
  <c r="E863" i="10"/>
  <c r="B863" i="10"/>
  <c r="J862" i="10"/>
  <c r="E862" i="10"/>
  <c r="B862" i="10"/>
  <c r="J861" i="10"/>
  <c r="E861" i="10"/>
  <c r="B861" i="10"/>
  <c r="J860" i="10"/>
  <c r="E860" i="10"/>
  <c r="B860" i="10"/>
  <c r="J859" i="10"/>
  <c r="E859" i="10"/>
  <c r="B859" i="10"/>
  <c r="J858" i="10"/>
  <c r="E858" i="10"/>
  <c r="B858" i="10"/>
  <c r="J857" i="10"/>
  <c r="E857" i="10"/>
  <c r="B857" i="10"/>
  <c r="J856" i="10"/>
  <c r="E856" i="10"/>
  <c r="B856" i="10"/>
  <c r="J855" i="10"/>
  <c r="E855" i="10"/>
  <c r="B855" i="10"/>
  <c r="J854" i="10"/>
  <c r="E854" i="10"/>
  <c r="B854" i="10"/>
  <c r="J853" i="10"/>
  <c r="E853" i="10"/>
  <c r="B853" i="10"/>
  <c r="J852" i="10"/>
  <c r="E852" i="10"/>
  <c r="B852" i="10"/>
  <c r="J851" i="10"/>
  <c r="E851" i="10"/>
  <c r="B851" i="10"/>
  <c r="J850" i="10"/>
  <c r="E850" i="10"/>
  <c r="B850" i="10"/>
  <c r="J849" i="10"/>
  <c r="E849" i="10"/>
  <c r="B849" i="10"/>
  <c r="J848" i="10"/>
  <c r="E848" i="10"/>
  <c r="B848" i="10"/>
  <c r="J847" i="10"/>
  <c r="E847" i="10"/>
  <c r="B847" i="10"/>
  <c r="J846" i="10"/>
  <c r="E846" i="10"/>
  <c r="B846" i="10"/>
  <c r="J845" i="10"/>
  <c r="E845" i="10"/>
  <c r="B845" i="10"/>
  <c r="J844" i="10"/>
  <c r="E844" i="10"/>
  <c r="B844" i="10"/>
  <c r="J843" i="10"/>
  <c r="E843" i="10"/>
  <c r="B843" i="10"/>
  <c r="J842" i="10"/>
  <c r="E842" i="10"/>
  <c r="B842" i="10"/>
  <c r="J841" i="10"/>
  <c r="E841" i="10"/>
  <c r="B841" i="10"/>
  <c r="J840" i="10"/>
  <c r="E840" i="10"/>
  <c r="B840" i="10"/>
  <c r="J839" i="10"/>
  <c r="E839" i="10"/>
  <c r="B839" i="10"/>
  <c r="J838" i="10"/>
  <c r="E838" i="10"/>
  <c r="B838" i="10"/>
  <c r="J837" i="10"/>
  <c r="E837" i="10"/>
  <c r="B837" i="10"/>
  <c r="J836" i="10"/>
  <c r="E836" i="10"/>
  <c r="B836" i="10"/>
  <c r="J835" i="10"/>
  <c r="E835" i="10"/>
  <c r="B835" i="10"/>
  <c r="J834" i="10"/>
  <c r="E834" i="10"/>
  <c r="B834" i="10"/>
  <c r="J833" i="10"/>
  <c r="E833" i="10"/>
  <c r="B833" i="10"/>
  <c r="J832" i="10"/>
  <c r="E832" i="10"/>
  <c r="B832" i="10"/>
  <c r="J831" i="10"/>
  <c r="E831" i="10"/>
  <c r="B831" i="10"/>
  <c r="J830" i="10"/>
  <c r="E830" i="10"/>
  <c r="B830" i="10"/>
  <c r="J829" i="10"/>
  <c r="E829" i="10"/>
  <c r="B829" i="10"/>
  <c r="J828" i="10"/>
  <c r="E828" i="10"/>
  <c r="B828" i="10"/>
  <c r="J827" i="10"/>
  <c r="E827" i="10"/>
  <c r="B827" i="10"/>
  <c r="J826" i="10"/>
  <c r="E826" i="10"/>
  <c r="B826" i="10"/>
  <c r="J825" i="10"/>
  <c r="E825" i="10"/>
  <c r="B825" i="10"/>
  <c r="J824" i="10"/>
  <c r="E824" i="10"/>
  <c r="B824" i="10"/>
  <c r="J823" i="10"/>
  <c r="E823" i="10"/>
  <c r="B823" i="10"/>
  <c r="J822" i="10"/>
  <c r="E822" i="10"/>
  <c r="B822" i="10"/>
  <c r="J821" i="10"/>
  <c r="E821" i="10"/>
  <c r="B821" i="10"/>
  <c r="J820" i="10"/>
  <c r="E820" i="10"/>
  <c r="B820" i="10"/>
  <c r="J819" i="10"/>
  <c r="E819" i="10"/>
  <c r="B819" i="10"/>
  <c r="J818" i="10"/>
  <c r="E818" i="10"/>
  <c r="B818" i="10"/>
  <c r="J817" i="10"/>
  <c r="E817" i="10"/>
  <c r="B817" i="10"/>
  <c r="J816" i="10"/>
  <c r="E816" i="10"/>
  <c r="B816" i="10"/>
  <c r="J815" i="10"/>
  <c r="E815" i="10"/>
  <c r="B815" i="10"/>
  <c r="J814" i="10"/>
  <c r="E814" i="10"/>
  <c r="B814" i="10"/>
  <c r="J813" i="10"/>
  <c r="E813" i="10"/>
  <c r="B813" i="10"/>
  <c r="J812" i="10"/>
  <c r="E812" i="10"/>
  <c r="B812" i="10"/>
  <c r="J811" i="10"/>
  <c r="E811" i="10"/>
  <c r="B811" i="10"/>
  <c r="J810" i="10"/>
  <c r="E810" i="10"/>
  <c r="B810" i="10"/>
  <c r="J809" i="10"/>
  <c r="E809" i="10"/>
  <c r="B809" i="10"/>
  <c r="J808" i="10"/>
  <c r="E808" i="10"/>
  <c r="B808" i="10"/>
  <c r="J807" i="10"/>
  <c r="E807" i="10"/>
  <c r="B807" i="10"/>
  <c r="J806" i="10"/>
  <c r="E806" i="10"/>
  <c r="B806" i="10"/>
  <c r="J805" i="10"/>
  <c r="E805" i="10"/>
  <c r="B805" i="10"/>
  <c r="J804" i="10"/>
  <c r="E804" i="10"/>
  <c r="B804" i="10"/>
  <c r="J803" i="10"/>
  <c r="E803" i="10"/>
  <c r="B803" i="10"/>
  <c r="J802" i="10"/>
  <c r="E802" i="10"/>
  <c r="B802" i="10"/>
  <c r="J801" i="10"/>
  <c r="E801" i="10"/>
  <c r="B801" i="10"/>
  <c r="J800" i="10"/>
  <c r="E800" i="10"/>
  <c r="B800" i="10"/>
  <c r="J799" i="10"/>
  <c r="E799" i="10"/>
  <c r="B799" i="10"/>
  <c r="J798" i="10"/>
  <c r="E798" i="10"/>
  <c r="B798" i="10"/>
  <c r="J797" i="10"/>
  <c r="E797" i="10"/>
  <c r="B797" i="10"/>
  <c r="J796" i="10"/>
  <c r="E796" i="10"/>
  <c r="B796" i="10"/>
  <c r="J795" i="10"/>
  <c r="E795" i="10"/>
  <c r="B795" i="10"/>
  <c r="J794" i="10"/>
  <c r="E794" i="10"/>
  <c r="B794" i="10"/>
  <c r="J793" i="10"/>
  <c r="E793" i="10"/>
  <c r="B793" i="10"/>
  <c r="J792" i="10"/>
  <c r="E792" i="10"/>
  <c r="B792" i="10"/>
  <c r="J791" i="10"/>
  <c r="E791" i="10"/>
  <c r="B791" i="10"/>
  <c r="J790" i="10"/>
  <c r="E790" i="10"/>
  <c r="B790" i="10"/>
  <c r="J789" i="10"/>
  <c r="E789" i="10"/>
  <c r="B789" i="10"/>
  <c r="J788" i="10"/>
  <c r="E788" i="10"/>
  <c r="B788" i="10"/>
  <c r="J787" i="10"/>
  <c r="E787" i="10"/>
  <c r="B787" i="10"/>
  <c r="J786" i="10"/>
  <c r="E786" i="10"/>
  <c r="B786" i="10"/>
  <c r="J785" i="10"/>
  <c r="E785" i="10"/>
  <c r="B785" i="10"/>
  <c r="J784" i="10"/>
  <c r="E784" i="10"/>
  <c r="B784" i="10"/>
  <c r="J783" i="10"/>
  <c r="E783" i="10"/>
  <c r="B783" i="10"/>
  <c r="J782" i="10"/>
  <c r="E782" i="10"/>
  <c r="B782" i="10"/>
  <c r="J781" i="10"/>
  <c r="E781" i="10"/>
  <c r="B781" i="10"/>
  <c r="J780" i="10"/>
  <c r="E780" i="10"/>
  <c r="B780" i="10"/>
  <c r="J779" i="10"/>
  <c r="E779" i="10"/>
  <c r="B779" i="10"/>
  <c r="J778" i="10"/>
  <c r="E778" i="10"/>
  <c r="B778" i="10"/>
  <c r="J777" i="10"/>
  <c r="E777" i="10"/>
  <c r="B777" i="10"/>
  <c r="J776" i="10"/>
  <c r="E776" i="10"/>
  <c r="B776" i="10"/>
  <c r="J775" i="10"/>
  <c r="E775" i="10"/>
  <c r="B775" i="10"/>
  <c r="J774" i="10"/>
  <c r="E774" i="10"/>
  <c r="B774" i="10"/>
  <c r="J773" i="10"/>
  <c r="E773" i="10"/>
  <c r="B773" i="10"/>
  <c r="J772" i="10"/>
  <c r="E772" i="10"/>
  <c r="B772" i="10"/>
  <c r="J771" i="10"/>
  <c r="E771" i="10"/>
  <c r="B771" i="10"/>
  <c r="J770" i="10"/>
  <c r="E770" i="10"/>
  <c r="B770" i="10"/>
  <c r="J769" i="10"/>
  <c r="E769" i="10"/>
  <c r="B769" i="10"/>
  <c r="J768" i="10"/>
  <c r="E768" i="10"/>
  <c r="B768" i="10"/>
  <c r="J767" i="10"/>
  <c r="E767" i="10"/>
  <c r="B767" i="10"/>
  <c r="J766" i="10"/>
  <c r="E766" i="10"/>
  <c r="B766" i="10"/>
  <c r="J765" i="10"/>
  <c r="E765" i="10"/>
  <c r="B765" i="10"/>
  <c r="J764" i="10"/>
  <c r="E764" i="10"/>
  <c r="B764" i="10"/>
  <c r="J763" i="10"/>
  <c r="E763" i="10"/>
  <c r="B763" i="10"/>
  <c r="J762" i="10"/>
  <c r="E762" i="10"/>
  <c r="B762" i="10"/>
  <c r="J761" i="10"/>
  <c r="E761" i="10"/>
  <c r="B761" i="10"/>
  <c r="J760" i="10"/>
  <c r="E760" i="10"/>
  <c r="B760" i="10"/>
  <c r="J759" i="10"/>
  <c r="E759" i="10"/>
  <c r="B759" i="10"/>
  <c r="J758" i="10"/>
  <c r="E758" i="10"/>
  <c r="B758" i="10"/>
  <c r="J757" i="10"/>
  <c r="E757" i="10"/>
  <c r="B757" i="10"/>
  <c r="J756" i="10"/>
  <c r="E756" i="10"/>
  <c r="B756" i="10"/>
  <c r="J755" i="10"/>
  <c r="E755" i="10"/>
  <c r="B755" i="10"/>
  <c r="J754" i="10"/>
  <c r="E754" i="10"/>
  <c r="B754" i="10"/>
  <c r="J753" i="10"/>
  <c r="E753" i="10"/>
  <c r="B753" i="10"/>
  <c r="J752" i="10"/>
  <c r="E752" i="10"/>
  <c r="B752" i="10"/>
  <c r="J751" i="10"/>
  <c r="E751" i="10"/>
  <c r="B751" i="10"/>
  <c r="J750" i="10"/>
  <c r="E750" i="10"/>
  <c r="B750" i="10"/>
  <c r="J749" i="10"/>
  <c r="E749" i="10"/>
  <c r="B749" i="10"/>
  <c r="J748" i="10"/>
  <c r="E748" i="10"/>
  <c r="B748" i="10"/>
  <c r="J747" i="10"/>
  <c r="E747" i="10"/>
  <c r="B747" i="10"/>
  <c r="J746" i="10"/>
  <c r="E746" i="10"/>
  <c r="B746" i="10"/>
  <c r="J745" i="10"/>
  <c r="E745" i="10"/>
  <c r="B745" i="10"/>
  <c r="J744" i="10"/>
  <c r="E744" i="10"/>
  <c r="B744" i="10"/>
  <c r="J743" i="10"/>
  <c r="E743" i="10"/>
  <c r="B743" i="10"/>
  <c r="J742" i="10"/>
  <c r="E742" i="10"/>
  <c r="B742" i="10"/>
  <c r="J741" i="10"/>
  <c r="E741" i="10"/>
  <c r="B741" i="10"/>
  <c r="J740" i="10"/>
  <c r="E740" i="10"/>
  <c r="B740" i="10"/>
  <c r="J739" i="10"/>
  <c r="E739" i="10"/>
  <c r="B739" i="10"/>
  <c r="J738" i="10"/>
  <c r="E738" i="10"/>
  <c r="B738" i="10"/>
  <c r="J737" i="10"/>
  <c r="E737" i="10"/>
  <c r="B737" i="10"/>
  <c r="J736" i="10"/>
  <c r="E736" i="10"/>
  <c r="B736" i="10"/>
  <c r="J735" i="10"/>
  <c r="E735" i="10"/>
  <c r="B735" i="10"/>
  <c r="J734" i="10"/>
  <c r="E734" i="10"/>
  <c r="B734" i="10"/>
  <c r="J733" i="10"/>
  <c r="E733" i="10"/>
  <c r="B733" i="10"/>
  <c r="J732" i="10"/>
  <c r="E732" i="10"/>
  <c r="B732" i="10"/>
  <c r="J731" i="10"/>
  <c r="E731" i="10"/>
  <c r="B731" i="10"/>
  <c r="J730" i="10"/>
  <c r="E730" i="10"/>
  <c r="B730" i="10"/>
  <c r="J729" i="10"/>
  <c r="E729" i="10"/>
  <c r="B729" i="10"/>
  <c r="J728" i="10"/>
  <c r="E728" i="10"/>
  <c r="B728" i="10"/>
  <c r="J727" i="10"/>
  <c r="E727" i="10"/>
  <c r="B727" i="10"/>
  <c r="J726" i="10"/>
  <c r="E726" i="10"/>
  <c r="B726" i="10"/>
  <c r="J725" i="10"/>
  <c r="E725" i="10"/>
  <c r="B725" i="10"/>
  <c r="J724" i="10"/>
  <c r="E724" i="10"/>
  <c r="B724" i="10"/>
  <c r="J723" i="10"/>
  <c r="E723" i="10"/>
  <c r="B723" i="10"/>
  <c r="J722" i="10"/>
  <c r="E722" i="10"/>
  <c r="B722" i="10"/>
  <c r="J721" i="10"/>
  <c r="E721" i="10"/>
  <c r="B721" i="10"/>
  <c r="J720" i="10"/>
  <c r="E720" i="10"/>
  <c r="B720" i="10"/>
  <c r="J719" i="10"/>
  <c r="E719" i="10"/>
  <c r="B719" i="10"/>
  <c r="J718" i="10"/>
  <c r="E718" i="10"/>
  <c r="B718" i="10"/>
  <c r="J717" i="10"/>
  <c r="E717" i="10"/>
  <c r="B717" i="10"/>
  <c r="J716" i="10"/>
  <c r="E716" i="10"/>
  <c r="B716" i="10"/>
  <c r="J715" i="10"/>
  <c r="E715" i="10"/>
  <c r="B715" i="10"/>
  <c r="J714" i="10"/>
  <c r="E714" i="10"/>
  <c r="B714" i="10"/>
  <c r="J713" i="10"/>
  <c r="E713" i="10"/>
  <c r="B713" i="10"/>
  <c r="J712" i="10"/>
  <c r="E712" i="10"/>
  <c r="B712" i="10"/>
  <c r="J711" i="10"/>
  <c r="E711" i="10"/>
  <c r="B711" i="10"/>
  <c r="J710" i="10"/>
  <c r="E710" i="10"/>
  <c r="B710" i="10"/>
  <c r="J709" i="10"/>
  <c r="E709" i="10"/>
  <c r="B709" i="10"/>
  <c r="J708" i="10"/>
  <c r="E708" i="10"/>
  <c r="B708" i="10"/>
  <c r="J707" i="10"/>
  <c r="E707" i="10"/>
  <c r="B707" i="10"/>
  <c r="J706" i="10"/>
  <c r="E706" i="10"/>
  <c r="B706" i="10"/>
  <c r="J705" i="10"/>
  <c r="E705" i="10"/>
  <c r="B705" i="10"/>
  <c r="J704" i="10"/>
  <c r="E704" i="10"/>
  <c r="B704" i="10"/>
  <c r="J703" i="10"/>
  <c r="E703" i="10"/>
  <c r="B703" i="10"/>
  <c r="J702" i="10"/>
  <c r="E702" i="10"/>
  <c r="B702" i="10"/>
  <c r="J701" i="10"/>
  <c r="E701" i="10"/>
  <c r="B701" i="10"/>
  <c r="J700" i="10"/>
  <c r="E700" i="10"/>
  <c r="B700" i="10"/>
  <c r="J699" i="10"/>
  <c r="E699" i="10"/>
  <c r="B699" i="10"/>
  <c r="J698" i="10"/>
  <c r="E698" i="10"/>
  <c r="B698" i="10"/>
  <c r="J697" i="10"/>
  <c r="E697" i="10"/>
  <c r="B697" i="10"/>
  <c r="J696" i="10"/>
  <c r="E696" i="10"/>
  <c r="B696" i="10"/>
  <c r="J695" i="10"/>
  <c r="E695" i="10"/>
  <c r="B695" i="10"/>
  <c r="J694" i="10"/>
  <c r="E694" i="10"/>
  <c r="B694" i="10"/>
  <c r="J693" i="10"/>
  <c r="E693" i="10"/>
  <c r="B693" i="10"/>
  <c r="J692" i="10"/>
  <c r="E692" i="10"/>
  <c r="B692" i="10"/>
  <c r="J691" i="10"/>
  <c r="E691" i="10"/>
  <c r="B691" i="10"/>
  <c r="J690" i="10"/>
  <c r="E690" i="10"/>
  <c r="B690" i="10"/>
  <c r="J689" i="10"/>
  <c r="E689" i="10"/>
  <c r="B689" i="10"/>
  <c r="J688" i="10"/>
  <c r="E688" i="10"/>
  <c r="B688" i="10"/>
  <c r="J687" i="10"/>
  <c r="E687" i="10"/>
  <c r="B687" i="10"/>
  <c r="J686" i="10"/>
  <c r="E686" i="10"/>
  <c r="B686" i="10"/>
  <c r="J685" i="10"/>
  <c r="E685" i="10"/>
  <c r="B685" i="10"/>
  <c r="J684" i="10"/>
  <c r="E684" i="10"/>
  <c r="B684" i="10"/>
  <c r="J683" i="10"/>
  <c r="E683" i="10"/>
  <c r="B683" i="10"/>
  <c r="J682" i="10"/>
  <c r="E682" i="10"/>
  <c r="B682" i="10"/>
  <c r="J681" i="10"/>
  <c r="E681" i="10"/>
  <c r="B681" i="10"/>
  <c r="J680" i="10"/>
  <c r="E680" i="10"/>
  <c r="B680" i="10"/>
  <c r="J679" i="10"/>
  <c r="E679" i="10"/>
  <c r="B679" i="10"/>
  <c r="J678" i="10"/>
  <c r="E678" i="10"/>
  <c r="B678" i="10"/>
  <c r="J677" i="10"/>
  <c r="E677" i="10"/>
  <c r="B677" i="10"/>
  <c r="J676" i="10"/>
  <c r="E676" i="10"/>
  <c r="B676" i="10"/>
  <c r="J675" i="10"/>
  <c r="E675" i="10"/>
  <c r="B675" i="10"/>
  <c r="J674" i="10"/>
  <c r="E674" i="10"/>
  <c r="B674" i="10"/>
  <c r="J673" i="10"/>
  <c r="E673" i="10"/>
  <c r="B673" i="10"/>
  <c r="J672" i="10"/>
  <c r="E672" i="10"/>
  <c r="B672" i="10"/>
  <c r="J671" i="10"/>
  <c r="E671" i="10"/>
  <c r="B671" i="10"/>
  <c r="J670" i="10"/>
  <c r="E670" i="10"/>
  <c r="B670" i="10"/>
  <c r="J669" i="10"/>
  <c r="E669" i="10"/>
  <c r="B669" i="10"/>
  <c r="J668" i="10"/>
  <c r="E668" i="10"/>
  <c r="B668" i="10"/>
  <c r="J667" i="10"/>
  <c r="E667" i="10"/>
  <c r="B667" i="10"/>
  <c r="J666" i="10"/>
  <c r="E666" i="10"/>
  <c r="B666" i="10"/>
  <c r="J665" i="10"/>
  <c r="E665" i="10"/>
  <c r="B665" i="10"/>
  <c r="J664" i="10"/>
  <c r="E664" i="10"/>
  <c r="B664" i="10"/>
  <c r="J663" i="10"/>
  <c r="E663" i="10"/>
  <c r="B663" i="10"/>
  <c r="J662" i="10"/>
  <c r="E662" i="10"/>
  <c r="B662" i="10"/>
  <c r="J661" i="10"/>
  <c r="E661" i="10"/>
  <c r="B661" i="10"/>
  <c r="J660" i="10"/>
  <c r="E660" i="10"/>
  <c r="B660" i="10"/>
  <c r="J659" i="10"/>
  <c r="E659" i="10"/>
  <c r="B659" i="10"/>
  <c r="J658" i="10"/>
  <c r="E658" i="10"/>
  <c r="B658" i="10"/>
  <c r="J657" i="10"/>
  <c r="E657" i="10"/>
  <c r="B657" i="10"/>
  <c r="J656" i="10"/>
  <c r="E656" i="10"/>
  <c r="B656" i="10"/>
  <c r="J655" i="10"/>
  <c r="E655" i="10"/>
  <c r="B655" i="10"/>
  <c r="J654" i="10"/>
  <c r="E654" i="10"/>
  <c r="B654" i="10"/>
  <c r="J653" i="10"/>
  <c r="E653" i="10"/>
  <c r="B653" i="10"/>
  <c r="J652" i="10"/>
  <c r="E652" i="10"/>
  <c r="B652" i="10"/>
  <c r="J651" i="10"/>
  <c r="E651" i="10"/>
  <c r="B651" i="10"/>
  <c r="J650" i="10"/>
  <c r="E650" i="10"/>
  <c r="B650" i="10"/>
  <c r="J649" i="10"/>
  <c r="E649" i="10"/>
  <c r="B649" i="10"/>
  <c r="J648" i="10"/>
  <c r="E648" i="10"/>
  <c r="B648" i="10"/>
  <c r="J647" i="10"/>
  <c r="E647" i="10"/>
  <c r="B647" i="10"/>
  <c r="J646" i="10"/>
  <c r="E646" i="10"/>
  <c r="B646" i="10"/>
  <c r="J645" i="10"/>
  <c r="E645" i="10"/>
  <c r="B645" i="10"/>
  <c r="J644" i="10"/>
  <c r="E644" i="10"/>
  <c r="B644" i="10"/>
  <c r="J643" i="10"/>
  <c r="E643" i="10"/>
  <c r="B643" i="10"/>
  <c r="J642" i="10"/>
  <c r="E642" i="10"/>
  <c r="B642" i="10"/>
  <c r="J641" i="10"/>
  <c r="E641" i="10"/>
  <c r="B641" i="10"/>
  <c r="J640" i="10"/>
  <c r="E640" i="10"/>
  <c r="B640" i="10"/>
  <c r="J639" i="10"/>
  <c r="E639" i="10"/>
  <c r="B639" i="10"/>
  <c r="J638" i="10"/>
  <c r="E638" i="10"/>
  <c r="B638" i="10"/>
  <c r="J637" i="10"/>
  <c r="E637" i="10"/>
  <c r="B637" i="10"/>
  <c r="J636" i="10"/>
  <c r="E636" i="10"/>
  <c r="B636" i="10"/>
  <c r="J635" i="10"/>
  <c r="E635" i="10"/>
  <c r="B635" i="10"/>
  <c r="J634" i="10"/>
  <c r="E634" i="10"/>
  <c r="B634" i="10"/>
  <c r="J633" i="10"/>
  <c r="E633" i="10"/>
  <c r="B633" i="10"/>
  <c r="J632" i="10"/>
  <c r="E632" i="10"/>
  <c r="B632" i="10"/>
  <c r="J631" i="10"/>
  <c r="E631" i="10"/>
  <c r="B631" i="10"/>
  <c r="J630" i="10"/>
  <c r="E630" i="10"/>
  <c r="B630" i="10"/>
  <c r="J629" i="10"/>
  <c r="E629" i="10"/>
  <c r="B629" i="10"/>
  <c r="J628" i="10"/>
  <c r="E628" i="10"/>
  <c r="B628" i="10"/>
  <c r="J627" i="10"/>
  <c r="E627" i="10"/>
  <c r="B627" i="10"/>
  <c r="J626" i="10"/>
  <c r="E626" i="10"/>
  <c r="B626" i="10"/>
  <c r="J625" i="10"/>
  <c r="E625" i="10"/>
  <c r="B625" i="10"/>
  <c r="J624" i="10"/>
  <c r="E624" i="10"/>
  <c r="B624" i="10"/>
  <c r="J623" i="10"/>
  <c r="E623" i="10"/>
  <c r="B623" i="10"/>
  <c r="J622" i="10"/>
  <c r="E622" i="10"/>
  <c r="B622" i="10"/>
  <c r="J621" i="10"/>
  <c r="E621" i="10"/>
  <c r="B621" i="10"/>
  <c r="J620" i="10"/>
  <c r="E620" i="10"/>
  <c r="B620" i="10"/>
  <c r="J619" i="10"/>
  <c r="E619" i="10"/>
  <c r="B619" i="10"/>
  <c r="J618" i="10"/>
  <c r="E618" i="10"/>
  <c r="B618" i="10"/>
  <c r="J617" i="10"/>
  <c r="E617" i="10"/>
  <c r="B617" i="10"/>
  <c r="J616" i="10"/>
  <c r="E616" i="10"/>
  <c r="B616" i="10"/>
  <c r="J615" i="10"/>
  <c r="E615" i="10"/>
  <c r="B615" i="10"/>
  <c r="J614" i="10"/>
  <c r="E614" i="10"/>
  <c r="B614" i="10"/>
  <c r="J613" i="10"/>
  <c r="E613" i="10"/>
  <c r="B613" i="10"/>
  <c r="J612" i="10"/>
  <c r="E612" i="10"/>
  <c r="B612" i="10"/>
  <c r="J611" i="10"/>
  <c r="E611" i="10"/>
  <c r="B611" i="10"/>
  <c r="J610" i="10"/>
  <c r="E610" i="10"/>
  <c r="B610" i="10"/>
  <c r="J609" i="10"/>
  <c r="E609" i="10"/>
  <c r="B609" i="10"/>
  <c r="J608" i="10"/>
  <c r="E608" i="10"/>
  <c r="B608" i="10"/>
  <c r="J607" i="10"/>
  <c r="E607" i="10"/>
  <c r="B607" i="10"/>
  <c r="J606" i="10"/>
  <c r="E606" i="10"/>
  <c r="B606" i="10"/>
  <c r="J605" i="10"/>
  <c r="E605" i="10"/>
  <c r="B605" i="10"/>
  <c r="J604" i="10"/>
  <c r="E604" i="10"/>
  <c r="B604" i="10"/>
  <c r="J603" i="10"/>
  <c r="E603" i="10"/>
  <c r="B603" i="10"/>
  <c r="J602" i="10"/>
  <c r="E602" i="10"/>
  <c r="B602" i="10"/>
  <c r="J601" i="10"/>
  <c r="E601" i="10"/>
  <c r="B601" i="10"/>
  <c r="J600" i="10"/>
  <c r="E600" i="10"/>
  <c r="B600" i="10"/>
  <c r="J599" i="10"/>
  <c r="E599" i="10"/>
  <c r="B599" i="10"/>
  <c r="J598" i="10"/>
  <c r="E598" i="10"/>
  <c r="B598" i="10"/>
  <c r="J597" i="10"/>
  <c r="E597" i="10"/>
  <c r="B597" i="10"/>
  <c r="J596" i="10"/>
  <c r="E596" i="10"/>
  <c r="B596" i="10"/>
  <c r="J595" i="10"/>
  <c r="E595" i="10"/>
  <c r="B595" i="10"/>
  <c r="J594" i="10"/>
  <c r="E594" i="10"/>
  <c r="B594" i="10"/>
  <c r="J593" i="10"/>
  <c r="E593" i="10"/>
  <c r="B593" i="10"/>
  <c r="J592" i="10"/>
  <c r="E592" i="10"/>
  <c r="B592" i="10"/>
  <c r="J591" i="10"/>
  <c r="E591" i="10"/>
  <c r="B591" i="10"/>
  <c r="J590" i="10"/>
  <c r="E590" i="10"/>
  <c r="B590" i="10"/>
  <c r="J589" i="10"/>
  <c r="E589" i="10"/>
  <c r="B589" i="10"/>
  <c r="J588" i="10"/>
  <c r="E588" i="10"/>
  <c r="B588" i="10"/>
  <c r="J587" i="10"/>
  <c r="E587" i="10"/>
  <c r="B587" i="10"/>
  <c r="J586" i="10"/>
  <c r="E586" i="10"/>
  <c r="B586" i="10"/>
  <c r="J585" i="10"/>
  <c r="E585" i="10"/>
  <c r="B585" i="10"/>
  <c r="J584" i="10"/>
  <c r="E584" i="10"/>
  <c r="B584" i="10"/>
  <c r="J583" i="10"/>
  <c r="E583" i="10"/>
  <c r="B583" i="10"/>
  <c r="J582" i="10"/>
  <c r="E582" i="10"/>
  <c r="B582" i="10"/>
  <c r="J581" i="10"/>
  <c r="E581" i="10"/>
  <c r="B581" i="10"/>
  <c r="J580" i="10"/>
  <c r="E580" i="10"/>
  <c r="B580" i="10"/>
  <c r="J579" i="10"/>
  <c r="E579" i="10"/>
  <c r="B579" i="10"/>
  <c r="J578" i="10"/>
  <c r="E578" i="10"/>
  <c r="B578" i="10"/>
  <c r="J577" i="10"/>
  <c r="E577" i="10"/>
  <c r="B577" i="10"/>
  <c r="J576" i="10"/>
  <c r="E576" i="10"/>
  <c r="B576" i="10"/>
  <c r="J575" i="10"/>
  <c r="E575" i="10"/>
  <c r="B575" i="10"/>
  <c r="J574" i="10"/>
  <c r="E574" i="10"/>
  <c r="B574" i="10"/>
  <c r="J573" i="10"/>
  <c r="E573" i="10"/>
  <c r="B573" i="10"/>
  <c r="J572" i="10"/>
  <c r="E572" i="10"/>
  <c r="B572" i="10"/>
  <c r="J571" i="10"/>
  <c r="E571" i="10"/>
  <c r="B571" i="10"/>
  <c r="J570" i="10"/>
  <c r="E570" i="10"/>
  <c r="B570" i="10"/>
  <c r="J569" i="10"/>
  <c r="E569" i="10"/>
  <c r="B569" i="10"/>
  <c r="J568" i="10"/>
  <c r="E568" i="10"/>
  <c r="B568" i="10"/>
  <c r="J567" i="10"/>
  <c r="E567" i="10"/>
  <c r="B567" i="10"/>
  <c r="J566" i="10"/>
  <c r="E566" i="10"/>
  <c r="B566" i="10"/>
  <c r="J565" i="10"/>
  <c r="E565" i="10"/>
  <c r="B565" i="10"/>
  <c r="J564" i="10"/>
  <c r="E564" i="10"/>
  <c r="B564" i="10"/>
  <c r="J563" i="10"/>
  <c r="E563" i="10"/>
  <c r="B563" i="10"/>
  <c r="J562" i="10"/>
  <c r="E562" i="10"/>
  <c r="B562" i="10"/>
  <c r="J561" i="10"/>
  <c r="E561" i="10"/>
  <c r="B561" i="10"/>
  <c r="J560" i="10"/>
  <c r="E560" i="10"/>
  <c r="B560" i="10"/>
  <c r="J559" i="10"/>
  <c r="E559" i="10"/>
  <c r="B559" i="10"/>
  <c r="J558" i="10"/>
  <c r="E558" i="10"/>
  <c r="B558" i="10"/>
  <c r="J557" i="10"/>
  <c r="E557" i="10"/>
  <c r="B557" i="10"/>
  <c r="J556" i="10"/>
  <c r="E556" i="10"/>
  <c r="B556" i="10"/>
  <c r="J555" i="10"/>
  <c r="E555" i="10"/>
  <c r="B555" i="10"/>
  <c r="J554" i="10"/>
  <c r="E554" i="10"/>
  <c r="B554" i="10"/>
  <c r="J553" i="10"/>
  <c r="E553" i="10"/>
  <c r="B553" i="10"/>
  <c r="J552" i="10"/>
  <c r="E552" i="10"/>
  <c r="B552" i="10"/>
  <c r="J551" i="10"/>
  <c r="E551" i="10"/>
  <c r="B551" i="10"/>
  <c r="J550" i="10"/>
  <c r="E550" i="10"/>
  <c r="B550" i="10"/>
  <c r="J549" i="10"/>
  <c r="E549" i="10"/>
  <c r="B549" i="10"/>
  <c r="J548" i="10"/>
  <c r="E548" i="10"/>
  <c r="B548" i="10"/>
  <c r="J547" i="10"/>
  <c r="E547" i="10"/>
  <c r="B547" i="10"/>
  <c r="J546" i="10"/>
  <c r="E546" i="10"/>
  <c r="B546" i="10"/>
  <c r="J545" i="10"/>
  <c r="E545" i="10"/>
  <c r="B545" i="10"/>
  <c r="J544" i="10"/>
  <c r="E544" i="10"/>
  <c r="B544" i="10"/>
  <c r="J543" i="10"/>
  <c r="E543" i="10"/>
  <c r="B543" i="10"/>
  <c r="J542" i="10"/>
  <c r="E542" i="10"/>
  <c r="B542" i="10"/>
  <c r="J541" i="10"/>
  <c r="E541" i="10"/>
  <c r="B541" i="10"/>
  <c r="J540" i="10"/>
  <c r="E540" i="10"/>
  <c r="B540" i="10"/>
  <c r="J539" i="10"/>
  <c r="E539" i="10"/>
  <c r="B539" i="10"/>
  <c r="J538" i="10"/>
  <c r="E538" i="10"/>
  <c r="B538" i="10"/>
  <c r="J537" i="10"/>
  <c r="E537" i="10"/>
  <c r="B537" i="10"/>
  <c r="J536" i="10"/>
  <c r="E536" i="10"/>
  <c r="B536" i="10"/>
  <c r="J535" i="10"/>
  <c r="E535" i="10"/>
  <c r="B535" i="10"/>
  <c r="J534" i="10"/>
  <c r="E534" i="10"/>
  <c r="B534" i="10"/>
  <c r="J533" i="10"/>
  <c r="E533" i="10"/>
  <c r="B533" i="10"/>
  <c r="J532" i="10"/>
  <c r="E532" i="10"/>
  <c r="B532" i="10"/>
  <c r="J531" i="10"/>
  <c r="E531" i="10"/>
  <c r="B531" i="10"/>
  <c r="J530" i="10"/>
  <c r="E530" i="10"/>
  <c r="B530" i="10"/>
  <c r="J529" i="10"/>
  <c r="E529" i="10"/>
  <c r="B529" i="10"/>
  <c r="J528" i="10"/>
  <c r="E528" i="10"/>
  <c r="B528" i="10"/>
  <c r="J527" i="10"/>
  <c r="E527" i="10"/>
  <c r="B527" i="10"/>
  <c r="J526" i="10"/>
  <c r="E526" i="10"/>
  <c r="B526" i="10"/>
  <c r="J525" i="10"/>
  <c r="E525" i="10"/>
  <c r="B525" i="10"/>
  <c r="J524" i="10"/>
  <c r="E524" i="10"/>
  <c r="B524" i="10"/>
  <c r="J523" i="10"/>
  <c r="E523" i="10"/>
  <c r="B523" i="10"/>
  <c r="J522" i="10"/>
  <c r="E522" i="10"/>
  <c r="B522" i="10"/>
  <c r="J521" i="10"/>
  <c r="E521" i="10"/>
  <c r="B521" i="10"/>
  <c r="J520" i="10"/>
  <c r="E520" i="10"/>
  <c r="B520" i="10"/>
  <c r="J519" i="10"/>
  <c r="E519" i="10"/>
  <c r="B519" i="10"/>
  <c r="J518" i="10"/>
  <c r="E518" i="10"/>
  <c r="B518" i="10"/>
  <c r="J517" i="10"/>
  <c r="E517" i="10"/>
  <c r="B517" i="10"/>
  <c r="J516" i="10"/>
  <c r="E516" i="10"/>
  <c r="B516" i="10"/>
  <c r="J515" i="10"/>
  <c r="E515" i="10"/>
  <c r="B515" i="10"/>
  <c r="J514" i="10"/>
  <c r="E514" i="10"/>
  <c r="B514" i="10"/>
  <c r="J513" i="10"/>
  <c r="E513" i="10"/>
  <c r="B513" i="10"/>
  <c r="J512" i="10"/>
  <c r="E512" i="10"/>
  <c r="B512" i="10"/>
  <c r="J511" i="10"/>
  <c r="E511" i="10"/>
  <c r="B511" i="10"/>
  <c r="J510" i="10"/>
  <c r="E510" i="10"/>
  <c r="B510" i="10"/>
  <c r="J509" i="10"/>
  <c r="E509" i="10"/>
  <c r="B509" i="10"/>
  <c r="J508" i="10"/>
  <c r="E508" i="10"/>
  <c r="B508" i="10"/>
  <c r="J507" i="10"/>
  <c r="E507" i="10"/>
  <c r="B507" i="10"/>
  <c r="J506" i="10"/>
  <c r="E506" i="10"/>
  <c r="B506" i="10"/>
  <c r="J505" i="10"/>
  <c r="E505" i="10"/>
  <c r="B505" i="10"/>
  <c r="J504" i="10"/>
  <c r="E504" i="10"/>
  <c r="B504" i="10"/>
  <c r="J503" i="10"/>
  <c r="E503" i="10"/>
  <c r="B503" i="10"/>
  <c r="J502" i="10"/>
  <c r="E502" i="10"/>
  <c r="B502" i="10"/>
  <c r="J501" i="10"/>
  <c r="E501" i="10"/>
  <c r="B501" i="10"/>
  <c r="J500" i="10"/>
  <c r="E500" i="10"/>
  <c r="B500" i="10"/>
  <c r="J499" i="10"/>
  <c r="E499" i="10"/>
  <c r="B499" i="10"/>
  <c r="J498" i="10"/>
  <c r="E498" i="10"/>
  <c r="B498" i="10"/>
  <c r="J497" i="10"/>
  <c r="E497" i="10"/>
  <c r="B497" i="10"/>
  <c r="J496" i="10"/>
  <c r="E496" i="10"/>
  <c r="B496" i="10"/>
  <c r="J495" i="10"/>
  <c r="E495" i="10"/>
  <c r="B495" i="10"/>
  <c r="J494" i="10"/>
  <c r="E494" i="10"/>
  <c r="B494" i="10"/>
  <c r="J493" i="10"/>
  <c r="E493" i="10"/>
  <c r="B493" i="10"/>
  <c r="J492" i="10"/>
  <c r="E492" i="10"/>
  <c r="B492" i="10"/>
  <c r="J491" i="10"/>
  <c r="E491" i="10"/>
  <c r="B491" i="10"/>
  <c r="J490" i="10"/>
  <c r="E490" i="10"/>
  <c r="B490" i="10"/>
  <c r="J489" i="10"/>
  <c r="E489" i="10"/>
  <c r="B489" i="10"/>
  <c r="J488" i="10"/>
  <c r="E488" i="10"/>
  <c r="B488" i="10"/>
  <c r="J487" i="10"/>
  <c r="E487" i="10"/>
  <c r="B487" i="10"/>
  <c r="J486" i="10"/>
  <c r="E486" i="10"/>
  <c r="B486" i="10"/>
  <c r="J485" i="10"/>
  <c r="E485" i="10"/>
  <c r="B485" i="10"/>
  <c r="J484" i="10"/>
  <c r="E484" i="10"/>
  <c r="B484" i="10"/>
  <c r="J483" i="10"/>
  <c r="E483" i="10"/>
  <c r="B483" i="10"/>
  <c r="J482" i="10"/>
  <c r="E482" i="10"/>
  <c r="B482" i="10"/>
  <c r="J481" i="10"/>
  <c r="E481" i="10"/>
  <c r="B481" i="10"/>
  <c r="J480" i="10"/>
  <c r="E480" i="10"/>
  <c r="B480" i="10"/>
  <c r="J479" i="10"/>
  <c r="E479" i="10"/>
  <c r="B479" i="10"/>
  <c r="J478" i="10"/>
  <c r="E478" i="10"/>
  <c r="B478" i="10"/>
  <c r="J477" i="10"/>
  <c r="E477" i="10"/>
  <c r="B477" i="10"/>
  <c r="J476" i="10"/>
  <c r="E476" i="10"/>
  <c r="B476" i="10"/>
  <c r="J475" i="10"/>
  <c r="E475" i="10"/>
  <c r="B475" i="10"/>
  <c r="J474" i="10"/>
  <c r="E474" i="10"/>
  <c r="B474" i="10"/>
  <c r="J473" i="10"/>
  <c r="E473" i="10"/>
  <c r="B473" i="10"/>
  <c r="J472" i="10"/>
  <c r="E472" i="10"/>
  <c r="B472" i="10"/>
  <c r="J471" i="10"/>
  <c r="E471" i="10"/>
  <c r="B471" i="10"/>
  <c r="J470" i="10"/>
  <c r="E470" i="10"/>
  <c r="B470" i="10"/>
  <c r="J469" i="10"/>
  <c r="E469" i="10"/>
  <c r="B469" i="10"/>
  <c r="J468" i="10"/>
  <c r="E468" i="10"/>
  <c r="B468" i="10"/>
  <c r="J467" i="10"/>
  <c r="E467" i="10"/>
  <c r="B467" i="10"/>
  <c r="J466" i="10"/>
  <c r="E466" i="10"/>
  <c r="B466" i="10"/>
  <c r="J465" i="10"/>
  <c r="E465" i="10"/>
  <c r="B465" i="10"/>
  <c r="J464" i="10"/>
  <c r="E464" i="10"/>
  <c r="B464" i="10"/>
  <c r="J463" i="10"/>
  <c r="E463" i="10"/>
  <c r="B463" i="10"/>
  <c r="J462" i="10"/>
  <c r="E462" i="10"/>
  <c r="B462" i="10"/>
  <c r="J461" i="10"/>
  <c r="E461" i="10"/>
  <c r="B461" i="10"/>
  <c r="J460" i="10"/>
  <c r="E460" i="10"/>
  <c r="B460" i="10"/>
  <c r="J459" i="10"/>
  <c r="E459" i="10"/>
  <c r="B459" i="10"/>
  <c r="J458" i="10"/>
  <c r="E458" i="10"/>
  <c r="B458" i="10"/>
  <c r="J457" i="10"/>
  <c r="E457" i="10"/>
  <c r="B457" i="10"/>
  <c r="J456" i="10"/>
  <c r="E456" i="10"/>
  <c r="B456" i="10"/>
  <c r="J455" i="10"/>
  <c r="E455" i="10"/>
  <c r="B455" i="10"/>
  <c r="J454" i="10"/>
  <c r="E454" i="10"/>
  <c r="B454" i="10"/>
  <c r="J453" i="10"/>
  <c r="E453" i="10"/>
  <c r="B453" i="10"/>
  <c r="J452" i="10"/>
  <c r="E452" i="10"/>
  <c r="B452" i="10"/>
  <c r="J451" i="10"/>
  <c r="E451" i="10"/>
  <c r="B451" i="10"/>
  <c r="J450" i="10"/>
  <c r="E450" i="10"/>
  <c r="B450" i="10"/>
  <c r="J449" i="10"/>
  <c r="E449" i="10"/>
  <c r="B449" i="10"/>
  <c r="J448" i="10"/>
  <c r="E448" i="10"/>
  <c r="B448" i="10"/>
  <c r="J447" i="10"/>
  <c r="E447" i="10"/>
  <c r="B447" i="10"/>
  <c r="J446" i="10"/>
  <c r="E446" i="10"/>
  <c r="B446" i="10"/>
  <c r="J445" i="10"/>
  <c r="E445" i="10"/>
  <c r="B445" i="10"/>
  <c r="J444" i="10"/>
  <c r="E444" i="10"/>
  <c r="B444" i="10"/>
  <c r="J443" i="10"/>
  <c r="E443" i="10"/>
  <c r="B443" i="10"/>
  <c r="J442" i="10"/>
  <c r="E442" i="10"/>
  <c r="B442" i="10"/>
  <c r="J441" i="10"/>
  <c r="E441" i="10"/>
  <c r="B441" i="10"/>
  <c r="J440" i="10"/>
  <c r="E440" i="10"/>
  <c r="B440" i="10"/>
  <c r="J439" i="10"/>
  <c r="E439" i="10"/>
  <c r="B439" i="10"/>
  <c r="J438" i="10"/>
  <c r="E438" i="10"/>
  <c r="B438" i="10"/>
  <c r="J437" i="10"/>
  <c r="E437" i="10"/>
  <c r="B437" i="10"/>
  <c r="J436" i="10"/>
  <c r="E436" i="10"/>
  <c r="B436" i="10"/>
  <c r="J435" i="10"/>
  <c r="E435" i="10"/>
  <c r="B435" i="10"/>
  <c r="J434" i="10"/>
  <c r="E434" i="10"/>
  <c r="B434" i="10"/>
  <c r="J433" i="10"/>
  <c r="E433" i="10"/>
  <c r="B433" i="10"/>
  <c r="J432" i="10"/>
  <c r="E432" i="10"/>
  <c r="B432" i="10"/>
  <c r="J431" i="10"/>
  <c r="E431" i="10"/>
  <c r="B431" i="10"/>
  <c r="J430" i="10"/>
  <c r="E430" i="10"/>
  <c r="B430" i="10"/>
  <c r="J429" i="10"/>
  <c r="E429" i="10"/>
  <c r="B429" i="10"/>
  <c r="J428" i="10"/>
  <c r="E428" i="10"/>
  <c r="B428" i="10"/>
  <c r="J427" i="10"/>
  <c r="E427" i="10"/>
  <c r="B427" i="10"/>
  <c r="J426" i="10"/>
  <c r="E426" i="10"/>
  <c r="B426" i="10"/>
  <c r="J425" i="10"/>
  <c r="E425" i="10"/>
  <c r="B425" i="10"/>
  <c r="J424" i="10"/>
  <c r="E424" i="10"/>
  <c r="B424" i="10"/>
  <c r="J423" i="10"/>
  <c r="E423" i="10"/>
  <c r="B423" i="10"/>
  <c r="J422" i="10"/>
  <c r="E422" i="10"/>
  <c r="B422" i="10"/>
  <c r="J421" i="10"/>
  <c r="E421" i="10"/>
  <c r="B421" i="10"/>
  <c r="J420" i="10"/>
  <c r="E420" i="10"/>
  <c r="B420" i="10"/>
  <c r="J419" i="10"/>
  <c r="E419" i="10"/>
  <c r="B419" i="10"/>
  <c r="J418" i="10"/>
  <c r="E418" i="10"/>
  <c r="B418" i="10"/>
  <c r="J417" i="10"/>
  <c r="E417" i="10"/>
  <c r="B417" i="10"/>
  <c r="J416" i="10"/>
  <c r="E416" i="10"/>
  <c r="B416" i="10"/>
  <c r="J415" i="10"/>
  <c r="E415" i="10"/>
  <c r="B415" i="10"/>
  <c r="J414" i="10"/>
  <c r="E414" i="10"/>
  <c r="B414" i="10"/>
  <c r="J413" i="10"/>
  <c r="E413" i="10"/>
  <c r="B413" i="10"/>
  <c r="J412" i="10"/>
  <c r="E412" i="10"/>
  <c r="B412" i="10"/>
  <c r="J411" i="10"/>
  <c r="E411" i="10"/>
  <c r="B411" i="10"/>
  <c r="J410" i="10"/>
  <c r="E410" i="10"/>
  <c r="B410" i="10"/>
  <c r="J409" i="10"/>
  <c r="E409" i="10"/>
  <c r="B409" i="10"/>
  <c r="J408" i="10"/>
  <c r="E408" i="10"/>
  <c r="B408" i="10"/>
  <c r="J407" i="10"/>
  <c r="E407" i="10"/>
  <c r="B407" i="10"/>
  <c r="J406" i="10"/>
  <c r="E406" i="10"/>
  <c r="B406" i="10"/>
  <c r="J405" i="10"/>
  <c r="E405" i="10"/>
  <c r="B405" i="10"/>
  <c r="J404" i="10"/>
  <c r="E404" i="10"/>
  <c r="B404" i="10"/>
  <c r="J403" i="10"/>
  <c r="E403" i="10"/>
  <c r="B403" i="10"/>
  <c r="J402" i="10"/>
  <c r="E402" i="10"/>
  <c r="B402" i="10"/>
  <c r="J401" i="10"/>
  <c r="E401" i="10"/>
  <c r="B401" i="10"/>
  <c r="J400" i="10"/>
  <c r="E400" i="10"/>
  <c r="B400" i="10"/>
  <c r="J399" i="10"/>
  <c r="E399" i="10"/>
  <c r="B399" i="10"/>
  <c r="J398" i="10"/>
  <c r="E398" i="10"/>
  <c r="B398" i="10"/>
  <c r="J397" i="10"/>
  <c r="E397" i="10"/>
  <c r="B397" i="10"/>
  <c r="J396" i="10"/>
  <c r="E396" i="10"/>
  <c r="B396" i="10"/>
  <c r="J395" i="10"/>
  <c r="E395" i="10"/>
  <c r="B395" i="10"/>
  <c r="J394" i="10"/>
  <c r="E394" i="10"/>
  <c r="B394" i="10"/>
  <c r="J393" i="10"/>
  <c r="E393" i="10"/>
  <c r="B393" i="10"/>
  <c r="J392" i="10"/>
  <c r="E392" i="10"/>
  <c r="B392" i="10"/>
  <c r="J391" i="10"/>
  <c r="E391" i="10"/>
  <c r="B391" i="10"/>
  <c r="J390" i="10"/>
  <c r="E390" i="10"/>
  <c r="B390" i="10"/>
  <c r="J389" i="10"/>
  <c r="E389" i="10"/>
  <c r="B389" i="10"/>
  <c r="J388" i="10"/>
  <c r="E388" i="10"/>
  <c r="B388" i="10"/>
  <c r="J387" i="10"/>
  <c r="E387" i="10"/>
  <c r="B387" i="10"/>
  <c r="J386" i="10"/>
  <c r="E386" i="10"/>
  <c r="B386" i="10"/>
  <c r="J385" i="10"/>
  <c r="E385" i="10"/>
  <c r="B385" i="10"/>
  <c r="J384" i="10"/>
  <c r="E384" i="10"/>
  <c r="B384" i="10"/>
  <c r="J383" i="10"/>
  <c r="E383" i="10"/>
  <c r="B383" i="10"/>
  <c r="J382" i="10"/>
  <c r="E382" i="10"/>
  <c r="B382" i="10"/>
  <c r="J381" i="10"/>
  <c r="E381" i="10"/>
  <c r="B381" i="10"/>
  <c r="J380" i="10"/>
  <c r="E380" i="10"/>
  <c r="B380" i="10"/>
  <c r="J379" i="10"/>
  <c r="E379" i="10"/>
  <c r="B379" i="10"/>
  <c r="J378" i="10"/>
  <c r="E378" i="10"/>
  <c r="B378" i="10"/>
  <c r="J377" i="10"/>
  <c r="E377" i="10"/>
  <c r="B377" i="10"/>
  <c r="J376" i="10"/>
  <c r="E376" i="10"/>
  <c r="B376" i="10"/>
  <c r="J375" i="10"/>
  <c r="E375" i="10"/>
  <c r="B375" i="10"/>
  <c r="J374" i="10"/>
  <c r="E374" i="10"/>
  <c r="B374" i="10"/>
  <c r="J373" i="10"/>
  <c r="E373" i="10"/>
  <c r="B373" i="10"/>
  <c r="J372" i="10"/>
  <c r="E372" i="10"/>
  <c r="B372" i="10"/>
  <c r="J371" i="10"/>
  <c r="E371" i="10"/>
  <c r="B371" i="10"/>
  <c r="J370" i="10"/>
  <c r="E370" i="10"/>
  <c r="B370" i="10"/>
  <c r="J369" i="10"/>
  <c r="E369" i="10"/>
  <c r="B369" i="10"/>
  <c r="J368" i="10"/>
  <c r="E368" i="10"/>
  <c r="B368" i="10"/>
  <c r="J367" i="10"/>
  <c r="E367" i="10"/>
  <c r="B367" i="10"/>
  <c r="J366" i="10"/>
  <c r="E366" i="10"/>
  <c r="B366" i="10"/>
  <c r="J365" i="10"/>
  <c r="E365" i="10"/>
  <c r="B365" i="10"/>
  <c r="J364" i="10"/>
  <c r="E364" i="10"/>
  <c r="B364" i="10"/>
  <c r="J363" i="10"/>
  <c r="E363" i="10"/>
  <c r="B363" i="10"/>
  <c r="J362" i="10"/>
  <c r="E362" i="10"/>
  <c r="B362" i="10"/>
  <c r="J361" i="10"/>
  <c r="E361" i="10"/>
  <c r="B361" i="10"/>
  <c r="J360" i="10"/>
  <c r="E360" i="10"/>
  <c r="B360" i="10"/>
  <c r="J359" i="10"/>
  <c r="E359" i="10"/>
  <c r="B359" i="10"/>
  <c r="J358" i="10"/>
  <c r="E358" i="10"/>
  <c r="B358" i="10"/>
  <c r="J357" i="10"/>
  <c r="E357" i="10"/>
  <c r="B357" i="10"/>
  <c r="J356" i="10"/>
  <c r="E356" i="10"/>
  <c r="B356" i="10"/>
  <c r="J355" i="10"/>
  <c r="E355" i="10"/>
  <c r="B355" i="10"/>
  <c r="J354" i="10"/>
  <c r="E354" i="10"/>
  <c r="B354" i="10"/>
  <c r="J353" i="10"/>
  <c r="E353" i="10"/>
  <c r="B353" i="10"/>
  <c r="J352" i="10"/>
  <c r="E352" i="10"/>
  <c r="B352" i="10"/>
  <c r="J351" i="10"/>
  <c r="E351" i="10"/>
  <c r="B351" i="10"/>
  <c r="J350" i="10"/>
  <c r="E350" i="10"/>
  <c r="B350" i="10"/>
  <c r="J349" i="10"/>
  <c r="E349" i="10"/>
  <c r="B349" i="10"/>
  <c r="J348" i="10"/>
  <c r="E348" i="10"/>
  <c r="B348" i="10"/>
  <c r="J347" i="10"/>
  <c r="E347" i="10"/>
  <c r="B347" i="10"/>
  <c r="J346" i="10"/>
  <c r="E346" i="10"/>
  <c r="B346" i="10"/>
  <c r="J345" i="10"/>
  <c r="E345" i="10"/>
  <c r="B345" i="10"/>
  <c r="J344" i="10"/>
  <c r="E344" i="10"/>
  <c r="B344" i="10"/>
  <c r="J343" i="10"/>
  <c r="E343" i="10"/>
  <c r="B343" i="10"/>
  <c r="J342" i="10"/>
  <c r="E342" i="10"/>
  <c r="B342" i="10"/>
  <c r="J341" i="10"/>
  <c r="E341" i="10"/>
  <c r="B341" i="10"/>
  <c r="J340" i="10"/>
  <c r="E340" i="10"/>
  <c r="B340" i="10"/>
  <c r="J339" i="10"/>
  <c r="E339" i="10"/>
  <c r="B339" i="10"/>
  <c r="J338" i="10"/>
  <c r="E338" i="10"/>
  <c r="B338" i="10"/>
  <c r="J337" i="10"/>
  <c r="E337" i="10"/>
  <c r="B337" i="10"/>
  <c r="J336" i="10"/>
  <c r="E336" i="10"/>
  <c r="B336" i="10"/>
  <c r="J335" i="10"/>
  <c r="E335" i="10"/>
  <c r="B335" i="10"/>
  <c r="J334" i="10"/>
  <c r="E334" i="10"/>
  <c r="B334" i="10"/>
  <c r="J333" i="10"/>
  <c r="E333" i="10"/>
  <c r="B333" i="10"/>
  <c r="J332" i="10"/>
  <c r="E332" i="10"/>
  <c r="B332" i="10"/>
  <c r="J331" i="10"/>
  <c r="E331" i="10"/>
  <c r="B331" i="10"/>
  <c r="J330" i="10"/>
  <c r="E330" i="10"/>
  <c r="B330" i="10"/>
  <c r="J329" i="10"/>
  <c r="E329" i="10"/>
  <c r="B329" i="10"/>
  <c r="J328" i="10"/>
  <c r="E328" i="10"/>
  <c r="B328" i="10"/>
  <c r="J327" i="10"/>
  <c r="E327" i="10"/>
  <c r="B327" i="10"/>
  <c r="J326" i="10"/>
  <c r="E326" i="10"/>
  <c r="B326" i="10"/>
  <c r="J325" i="10"/>
  <c r="E325" i="10"/>
  <c r="B325" i="10"/>
  <c r="J324" i="10"/>
  <c r="E324" i="10"/>
  <c r="B324" i="10"/>
  <c r="J323" i="10"/>
  <c r="E323" i="10"/>
  <c r="B323" i="10"/>
  <c r="J322" i="10"/>
  <c r="E322" i="10"/>
  <c r="B322" i="10"/>
  <c r="J321" i="10"/>
  <c r="E321" i="10"/>
  <c r="B321" i="10"/>
  <c r="J320" i="10"/>
  <c r="E320" i="10"/>
  <c r="B320" i="10"/>
  <c r="J319" i="10"/>
  <c r="E319" i="10"/>
  <c r="B319" i="10"/>
  <c r="J318" i="10"/>
  <c r="E318" i="10"/>
  <c r="B318" i="10"/>
  <c r="J317" i="10"/>
  <c r="E317" i="10"/>
  <c r="B317" i="10"/>
  <c r="J316" i="10"/>
  <c r="E316" i="10"/>
  <c r="B316" i="10"/>
  <c r="J315" i="10"/>
  <c r="E315" i="10"/>
  <c r="B315" i="10"/>
  <c r="J314" i="10"/>
  <c r="E314" i="10"/>
  <c r="B314" i="10"/>
  <c r="J313" i="10"/>
  <c r="E313" i="10"/>
  <c r="B313" i="10"/>
  <c r="J312" i="10"/>
  <c r="E312" i="10"/>
  <c r="B312" i="10"/>
  <c r="J311" i="10"/>
  <c r="E311" i="10"/>
  <c r="B311" i="10"/>
  <c r="J310" i="10"/>
  <c r="E310" i="10"/>
  <c r="B310" i="10"/>
  <c r="J309" i="10"/>
  <c r="E309" i="10"/>
  <c r="B309" i="10"/>
  <c r="J308" i="10"/>
  <c r="E308" i="10"/>
  <c r="B308" i="10"/>
  <c r="J307" i="10"/>
  <c r="E307" i="10"/>
  <c r="B307" i="10"/>
  <c r="J306" i="10"/>
  <c r="E306" i="10"/>
  <c r="B306" i="10"/>
  <c r="J305" i="10"/>
  <c r="E305" i="10"/>
  <c r="B305" i="10"/>
  <c r="J304" i="10"/>
  <c r="E304" i="10"/>
  <c r="B304" i="10"/>
  <c r="J303" i="10"/>
  <c r="E303" i="10"/>
  <c r="B303" i="10"/>
  <c r="J302" i="10"/>
  <c r="E302" i="10"/>
  <c r="B302" i="10"/>
  <c r="J301" i="10"/>
  <c r="E301" i="10"/>
  <c r="B301" i="10"/>
  <c r="J300" i="10"/>
  <c r="E300" i="10"/>
  <c r="B300" i="10"/>
  <c r="J299" i="10"/>
  <c r="E299" i="10"/>
  <c r="B299" i="10"/>
  <c r="J298" i="10"/>
  <c r="E298" i="10"/>
  <c r="B298" i="10"/>
  <c r="J297" i="10"/>
  <c r="E297" i="10"/>
  <c r="B297" i="10"/>
  <c r="J296" i="10"/>
  <c r="E296" i="10"/>
  <c r="B296" i="10"/>
  <c r="J295" i="10"/>
  <c r="E295" i="10"/>
  <c r="B295" i="10"/>
  <c r="J294" i="10"/>
  <c r="E294" i="10"/>
  <c r="B294" i="10"/>
  <c r="J293" i="10"/>
  <c r="E293" i="10"/>
  <c r="B293" i="10"/>
  <c r="J292" i="10"/>
  <c r="E292" i="10"/>
  <c r="B292" i="10"/>
  <c r="J291" i="10"/>
  <c r="E291" i="10"/>
  <c r="B291" i="10"/>
  <c r="J290" i="10"/>
  <c r="E290" i="10"/>
  <c r="B290" i="10"/>
  <c r="J289" i="10"/>
  <c r="E289" i="10"/>
  <c r="B289" i="10"/>
  <c r="J288" i="10"/>
  <c r="E288" i="10"/>
  <c r="B288" i="10"/>
  <c r="J287" i="10"/>
  <c r="E287" i="10"/>
  <c r="B287" i="10"/>
  <c r="J286" i="10"/>
  <c r="E286" i="10"/>
  <c r="B286" i="10"/>
  <c r="J285" i="10"/>
  <c r="E285" i="10"/>
  <c r="B285" i="10"/>
  <c r="J284" i="10"/>
  <c r="E284" i="10"/>
  <c r="B284" i="10"/>
  <c r="J283" i="10"/>
  <c r="E283" i="10"/>
  <c r="B283" i="10"/>
  <c r="J282" i="10"/>
  <c r="E282" i="10"/>
  <c r="B282" i="10"/>
  <c r="J281" i="10"/>
  <c r="E281" i="10"/>
  <c r="B281" i="10"/>
  <c r="J280" i="10"/>
  <c r="E280" i="10"/>
  <c r="B280" i="10"/>
  <c r="J279" i="10"/>
  <c r="E279" i="10"/>
  <c r="B279" i="10"/>
  <c r="J278" i="10"/>
  <c r="E278" i="10"/>
  <c r="B278" i="10"/>
  <c r="J277" i="10"/>
  <c r="E277" i="10"/>
  <c r="B277" i="10"/>
  <c r="J276" i="10"/>
  <c r="E276" i="10"/>
  <c r="B276" i="10"/>
  <c r="J275" i="10"/>
  <c r="E275" i="10"/>
  <c r="B275" i="10"/>
  <c r="J274" i="10"/>
  <c r="E274" i="10"/>
  <c r="B274" i="10"/>
  <c r="J273" i="10"/>
  <c r="E273" i="10"/>
  <c r="B273" i="10"/>
  <c r="J272" i="10"/>
  <c r="E272" i="10"/>
  <c r="B272" i="10"/>
  <c r="J271" i="10"/>
  <c r="E271" i="10"/>
  <c r="B271" i="10"/>
  <c r="J270" i="10"/>
  <c r="E270" i="10"/>
  <c r="B270" i="10"/>
  <c r="J269" i="10"/>
  <c r="E269" i="10"/>
  <c r="B269" i="10"/>
  <c r="J268" i="10"/>
  <c r="E268" i="10"/>
  <c r="B268" i="10"/>
  <c r="J267" i="10"/>
  <c r="E267" i="10"/>
  <c r="B267" i="10"/>
  <c r="J266" i="10"/>
  <c r="E266" i="10"/>
  <c r="B266" i="10"/>
  <c r="J265" i="10"/>
  <c r="E265" i="10"/>
  <c r="B265" i="10"/>
  <c r="J264" i="10"/>
  <c r="E264" i="10"/>
  <c r="B264" i="10"/>
  <c r="J263" i="10"/>
  <c r="E263" i="10"/>
  <c r="B263" i="10"/>
  <c r="J262" i="10"/>
  <c r="E262" i="10"/>
  <c r="B262" i="10"/>
  <c r="J261" i="10"/>
  <c r="E261" i="10"/>
  <c r="B261" i="10"/>
  <c r="J260" i="10"/>
  <c r="E260" i="10"/>
  <c r="B260" i="10"/>
  <c r="J259" i="10"/>
  <c r="E259" i="10"/>
  <c r="B259" i="10"/>
  <c r="J258" i="10"/>
  <c r="E258" i="10"/>
  <c r="B258" i="10"/>
  <c r="J257" i="10"/>
  <c r="E257" i="10"/>
  <c r="B257" i="10"/>
  <c r="J256" i="10"/>
  <c r="E256" i="10"/>
  <c r="B256" i="10"/>
  <c r="J255" i="10"/>
  <c r="E255" i="10"/>
  <c r="B255" i="10"/>
  <c r="J254" i="10"/>
  <c r="E254" i="10"/>
  <c r="B254" i="10"/>
  <c r="J253" i="10"/>
  <c r="E253" i="10"/>
  <c r="B253" i="10"/>
  <c r="J252" i="10"/>
  <c r="E252" i="10"/>
  <c r="B252" i="10"/>
  <c r="J251" i="10"/>
  <c r="E251" i="10"/>
  <c r="B251" i="10"/>
  <c r="J250" i="10"/>
  <c r="E250" i="10"/>
  <c r="B250" i="10"/>
  <c r="J249" i="10"/>
  <c r="E249" i="10"/>
  <c r="B249" i="10"/>
  <c r="J248" i="10"/>
  <c r="E248" i="10"/>
  <c r="B248" i="10"/>
  <c r="J247" i="10"/>
  <c r="E247" i="10"/>
  <c r="B247" i="10"/>
  <c r="J246" i="10"/>
  <c r="E246" i="10"/>
  <c r="B246" i="10"/>
  <c r="J245" i="10"/>
  <c r="E245" i="10"/>
  <c r="B245" i="10"/>
  <c r="J244" i="10"/>
  <c r="E244" i="10"/>
  <c r="B244" i="10"/>
  <c r="J243" i="10"/>
  <c r="E243" i="10"/>
  <c r="B243" i="10"/>
  <c r="J242" i="10"/>
  <c r="E242" i="10"/>
  <c r="B242" i="10"/>
  <c r="J241" i="10"/>
  <c r="E241" i="10"/>
  <c r="B241" i="10"/>
  <c r="J240" i="10"/>
  <c r="E240" i="10"/>
  <c r="B240" i="10"/>
  <c r="J239" i="10"/>
  <c r="E239" i="10"/>
  <c r="B239" i="10"/>
  <c r="J238" i="10"/>
  <c r="E238" i="10"/>
  <c r="B238" i="10"/>
  <c r="J237" i="10"/>
  <c r="E237" i="10"/>
  <c r="B237" i="10"/>
  <c r="J236" i="10"/>
  <c r="E236" i="10"/>
  <c r="B236" i="10"/>
  <c r="J235" i="10"/>
  <c r="E235" i="10"/>
  <c r="B235" i="10"/>
  <c r="J234" i="10"/>
  <c r="E234" i="10"/>
  <c r="B234" i="10"/>
  <c r="J233" i="10"/>
  <c r="E233" i="10"/>
  <c r="B233" i="10"/>
  <c r="J232" i="10"/>
  <c r="E232" i="10"/>
  <c r="B232" i="10"/>
  <c r="J231" i="10"/>
  <c r="E231" i="10"/>
  <c r="B231" i="10"/>
  <c r="J230" i="10"/>
  <c r="E230" i="10"/>
  <c r="B230" i="10"/>
  <c r="J229" i="10"/>
  <c r="E229" i="10"/>
  <c r="B229" i="10"/>
  <c r="J228" i="10"/>
  <c r="E228" i="10"/>
  <c r="B228" i="10"/>
  <c r="J227" i="10"/>
  <c r="E227" i="10"/>
  <c r="B227" i="10"/>
  <c r="J226" i="10"/>
  <c r="E226" i="10"/>
  <c r="B226" i="10"/>
  <c r="J225" i="10"/>
  <c r="E225" i="10"/>
  <c r="B225" i="10"/>
  <c r="J224" i="10"/>
  <c r="E224" i="10"/>
  <c r="B224" i="10"/>
  <c r="J223" i="10"/>
  <c r="E223" i="10"/>
  <c r="B223" i="10"/>
  <c r="J222" i="10"/>
  <c r="E222" i="10"/>
  <c r="B222" i="10"/>
  <c r="J221" i="10"/>
  <c r="E221" i="10"/>
  <c r="B221" i="10"/>
  <c r="J220" i="10"/>
  <c r="E220" i="10"/>
  <c r="B220" i="10"/>
  <c r="J219" i="10"/>
  <c r="E219" i="10"/>
  <c r="B219" i="10"/>
  <c r="J218" i="10"/>
  <c r="E218" i="10"/>
  <c r="B218" i="10"/>
  <c r="J217" i="10"/>
  <c r="E217" i="10"/>
  <c r="B217" i="10"/>
  <c r="J216" i="10"/>
  <c r="E216" i="10"/>
  <c r="B216" i="10"/>
  <c r="J215" i="10"/>
  <c r="E215" i="10"/>
  <c r="B215" i="10"/>
  <c r="J214" i="10"/>
  <c r="E214" i="10"/>
  <c r="B214" i="10"/>
  <c r="J213" i="10"/>
  <c r="E213" i="10"/>
  <c r="B213" i="10"/>
  <c r="J212" i="10"/>
  <c r="E212" i="10"/>
  <c r="B212" i="10"/>
  <c r="J211" i="10"/>
  <c r="E211" i="10"/>
  <c r="B211" i="10"/>
  <c r="J210" i="10"/>
  <c r="E210" i="10"/>
  <c r="B210" i="10"/>
  <c r="J209" i="10"/>
  <c r="E209" i="10"/>
  <c r="B209" i="10"/>
  <c r="J208" i="10"/>
  <c r="E208" i="10"/>
  <c r="B208" i="10"/>
  <c r="J207" i="10"/>
  <c r="E207" i="10"/>
  <c r="B207" i="10"/>
  <c r="J206" i="10"/>
  <c r="E206" i="10"/>
  <c r="B206" i="10"/>
  <c r="J205" i="10"/>
  <c r="E205" i="10"/>
  <c r="B205" i="10"/>
  <c r="J204" i="10"/>
  <c r="E204" i="10"/>
  <c r="B204" i="10"/>
  <c r="J203" i="10"/>
  <c r="E203" i="10"/>
  <c r="B203" i="10"/>
  <c r="J202" i="10"/>
  <c r="E202" i="10"/>
  <c r="B202" i="10"/>
  <c r="J201" i="10"/>
  <c r="E201" i="10"/>
  <c r="B201" i="10"/>
  <c r="J200" i="10"/>
  <c r="E200" i="10"/>
  <c r="B200" i="10"/>
  <c r="J199" i="10"/>
  <c r="E199" i="10"/>
  <c r="B199" i="10"/>
  <c r="J198" i="10"/>
  <c r="E198" i="10"/>
  <c r="B198" i="10"/>
  <c r="J197" i="10"/>
  <c r="E197" i="10"/>
  <c r="B197" i="10"/>
  <c r="J196" i="10"/>
  <c r="E196" i="10"/>
  <c r="B196" i="10"/>
  <c r="J195" i="10"/>
  <c r="E195" i="10"/>
  <c r="B195" i="10"/>
  <c r="J194" i="10"/>
  <c r="E194" i="10"/>
  <c r="B194" i="10"/>
  <c r="J193" i="10"/>
  <c r="E193" i="10"/>
  <c r="B193" i="10"/>
  <c r="J192" i="10"/>
  <c r="E192" i="10"/>
  <c r="B192" i="10"/>
  <c r="J191" i="10"/>
  <c r="E191" i="10"/>
  <c r="B191" i="10"/>
  <c r="J190" i="10"/>
  <c r="E190" i="10"/>
  <c r="B190" i="10"/>
  <c r="J189" i="10"/>
  <c r="E189" i="10"/>
  <c r="B189" i="10"/>
  <c r="J188" i="10"/>
  <c r="E188" i="10"/>
  <c r="B188" i="10"/>
  <c r="J187" i="10"/>
  <c r="E187" i="10"/>
  <c r="B187" i="10"/>
  <c r="J186" i="10"/>
  <c r="E186" i="10"/>
  <c r="B186" i="10"/>
  <c r="J185" i="10"/>
  <c r="E185" i="10"/>
  <c r="B185" i="10"/>
  <c r="J184" i="10"/>
  <c r="E184" i="10"/>
  <c r="B184" i="10"/>
  <c r="J183" i="10"/>
  <c r="E183" i="10"/>
  <c r="B183" i="10"/>
  <c r="J182" i="10"/>
  <c r="E182" i="10"/>
  <c r="B182" i="10"/>
  <c r="J181" i="10"/>
  <c r="E181" i="10"/>
  <c r="B181" i="10"/>
  <c r="J180" i="10"/>
  <c r="E180" i="10"/>
  <c r="B180" i="10"/>
  <c r="J179" i="10"/>
  <c r="E179" i="10"/>
  <c r="B179" i="10"/>
  <c r="J178" i="10"/>
  <c r="E178" i="10"/>
  <c r="B178" i="10"/>
  <c r="J177" i="10"/>
  <c r="E177" i="10"/>
  <c r="B177" i="10"/>
  <c r="J176" i="10"/>
  <c r="E176" i="10"/>
  <c r="B176" i="10"/>
  <c r="J175" i="10"/>
  <c r="E175" i="10"/>
  <c r="B175" i="10"/>
  <c r="J174" i="10"/>
  <c r="E174" i="10"/>
  <c r="B174" i="10"/>
  <c r="J173" i="10"/>
  <c r="E173" i="10"/>
  <c r="B173" i="10"/>
  <c r="J172" i="10"/>
  <c r="E172" i="10"/>
  <c r="B172" i="10"/>
  <c r="J171" i="10"/>
  <c r="E171" i="10"/>
  <c r="B171" i="10"/>
  <c r="J170" i="10"/>
  <c r="E170" i="10"/>
  <c r="B170" i="10"/>
  <c r="J169" i="10"/>
  <c r="E169" i="10"/>
  <c r="B169" i="10"/>
  <c r="J168" i="10"/>
  <c r="E168" i="10"/>
  <c r="B168" i="10"/>
  <c r="J167" i="10"/>
  <c r="E167" i="10"/>
  <c r="B167" i="10"/>
  <c r="J166" i="10"/>
  <c r="E166" i="10"/>
  <c r="B166" i="10"/>
  <c r="J165" i="10"/>
  <c r="E165" i="10"/>
  <c r="B165" i="10"/>
  <c r="J164" i="10"/>
  <c r="E164" i="10"/>
  <c r="B164" i="10"/>
  <c r="J163" i="10"/>
  <c r="E163" i="10"/>
  <c r="B163" i="10"/>
  <c r="J162" i="10"/>
  <c r="E162" i="10"/>
  <c r="B162" i="10"/>
  <c r="J161" i="10"/>
  <c r="E161" i="10"/>
  <c r="B161" i="10"/>
  <c r="J160" i="10"/>
  <c r="E160" i="10"/>
  <c r="B160" i="10"/>
  <c r="J159" i="10"/>
  <c r="E159" i="10"/>
  <c r="B159" i="10"/>
  <c r="J158" i="10"/>
  <c r="E158" i="10"/>
  <c r="B158" i="10"/>
  <c r="J157" i="10"/>
  <c r="E157" i="10"/>
  <c r="B157" i="10"/>
  <c r="J156" i="10"/>
  <c r="E156" i="10"/>
  <c r="B156" i="10"/>
  <c r="J155" i="10"/>
  <c r="E155" i="10"/>
  <c r="B155" i="10"/>
  <c r="J154" i="10"/>
  <c r="E154" i="10"/>
  <c r="B154" i="10"/>
  <c r="J153" i="10"/>
  <c r="E153" i="10"/>
  <c r="B153" i="10"/>
  <c r="J152" i="10"/>
  <c r="E152" i="10"/>
  <c r="B152" i="10"/>
  <c r="J151" i="10"/>
  <c r="E151" i="10"/>
  <c r="B151" i="10"/>
  <c r="J150" i="10"/>
  <c r="E150" i="10"/>
  <c r="B150" i="10"/>
  <c r="J149" i="10"/>
  <c r="E149" i="10"/>
  <c r="B149" i="10"/>
  <c r="J148" i="10"/>
  <c r="E148" i="10"/>
  <c r="B148" i="10"/>
  <c r="J147" i="10"/>
  <c r="E147" i="10"/>
  <c r="B147" i="10"/>
  <c r="J146" i="10"/>
  <c r="E146" i="10"/>
  <c r="B146" i="10"/>
  <c r="J145" i="10"/>
  <c r="E145" i="10"/>
  <c r="B145" i="10"/>
  <c r="J144" i="10"/>
  <c r="E144" i="10"/>
  <c r="B144" i="10"/>
  <c r="J143" i="10"/>
  <c r="E143" i="10"/>
  <c r="B143" i="10"/>
  <c r="J142" i="10"/>
  <c r="E142" i="10"/>
  <c r="B142" i="10"/>
  <c r="J141" i="10"/>
  <c r="E141" i="10"/>
  <c r="B141" i="10"/>
  <c r="J140" i="10"/>
  <c r="E140" i="10"/>
  <c r="B140" i="10"/>
  <c r="J139" i="10"/>
  <c r="E139" i="10"/>
  <c r="B139" i="10"/>
  <c r="J138" i="10"/>
  <c r="E138" i="10"/>
  <c r="B138" i="10"/>
  <c r="J137" i="10"/>
  <c r="E137" i="10"/>
  <c r="B137" i="10"/>
  <c r="J136" i="10"/>
  <c r="E136" i="10"/>
  <c r="B136" i="10"/>
  <c r="J135" i="10"/>
  <c r="E135" i="10"/>
  <c r="B135" i="10"/>
  <c r="J134" i="10"/>
  <c r="E134" i="10"/>
  <c r="B134" i="10"/>
  <c r="J133" i="10"/>
  <c r="E133" i="10"/>
  <c r="B133" i="10"/>
  <c r="J132" i="10"/>
  <c r="E132" i="10"/>
  <c r="B132" i="10"/>
  <c r="J131" i="10"/>
  <c r="E131" i="10"/>
  <c r="B131" i="10"/>
  <c r="J130" i="10"/>
  <c r="E130" i="10"/>
  <c r="B130" i="10"/>
  <c r="J129" i="10"/>
  <c r="E129" i="10"/>
  <c r="B129" i="10"/>
  <c r="J128" i="10"/>
  <c r="E128" i="10"/>
  <c r="B128" i="10"/>
  <c r="J127" i="10"/>
  <c r="E127" i="10"/>
  <c r="B127" i="10"/>
  <c r="J126" i="10"/>
  <c r="E126" i="10"/>
  <c r="B126" i="10"/>
  <c r="J125" i="10"/>
  <c r="E125" i="10"/>
  <c r="B125" i="10"/>
  <c r="J124" i="10"/>
  <c r="E124" i="10"/>
  <c r="B124" i="10"/>
  <c r="J123" i="10"/>
  <c r="E123" i="10"/>
  <c r="B123" i="10"/>
  <c r="J122" i="10"/>
  <c r="E122" i="10"/>
  <c r="B122" i="10"/>
  <c r="J121" i="10"/>
  <c r="E121" i="10"/>
  <c r="B121" i="10"/>
  <c r="J120" i="10"/>
  <c r="E120" i="10"/>
  <c r="B120" i="10"/>
  <c r="J119" i="10"/>
  <c r="E119" i="10"/>
  <c r="B119" i="10"/>
  <c r="J118" i="10"/>
  <c r="E118" i="10"/>
  <c r="B118" i="10"/>
  <c r="J117" i="10"/>
  <c r="E117" i="10"/>
  <c r="B117" i="10"/>
  <c r="J116" i="10"/>
  <c r="E116" i="10"/>
  <c r="B116" i="10"/>
  <c r="J115" i="10"/>
  <c r="E115" i="10"/>
  <c r="B115" i="10"/>
  <c r="J114" i="10"/>
  <c r="E114" i="10"/>
  <c r="B114" i="10"/>
  <c r="J113" i="10"/>
  <c r="E113" i="10"/>
  <c r="B113" i="10"/>
  <c r="J112" i="10"/>
  <c r="E112" i="10"/>
  <c r="B112" i="10"/>
  <c r="J111" i="10"/>
  <c r="E111" i="10"/>
  <c r="B111" i="10"/>
  <c r="J110" i="10"/>
  <c r="E110" i="10"/>
  <c r="B110" i="10"/>
  <c r="J109" i="10"/>
  <c r="E109" i="10"/>
  <c r="B109" i="10"/>
  <c r="J108" i="10"/>
  <c r="E108" i="10"/>
  <c r="B108" i="10"/>
  <c r="J107" i="10"/>
  <c r="E107" i="10"/>
  <c r="B107" i="10"/>
  <c r="J106" i="10"/>
  <c r="E106" i="10"/>
  <c r="B106" i="10"/>
  <c r="J105" i="10"/>
  <c r="E105" i="10"/>
  <c r="B105" i="10"/>
  <c r="J104" i="10"/>
  <c r="E104" i="10"/>
  <c r="B104" i="10"/>
  <c r="J103" i="10"/>
  <c r="E103" i="10"/>
  <c r="B103" i="10"/>
  <c r="J102" i="10"/>
  <c r="E102" i="10"/>
  <c r="B102" i="10"/>
  <c r="J101" i="10"/>
  <c r="E101" i="10"/>
  <c r="B101" i="10"/>
  <c r="J100" i="10"/>
  <c r="E100" i="10"/>
  <c r="B100" i="10"/>
  <c r="J99" i="10"/>
  <c r="E99" i="10"/>
  <c r="B99" i="10"/>
  <c r="J98" i="10"/>
  <c r="E98" i="10"/>
  <c r="B98" i="10"/>
  <c r="J97" i="10"/>
  <c r="E97" i="10"/>
  <c r="B97" i="10"/>
  <c r="J96" i="10"/>
  <c r="E96" i="10"/>
  <c r="B96" i="10"/>
  <c r="J95" i="10"/>
  <c r="E95" i="10"/>
  <c r="B95" i="10"/>
  <c r="J94" i="10"/>
  <c r="E94" i="10"/>
  <c r="B94" i="10"/>
  <c r="J93" i="10"/>
  <c r="E93" i="10"/>
  <c r="B93" i="10"/>
  <c r="J92" i="10"/>
  <c r="E92" i="10"/>
  <c r="B92" i="10"/>
  <c r="J91" i="10"/>
  <c r="E91" i="10"/>
  <c r="B91" i="10"/>
  <c r="J90" i="10"/>
  <c r="E90" i="10"/>
  <c r="B90" i="10"/>
  <c r="J89" i="10"/>
  <c r="E89" i="10"/>
  <c r="B89" i="10"/>
  <c r="J88" i="10"/>
  <c r="E88" i="10"/>
  <c r="B88" i="10"/>
  <c r="J87" i="10"/>
  <c r="E87" i="10"/>
  <c r="B87" i="10"/>
  <c r="J86" i="10"/>
  <c r="E86" i="10"/>
  <c r="B86" i="10"/>
  <c r="J85" i="10"/>
  <c r="E85" i="10"/>
  <c r="B85" i="10"/>
  <c r="J84" i="10"/>
  <c r="E84" i="10"/>
  <c r="B84" i="10"/>
  <c r="J83" i="10"/>
  <c r="E83" i="10"/>
  <c r="B83" i="10"/>
  <c r="J82" i="10"/>
  <c r="E82" i="10"/>
  <c r="B82" i="10"/>
  <c r="J81" i="10"/>
  <c r="E81" i="10"/>
  <c r="B81" i="10"/>
  <c r="J80" i="10"/>
  <c r="E80" i="10"/>
  <c r="B80" i="10"/>
  <c r="J79" i="10"/>
  <c r="E79" i="10"/>
  <c r="B79" i="10"/>
  <c r="J78" i="10"/>
  <c r="E78" i="10"/>
  <c r="B78" i="10"/>
  <c r="J77" i="10"/>
  <c r="E77" i="10"/>
  <c r="B77" i="10"/>
  <c r="J76" i="10"/>
  <c r="E76" i="10"/>
  <c r="B76" i="10"/>
  <c r="J75" i="10"/>
  <c r="E75" i="10"/>
  <c r="B75" i="10"/>
  <c r="J74" i="10"/>
  <c r="E74" i="10"/>
  <c r="B74" i="10"/>
  <c r="J73" i="10"/>
  <c r="E73" i="10"/>
  <c r="B73" i="10"/>
  <c r="J72" i="10"/>
  <c r="E72" i="10"/>
  <c r="B72" i="10"/>
  <c r="J71" i="10"/>
  <c r="E71" i="10"/>
  <c r="B71" i="10"/>
  <c r="J70" i="10"/>
  <c r="E70" i="10"/>
  <c r="B70" i="10"/>
  <c r="J69" i="10"/>
  <c r="E69" i="10"/>
  <c r="B69" i="10"/>
  <c r="J68" i="10"/>
  <c r="E68" i="10"/>
  <c r="B68" i="10"/>
  <c r="J67" i="10"/>
  <c r="E67" i="10"/>
  <c r="B67" i="10"/>
  <c r="J66" i="10"/>
  <c r="E66" i="10"/>
  <c r="B66" i="10"/>
  <c r="J65" i="10"/>
  <c r="E65" i="10"/>
  <c r="B65" i="10"/>
  <c r="J64" i="10"/>
  <c r="E64" i="10"/>
  <c r="B64" i="10"/>
  <c r="J63" i="10"/>
  <c r="E63" i="10"/>
  <c r="B63" i="10"/>
  <c r="J62" i="10"/>
  <c r="E62" i="10"/>
  <c r="B62" i="10"/>
  <c r="J61" i="10"/>
  <c r="E61" i="10"/>
  <c r="B61" i="10"/>
  <c r="J60" i="10"/>
  <c r="E60" i="10"/>
  <c r="B60" i="10"/>
  <c r="J59" i="10"/>
  <c r="E59" i="10"/>
  <c r="B59" i="10"/>
  <c r="J58" i="10"/>
  <c r="E58" i="10"/>
  <c r="B58" i="10"/>
  <c r="J57" i="10"/>
  <c r="E57" i="10"/>
  <c r="B57" i="10"/>
  <c r="J56" i="10"/>
  <c r="E56" i="10"/>
  <c r="B56" i="10"/>
  <c r="J55" i="10"/>
  <c r="E55" i="10"/>
  <c r="B55" i="10"/>
  <c r="J54" i="10"/>
  <c r="E54" i="10"/>
  <c r="B54" i="10"/>
  <c r="J53" i="10"/>
  <c r="E53" i="10"/>
  <c r="B53" i="10"/>
  <c r="J52" i="10"/>
  <c r="E52" i="10"/>
  <c r="B52" i="10"/>
  <c r="J51" i="10"/>
  <c r="E51" i="10"/>
  <c r="B51" i="10"/>
  <c r="J50" i="10"/>
  <c r="E50" i="10"/>
  <c r="B50" i="10"/>
  <c r="J49" i="10"/>
  <c r="E49" i="10"/>
  <c r="B49" i="10"/>
  <c r="J48" i="10"/>
  <c r="E48" i="10"/>
  <c r="B48" i="10"/>
  <c r="J47" i="10"/>
  <c r="E47" i="10"/>
  <c r="B47" i="10"/>
  <c r="J46" i="10"/>
  <c r="E46" i="10"/>
  <c r="B46" i="10"/>
  <c r="J45" i="10"/>
  <c r="E45" i="10"/>
  <c r="B45" i="10"/>
  <c r="J44" i="10"/>
  <c r="E44" i="10"/>
  <c r="B44" i="10"/>
  <c r="J43" i="10"/>
  <c r="E43" i="10"/>
  <c r="B43" i="10"/>
  <c r="J42" i="10"/>
  <c r="E42" i="10"/>
  <c r="B42" i="10"/>
  <c r="J41" i="10"/>
  <c r="E41" i="10"/>
  <c r="B41" i="10"/>
  <c r="J40" i="10"/>
  <c r="E40" i="10"/>
  <c r="B40" i="10"/>
  <c r="E39" i="10"/>
  <c r="B39" i="10"/>
  <c r="J38" i="10"/>
  <c r="E38" i="10"/>
  <c r="B38" i="10"/>
  <c r="J37" i="10"/>
  <c r="E37" i="10"/>
  <c r="B37" i="10"/>
  <c r="J36" i="10"/>
  <c r="E36" i="10"/>
  <c r="B36" i="10"/>
  <c r="J35" i="10"/>
  <c r="E35" i="10"/>
  <c r="B35" i="10"/>
  <c r="J34" i="10"/>
  <c r="E34" i="10"/>
  <c r="B34" i="10"/>
  <c r="J33" i="10"/>
  <c r="E33" i="10"/>
  <c r="B33" i="10"/>
  <c r="J32" i="10"/>
  <c r="E32" i="10"/>
  <c r="B32" i="10"/>
  <c r="J31" i="10"/>
  <c r="E31" i="10"/>
  <c r="B31" i="10"/>
  <c r="J30" i="10"/>
  <c r="E30" i="10"/>
  <c r="B30" i="10"/>
  <c r="J29" i="10"/>
  <c r="E29" i="10"/>
  <c r="B29" i="10"/>
  <c r="J28" i="10"/>
  <c r="E28" i="10"/>
  <c r="B28" i="10"/>
  <c r="J27" i="10"/>
  <c r="E27" i="10"/>
  <c r="B27" i="10"/>
  <c r="J26" i="10"/>
  <c r="E26" i="10"/>
  <c r="B26" i="10"/>
  <c r="J25" i="10"/>
  <c r="E25" i="10"/>
  <c r="B25" i="10"/>
  <c r="J24" i="10"/>
  <c r="E24" i="10"/>
  <c r="B24" i="10"/>
  <c r="J23" i="10"/>
  <c r="E23" i="10"/>
  <c r="B23" i="10"/>
  <c r="J22" i="10"/>
  <c r="E22" i="10"/>
  <c r="B22" i="10"/>
  <c r="J21" i="10"/>
  <c r="E21" i="10"/>
  <c r="B21" i="10"/>
  <c r="J20" i="10"/>
  <c r="E20" i="10"/>
  <c r="B20" i="10"/>
  <c r="J19" i="10"/>
  <c r="E19" i="10"/>
  <c r="B19" i="10"/>
  <c r="J18" i="10"/>
  <c r="E18" i="10"/>
  <c r="B18" i="10"/>
  <c r="J17" i="10"/>
  <c r="E17" i="10"/>
  <c r="B17" i="10"/>
  <c r="J16" i="10"/>
  <c r="E16" i="10"/>
  <c r="B16" i="10"/>
  <c r="J15" i="10"/>
  <c r="E15" i="10"/>
  <c r="B15" i="10"/>
  <c r="J14" i="10"/>
  <c r="E14" i="10"/>
  <c r="B14" i="10"/>
  <c r="J13" i="10"/>
  <c r="E13" i="10"/>
  <c r="B13" i="10"/>
  <c r="J9" i="10"/>
  <c r="E9" i="10"/>
  <c r="B9" i="10"/>
  <c r="J8" i="10"/>
  <c r="E8" i="10"/>
  <c r="B8" i="10"/>
  <c r="J7" i="10"/>
  <c r="E7" i="10"/>
  <c r="B7" i="10"/>
  <c r="J6" i="10"/>
  <c r="E6" i="10"/>
  <c r="B6" i="10"/>
  <c r="J5" i="10"/>
  <c r="E5" i="10"/>
  <c r="B5" i="10"/>
</calcChain>
</file>

<file path=xl/sharedStrings.xml><?xml version="1.0" encoding="utf-8"?>
<sst xmlns="http://schemas.openxmlformats.org/spreadsheetml/2006/main" count="6160" uniqueCount="2158">
  <si>
    <t>##var</t>
  </si>
  <si>
    <t>config_id</t>
  </si>
  <si>
    <t>rect_name</t>
  </si>
  <si>
    <t>scene_name</t>
  </si>
  <si>
    <t>scene_id</t>
  </si>
  <si>
    <t>is_main_rect</t>
  </si>
  <si>
    <t>is_born_rect</t>
  </si>
  <si>
    <t>teleport_target</t>
  </si>
  <si>
    <t>##type</t>
  </si>
  <si>
    <t>int</t>
  </si>
  <si>
    <t>string</t>
  </si>
  <si>
    <t>int整数string文本枚举自起名字</t>
  </si>
  <si>
    <t>##group</t>
  </si>
  <si>
    <t>c,s,,C客户端S服务器不填都用</t>
  </si>
  <si>
    <t>##</t>
  </si>
  <si>
    <t>区域ID</t>
  </si>
  <si>
    <t>区域名（传送才外显）</t>
  </si>
  <si>
    <t>备注</t>
  </si>
  <si>
    <t>地编名</t>
  </si>
  <si>
    <t>所属场景ID</t>
  </si>
  <si>
    <t>类型</t>
  </si>
  <si>
    <t>面积</t>
  </si>
  <si>
    <t>行</t>
  </si>
  <si>
    <t>序号</t>
  </si>
  <si>
    <t>是否场景主区域</t>
  </si>
  <si>
    <t>是否出生区域</t>
  </si>
  <si>
    <t>传送目标区域</t>
  </si>
  <si>
    <t>刷怪方案说明</t>
  </si>
  <si>
    <t>刷怪方案1</t>
  </si>
  <si>
    <t>刷怪方案2</t>
  </si>
  <si>
    <t>刷怪方案3</t>
  </si>
  <si>
    <t>刷怪方案4</t>
  </si>
  <si>
    <t>刷怪方案5</t>
  </si>
  <si>
    <t>刷怪方案6</t>
  </si>
  <si>
    <t>刷怪方案7</t>
  </si>
  <si>
    <t>刷怪方案8</t>
  </si>
  <si>
    <t>银杏渔村-怪物1</t>
  </si>
  <si>
    <t>怪物</t>
  </si>
  <si>
    <t>银杏渔村-怪物2</t>
  </si>
  <si>
    <t>银杏渔村-怪物3</t>
  </si>
  <si>
    <t>银杏渔村-怪物4</t>
  </si>
  <si>
    <t>银杏渔村-怪物5</t>
  </si>
  <si>
    <t>银杏渔村-怪物6</t>
  </si>
  <si>
    <t>银杏渔村-怪物7</t>
  </si>
  <si>
    <t>银杏渔村-怪物8</t>
  </si>
  <si>
    <t>银杏渔村-怪物9</t>
  </si>
  <si>
    <t>银杏渔村-怪物10</t>
  </si>
  <si>
    <t>银杏渔村-怪物11</t>
  </si>
  <si>
    <t>银杏渔村-怪物12</t>
  </si>
  <si>
    <t>银杏渔村-怪物13</t>
  </si>
  <si>
    <t>银杏渔村-怪物14</t>
  </si>
  <si>
    <t>银杏渔村-怪物15</t>
  </si>
  <si>
    <t>比奇城-银杏渔村</t>
  </si>
  <si>
    <t>传送</t>
  </si>
  <si>
    <t>比奇城</t>
  </si>
  <si>
    <t>银杏渔村-比奇城</t>
  </si>
  <si>
    <t>银杏渔村-卫士1</t>
  </si>
  <si>
    <t>NPC</t>
  </si>
  <si>
    <t>银杏渔村-卫士2</t>
  </si>
  <si>
    <t>银杏渔村-散步鸡1</t>
  </si>
  <si>
    <t>银杏渔村-散步鸡2</t>
  </si>
  <si>
    <t>银杏渔村-NPC1</t>
  </si>
  <si>
    <t>银杏渔村-出生</t>
  </si>
  <si>
    <t>银杏渔村-NPC2</t>
  </si>
  <si>
    <t>银杏渔村-NPC3</t>
  </si>
  <si>
    <t>散步鸡3</t>
  </si>
  <si>
    <t>银杏渔村-NPC4</t>
  </si>
  <si>
    <t>散步鸡4</t>
  </si>
  <si>
    <t>银杏渔村-NPC5</t>
  </si>
  <si>
    <t>散步鸡5</t>
  </si>
  <si>
    <t>银杏渔村-NPC6</t>
  </si>
  <si>
    <t>银杏渔村-怪物16</t>
  </si>
  <si>
    <t>银杏渔村-怪物17</t>
  </si>
  <si>
    <t>银杏渔村-怪物18</t>
  </si>
  <si>
    <t>银杏渔村-散步鸡6</t>
  </si>
  <si>
    <t>银杏渔村-怪物19</t>
  </si>
  <si>
    <t>银杏渔村-怪物20</t>
  </si>
  <si>
    <t>银杏渔村-散步鸡7</t>
  </si>
  <si>
    <t>银杏渔村-散步鸡8</t>
  </si>
  <si>
    <t>银杏渔村-散步鸡9</t>
  </si>
  <si>
    <t>银杏渔村-怪物21</t>
  </si>
  <si>
    <t>银杏渔村-怪物22</t>
  </si>
  <si>
    <t>银杏渔村-怪物23</t>
  </si>
  <si>
    <t>银杏渔村-怪物24</t>
  </si>
  <si>
    <t>银杏渔村-怪物25</t>
  </si>
  <si>
    <t>银杏渔村-镜头</t>
  </si>
  <si>
    <t>镜头</t>
  </si>
  <si>
    <t>兽人古墓一层</t>
  </si>
  <si>
    <t>比奇城-兽人古墓一层</t>
  </si>
  <si>
    <t>兽人古墓一层-比奇城</t>
  </si>
  <si>
    <t>地牢</t>
  </si>
  <si>
    <t>比奇城-地牢</t>
  </si>
  <si>
    <t>地牢-比奇城</t>
  </si>
  <si>
    <t>沃玛寺庙一层</t>
  </si>
  <si>
    <t>比奇城-沃玛寺庙一层</t>
  </si>
  <si>
    <t>沃玛寺庙一层-比奇城</t>
  </si>
  <si>
    <t>废矿区东部</t>
  </si>
  <si>
    <t>比奇城-废矿区东部</t>
  </si>
  <si>
    <t>废矿区东部-比奇城</t>
  </si>
  <si>
    <t>银杏渔村</t>
  </si>
  <si>
    <t>比奇城-怪物1</t>
  </si>
  <si>
    <t>比奇城-怪物2</t>
  </si>
  <si>
    <t>比奇城-怪物3</t>
  </si>
  <si>
    <t>比奇城-怪物4</t>
  </si>
  <si>
    <t>比奇城-怪物5</t>
  </si>
  <si>
    <t>比奇城-怪物6</t>
  </si>
  <si>
    <t>比奇城-怪物7</t>
  </si>
  <si>
    <t>比奇城-怪物8</t>
  </si>
  <si>
    <t>比奇城-怪物9</t>
  </si>
  <si>
    <t>比奇城-怪物10</t>
  </si>
  <si>
    <t>比奇城-怪物11</t>
  </si>
  <si>
    <t>比奇城-怪物12</t>
  </si>
  <si>
    <t>比奇城-怪物13</t>
  </si>
  <si>
    <t>比奇城-怪物14</t>
  </si>
  <si>
    <t>比奇城-怪物15</t>
  </si>
  <si>
    <t>比奇城-怪物16</t>
  </si>
  <si>
    <t>比奇城-怪物17</t>
  </si>
  <si>
    <t>比奇城-怪物18</t>
  </si>
  <si>
    <t>比奇城-怪物19</t>
  </si>
  <si>
    <t>比奇城-怪物20</t>
  </si>
  <si>
    <t>比奇城-怪物21</t>
  </si>
  <si>
    <t>比奇城-怪物22</t>
  </si>
  <si>
    <t>比奇城-怪物23</t>
  </si>
  <si>
    <t>比奇城-怪物24</t>
  </si>
  <si>
    <t>比奇城-怪物25</t>
  </si>
  <si>
    <t>比奇城-怪物26</t>
  </si>
  <si>
    <t>比奇城-怪物27</t>
  </si>
  <si>
    <t>比奇城-怪物28</t>
  </si>
  <si>
    <t>比奇城-怪物29</t>
  </si>
  <si>
    <t>比奇城-怪物30</t>
  </si>
  <si>
    <t>比奇城-怪物31</t>
  </si>
  <si>
    <t>比奇城-怪物32</t>
  </si>
  <si>
    <t>比奇城-怪物33</t>
  </si>
  <si>
    <t>比奇城-怪物34</t>
  </si>
  <si>
    <t>比奇城-怪物35</t>
  </si>
  <si>
    <t>比奇城-怪物36</t>
  </si>
  <si>
    <t>比奇城-怪物37</t>
  </si>
  <si>
    <t>比奇城-怪物38</t>
  </si>
  <si>
    <t>比奇城-怪物39</t>
  </si>
  <si>
    <t>比奇城-怪物40</t>
  </si>
  <si>
    <t>比奇城-怪物41</t>
  </si>
  <si>
    <t>比奇城-怪物42</t>
  </si>
  <si>
    <t>比奇城-怪物43</t>
  </si>
  <si>
    <t>比奇城-怪物44</t>
  </si>
  <si>
    <t>比奇城-怪物45</t>
  </si>
  <si>
    <t>比奇城-怪物46</t>
  </si>
  <si>
    <t>比奇城-怪物47</t>
  </si>
  <si>
    <t>比奇城-怪物48</t>
  </si>
  <si>
    <t>比奇城-怪物49</t>
  </si>
  <si>
    <t>比奇城-怪物50</t>
  </si>
  <si>
    <t>比奇城-怪物51</t>
  </si>
  <si>
    <t>比奇城-怪物52</t>
  </si>
  <si>
    <t>比奇城-怪物53</t>
  </si>
  <si>
    <t>比奇城-怪物54</t>
  </si>
  <si>
    <t>比奇城-怪物55</t>
  </si>
  <si>
    <t>比奇城-怪物56</t>
  </si>
  <si>
    <t>比奇城-怪物57</t>
  </si>
  <si>
    <t>比奇城-怪物58</t>
  </si>
  <si>
    <t>比奇城-怪物59</t>
  </si>
  <si>
    <t>比奇城-怪物60</t>
  </si>
  <si>
    <t>比奇城-怪物61</t>
  </si>
  <si>
    <t>比奇城-怪物62</t>
  </si>
  <si>
    <t>比奇城-怪物63</t>
  </si>
  <si>
    <t>比奇城-怪物64</t>
  </si>
  <si>
    <t>比奇城-怪物65</t>
  </si>
  <si>
    <t>比奇城-怪物66</t>
  </si>
  <si>
    <t>比奇城-怪物67</t>
  </si>
  <si>
    <t>比奇城-怪物68</t>
  </si>
  <si>
    <t>比奇城-怪物69</t>
  </si>
  <si>
    <t>比奇城-怪物70</t>
  </si>
  <si>
    <t>比奇城-怪物71</t>
  </si>
  <si>
    <t>比奇城-怪物72</t>
  </si>
  <si>
    <t>比奇城-怪物73</t>
  </si>
  <si>
    <t>比奇城-怪物74</t>
  </si>
  <si>
    <t>比奇城-怪物75</t>
  </si>
  <si>
    <t>比奇城-怪物76</t>
  </si>
  <si>
    <t>比奇城-怪物77</t>
  </si>
  <si>
    <t>比奇城-怪物78</t>
  </si>
  <si>
    <t>比奇城-怪物79</t>
  </si>
  <si>
    <t>比奇城-怪物80</t>
  </si>
  <si>
    <t>比奇城-怪物81</t>
  </si>
  <si>
    <t>比奇城-怪物82</t>
  </si>
  <si>
    <t>比奇城-怪物83</t>
  </si>
  <si>
    <t>比奇城-怪物84</t>
  </si>
  <si>
    <t>比奇城-怪物85</t>
  </si>
  <si>
    <t>比奇城-怪物86</t>
  </si>
  <si>
    <t>比奇城-怪物87</t>
  </si>
  <si>
    <t>比奇城-怪物88</t>
  </si>
  <si>
    <t>比奇城-怪物89</t>
  </si>
  <si>
    <t>比奇城-怪物90</t>
  </si>
  <si>
    <t>比奇城-怪物91</t>
  </si>
  <si>
    <t>比奇城-怪物92</t>
  </si>
  <si>
    <t>比奇城-怪物93</t>
  </si>
  <si>
    <t>比奇城-怪物94</t>
  </si>
  <si>
    <t>比奇城-怪物95</t>
  </si>
  <si>
    <t>比奇城-怪物96</t>
  </si>
  <si>
    <t>比奇城-怪物97</t>
  </si>
  <si>
    <t>比奇城-怪物98</t>
  </si>
  <si>
    <t>比奇城-怪物99</t>
  </si>
  <si>
    <t>比奇城-怪物100</t>
  </si>
  <si>
    <t>比奇城-怪物101</t>
  </si>
  <si>
    <t>比奇城-怪物102</t>
  </si>
  <si>
    <t>比奇城-怪物103</t>
  </si>
  <si>
    <t>比奇城-怪物104</t>
  </si>
  <si>
    <t>比奇城-怪物105</t>
  </si>
  <si>
    <t>比奇城-怪物106</t>
  </si>
  <si>
    <t>比奇城-怪物107</t>
  </si>
  <si>
    <t>比奇城-怪物108</t>
  </si>
  <si>
    <t>比奇城-怪物109</t>
  </si>
  <si>
    <t>比奇城-怪物110</t>
  </si>
  <si>
    <t>比奇城-怪物111</t>
  </si>
  <si>
    <t>比奇城-怪物112</t>
  </si>
  <si>
    <t>比奇城-怪物113</t>
  </si>
  <si>
    <t>比奇城-怪物114</t>
  </si>
  <si>
    <t>比奇城-怪物115</t>
  </si>
  <si>
    <t>比奇城-怪物116</t>
  </si>
  <si>
    <t>比奇城-怪物117</t>
  </si>
  <si>
    <t>比奇城-怪物118</t>
  </si>
  <si>
    <t>比奇城-怪物119</t>
  </si>
  <si>
    <t>比奇城-怪物120</t>
  </si>
  <si>
    <t>比奇城-怪物121</t>
  </si>
  <si>
    <t>比奇城-怪物122</t>
  </si>
  <si>
    <t>比奇城-怪物123</t>
  </si>
  <si>
    <t>比奇城-怪物124</t>
  </si>
  <si>
    <t>比奇城-怪物125</t>
  </si>
  <si>
    <t>比奇城-怪物126</t>
  </si>
  <si>
    <t>比奇城-怪物127</t>
  </si>
  <si>
    <t>比奇城-怪物128</t>
  </si>
  <si>
    <t>比奇城-怪物129</t>
  </si>
  <si>
    <t>比奇城-怪物130</t>
  </si>
  <si>
    <t>比奇城-怪物131</t>
  </si>
  <si>
    <t>比奇城-怪物132</t>
  </si>
  <si>
    <t>比奇城-怪物133</t>
  </si>
  <si>
    <t>比奇城-怪物134</t>
  </si>
  <si>
    <t>比奇城-怪物135</t>
  </si>
  <si>
    <t>比奇城-怪物136</t>
  </si>
  <si>
    <t>比奇城-怪物137</t>
  </si>
  <si>
    <t>比奇城-怪物138</t>
  </si>
  <si>
    <t>比奇城-怪物139</t>
  </si>
  <si>
    <t>比奇城-怪物140</t>
  </si>
  <si>
    <t>比奇城-怪物141</t>
  </si>
  <si>
    <t>比奇城-怪物142</t>
  </si>
  <si>
    <t>比奇城-怪物143</t>
  </si>
  <si>
    <t>比奇城-怪物144</t>
  </si>
  <si>
    <t>比奇城-怪物145</t>
  </si>
  <si>
    <t>比奇城-怪物146</t>
  </si>
  <si>
    <t>比奇城-怪物147</t>
  </si>
  <si>
    <t>比奇城-怪物148</t>
  </si>
  <si>
    <t>比奇城-怪物149</t>
  </si>
  <si>
    <t>比奇城-怪物150</t>
  </si>
  <si>
    <t>比奇城-怪物151</t>
  </si>
  <si>
    <t>比奇城-怪物152</t>
  </si>
  <si>
    <t>比奇城-怪物153</t>
  </si>
  <si>
    <t>比奇城-怪物154</t>
  </si>
  <si>
    <t>比奇城-卫士1</t>
  </si>
  <si>
    <t>比奇城-卫士2</t>
  </si>
  <si>
    <t>比奇城-国王</t>
  </si>
  <si>
    <t>比奇城-强化师</t>
  </si>
  <si>
    <t>比奇城-散步鸡1</t>
  </si>
  <si>
    <t>比奇城-仓库管理员</t>
  </si>
  <si>
    <t>比奇城-散步鸡2</t>
  </si>
  <si>
    <t>比奇城-散步鸡3</t>
  </si>
  <si>
    <t>比奇城-散步鸡4</t>
  </si>
  <si>
    <t>比奇城-散步鸡5</t>
  </si>
  <si>
    <t>比奇城-卫士3</t>
  </si>
  <si>
    <t>比奇城-卫士4</t>
  </si>
  <si>
    <t>比奇城-卫士5</t>
  </si>
  <si>
    <t>比奇城-卫士6</t>
  </si>
  <si>
    <t>比奇城-NPC1</t>
  </si>
  <si>
    <t>比奇城-散步鸡6</t>
  </si>
  <si>
    <t>比奇城-散步鸡7</t>
  </si>
  <si>
    <t>比奇城-书店</t>
  </si>
  <si>
    <t>比奇城-药店</t>
  </si>
  <si>
    <t>比奇城-杂货店</t>
  </si>
  <si>
    <t>比奇城-传送员</t>
  </si>
  <si>
    <t>比奇城-NPC2</t>
  </si>
  <si>
    <t>比奇城-医师</t>
  </si>
  <si>
    <t>比奇城-出生</t>
  </si>
  <si>
    <t>比奇城-NPC3</t>
  </si>
  <si>
    <t>比奇城-铁匠铺</t>
  </si>
  <si>
    <t>比奇城-NPC4</t>
  </si>
  <si>
    <t>比奇城-熔炉</t>
  </si>
  <si>
    <t>比奇城-NPC5</t>
  </si>
  <si>
    <t>比奇城-NPC6</t>
  </si>
  <si>
    <t>比奇城-散步鸡8</t>
  </si>
  <si>
    <t>比奇城-散步鸡9</t>
  </si>
  <si>
    <t>比奇城-首饰店</t>
  </si>
  <si>
    <t>比奇城-衣服店</t>
  </si>
  <si>
    <t>比奇城-武器店</t>
  </si>
  <si>
    <t>比奇城-散步鸡10</t>
  </si>
  <si>
    <t>比奇城-散步鸡11</t>
  </si>
  <si>
    <t>比奇城-散步鸡12</t>
  </si>
  <si>
    <t>比奇城-散步鸡13</t>
  </si>
  <si>
    <t>比奇城-NPC7</t>
  </si>
  <si>
    <t>比奇城-卫士7</t>
  </si>
  <si>
    <t>比奇城-卫士8</t>
  </si>
  <si>
    <t>比奇城氛围NPC1</t>
  </si>
  <si>
    <t>比奇城氛围NPC2</t>
  </si>
  <si>
    <t>比奇城氛围NPC3</t>
  </si>
  <si>
    <t>比奇城氛围NPC4</t>
  </si>
  <si>
    <t>比奇城氛围NPC5</t>
  </si>
  <si>
    <t>比奇城氛围NPC6</t>
  </si>
  <si>
    <t>比奇城氛围NPC7</t>
  </si>
  <si>
    <t>比奇城氛围NPC8</t>
  </si>
  <si>
    <t>比奇城氛围NPC9</t>
  </si>
  <si>
    <t>比奇城氛围NPC10</t>
  </si>
  <si>
    <t>比奇城氛围NPC11</t>
  </si>
  <si>
    <t>比奇城氛围NPC12</t>
  </si>
  <si>
    <t>比奇城氛围NPC13</t>
  </si>
  <si>
    <t>比奇城氛围NPC14</t>
  </si>
  <si>
    <t>比奇城氛围NPC15</t>
  </si>
  <si>
    <t>比奇城氛围NPC16</t>
  </si>
  <si>
    <t>比奇城氛围NPC17</t>
  </si>
  <si>
    <t>比奇城氛围NPC18</t>
  </si>
  <si>
    <t>比奇城氛围NPC19</t>
  </si>
  <si>
    <t>比奇城氛围NPC20</t>
  </si>
  <si>
    <t>比奇城氛围NPC21</t>
  </si>
  <si>
    <t>比奇城氛围NPC22</t>
  </si>
  <si>
    <t>比奇城氛围NPC23</t>
  </si>
  <si>
    <t>比奇城氛围NPC24</t>
  </si>
  <si>
    <t>比奇城氛围NPC25</t>
  </si>
  <si>
    <t>比奇城氛围NPC26</t>
  </si>
  <si>
    <t>比奇城氛围NPC27</t>
  </si>
  <si>
    <t>比奇城氛围NPC28</t>
  </si>
  <si>
    <t>比奇城氛围NPC29</t>
  </si>
  <si>
    <t>比奇城氛围NPC30</t>
  </si>
  <si>
    <t>比奇城氛围NPC31</t>
  </si>
  <si>
    <t>比奇城氛围NPC32</t>
  </si>
  <si>
    <t>比奇城氛围NPC33</t>
  </si>
  <si>
    <t>比奇城氛围NPC34</t>
  </si>
  <si>
    <t>比奇城氛围NPC35</t>
  </si>
  <si>
    <t>比奇城氛围NPC36</t>
  </si>
  <si>
    <t>比奇城氛围NPC37</t>
  </si>
  <si>
    <t>比奇城氛围NPC38</t>
  </si>
  <si>
    <t>比奇城氛围NPC39</t>
  </si>
  <si>
    <t>比奇城氛围NPC40</t>
  </si>
  <si>
    <t>比奇城氛围NPC41</t>
  </si>
  <si>
    <t>比奇城氛围NPC42</t>
  </si>
  <si>
    <t>比奇城氛围NPC43</t>
  </si>
  <si>
    <t>比奇城氛围NPC44</t>
  </si>
  <si>
    <t>比奇城氛围NPC45</t>
  </si>
  <si>
    <t>比奇城氛围NPC46</t>
  </si>
  <si>
    <t>比奇城-镜头</t>
  </si>
  <si>
    <t>兽人古墓一层-怪物1</t>
  </si>
  <si>
    <t>兽人古墓一层-怪物2</t>
  </si>
  <si>
    <t>兽人古墓一层-怪物3</t>
  </si>
  <si>
    <t>兽人古墓一层-怪物4</t>
  </si>
  <si>
    <t>兽人古墓一层-怪物5</t>
  </si>
  <si>
    <t>兽人古墓一层-怪物6</t>
  </si>
  <si>
    <t>兽人古墓一层-怪物7</t>
  </si>
  <si>
    <t>兽人古墓一层-怪物8</t>
  </si>
  <si>
    <t>兽人古墓一层-怪物9</t>
  </si>
  <si>
    <t>兽人古墓一层-怪物10</t>
  </si>
  <si>
    <t>兽人古墓一层-怪物11</t>
  </si>
  <si>
    <t>兽人古墓一层-怪物12</t>
  </si>
  <si>
    <t>兽人古墓一层-怪物13</t>
  </si>
  <si>
    <t>兽人古墓一层-怪物14</t>
  </si>
  <si>
    <t>兽人古墓一层-怪物15</t>
  </si>
  <si>
    <t>兽人古墓一层-怪物16</t>
  </si>
  <si>
    <t>兽人古墓一层-怪物17</t>
  </si>
  <si>
    <t>兽人古墓一层-怪物18</t>
  </si>
  <si>
    <t>兽人古墓一层-怪物19</t>
  </si>
  <si>
    <t>兽人古墓一层-怪物20</t>
  </si>
  <si>
    <t>兽人古墓一层-怪物21</t>
  </si>
  <si>
    <t>兽人古墓一层-怪物22</t>
  </si>
  <si>
    <t>兽人古墓一层-怪物23</t>
  </si>
  <si>
    <t>兽人古墓一层-怪物24</t>
  </si>
  <si>
    <t>兽人古墓一层-怪物25</t>
  </si>
  <si>
    <t>兽人古墓一层-怪物26</t>
  </si>
  <si>
    <t>兽人古墓一层-怪物27</t>
  </si>
  <si>
    <t>兽人古墓一层-怪物28</t>
  </si>
  <si>
    <t>兽人古墓一层-怪物29</t>
  </si>
  <si>
    <t>兽人古墓一层-怪物30</t>
  </si>
  <si>
    <t>兽人古墓一层-怪物31</t>
  </si>
  <si>
    <t>兽人古墓一层-怪物32</t>
  </si>
  <si>
    <t>兽人古墓一层-怪物33</t>
  </si>
  <si>
    <t>兽人古墓二层-兽人古墓一层</t>
  </si>
  <si>
    <t>兽人古墓二层</t>
  </si>
  <si>
    <t>兽人古墓一层-兽人古墓二层</t>
  </si>
  <si>
    <t>兽人古墓一层-怪物36</t>
  </si>
  <si>
    <t>兽人古墓一层-怪物37</t>
  </si>
  <si>
    <t>兽人古墓一层-怪物38</t>
  </si>
  <si>
    <t>兽人古墓一层-怪物39</t>
  </si>
  <si>
    <t>兽人古墓一层-怪物40</t>
  </si>
  <si>
    <t>兽人古墓一层-怪物41</t>
  </si>
  <si>
    <t>兽人古墓一层-怪物42</t>
  </si>
  <si>
    <t>兽人古墓一层-怪物43</t>
  </si>
  <si>
    <t>兽人古墓一层-怪物44</t>
  </si>
  <si>
    <t>兽人古墓一层-怪物45</t>
  </si>
  <si>
    <t>兽人古墓一层-怪物46</t>
  </si>
  <si>
    <t>兽人古墓一层-怪物47</t>
  </si>
  <si>
    <t>兽人古墓一层-怪物48</t>
  </si>
  <si>
    <t>兽人古墓一层-怪物49</t>
  </si>
  <si>
    <t>兽人古墓一层-怪物50</t>
  </si>
  <si>
    <t>兽人古墓一层-怪物51</t>
  </si>
  <si>
    <t>兽人古墓一层-怪物52</t>
  </si>
  <si>
    <t>兽人古墓一层-怪物53</t>
  </si>
  <si>
    <t>兽人古墓一层-怪物54</t>
  </si>
  <si>
    <t>兽人古墓一层-怪物55</t>
  </si>
  <si>
    <t>兽人古墓一层-怪物56</t>
  </si>
  <si>
    <t>兽人古墓一层-镜头</t>
  </si>
  <si>
    <t>兽人古墓二层-怪物1</t>
  </si>
  <si>
    <t>兽人古墓二层-怪物2</t>
  </si>
  <si>
    <t>兽人古墓二层-怪物3</t>
  </si>
  <si>
    <t>兽人古墓二层-怪物4</t>
  </si>
  <si>
    <t>兽人古墓二层-怪物5</t>
  </si>
  <si>
    <t>兽人古墓二层-怪物6</t>
  </si>
  <si>
    <t>兽人古墓二层-怪物7</t>
  </si>
  <si>
    <t>兽人古墓二层-怪物8</t>
  </si>
  <si>
    <t>兽人古墓二层-怪物9</t>
  </si>
  <si>
    <t>兽人古墓二层-怪物10</t>
  </si>
  <si>
    <t>兽人古墓二层-怪物11</t>
  </si>
  <si>
    <t>兽人古墓二层-怪物12</t>
  </si>
  <si>
    <t>兽人古墓二层-怪物13</t>
  </si>
  <si>
    <t>兽人古墓二层-怪物14</t>
  </si>
  <si>
    <t>兽人古墓二层-怪物15</t>
  </si>
  <si>
    <t>兽人古墓二层-怪物16</t>
  </si>
  <si>
    <t>兽人古墓二层-怪物17</t>
  </si>
  <si>
    <t>兽人古墓二层-怪物18</t>
  </si>
  <si>
    <t>兽人古墓二层-怪物19</t>
  </si>
  <si>
    <t>兽人古墓二层-怪物20</t>
  </si>
  <si>
    <t>兽人古墓二层-怪物21</t>
  </si>
  <si>
    <t>兽人古墓二层-怪物22</t>
  </si>
  <si>
    <t>兽人古墓二层-怪物23</t>
  </si>
  <si>
    <t>兽人古墓二层-怪物24</t>
  </si>
  <si>
    <t>兽人古墓二层-怪物25</t>
  </si>
  <si>
    <t>兽人古墓二层-怪物26</t>
  </si>
  <si>
    <t>兽人古墓二层-怪物27</t>
  </si>
  <si>
    <t>兽人古墓二层-怪物28</t>
  </si>
  <si>
    <t>兽人古墓二层-怪物29</t>
  </si>
  <si>
    <t>兽人古墓二层-怪物30</t>
  </si>
  <si>
    <t>兽人古墓二层-怪物31</t>
  </si>
  <si>
    <t>兽人古墓二层-怪物32</t>
  </si>
  <si>
    <t>兽人古墓二层-怪物33</t>
  </si>
  <si>
    <t>兽人古墓二层-怪物34</t>
  </si>
  <si>
    <t>兽人古墓二层-怪物35</t>
  </si>
  <si>
    <t>兽人古墓二层-怪物36</t>
  </si>
  <si>
    <t>国王陵墓-兽人古墓二层</t>
  </si>
  <si>
    <t>国王陵墓</t>
  </si>
  <si>
    <t>兽人古墓二层-国王陵墓</t>
  </si>
  <si>
    <t>兽人古墓二层-怪物39</t>
  </si>
  <si>
    <t>兽人古墓二层-怪物40</t>
  </si>
  <si>
    <t>兽人古墓二层-怪物41</t>
  </si>
  <si>
    <t>兽人古墓二层-怪物42</t>
  </si>
  <si>
    <t>兽人古墓二层-怪物43</t>
  </si>
  <si>
    <t>兽人古墓二层-怪物44</t>
  </si>
  <si>
    <t>兽人古墓二层-怪物45</t>
  </si>
  <si>
    <t>兽人古墓二层-怪物46</t>
  </si>
  <si>
    <t>兽人古墓二层-怪物47</t>
  </si>
  <si>
    <t>兽人古墓二层-怪物48</t>
  </si>
  <si>
    <t>兽人古墓二层-怪物49</t>
  </si>
  <si>
    <t>兽人古墓二层-怪物50</t>
  </si>
  <si>
    <t>兽人古墓二层-怪物51</t>
  </si>
  <si>
    <t>兽人古墓二层-怪物52</t>
  </si>
  <si>
    <t>兽人古墓二层-怪物53</t>
  </si>
  <si>
    <t>兽人古墓二层-怪物54</t>
  </si>
  <si>
    <t>兽人古墓二层-怪物55</t>
  </si>
  <si>
    <t>兽人古墓二层-怪物56</t>
  </si>
  <si>
    <t>兽人古墓二层-怪物57</t>
  </si>
  <si>
    <t>兽人古墓二层-怪物58</t>
  </si>
  <si>
    <t>兽人古墓二层-怪物59</t>
  </si>
  <si>
    <t>兽人古墓二层-怪物60</t>
  </si>
  <si>
    <t>兽人古墓二层-怪物61</t>
  </si>
  <si>
    <t>兽人古墓二层-怪物62</t>
  </si>
  <si>
    <t>兽人古墓二层-怪物63</t>
  </si>
  <si>
    <t>兽人古墓二层-怪物64</t>
  </si>
  <si>
    <t>兽人古墓二层-怪物65</t>
  </si>
  <si>
    <t>兽人古墓二层-怪物66</t>
  </si>
  <si>
    <t>兽人古墓二层-镜头</t>
  </si>
  <si>
    <t>国王陵墓-怪物1</t>
  </si>
  <si>
    <t>国王陵墓-怪物2</t>
  </si>
  <si>
    <t>国王陵墓-怪物3</t>
  </si>
  <si>
    <t>国王陵墓-怪物4</t>
  </si>
  <si>
    <t>国王陵墓-怪物5</t>
  </si>
  <si>
    <t>国王陵墓-怪物6</t>
  </si>
  <si>
    <t>国王陵墓-怪物7</t>
  </si>
  <si>
    <t>国王陵墓-怪物8</t>
  </si>
  <si>
    <t>国王陵墓-怪物9</t>
  </si>
  <si>
    <t>国王陵墓-怪物10</t>
  </si>
  <si>
    <t>国王陵墓-怪物11</t>
  </si>
  <si>
    <t>国王陵墓-怪物12</t>
  </si>
  <si>
    <t>国王陵墓-怪物13</t>
  </si>
  <si>
    <t>国王陵墓-怪物14</t>
  </si>
  <si>
    <t>国王陵墓-怪物15</t>
  </si>
  <si>
    <t>国王陵墓-怪物16</t>
  </si>
  <si>
    <t>国王陵墓-怪物17</t>
  </si>
  <si>
    <t>国王陵墓-怪物18</t>
  </si>
  <si>
    <t>国王陵墓-怪物19</t>
  </si>
  <si>
    <t>国王陵墓-怪物20</t>
  </si>
  <si>
    <t>国王陵墓-怪物21</t>
  </si>
  <si>
    <t>国王陵墓-怪物22</t>
  </si>
  <si>
    <t>国王陵墓-怪物23</t>
  </si>
  <si>
    <t>国王陵墓-怪物24</t>
  </si>
  <si>
    <t>国王陵墓-怪物25</t>
  </si>
  <si>
    <t>国王陵墓-怪物26</t>
  </si>
  <si>
    <t>国王陵墓-怪物27</t>
  </si>
  <si>
    <t>国王陵墓-怪物28</t>
  </si>
  <si>
    <t>国王陵墓-怪物29</t>
  </si>
  <si>
    <t>国王陵墓-怪物30</t>
  </si>
  <si>
    <t>国王陵墓-镜头</t>
  </si>
  <si>
    <t>废矿区东部-怪物1</t>
  </si>
  <si>
    <t>废矿区东部-怪物2</t>
  </si>
  <si>
    <t>废矿区东部-怪物3</t>
  </si>
  <si>
    <t>废矿区东部-怪物4</t>
  </si>
  <si>
    <t>废矿区东部-怪物5</t>
  </si>
  <si>
    <t>废矿区东部-怪物6</t>
  </si>
  <si>
    <t>废矿区东部-怪物7</t>
  </si>
  <si>
    <t>废矿区东部-怪物8</t>
  </si>
  <si>
    <t>废矿区东部-怪物9</t>
  </si>
  <si>
    <t>废矿区东部-怪物10</t>
  </si>
  <si>
    <t>废矿区东部-怪物11</t>
  </si>
  <si>
    <t>废矿区东部-怪物12</t>
  </si>
  <si>
    <t>废矿区东部-怪物13</t>
  </si>
  <si>
    <t>废矿区东部-怪物14</t>
  </si>
  <si>
    <t>废矿区东部-怪物15</t>
  </si>
  <si>
    <t>废矿区东部-怪物16</t>
  </si>
  <si>
    <t>废矿区东部-怪物17</t>
  </si>
  <si>
    <t>废矿区东部-怪物18</t>
  </si>
  <si>
    <t>废矿区东部-怪物19</t>
  </si>
  <si>
    <t>废矿区东部-怪物20</t>
  </si>
  <si>
    <t>废矿区东部-怪物21</t>
  </si>
  <si>
    <t>废矿区东部-怪物22</t>
  </si>
  <si>
    <t>废矿区东部-怪物23</t>
  </si>
  <si>
    <t>废矿区东部-怪物24</t>
  </si>
  <si>
    <t>废矿区东部-怪物25</t>
  </si>
  <si>
    <t>废矿区东部-怪物26</t>
  </si>
  <si>
    <t>废矿区东部-怪物27</t>
  </si>
  <si>
    <t>废矿区东部-怪物28</t>
  </si>
  <si>
    <t>废矿区东部-怪物29</t>
  </si>
  <si>
    <t>废矿区东部-怪物30</t>
  </si>
  <si>
    <t>废矿区东部-怪物31</t>
  </si>
  <si>
    <t>废矿区东部-怪物32</t>
  </si>
  <si>
    <t>废矿区东部-怪物33</t>
  </si>
  <si>
    <t>废矿区东部-怪物34</t>
  </si>
  <si>
    <t>废矿区东部-怪物35</t>
  </si>
  <si>
    <t>废矿区东部-怪物36</t>
  </si>
  <si>
    <t>废矿区东部-怪物37</t>
  </si>
  <si>
    <t>废矿区东部-怪物38</t>
  </si>
  <si>
    <t>废矿区东部-怪物39</t>
  </si>
  <si>
    <t>废矿区东部-怪物40</t>
  </si>
  <si>
    <t>废矿区东部-怪物41</t>
  </si>
  <si>
    <t>废矿区东部-怪物42</t>
  </si>
  <si>
    <t>废矿区东部-怪物43</t>
  </si>
  <si>
    <t>废矿区东部-怪物44</t>
  </si>
  <si>
    <t>废矿区东部-怪物45</t>
  </si>
  <si>
    <t>废矿区东部-怪物46</t>
  </si>
  <si>
    <t>废矿区东部-怪物47</t>
  </si>
  <si>
    <t>废矿区东部-怪物48</t>
  </si>
  <si>
    <t>废矿区东部-怪物49</t>
  </si>
  <si>
    <t>废矿区东部-怪物50</t>
  </si>
  <si>
    <t>废矿区东部-怪物51</t>
  </si>
  <si>
    <t>废矿区东部-怪物52</t>
  </si>
  <si>
    <t>废矿区东部-怪物53</t>
  </si>
  <si>
    <t>尸王殿-废矿区东部</t>
  </si>
  <si>
    <t>尸王殿</t>
  </si>
  <si>
    <t>废矿区东部-尸王殿</t>
  </si>
  <si>
    <t>废矿区东部-镜头</t>
  </si>
  <si>
    <t>尸王殿-怪物1</t>
  </si>
  <si>
    <t>尸王殿-怪物2</t>
  </si>
  <si>
    <t>尸王殿-怪物3</t>
  </si>
  <si>
    <t>尸王殿-怪物4</t>
  </si>
  <si>
    <t>尸王殿-怪物5</t>
  </si>
  <si>
    <t>尸王殿-怪物6</t>
  </si>
  <si>
    <t>尸王殿-怪物7</t>
  </si>
  <si>
    <t>尸王殿-怪物8</t>
  </si>
  <si>
    <t>尸王殿-怪物9</t>
  </si>
  <si>
    <t>尸王殿-怪物10</t>
  </si>
  <si>
    <t>尸王殿-怪物11</t>
  </si>
  <si>
    <t>尸王殿-怪物12</t>
  </si>
  <si>
    <t>尸王殿-怪物13</t>
  </si>
  <si>
    <t>尸王殿-怪物14</t>
  </si>
  <si>
    <t>尸王殿-怪物15</t>
  </si>
  <si>
    <t>尸王殿-镜头</t>
  </si>
  <si>
    <t>地牢-怪物1</t>
  </si>
  <si>
    <t>地牢-怪物2</t>
  </si>
  <si>
    <t>地牢-怪物3</t>
  </si>
  <si>
    <t>地牢-怪物4</t>
  </si>
  <si>
    <t>地牢-怪物5</t>
  </si>
  <si>
    <t>地牢-怪物6</t>
  </si>
  <si>
    <t>地牢-怪物7</t>
  </si>
  <si>
    <t>地牢-怪物8</t>
  </si>
  <si>
    <t>地牢-怪物9</t>
  </si>
  <si>
    <t>地牢-怪物10</t>
  </si>
  <si>
    <t>地牢-怪物11</t>
  </si>
  <si>
    <t>地牢-怪物12</t>
  </si>
  <si>
    <t>地牢-怪物13</t>
  </si>
  <si>
    <t>地牢-怪物14</t>
  </si>
  <si>
    <t>地牢-怪物15</t>
  </si>
  <si>
    <t>地牢-怪物16</t>
  </si>
  <si>
    <t>地牢-怪物17</t>
  </si>
  <si>
    <t>地牢-怪物18</t>
  </si>
  <si>
    <t>地牢-怪物19</t>
  </si>
  <si>
    <t>地牢-怪物20</t>
  </si>
  <si>
    <t>地牢-怪物21</t>
  </si>
  <si>
    <t>地牢-怪物22</t>
  </si>
  <si>
    <t>地牢-怪物23</t>
  </si>
  <si>
    <t>地牢-怪物24</t>
  </si>
  <si>
    <t>地牢-怪物25</t>
  </si>
  <si>
    <t>地牢-怪物26</t>
  </si>
  <si>
    <t>地牢-怪物27</t>
  </si>
  <si>
    <t>地牢-怪物28</t>
  </si>
  <si>
    <t>地牢-怪物29</t>
  </si>
  <si>
    <t>地牢-怪物30</t>
  </si>
  <si>
    <t>地牢-怪物31</t>
  </si>
  <si>
    <t>地牢-怪物32</t>
  </si>
  <si>
    <t>地牢-怪物33</t>
  </si>
  <si>
    <t>地牢-怪物34</t>
  </si>
  <si>
    <t>地牢-怪物35</t>
  </si>
  <si>
    <t>地牢-怪物36</t>
  </si>
  <si>
    <t>地牢-怪物37</t>
  </si>
  <si>
    <t>地牢-怪物38</t>
  </si>
  <si>
    <t>地牢-怪物39</t>
  </si>
  <si>
    <t>地牢-怪物40</t>
  </si>
  <si>
    <t>地牢-怪物41</t>
  </si>
  <si>
    <t>地牢-怪物42</t>
  </si>
  <si>
    <t>地牢-怪物43</t>
  </si>
  <si>
    <t>地牢-怪物44</t>
  </si>
  <si>
    <t>地牢-怪物45</t>
  </si>
  <si>
    <t>地牢-怪物46</t>
  </si>
  <si>
    <t>地牢-怪物47</t>
  </si>
  <si>
    <t>地牢-怪物48</t>
  </si>
  <si>
    <t>地牢-老人</t>
  </si>
  <si>
    <t>地牢-怪物49</t>
  </si>
  <si>
    <t>黑暗地带-地牢</t>
  </si>
  <si>
    <t>黑暗地带</t>
  </si>
  <si>
    <t>地牢-黑暗地带</t>
  </si>
  <si>
    <t>地牢-镜头</t>
  </si>
  <si>
    <t>黑暗地带-怪物1</t>
  </si>
  <si>
    <t>黑暗地带-怪物2</t>
  </si>
  <si>
    <t>黑暗地带-怪物3</t>
  </si>
  <si>
    <t>黑暗地带-怪物4</t>
  </si>
  <si>
    <t>黑暗地带-怪物5</t>
  </si>
  <si>
    <t>黑暗地带-怪物6</t>
  </si>
  <si>
    <t>黑暗地带-怪物7</t>
  </si>
  <si>
    <t>黑暗地带-怪物8</t>
  </si>
  <si>
    <t>黑暗地带-怪物9</t>
  </si>
  <si>
    <t>黑暗地带-怪物10</t>
  </si>
  <si>
    <t>黑暗地带-怪物11</t>
  </si>
  <si>
    <t>黑暗地带-怪物12</t>
  </si>
  <si>
    <t>黑暗地带-怪物13</t>
  </si>
  <si>
    <t>黑暗地带-怪物14</t>
  </si>
  <si>
    <t>黑暗地带-怪物15</t>
  </si>
  <si>
    <t>黑暗地带-怪物16</t>
  </si>
  <si>
    <t>黑暗地带-怪物17</t>
  </si>
  <si>
    <t>黑暗地带-怪物18</t>
  </si>
  <si>
    <t>黑暗地带-怪物19</t>
  </si>
  <si>
    <t>黑暗地带-怪物20</t>
  </si>
  <si>
    <t>黑暗地带-怪物21</t>
  </si>
  <si>
    <t>黑暗地带-怪物22</t>
  </si>
  <si>
    <t>黑暗地带-怪物23</t>
  </si>
  <si>
    <t>黑暗地带-怪物24</t>
  </si>
  <si>
    <t>黑暗地带-怪物25</t>
  </si>
  <si>
    <t>黑暗地带-怪物26</t>
  </si>
  <si>
    <t>黑暗地带-怪物27</t>
  </si>
  <si>
    <t>黑暗地带-怪物28</t>
  </si>
  <si>
    <t>黑暗地带-怪物29</t>
  </si>
  <si>
    <t>黑暗地带-怪物30</t>
  </si>
  <si>
    <t>黑暗地带-怪物31</t>
  </si>
  <si>
    <t>黑暗地带-怪物32</t>
  </si>
  <si>
    <t>黑暗地带-怪物33</t>
  </si>
  <si>
    <t>黑暗地带-怪物34</t>
  </si>
  <si>
    <t>黑暗地带-怪物35</t>
  </si>
  <si>
    <t>黑暗地带-怪物36</t>
  </si>
  <si>
    <t>黑暗地带-怪物37</t>
  </si>
  <si>
    <t>黑暗地带-怪物38</t>
  </si>
  <si>
    <t>黑暗地带-怪物39</t>
  </si>
  <si>
    <t>黑暗地带-怪物40</t>
  </si>
  <si>
    <t>黑暗地带-怪物41</t>
  </si>
  <si>
    <t>黑暗地带-怪物42</t>
  </si>
  <si>
    <t>黑暗地带-怪物43</t>
  </si>
  <si>
    <t>黑暗地带-怪物44</t>
  </si>
  <si>
    <t>黑暗地带-怪物45</t>
  </si>
  <si>
    <t>黑暗地带-怪物46</t>
  </si>
  <si>
    <t>黑暗地带-怪物47</t>
  </si>
  <si>
    <t>黑暗地带-怪物48</t>
  </si>
  <si>
    <t>黑暗地带-怪物49</t>
  </si>
  <si>
    <t>黑暗地带-怪物50</t>
  </si>
  <si>
    <t>黑暗地带-怪物51</t>
  </si>
  <si>
    <t>黑暗地带-怪物52</t>
  </si>
  <si>
    <t>黑暗地带-怪物53</t>
  </si>
  <si>
    <t>黑暗地带-怪物54</t>
  </si>
  <si>
    <t>黑暗地带-怪物55</t>
  </si>
  <si>
    <t>黑暗地带-怪物56</t>
  </si>
  <si>
    <t>黑暗地带-怪物57</t>
  </si>
  <si>
    <t>黑暗地带-怪物58</t>
  </si>
  <si>
    <t>黑暗地带-怪物59</t>
  </si>
  <si>
    <t>黑暗地带-怪物60</t>
  </si>
  <si>
    <t>黑暗地带-怪物61</t>
  </si>
  <si>
    <t>黑暗地带-怪物62</t>
  </si>
  <si>
    <t>死亡棺材-黑暗地带</t>
  </si>
  <si>
    <t>死亡棺材</t>
  </si>
  <si>
    <t>黑暗地带-死亡棺材</t>
  </si>
  <si>
    <t>黑暗地带-怪物63</t>
  </si>
  <si>
    <t>黑暗地带-怪物64</t>
  </si>
  <si>
    <t>黑暗地带-怪物65</t>
  </si>
  <si>
    <t>黑暗地带-镜头</t>
  </si>
  <si>
    <t>死亡棺材-怪物1</t>
  </si>
  <si>
    <t>死亡棺材-怪物2</t>
  </si>
  <si>
    <t>死亡棺材-怪物3</t>
  </si>
  <si>
    <t>死亡棺材-怪物4</t>
  </si>
  <si>
    <t>死亡棺材-怪物5</t>
  </si>
  <si>
    <t>死亡棺材-怪物6</t>
  </si>
  <si>
    <t>死亡棺材-怪物7</t>
  </si>
  <si>
    <t>死亡棺材-怪物8</t>
  </si>
  <si>
    <t>死亡棺材-怪物9</t>
  </si>
  <si>
    <t>死亡棺材-怪物10</t>
  </si>
  <si>
    <t>死亡棺材-怪物11</t>
  </si>
  <si>
    <t>死亡棺材-怪物12</t>
  </si>
  <si>
    <t>死亡棺材-怪物13</t>
  </si>
  <si>
    <t>死亡棺材-怪物14</t>
  </si>
  <si>
    <t>死亡棺材-怪物15</t>
  </si>
  <si>
    <t>死亡棺材-怪物16</t>
  </si>
  <si>
    <t>死亡棺材-怪物17</t>
  </si>
  <si>
    <t>死亡棺材-怪物18</t>
  </si>
  <si>
    <t>死亡棺材-怪物19</t>
  </si>
  <si>
    <t>死亡棺材-怪物20</t>
  </si>
  <si>
    <t>死亡棺材-怪物21</t>
  </si>
  <si>
    <t>死亡棺材-怪物22</t>
  </si>
  <si>
    <t>死亡棺材-怪物23</t>
  </si>
  <si>
    <t>死亡棺材-怪物24</t>
  </si>
  <si>
    <t>死亡棺材-怪物25</t>
  </si>
  <si>
    <t>死亡棺材-怪物26</t>
  </si>
  <si>
    <t>死亡棺材-怪物27</t>
  </si>
  <si>
    <t>死亡棺材-怪物28</t>
  </si>
  <si>
    <t>死亡棺材-怪物29</t>
  </si>
  <si>
    <t>死亡棺材-怪物30</t>
  </si>
  <si>
    <t>死亡棺材-怪物31</t>
  </si>
  <si>
    <t>死亡棺材-怪物32</t>
  </si>
  <si>
    <t>死亡棺材-怪物33</t>
  </si>
  <si>
    <t>死亡棺材-怪物34</t>
  </si>
  <si>
    <t>死亡棺材-怪物35</t>
  </si>
  <si>
    <t>死亡棺材-怪物36</t>
  </si>
  <si>
    <t>死亡棺材-怪物37</t>
  </si>
  <si>
    <t>死亡棺材-怪物38</t>
  </si>
  <si>
    <t>死亡棺材-怪物39</t>
  </si>
  <si>
    <t>死亡棺材-怪物40</t>
  </si>
  <si>
    <t>死亡棺材-怪物41</t>
  </si>
  <si>
    <t>死亡棺材-怪物42</t>
  </si>
  <si>
    <t>死亡棺材-怪物43</t>
  </si>
  <si>
    <t>死亡棺材-怪物44</t>
  </si>
  <si>
    <t>死亡棺材-怪物45</t>
  </si>
  <si>
    <t>死亡棺材-怪物46</t>
  </si>
  <si>
    <t>死亡棺材-怪物47</t>
  </si>
  <si>
    <t>死亡棺材-怪物48</t>
  </si>
  <si>
    <t>死亡棺材-怪物49</t>
  </si>
  <si>
    <t>死亡棺材-怪物50</t>
  </si>
  <si>
    <t>死亡棺材-怪物51</t>
  </si>
  <si>
    <t>死亡棺材-怪物52</t>
  </si>
  <si>
    <t>死亡棺材-怪物53</t>
  </si>
  <si>
    <t>死亡棺材-镜头</t>
  </si>
  <si>
    <t>未知暗殿-怪物1</t>
  </si>
  <si>
    <t>未知暗殿-怪物2</t>
  </si>
  <si>
    <t>未知暗殿-怪物3</t>
  </si>
  <si>
    <t>未知暗殿-怪物4</t>
  </si>
  <si>
    <t>未知暗殿-怪物5</t>
  </si>
  <si>
    <t>未知暗殿-怪物6</t>
  </si>
  <si>
    <t>未知暗殿-怪物7</t>
  </si>
  <si>
    <t>未知暗殿-怪物8</t>
  </si>
  <si>
    <t>未知暗殿-怪物9</t>
  </si>
  <si>
    <t>未知暗殿-怪物10</t>
  </si>
  <si>
    <t>未知暗殿-怪物11</t>
  </si>
  <si>
    <t>未知暗殿-怪物12</t>
  </si>
  <si>
    <t>未知暗殿-怪物13</t>
  </si>
  <si>
    <t>未知暗殿-怪物14</t>
  </si>
  <si>
    <t>未知暗殿-怪物15</t>
  </si>
  <si>
    <t>未知暗殿-怪物16</t>
  </si>
  <si>
    <t>未知暗殿-怪物17</t>
  </si>
  <si>
    <t>未知暗殿-怪物18</t>
  </si>
  <si>
    <t>地牢-未知暗殿</t>
  </si>
  <si>
    <t>未知暗殿-怪物19</t>
  </si>
  <si>
    <t>未知暗殿-怪物20</t>
  </si>
  <si>
    <t>未知暗殿-怪物21</t>
  </si>
  <si>
    <t>未知暗殿-怪物22</t>
  </si>
  <si>
    <t>未知暗殿-怪物23</t>
  </si>
  <si>
    <t>未知暗殿-怪物24</t>
  </si>
  <si>
    <t>未知暗殿-怪物25</t>
  </si>
  <si>
    <t>未知暗殿-怪物26</t>
  </si>
  <si>
    <t>未知暗殿-怪物27</t>
  </si>
  <si>
    <t>未知暗殿-怪物28</t>
  </si>
  <si>
    <t>未知暗殿-怪物29</t>
  </si>
  <si>
    <t>未知暗殿-地牢</t>
  </si>
  <si>
    <t>未知暗殿-怪物30</t>
  </si>
  <si>
    <t>未知暗殿-怪物31</t>
  </si>
  <si>
    <t>未知暗殿-怪物32</t>
  </si>
  <si>
    <t>未知暗殿-怪物33</t>
  </si>
  <si>
    <t>未知暗殿-怪物34</t>
  </si>
  <si>
    <t>未知暗殿-怪物35</t>
  </si>
  <si>
    <t>未知暗殿-怪物36</t>
  </si>
  <si>
    <t>未知暗殿-怪物37</t>
  </si>
  <si>
    <t>未知暗殿-怪物38</t>
  </si>
  <si>
    <t>未知暗殿-怪物39</t>
  </si>
  <si>
    <t>未知暗殿-怪物40</t>
  </si>
  <si>
    <t>未知暗殿-怪物41</t>
  </si>
  <si>
    <t>未知暗殿-怪物42</t>
  </si>
  <si>
    <t>未知暗殿-怪物43</t>
  </si>
  <si>
    <t>未知暗殿-怪物44</t>
  </si>
  <si>
    <t>未知暗殿-怪物45</t>
  </si>
  <si>
    <t>未知暗殿-怪物46</t>
  </si>
  <si>
    <t>未知暗殿-怪物47</t>
  </si>
  <si>
    <t>未知暗殿-怪物48</t>
  </si>
  <si>
    <t>未知暗殿-怪物49</t>
  </si>
  <si>
    <t>未知暗殿-怪物50</t>
  </si>
  <si>
    <t>未知暗殿-怪物51</t>
  </si>
  <si>
    <t>未知暗殿-怪物52</t>
  </si>
  <si>
    <t>未知暗殿-怪物53</t>
  </si>
  <si>
    <t>未知暗殿-怪物54</t>
  </si>
  <si>
    <t>未知暗殿-怪物55</t>
  </si>
  <si>
    <t>未知暗殿-镜头</t>
  </si>
  <si>
    <t>沃玛寺庙一层-怪物1</t>
  </si>
  <si>
    <t>沃玛寺庙一层-怪物2</t>
  </si>
  <si>
    <t>沃玛寺庙一层-怪物3</t>
  </si>
  <si>
    <t>沃玛寺庙一层-怪物4</t>
  </si>
  <si>
    <t>沃玛寺庙一层-怪物5</t>
  </si>
  <si>
    <t>沃玛寺庙一层-怪物6</t>
  </si>
  <si>
    <t>沃玛寺庙一层-怪物7</t>
  </si>
  <si>
    <t>沃玛寺庙一层-怪物8</t>
  </si>
  <si>
    <t>沃玛寺庙一层-怪物9</t>
  </si>
  <si>
    <t>沃玛寺庙一层-怪物10</t>
  </si>
  <si>
    <t>沃玛寺庙一层-怪物11</t>
  </si>
  <si>
    <t>沃玛寺庙一层-怪物12</t>
  </si>
  <si>
    <t>沃玛寺庙一层-怪物13</t>
  </si>
  <si>
    <t>沃玛寺庙一层-怪物14</t>
  </si>
  <si>
    <t>沃玛寺庙一层-怪物15</t>
  </si>
  <si>
    <t>沃玛寺庙一层-怪物16</t>
  </si>
  <si>
    <t>沃玛寺庙一层-怪物17</t>
  </si>
  <si>
    <t>沃玛寺庙一层-怪物18</t>
  </si>
  <si>
    <t>沃玛寺庙一层-怪物19</t>
  </si>
  <si>
    <t>沃玛寺庙一层-怪物20</t>
  </si>
  <si>
    <t>沃玛寺庙一层-怪物21</t>
  </si>
  <si>
    <t>沃玛寺庙一层-怪物22</t>
  </si>
  <si>
    <t>沃玛寺庙一层-怪物23</t>
  </si>
  <si>
    <t>沃玛寺庙一层-怪物24</t>
  </si>
  <si>
    <t>沃玛寺庙二层-沃玛寺庙一层</t>
  </si>
  <si>
    <t>沃玛寺庙二层</t>
  </si>
  <si>
    <t>沃玛寺庙一层-沃玛寺庙二层</t>
  </si>
  <si>
    <t>沃玛寺庙一层-怪物25</t>
  </si>
  <si>
    <t>沃玛寺庙一层-怪物26</t>
  </si>
  <si>
    <t>沃玛寺庙一层-怪物27</t>
  </si>
  <si>
    <t>沃玛寺庙一层-怪物28</t>
  </si>
  <si>
    <t>沃玛寺庙一层-怪物29</t>
  </si>
  <si>
    <t>沃玛寺庙一层-怪物30</t>
  </si>
  <si>
    <t>沃玛寺庙一层-怪物31</t>
  </si>
  <si>
    <t>沃玛寺庙一层-怪物32</t>
  </si>
  <si>
    <t>沃玛寺庙一层-怪物33</t>
  </si>
  <si>
    <t>沃玛寺庙一层-怪物34</t>
  </si>
  <si>
    <t>沃玛寺庙一层-怪物35</t>
  </si>
  <si>
    <t>沃玛寺庙一层-怪物36</t>
  </si>
  <si>
    <t>沃玛寺庙一层-怪物37</t>
  </si>
  <si>
    <t>沃玛寺庙一层-怪物38</t>
  </si>
  <si>
    <t>沃玛寺庙一层-怪物39</t>
  </si>
  <si>
    <t>沃玛寺庙一层-怪物40</t>
  </si>
  <si>
    <t>沃玛寺庙一层-怪物41</t>
  </si>
  <si>
    <t>沃玛寺庙一层-怪物42</t>
  </si>
  <si>
    <t>沃玛寺庙一层-怪物43</t>
  </si>
  <si>
    <t>沃玛寺庙一层-怪物44</t>
  </si>
  <si>
    <t>沃玛寺庙一层-怪物45</t>
  </si>
  <si>
    <t>沃玛寺庙一层-怪物46</t>
  </si>
  <si>
    <t>沃玛寺庙一层-怪物47</t>
  </si>
  <si>
    <t>沃玛寺庙一层-怪物48</t>
  </si>
  <si>
    <t>沃玛寺庙一层-怪物49</t>
  </si>
  <si>
    <t>沃玛寺庙一层-怪物50</t>
  </si>
  <si>
    <t>沃玛寺庙一层-怪物51</t>
  </si>
  <si>
    <t>沃玛寺庙一层-怪物52</t>
  </si>
  <si>
    <t>沃玛寺庙一层-怪物53</t>
  </si>
  <si>
    <t>沃玛寺庙一层-怪物54</t>
  </si>
  <si>
    <t>沃玛寺庙一层-怪物55</t>
  </si>
  <si>
    <t>沃玛寺庙一层-怪物56</t>
  </si>
  <si>
    <t>沃玛寺庙一层-怪物57</t>
  </si>
  <si>
    <t>沃玛寺庙-镜头</t>
  </si>
  <si>
    <t>沃玛寺庙二层-怪物1</t>
  </si>
  <si>
    <t>沃玛寺庙二层-怪物2</t>
  </si>
  <si>
    <t>沃玛寺庙二层-怪物3</t>
  </si>
  <si>
    <t>沃玛寺庙二层-怪物4</t>
  </si>
  <si>
    <t>沃玛寺庙二层-怪物5</t>
  </si>
  <si>
    <t>沃玛寺庙二层-怪物6</t>
  </si>
  <si>
    <t>沃玛寺庙二层-怪物7</t>
  </si>
  <si>
    <t>沃玛寺庙二层-怪物8</t>
  </si>
  <si>
    <t>沃玛寺庙二层-怪物9</t>
  </si>
  <si>
    <t>沃玛寺庙二层-怪物10</t>
  </si>
  <si>
    <t>沃玛寺庙二层-怪物11</t>
  </si>
  <si>
    <t>沃玛寺庙二层-怪物12</t>
  </si>
  <si>
    <t>沃玛寺庙二层-怪物13</t>
  </si>
  <si>
    <t>沃玛寺庙二层-怪物14</t>
  </si>
  <si>
    <t>沃玛寺庙二层-怪物15</t>
  </si>
  <si>
    <t>沃玛寺庙二层-怪物16</t>
  </si>
  <si>
    <t>沃玛寺庙二层-怪物17</t>
  </si>
  <si>
    <t>沃玛寺庙二层-怪物18</t>
  </si>
  <si>
    <t>沃玛寺庙二层-怪物19</t>
  </si>
  <si>
    <t>沃玛寺庙二层-怪物20</t>
  </si>
  <si>
    <t>沃玛教主大殿-沃玛寺庙二层</t>
  </si>
  <si>
    <t>沃玛教主大殿</t>
  </si>
  <si>
    <t>沃玛寺庙二层-沃玛教主大殿</t>
  </si>
  <si>
    <t>沃玛寺庙二层-怪物21</t>
  </si>
  <si>
    <t>沃玛寺庙二层-怪物22</t>
  </si>
  <si>
    <t>沃玛寺庙二层-怪物23</t>
  </si>
  <si>
    <t>沃玛寺庙二层-怪物24</t>
  </si>
  <si>
    <t>沃玛寺庙二层-怪物25</t>
  </si>
  <si>
    <t>沃玛寺庙二层-怪物26</t>
  </si>
  <si>
    <t>沃玛寺庙二层-怪物27</t>
  </si>
  <si>
    <t>沃玛寺庙二层-怪物28</t>
  </si>
  <si>
    <t>沃玛寺庙二层-怪物29</t>
  </si>
  <si>
    <t>沃玛寺庙二层-怪物30</t>
  </si>
  <si>
    <t>沃玛寺庙二层-怪物31</t>
  </si>
  <si>
    <t>沃玛寺庙二层-怪物32</t>
  </si>
  <si>
    <t>沃玛寺庙二层-怪物33</t>
  </si>
  <si>
    <t>沃玛寺庙二层-怪物34</t>
  </si>
  <si>
    <t>沃玛寺庙二层-怪物35</t>
  </si>
  <si>
    <t>沃玛寺庙二层-怪物36</t>
  </si>
  <si>
    <t>沃玛寺庙二层-怪物37</t>
  </si>
  <si>
    <t>沃玛寺庙二层-怪物38</t>
  </si>
  <si>
    <t>沃玛寺庙二层-怪物39</t>
  </si>
  <si>
    <t>沃玛寺庙二层-怪物40</t>
  </si>
  <si>
    <t>沃玛寺庙二层-怪物41</t>
  </si>
  <si>
    <t>沃玛寺庙二层-怪物42</t>
  </si>
  <si>
    <t>沃玛寺庙二层-怪物43</t>
  </si>
  <si>
    <t>沃玛寺庙二层-怪物44</t>
  </si>
  <si>
    <t>沃玛寺庙二层-怪物45</t>
  </si>
  <si>
    <t>沃玛寺庙二层-怪物46</t>
  </si>
  <si>
    <t>沃玛寺庙二层-怪物47</t>
  </si>
  <si>
    <t>沃玛寺庙二层-怪物48</t>
  </si>
  <si>
    <t>沃玛寺庙二层-怪物49</t>
  </si>
  <si>
    <t>沃玛寺庙二层-怪物50</t>
  </si>
  <si>
    <t>沃玛寺庙二层-镜头</t>
  </si>
  <si>
    <t>沃玛教主大殿-怪物1</t>
  </si>
  <si>
    <t>沃玛教主大殿-怪物2</t>
  </si>
  <si>
    <t>沃玛教主大殿-怪物3</t>
  </si>
  <si>
    <t>沃玛教主大殿-怪物4</t>
  </si>
  <si>
    <t>沃玛教主大殿-怪物7</t>
  </si>
  <si>
    <t>沃玛教主大殿-怪物8</t>
  </si>
  <si>
    <t>沃玛教主大殿-怪物9</t>
  </si>
  <si>
    <t>沃玛教主大殿-怪物10</t>
  </si>
  <si>
    <t>沃玛教主大殿-怪物11</t>
  </si>
  <si>
    <t>沃玛教主大殿-怪物12</t>
  </si>
  <si>
    <t>沃玛教主大殿-怪物13</t>
  </si>
  <si>
    <t>沃玛教主大殿-怪物14</t>
  </si>
  <si>
    <t>沃玛教主大殿-怪物15</t>
  </si>
  <si>
    <t>沃玛教主大殿-怪物16</t>
  </si>
  <si>
    <t>沃玛教主大殿-怪物17</t>
  </si>
  <si>
    <t>沃玛教主大殿-怪物18</t>
  </si>
  <si>
    <t>沃玛教主大殿-怪物19</t>
  </si>
  <si>
    <t>沃玛教主大殿-怪物20</t>
  </si>
  <si>
    <t>沃玛教主大殿-怪物21</t>
  </si>
  <si>
    <t>沃玛教主大殿-怪物22</t>
  </si>
  <si>
    <t>沃玛教主大殿-怪物23</t>
  </si>
  <si>
    <t>沃玛教主大殿-怪物24</t>
  </si>
  <si>
    <t>沃玛教主大殿-怪物25</t>
  </si>
  <si>
    <t>沃玛教主大殿-怪物26</t>
  </si>
  <si>
    <t>沃玛教主大殿-怪物27</t>
  </si>
  <si>
    <t>沃玛教主大殿-怪物28</t>
  </si>
  <si>
    <t>沃玛教主大殿-怪物29</t>
  </si>
  <si>
    <t>沃玛教主大殿-怪物30</t>
  </si>
  <si>
    <t>沃玛教主大殿-怪物31</t>
  </si>
  <si>
    <t>沃玛教主大殿-怪物32</t>
  </si>
  <si>
    <t>沃玛教主大殿-怪物33</t>
  </si>
  <si>
    <t>沃玛教主大殿-怪物34</t>
  </si>
  <si>
    <t>沃玛教主大殿-怪物35</t>
  </si>
  <si>
    <t>沃玛教主大殿-怪物36</t>
  </si>
  <si>
    <t>沃玛教主大殿-镜头</t>
  </si>
  <si>
    <t>石墓一层-怪物1</t>
  </si>
  <si>
    <t>石墓一层-怪物2</t>
  </si>
  <si>
    <t>石墓一层-怪物3</t>
  </si>
  <si>
    <t>石墓一层-怪物4</t>
  </si>
  <si>
    <t>石墓一层-怪物5</t>
  </si>
  <si>
    <t>石墓一层-怪物6</t>
  </si>
  <si>
    <t>石墓一层-怪物7</t>
  </si>
  <si>
    <t>石墓一层-怪物8</t>
  </si>
  <si>
    <t>石墓一层-怪物9</t>
  </si>
  <si>
    <t>石墓一层-比奇城</t>
  </si>
  <si>
    <t>比奇城-石墓一层</t>
  </si>
  <si>
    <t>石墓一层-怪物10</t>
  </si>
  <si>
    <t>石墓一层-怪物11</t>
  </si>
  <si>
    <t>石墓一层-怪物12</t>
  </si>
  <si>
    <t>石墓一层-怪物13</t>
  </si>
  <si>
    <t>石墓一层-怪物14</t>
  </si>
  <si>
    <t>石墓一层-怪物15</t>
  </si>
  <si>
    <t>石墓一层-怪物16</t>
  </si>
  <si>
    <t>石墓一层-怪物17</t>
  </si>
  <si>
    <t>石墓一层-怪物18</t>
  </si>
  <si>
    <t>石墓一层-怪物19</t>
  </si>
  <si>
    <t>石墓一层-怪物20</t>
  </si>
  <si>
    <t>石墓一层-怪物21</t>
  </si>
  <si>
    <t>石墓一层-怪物22</t>
  </si>
  <si>
    <t>石墓一层-怪物23</t>
  </si>
  <si>
    <t>石墓一层-怪物24</t>
  </si>
  <si>
    <t>石墓一层-怪物25</t>
  </si>
  <si>
    <t>石墓一层-怪物26</t>
  </si>
  <si>
    <t>石墓一层-怪物27</t>
  </si>
  <si>
    <t>石墓一层-怪物28</t>
  </si>
  <si>
    <t>石墓一层-怪物29</t>
  </si>
  <si>
    <t>石墓一层-怪物30</t>
  </si>
  <si>
    <t>石墓一层-怪物31</t>
  </si>
  <si>
    <t>石墓一层-怪物32</t>
  </si>
  <si>
    <t>石墓一层-怪物33</t>
  </si>
  <si>
    <t>石墓一层-怪物34</t>
  </si>
  <si>
    <t>石墓一层-怪物35</t>
  </si>
  <si>
    <t>石墓一层-怪物36</t>
  </si>
  <si>
    <t>石墓一层-怪物37</t>
  </si>
  <si>
    <t>石墓一层-怪物38</t>
  </si>
  <si>
    <t>石墓一层-怪物39</t>
  </si>
  <si>
    <t>石墓一层-怪物40</t>
  </si>
  <si>
    <t>石墓一层-怪物41</t>
  </si>
  <si>
    <t>石墓一层-怪物42</t>
  </si>
  <si>
    <t>石墓一层-怪物43</t>
  </si>
  <si>
    <t>石墓一层-怪物44</t>
  </si>
  <si>
    <t>石墓一层-怪物45</t>
  </si>
  <si>
    <t>石墓一层-怪物46</t>
  </si>
  <si>
    <t>石墓一层-怪物47</t>
  </si>
  <si>
    <t>石墓一层-怪物48</t>
  </si>
  <si>
    <t>石墓一层-怪物49</t>
  </si>
  <si>
    <t>石墓一层-怪物50</t>
  </si>
  <si>
    <t>石墓一层-怪物51</t>
  </si>
  <si>
    <t>石墓一层-怪物52</t>
  </si>
  <si>
    <t>石墓一层-怪物53</t>
  </si>
  <si>
    <t>石墓一层-怪物54</t>
  </si>
  <si>
    <t>石墓一层-怪物55</t>
  </si>
  <si>
    <t>石墓一层-怪物56</t>
  </si>
  <si>
    <t>石墓一层-怪物57</t>
  </si>
  <si>
    <t>石墓一层-怪物58</t>
  </si>
  <si>
    <t>石墓一层-怪物59</t>
  </si>
  <si>
    <t>石墓一层-怪物60</t>
  </si>
  <si>
    <t>石墓一层-怪物61</t>
  </si>
  <si>
    <t>石墓一层-怪物62</t>
  </si>
  <si>
    <t>石墓一层-怪物63</t>
  </si>
  <si>
    <t>石墓一层-怪物64</t>
  </si>
  <si>
    <t>石墓一层-怪物65</t>
  </si>
  <si>
    <t>石墓一层-怪物66</t>
  </si>
  <si>
    <t>石墓阵入口-石墓一层</t>
  </si>
  <si>
    <t>石墓阵</t>
  </si>
  <si>
    <t>石墓一层-石墓阵入口</t>
  </si>
  <si>
    <t>石墓一层-怪物67</t>
  </si>
  <si>
    <t>石墓一层-怪物68</t>
  </si>
  <si>
    <t>石墓一层-怪物69</t>
  </si>
  <si>
    <t>石墓一层-怪物70</t>
  </si>
  <si>
    <t>石墓一层-怪物71</t>
  </si>
  <si>
    <t>石墓一层-怪物72</t>
  </si>
  <si>
    <t>石墓一层-怪物73</t>
  </si>
  <si>
    <t>石墓一层-怪物74</t>
  </si>
  <si>
    <t>石墓一层-怪物75</t>
  </si>
  <si>
    <t>石墓一层-怪物76</t>
  </si>
  <si>
    <t>石墓一层-怪物77</t>
  </si>
  <si>
    <t>石墓一层-镜头</t>
  </si>
  <si>
    <t>石墓一层</t>
  </si>
  <si>
    <t>石墓阵入口1-石墓一层</t>
  </si>
  <si>
    <t>石墓一层-石墓阵入口1</t>
  </si>
  <si>
    <t>石墓阵入口2-石墓阵出口</t>
  </si>
  <si>
    <t>石墓阵出口-石墓阵入口2</t>
  </si>
  <si>
    <t>石墓阵入口3-石墓阵出口</t>
  </si>
  <si>
    <t>石墓阵出口-石墓阵入口3</t>
  </si>
  <si>
    <t>石墓阵入口4-石墓阵出口</t>
  </si>
  <si>
    <t>石墓阵出口-石墓阵入口4</t>
  </si>
  <si>
    <t>石墓阵入口-怪物1</t>
  </si>
  <si>
    <t>石墓阵入口-怪物2</t>
  </si>
  <si>
    <t>石墓阵入口-怪物3</t>
  </si>
  <si>
    <t>石墓阵入口-怪物4</t>
  </si>
  <si>
    <t>石墓阵入口-怪物5</t>
  </si>
  <si>
    <t>石墓阵入口-怪物6</t>
  </si>
  <si>
    <t>石墓阵入口-怪物7</t>
  </si>
  <si>
    <t>石墓阵入口-怪物8</t>
  </si>
  <si>
    <t>石墓阵入口-怪物9</t>
  </si>
  <si>
    <t>石墓阵入口-怪物10</t>
  </si>
  <si>
    <t>石墓阵入口-怪物11</t>
  </si>
  <si>
    <t>石墓阵入口-怪物12</t>
  </si>
  <si>
    <t>石墓阵入口-怪物13</t>
  </si>
  <si>
    <t>石墓阵入口-怪物14</t>
  </si>
  <si>
    <t>石墓阵入口-怪物15</t>
  </si>
  <si>
    <t>石墓阵入口-怪物16</t>
  </si>
  <si>
    <t>石墓阵入口-怪物17</t>
  </si>
  <si>
    <t>石墓阵入口-怪物18</t>
  </si>
  <si>
    <t>石墓阵入口-怪物19</t>
  </si>
  <si>
    <t>石墓阵入口-镜头</t>
  </si>
  <si>
    <t>石墓阵出口-怪物1</t>
  </si>
  <si>
    <t>石墓阵出口-怪物2</t>
  </si>
  <si>
    <t>石墓阵入口-石墓阵出口</t>
  </si>
  <si>
    <t>石墓阵出口-怪物3</t>
  </si>
  <si>
    <t>石墓阵出口-怪物4</t>
  </si>
  <si>
    <t>石墓阵出口-怪物5</t>
  </si>
  <si>
    <t>石墓阵出口-怪物6</t>
  </si>
  <si>
    <t>石墓阵出口-怪物7</t>
  </si>
  <si>
    <t>石墓阵出口-怪物8</t>
  </si>
  <si>
    <t>石墓阵出口-怪物9</t>
  </si>
  <si>
    <t>石墓阵出口-怪物10</t>
  </si>
  <si>
    <t>石墓阵出口-怪物11</t>
  </si>
  <si>
    <t>石墓阵出口-怪物12</t>
  </si>
  <si>
    <t>石墓阵出口-怪物13</t>
  </si>
  <si>
    <t>石墓阵出口-怪物14</t>
  </si>
  <si>
    <t>石墓阵出口-怪物15</t>
  </si>
  <si>
    <t>石墓顶层</t>
  </si>
  <si>
    <t>石墓阵出口-石墓顶层</t>
  </si>
  <si>
    <t>石墓顶层-石墓阵出口</t>
  </si>
  <si>
    <t>石墓阵出口-怪物16</t>
  </si>
  <si>
    <t>石墓阵出口-怪物17</t>
  </si>
  <si>
    <t>石墓阵出口-怪物18</t>
  </si>
  <si>
    <t>石墓阵出口-怪物19</t>
  </si>
  <si>
    <t>石墓阵出口-怪物20</t>
  </si>
  <si>
    <t>石墓阵出口-怪物21</t>
  </si>
  <si>
    <t>石墓阵出口-怪物22</t>
  </si>
  <si>
    <t>石墓阵出口-镜头</t>
  </si>
  <si>
    <t>石墓顶层-怪物1</t>
  </si>
  <si>
    <t>石墓顶层-怪物2</t>
  </si>
  <si>
    <t>石墓顶层-怪物3</t>
  </si>
  <si>
    <t>石墓顶层-怪物4</t>
  </si>
  <si>
    <t>石墓顶层-怪物5</t>
  </si>
  <si>
    <t>石墓顶层-怪物6</t>
  </si>
  <si>
    <t>石墓顶层-怪物7</t>
  </si>
  <si>
    <t>石墓顶层-怪物8</t>
  </si>
  <si>
    <t>石墓顶层-怪物9</t>
  </si>
  <si>
    <t>石墓顶层-怪物10</t>
  </si>
  <si>
    <t>石墓顶层-怪物11</t>
  </si>
  <si>
    <t>石墓顶层-怪物12</t>
  </si>
  <si>
    <t>石墓顶层-怪物13</t>
  </si>
  <si>
    <t>石墓顶层-怪物14</t>
  </si>
  <si>
    <t>石墓顶层-怪物15</t>
  </si>
  <si>
    <t>石墓顶层-怪物16</t>
  </si>
  <si>
    <t>石墓顶层-怪物17</t>
  </si>
  <si>
    <t>石墓顶层-怪物18</t>
  </si>
  <si>
    <t>石墓顶层-怪物19</t>
  </si>
  <si>
    <t>石墓顶层-怪物20</t>
  </si>
  <si>
    <t>石墓顶层-怪物21</t>
  </si>
  <si>
    <t>石墓顶层-怪物22</t>
  </si>
  <si>
    <t>石墓顶层-怪物23</t>
  </si>
  <si>
    <t>石墓顶层-怪物24</t>
  </si>
  <si>
    <t>石墓顶层-怪物25</t>
  </si>
  <si>
    <t>石墓顶层-怪物26</t>
  </si>
  <si>
    <t>石墓顶层-怪物27</t>
  </si>
  <si>
    <t>石墓顶层-怪物28</t>
  </si>
  <si>
    <t>石墓顶层-怪物29</t>
  </si>
  <si>
    <t>石墓顶层-怪物30</t>
  </si>
  <si>
    <t>桃源之门-石墓顶层</t>
  </si>
  <si>
    <t>桃源之门</t>
  </si>
  <si>
    <t>石墓顶层-桃源之门</t>
  </si>
  <si>
    <t>石墓顶层-怪物31</t>
  </si>
  <si>
    <t>石墓顶层-怪物32</t>
  </si>
  <si>
    <t>石墓顶层-怪物33</t>
  </si>
  <si>
    <t>石墓顶层-怪物34</t>
  </si>
  <si>
    <t>石墓顶层-怪物35</t>
  </si>
  <si>
    <t>石墓顶层-怪物36</t>
  </si>
  <si>
    <t>石墓顶层-怪物37</t>
  </si>
  <si>
    <t>石墓顶层-怪物38</t>
  </si>
  <si>
    <t>石墓顶层-怪物39</t>
  </si>
  <si>
    <t>石墓顶层-怪物40</t>
  </si>
  <si>
    <t>石墓顶层-怪物41</t>
  </si>
  <si>
    <t>石墓顶层-怪物42</t>
  </si>
  <si>
    <t>石墓顶层-怪物43</t>
  </si>
  <si>
    <t>石墓顶层-怪物44</t>
  </si>
  <si>
    <t>石墓顶层-怪物45</t>
  </si>
  <si>
    <t>石墓顶层-怪物46</t>
  </si>
  <si>
    <t>石墓顶层-怪物47</t>
  </si>
  <si>
    <t>石墓顶层-怪物48</t>
  </si>
  <si>
    <t>石墓顶层-怪物49</t>
  </si>
  <si>
    <t>石墓顶层-怪物50</t>
  </si>
  <si>
    <t>石墓顶层-怪物51</t>
  </si>
  <si>
    <t>石墓顶层-怪物52</t>
  </si>
  <si>
    <t>石墓顶层-怪物53</t>
  </si>
  <si>
    <t>石墓顶层-怪物54</t>
  </si>
  <si>
    <t>石墓顶层-怪物55</t>
  </si>
  <si>
    <t>石墓顶层-怪物56</t>
  </si>
  <si>
    <t>石墓顶层-怪物57</t>
  </si>
  <si>
    <t>石墓顶层-怪物58</t>
  </si>
  <si>
    <t>石墓顶层-怪物59</t>
  </si>
  <si>
    <t>石墓顶层-怪物60</t>
  </si>
  <si>
    <t>石墓顶层-怪物61</t>
  </si>
  <si>
    <t>石墓顶层-怪物62</t>
  </si>
  <si>
    <t>石墓顶层-镜头</t>
  </si>
  <si>
    <t>桃源之门-怪物1</t>
  </si>
  <si>
    <t>桃源之门-怪物2</t>
  </si>
  <si>
    <t>桃源之门-怪物3</t>
  </si>
  <si>
    <t>桃源之门-怪物4</t>
  </si>
  <si>
    <t>桃源之门-怪物5</t>
  </si>
  <si>
    <t>桃源之门-怪物6</t>
  </si>
  <si>
    <t>桃源之门-怪物7</t>
  </si>
  <si>
    <t>桃源之门-怪物8</t>
  </si>
  <si>
    <t>桃源之门-怪物9</t>
  </si>
  <si>
    <t>桃源之门-怪物10</t>
  </si>
  <si>
    <t>桃源之门-怪物11</t>
  </si>
  <si>
    <t>桃源之门-怪物12</t>
  </si>
  <si>
    <t>桃源之门-怪物13</t>
  </si>
  <si>
    <t>桃源之门-怪物14</t>
  </si>
  <si>
    <t>桃源之门-怪物15</t>
  </si>
  <si>
    <t>桃源之门-怪物16</t>
  </si>
  <si>
    <t>桃源之门-怪物17</t>
  </si>
  <si>
    <t>桃源之门-怪物18</t>
  </si>
  <si>
    <t>困惑殿堂</t>
  </si>
  <si>
    <t>桃源之门-困惑殿堂</t>
  </si>
  <si>
    <t>困惑殿堂-桃源之门</t>
  </si>
  <si>
    <t>桃源之门-怪物19</t>
  </si>
  <si>
    <t>桃源之门-怪物20</t>
  </si>
  <si>
    <t>桃源之门-怪物21</t>
  </si>
  <si>
    <t>桃源之门-怪物22</t>
  </si>
  <si>
    <t>桃源之门-怪物23</t>
  </si>
  <si>
    <t>桃源之门-怪物24</t>
  </si>
  <si>
    <t>桃源之门-怪物25</t>
  </si>
  <si>
    <t>桃源之门-怪物26</t>
  </si>
  <si>
    <t>桃源之门-怪物27</t>
  </si>
  <si>
    <t>桃源之门-怪物28</t>
  </si>
  <si>
    <t>桃源之门-怪物29</t>
  </si>
  <si>
    <t>桃源之门-镜头</t>
  </si>
  <si>
    <t>困惑殿堂-怪物1</t>
  </si>
  <si>
    <t>困惑殿堂-怪物2</t>
  </si>
  <si>
    <t>困惑殿堂-怪物3</t>
  </si>
  <si>
    <t>困惑殿堂-怪物4</t>
  </si>
  <si>
    <t>困惑殿堂-怪物5</t>
  </si>
  <si>
    <t>困惑殿堂-怪物6</t>
  </si>
  <si>
    <t>困惑殿堂-怪物7</t>
  </si>
  <si>
    <t>困惑殿堂-怪物8</t>
  </si>
  <si>
    <t>困惑殿堂-怪物9</t>
  </si>
  <si>
    <t>困惑殿堂-怪物10</t>
  </si>
  <si>
    <t>困惑殿堂-怪物11</t>
  </si>
  <si>
    <t>困惑殿堂-怪物12</t>
  </si>
  <si>
    <t>困惑殿堂-怪物13</t>
  </si>
  <si>
    <t>困惑殿堂-镜头</t>
  </si>
  <si>
    <t>祖玛寺庙一层-怪物1</t>
  </si>
  <si>
    <t>祖玛寺庙一层-怪物2</t>
  </si>
  <si>
    <t>祖玛寺庙一层-怪物3</t>
  </si>
  <si>
    <t>祖玛寺庙一层-怪物4</t>
  </si>
  <si>
    <t>祖玛寺庙一层-怪物5</t>
  </si>
  <si>
    <t>祖玛寺庙一层-怪物6</t>
  </si>
  <si>
    <t>祖玛寺庙一层-怪物7</t>
  </si>
  <si>
    <t>祖玛寺庙一层-怪物8</t>
  </si>
  <si>
    <t>祖玛寺庙一层-怪物9</t>
  </si>
  <si>
    <t>祖玛寺庙一层-怪物10</t>
  </si>
  <si>
    <t>祖玛寺庙一层-怪物11</t>
  </si>
  <si>
    <t>祖玛寺庙一层-怪物12</t>
  </si>
  <si>
    <t>祖玛寺庙一层-怪物13</t>
  </si>
  <si>
    <t>祖玛寺庙一层-怪物14</t>
  </si>
  <si>
    <t>祖玛寺庙一层-怪物15</t>
  </si>
  <si>
    <t>祖玛寺庙一层-怪物16</t>
  </si>
  <si>
    <t>祖玛寺庙一层-怪物17</t>
  </si>
  <si>
    <t>祖玛寺庙一层-怪物18</t>
  </si>
  <si>
    <t>祖玛寺庙一层-比奇城</t>
  </si>
  <si>
    <t>比奇城-祖玛寺庙一层</t>
  </si>
  <si>
    <t>祖玛寺庙一层-怪物19</t>
  </si>
  <si>
    <t>祖玛寺庙一层-怪物20</t>
  </si>
  <si>
    <t>祖玛寺庙一层-怪物21</t>
  </si>
  <si>
    <t>祖玛寺庙一层-怪物22</t>
  </si>
  <si>
    <t>祖玛寺庙一层-怪物23</t>
  </si>
  <si>
    <t>祖玛寺庙一层-怪物24</t>
  </si>
  <si>
    <t>祖玛寺庙一层-怪物25</t>
  </si>
  <si>
    <t>祖玛寺庙一层-怪物26</t>
  </si>
  <si>
    <t>祖玛寺庙一层-怪物27</t>
  </si>
  <si>
    <t>祖玛寺庙一层-怪物28</t>
  </si>
  <si>
    <t>祖玛寺庙一层-怪物29</t>
  </si>
  <si>
    <t>祖玛寺庙一层-怪物30</t>
  </si>
  <si>
    <t>祖玛寺庙一层-怪物31</t>
  </si>
  <si>
    <t>祖玛寺庙一层-怪物32</t>
  </si>
  <si>
    <t>祖玛寺庙一层-怪物33</t>
  </si>
  <si>
    <t>祖玛寺庙一层-怪物34</t>
  </si>
  <si>
    <t>祖玛寺庙一层-怪物35</t>
  </si>
  <si>
    <t>祖玛寺庙一层-怪物36</t>
  </si>
  <si>
    <t>祖玛寺庙一层-怪物37</t>
  </si>
  <si>
    <t>祖玛寺庙一层-怪物38</t>
  </si>
  <si>
    <t>祖玛寺庙一层-怪物39</t>
  </si>
  <si>
    <t>祖玛寺庙一层-怪物40</t>
  </si>
  <si>
    <t>祖玛寺庙一层-怪物41</t>
  </si>
  <si>
    <t>祖玛寺庙一层-怪物42</t>
  </si>
  <si>
    <t>祖玛寺庙一层-怪物43</t>
  </si>
  <si>
    <t>祖玛寺庙一层-怪物44</t>
  </si>
  <si>
    <t>祖玛寺庙一层-怪物45</t>
  </si>
  <si>
    <t>祖玛寺庙一层-怪物46</t>
  </si>
  <si>
    <t>祖玛寺庙一层-怪物47</t>
  </si>
  <si>
    <t>祖玛寺庙一层-怪物48</t>
  </si>
  <si>
    <t>祖玛寺庙一层-怪物49</t>
  </si>
  <si>
    <t>祖玛寺庙二层-祖玛寺庙一层</t>
  </si>
  <si>
    <t>祖玛寺庙二层</t>
  </si>
  <si>
    <t>祖玛寺庙一层-祖玛寺庙二层</t>
  </si>
  <si>
    <t>祖玛寺庙一层-怪物50</t>
  </si>
  <si>
    <t>祖玛寺庙一层-怪物51</t>
  </si>
  <si>
    <t>祖玛寺庙一层-怪物52</t>
  </si>
  <si>
    <t>祖玛寺庙一层-怪物53</t>
  </si>
  <si>
    <t>祖玛寺庙一层-怪物54</t>
  </si>
  <si>
    <t>祖玛寺庙一层-怪物55</t>
  </si>
  <si>
    <t>祖玛寺庙一层-怪物56</t>
  </si>
  <si>
    <t>祖玛寺庙一层-怪物57</t>
  </si>
  <si>
    <t>祖玛寺庙一层-怪物58</t>
  </si>
  <si>
    <t>祖玛寺庙一层-镜头</t>
  </si>
  <si>
    <t>祖玛阁</t>
  </si>
  <si>
    <t>祖玛寺庙二层-祖玛阁</t>
  </si>
  <si>
    <t>祖玛阁-祖玛寺庙二层</t>
  </si>
  <si>
    <t>祖玛寺庙二层-怪物1</t>
  </si>
  <si>
    <t>祖玛寺庙二层-怪物2</t>
  </si>
  <si>
    <t>祖玛寺庙二层-怪物3</t>
  </si>
  <si>
    <t>祖玛寺庙二层-怪物4</t>
  </si>
  <si>
    <t>祖玛寺庙二层-怪物5</t>
  </si>
  <si>
    <t>祖玛寺庙二层-怪物6</t>
  </si>
  <si>
    <t>祖玛寺庙二层-怪物7</t>
  </si>
  <si>
    <t>祖玛寺庙二层-怪物8</t>
  </si>
  <si>
    <t>祖玛寺庙二层-怪物9</t>
  </si>
  <si>
    <t>祖玛寺庙二层-怪物10</t>
  </si>
  <si>
    <t>祖玛寺庙二层-怪物11</t>
  </si>
  <si>
    <t>祖玛寺庙二层-怪物12</t>
  </si>
  <si>
    <t>祖玛寺庙二层-怪物13</t>
  </si>
  <si>
    <t>祖玛寺庙二层-怪物14</t>
  </si>
  <si>
    <t>祖玛寺庙二层-怪物15</t>
  </si>
  <si>
    <t>祖玛寺庙二层-怪物16</t>
  </si>
  <si>
    <t>祖玛寺庙二层-怪物17</t>
  </si>
  <si>
    <t>祖玛寺庙二层-怪物18</t>
  </si>
  <si>
    <t>祖玛寺庙二层-怪物19</t>
  </si>
  <si>
    <t>祖玛寺庙一层</t>
  </si>
  <si>
    <t>祖玛寺庙二层-怪物20</t>
  </si>
  <si>
    <t>祖玛寺庙二层-怪物21</t>
  </si>
  <si>
    <t>祖玛寺庙二层-怪物22</t>
  </si>
  <si>
    <t>祖玛寺庙二层-怪物23</t>
  </si>
  <si>
    <t>祖玛寺庙二层-怪物24</t>
  </si>
  <si>
    <t>祖玛寺庙二层-怪物25</t>
  </si>
  <si>
    <t>祖玛寺庙二层-怪物26</t>
  </si>
  <si>
    <t>祖玛寺庙二层-怪物27</t>
  </si>
  <si>
    <t>祖玛寺庙二层-怪物28</t>
  </si>
  <si>
    <t>祖玛寺庙二层-怪物29</t>
  </si>
  <si>
    <t>祖玛寺庙二层-怪物30</t>
  </si>
  <si>
    <t>祖玛寺庙二层-怪物31</t>
  </si>
  <si>
    <t>祖玛寺庙二层-怪物32</t>
  </si>
  <si>
    <t>祖玛寺庙二层-怪物33</t>
  </si>
  <si>
    <t>祖玛寺庙二层-怪物34</t>
  </si>
  <si>
    <t>祖玛寺庙二层-怪物35</t>
  </si>
  <si>
    <t>祖玛寺庙二层-怪物36</t>
  </si>
  <si>
    <t>祖玛寺庙二层-怪物37</t>
  </si>
  <si>
    <t>祖玛寺庙二层-怪物38</t>
  </si>
  <si>
    <t>祖玛寺庙二层-怪物39</t>
  </si>
  <si>
    <t>祖玛寺庙二层-怪物40</t>
  </si>
  <si>
    <t>祖玛寺庙二层-镜头</t>
  </si>
  <si>
    <t>祖玛教主之家</t>
  </si>
  <si>
    <t>祖玛阁2-祖玛教主之家</t>
  </si>
  <si>
    <t>祖玛教主之家-祖玛阁1</t>
  </si>
  <si>
    <t>祖玛阁3-祖玛教主之家</t>
  </si>
  <si>
    <t>祖玛教主之家-祖玛阁2</t>
  </si>
  <si>
    <t>祖玛阁4-祖玛教主之家</t>
  </si>
  <si>
    <t>祖玛阁-怪物1</t>
  </si>
  <si>
    <t>祖玛阁-怪物2</t>
  </si>
  <si>
    <t>祖玛阁-怪物3</t>
  </si>
  <si>
    <t>祖玛阁-怪物4</t>
  </si>
  <si>
    <t>祖玛阁-怪物5</t>
  </si>
  <si>
    <t>祖玛阁-怪物6</t>
  </si>
  <si>
    <t>祖玛阁-镜头</t>
  </si>
  <si>
    <t>祖玛教主之家-怪物1</t>
  </si>
  <si>
    <t>祖玛教主之家-怪物2</t>
  </si>
  <si>
    <t>祖玛教主之家-怪物3</t>
  </si>
  <si>
    <t>祖玛教主之家-怪物4</t>
  </si>
  <si>
    <t>祖玛教主之家-怪物5</t>
  </si>
  <si>
    <t>祖玛教主之家-怪物6</t>
  </si>
  <si>
    <t>祖玛教主之家-祖玛阁</t>
  </si>
  <si>
    <t>祖玛阁-祖玛教主之家</t>
  </si>
  <si>
    <t>祖玛教主之家-怪物9</t>
  </si>
  <si>
    <t>祖玛教主之家-怪物10</t>
  </si>
  <si>
    <t>祖玛教主之家-镜头</t>
  </si>
  <si>
    <t>封魔矿区-怪物1</t>
  </si>
  <si>
    <t>封魔矿区-怪物2</t>
  </si>
  <si>
    <t>封魔矿区-怪物3</t>
  </si>
  <si>
    <t>封魔矿区-怪物4</t>
  </si>
  <si>
    <t>封魔矿区-怪物5</t>
  </si>
  <si>
    <t>封魔矿区-怪物6</t>
  </si>
  <si>
    <t>封魔矿区-怪物7</t>
  </si>
  <si>
    <t>封魔矿区-怪物8</t>
  </si>
  <si>
    <t>封魔矿区-怪物9</t>
  </si>
  <si>
    <t>封魔矿区-怪物10</t>
  </si>
  <si>
    <t>封魔矿区-怪物11</t>
  </si>
  <si>
    <t>封魔矿区-比奇城</t>
  </si>
  <si>
    <t>比奇城-封魔矿区</t>
  </si>
  <si>
    <t>封魔矿区-怪物12</t>
  </si>
  <si>
    <t>封魔矿区-怪物13</t>
  </si>
  <si>
    <t>封魔矿区-怪物14</t>
  </si>
  <si>
    <t>封魔矿区-怪物15</t>
  </si>
  <si>
    <t>封魔矿区-怪物16</t>
  </si>
  <si>
    <t>封魔矿区-怪物17</t>
  </si>
  <si>
    <t>封魔矿区-怪物18</t>
  </si>
  <si>
    <t>封魔矿区-怪物19</t>
  </si>
  <si>
    <t>封魔矿区-怪物20</t>
  </si>
  <si>
    <t>封魔矿区-怪物21</t>
  </si>
  <si>
    <t>封魔矿区-怪物22</t>
  </si>
  <si>
    <t>封魔矿区-怪物23</t>
  </si>
  <si>
    <t>封魔矿区-怪物24</t>
  </si>
  <si>
    <t>封魔矿区-怪物25</t>
  </si>
  <si>
    <t>封魔矿区-怪物26</t>
  </si>
  <si>
    <t>封魔矿区-怪物27</t>
  </si>
  <si>
    <t>封魔矿区-怪物28</t>
  </si>
  <si>
    <t>封魔矿区-怪物29</t>
  </si>
  <si>
    <t>封魔矿区-怪物30</t>
  </si>
  <si>
    <t>封魔矿区-怪物31</t>
  </si>
  <si>
    <t>封魔矿区-怪物32</t>
  </si>
  <si>
    <t>封魔矿区-怪物33</t>
  </si>
  <si>
    <t>光明回廊-封魔矿区</t>
  </si>
  <si>
    <t>光芒回廊</t>
  </si>
  <si>
    <t>封魔矿区-光芒回廊</t>
  </si>
  <si>
    <t>封魔矿区-镜头</t>
  </si>
  <si>
    <t>光芒回廊-怪物1</t>
  </si>
  <si>
    <t>26N6_1_1</t>
  </si>
  <si>
    <t>光芒回廊-怪物2</t>
  </si>
  <si>
    <t>26N6_1_2</t>
  </si>
  <si>
    <t>封魔殿</t>
  </si>
  <si>
    <t>光芒回廊-封魔殿</t>
  </si>
  <si>
    <t>26T3_1_3</t>
  </si>
  <si>
    <t>封魔殿-光芒回廊</t>
  </si>
  <si>
    <t>26T1_1_4</t>
  </si>
  <si>
    <t>光芒回廊-怪物3</t>
  </si>
  <si>
    <t>26N2_1_5</t>
  </si>
  <si>
    <t>光芒回廊-怪物4</t>
  </si>
  <si>
    <t>26N6_1_6</t>
  </si>
  <si>
    <t>光芒回廊-怪物5</t>
  </si>
  <si>
    <t>26N4_1_7</t>
  </si>
  <si>
    <t>光芒回廊-怪物6</t>
  </si>
  <si>
    <t>26N6_2_1</t>
  </si>
  <si>
    <t>光芒回廊-怪物7</t>
  </si>
  <si>
    <t>26N4_2_2</t>
  </si>
  <si>
    <t>光芒回廊-怪物8</t>
  </si>
  <si>
    <t>26N8_2_3</t>
  </si>
  <si>
    <t>光芒回廊-怪物9</t>
  </si>
  <si>
    <t>26N8_2_4</t>
  </si>
  <si>
    <t>光芒回廊-怪物10</t>
  </si>
  <si>
    <t>26N8_2_5</t>
  </si>
  <si>
    <t>光芒回廊-怪物11</t>
  </si>
  <si>
    <t>26N8_2_6</t>
  </si>
  <si>
    <t>光芒回廊-怪物12</t>
  </si>
  <si>
    <t>26N4_2_7</t>
  </si>
  <si>
    <t>光芒回廊-怪物13</t>
  </si>
  <si>
    <t>26N6_2_8</t>
  </si>
  <si>
    <t>光芒回廊-怪物14</t>
  </si>
  <si>
    <t>26N8_3_1</t>
  </si>
  <si>
    <t>光芒回廊-怪物15</t>
  </si>
  <si>
    <t>26N4_3_2</t>
  </si>
  <si>
    <t>光芒回廊-怪物16</t>
  </si>
  <si>
    <t>26N8_3_3</t>
  </si>
  <si>
    <t>光芒回廊-怪物17</t>
  </si>
  <si>
    <t>26N8_3_4</t>
  </si>
  <si>
    <t>光芒回廊-怪物18</t>
  </si>
  <si>
    <t>26N6_3_5</t>
  </si>
  <si>
    <t>光芒回廊-怪物19</t>
  </si>
  <si>
    <t>26N8_3_6</t>
  </si>
  <si>
    <t>光芒回廊-怪物20</t>
  </si>
  <si>
    <t>26N8_3_7</t>
  </si>
  <si>
    <t>光芒回廊-怪物21</t>
  </si>
  <si>
    <t>26N4_3_8</t>
  </si>
  <si>
    <t>光芒回廊-怪物22</t>
  </si>
  <si>
    <t>26N8_3_9</t>
  </si>
  <si>
    <t>光芒回廊-怪物23</t>
  </si>
  <si>
    <t>26N5_4_1</t>
  </si>
  <si>
    <t>光芒回廊-怪物24</t>
  </si>
  <si>
    <t>26N4_4_2</t>
  </si>
  <si>
    <t>光芒回廊-怪物25</t>
  </si>
  <si>
    <t>26N2_4_3</t>
  </si>
  <si>
    <t>26T1_4_4</t>
  </si>
  <si>
    <t>封魔矿区</t>
  </si>
  <si>
    <t>光芒回廊-封魔矿区</t>
  </si>
  <si>
    <t>26T3_4_5</t>
  </si>
  <si>
    <t>光芒回廊-怪物26</t>
  </si>
  <si>
    <t>26N4_4_6</t>
  </si>
  <si>
    <t>光芒回廊-怪物27</t>
  </si>
  <si>
    <t>26N5_4_7</t>
  </si>
  <si>
    <t>光芒回廊-镜头</t>
  </si>
  <si>
    <t>26J0_0_1</t>
  </si>
  <si>
    <t>封魔殿-怪物1</t>
  </si>
  <si>
    <t>27N6_1_1</t>
  </si>
  <si>
    <t>封魔殿-怪物2</t>
  </si>
  <si>
    <t>27N6_1_2</t>
  </si>
  <si>
    <t>封魔殿-怪物3</t>
  </si>
  <si>
    <t>27N1_1_3</t>
  </si>
  <si>
    <t>封魔殿-怪物4</t>
  </si>
  <si>
    <t>27N1_1_4</t>
  </si>
  <si>
    <t>封魔殿-怪物5</t>
  </si>
  <si>
    <t>27N3_1_5</t>
  </si>
  <si>
    <t>封魔殿-怪物6</t>
  </si>
  <si>
    <t>27N6_1_6</t>
  </si>
  <si>
    <t>封魔殿-怪物7</t>
  </si>
  <si>
    <t>27N6_1_7</t>
  </si>
  <si>
    <t>封魔殿-怪物8</t>
  </si>
  <si>
    <t>27N8_2_1</t>
  </si>
  <si>
    <t>封魔殿-怪物9</t>
  </si>
  <si>
    <t>27N8_2_2</t>
  </si>
  <si>
    <t>封魔殿-怪物10</t>
  </si>
  <si>
    <t>27N8_2_3</t>
  </si>
  <si>
    <t>封魔殿-怪物11</t>
  </si>
  <si>
    <t>27N8_2_4</t>
  </si>
  <si>
    <t>封魔殿-怪物12</t>
  </si>
  <si>
    <t>27N8_2_5</t>
  </si>
  <si>
    <t>封魔殿-怪物13</t>
  </si>
  <si>
    <t>27N8_2_6</t>
  </si>
  <si>
    <t>封魔殿-怪物14</t>
  </si>
  <si>
    <t>27N5_2_7</t>
  </si>
  <si>
    <t>封魔殿-怪物15</t>
  </si>
  <si>
    <t>27N8_3_1</t>
  </si>
  <si>
    <t>封魔殿-怪物16</t>
  </si>
  <si>
    <t>27N8_3_2</t>
  </si>
  <si>
    <t>封魔殿-怪物17</t>
  </si>
  <si>
    <t>27N8_3_3</t>
  </si>
  <si>
    <t>封魔殿-怪物18</t>
  </si>
  <si>
    <t>27N8_3_4</t>
  </si>
  <si>
    <t>封魔殿-怪物19</t>
  </si>
  <si>
    <t>27N8_3_5</t>
  </si>
  <si>
    <t>封魔殿-怪物20</t>
  </si>
  <si>
    <t>27N8_3_6</t>
  </si>
  <si>
    <t>封魔殿-怪物21</t>
  </si>
  <si>
    <t>27N5_3_7</t>
  </si>
  <si>
    <t>封魔殿-怪物22</t>
  </si>
  <si>
    <t>27N4_4_1</t>
  </si>
  <si>
    <t>封魔殿-怪物23</t>
  </si>
  <si>
    <t>27N8_4_2</t>
  </si>
  <si>
    <t>封魔殿-怪物24</t>
  </si>
  <si>
    <t>27N5_4_3</t>
  </si>
  <si>
    <t>封魔殿-怪物25</t>
  </si>
  <si>
    <t>27N8_4_4</t>
  </si>
  <si>
    <t>封魔殿-怪物26</t>
  </si>
  <si>
    <t>27N5_4_5</t>
  </si>
  <si>
    <t>封魔殿-怪物27</t>
  </si>
  <si>
    <t>27N4_5_1</t>
  </si>
  <si>
    <t>27T1_5_2</t>
  </si>
  <si>
    <t>27T3_5_3</t>
  </si>
  <si>
    <t>封魔殿-怪物30</t>
  </si>
  <si>
    <t>27N4_5_4</t>
  </si>
  <si>
    <t>封魔殿-镜头</t>
  </si>
  <si>
    <t>27J0_0_1</t>
  </si>
  <si>
    <t>尸魔洞一层-怪物1</t>
  </si>
  <si>
    <t>尸魔洞一层-怪物2</t>
  </si>
  <si>
    <t>尸魔洞一层-比奇城</t>
  </si>
  <si>
    <t>比奇城-尸魔洞一层</t>
  </si>
  <si>
    <t>尸魔洞一层-怪物3</t>
  </si>
  <si>
    <t>尸魔洞一层-怪物4</t>
  </si>
  <si>
    <t>尸魔洞一层-怪物5</t>
  </si>
  <si>
    <t>尸魔洞一层-怪物6</t>
  </si>
  <si>
    <t>尸魔洞一层-怪物7</t>
  </si>
  <si>
    <t>尸魔洞一层-怪物8</t>
  </si>
  <si>
    <t>尸魔洞一层-怪物9</t>
  </si>
  <si>
    <t>尸魔洞一层-怪物10</t>
  </si>
  <si>
    <t>尸魔洞一层-怪物11</t>
  </si>
  <si>
    <t>尸魔洞一层-怪物12</t>
  </si>
  <si>
    <t>尸魔洞一层-怪物13</t>
  </si>
  <si>
    <t>尸魔洞一层-怪物14</t>
  </si>
  <si>
    <t>尸魔洞一层-怪物15</t>
  </si>
  <si>
    <t>尸魔洞一层-怪物16</t>
  </si>
  <si>
    <t>尸魔洞一层-怪物17</t>
  </si>
  <si>
    <t>尸魔洞一层-怪物18</t>
  </si>
  <si>
    <t>尸魔洞一层-怪物19</t>
  </si>
  <si>
    <t>尸魔洞一层-怪物20</t>
  </si>
  <si>
    <t>尸魔洞一层-怪物21</t>
  </si>
  <si>
    <t>尸魔洞一层-怪物22</t>
  </si>
  <si>
    <t>尸魔洞一层-怪物23</t>
  </si>
  <si>
    <t>尸魔洞一层-怪物24</t>
  </si>
  <si>
    <t>尸魔洞一层-怪物25</t>
  </si>
  <si>
    <t>尸魔洞一层-怪物26</t>
  </si>
  <si>
    <t>尸魔洞一层-怪物27</t>
  </si>
  <si>
    <t>尸魔洞一层-怪物28</t>
  </si>
  <si>
    <t>尸魔洞一层-怪物29</t>
  </si>
  <si>
    <t>尸魔洞一层-怪物30</t>
  </si>
  <si>
    <t>尸魔洞一层-怪物31</t>
  </si>
  <si>
    <t>尸魔洞一层-怪物32</t>
  </si>
  <si>
    <t>尸魔洞一层-怪物33</t>
  </si>
  <si>
    <t>尸魔洞一层-怪物34</t>
  </si>
  <si>
    <t>尸魔洞一层-怪物35</t>
  </si>
  <si>
    <t>尸魔洞一层-怪物36</t>
  </si>
  <si>
    <t>尸魔洞一层-怪物37</t>
  </si>
  <si>
    <t>尸魔洞一层-怪物38</t>
  </si>
  <si>
    <t>尸魔洞一层-怪物39</t>
  </si>
  <si>
    <t>尸魔洞一层-怪物40</t>
  </si>
  <si>
    <t>尸魔洞二层</t>
  </si>
  <si>
    <t>尸魔洞一层-尸魔洞二层</t>
  </si>
  <si>
    <t>尸魔洞二层-尸魔洞一层</t>
  </si>
  <si>
    <t>尸魔洞一层-怪物43</t>
  </si>
  <si>
    <t>尸魔洞一层-怪物44</t>
  </si>
  <si>
    <t>尸魔洞一层-怪物45</t>
  </si>
  <si>
    <t>尸魔洞一层-怪物46</t>
  </si>
  <si>
    <t>尸魔洞一层-怪物47</t>
  </si>
  <si>
    <t>尸魔洞一层-怪物48</t>
  </si>
  <si>
    <t>尸魔洞一层-怪物49</t>
  </si>
  <si>
    <t>尸魔洞一层-怪物50</t>
  </si>
  <si>
    <t>尸魔洞一层-镜头</t>
  </si>
  <si>
    <t>尸魔洞二层-怪物1</t>
  </si>
  <si>
    <t>尸魔洞二层-怪物2</t>
  </si>
  <si>
    <t>尸魔洞二层-怪物3</t>
  </si>
  <si>
    <t>尸魔洞二层-怪物4</t>
  </si>
  <si>
    <t>尸魔洞二层-怪物5</t>
  </si>
  <si>
    <t>尸魔洞二层-怪物6</t>
  </si>
  <si>
    <t>尸魔洞二层-怪物7</t>
  </si>
  <si>
    <t>尸魔洞一层</t>
  </si>
  <si>
    <t>尸魔洞二层-怪物8</t>
  </si>
  <si>
    <t>尸魔洞二层-怪物9</t>
  </si>
  <si>
    <t>尸魔洞二层-怪物10</t>
  </si>
  <si>
    <t>尸魔洞二层-怪物11</t>
  </si>
  <si>
    <t>尸魔洞二层-怪物12</t>
  </si>
  <si>
    <t>尸魔洞二层-怪物13</t>
  </si>
  <si>
    <t>尸魔洞二层-怪物14</t>
  </si>
  <si>
    <t>尸魔洞二层-怪物15</t>
  </si>
  <si>
    <t>尸魔洞二层-怪物16</t>
  </si>
  <si>
    <t>尸魔洞二层-怪物17</t>
  </si>
  <si>
    <t>尸魔洞二层-怪物18</t>
  </si>
  <si>
    <t>尸魔洞二层-怪物19</t>
  </si>
  <si>
    <t>尸魔洞二层-怪物20</t>
  </si>
  <si>
    <t>尸魔洞二层-怪物21</t>
  </si>
  <si>
    <t>骨魔洞一层</t>
  </si>
  <si>
    <t>尸魔洞二层-骨魔洞一层</t>
  </si>
  <si>
    <t>骨魔洞一层-尸魔洞二层</t>
  </si>
  <si>
    <t>尸魔洞二层-怪物22</t>
  </si>
  <si>
    <t>尸魔洞二层-怪物23</t>
  </si>
  <si>
    <t>尸魔洞二层-怪物24</t>
  </si>
  <si>
    <t>尸魔洞二层-怪物25</t>
  </si>
  <si>
    <t>尸魔洞二层-怪物26</t>
  </si>
  <si>
    <t>尸魔洞二层-怪物27</t>
  </si>
  <si>
    <t>尸魔洞二层-怪物28</t>
  </si>
  <si>
    <t>尸魔洞二层-镜头</t>
  </si>
  <si>
    <t>骨魔洞一层-怪物1</t>
  </si>
  <si>
    <t>骨魔洞一层-怪物2</t>
  </si>
  <si>
    <t>骨魔洞一层-怪物3</t>
  </si>
  <si>
    <t>骨魔洞一层-怪物4</t>
  </si>
  <si>
    <t>骨魔洞一层-怪物5</t>
  </si>
  <si>
    <t>骨魔洞一层-怪物6</t>
  </si>
  <si>
    <t>骨魔洞二层</t>
  </si>
  <si>
    <t>骨魔洞一层-骨魔洞二层</t>
  </si>
  <si>
    <t>骨魔洞二层-骨魔洞一层</t>
  </si>
  <si>
    <t>骨魔洞一层-怪物7</t>
  </si>
  <si>
    <t>骨魔洞一层-怪物10</t>
  </si>
  <si>
    <t>骨魔洞一层-怪物11</t>
  </si>
  <si>
    <t>骨魔洞一层-怪物12</t>
  </si>
  <si>
    <t>骨魔洞一层-怪物13</t>
  </si>
  <si>
    <t>骨魔洞一层-怪物14</t>
  </si>
  <si>
    <t>骨魔洞一层-怪物15</t>
  </si>
  <si>
    <t>骨魔洞一层-怪物16</t>
  </si>
  <si>
    <t>骨魔洞一层-怪物17</t>
  </si>
  <si>
    <t>骨魔洞一层-怪物18</t>
  </si>
  <si>
    <t>骨魔洞一层-怪物19</t>
  </si>
  <si>
    <t>骨魔洞一层-怪物20</t>
  </si>
  <si>
    <t>骨魔洞一层-怪物21</t>
  </si>
  <si>
    <t>骨魔洞一层-怪物22</t>
  </si>
  <si>
    <t>骨魔洞一层-怪物23</t>
  </si>
  <si>
    <t>骨魔洞一层-怪物24</t>
  </si>
  <si>
    <t>骨魔洞一层-怪物25</t>
  </si>
  <si>
    <t>骨魔洞一层-怪物26</t>
  </si>
  <si>
    <t>骨魔洞一层-怪物27</t>
  </si>
  <si>
    <t>骨魔洞一层-怪物28</t>
  </si>
  <si>
    <t>骨魔洞一层-怪物29</t>
  </si>
  <si>
    <t>骨魔洞一层-怪物30</t>
  </si>
  <si>
    <t>骨魔洞一层-怪物31</t>
  </si>
  <si>
    <t>骨魔洞一层-怪物32</t>
  </si>
  <si>
    <t>骨魔洞一层-怪物33</t>
  </si>
  <si>
    <t>骨魔洞一层-怪物34</t>
  </si>
  <si>
    <t>骨魔洞一层-怪物36</t>
  </si>
  <si>
    <t>骨魔洞一层-怪物37</t>
  </si>
  <si>
    <t>骨魔洞一层-怪物38</t>
  </si>
  <si>
    <t>骨魔洞一层-怪物39</t>
  </si>
  <si>
    <t>骨魔洞一层-镜头</t>
  </si>
  <si>
    <t>骨魔洞二层-怪物1</t>
  </si>
  <si>
    <t>骨魔洞二层-怪物2</t>
  </si>
  <si>
    <t>骨魔洞二层-怪物3</t>
  </si>
  <si>
    <t>骨魔洞二层-怪物4</t>
  </si>
  <si>
    <t>骨魔洞二层-怪物5</t>
  </si>
  <si>
    <t>骨魔洞二层-怪物6</t>
  </si>
  <si>
    <t>骨魔洞二层-怪物7</t>
  </si>
  <si>
    <t>骨魔洞二层-怪物8</t>
  </si>
  <si>
    <t>骨魔洞二层-怪物9</t>
  </si>
  <si>
    <t>骨魔洞二层-怪物10</t>
  </si>
  <si>
    <t>骨魔洞二层-怪物11</t>
  </si>
  <si>
    <t>骨魔洞二层-怪物12</t>
  </si>
  <si>
    <t>牛魔寺庙入口</t>
  </si>
  <si>
    <t>骨魔洞二层-牛魔寺庙入口</t>
  </si>
  <si>
    <t>牛魔寺庙入口-骨魔洞二层</t>
  </si>
  <si>
    <t>骨魔洞二层-怪物13</t>
  </si>
  <si>
    <t>骨魔洞二层-怪物14</t>
  </si>
  <si>
    <t>骨魔洞二层-怪物15</t>
  </si>
  <si>
    <t>骨魔洞二层-怪物16</t>
  </si>
  <si>
    <t>骨魔洞二层-怪物17</t>
  </si>
  <si>
    <t>骨魔洞二层-怪物18</t>
  </si>
  <si>
    <t>骨魔洞二层-怪物19</t>
  </si>
  <si>
    <t>骨魔洞二层-怪物20</t>
  </si>
  <si>
    <t>骨魔洞二层-怪物21</t>
  </si>
  <si>
    <t>骨魔洞二层-怪物22</t>
  </si>
  <si>
    <t>骨魔洞二层-怪物23</t>
  </si>
  <si>
    <t>骨魔洞二层-怪物24</t>
  </si>
  <si>
    <t>骨魔洞二层-怪物25</t>
  </si>
  <si>
    <t>骨魔洞二层-怪物26</t>
  </si>
  <si>
    <t>骨魔洞二层-怪物27</t>
  </si>
  <si>
    <t>骨魔洞二层-怪物28</t>
  </si>
  <si>
    <t>骨魔洞二层-怪物29</t>
  </si>
  <si>
    <t>骨魔洞二层-怪物30</t>
  </si>
  <si>
    <t>骨魔洞二层-怪物31</t>
  </si>
  <si>
    <t>骨魔洞二层-怪物32</t>
  </si>
  <si>
    <t>骨魔洞二层-镜头</t>
  </si>
  <si>
    <t>牛魔寺庙一层</t>
  </si>
  <si>
    <t>牛魔寺庙入口-牛魔寺庙一层</t>
  </si>
  <si>
    <t>牛魔寺庙一层-牛魔寺庙入口</t>
  </si>
  <si>
    <t>牛魔寺庙入口-怪物1</t>
  </si>
  <si>
    <t>牛魔寺庙入口-怪物2</t>
  </si>
  <si>
    <t>牛魔寺庙入口-怪物3</t>
  </si>
  <si>
    <t>牛魔寺庙入口-怪物4</t>
  </si>
  <si>
    <t>牛魔寺庙入口-怪物5</t>
  </si>
  <si>
    <t>牛魔寺庙入口-怪物6</t>
  </si>
  <si>
    <t>比奇城-牛魔寺庙入口</t>
  </si>
  <si>
    <t>牛魔寺庙入口-怪物7</t>
  </si>
  <si>
    <t>牛魔寺庙入口-镜头</t>
  </si>
  <si>
    <t>牛魔寺庙一层-怪物1</t>
  </si>
  <si>
    <t>牛魔寺庙一层-怪物2</t>
  </si>
  <si>
    <t>牛魔寺庙一层-怪物3</t>
  </si>
  <si>
    <t>牛魔寺庙一层-怪物4</t>
  </si>
  <si>
    <t>牛魔寺庙一层-怪物5</t>
  </si>
  <si>
    <t>牛魔寺庙一层-怪物6</t>
  </si>
  <si>
    <t>牛魔寺庙一层-怪物7</t>
  </si>
  <si>
    <t>牛魔寺庙一层-怪物8</t>
  </si>
  <si>
    <t>牛魔寺庙一层-怪物9</t>
  </si>
  <si>
    <t>牛魔寺庙一层-怪物10</t>
  </si>
  <si>
    <t>牛魔寺庙一层-怪物11</t>
  </si>
  <si>
    <t>牛魔寺庙一层-怪物12</t>
  </si>
  <si>
    <t>牛魔寺庙一层-怪物13</t>
  </si>
  <si>
    <t>牛魔寺庙一层-怪物14</t>
  </si>
  <si>
    <t>牛魔寺庙一层-怪物15</t>
  </si>
  <si>
    <t>牛魔寺庙一层-怪物16</t>
  </si>
  <si>
    <t>牛魔寺庙一层-怪物17</t>
  </si>
  <si>
    <t>牛魔寺庙一层-怪物18</t>
  </si>
  <si>
    <t>牛魔寺庙一层-怪物19</t>
  </si>
  <si>
    <t>牛魔寺庙一层-怪物20</t>
  </si>
  <si>
    <t>牛魔寺庙一层-怪物21</t>
  </si>
  <si>
    <t>牛魔寺庙一层-怪物22</t>
  </si>
  <si>
    <t>牛魔寺庙一层-怪物23</t>
  </si>
  <si>
    <t>牛魔寺庙一层-怪物24</t>
  </si>
  <si>
    <t>牛魔寺庙一层-怪物25</t>
  </si>
  <si>
    <t>牛魔寺庙一层-怪物26</t>
  </si>
  <si>
    <t>牛魔寺庙一层-怪物27</t>
  </si>
  <si>
    <t>牛魔寺庙一层-怪物28</t>
  </si>
  <si>
    <t>牛魔寺庙一层-怪物29</t>
  </si>
  <si>
    <t>牛魔寺庙一层-怪物30</t>
  </si>
  <si>
    <t>牛魔寺庙大厅</t>
  </si>
  <si>
    <t>牛魔寺庙一层-牛魔寺庙大厅</t>
  </si>
  <si>
    <t>牛魔寺庙大厅-牛魔寺庙一层</t>
  </si>
  <si>
    <t>牛魔寺庙一层-怪物33</t>
  </si>
  <si>
    <t>牛魔寺庙一层-怪物34</t>
  </si>
  <si>
    <t>牛魔寺庙一层-怪物35</t>
  </si>
  <si>
    <t>牛魔寺庙一层-怪物36</t>
  </si>
  <si>
    <t>牛魔寺庙一层-怪物37</t>
  </si>
  <si>
    <t>牛魔寺庙一层-怪物38</t>
  </si>
  <si>
    <t>牛魔寺庙一层-怪物39</t>
  </si>
  <si>
    <t>牛魔寺庙一层-怪物40</t>
  </si>
  <si>
    <t>牛魔寺庙一层-怪物41</t>
  </si>
  <si>
    <t>牛魔寺庙一层-怪物42</t>
  </si>
  <si>
    <t>牛魔寺庙一层-怪物43</t>
  </si>
  <si>
    <t>牛魔寺庙一层-怪物44</t>
  </si>
  <si>
    <t>牛魔寺庙一层-怪物45</t>
  </si>
  <si>
    <t>牛魔寺庙一层-怪物46</t>
  </si>
  <si>
    <t>牛魔寺庙一层-怪物47</t>
  </si>
  <si>
    <t>牛魔寺庙一层-怪物48</t>
  </si>
  <si>
    <t>牛魔寺庙一层-怪物49</t>
  </si>
  <si>
    <t>牛魔寺庙一层-怪物50</t>
  </si>
  <si>
    <t>牛魔寺庙一层-怪物51</t>
  </si>
  <si>
    <t>牛魔寺庙一层-怪物52</t>
  </si>
  <si>
    <t>牛魔寺庙一层-怪物53</t>
  </si>
  <si>
    <t>牛魔寺庙一层-怪物54</t>
  </si>
  <si>
    <t>牛魔寺庙一层-怪物55</t>
  </si>
  <si>
    <t>牛魔寺庙一层-怪物56</t>
  </si>
  <si>
    <t>牛魔寺庙一层-怪物57</t>
  </si>
  <si>
    <t>牛魔寺庙一层-镜头</t>
  </si>
  <si>
    <t>牛魔寺庙大厅-怪物1</t>
  </si>
  <si>
    <t>牛魔寺庙大厅-怪物2</t>
  </si>
  <si>
    <t>牛魔寺庙大厅-怪物3</t>
  </si>
  <si>
    <t>牛魔寺庙大厅-怪物4</t>
  </si>
  <si>
    <t>牛魔寺庙大厅-怪物5</t>
  </si>
  <si>
    <t>牛魔寺庙大厅-怪物6</t>
  </si>
  <si>
    <t>牛魔寺庙大厅-怪物7</t>
  </si>
  <si>
    <t>牛魔寺庙大厅-怪物8</t>
  </si>
  <si>
    <t>牛魔寺庙大厅-怪物9</t>
  </si>
  <si>
    <t>牛魔寺庙大厅-怪物12</t>
  </si>
  <si>
    <t>牛魔寺庙大厅-怪物13</t>
  </si>
  <si>
    <t>牛魔寺庙大厅-怪物14</t>
  </si>
  <si>
    <t>牛魔寺庙大厅-怪物15</t>
  </si>
  <si>
    <t>牛魔寺庙大厅-怪物16</t>
  </si>
  <si>
    <t>牛魔寺庙大厅-怪物17</t>
  </si>
  <si>
    <t>牛魔寺庙大厅-怪物18</t>
  </si>
  <si>
    <t>牛魔寺庙大厅-怪物19</t>
  </si>
  <si>
    <t>牛魔寺庙大厅-怪物20</t>
  </si>
  <si>
    <t>牛魔寺庙大厅-怪物21</t>
  </si>
  <si>
    <t>牛魔寺庙大厅-怪物22</t>
  </si>
  <si>
    <t>牛魔寺庙大厅-怪物23</t>
  </si>
  <si>
    <t>牛魔寺庙大厅-怪物24</t>
  </si>
  <si>
    <t>牛魔寺庙大厅-怪物25</t>
  </si>
  <si>
    <t>牛魔寺庙大厅-怪物26</t>
  </si>
  <si>
    <t>牛魔寺庙大厅-镜头</t>
  </si>
  <si>
    <t>丛林迷宫-怪物1</t>
  </si>
  <si>
    <t>丛林迷宫-怪物2</t>
  </si>
  <si>
    <t>丛林迷宫-怪物3</t>
  </si>
  <si>
    <t>丛林迷宫-怪物4</t>
  </si>
  <si>
    <t>丛林迷宫-怪物5</t>
  </si>
  <si>
    <t>丛林迷宫-怪物6</t>
  </si>
  <si>
    <t>赤月峡谷西走廊-丛林迷宫</t>
  </si>
  <si>
    <t>赤月峡谷西走廊</t>
  </si>
  <si>
    <t>丛林迷宫-赤月峡谷西走廊</t>
  </si>
  <si>
    <t>丛林迷宫-怪物7</t>
  </si>
  <si>
    <t>丛林迷宫-怪物8</t>
  </si>
  <si>
    <t>丛林迷宫-怪物9</t>
  </si>
  <si>
    <t>丛林迷宫-怪物10</t>
  </si>
  <si>
    <t>丛林迷宫-怪物11</t>
  </si>
  <si>
    <t>丛林迷宫-怪物12</t>
  </si>
  <si>
    <t>丛林迷宫-怪物13</t>
  </si>
  <si>
    <t>丛林迷宫-怪物14</t>
  </si>
  <si>
    <t>丛林迷宫-怪物15</t>
  </si>
  <si>
    <t>丛林迷宫-怪物16</t>
  </si>
  <si>
    <t>丛林迷宫-比奇城</t>
  </si>
  <si>
    <t>比奇城-丛林迷宫</t>
  </si>
  <si>
    <t>丛林迷宫-怪物17</t>
  </si>
  <si>
    <t>丛林迷宫-怪物18</t>
  </si>
  <si>
    <t>丛林迷宫-怪物19</t>
  </si>
  <si>
    <t>丛林迷宫-怪物20</t>
  </si>
  <si>
    <t>丛林迷宫-怪物21</t>
  </si>
  <si>
    <t>丛林迷宫-怪物22</t>
  </si>
  <si>
    <t>丛林迷宫-怪物23</t>
  </si>
  <si>
    <t>丛林迷宫-怪物24</t>
  </si>
  <si>
    <t>丛林迷宫-怪物25</t>
  </si>
  <si>
    <t>丛林迷宫-怪物26</t>
  </si>
  <si>
    <t>赤月峡谷东二层-丛林迷宫</t>
  </si>
  <si>
    <t>赤月峡谷东二层</t>
  </si>
  <si>
    <t>丛林迷宫-赤月峡谷东二层</t>
  </si>
  <si>
    <t>丛林迷宫-镜头</t>
  </si>
  <si>
    <t>赤月峡谷西走廊-怪物1</t>
  </si>
  <si>
    <t>赤月峡谷西走廊-怪物2</t>
  </si>
  <si>
    <t>赤月峡谷西走廊-怪物3</t>
  </si>
  <si>
    <t>赤月峡谷西走廊-怪物4</t>
  </si>
  <si>
    <t>赤月峡谷西走廊-怪物5</t>
  </si>
  <si>
    <t>赤月峡谷西走廊-怪物6</t>
  </si>
  <si>
    <t>赤月峡谷西走廊-赤月峡谷东二层</t>
  </si>
  <si>
    <t>赤月峡谷东二层-赤月峡谷西走廊</t>
  </si>
  <si>
    <t>赤月峡谷西走廊-怪物7</t>
  </si>
  <si>
    <t>赤月峡谷西走廊-怪物8</t>
  </si>
  <si>
    <t>赤月峡谷西走廊-怪物9</t>
  </si>
  <si>
    <t>赤月峡谷西走廊-怪物10</t>
  </si>
  <si>
    <t>赤月峡谷西走廊-怪物11</t>
  </si>
  <si>
    <t>赤月峡谷西走廊-怪物12</t>
  </si>
  <si>
    <t>赤月峡谷西走廊-怪物13</t>
  </si>
  <si>
    <t>赤月峡谷西走廊-怪物14</t>
  </si>
  <si>
    <t>赤月峡谷西走廊-怪物15</t>
  </si>
  <si>
    <t>赤月峡谷西走廊-怪物16</t>
  </si>
  <si>
    <t>赤月峡谷西走廊-怪物17</t>
  </si>
  <si>
    <t>赤月峡谷西走廊-怪物18</t>
  </si>
  <si>
    <t>赤月峡谷西走廊-怪物19</t>
  </si>
  <si>
    <t>赤月峡谷西走廊-怪物20</t>
  </si>
  <si>
    <t>赤月峡谷西走廊-怪物21</t>
  </si>
  <si>
    <t>赤月峡谷西走廊-怪物22</t>
  </si>
  <si>
    <t>赤月峡谷西走廊-怪物23</t>
  </si>
  <si>
    <t>赤月峡谷西走廊-怪物24</t>
  </si>
  <si>
    <t>赤月峡谷西走廊-怪物25</t>
  </si>
  <si>
    <t>赤月峡谷西走廊-怪物26</t>
  </si>
  <si>
    <t>赤月峡谷西走廊-怪物27</t>
  </si>
  <si>
    <t>赤月峡谷西走廊-怪物28</t>
  </si>
  <si>
    <t>赤月峡谷西走廊-怪物29</t>
  </si>
  <si>
    <t>赤月峡谷西走廊-怪物30</t>
  </si>
  <si>
    <t>赤月峡谷西走廊-怪物31</t>
  </si>
  <si>
    <t>赤月峡谷西走廊-怪物32</t>
  </si>
  <si>
    <t>赤月峡谷西走廊-怪物33</t>
  </si>
  <si>
    <t>赤月峡谷西走廊-怪物34</t>
  </si>
  <si>
    <t>丛林迷宫</t>
  </si>
  <si>
    <t>赤月峡谷西走廊-怪物37</t>
  </si>
  <si>
    <t>赤月峡谷西走廊-怪物38</t>
  </si>
  <si>
    <t>赤月峡谷西走廊-怪物39</t>
  </si>
  <si>
    <t>赤月峡谷西走廊-怪物40</t>
  </si>
  <si>
    <t>赤月峡谷西走廊-怪物41</t>
  </si>
  <si>
    <t>赤月峡谷西走廊-镜头</t>
  </si>
  <si>
    <t>赤月峡谷东二层-怪物1</t>
  </si>
  <si>
    <t>赤月峡谷东二层-怪物2</t>
  </si>
  <si>
    <t>赤月峡谷东二层-怪物3</t>
  </si>
  <si>
    <t>赤月峡谷东二层-怪物4</t>
  </si>
  <si>
    <t>赤月峡谷东二层-怪物5</t>
  </si>
  <si>
    <t>赤月峡谷东二层-怪物6</t>
  </si>
  <si>
    <t>赤月峡谷东二层-怪物7</t>
  </si>
  <si>
    <t>赤月峡谷东二层-怪物8</t>
  </si>
  <si>
    <t>赤月峡谷东二层-怪物9</t>
  </si>
  <si>
    <t>赤月峡谷东二层-怪物10</t>
  </si>
  <si>
    <t>赤月峡谷东二层-怪物11</t>
  </si>
  <si>
    <t>赤月峡谷东二层-怪物12</t>
  </si>
  <si>
    <t>赤月峡谷东二层-怪物13</t>
  </si>
  <si>
    <t>赤月峡谷东二层-怪物14</t>
  </si>
  <si>
    <t>赤月峡谷东二层-怪物15</t>
  </si>
  <si>
    <t>赤月峡谷东二层-怪物16</t>
  </si>
  <si>
    <t>赤月峡谷东二层-怪物17</t>
  </si>
  <si>
    <t>赤月峡谷东二层-怪物18</t>
  </si>
  <si>
    <t>赤月峡谷东二层-怪物19</t>
  </si>
  <si>
    <t>赤月峡谷东二层-怪物20</t>
  </si>
  <si>
    <t>赤月峡谷东二层-怪物21</t>
  </si>
  <si>
    <t>赤月峡谷东二层-怪物22</t>
  </si>
  <si>
    <t>赤月峡谷东二层-怪物23</t>
  </si>
  <si>
    <t>赤月峡谷东二层-怪物24</t>
  </si>
  <si>
    <t>赤月峡谷东二层-怪物25</t>
  </si>
  <si>
    <t>赤月峡谷东二层-怪物26</t>
  </si>
  <si>
    <t>赤月峡谷东二层-怪物27</t>
  </si>
  <si>
    <t>赤月峡谷东二层-怪物28</t>
  </si>
  <si>
    <t>赤月峡谷广场-赤月峡谷东二层</t>
  </si>
  <si>
    <t>赤月峡谷广场</t>
  </si>
  <si>
    <t>赤月峡谷东二层-赤月峡谷广场</t>
  </si>
  <si>
    <t>赤月峡谷东二层-镜头</t>
  </si>
  <si>
    <t>赤月峡谷广场-怪物1</t>
  </si>
  <si>
    <t>赤月峡谷广场-怪物2</t>
  </si>
  <si>
    <t>赤月峡谷广场-怪物3</t>
  </si>
  <si>
    <t>赤月峡谷广场-怪物4</t>
  </si>
  <si>
    <t>赤月峡谷广场-怪物5</t>
  </si>
  <si>
    <t>赤月峡谷广场-怪物6</t>
  </si>
  <si>
    <t>赤月峡谷广场-怪物7</t>
  </si>
  <si>
    <t>赤月峡谷广场-怪物8</t>
  </si>
  <si>
    <t>赤月峡谷广场-怪物9</t>
  </si>
  <si>
    <t>赤月峡谷广场-怪物10</t>
  </si>
  <si>
    <t>赤月峡谷广场-怪物11</t>
  </si>
  <si>
    <t>赤月峡谷广场-怪物12</t>
  </si>
  <si>
    <t>赤月峡谷广场-怪物13</t>
  </si>
  <si>
    <t>赤月峡谷广场-怪物14</t>
  </si>
  <si>
    <t>赤月峡谷广场-怪物15</t>
  </si>
  <si>
    <t>赤月峡谷广场-怪物16</t>
  </si>
  <si>
    <t>赤月峡谷广场-怪物17</t>
  </si>
  <si>
    <t>赤月峡谷广场-怪物18</t>
  </si>
  <si>
    <t>赤月峡谷广场-怪物19</t>
  </si>
  <si>
    <t>赤月峡谷广场-怪物20</t>
  </si>
  <si>
    <t>赤月峡谷广场-怪物21</t>
  </si>
  <si>
    <t>赤月峡谷广场-怪物22</t>
  </si>
  <si>
    <t>赤月峡谷广场-怪物23</t>
  </si>
  <si>
    <t>赤月峡谷广场-怪物24</t>
  </si>
  <si>
    <t>抉择之地-赤月峡谷广场</t>
  </si>
  <si>
    <t>抉择之地</t>
  </si>
  <si>
    <t>赤月峡谷广场-抉择之地</t>
  </si>
  <si>
    <t>赤月峡谷广场-镜头</t>
  </si>
  <si>
    <t>抉择之地-怪物1</t>
  </si>
  <si>
    <t>抉择之地-怪物2</t>
  </si>
  <si>
    <t>抉择之地-怪物3</t>
  </si>
  <si>
    <t>抉择之地-怪物4</t>
  </si>
  <si>
    <t>抉择之地-怪物5</t>
  </si>
  <si>
    <t>抉择之地-怪物6</t>
  </si>
  <si>
    <t>抉择之地-怪物7</t>
  </si>
  <si>
    <t>赤月魔穴</t>
  </si>
  <si>
    <t>抉择之地-赤月魔穴</t>
  </si>
  <si>
    <t>赤月魔穴-抉择之地</t>
  </si>
  <si>
    <t>抉择之地-怪物8</t>
  </si>
  <si>
    <t>抉择之地-怪物9</t>
  </si>
  <si>
    <t>抉择之地-怪物10</t>
  </si>
  <si>
    <t>抉择之地-怪物11</t>
  </si>
  <si>
    <t>抉择之地-怪物12</t>
  </si>
  <si>
    <t>抉择之地-怪物13</t>
  </si>
  <si>
    <t>抉择之地-怪物14</t>
  </si>
  <si>
    <t>抉择之地-怪物15</t>
  </si>
  <si>
    <t>抉择之地-怪物16</t>
  </si>
  <si>
    <t>抉择之地-怪物17</t>
  </si>
  <si>
    <t>抉择之地-怪物18</t>
  </si>
  <si>
    <t>抉择之地-怪物19</t>
  </si>
  <si>
    <t>抉择之地-怪物20</t>
  </si>
  <si>
    <t>抉择之地-怪物21</t>
  </si>
  <si>
    <t>抉择之地-怪物22</t>
  </si>
  <si>
    <t>抉择之地-怪物23</t>
  </si>
  <si>
    <t>恶魔祭坛-抉择之地</t>
  </si>
  <si>
    <t>恶魔祭坛</t>
  </si>
  <si>
    <t>抉择之地-恶魔祭坛</t>
  </si>
  <si>
    <t>抉择之地-镜头</t>
  </si>
  <si>
    <t>恶魔祭坛-怪物1</t>
  </si>
  <si>
    <t>恶魔祭坛-怪物2</t>
  </si>
  <si>
    <t>恶魔祭坛-怪物3</t>
  </si>
  <si>
    <t>恶魔祭坛-怪物4</t>
  </si>
  <si>
    <t>恶魔祭坛-怪物5</t>
  </si>
  <si>
    <t>恶魔祭坛-怪物6</t>
  </si>
  <si>
    <t>恶魔祭坛-怪物7</t>
  </si>
  <si>
    <t>抉择之路-恶魔祭坛</t>
  </si>
  <si>
    <t>抉择之路</t>
  </si>
  <si>
    <t>恶魔祭坛-抉择之路</t>
  </si>
  <si>
    <t>恶魔祭坛-镜头</t>
  </si>
  <si>
    <t>赤月魔穴-怪物1</t>
  </si>
  <si>
    <t>赤月魔穴-怪物2</t>
  </si>
  <si>
    <t>赤月魔穴-怪物3</t>
  </si>
  <si>
    <t>赤月魔穴-怪物4</t>
  </si>
  <si>
    <t>赤月魔穴-抉择之路</t>
  </si>
  <si>
    <t>抉择之路-赤月魔穴</t>
  </si>
  <si>
    <t>赤月魔穴-怪物5</t>
  </si>
  <si>
    <t>赤月魔穴-怪物6</t>
  </si>
  <si>
    <t>赤月魔穴-怪物7</t>
  </si>
  <si>
    <t>赤月魔穴-镜头</t>
  </si>
  <si>
    <t>场景ID</t>
  </si>
  <si>
    <t>场景名</t>
  </si>
  <si>
    <t>镜头距离</t>
  </si>
  <si>
    <t>镜头初始角度</t>
  </si>
  <si>
    <t>小地图</t>
  </si>
  <si>
    <t>大地图</t>
  </si>
  <si>
    <t>场景等级</t>
  </si>
  <si>
    <t>宗门</t>
  </si>
  <si>
    <t>mini_zm</t>
  </si>
  <si>
    <t>big_zm</t>
  </si>
  <si>
    <t>mini_yxyc</t>
  </si>
  <si>
    <t>big_yxyc</t>
  </si>
  <si>
    <t>镜头旋转</t>
  </si>
  <si>
    <t>mini_biqi</t>
  </si>
  <si>
    <t>big_biqi</t>
  </si>
  <si>
    <t>CameraRotate</t>
  </si>
  <si>
    <t>mini_srgm1</t>
  </si>
  <si>
    <t>big_srgm1</t>
  </si>
  <si>
    <t>mini_srgm2</t>
  </si>
  <si>
    <t>big_srgm2</t>
  </si>
  <si>
    <t>mini_srgm3</t>
  </si>
  <si>
    <t>big_srgm3</t>
  </si>
  <si>
    <t>mini_bqfk1</t>
  </si>
  <si>
    <t>big_bqfk1</t>
  </si>
  <si>
    <t>mini_bqfk2</t>
  </si>
  <si>
    <t>big_bqfk2</t>
  </si>
  <si>
    <t>mini_dl1</t>
  </si>
  <si>
    <t>big_dl1</t>
  </si>
  <si>
    <t>mini_dl2</t>
  </si>
  <si>
    <t>big_dl2</t>
  </si>
  <si>
    <t>mini_dl3</t>
  </si>
  <si>
    <t>big_dl3</t>
  </si>
  <si>
    <t>未知暗殿</t>
  </si>
  <si>
    <t>mini_wzad</t>
  </si>
  <si>
    <t>big_wzad</t>
  </si>
  <si>
    <t>mini_wmsm1</t>
  </si>
  <si>
    <t>big_wmsm1</t>
  </si>
  <si>
    <t>mini_wmsm2</t>
  </si>
  <si>
    <t>big_wmsm2</t>
  </si>
  <si>
    <t>mini_wmsm3</t>
  </si>
  <si>
    <t>big_wmsm3</t>
  </si>
  <si>
    <t>mini_sm1</t>
  </si>
  <si>
    <t>big_sm1</t>
  </si>
  <si>
    <t>石墓阵入口</t>
  </si>
  <si>
    <t>mini_sm2</t>
  </si>
  <si>
    <t>big_sm2</t>
  </si>
  <si>
    <t>石墓阵出口</t>
  </si>
  <si>
    <t>mini_sm3</t>
  </si>
  <si>
    <t>big_sm3</t>
  </si>
  <si>
    <t>mini_sm4</t>
  </si>
  <si>
    <t>big_sm4</t>
  </si>
  <si>
    <t>mini_tyzm1</t>
  </si>
  <si>
    <t>big_tyzm1</t>
  </si>
  <si>
    <t>mini_tyzm2</t>
  </si>
  <si>
    <t>big_tyzm2</t>
  </si>
  <si>
    <t>mini_zmsm1</t>
  </si>
  <si>
    <t>big_zmsm1</t>
  </si>
  <si>
    <t>mini_zmsm2</t>
  </si>
  <si>
    <t>big_zmsm2</t>
  </si>
  <si>
    <t>mini_zmsm3</t>
  </si>
  <si>
    <t>big_zmsm3</t>
  </si>
  <si>
    <t>mini_zmsm4</t>
  </si>
  <si>
    <t>big_zmsm4</t>
  </si>
  <si>
    <t>mini_fmkq1</t>
  </si>
  <si>
    <t>big_fmkq1</t>
  </si>
  <si>
    <t>mini_fmkq2</t>
  </si>
  <si>
    <t>big_fmkq2</t>
  </si>
  <si>
    <t>mini_fmkq3</t>
  </si>
  <si>
    <t>big_fmkq3</t>
  </si>
  <si>
    <t>mini_smd1</t>
  </si>
  <si>
    <t>big_smd1</t>
  </si>
  <si>
    <t>mini_smd2</t>
  </si>
  <si>
    <t>big_smd2</t>
  </si>
  <si>
    <t>mini_gmd1</t>
  </si>
  <si>
    <t>big_gmd1</t>
  </si>
  <si>
    <t>mini_gmd2</t>
  </si>
  <si>
    <t>big_gmd2</t>
  </si>
  <si>
    <t>mini_nmsm1</t>
  </si>
  <si>
    <t>big_nmsm1</t>
  </si>
  <si>
    <t>mini_nmsm2</t>
  </si>
  <si>
    <t>big_nmsm2</t>
  </si>
  <si>
    <t>mini_nmsm3</t>
  </si>
  <si>
    <t>big_nmsm3</t>
  </si>
  <si>
    <t>mini_clmg</t>
  </si>
  <si>
    <t>big_clmg</t>
  </si>
  <si>
    <t>mini_cyxg1</t>
  </si>
  <si>
    <t>big_cyxg1</t>
  </si>
  <si>
    <t>mini_cyxg2</t>
  </si>
  <si>
    <t>big_cyxg2</t>
  </si>
  <si>
    <t>mini_cyxg3</t>
  </si>
  <si>
    <t>big_cyxg3</t>
  </si>
  <si>
    <t>mini_cyxg4</t>
  </si>
  <si>
    <t>big_cyxg4</t>
  </si>
  <si>
    <t>mini_cyxg5</t>
  </si>
  <si>
    <t>big_cyxg5</t>
  </si>
  <si>
    <t>mini_cyxg6</t>
  </si>
  <si>
    <t>big_cyxg6</t>
  </si>
  <si>
    <t>缩写</t>
  </si>
  <si>
    <t>D1_1_</t>
  </si>
  <si>
    <t>N</t>
  </si>
  <si>
    <t>D1_2_</t>
  </si>
  <si>
    <t>T</t>
  </si>
  <si>
    <t>D1_3_</t>
  </si>
  <si>
    <t>P</t>
  </si>
  <si>
    <t>D1_4_</t>
  </si>
  <si>
    <t>音效</t>
  </si>
  <si>
    <t>M</t>
  </si>
  <si>
    <t>D1_5_</t>
  </si>
  <si>
    <t>J</t>
  </si>
  <si>
    <t>D1_6_</t>
  </si>
  <si>
    <t>D2_1_</t>
  </si>
  <si>
    <t>D2_2_</t>
  </si>
  <si>
    <t>D2_3_</t>
  </si>
  <si>
    <t>D2_4_</t>
  </si>
  <si>
    <t>D2_5_</t>
  </si>
  <si>
    <t>D2_6_</t>
  </si>
  <si>
    <t>D3_1_</t>
  </si>
  <si>
    <t>D3_2_</t>
  </si>
  <si>
    <t>D3_3_</t>
  </si>
  <si>
    <t>D3_4_</t>
  </si>
  <si>
    <t>D3_5_</t>
  </si>
  <si>
    <t>D3_6_</t>
  </si>
  <si>
    <t>D4_1_</t>
  </si>
  <si>
    <t>D4_2_</t>
  </si>
  <si>
    <t>D4_3_</t>
  </si>
  <si>
    <t>D4_4_</t>
  </si>
  <si>
    <t>D4_5_</t>
  </si>
  <si>
    <t>D4_6_</t>
  </si>
  <si>
    <t>D5_1_</t>
  </si>
  <si>
    <t>编号命名</t>
  </si>
  <si>
    <t>D5_2_</t>
  </si>
  <si>
    <t>固定“7”</t>
  </si>
  <si>
    <t>地图序号</t>
  </si>
  <si>
    <t>格子边长</t>
  </si>
  <si>
    <t>地图从上往下格子所在第x行</t>
  </si>
  <si>
    <t>格子所在行左起第x个</t>
  </si>
  <si>
    <t>D5_3_</t>
  </si>
  <si>
    <t>D5_4_</t>
  </si>
  <si>
    <t>示例：70015304，解释：序号1的地图边长为5的区域位置在地图从上往下第3行左数第4个</t>
  </si>
  <si>
    <t>D5_5_</t>
  </si>
  <si>
    <t>D5_6_</t>
  </si>
  <si>
    <t>比奇城按6区域划分行数，传送点-0，左上-1，右上-2，左下-3，右下4，城中-5</t>
  </si>
  <si>
    <t>D6_1_</t>
  </si>
  <si>
    <t>D6_2_</t>
  </si>
  <si>
    <t>D6_3_</t>
  </si>
  <si>
    <t>地编命名</t>
  </si>
  <si>
    <t>D6_4_</t>
  </si>
  <si>
    <t>区域类型</t>
  </si>
  <si>
    <t>格子所在第x行</t>
  </si>
  <si>
    <t>D6_5_</t>
  </si>
  <si>
    <t>P-传送</t>
  </si>
  <si>
    <t>D6_6_</t>
  </si>
  <si>
    <t>T-NPC</t>
  </si>
  <si>
    <t>M1</t>
  </si>
  <si>
    <t>N-怪物</t>
  </si>
  <si>
    <t>M2</t>
  </si>
  <si>
    <t>M-音效</t>
  </si>
  <si>
    <t>M3</t>
  </si>
  <si>
    <t>J-镜头</t>
  </si>
  <si>
    <t>M4</t>
  </si>
  <si>
    <t>示例：1N3_4_5，解释：序号1的地图边长为3的从上往下第4行左数第5个怪物区域</t>
  </si>
  <si>
    <t>新手村</t>
  </si>
  <si>
    <t>M5</t>
  </si>
  <si>
    <t>版本</t>
  </si>
  <si>
    <t>内容</t>
  </si>
  <si>
    <t>V1.11</t>
  </si>
  <si>
    <t>新增场景区域</t>
  </si>
  <si>
    <t>V1.12</t>
  </si>
  <si>
    <t>修改兽人古墓、矿区传送、位置</t>
  </si>
  <si>
    <t>V1.13</t>
  </si>
  <si>
    <t>V1.14</t>
  </si>
  <si>
    <t>V1.15</t>
  </si>
  <si>
    <t>更新传送方案，刷怪方案</t>
  </si>
  <si>
    <t>V1.16</t>
  </si>
  <si>
    <t>增加两个测试木桩，biqi_77,biqi_78</t>
  </si>
  <si>
    <t>V1.17</t>
  </si>
  <si>
    <t>增加主场景区域-场景镜头区域</t>
  </si>
  <si>
    <t>V1.18</t>
  </si>
  <si>
    <t>增加场景小地图大地图</t>
  </si>
  <si>
    <t>V1.19</t>
  </si>
  <si>
    <t>按照新的怪物刷新配置，刷新场景内的怪物配置</t>
  </si>
  <si>
    <t>V1.20</t>
  </si>
  <si>
    <t>更新场景</t>
  </si>
  <si>
    <t>V1.21</t>
  </si>
  <si>
    <t>比奇城新增羊，鹿和狼的配置，测试任务用。</t>
  </si>
  <si>
    <t>V1.22</t>
  </si>
  <si>
    <t>新增新手村场景区域；比奇城22,77,78刷新木桩；</t>
  </si>
  <si>
    <t>V1.23</t>
  </si>
  <si>
    <t>① 新手村、比奇城各一个出生点
② 新手村5个备用传送区域，5个落点区域，备用NPC区域10个，普通40，精英10，BOSS 5，音乐10，镜头1</t>
  </si>
  <si>
    <t>V1.24</t>
  </si>
  <si>
    <t>区域版本重制
1、传送落地点与传送起始点分开
2、区域密度提高，适配更多刷怪密度和位置策略
3、区域命名方式优化，附带区域信息</t>
  </si>
  <si>
    <t>minimap</t>
    <phoneticPr fontId="8" type="noConversion"/>
  </si>
  <si>
    <t>bigmap</t>
    <phoneticPr fontId="8" type="noConversion"/>
  </si>
  <si>
    <t>grade</t>
    <phoneticPr fontId="8" type="noConversion"/>
  </si>
  <si>
    <t>config_id</t>
    <phoneticPr fontId="8" type="noConversion"/>
  </si>
  <si>
    <t>scene_name</t>
    <phoneticPr fontId="8" type="noConversion"/>
  </si>
  <si>
    <t>camera_distance</t>
    <phoneticPr fontId="8" type="noConversion"/>
  </si>
  <si>
    <t>camera_angle</t>
    <phoneticPr fontId="8" type="noConversion"/>
  </si>
  <si>
    <t>refresh_monster_plans</t>
    <phoneticPr fontId="8" type="noConversion"/>
  </si>
  <si>
    <t>array,int</t>
    <phoneticPr fontId="8" type="noConversion"/>
  </si>
  <si>
    <t>c</t>
    <phoneticPr fontId="8" type="noConversion"/>
  </si>
  <si>
    <t>s</t>
    <phoneticPr fontId="8" type="noConversion"/>
  </si>
  <si>
    <t>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</si>
</sst>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Arial Unicode MS"/>
      <family val="2"/>
    </font>
    <font>
      <sz val="9"/>
      <color rgb="FFFF000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7" fillId="0" borderId="0" xfId="0" applyFont="1">
      <alignment vertical="center"/>
    </xf>
    <xf numFmtId="0" fontId="1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9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9"/>
      <tableStyleElement type="headerRow" dxfId="88"/>
      <tableStyleElement type="totalRow" dxfId="87"/>
      <tableStyleElement type="firstColumn" dxfId="86"/>
      <tableStyleElement type="lastColumn" dxfId="85"/>
      <tableStyleElement type="firstRowStripe" dxfId="84"/>
      <tableStyleElement type="firstColumnStripe" dxfId="83"/>
    </tableStyle>
    <tableStyle name="PivotStylePreset2_Accent1" table="0" count="10" xr9:uid="{267968C8-6FFD-4C36-ACC1-9EA1FD1885CA}">
      <tableStyleElement type="headerRow" dxfId="82"/>
      <tableStyleElement type="totalRow" dxfId="81"/>
      <tableStyleElement type="firstRowStripe" dxfId="80"/>
      <tableStyleElement type="firstColumnStripe" dxfId="79"/>
      <tableStyleElement type="firstSubtotalRow" dxfId="78"/>
      <tableStyleElement type="secondSubtotalRow" dxfId="77"/>
      <tableStyleElement type="firstRowSubheading" dxfId="76"/>
      <tableStyleElement type="secondRowSubheading" dxfId="75"/>
      <tableStyleElement type="pageFieldLabels" dxfId="74"/>
      <tableStyleElement type="pageFieldValues" dxfId="73"/>
    </tableStyle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5"/>
  <sheetViews>
    <sheetView zoomScale="115" zoomScaleNormal="115" workbookViewId="0">
      <pane xSplit="8" ySplit="1" topLeftCell="M2" activePane="bottomRight" state="frozen"/>
      <selection pane="topRight"/>
      <selection pane="bottomLeft"/>
      <selection pane="bottomRight" activeCell="O3" sqref="O3:V3"/>
    </sheetView>
  </sheetViews>
  <sheetFormatPr defaultColWidth="9" defaultRowHeight="13"/>
  <cols>
    <col min="1" max="1" width="9" style="8"/>
    <col min="2" max="2" width="9.54296875" style="8"/>
    <col min="3" max="3" width="22.6328125" style="2" customWidth="1"/>
    <col min="4" max="4" width="22.7265625" style="2" customWidth="1"/>
    <col min="5" max="5" width="14.6328125" style="2" customWidth="1"/>
    <col min="6" max="6" width="11" style="2" customWidth="1"/>
    <col min="7" max="10" width="5.08984375" style="2" customWidth="1"/>
    <col min="11" max="13" width="16.08984375" style="2" customWidth="1"/>
    <col min="14" max="14" width="21.7265625" style="8" customWidth="1"/>
    <col min="15" max="15" width="9.54296875" style="8"/>
    <col min="16" max="16" width="10" style="8"/>
    <col min="17" max="16384" width="9" style="8"/>
  </cols>
  <sheetData>
    <row r="1" spans="1:22" ht="13.5">
      <c r="A1" s="8" t="s">
        <v>0</v>
      </c>
      <c r="B1" s="11" t="s">
        <v>1</v>
      </c>
      <c r="C1" s="11" t="s">
        <v>2</v>
      </c>
      <c r="D1" s="11"/>
      <c r="E1" s="11" t="s">
        <v>3</v>
      </c>
      <c r="F1" s="11" t="s">
        <v>4</v>
      </c>
      <c r="G1" s="11"/>
      <c r="H1" s="11"/>
      <c r="I1" s="11"/>
      <c r="J1" s="11"/>
      <c r="K1" s="11" t="s">
        <v>5</v>
      </c>
      <c r="L1" s="11" t="s">
        <v>6</v>
      </c>
      <c r="M1" s="11" t="s">
        <v>7</v>
      </c>
      <c r="N1" s="12"/>
      <c r="O1" s="24" t="s">
        <v>2153</v>
      </c>
      <c r="P1" s="25"/>
      <c r="Q1" s="25"/>
      <c r="R1" s="25"/>
      <c r="S1" s="25"/>
      <c r="T1" s="25"/>
      <c r="U1" s="25"/>
      <c r="V1" s="26"/>
    </row>
    <row r="2" spans="1:22" ht="13.5">
      <c r="A2" s="8" t="s">
        <v>8</v>
      </c>
      <c r="B2" s="9" t="s">
        <v>9</v>
      </c>
      <c r="C2" s="9" t="s">
        <v>10</v>
      </c>
      <c r="D2" s="9" t="s">
        <v>11</v>
      </c>
      <c r="E2" s="9" t="s">
        <v>10</v>
      </c>
      <c r="F2" s="9" t="s">
        <v>9</v>
      </c>
      <c r="G2" s="9"/>
      <c r="H2" s="9"/>
      <c r="I2" s="9"/>
      <c r="J2" s="9"/>
      <c r="K2" s="9" t="s">
        <v>9</v>
      </c>
      <c r="L2" s="9" t="s">
        <v>9</v>
      </c>
      <c r="M2" s="9" t="s">
        <v>9</v>
      </c>
      <c r="N2" s="13"/>
      <c r="O2" s="27" t="s">
        <v>2154</v>
      </c>
      <c r="P2" s="27"/>
      <c r="Q2" s="27"/>
      <c r="R2" s="27"/>
      <c r="S2" s="27"/>
      <c r="T2" s="27"/>
      <c r="U2" s="27"/>
      <c r="V2" s="27"/>
    </row>
    <row r="3" spans="1:22" ht="13.5">
      <c r="A3" s="8" t="s">
        <v>12</v>
      </c>
      <c r="B3" s="9"/>
      <c r="C3" s="9" t="s">
        <v>2157</v>
      </c>
      <c r="D3" s="9" t="s">
        <v>13</v>
      </c>
      <c r="E3" s="9" t="s">
        <v>2155</v>
      </c>
      <c r="F3" s="9"/>
      <c r="G3" s="9"/>
      <c r="H3" s="9"/>
      <c r="I3" s="9"/>
      <c r="J3" s="9"/>
      <c r="K3" s="9"/>
      <c r="L3" s="9"/>
      <c r="M3" s="9" t="s">
        <v>2155</v>
      </c>
      <c r="N3" s="13"/>
      <c r="O3" s="28" t="s">
        <v>2156</v>
      </c>
      <c r="P3" s="28"/>
      <c r="Q3" s="28"/>
      <c r="R3" s="28"/>
      <c r="S3" s="28"/>
      <c r="T3" s="28"/>
      <c r="U3" s="28"/>
      <c r="V3" s="28"/>
    </row>
    <row r="4" spans="1:22" ht="13.5">
      <c r="A4" s="8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11" t="s">
        <v>23</v>
      </c>
      <c r="K4" s="11" t="s">
        <v>24</v>
      </c>
      <c r="L4" s="11" t="s">
        <v>25</v>
      </c>
      <c r="M4" s="11" t="s">
        <v>26</v>
      </c>
      <c r="N4" s="12" t="s">
        <v>27</v>
      </c>
      <c r="O4" s="12" t="s">
        <v>28</v>
      </c>
      <c r="P4" s="12" t="s">
        <v>29</v>
      </c>
      <c r="Q4" s="12" t="s">
        <v>30</v>
      </c>
      <c r="R4" s="12" t="s">
        <v>31</v>
      </c>
      <c r="S4" s="12" t="s">
        <v>32</v>
      </c>
      <c r="T4" s="12" t="s">
        <v>33</v>
      </c>
      <c r="U4" s="12" t="s">
        <v>34</v>
      </c>
      <c r="V4" s="12" t="s">
        <v>35</v>
      </c>
    </row>
    <row r="5" spans="1:22">
      <c r="B5" s="8">
        <f t="shared" ref="B5:B9" si="0">70000000+F5*10000+H5*1000+I5*100+J5</f>
        <v>70015106</v>
      </c>
      <c r="C5" s="2" t="s">
        <v>36</v>
      </c>
      <c r="E5" s="2" t="str">
        <f>F5&amp;(VLOOKUP(G5,编号表!$E$1:$G$8,2,0))&amp;H5&amp;"_"&amp;I5&amp;"_"&amp;J5</f>
        <v>1N5_1_6</v>
      </c>
      <c r="F5" s="2">
        <v>1</v>
      </c>
      <c r="G5" s="2" t="s">
        <v>37</v>
      </c>
      <c r="H5" s="2">
        <v>5</v>
      </c>
      <c r="I5" s="2">
        <v>1</v>
      </c>
      <c r="J5" s="2">
        <f>COUNTIFS($F5:F$13,F5,$I5:I$13,I5)</f>
        <v>6</v>
      </c>
      <c r="O5" s="8">
        <v>1001302</v>
      </c>
    </row>
    <row r="6" spans="1:22">
      <c r="B6" s="8">
        <f t="shared" si="0"/>
        <v>70015105</v>
      </c>
      <c r="C6" s="2" t="s">
        <v>38</v>
      </c>
      <c r="E6" s="2" t="str">
        <f>F6&amp;(VLOOKUP(G6,编号表!$E$1:$G$8,2,0))&amp;H6&amp;"_"&amp;I6&amp;"_"&amp;J6</f>
        <v>1N5_1_5</v>
      </c>
      <c r="F6" s="2">
        <v>1</v>
      </c>
      <c r="G6" s="2" t="s">
        <v>37</v>
      </c>
      <c r="H6" s="2">
        <v>5</v>
      </c>
      <c r="I6" s="2">
        <v>1</v>
      </c>
      <c r="J6" s="2">
        <f>COUNTIFS($F6:F$13,F6,$I6:I$13,I6)</f>
        <v>5</v>
      </c>
      <c r="O6" s="8">
        <v>1001302</v>
      </c>
    </row>
    <row r="7" spans="1:22">
      <c r="B7" s="8">
        <f t="shared" si="0"/>
        <v>70015104</v>
      </c>
      <c r="C7" s="2" t="s">
        <v>39</v>
      </c>
      <c r="E7" s="2" t="str">
        <f>F7&amp;(VLOOKUP(G7,编号表!$E$1:$G$8,2,0))&amp;H7&amp;"_"&amp;I7&amp;"_"&amp;J7</f>
        <v>1N5_1_4</v>
      </c>
      <c r="F7" s="2">
        <v>1</v>
      </c>
      <c r="G7" s="2" t="s">
        <v>37</v>
      </c>
      <c r="H7" s="2">
        <v>5</v>
      </c>
      <c r="I7" s="2">
        <v>1</v>
      </c>
      <c r="J7" s="2">
        <f>COUNTIFS($F7:F$13,F7,$I7:I$13,I7)</f>
        <v>4</v>
      </c>
      <c r="O7" s="8">
        <v>1001302</v>
      </c>
    </row>
    <row r="8" spans="1:22">
      <c r="B8" s="8">
        <f t="shared" si="0"/>
        <v>70015103</v>
      </c>
      <c r="C8" s="2" t="s">
        <v>40</v>
      </c>
      <c r="E8" s="2" t="str">
        <f>F8&amp;(VLOOKUP(G8,编号表!$E$1:$G$8,2,0))&amp;H8&amp;"_"&amp;I8&amp;"_"&amp;J8</f>
        <v>1N5_1_3</v>
      </c>
      <c r="F8" s="2">
        <v>1</v>
      </c>
      <c r="G8" s="2" t="s">
        <v>37</v>
      </c>
      <c r="H8" s="2">
        <v>5</v>
      </c>
      <c r="I8" s="2">
        <v>1</v>
      </c>
      <c r="J8" s="2">
        <f>COUNTIFS($F8:F$13,F8,$I8:I$13,I8)</f>
        <v>3</v>
      </c>
      <c r="O8" s="8">
        <v>1001302</v>
      </c>
    </row>
    <row r="9" spans="1:22">
      <c r="B9" s="8">
        <f t="shared" si="0"/>
        <v>70015102</v>
      </c>
      <c r="C9" s="2" t="s">
        <v>41</v>
      </c>
      <c r="E9" s="2" t="str">
        <f>F9&amp;(VLOOKUP(G9,编号表!$E$1:$G$8,2,0))&amp;H9&amp;"_"&amp;I9&amp;"_"&amp;J9</f>
        <v>1N5_1_2</v>
      </c>
      <c r="F9" s="2">
        <v>1</v>
      </c>
      <c r="G9" s="2" t="s">
        <v>37</v>
      </c>
      <c r="H9" s="2">
        <v>5</v>
      </c>
      <c r="I9" s="2">
        <v>1</v>
      </c>
      <c r="J9" s="2">
        <f>COUNTIFS($F9:F$13,F9,$I9:I$13,I9)</f>
        <v>2</v>
      </c>
      <c r="O9" s="8">
        <v>1001302</v>
      </c>
    </row>
    <row r="13" spans="1:22">
      <c r="A13" s="14" t="s">
        <v>14</v>
      </c>
      <c r="B13" s="8">
        <f>70000000+F13*10000+H13*1000+I13*100+J13</f>
        <v>70015101</v>
      </c>
      <c r="C13" s="2" t="s">
        <v>36</v>
      </c>
      <c r="E13" s="2" t="str">
        <f>F13&amp;(VLOOKUP(G13,编号表!$E$1:$G$8,2,0))&amp;H13&amp;"_"&amp;I13&amp;"_"&amp;J13</f>
        <v>1N5_1_1</v>
      </c>
      <c r="F13" s="2">
        <v>1</v>
      </c>
      <c r="G13" s="2" t="s">
        <v>37</v>
      </c>
      <c r="H13" s="2">
        <v>5</v>
      </c>
      <c r="I13" s="2">
        <v>1</v>
      </c>
      <c r="J13" s="2">
        <f>COUNTIFS($F$13:F13,F13,$I$13:I13,I13)</f>
        <v>1</v>
      </c>
      <c r="O13" s="8">
        <v>1001302</v>
      </c>
    </row>
    <row r="14" spans="1:22">
      <c r="A14" s="14" t="s">
        <v>14</v>
      </c>
      <c r="B14" s="8">
        <f t="shared" ref="B14:B68" si="1">70000000+F14*10000+H14*1000+I14*100+J14</f>
        <v>70015102</v>
      </c>
      <c r="C14" s="2" t="s">
        <v>38</v>
      </c>
      <c r="E14" s="2" t="str">
        <f>F14&amp;(VLOOKUP(G14,编号表!$E$1:$G$8,2,0))&amp;H14&amp;"_"&amp;I14&amp;"_"&amp;J14</f>
        <v>1N5_1_2</v>
      </c>
      <c r="F14" s="2">
        <v>1</v>
      </c>
      <c r="G14" s="2" t="s">
        <v>37</v>
      </c>
      <c r="H14" s="2">
        <v>5</v>
      </c>
      <c r="I14" s="2">
        <v>1</v>
      </c>
      <c r="J14" s="2">
        <f>COUNTIFS($F$13:F14,F14,$I$13:I14,I14)</f>
        <v>2</v>
      </c>
      <c r="O14" s="8">
        <v>1001302</v>
      </c>
    </row>
    <row r="15" spans="1:22">
      <c r="A15" s="14" t="s">
        <v>14</v>
      </c>
      <c r="B15" s="8">
        <f t="shared" si="1"/>
        <v>70015103</v>
      </c>
      <c r="C15" s="2" t="s">
        <v>39</v>
      </c>
      <c r="E15" s="2" t="str">
        <f>F15&amp;(VLOOKUP(G15,编号表!$E$1:$G$8,2,0))&amp;H15&amp;"_"&amp;I15&amp;"_"&amp;J15</f>
        <v>1N5_1_3</v>
      </c>
      <c r="F15" s="2">
        <v>1</v>
      </c>
      <c r="G15" s="2" t="s">
        <v>37</v>
      </c>
      <c r="H15" s="2">
        <v>5</v>
      </c>
      <c r="I15" s="2">
        <v>1</v>
      </c>
      <c r="J15" s="2">
        <f>COUNTIFS($F$13:F15,F15,$I$13:I15,I15)</f>
        <v>3</v>
      </c>
      <c r="O15" s="8">
        <v>1001302</v>
      </c>
    </row>
    <row r="16" spans="1:22">
      <c r="A16" s="14" t="s">
        <v>14</v>
      </c>
      <c r="B16" s="8">
        <f t="shared" si="1"/>
        <v>70015104</v>
      </c>
      <c r="C16" s="2" t="s">
        <v>40</v>
      </c>
      <c r="E16" s="2" t="str">
        <f>F16&amp;(VLOOKUP(G16,编号表!$E$1:$G$8,2,0))&amp;H16&amp;"_"&amp;I16&amp;"_"&amp;J16</f>
        <v>1N5_1_4</v>
      </c>
      <c r="F16" s="2">
        <v>1</v>
      </c>
      <c r="G16" s="2" t="s">
        <v>37</v>
      </c>
      <c r="H16" s="2">
        <v>5</v>
      </c>
      <c r="I16" s="2">
        <v>1</v>
      </c>
      <c r="J16" s="2">
        <f>COUNTIFS($F$13:F16,F16,$I$13:I16,I16)</f>
        <v>4</v>
      </c>
      <c r="O16" s="8">
        <v>1001302</v>
      </c>
    </row>
    <row r="17" spans="1:15">
      <c r="A17" s="14" t="s">
        <v>14</v>
      </c>
      <c r="B17" s="8">
        <f t="shared" si="1"/>
        <v>70015105</v>
      </c>
      <c r="C17" s="2" t="s">
        <v>41</v>
      </c>
      <c r="E17" s="2" t="str">
        <f>F17&amp;(VLOOKUP(G17,编号表!$E$1:$G$8,2,0))&amp;H17&amp;"_"&amp;I17&amp;"_"&amp;J17</f>
        <v>1N5_1_5</v>
      </c>
      <c r="F17" s="2">
        <v>1</v>
      </c>
      <c r="G17" s="2" t="s">
        <v>37</v>
      </c>
      <c r="H17" s="2">
        <v>5</v>
      </c>
      <c r="I17" s="2">
        <v>1</v>
      </c>
      <c r="J17" s="2">
        <f>COUNTIFS($F$13:F17,F17,$I$13:I17,I17)</f>
        <v>5</v>
      </c>
      <c r="O17" s="8">
        <v>1001302</v>
      </c>
    </row>
    <row r="18" spans="1:15">
      <c r="A18" s="14" t="s">
        <v>14</v>
      </c>
      <c r="B18" s="8">
        <f t="shared" si="1"/>
        <v>70015201</v>
      </c>
      <c r="C18" s="2" t="s">
        <v>42</v>
      </c>
      <c r="E18" s="2" t="str">
        <f>F18&amp;(VLOOKUP(G18,编号表!$E$1:$G$8,2,0))&amp;H18&amp;"_"&amp;I18&amp;"_"&amp;J18</f>
        <v>1N5_2_1</v>
      </c>
      <c r="F18" s="2">
        <v>1</v>
      </c>
      <c r="G18" s="2" t="s">
        <v>37</v>
      </c>
      <c r="H18" s="2">
        <v>5</v>
      </c>
      <c r="I18" s="2">
        <v>2</v>
      </c>
      <c r="J18" s="2">
        <f>COUNTIFS($F$13:F18,F18,$I$13:I18,I18)</f>
        <v>1</v>
      </c>
      <c r="O18" s="8">
        <v>1001403</v>
      </c>
    </row>
    <row r="19" spans="1:15">
      <c r="A19" s="14" t="s">
        <v>14</v>
      </c>
      <c r="B19" s="8">
        <f t="shared" si="1"/>
        <v>70015202</v>
      </c>
      <c r="C19" s="2" t="s">
        <v>43</v>
      </c>
      <c r="E19" s="2" t="str">
        <f>F19&amp;(VLOOKUP(G19,编号表!$E$1:$G$8,2,0))&amp;H19&amp;"_"&amp;I19&amp;"_"&amp;J19</f>
        <v>1N5_2_2</v>
      </c>
      <c r="F19" s="2">
        <v>1</v>
      </c>
      <c r="G19" s="2" t="s">
        <v>37</v>
      </c>
      <c r="H19" s="2">
        <v>5</v>
      </c>
      <c r="I19" s="2">
        <v>2</v>
      </c>
      <c r="J19" s="2">
        <f>COUNTIFS($F$13:F19,F19,$I$13:I19,I19)</f>
        <v>2</v>
      </c>
      <c r="O19" s="8">
        <v>1001403</v>
      </c>
    </row>
    <row r="20" spans="1:15">
      <c r="A20" s="14" t="s">
        <v>14</v>
      </c>
      <c r="B20" s="8">
        <f t="shared" si="1"/>
        <v>70015203</v>
      </c>
      <c r="C20" s="2" t="s">
        <v>44</v>
      </c>
      <c r="E20" s="2" t="str">
        <f>F20&amp;(VLOOKUP(G20,编号表!$E$1:$G$8,2,0))&amp;H20&amp;"_"&amp;I20&amp;"_"&amp;J20</f>
        <v>1N5_2_3</v>
      </c>
      <c r="F20" s="2">
        <v>1</v>
      </c>
      <c r="G20" s="2" t="s">
        <v>37</v>
      </c>
      <c r="H20" s="2">
        <v>5</v>
      </c>
      <c r="I20" s="2">
        <v>2</v>
      </c>
      <c r="J20" s="2">
        <f>COUNTIFS($F$13:F20,F20,$I$13:I20,I20)</f>
        <v>3</v>
      </c>
      <c r="O20" s="8">
        <v>1001403</v>
      </c>
    </row>
    <row r="21" spans="1:15">
      <c r="A21" s="14" t="s">
        <v>14</v>
      </c>
      <c r="B21" s="8">
        <f t="shared" si="1"/>
        <v>70015204</v>
      </c>
      <c r="C21" s="2" t="s">
        <v>45</v>
      </c>
      <c r="E21" s="2" t="str">
        <f>F21&amp;(VLOOKUP(G21,编号表!$E$1:$G$8,2,0))&amp;H21&amp;"_"&amp;I21&amp;"_"&amp;J21</f>
        <v>1N5_2_4</v>
      </c>
      <c r="F21" s="2">
        <v>1</v>
      </c>
      <c r="G21" s="2" t="s">
        <v>37</v>
      </c>
      <c r="H21" s="2">
        <v>5</v>
      </c>
      <c r="I21" s="2">
        <v>2</v>
      </c>
      <c r="J21" s="2">
        <f>COUNTIFS($F$13:F21,F21,$I$13:I21,I21)</f>
        <v>4</v>
      </c>
      <c r="O21" s="8">
        <v>1001403</v>
      </c>
    </row>
    <row r="22" spans="1:15">
      <c r="A22" s="14" t="s">
        <v>14</v>
      </c>
      <c r="B22" s="8">
        <f t="shared" si="1"/>
        <v>70015205</v>
      </c>
      <c r="C22" s="2" t="s">
        <v>46</v>
      </c>
      <c r="E22" s="2" t="str">
        <f>F22&amp;(VLOOKUP(G22,编号表!$E$1:$G$8,2,0))&amp;H22&amp;"_"&amp;I22&amp;"_"&amp;J22</f>
        <v>1N5_2_5</v>
      </c>
      <c r="F22" s="2">
        <v>1</v>
      </c>
      <c r="G22" s="2" t="s">
        <v>37</v>
      </c>
      <c r="H22" s="2">
        <v>5</v>
      </c>
      <c r="I22" s="2">
        <v>2</v>
      </c>
      <c r="J22" s="2">
        <f>COUNTIFS($F$13:F22,F22,$I$13:I22,I22)</f>
        <v>5</v>
      </c>
      <c r="O22" s="8">
        <v>1001403</v>
      </c>
    </row>
    <row r="23" spans="1:15">
      <c r="A23" s="14" t="s">
        <v>14</v>
      </c>
      <c r="B23" s="8">
        <f t="shared" si="1"/>
        <v>70015301</v>
      </c>
      <c r="C23" s="2" t="s">
        <v>47</v>
      </c>
      <c r="E23" s="2" t="str">
        <f>F23&amp;(VLOOKUP(G23,编号表!$E$1:$G$8,2,0))&amp;H23&amp;"_"&amp;I23&amp;"_"&amp;J23</f>
        <v>1N5_3_1</v>
      </c>
      <c r="F23" s="2">
        <v>1</v>
      </c>
      <c r="G23" s="2" t="s">
        <v>37</v>
      </c>
      <c r="H23" s="2">
        <v>5</v>
      </c>
      <c r="I23" s="2">
        <v>3</v>
      </c>
      <c r="J23" s="2">
        <f>COUNTIFS($F$13:F23,F23,$I$13:I23,I23)</f>
        <v>1</v>
      </c>
      <c r="O23" s="8">
        <v>1001203</v>
      </c>
    </row>
    <row r="24" spans="1:15">
      <c r="A24" s="14" t="s">
        <v>14</v>
      </c>
      <c r="B24" s="8">
        <f t="shared" si="1"/>
        <v>70015302</v>
      </c>
      <c r="C24" s="2" t="s">
        <v>48</v>
      </c>
      <c r="E24" s="2" t="str">
        <f>F24&amp;(VLOOKUP(G24,编号表!$E$1:$G$8,2,0))&amp;H24&amp;"_"&amp;I24&amp;"_"&amp;J24</f>
        <v>1N5_3_2</v>
      </c>
      <c r="F24" s="2">
        <v>1</v>
      </c>
      <c r="G24" s="2" t="s">
        <v>37</v>
      </c>
      <c r="H24" s="2">
        <v>5</v>
      </c>
      <c r="I24" s="2">
        <v>3</v>
      </c>
      <c r="J24" s="2">
        <f>COUNTIFS($F$13:F24,F24,$I$13:I24,I24)</f>
        <v>2</v>
      </c>
      <c r="O24" s="8">
        <v>1001203</v>
      </c>
    </row>
    <row r="25" spans="1:15">
      <c r="A25" s="14" t="s">
        <v>14</v>
      </c>
      <c r="B25" s="8">
        <f t="shared" si="1"/>
        <v>70015303</v>
      </c>
      <c r="C25" s="2" t="s">
        <v>49</v>
      </c>
      <c r="E25" s="2" t="str">
        <f>F25&amp;(VLOOKUP(G25,编号表!$E$1:$G$8,2,0))&amp;H25&amp;"_"&amp;I25&amp;"_"&amp;J25</f>
        <v>1N5_3_3</v>
      </c>
      <c r="F25" s="2">
        <v>1</v>
      </c>
      <c r="G25" s="2" t="s">
        <v>37</v>
      </c>
      <c r="H25" s="2">
        <v>5</v>
      </c>
      <c r="I25" s="2">
        <v>3</v>
      </c>
      <c r="J25" s="2">
        <f>COUNTIFS($F$13:F25,F25,$I$13:I25,I25)</f>
        <v>3</v>
      </c>
      <c r="O25" s="8">
        <v>1001203</v>
      </c>
    </row>
    <row r="26" spans="1:15">
      <c r="A26" s="14" t="s">
        <v>14</v>
      </c>
      <c r="B26" s="8">
        <f t="shared" si="1"/>
        <v>70015304</v>
      </c>
      <c r="C26" s="2" t="s">
        <v>50</v>
      </c>
      <c r="E26" s="2" t="str">
        <f>F26&amp;(VLOOKUP(G26,编号表!$E$1:$G$8,2,0))&amp;H26&amp;"_"&amp;I26&amp;"_"&amp;J26</f>
        <v>1N5_3_4</v>
      </c>
      <c r="F26" s="2">
        <v>1</v>
      </c>
      <c r="G26" s="2" t="s">
        <v>37</v>
      </c>
      <c r="H26" s="2">
        <v>5</v>
      </c>
      <c r="I26" s="2">
        <v>3</v>
      </c>
      <c r="J26" s="2">
        <f>COUNTIFS($F$13:F26,F26,$I$13:I26,I26)</f>
        <v>4</v>
      </c>
      <c r="O26" s="8">
        <v>1001203</v>
      </c>
    </row>
    <row r="27" spans="1:15">
      <c r="A27" s="14" t="s">
        <v>14</v>
      </c>
      <c r="B27" s="8">
        <f t="shared" si="1"/>
        <v>70015305</v>
      </c>
      <c r="C27" s="2" t="s">
        <v>51</v>
      </c>
      <c r="E27" s="2" t="str">
        <f>F27&amp;(VLOOKUP(G27,编号表!$E$1:$G$8,2,0))&amp;H27&amp;"_"&amp;I27&amp;"_"&amp;J27</f>
        <v>1N5_3_5</v>
      </c>
      <c r="F27" s="2">
        <v>1</v>
      </c>
      <c r="G27" s="2" t="s">
        <v>37</v>
      </c>
      <c r="H27" s="2">
        <v>5</v>
      </c>
      <c r="I27" s="2">
        <v>3</v>
      </c>
      <c r="J27" s="2">
        <f>COUNTIFS($F$13:F27,F27,$I$13:I27,I27)</f>
        <v>5</v>
      </c>
      <c r="O27" s="8">
        <v>1001203</v>
      </c>
    </row>
    <row r="28" spans="1:15">
      <c r="A28" s="14" t="s">
        <v>14</v>
      </c>
      <c r="B28" s="8">
        <f t="shared" si="1"/>
        <v>70011306</v>
      </c>
      <c r="C28" s="15" t="s">
        <v>52</v>
      </c>
      <c r="E28" s="2" t="str">
        <f>F28&amp;(VLOOKUP(G28,编号表!$E$1:$G$8,2,0))&amp;H28&amp;"_"&amp;I28&amp;"_"&amp;J28</f>
        <v>1T1_3_6</v>
      </c>
      <c r="F28" s="2">
        <v>1</v>
      </c>
      <c r="G28" s="2" t="s">
        <v>53</v>
      </c>
      <c r="H28" s="2">
        <v>1</v>
      </c>
      <c r="I28" s="2">
        <v>3</v>
      </c>
      <c r="J28" s="2">
        <f>COUNTIFS($F$13:F28,F28,$I$13:I28,I28)</f>
        <v>6</v>
      </c>
    </row>
    <row r="29" spans="1:15">
      <c r="A29" s="14" t="s">
        <v>14</v>
      </c>
      <c r="B29" s="8">
        <f t="shared" si="1"/>
        <v>70011307</v>
      </c>
      <c r="C29" s="16" t="s">
        <v>54</v>
      </c>
      <c r="D29" s="2" t="s">
        <v>55</v>
      </c>
      <c r="E29" s="2" t="str">
        <f>F29&amp;(VLOOKUP(G29,编号表!$E$1:$G$8,2,0))&amp;H29&amp;"_"&amp;I29&amp;"_"&amp;J29</f>
        <v>1T1_3_7</v>
      </c>
      <c r="F29" s="2">
        <v>1</v>
      </c>
      <c r="G29" s="2" t="s">
        <v>53</v>
      </c>
      <c r="H29" s="2">
        <v>1</v>
      </c>
      <c r="I29" s="2">
        <v>3</v>
      </c>
      <c r="J29" s="2">
        <f>COUNTIFS($F$13:F29,F29,$I$13:I29,I29)</f>
        <v>7</v>
      </c>
      <c r="M29" s="2">
        <v>187</v>
      </c>
    </row>
    <row r="30" spans="1:15">
      <c r="A30" s="14" t="s">
        <v>14</v>
      </c>
      <c r="B30" s="8">
        <f t="shared" si="1"/>
        <v>70011401</v>
      </c>
      <c r="C30" s="17" t="s">
        <v>56</v>
      </c>
      <c r="E30" s="2" t="str">
        <f>F30&amp;(VLOOKUP(G30,编号表!$E$1:$G$8,2,0))&amp;H30&amp;"_"&amp;I30&amp;"_"&amp;J30</f>
        <v>1P1_4_1</v>
      </c>
      <c r="F30" s="2">
        <v>1</v>
      </c>
      <c r="G30" s="2" t="s">
        <v>57</v>
      </c>
      <c r="H30" s="2">
        <v>1</v>
      </c>
      <c r="I30" s="2">
        <v>4</v>
      </c>
      <c r="J30" s="2">
        <f>COUNTIFS($F$13:F30,F30,$I$13:I30,I30)</f>
        <v>1</v>
      </c>
    </row>
    <row r="31" spans="1:15">
      <c r="A31" s="14" t="s">
        <v>14</v>
      </c>
      <c r="B31" s="8">
        <f t="shared" si="1"/>
        <v>70011402</v>
      </c>
      <c r="C31" s="17" t="s">
        <v>58</v>
      </c>
      <c r="E31" s="2" t="str">
        <f>F31&amp;(VLOOKUP(G31,编号表!$E$1:$G$8,2,0))&amp;H31&amp;"_"&amp;I31&amp;"_"&amp;J31</f>
        <v>1P1_4_2</v>
      </c>
      <c r="F31" s="2">
        <v>1</v>
      </c>
      <c r="G31" s="2" t="s">
        <v>57</v>
      </c>
      <c r="H31" s="2">
        <v>1</v>
      </c>
      <c r="I31" s="2">
        <v>4</v>
      </c>
      <c r="J31" s="2">
        <f>COUNTIFS($F$13:F31,F31,$I$13:I31,I31)</f>
        <v>2</v>
      </c>
    </row>
    <row r="32" spans="1:15">
      <c r="A32" s="14" t="s">
        <v>14</v>
      </c>
      <c r="B32" s="8">
        <f t="shared" si="1"/>
        <v>70013501</v>
      </c>
      <c r="C32" s="17" t="s">
        <v>59</v>
      </c>
      <c r="E32" s="2" t="str">
        <f>F32&amp;(VLOOKUP(G32,编号表!$E$1:$G$8,2,0))&amp;H32&amp;"_"&amp;I32&amp;"_"&amp;J32</f>
        <v>1P3_5_1</v>
      </c>
      <c r="F32" s="2">
        <v>1</v>
      </c>
      <c r="G32" s="2" t="s">
        <v>57</v>
      </c>
      <c r="H32" s="2">
        <v>3</v>
      </c>
      <c r="I32" s="2">
        <v>5</v>
      </c>
      <c r="J32" s="2">
        <f>COUNTIFS($F$13:F32,F32,$I$13:I32,I32)</f>
        <v>1</v>
      </c>
      <c r="O32" s="8">
        <v>1001202</v>
      </c>
    </row>
    <row r="33" spans="1:15">
      <c r="A33" s="14" t="s">
        <v>14</v>
      </c>
      <c r="B33" s="8">
        <f t="shared" si="1"/>
        <v>70013502</v>
      </c>
      <c r="C33" s="17" t="s">
        <v>60</v>
      </c>
      <c r="E33" s="2" t="str">
        <f>F33&amp;(VLOOKUP(G33,编号表!$E$1:$G$8,2,0))&amp;H33&amp;"_"&amp;I33&amp;"_"&amp;J33</f>
        <v>1P3_5_2</v>
      </c>
      <c r="F33" s="2">
        <v>1</v>
      </c>
      <c r="G33" s="2" t="s">
        <v>57</v>
      </c>
      <c r="H33" s="2">
        <v>3</v>
      </c>
      <c r="I33" s="2">
        <v>5</v>
      </c>
      <c r="J33" s="2">
        <f>COUNTIFS($F$13:F33,F33,$I$13:I33,I33)</f>
        <v>2</v>
      </c>
      <c r="O33" s="8">
        <v>1001202</v>
      </c>
    </row>
    <row r="34" spans="1:15">
      <c r="A34" s="14" t="s">
        <v>14</v>
      </c>
      <c r="B34" s="8">
        <f t="shared" si="1"/>
        <v>70011601</v>
      </c>
      <c r="C34" s="17" t="s">
        <v>61</v>
      </c>
      <c r="E34" s="2" t="str">
        <f>F34&amp;(VLOOKUP(G34,编号表!$E$1:$G$8,2,0))&amp;H34&amp;"_"&amp;I34&amp;"_"&amp;J34</f>
        <v>1P1_6_1</v>
      </c>
      <c r="F34" s="2">
        <v>1</v>
      </c>
      <c r="G34" s="2" t="s">
        <v>57</v>
      </c>
      <c r="H34" s="2">
        <v>1</v>
      </c>
      <c r="I34" s="2">
        <v>6</v>
      </c>
      <c r="J34" s="2">
        <f>COUNTIFS($F$13:F34,F34,$I$13:I34,I34)</f>
        <v>1</v>
      </c>
      <c r="O34" s="8">
        <v>1001004</v>
      </c>
    </row>
    <row r="35" spans="1:15">
      <c r="A35" s="14" t="s">
        <v>14</v>
      </c>
      <c r="B35" s="8">
        <f t="shared" si="1"/>
        <v>70011602</v>
      </c>
      <c r="C35" s="17" t="s">
        <v>62</v>
      </c>
      <c r="E35" s="2" t="str">
        <f>F35&amp;(VLOOKUP(G35,编号表!$E$1:$G$8,2,0))&amp;H35&amp;"_"&amp;I35&amp;"_"&amp;J35</f>
        <v>1P1_6_2</v>
      </c>
      <c r="F35" s="2">
        <v>1</v>
      </c>
      <c r="G35" s="2" t="s">
        <v>57</v>
      </c>
      <c r="H35" s="2">
        <v>1</v>
      </c>
      <c r="I35" s="2">
        <v>6</v>
      </c>
      <c r="J35" s="2">
        <f>COUNTIFS($F$13:F35,F35,$I$13:I35,I35)</f>
        <v>2</v>
      </c>
      <c r="L35" s="2">
        <v>1</v>
      </c>
    </row>
    <row r="36" spans="1:15">
      <c r="A36" s="14" t="s">
        <v>14</v>
      </c>
      <c r="B36" s="8">
        <f t="shared" si="1"/>
        <v>70011603</v>
      </c>
      <c r="C36" s="17" t="s">
        <v>63</v>
      </c>
      <c r="E36" s="2" t="str">
        <f>F36&amp;(VLOOKUP(G36,编号表!$E$1:$G$8,2,0))&amp;H36&amp;"_"&amp;I36&amp;"_"&amp;J36</f>
        <v>1P1_6_3</v>
      </c>
      <c r="F36" s="2">
        <v>1</v>
      </c>
      <c r="G36" s="2" t="s">
        <v>57</v>
      </c>
      <c r="H36" s="2">
        <v>1</v>
      </c>
      <c r="I36" s="2">
        <v>6</v>
      </c>
      <c r="J36" s="2">
        <f>COUNTIFS($F$13:F36,F36,$I$13:I36,I36)</f>
        <v>3</v>
      </c>
    </row>
    <row r="37" spans="1:15">
      <c r="A37" s="14" t="s">
        <v>14</v>
      </c>
      <c r="B37" s="8">
        <f t="shared" si="1"/>
        <v>70011604</v>
      </c>
      <c r="C37" s="17" t="s">
        <v>64</v>
      </c>
      <c r="E37" s="2" t="str">
        <f>F37&amp;(VLOOKUP(G37,编号表!$E$1:$G$8,2,0))&amp;H37&amp;"_"&amp;I37&amp;"_"&amp;J37</f>
        <v>1P1_6_4</v>
      </c>
      <c r="F37" s="2">
        <v>1</v>
      </c>
      <c r="G37" s="2" t="s">
        <v>57</v>
      </c>
      <c r="H37" s="2">
        <v>1</v>
      </c>
      <c r="I37" s="2">
        <v>6</v>
      </c>
      <c r="J37" s="2">
        <f>COUNTIFS($F$13:F37,F37,$I$13:I37,I37)</f>
        <v>4</v>
      </c>
    </row>
    <row r="38" spans="1:15">
      <c r="A38" s="14" t="s">
        <v>14</v>
      </c>
      <c r="B38" s="8">
        <f t="shared" si="1"/>
        <v>70013701</v>
      </c>
      <c r="C38" s="17" t="s">
        <v>65</v>
      </c>
      <c r="E38" s="2" t="str">
        <f>F38&amp;(VLOOKUP(G38,编号表!$E$1:$G$8,2,0))&amp;H38&amp;"_"&amp;I38&amp;"_"&amp;J38</f>
        <v>1P3_7_1</v>
      </c>
      <c r="F38" s="2">
        <v>1</v>
      </c>
      <c r="G38" s="2" t="s">
        <v>57</v>
      </c>
      <c r="H38" s="2">
        <v>3</v>
      </c>
      <c r="I38" s="2">
        <v>7</v>
      </c>
      <c r="J38" s="2">
        <f>COUNTIFS($F$13:F38,F38,$I$13:I38,I38)</f>
        <v>1</v>
      </c>
      <c r="O38" s="8">
        <v>1001202</v>
      </c>
    </row>
    <row r="39" spans="1:15">
      <c r="A39" s="14" t="s">
        <v>14</v>
      </c>
      <c r="B39" s="8">
        <f t="shared" si="1"/>
        <v>70011702</v>
      </c>
      <c r="C39" s="17" t="s">
        <v>66</v>
      </c>
      <c r="E39" s="2" t="str">
        <f>F39&amp;(VLOOKUP(G39,编号表!$E$1:$G$8,2,0))&amp;H39&amp;"_"&amp;I39&amp;"_"&amp;J39</f>
        <v>1P1_7_2</v>
      </c>
      <c r="F39" s="2">
        <v>1</v>
      </c>
      <c r="G39" s="2" t="s">
        <v>57</v>
      </c>
      <c r="H39" s="2">
        <v>1</v>
      </c>
      <c r="I39" s="2">
        <v>7</v>
      </c>
      <c r="J39" s="2">
        <v>2</v>
      </c>
      <c r="O39" s="8">
        <v>1001005</v>
      </c>
    </row>
    <row r="40" spans="1:15">
      <c r="A40" s="14" t="s">
        <v>14</v>
      </c>
      <c r="B40" s="8">
        <f t="shared" si="1"/>
        <v>70012703</v>
      </c>
      <c r="C40" s="17" t="s">
        <v>67</v>
      </c>
      <c r="E40" s="2" t="str">
        <f>F40&amp;(VLOOKUP(G40,编号表!$E$1:$G$8,2,0))&amp;H40&amp;"_"&amp;I40&amp;"_"&amp;J40</f>
        <v>1P2_7_3</v>
      </c>
      <c r="F40" s="2">
        <v>1</v>
      </c>
      <c r="G40" s="2" t="s">
        <v>57</v>
      </c>
      <c r="H40" s="2">
        <v>2</v>
      </c>
      <c r="I40" s="2">
        <v>7</v>
      </c>
      <c r="J40" s="2">
        <f>COUNTIFS($F$13:F40,F40,$I$13:I40,I40)</f>
        <v>3</v>
      </c>
      <c r="O40" s="8">
        <v>1001202</v>
      </c>
    </row>
    <row r="41" spans="1:15">
      <c r="A41" s="14" t="s">
        <v>14</v>
      </c>
      <c r="B41" s="8">
        <f t="shared" si="1"/>
        <v>70011704</v>
      </c>
      <c r="C41" s="17" t="s">
        <v>68</v>
      </c>
      <c r="E41" s="2" t="str">
        <f>F41&amp;(VLOOKUP(G41,编号表!$E$1:$G$8,2,0))&amp;H41&amp;"_"&amp;I41&amp;"_"&amp;J41</f>
        <v>1P1_7_4</v>
      </c>
      <c r="F41" s="2">
        <v>1</v>
      </c>
      <c r="G41" s="2" t="s">
        <v>57</v>
      </c>
      <c r="H41" s="2">
        <v>1</v>
      </c>
      <c r="I41" s="2">
        <v>7</v>
      </c>
      <c r="J41" s="2">
        <f>COUNTIFS($F$13:F41,F41,$I$13:I41,I41)</f>
        <v>4</v>
      </c>
    </row>
    <row r="42" spans="1:15">
      <c r="A42" s="14" t="s">
        <v>14</v>
      </c>
      <c r="B42" s="8">
        <f t="shared" si="1"/>
        <v>70014705</v>
      </c>
      <c r="C42" s="17" t="s">
        <v>69</v>
      </c>
      <c r="E42" s="2" t="str">
        <f>F42&amp;(VLOOKUP(G42,编号表!$E$1:$G$8,2,0))&amp;H42&amp;"_"&amp;I42&amp;"_"&amp;J42</f>
        <v>1P4_7_5</v>
      </c>
      <c r="F42" s="2">
        <v>1</v>
      </c>
      <c r="G42" s="2" t="s">
        <v>57</v>
      </c>
      <c r="H42" s="2">
        <v>4</v>
      </c>
      <c r="I42" s="2">
        <v>7</v>
      </c>
      <c r="J42" s="2">
        <f>COUNTIFS($F$13:F42,F42,$I$13:I42,I42)</f>
        <v>5</v>
      </c>
      <c r="O42" s="8">
        <v>1001202</v>
      </c>
    </row>
    <row r="43" spans="1:15">
      <c r="A43" s="14" t="s">
        <v>14</v>
      </c>
      <c r="B43" s="8">
        <f t="shared" si="1"/>
        <v>70011706</v>
      </c>
      <c r="C43" s="17" t="s">
        <v>70</v>
      </c>
      <c r="E43" s="2" t="str">
        <f>F43&amp;(VLOOKUP(G43,编号表!$E$1:$G$8,2,0))&amp;H43&amp;"_"&amp;I43&amp;"_"&amp;J43</f>
        <v>1P1_7_6</v>
      </c>
      <c r="F43" s="2">
        <v>1</v>
      </c>
      <c r="G43" s="2" t="s">
        <v>57</v>
      </c>
      <c r="H43" s="2">
        <v>1</v>
      </c>
      <c r="I43" s="2">
        <v>7</v>
      </c>
      <c r="J43" s="2">
        <f>COUNTIFS($F$13:F43,F43,$I$13:I43,I43)</f>
        <v>6</v>
      </c>
    </row>
    <row r="44" spans="1:15">
      <c r="A44" s="14" t="s">
        <v>14</v>
      </c>
      <c r="B44" s="8">
        <f t="shared" si="1"/>
        <v>70015707</v>
      </c>
      <c r="C44" s="2" t="s">
        <v>71</v>
      </c>
      <c r="E44" s="2" t="str">
        <f>F44&amp;(VLOOKUP(G44,编号表!$E$1:$G$8,2,0))&amp;H44&amp;"_"&amp;I44&amp;"_"&amp;J44</f>
        <v>1N5_7_7</v>
      </c>
      <c r="F44" s="2">
        <v>1</v>
      </c>
      <c r="G44" s="2" t="s">
        <v>37</v>
      </c>
      <c r="H44" s="2">
        <v>5</v>
      </c>
      <c r="I44" s="2">
        <v>7</v>
      </c>
      <c r="J44" s="2">
        <f>COUNTIFS($F$13:F44,F44,$I$13:I44,I44)</f>
        <v>7</v>
      </c>
      <c r="O44" s="8">
        <v>1001302</v>
      </c>
    </row>
    <row r="45" spans="1:15">
      <c r="A45" s="14" t="s">
        <v>14</v>
      </c>
      <c r="B45" s="8">
        <f t="shared" si="1"/>
        <v>70014801</v>
      </c>
      <c r="C45" s="2" t="s">
        <v>72</v>
      </c>
      <c r="E45" s="2" t="str">
        <f>F45&amp;(VLOOKUP(G45,编号表!$E$1:$G$8,2,0))&amp;H45&amp;"_"&amp;I45&amp;"_"&amp;J45</f>
        <v>1N4_8_1</v>
      </c>
      <c r="F45" s="2">
        <v>1</v>
      </c>
      <c r="G45" s="2" t="s">
        <v>37</v>
      </c>
      <c r="H45" s="2">
        <v>4</v>
      </c>
      <c r="I45" s="2">
        <v>8</v>
      </c>
      <c r="J45" s="2">
        <f>COUNTIFS($F$13:F45,F45,$I$13:I45,I45)</f>
        <v>1</v>
      </c>
      <c r="O45" s="8">
        <v>1001302</v>
      </c>
    </row>
    <row r="46" spans="1:15">
      <c r="A46" s="14" t="s">
        <v>14</v>
      </c>
      <c r="B46" s="8">
        <f t="shared" si="1"/>
        <v>70014802</v>
      </c>
      <c r="C46" s="2" t="s">
        <v>73</v>
      </c>
      <c r="E46" s="2" t="str">
        <f>F46&amp;(VLOOKUP(G46,编号表!$E$1:$G$8,2,0))&amp;H46&amp;"_"&amp;I46&amp;"_"&amp;J46</f>
        <v>1N4_8_2</v>
      </c>
      <c r="F46" s="2">
        <v>1</v>
      </c>
      <c r="G46" s="2" t="s">
        <v>37</v>
      </c>
      <c r="H46" s="2">
        <v>4</v>
      </c>
      <c r="I46" s="2">
        <v>8</v>
      </c>
      <c r="J46" s="2">
        <f>COUNTIFS($F$13:F46,F46,$I$13:I46,I46)</f>
        <v>2</v>
      </c>
      <c r="O46" s="8">
        <v>1001203</v>
      </c>
    </row>
    <row r="47" spans="1:15">
      <c r="A47" s="14" t="s">
        <v>14</v>
      </c>
      <c r="B47" s="8">
        <f t="shared" si="1"/>
        <v>70016803</v>
      </c>
      <c r="C47" s="17" t="s">
        <v>74</v>
      </c>
      <c r="E47" s="2" t="str">
        <f>F47&amp;(VLOOKUP(G47,编号表!$E$1:$G$8,2,0))&amp;H47&amp;"_"&amp;I47&amp;"_"&amp;J47</f>
        <v>1P6_8_3</v>
      </c>
      <c r="F47" s="2">
        <v>1</v>
      </c>
      <c r="G47" s="2" t="s">
        <v>57</v>
      </c>
      <c r="H47" s="2">
        <v>6</v>
      </c>
      <c r="I47" s="2">
        <v>8</v>
      </c>
      <c r="J47" s="2">
        <f>COUNTIFS($F$13:F47,F47,$I$13:I47,I47)</f>
        <v>3</v>
      </c>
      <c r="O47" s="8">
        <v>1001202</v>
      </c>
    </row>
    <row r="48" spans="1:15">
      <c r="A48" s="14" t="s">
        <v>14</v>
      </c>
      <c r="B48" s="8">
        <f t="shared" si="1"/>
        <v>70015804</v>
      </c>
      <c r="C48" s="2" t="s">
        <v>75</v>
      </c>
      <c r="E48" s="2" t="str">
        <f>F48&amp;(VLOOKUP(G48,编号表!$E$1:$G$8,2,0))&amp;H48&amp;"_"&amp;I48&amp;"_"&amp;J48</f>
        <v>1N5_8_4</v>
      </c>
      <c r="F48" s="2">
        <v>1</v>
      </c>
      <c r="G48" s="2" t="s">
        <v>37</v>
      </c>
      <c r="H48" s="2">
        <v>5</v>
      </c>
      <c r="I48" s="2">
        <v>8</v>
      </c>
      <c r="J48" s="2">
        <f>COUNTIFS($F$13:F48,F48,$I$13:I48,I48)</f>
        <v>4</v>
      </c>
      <c r="O48" s="8">
        <v>1001403</v>
      </c>
    </row>
    <row r="49" spans="1:15">
      <c r="A49" s="14" t="s">
        <v>14</v>
      </c>
      <c r="B49" s="8">
        <f t="shared" si="1"/>
        <v>70014901</v>
      </c>
      <c r="C49" s="2" t="s">
        <v>76</v>
      </c>
      <c r="E49" s="2" t="str">
        <f>F49&amp;(VLOOKUP(G49,编号表!$E$1:$G$8,2,0))&amp;H49&amp;"_"&amp;I49&amp;"_"&amp;J49</f>
        <v>1N4_9_1</v>
      </c>
      <c r="F49" s="2">
        <v>1</v>
      </c>
      <c r="G49" s="2" t="s">
        <v>37</v>
      </c>
      <c r="H49" s="2">
        <v>4</v>
      </c>
      <c r="I49" s="2">
        <v>9</v>
      </c>
      <c r="J49" s="2">
        <f>COUNTIFS($F$13:F49,F49,$I$13:I49,I49)</f>
        <v>1</v>
      </c>
      <c r="O49" s="8">
        <v>1001403</v>
      </c>
    </row>
    <row r="50" spans="1:15">
      <c r="A50" s="14" t="s">
        <v>14</v>
      </c>
      <c r="B50" s="8">
        <f t="shared" si="1"/>
        <v>70013902</v>
      </c>
      <c r="C50" s="17" t="s">
        <v>77</v>
      </c>
      <c r="E50" s="2" t="str">
        <f>F50&amp;(VLOOKUP(G50,编号表!$E$1:$G$8,2,0))&amp;H50&amp;"_"&amp;I50&amp;"_"&amp;J50</f>
        <v>1P3_9_2</v>
      </c>
      <c r="F50" s="2">
        <v>1</v>
      </c>
      <c r="G50" s="2" t="s">
        <v>57</v>
      </c>
      <c r="H50" s="2">
        <v>3</v>
      </c>
      <c r="I50" s="2">
        <v>9</v>
      </c>
      <c r="J50" s="2">
        <f>COUNTIFS($F$13:F50,F50,$I$13:I50,I50)</f>
        <v>2</v>
      </c>
      <c r="O50" s="8">
        <v>1001202</v>
      </c>
    </row>
    <row r="51" spans="1:15">
      <c r="A51" s="14" t="s">
        <v>14</v>
      </c>
      <c r="B51" s="8">
        <f t="shared" si="1"/>
        <v>70013903</v>
      </c>
      <c r="C51" s="17" t="s">
        <v>78</v>
      </c>
      <c r="E51" s="2" t="str">
        <f>F51&amp;(VLOOKUP(G51,编号表!$E$1:$G$8,2,0))&amp;H51&amp;"_"&amp;I51&amp;"_"&amp;J51</f>
        <v>1P3_9_3</v>
      </c>
      <c r="F51" s="2">
        <v>1</v>
      </c>
      <c r="G51" s="2" t="s">
        <v>57</v>
      </c>
      <c r="H51" s="2">
        <v>3</v>
      </c>
      <c r="I51" s="2">
        <v>9</v>
      </c>
      <c r="J51" s="2">
        <f>COUNTIFS($F$13:F51,F51,$I$13:I51,I51)</f>
        <v>3</v>
      </c>
      <c r="O51" s="8">
        <v>1001202</v>
      </c>
    </row>
    <row r="52" spans="1:15">
      <c r="A52" s="14" t="s">
        <v>14</v>
      </c>
      <c r="B52" s="8">
        <f t="shared" si="1"/>
        <v>70014904</v>
      </c>
      <c r="C52" s="17" t="s">
        <v>79</v>
      </c>
      <c r="E52" s="2" t="str">
        <f>F52&amp;(VLOOKUP(G52,编号表!$E$1:$G$8,2,0))&amp;H52&amp;"_"&amp;I52&amp;"_"&amp;J52</f>
        <v>1P4_9_4</v>
      </c>
      <c r="F52" s="2">
        <v>1</v>
      </c>
      <c r="G52" s="2" t="s">
        <v>57</v>
      </c>
      <c r="H52" s="2">
        <v>4</v>
      </c>
      <c r="I52" s="2">
        <v>9</v>
      </c>
      <c r="J52" s="2">
        <f>COUNTIFS($F$13:F52,F52,$I$13:I52,I52)</f>
        <v>4</v>
      </c>
      <c r="O52" s="8">
        <v>1001202</v>
      </c>
    </row>
    <row r="53" spans="1:15">
      <c r="A53" s="14" t="s">
        <v>14</v>
      </c>
      <c r="B53" s="8">
        <f t="shared" si="1"/>
        <v>70012905</v>
      </c>
      <c r="C53" s="2" t="s">
        <v>80</v>
      </c>
      <c r="E53" s="2" t="str">
        <f>F53&amp;(VLOOKUP(G53,编号表!$E$1:$G$8,2,0))&amp;H53&amp;"_"&amp;I53&amp;"_"&amp;J53</f>
        <v>1N2_9_5</v>
      </c>
      <c r="F53" s="2">
        <v>1</v>
      </c>
      <c r="G53" s="2" t="s">
        <v>37</v>
      </c>
      <c r="H53" s="2">
        <v>2</v>
      </c>
      <c r="I53" s="2">
        <v>9</v>
      </c>
      <c r="J53" s="2">
        <f>COUNTIFS($F$13:F53,F53,$I$13:I53,I53)</f>
        <v>5</v>
      </c>
      <c r="O53" s="8">
        <v>1001403</v>
      </c>
    </row>
    <row r="54" spans="1:15">
      <c r="A54" s="14" t="s">
        <v>14</v>
      </c>
      <c r="B54" s="8">
        <f t="shared" si="1"/>
        <v>70012906</v>
      </c>
      <c r="C54" s="2" t="s">
        <v>81</v>
      </c>
      <c r="E54" s="2" t="str">
        <f>F54&amp;(VLOOKUP(G54,编号表!$E$1:$G$8,2,0))&amp;H54&amp;"_"&amp;I54&amp;"_"&amp;J54</f>
        <v>1N2_9_6</v>
      </c>
      <c r="F54" s="2">
        <v>1</v>
      </c>
      <c r="G54" s="2" t="s">
        <v>37</v>
      </c>
      <c r="H54" s="2">
        <v>2</v>
      </c>
      <c r="I54" s="2">
        <v>9</v>
      </c>
      <c r="J54" s="2">
        <f>COUNTIFS($F$13:F54,F54,$I$13:I54,I54)</f>
        <v>6</v>
      </c>
    </row>
    <row r="55" spans="1:15">
      <c r="A55" s="14" t="s">
        <v>14</v>
      </c>
      <c r="B55" s="8">
        <f t="shared" si="1"/>
        <v>70012907</v>
      </c>
      <c r="C55" s="2" t="s">
        <v>82</v>
      </c>
      <c r="E55" s="2" t="str">
        <f>F55&amp;(VLOOKUP(G55,编号表!$E$1:$G$8,2,0))&amp;H55&amp;"_"&amp;I55&amp;"_"&amp;J55</f>
        <v>1N2_9_7</v>
      </c>
      <c r="F55" s="2">
        <v>1</v>
      </c>
      <c r="G55" s="2" t="s">
        <v>37</v>
      </c>
      <c r="H55" s="2">
        <v>2</v>
      </c>
      <c r="I55" s="2">
        <v>9</v>
      </c>
      <c r="J55" s="2">
        <f>COUNTIFS($F$13:F55,F55,$I$13:I55,I55)</f>
        <v>7</v>
      </c>
    </row>
    <row r="56" spans="1:15">
      <c r="A56" s="14" t="s">
        <v>14</v>
      </c>
      <c r="B56" s="8">
        <f t="shared" si="1"/>
        <v>70014908</v>
      </c>
      <c r="C56" s="2" t="s">
        <v>83</v>
      </c>
      <c r="E56" s="2" t="str">
        <f>F56&amp;(VLOOKUP(G56,编号表!$E$1:$G$8,2,0))&amp;H56&amp;"_"&amp;I56&amp;"_"&amp;J56</f>
        <v>1N4_9_8</v>
      </c>
      <c r="F56" s="2">
        <v>1</v>
      </c>
      <c r="G56" s="2" t="s">
        <v>37</v>
      </c>
      <c r="H56" s="2">
        <v>4</v>
      </c>
      <c r="I56" s="2">
        <v>9</v>
      </c>
      <c r="J56" s="2">
        <f>COUNTIFS($F$13:F56,F56,$I$13:I56,I56)</f>
        <v>8</v>
      </c>
      <c r="O56" s="8">
        <v>1001203</v>
      </c>
    </row>
    <row r="57" spans="1:15">
      <c r="A57" s="14" t="s">
        <v>14</v>
      </c>
      <c r="B57" s="8">
        <f t="shared" si="1"/>
        <v>70014909</v>
      </c>
      <c r="C57" s="2" t="s">
        <v>84</v>
      </c>
      <c r="E57" s="2" t="str">
        <f>F57&amp;(VLOOKUP(G57,编号表!$E$1:$G$8,2,0))&amp;H57&amp;"_"&amp;I57&amp;"_"&amp;J57</f>
        <v>1N4_9_9</v>
      </c>
      <c r="F57" s="2">
        <v>1</v>
      </c>
      <c r="G57" s="2" t="s">
        <v>37</v>
      </c>
      <c r="H57" s="2">
        <v>4</v>
      </c>
      <c r="I57" s="2">
        <v>9</v>
      </c>
      <c r="J57" s="2">
        <f>COUNTIFS($F$13:F57,F57,$I$13:I57,I57)</f>
        <v>9</v>
      </c>
      <c r="O57" s="8">
        <v>1001403</v>
      </c>
    </row>
    <row r="58" spans="1:15">
      <c r="A58" s="14" t="s">
        <v>14</v>
      </c>
      <c r="B58" s="8">
        <f t="shared" si="1"/>
        <v>70010001</v>
      </c>
      <c r="C58" s="18" t="s">
        <v>85</v>
      </c>
      <c r="E58" s="2" t="str">
        <f>F58&amp;(VLOOKUP(G58,编号表!$E$1:$G$8,2,0))&amp;H58&amp;"_"&amp;I58&amp;"_"&amp;J58</f>
        <v>1J0_0_1</v>
      </c>
      <c r="F58" s="2">
        <v>1</v>
      </c>
      <c r="G58" s="2" t="s">
        <v>86</v>
      </c>
      <c r="H58" s="2">
        <v>0</v>
      </c>
      <c r="I58" s="2">
        <v>0</v>
      </c>
      <c r="J58" s="2">
        <f>COUNTIFS($F$13:F58,F58,$I$13:I58,I58)</f>
        <v>1</v>
      </c>
      <c r="K58" s="2">
        <v>1</v>
      </c>
    </row>
    <row r="59" spans="1:15">
      <c r="A59" s="14" t="s">
        <v>14</v>
      </c>
      <c r="B59" s="8">
        <f t="shared" si="1"/>
        <v>70023001</v>
      </c>
      <c r="C59" s="16" t="s">
        <v>87</v>
      </c>
      <c r="D59" s="2" t="s">
        <v>88</v>
      </c>
      <c r="E59" s="2" t="str">
        <f>F59&amp;(VLOOKUP(G59,编号表!$E$1:$G$8,2,0))&amp;H59&amp;"_"&amp;I59&amp;"_"&amp;J59</f>
        <v>2T3_0_1</v>
      </c>
      <c r="F59" s="2">
        <v>2</v>
      </c>
      <c r="G59" s="2" t="s">
        <v>53</v>
      </c>
      <c r="H59" s="2">
        <v>3</v>
      </c>
      <c r="I59" s="2">
        <v>0</v>
      </c>
      <c r="J59" s="2">
        <f>COUNTIFS($F$13:F59,F59,$I$13:I59,I59)</f>
        <v>1</v>
      </c>
      <c r="M59" s="2">
        <v>103</v>
      </c>
    </row>
    <row r="60" spans="1:15">
      <c r="A60" s="14" t="s">
        <v>14</v>
      </c>
      <c r="B60" s="8">
        <f t="shared" si="1"/>
        <v>70021002</v>
      </c>
      <c r="C60" s="15" t="s">
        <v>89</v>
      </c>
      <c r="E60" s="2" t="str">
        <f>F60&amp;(VLOOKUP(G60,编号表!$E$1:$G$8,2,0))&amp;H60&amp;"_"&amp;I60&amp;"_"&amp;J60</f>
        <v>2T1_0_2</v>
      </c>
      <c r="F60" s="2">
        <v>2</v>
      </c>
      <c r="G60" s="2" t="s">
        <v>53</v>
      </c>
      <c r="H60" s="2">
        <v>1</v>
      </c>
      <c r="I60" s="2">
        <v>0</v>
      </c>
      <c r="J60" s="2">
        <f>COUNTIFS($F$13:F60,F60,$I$13:I60,I60)</f>
        <v>2</v>
      </c>
    </row>
    <row r="61" spans="1:15">
      <c r="A61" s="14" t="s">
        <v>14</v>
      </c>
      <c r="B61" s="8">
        <f t="shared" si="1"/>
        <v>70023003</v>
      </c>
      <c r="C61" s="16" t="s">
        <v>90</v>
      </c>
      <c r="D61" s="2" t="s">
        <v>91</v>
      </c>
      <c r="E61" s="2" t="str">
        <f>F61&amp;(VLOOKUP(G61,编号表!$E$1:$G$8,2,0))&amp;H61&amp;"_"&amp;I61&amp;"_"&amp;J61</f>
        <v>2T3_0_3</v>
      </c>
      <c r="F61" s="2">
        <v>2</v>
      </c>
      <c r="G61" s="2" t="s">
        <v>53</v>
      </c>
      <c r="H61" s="2">
        <v>3</v>
      </c>
      <c r="I61" s="2">
        <v>0</v>
      </c>
      <c r="J61" s="2">
        <f>COUNTIFS($F$13:F61,F61,$I$13:I61,I61)</f>
        <v>3</v>
      </c>
      <c r="M61" s="2">
        <v>105</v>
      </c>
    </row>
    <row r="62" spans="1:15">
      <c r="A62" s="14" t="s">
        <v>14</v>
      </c>
      <c r="B62" s="8">
        <f t="shared" si="1"/>
        <v>70021004</v>
      </c>
      <c r="C62" s="15" t="s">
        <v>92</v>
      </c>
      <c r="E62" s="2" t="str">
        <f>F62&amp;(VLOOKUP(G62,编号表!$E$1:$G$8,2,0))&amp;H62&amp;"_"&amp;I62&amp;"_"&amp;J62</f>
        <v>2T1_0_4</v>
      </c>
      <c r="F62" s="2">
        <v>2</v>
      </c>
      <c r="G62" s="2" t="s">
        <v>53</v>
      </c>
      <c r="H62" s="2">
        <v>1</v>
      </c>
      <c r="I62" s="2">
        <v>0</v>
      </c>
      <c r="J62" s="2">
        <f>COUNTIFS($F$13:F62,F62,$I$13:I62,I62)</f>
        <v>4</v>
      </c>
    </row>
    <row r="63" spans="1:15">
      <c r="A63" s="14" t="s">
        <v>14</v>
      </c>
      <c r="B63" s="8">
        <f t="shared" si="1"/>
        <v>70023005</v>
      </c>
      <c r="C63" s="16" t="s">
        <v>93</v>
      </c>
      <c r="D63" s="2" t="s">
        <v>94</v>
      </c>
      <c r="E63" s="2" t="str">
        <f>F63&amp;(VLOOKUP(G63,编号表!$E$1:$G$8,2,0))&amp;H63&amp;"_"&amp;I63&amp;"_"&amp;J63</f>
        <v>2T3_0_5</v>
      </c>
      <c r="F63" s="2">
        <v>2</v>
      </c>
      <c r="G63" s="2" t="s">
        <v>53</v>
      </c>
      <c r="H63" s="2">
        <v>3</v>
      </c>
      <c r="I63" s="2">
        <v>0</v>
      </c>
      <c r="J63" s="2">
        <f>COUNTIFS($F$13:F63,F63,$I$13:I63,I63)</f>
        <v>5</v>
      </c>
      <c r="M63" s="2">
        <v>106</v>
      </c>
    </row>
    <row r="64" spans="1:15">
      <c r="A64" s="14" t="s">
        <v>14</v>
      </c>
      <c r="B64" s="8">
        <f t="shared" si="1"/>
        <v>70021006</v>
      </c>
      <c r="C64" s="15" t="s">
        <v>95</v>
      </c>
      <c r="E64" s="2" t="str">
        <f>F64&amp;(VLOOKUP(G64,编号表!$E$1:$G$8,2,0))&amp;H64&amp;"_"&amp;I64&amp;"_"&amp;J64</f>
        <v>2T1_0_6</v>
      </c>
      <c r="F64" s="2">
        <v>2</v>
      </c>
      <c r="G64" s="2" t="s">
        <v>53</v>
      </c>
      <c r="H64" s="2">
        <v>1</v>
      </c>
      <c r="I64" s="2">
        <v>0</v>
      </c>
      <c r="J64" s="2">
        <f>COUNTIFS($F$13:F64,F64,$I$13:I64,I64)</f>
        <v>6</v>
      </c>
    </row>
    <row r="65" spans="1:18">
      <c r="A65" s="14" t="s">
        <v>14</v>
      </c>
      <c r="B65" s="8">
        <f t="shared" si="1"/>
        <v>70023007</v>
      </c>
      <c r="C65" s="16" t="s">
        <v>96</v>
      </c>
      <c r="D65" s="2" t="s">
        <v>97</v>
      </c>
      <c r="E65" s="2" t="str">
        <f>F65&amp;(VLOOKUP(G65,编号表!$E$1:$G$8,2,0))&amp;H65&amp;"_"&amp;I65&amp;"_"&amp;J65</f>
        <v>2T3_0_7</v>
      </c>
      <c r="F65" s="2">
        <v>2</v>
      </c>
      <c r="G65" s="2" t="s">
        <v>53</v>
      </c>
      <c r="H65" s="2">
        <v>3</v>
      </c>
      <c r="I65" s="2">
        <v>0</v>
      </c>
      <c r="J65" s="2">
        <f>COUNTIFS($F$13:F65,F65,$I$13:I65,I65)</f>
        <v>7</v>
      </c>
      <c r="M65" s="2">
        <v>104</v>
      </c>
    </row>
    <row r="66" spans="1:18">
      <c r="A66" s="14" t="s">
        <v>14</v>
      </c>
      <c r="B66" s="8">
        <f t="shared" si="1"/>
        <v>70021008</v>
      </c>
      <c r="C66" s="15" t="s">
        <v>98</v>
      </c>
      <c r="E66" s="2" t="str">
        <f>F66&amp;(VLOOKUP(G66,编号表!$E$1:$G$8,2,0))&amp;H66&amp;"_"&amp;I66&amp;"_"&amp;J66</f>
        <v>2T1_0_8</v>
      </c>
      <c r="F66" s="2">
        <v>2</v>
      </c>
      <c r="G66" s="2" t="s">
        <v>53</v>
      </c>
      <c r="H66" s="2">
        <v>1</v>
      </c>
      <c r="I66" s="2">
        <v>0</v>
      </c>
      <c r="J66" s="2">
        <f>COUNTIFS($F$13:F66,F66,$I$13:I66,I66)</f>
        <v>8</v>
      </c>
    </row>
    <row r="67" spans="1:18">
      <c r="A67" s="14" t="s">
        <v>14</v>
      </c>
      <c r="B67" s="8">
        <f t="shared" si="1"/>
        <v>70023009</v>
      </c>
      <c r="C67" s="16" t="s">
        <v>99</v>
      </c>
      <c r="D67" s="2" t="s">
        <v>52</v>
      </c>
      <c r="E67" s="2" t="str">
        <f>F67&amp;(VLOOKUP(G67,编号表!$E$1:$G$8,2,0))&amp;H67&amp;"_"&amp;I67&amp;"_"&amp;J67</f>
        <v>2T3_0_9</v>
      </c>
      <c r="F67" s="2">
        <v>2</v>
      </c>
      <c r="G67" s="2" t="s">
        <v>53</v>
      </c>
      <c r="H67" s="2">
        <v>3</v>
      </c>
      <c r="I67" s="2">
        <v>0</v>
      </c>
      <c r="J67" s="2">
        <f>COUNTIFS($F$13:F67,F67,$I$13:I67,I67)</f>
        <v>9</v>
      </c>
      <c r="M67" s="2">
        <v>188</v>
      </c>
    </row>
    <row r="68" spans="1:18">
      <c r="A68" s="14" t="s">
        <v>14</v>
      </c>
      <c r="B68" s="8">
        <f t="shared" si="1"/>
        <v>70021010</v>
      </c>
      <c r="C68" s="15" t="s">
        <v>55</v>
      </c>
      <c r="E68" s="2" t="str">
        <f>F68&amp;(VLOOKUP(G68,编号表!$E$1:$G$8,2,0))&amp;H68&amp;"_"&amp;I68&amp;"_"&amp;J68</f>
        <v>2T1_0_10</v>
      </c>
      <c r="F68" s="2">
        <v>2</v>
      </c>
      <c r="G68" s="2" t="s">
        <v>53</v>
      </c>
      <c r="H68" s="2">
        <v>1</v>
      </c>
      <c r="I68" s="2">
        <v>0</v>
      </c>
      <c r="J68" s="2">
        <f>COUNTIFS($F$13:F68,F68,$I$13:I68,I68)</f>
        <v>10</v>
      </c>
    </row>
    <row r="69" spans="1:18">
      <c r="A69" s="14" t="s">
        <v>14</v>
      </c>
      <c r="B69" s="8">
        <f t="shared" ref="B69:B87" si="2">70000000+F69*10000+H69*1000+I69*100+J69</f>
        <v>70028101</v>
      </c>
      <c r="C69" s="2" t="s">
        <v>100</v>
      </c>
      <c r="E69" s="2" t="str">
        <f>F69&amp;(VLOOKUP(G69,编号表!$E$1:$G$8,2,0))&amp;H69&amp;"_"&amp;I69&amp;"_"&amp;J69</f>
        <v>2N8_1_1</v>
      </c>
      <c r="F69" s="2">
        <v>2</v>
      </c>
      <c r="G69" s="2" t="s">
        <v>37</v>
      </c>
      <c r="H69" s="2">
        <v>8</v>
      </c>
      <c r="I69" s="2">
        <v>1</v>
      </c>
      <c r="J69" s="2">
        <f>COUNTIFS($F$13:F69,F69,$I$13:I69,I69)</f>
        <v>1</v>
      </c>
      <c r="O69" s="8">
        <v>1002303</v>
      </c>
      <c r="P69" s="8">
        <v>1002304</v>
      </c>
      <c r="Q69" s="8">
        <v>1002305</v>
      </c>
      <c r="R69" s="8">
        <v>1002001</v>
      </c>
    </row>
    <row r="70" spans="1:18">
      <c r="A70" s="14" t="s">
        <v>14</v>
      </c>
      <c r="B70" s="8">
        <f t="shared" si="2"/>
        <v>70028102</v>
      </c>
      <c r="C70" s="2" t="s">
        <v>101</v>
      </c>
      <c r="E70" s="2" t="str">
        <f>F70&amp;(VLOOKUP(G70,编号表!$E$1:$G$8,2,0))&amp;H70&amp;"_"&amp;I70&amp;"_"&amp;J70</f>
        <v>2N8_1_2</v>
      </c>
      <c r="F70" s="2">
        <v>2</v>
      </c>
      <c r="G70" s="2" t="s">
        <v>37</v>
      </c>
      <c r="H70" s="2">
        <v>8</v>
      </c>
      <c r="I70" s="2">
        <v>1</v>
      </c>
      <c r="J70" s="2">
        <f>COUNTIFS($F$13:F70,F70,$I$13:I70,I70)</f>
        <v>2</v>
      </c>
      <c r="O70" s="8">
        <v>1002303</v>
      </c>
      <c r="P70" s="8">
        <v>1002304</v>
      </c>
      <c r="Q70" s="8">
        <v>1002305</v>
      </c>
      <c r="R70" s="8">
        <v>1002101</v>
      </c>
    </row>
    <row r="71" spans="1:18">
      <c r="A71" s="14" t="s">
        <v>14</v>
      </c>
      <c r="B71" s="8">
        <f t="shared" si="2"/>
        <v>70028103</v>
      </c>
      <c r="C71" s="2" t="s">
        <v>102</v>
      </c>
      <c r="E71" s="2" t="str">
        <f>F71&amp;(VLOOKUP(G71,编号表!$E$1:$G$8,2,0))&amp;H71&amp;"_"&amp;I71&amp;"_"&amp;J71</f>
        <v>2N8_1_3</v>
      </c>
      <c r="F71" s="2">
        <v>2</v>
      </c>
      <c r="G71" s="2" t="s">
        <v>37</v>
      </c>
      <c r="H71" s="2">
        <v>8</v>
      </c>
      <c r="I71" s="2">
        <v>1</v>
      </c>
      <c r="J71" s="2">
        <f>COUNTIFS($F$13:F71,F71,$I$13:I71,I71)</f>
        <v>3</v>
      </c>
      <c r="O71" s="8">
        <v>1002303</v>
      </c>
      <c r="P71" s="8">
        <v>1002304</v>
      </c>
      <c r="Q71" s="8">
        <v>1002305</v>
      </c>
    </row>
    <row r="72" spans="1:18">
      <c r="A72" s="14" t="s">
        <v>14</v>
      </c>
      <c r="B72" s="8">
        <f t="shared" si="2"/>
        <v>70028104</v>
      </c>
      <c r="C72" s="2" t="s">
        <v>103</v>
      </c>
      <c r="E72" s="2" t="str">
        <f>F72&amp;(VLOOKUP(G72,编号表!$E$1:$G$8,2,0))&amp;H72&amp;"_"&amp;I72&amp;"_"&amp;J72</f>
        <v>2N8_1_4</v>
      </c>
      <c r="F72" s="2">
        <v>2</v>
      </c>
      <c r="G72" s="2" t="s">
        <v>37</v>
      </c>
      <c r="H72" s="2">
        <v>8</v>
      </c>
      <c r="I72" s="2">
        <v>1</v>
      </c>
      <c r="J72" s="2">
        <f>COUNTIFS($F$13:F72,F72,$I$13:I72,I72)</f>
        <v>4</v>
      </c>
      <c r="O72" s="8">
        <v>1002304</v>
      </c>
      <c r="P72" s="8">
        <v>1002305</v>
      </c>
      <c r="Q72" s="8">
        <v>1002306</v>
      </c>
    </row>
    <row r="73" spans="1:18">
      <c r="A73" s="14" t="s">
        <v>14</v>
      </c>
      <c r="B73" s="8">
        <f t="shared" si="2"/>
        <v>70028105</v>
      </c>
      <c r="C73" s="2" t="s">
        <v>104</v>
      </c>
      <c r="E73" s="2" t="str">
        <f>F73&amp;(VLOOKUP(G73,编号表!$E$1:$G$8,2,0))&amp;H73&amp;"_"&amp;I73&amp;"_"&amp;J73</f>
        <v>2N8_1_5</v>
      </c>
      <c r="F73" s="2">
        <v>2</v>
      </c>
      <c r="G73" s="2" t="s">
        <v>37</v>
      </c>
      <c r="H73" s="2">
        <v>8</v>
      </c>
      <c r="I73" s="2">
        <v>1</v>
      </c>
      <c r="J73" s="2">
        <f>COUNTIFS($F$13:F73,F73,$I$13:I73,I73)</f>
        <v>5</v>
      </c>
      <c r="O73" s="8">
        <v>1002304</v>
      </c>
      <c r="P73" s="8">
        <v>1002305</v>
      </c>
      <c r="Q73" s="8">
        <v>1002306</v>
      </c>
    </row>
    <row r="74" spans="1:18">
      <c r="A74" s="14" t="s">
        <v>14</v>
      </c>
      <c r="B74" s="8">
        <f t="shared" si="2"/>
        <v>70028106</v>
      </c>
      <c r="C74" s="2" t="s">
        <v>105</v>
      </c>
      <c r="E74" s="2" t="str">
        <f>F74&amp;(VLOOKUP(G74,编号表!$E$1:$G$8,2,0))&amp;H74&amp;"_"&amp;I74&amp;"_"&amp;J74</f>
        <v>2N8_1_6</v>
      </c>
      <c r="F74" s="2">
        <v>2</v>
      </c>
      <c r="G74" s="2" t="s">
        <v>37</v>
      </c>
      <c r="H74" s="2">
        <v>8</v>
      </c>
      <c r="I74" s="2">
        <v>1</v>
      </c>
      <c r="J74" s="2">
        <f>COUNTIFS($F$13:F74,F74,$I$13:I74,I74)</f>
        <v>6</v>
      </c>
      <c r="O74" s="8">
        <v>1002304</v>
      </c>
      <c r="P74" s="8">
        <v>1002305</v>
      </c>
      <c r="Q74" s="8">
        <v>1002306</v>
      </c>
    </row>
    <row r="75" spans="1:18">
      <c r="A75" s="14" t="s">
        <v>14</v>
      </c>
      <c r="B75" s="8">
        <f t="shared" si="2"/>
        <v>70026107</v>
      </c>
      <c r="C75" s="2" t="s">
        <v>106</v>
      </c>
      <c r="E75" s="2" t="str">
        <f>F75&amp;(VLOOKUP(G75,编号表!$E$1:$G$8,2,0))&amp;H75&amp;"_"&amp;I75&amp;"_"&amp;J75</f>
        <v>2N6_1_7</v>
      </c>
      <c r="F75" s="2">
        <v>2</v>
      </c>
      <c r="G75" s="2" t="s">
        <v>37</v>
      </c>
      <c r="H75" s="2">
        <v>6</v>
      </c>
      <c r="I75" s="2">
        <v>1</v>
      </c>
      <c r="J75" s="2">
        <f>COUNTIFS($F$13:F75,F75,$I$13:I75,I75)</f>
        <v>7</v>
      </c>
      <c r="O75" s="8">
        <v>1002304</v>
      </c>
      <c r="P75" s="8">
        <v>1002305</v>
      </c>
      <c r="Q75" s="8">
        <v>1002306</v>
      </c>
    </row>
    <row r="76" spans="1:18">
      <c r="A76" s="14" t="s">
        <v>14</v>
      </c>
      <c r="B76" s="8">
        <f t="shared" si="2"/>
        <v>70028108</v>
      </c>
      <c r="C76" s="2" t="s">
        <v>107</v>
      </c>
      <c r="E76" s="2" t="str">
        <f>F76&amp;(VLOOKUP(G76,编号表!$E$1:$G$8,2,0))&amp;H76&amp;"_"&amp;I76&amp;"_"&amp;J76</f>
        <v>2N8_1_8</v>
      </c>
      <c r="F76" s="2">
        <v>2</v>
      </c>
      <c r="G76" s="2" t="s">
        <v>37</v>
      </c>
      <c r="H76" s="2">
        <v>8</v>
      </c>
      <c r="I76" s="2">
        <v>1</v>
      </c>
      <c r="J76" s="2">
        <f>COUNTIFS($F$13:F76,F76,$I$13:I76,I76)</f>
        <v>8</v>
      </c>
      <c r="O76" s="8">
        <v>1002304</v>
      </c>
      <c r="P76" s="8">
        <v>1002305</v>
      </c>
      <c r="Q76" s="8">
        <v>1002306</v>
      </c>
    </row>
    <row r="77" spans="1:18">
      <c r="A77" s="14" t="s">
        <v>14</v>
      </c>
      <c r="B77" s="8">
        <f t="shared" si="2"/>
        <v>70028109</v>
      </c>
      <c r="C77" s="2" t="s">
        <v>108</v>
      </c>
      <c r="E77" s="2" t="str">
        <f>F77&amp;(VLOOKUP(G77,编号表!$E$1:$G$8,2,0))&amp;H77&amp;"_"&amp;I77&amp;"_"&amp;J77</f>
        <v>2N8_1_9</v>
      </c>
      <c r="F77" s="2">
        <v>2</v>
      </c>
      <c r="G77" s="2" t="s">
        <v>37</v>
      </c>
      <c r="H77" s="2">
        <v>8</v>
      </c>
      <c r="I77" s="2">
        <v>1</v>
      </c>
      <c r="J77" s="2">
        <f>COUNTIFS($F$13:F77,F77,$I$13:I77,I77)</f>
        <v>9</v>
      </c>
      <c r="O77" s="8">
        <v>1002304</v>
      </c>
      <c r="P77" s="8">
        <v>1002305</v>
      </c>
      <c r="Q77" s="8">
        <v>1002306</v>
      </c>
    </row>
    <row r="78" spans="1:18">
      <c r="A78" s="14" t="s">
        <v>14</v>
      </c>
      <c r="B78" s="8">
        <f t="shared" si="2"/>
        <v>70028110</v>
      </c>
      <c r="C78" s="2" t="s">
        <v>109</v>
      </c>
      <c r="E78" s="2" t="str">
        <f>F78&amp;(VLOOKUP(G78,编号表!$E$1:$G$8,2,0))&amp;H78&amp;"_"&amp;I78&amp;"_"&amp;J78</f>
        <v>2N8_1_10</v>
      </c>
      <c r="F78" s="2">
        <v>2</v>
      </c>
      <c r="G78" s="2" t="s">
        <v>37</v>
      </c>
      <c r="H78" s="2">
        <v>8</v>
      </c>
      <c r="I78" s="2">
        <v>1</v>
      </c>
      <c r="J78" s="2">
        <f>COUNTIFS($F$13:F78,F78,$I$13:I78,I78)</f>
        <v>10</v>
      </c>
      <c r="O78" s="8">
        <v>1002304</v>
      </c>
      <c r="P78" s="8">
        <v>1002305</v>
      </c>
      <c r="Q78" s="8">
        <v>1002306</v>
      </c>
    </row>
    <row r="79" spans="1:18">
      <c r="A79" s="14" t="s">
        <v>14</v>
      </c>
      <c r="B79" s="8">
        <f t="shared" si="2"/>
        <v>70028111</v>
      </c>
      <c r="C79" s="2" t="s">
        <v>110</v>
      </c>
      <c r="E79" s="2" t="str">
        <f>F79&amp;(VLOOKUP(G79,编号表!$E$1:$G$8,2,0))&amp;H79&amp;"_"&amp;I79&amp;"_"&amp;J79</f>
        <v>2N8_1_11</v>
      </c>
      <c r="F79" s="2">
        <v>2</v>
      </c>
      <c r="G79" s="2" t="s">
        <v>37</v>
      </c>
      <c r="H79" s="2">
        <v>8</v>
      </c>
      <c r="I79" s="2">
        <v>1</v>
      </c>
      <c r="J79" s="2">
        <f>COUNTIFS($F$13:F79,F79,$I$13:I79,I79)</f>
        <v>11</v>
      </c>
      <c r="O79" s="8">
        <v>1002304</v>
      </c>
      <c r="P79" s="8">
        <v>1002305</v>
      </c>
      <c r="Q79" s="8">
        <v>1002306</v>
      </c>
    </row>
    <row r="80" spans="1:18">
      <c r="A80" s="14" t="s">
        <v>14</v>
      </c>
      <c r="B80" s="8">
        <f t="shared" si="2"/>
        <v>70028112</v>
      </c>
      <c r="C80" s="2" t="s">
        <v>111</v>
      </c>
      <c r="E80" s="2" t="str">
        <f>F80&amp;(VLOOKUP(G80,编号表!$E$1:$G$8,2,0))&amp;H80&amp;"_"&amp;I80&amp;"_"&amp;J80</f>
        <v>2N8_1_12</v>
      </c>
      <c r="F80" s="2">
        <v>2</v>
      </c>
      <c r="G80" s="2" t="s">
        <v>37</v>
      </c>
      <c r="H80" s="2">
        <v>8</v>
      </c>
      <c r="I80" s="2">
        <v>1</v>
      </c>
      <c r="J80" s="2">
        <f>COUNTIFS($F$13:F80,F80,$I$13:I80,I80)</f>
        <v>12</v>
      </c>
      <c r="O80" s="8">
        <v>1002304</v>
      </c>
      <c r="P80" s="8">
        <v>1002305</v>
      </c>
      <c r="Q80" s="8">
        <v>1002306</v>
      </c>
    </row>
    <row r="81" spans="1:17">
      <c r="A81" s="14" t="s">
        <v>14</v>
      </c>
      <c r="B81" s="8">
        <f t="shared" si="2"/>
        <v>70026113</v>
      </c>
      <c r="C81" s="2" t="s">
        <v>112</v>
      </c>
      <c r="E81" s="2" t="str">
        <f>F81&amp;(VLOOKUP(G81,编号表!$E$1:$G$8,2,0))&amp;H81&amp;"_"&amp;I81&amp;"_"&amp;J81</f>
        <v>2N6_1_13</v>
      </c>
      <c r="F81" s="2">
        <v>2</v>
      </c>
      <c r="G81" s="2" t="s">
        <v>37</v>
      </c>
      <c r="H81" s="2">
        <v>6</v>
      </c>
      <c r="I81" s="2">
        <v>1</v>
      </c>
      <c r="J81" s="2">
        <f>COUNTIFS($F$13:F81,F81,$I$13:I81,I81)</f>
        <v>13</v>
      </c>
      <c r="O81" s="8">
        <v>1002305</v>
      </c>
      <c r="P81" s="8">
        <v>1002306</v>
      </c>
    </row>
    <row r="82" spans="1:17">
      <c r="A82" s="14" t="s">
        <v>14</v>
      </c>
      <c r="B82" s="8">
        <f t="shared" si="2"/>
        <v>70023114</v>
      </c>
      <c r="C82" s="2" t="s">
        <v>113</v>
      </c>
      <c r="E82" s="2" t="str">
        <f>F82&amp;(VLOOKUP(G82,编号表!$E$1:$G$8,2,0))&amp;H82&amp;"_"&amp;I82&amp;"_"&amp;J82</f>
        <v>2N3_1_14</v>
      </c>
      <c r="F82" s="2">
        <v>2</v>
      </c>
      <c r="G82" s="2" t="s">
        <v>37</v>
      </c>
      <c r="H82" s="2">
        <v>3</v>
      </c>
      <c r="I82" s="2">
        <v>1</v>
      </c>
      <c r="J82" s="2">
        <f>COUNTIFS($F$13:F82,F82,$I$13:I82,I82)</f>
        <v>14</v>
      </c>
      <c r="O82" s="8">
        <v>1002302</v>
      </c>
      <c r="P82" s="8">
        <v>1002305</v>
      </c>
      <c r="Q82" s="8">
        <v>1002306</v>
      </c>
    </row>
    <row r="83" spans="1:17">
      <c r="A83" s="14" t="s">
        <v>14</v>
      </c>
      <c r="B83" s="8">
        <f t="shared" si="2"/>
        <v>70028115</v>
      </c>
      <c r="C83" s="2" t="s">
        <v>114</v>
      </c>
      <c r="E83" s="2" t="str">
        <f>F83&amp;(VLOOKUP(G83,编号表!$E$1:$G$8,2,0))&amp;H83&amp;"_"&amp;I83&amp;"_"&amp;J83</f>
        <v>2N8_1_15</v>
      </c>
      <c r="F83" s="2">
        <v>2</v>
      </c>
      <c r="G83" s="2" t="s">
        <v>37</v>
      </c>
      <c r="H83" s="2">
        <v>8</v>
      </c>
      <c r="I83" s="2">
        <v>1</v>
      </c>
      <c r="J83" s="2">
        <f>COUNTIFS($F$13:F83,F83,$I$13:I83,I83)</f>
        <v>15</v>
      </c>
      <c r="O83" s="8">
        <v>1002302</v>
      </c>
      <c r="P83" s="8">
        <v>1002305</v>
      </c>
      <c r="Q83" s="8">
        <v>1002306</v>
      </c>
    </row>
    <row r="84" spans="1:17">
      <c r="A84" s="14" t="s">
        <v>14</v>
      </c>
      <c r="B84" s="8">
        <f t="shared" si="2"/>
        <v>70028116</v>
      </c>
      <c r="C84" s="2" t="s">
        <v>115</v>
      </c>
      <c r="E84" s="2" t="str">
        <f>F84&amp;(VLOOKUP(G84,编号表!$E$1:$G$8,2,0))&amp;H84&amp;"_"&amp;I84&amp;"_"&amp;J84</f>
        <v>2N8_1_16</v>
      </c>
      <c r="F84" s="2">
        <v>2</v>
      </c>
      <c r="G84" s="2" t="s">
        <v>37</v>
      </c>
      <c r="H84" s="2">
        <v>8</v>
      </c>
      <c r="I84" s="2">
        <v>1</v>
      </c>
      <c r="J84" s="2">
        <f>COUNTIFS($F$13:F84,F84,$I$13:I84,I84)</f>
        <v>16</v>
      </c>
      <c r="O84" s="8">
        <v>1002302</v>
      </c>
      <c r="P84" s="8">
        <v>1002303</v>
      </c>
      <c r="Q84" s="8">
        <v>1002306</v>
      </c>
    </row>
    <row r="85" spans="1:17">
      <c r="A85" s="14" t="s">
        <v>14</v>
      </c>
      <c r="B85" s="8">
        <f t="shared" si="2"/>
        <v>70028117</v>
      </c>
      <c r="C85" s="2" t="s">
        <v>116</v>
      </c>
      <c r="E85" s="2" t="str">
        <f>F85&amp;(VLOOKUP(G85,编号表!$E$1:$G$8,2,0))&amp;H85&amp;"_"&amp;I85&amp;"_"&amp;J85</f>
        <v>2N8_1_17</v>
      </c>
      <c r="F85" s="2">
        <v>2</v>
      </c>
      <c r="G85" s="2" t="s">
        <v>37</v>
      </c>
      <c r="H85" s="2">
        <v>8</v>
      </c>
      <c r="I85" s="2">
        <v>1</v>
      </c>
      <c r="J85" s="2">
        <f>COUNTIFS($F$13:F85,F85,$I$13:I85,I85)</f>
        <v>17</v>
      </c>
      <c r="O85" s="8">
        <v>1002302</v>
      </c>
      <c r="P85" s="8">
        <v>1002303</v>
      </c>
      <c r="Q85" s="8">
        <v>1002306</v>
      </c>
    </row>
    <row r="86" spans="1:17">
      <c r="A86" s="14" t="s">
        <v>14</v>
      </c>
      <c r="B86" s="8">
        <f t="shared" si="2"/>
        <v>70028118</v>
      </c>
      <c r="C86" s="2" t="s">
        <v>117</v>
      </c>
      <c r="E86" s="2" t="str">
        <f>F86&amp;(VLOOKUP(G86,编号表!$E$1:$G$8,2,0))&amp;H86&amp;"_"&amp;I86&amp;"_"&amp;J86</f>
        <v>2N8_1_18</v>
      </c>
      <c r="F86" s="2">
        <v>2</v>
      </c>
      <c r="G86" s="2" t="s">
        <v>37</v>
      </c>
      <c r="H86" s="2">
        <v>8</v>
      </c>
      <c r="I86" s="2">
        <v>1</v>
      </c>
      <c r="J86" s="2">
        <f>COUNTIFS($F$13:F86,F86,$I$13:I86,I86)</f>
        <v>18</v>
      </c>
      <c r="O86" s="8">
        <v>1002302</v>
      </c>
      <c r="P86" s="8">
        <v>1002303</v>
      </c>
      <c r="Q86" s="8">
        <v>1002306</v>
      </c>
    </row>
    <row r="87" spans="1:17">
      <c r="A87" s="14" t="s">
        <v>14</v>
      </c>
      <c r="B87" s="8">
        <f t="shared" si="2"/>
        <v>70026119</v>
      </c>
      <c r="C87" s="2" t="s">
        <v>118</v>
      </c>
      <c r="E87" s="2" t="str">
        <f>F87&amp;(VLOOKUP(G87,编号表!$E$1:$G$8,2,0))&amp;H87&amp;"_"&amp;I87&amp;"_"&amp;J87</f>
        <v>2N6_1_19</v>
      </c>
      <c r="F87" s="2">
        <v>2</v>
      </c>
      <c r="G87" s="2" t="s">
        <v>37</v>
      </c>
      <c r="H87" s="2">
        <v>6</v>
      </c>
      <c r="I87" s="2">
        <v>1</v>
      </c>
      <c r="J87" s="2">
        <f>COUNTIFS($F$13:F87,F87,$I$13:I87,I87)</f>
        <v>19</v>
      </c>
      <c r="O87" s="8">
        <v>1002302</v>
      </c>
      <c r="P87" s="8">
        <v>1002303</v>
      </c>
      <c r="Q87" s="8">
        <v>1002306</v>
      </c>
    </row>
    <row r="88" spans="1:17">
      <c r="A88" s="14" t="s">
        <v>14</v>
      </c>
      <c r="B88" s="8">
        <f t="shared" ref="B88:B151" si="3">70000000+F88*10000+H88*1000+I88*100+J88</f>
        <v>70023120</v>
      </c>
      <c r="C88" s="2" t="s">
        <v>119</v>
      </c>
      <c r="E88" s="2" t="str">
        <f>F88&amp;(VLOOKUP(G88,编号表!$E$1:$G$8,2,0))&amp;H88&amp;"_"&amp;I88&amp;"_"&amp;J88</f>
        <v>2N3_1_20</v>
      </c>
      <c r="F88" s="2">
        <v>2</v>
      </c>
      <c r="G88" s="2" t="s">
        <v>37</v>
      </c>
      <c r="H88" s="2">
        <v>3</v>
      </c>
      <c r="I88" s="2">
        <v>1</v>
      </c>
      <c r="J88" s="2">
        <f>COUNTIFS($F$13:F88,F88,$I$13:I88,I88)</f>
        <v>20</v>
      </c>
      <c r="O88" s="8">
        <v>1002302</v>
      </c>
      <c r="P88" s="8">
        <v>1002303</v>
      </c>
      <c r="Q88" s="8">
        <v>1002306</v>
      </c>
    </row>
    <row r="89" spans="1:17">
      <c r="A89" s="14" t="s">
        <v>14</v>
      </c>
      <c r="B89" s="8">
        <f t="shared" si="3"/>
        <v>70028121</v>
      </c>
      <c r="C89" s="2" t="s">
        <v>120</v>
      </c>
      <c r="E89" s="2" t="str">
        <f>F89&amp;(VLOOKUP(G89,编号表!$E$1:$G$8,2,0))&amp;H89&amp;"_"&amp;I89&amp;"_"&amp;J89</f>
        <v>2N8_1_21</v>
      </c>
      <c r="F89" s="2">
        <v>2</v>
      </c>
      <c r="G89" s="2" t="s">
        <v>37</v>
      </c>
      <c r="H89" s="2">
        <v>8</v>
      </c>
      <c r="I89" s="2">
        <v>1</v>
      </c>
      <c r="J89" s="2">
        <f>COUNTIFS($F$13:F89,F89,$I$13:I89,I89)</f>
        <v>21</v>
      </c>
      <c r="O89" s="8">
        <v>1002302</v>
      </c>
      <c r="P89" s="8">
        <v>1002303</v>
      </c>
      <c r="Q89" s="8">
        <v>1002306</v>
      </c>
    </row>
    <row r="90" spans="1:17">
      <c r="A90" s="14" t="s">
        <v>14</v>
      </c>
      <c r="B90" s="8">
        <f t="shared" si="3"/>
        <v>70028122</v>
      </c>
      <c r="C90" s="2" t="s">
        <v>121</v>
      </c>
      <c r="E90" s="2" t="str">
        <f>F90&amp;(VLOOKUP(G90,编号表!$E$1:$G$8,2,0))&amp;H90&amp;"_"&amp;I90&amp;"_"&amp;J90</f>
        <v>2N8_1_22</v>
      </c>
      <c r="F90" s="2">
        <v>2</v>
      </c>
      <c r="G90" s="2" t="s">
        <v>37</v>
      </c>
      <c r="H90" s="2">
        <v>8</v>
      </c>
      <c r="I90" s="2">
        <v>1</v>
      </c>
      <c r="J90" s="2">
        <f>COUNTIFS($F$13:F90,F90,$I$13:I90,I90)</f>
        <v>22</v>
      </c>
      <c r="O90" s="8">
        <v>1002302</v>
      </c>
      <c r="P90" s="8">
        <v>1002303</v>
      </c>
    </row>
    <row r="91" spans="1:17">
      <c r="A91" s="14" t="s">
        <v>14</v>
      </c>
      <c r="B91" s="8">
        <f t="shared" si="3"/>
        <v>70028123</v>
      </c>
      <c r="C91" s="2" t="s">
        <v>122</v>
      </c>
      <c r="E91" s="2" t="str">
        <f>F91&amp;(VLOOKUP(G91,编号表!$E$1:$G$8,2,0))&amp;H91&amp;"_"&amp;I91&amp;"_"&amp;J91</f>
        <v>2N8_1_23</v>
      </c>
      <c r="F91" s="2">
        <v>2</v>
      </c>
      <c r="G91" s="2" t="s">
        <v>37</v>
      </c>
      <c r="H91" s="2">
        <v>8</v>
      </c>
      <c r="I91" s="2">
        <v>1</v>
      </c>
      <c r="J91" s="2">
        <f>COUNTIFS($F$13:F91,F91,$I$13:I91,I91)</f>
        <v>23</v>
      </c>
      <c r="O91" s="8">
        <v>1002302</v>
      </c>
      <c r="P91" s="8">
        <v>1002303</v>
      </c>
    </row>
    <row r="92" spans="1:17">
      <c r="A92" s="14" t="s">
        <v>14</v>
      </c>
      <c r="B92" s="8">
        <f t="shared" si="3"/>
        <v>70026124</v>
      </c>
      <c r="C92" s="2" t="s">
        <v>123</v>
      </c>
      <c r="E92" s="2" t="str">
        <f>F92&amp;(VLOOKUP(G92,编号表!$E$1:$G$8,2,0))&amp;H92&amp;"_"&amp;I92&amp;"_"&amp;J92</f>
        <v>2N6_1_24</v>
      </c>
      <c r="F92" s="2">
        <v>2</v>
      </c>
      <c r="G92" s="2" t="s">
        <v>37</v>
      </c>
      <c r="H92" s="2">
        <v>6</v>
      </c>
      <c r="I92" s="2">
        <v>1</v>
      </c>
      <c r="J92" s="2">
        <f>COUNTIFS($F$13:F92,F92,$I$13:I92,I92)</f>
        <v>24</v>
      </c>
      <c r="O92" s="8">
        <v>1002302</v>
      </c>
      <c r="P92" s="8">
        <v>1002303</v>
      </c>
    </row>
    <row r="93" spans="1:17">
      <c r="A93" s="14" t="s">
        <v>14</v>
      </c>
      <c r="B93" s="8">
        <f t="shared" si="3"/>
        <v>70023125</v>
      </c>
      <c r="C93" s="2" t="s">
        <v>124</v>
      </c>
      <c r="E93" s="2" t="str">
        <f>F93&amp;(VLOOKUP(G93,编号表!$E$1:$G$8,2,0))&amp;H93&amp;"_"&amp;I93&amp;"_"&amp;J93</f>
        <v>2N3_1_25</v>
      </c>
      <c r="F93" s="2">
        <v>2</v>
      </c>
      <c r="G93" s="2" t="s">
        <v>37</v>
      </c>
      <c r="H93" s="2">
        <v>3</v>
      </c>
      <c r="I93" s="2">
        <v>1</v>
      </c>
      <c r="J93" s="2">
        <f>COUNTIFS($F$13:F93,F93,$I$13:I93,I93)</f>
        <v>25</v>
      </c>
      <c r="O93" s="8">
        <v>1002302</v>
      </c>
      <c r="P93" s="8">
        <v>1002303</v>
      </c>
      <c r="Q93" s="8">
        <v>1002304</v>
      </c>
    </row>
    <row r="94" spans="1:17">
      <c r="A94" s="14" t="s">
        <v>14</v>
      </c>
      <c r="B94" s="8">
        <f t="shared" si="3"/>
        <v>70028126</v>
      </c>
      <c r="C94" s="2" t="s">
        <v>125</v>
      </c>
      <c r="E94" s="2" t="str">
        <f>F94&amp;(VLOOKUP(G94,编号表!$E$1:$G$8,2,0))&amp;H94&amp;"_"&amp;I94&amp;"_"&amp;J94</f>
        <v>2N8_1_26</v>
      </c>
      <c r="F94" s="2">
        <v>2</v>
      </c>
      <c r="G94" s="2" t="s">
        <v>37</v>
      </c>
      <c r="H94" s="2">
        <v>8</v>
      </c>
      <c r="I94" s="2">
        <v>1</v>
      </c>
      <c r="J94" s="2">
        <f>COUNTIFS($F$13:F94,F94,$I$13:I94,I94)</f>
        <v>26</v>
      </c>
      <c r="O94" s="8">
        <v>1002302</v>
      </c>
      <c r="P94" s="8">
        <v>1002303</v>
      </c>
      <c r="Q94" s="8">
        <v>1002304</v>
      </c>
    </row>
    <row r="95" spans="1:17">
      <c r="A95" s="14" t="s">
        <v>14</v>
      </c>
      <c r="B95" s="8">
        <f t="shared" si="3"/>
        <v>70028127</v>
      </c>
      <c r="C95" s="2" t="s">
        <v>126</v>
      </c>
      <c r="E95" s="2" t="str">
        <f>F95&amp;(VLOOKUP(G95,编号表!$E$1:$G$8,2,0))&amp;H95&amp;"_"&amp;I95&amp;"_"&amp;J95</f>
        <v>2N8_1_27</v>
      </c>
      <c r="F95" s="2">
        <v>2</v>
      </c>
      <c r="G95" s="2" t="s">
        <v>37</v>
      </c>
      <c r="H95" s="2">
        <v>8</v>
      </c>
      <c r="I95" s="2">
        <v>1</v>
      </c>
      <c r="J95" s="2">
        <f>COUNTIFS($F$13:F95,F95,$I$13:I95,I95)</f>
        <v>27</v>
      </c>
      <c r="O95" s="8">
        <v>1002302</v>
      </c>
      <c r="P95" s="8">
        <v>1002303</v>
      </c>
      <c r="Q95" s="8">
        <v>1002304</v>
      </c>
    </row>
    <row r="96" spans="1:17">
      <c r="A96" s="14" t="s">
        <v>14</v>
      </c>
      <c r="B96" s="8">
        <f t="shared" si="3"/>
        <v>70026128</v>
      </c>
      <c r="C96" s="2" t="s">
        <v>127</v>
      </c>
      <c r="E96" s="2" t="str">
        <f>F96&amp;(VLOOKUP(G96,编号表!$E$1:$G$8,2,0))&amp;H96&amp;"_"&amp;I96&amp;"_"&amp;J96</f>
        <v>2N6_1_28</v>
      </c>
      <c r="F96" s="2">
        <v>2</v>
      </c>
      <c r="G96" s="2" t="s">
        <v>37</v>
      </c>
      <c r="H96" s="2">
        <v>6</v>
      </c>
      <c r="I96" s="2">
        <v>1</v>
      </c>
      <c r="J96" s="2">
        <f>COUNTIFS($F$13:F96,F96,$I$13:I96,I96)</f>
        <v>28</v>
      </c>
      <c r="O96" s="8">
        <v>1002303</v>
      </c>
      <c r="P96" s="8">
        <v>1002304</v>
      </c>
      <c r="Q96" s="8">
        <v>1002305</v>
      </c>
    </row>
    <row r="97" spans="1:18">
      <c r="A97" s="14" t="s">
        <v>14</v>
      </c>
      <c r="B97" s="8">
        <f t="shared" si="3"/>
        <v>70023129</v>
      </c>
      <c r="C97" s="2" t="s">
        <v>128</v>
      </c>
      <c r="E97" s="2" t="str">
        <f>F97&amp;(VLOOKUP(G97,编号表!$E$1:$G$8,2,0))&amp;H97&amp;"_"&amp;I97&amp;"_"&amp;J97</f>
        <v>2N3_1_29</v>
      </c>
      <c r="F97" s="2">
        <v>2</v>
      </c>
      <c r="G97" s="2" t="s">
        <v>37</v>
      </c>
      <c r="H97" s="2">
        <v>3</v>
      </c>
      <c r="I97" s="2">
        <v>1</v>
      </c>
      <c r="J97" s="2">
        <f>COUNTIFS($F$13:F97,F97,$I$13:I97,I97)</f>
        <v>29</v>
      </c>
      <c r="O97" s="8">
        <v>1002303</v>
      </c>
      <c r="P97" s="8">
        <v>1002304</v>
      </c>
      <c r="Q97" s="8">
        <v>1002305</v>
      </c>
    </row>
    <row r="98" spans="1:18">
      <c r="A98" s="14" t="s">
        <v>14</v>
      </c>
      <c r="B98" s="8">
        <f t="shared" si="3"/>
        <v>70028130</v>
      </c>
      <c r="C98" s="2" t="s">
        <v>129</v>
      </c>
      <c r="E98" s="2" t="str">
        <f>F98&amp;(VLOOKUP(G98,编号表!$E$1:$G$8,2,0))&amp;H98&amp;"_"&amp;I98&amp;"_"&amp;J98</f>
        <v>2N8_1_30</v>
      </c>
      <c r="F98" s="2">
        <v>2</v>
      </c>
      <c r="G98" s="2" t="s">
        <v>37</v>
      </c>
      <c r="H98" s="2">
        <v>8</v>
      </c>
      <c r="I98" s="2">
        <v>1</v>
      </c>
      <c r="J98" s="2">
        <f>COUNTIFS($F$13:F98,F98,$I$13:I98,I98)</f>
        <v>30</v>
      </c>
      <c r="O98" s="8">
        <v>1002303</v>
      </c>
      <c r="P98" s="8">
        <v>1002304</v>
      </c>
      <c r="Q98" s="8">
        <v>1002305</v>
      </c>
    </row>
    <row r="99" spans="1:18">
      <c r="A99" s="14" t="s">
        <v>14</v>
      </c>
      <c r="B99" s="8">
        <f t="shared" si="3"/>
        <v>70026131</v>
      </c>
      <c r="C99" s="2" t="s">
        <v>130</v>
      </c>
      <c r="E99" s="2" t="str">
        <f>F99&amp;(VLOOKUP(G99,编号表!$E$1:$G$8,2,0))&amp;H99&amp;"_"&amp;I99&amp;"_"&amp;J99</f>
        <v>2N6_1_31</v>
      </c>
      <c r="F99" s="2">
        <v>2</v>
      </c>
      <c r="G99" s="2" t="s">
        <v>37</v>
      </c>
      <c r="H99" s="2">
        <v>6</v>
      </c>
      <c r="I99" s="2">
        <v>1</v>
      </c>
      <c r="J99" s="2">
        <f>COUNTIFS($F$13:F99,F99,$I$13:I99,I99)</f>
        <v>31</v>
      </c>
      <c r="O99" s="8">
        <v>1002303</v>
      </c>
      <c r="P99" s="8">
        <v>1002304</v>
      </c>
      <c r="Q99" s="8">
        <v>1002305</v>
      </c>
    </row>
    <row r="100" spans="1:18">
      <c r="A100" s="14" t="s">
        <v>14</v>
      </c>
      <c r="B100" s="8">
        <f t="shared" si="3"/>
        <v>70023132</v>
      </c>
      <c r="C100" s="2" t="s">
        <v>131</v>
      </c>
      <c r="E100" s="2" t="str">
        <f>F100&amp;(VLOOKUP(G100,编号表!$E$1:$G$8,2,0))&amp;H100&amp;"_"&amp;I100&amp;"_"&amp;J100</f>
        <v>2N3_1_32</v>
      </c>
      <c r="F100" s="2">
        <v>2</v>
      </c>
      <c r="G100" s="2" t="s">
        <v>37</v>
      </c>
      <c r="H100" s="2">
        <v>3</v>
      </c>
      <c r="I100" s="2">
        <v>1</v>
      </c>
      <c r="J100" s="2">
        <f>COUNTIFS($F$13:F100,F100,$I$13:I100,I100)</f>
        <v>32</v>
      </c>
      <c r="O100" s="8">
        <v>1002303</v>
      </c>
      <c r="P100" s="8">
        <v>1002304</v>
      </c>
      <c r="Q100" s="8">
        <v>1002305</v>
      </c>
    </row>
    <row r="101" spans="1:18">
      <c r="A101" s="14" t="s">
        <v>14</v>
      </c>
      <c r="B101" s="8">
        <f t="shared" si="3"/>
        <v>70027133</v>
      </c>
      <c r="C101" s="2" t="s">
        <v>132</v>
      </c>
      <c r="E101" s="2" t="str">
        <f>F101&amp;(VLOOKUP(G101,编号表!$E$1:$G$8,2,0))&amp;H101&amp;"_"&amp;I101&amp;"_"&amp;J101</f>
        <v>2N7_1_33</v>
      </c>
      <c r="F101" s="2">
        <v>2</v>
      </c>
      <c r="G101" s="2" t="s">
        <v>37</v>
      </c>
      <c r="H101" s="2">
        <v>7</v>
      </c>
      <c r="I101" s="2">
        <v>1</v>
      </c>
      <c r="J101" s="2">
        <f>COUNTIFS($F$13:F101,F101,$I$13:I101,I101)</f>
        <v>33</v>
      </c>
      <c r="O101" s="8">
        <v>1002303</v>
      </c>
      <c r="P101" s="8">
        <v>1002304</v>
      </c>
      <c r="Q101" s="8">
        <v>1002305</v>
      </c>
    </row>
    <row r="102" spans="1:18">
      <c r="A102" s="14" t="s">
        <v>14</v>
      </c>
      <c r="B102" s="8">
        <f t="shared" si="3"/>
        <v>70023134</v>
      </c>
      <c r="C102" s="2" t="s">
        <v>133</v>
      </c>
      <c r="E102" s="2" t="str">
        <f>F102&amp;(VLOOKUP(G102,编号表!$E$1:$G$8,2,0))&amp;H102&amp;"_"&amp;I102&amp;"_"&amp;J102</f>
        <v>2N3_1_34</v>
      </c>
      <c r="F102" s="2">
        <v>2</v>
      </c>
      <c r="G102" s="2" t="s">
        <v>37</v>
      </c>
      <c r="H102" s="2">
        <v>3</v>
      </c>
      <c r="I102" s="2">
        <v>1</v>
      </c>
      <c r="J102" s="2">
        <f>COUNTIFS($F$13:F102,F102,$I$13:I102,I102)</f>
        <v>34</v>
      </c>
      <c r="O102" s="8">
        <v>1002303</v>
      </c>
      <c r="P102" s="8">
        <v>1002304</v>
      </c>
      <c r="Q102" s="8">
        <v>1002305</v>
      </c>
    </row>
    <row r="103" spans="1:18">
      <c r="A103" s="14" t="s">
        <v>14</v>
      </c>
      <c r="B103" s="8">
        <f t="shared" si="3"/>
        <v>70024201</v>
      </c>
      <c r="C103" s="2" t="s">
        <v>134</v>
      </c>
      <c r="E103" s="2" t="str">
        <f>F103&amp;(VLOOKUP(G103,编号表!$E$1:$G$8,2,0))&amp;H103&amp;"_"&amp;I103&amp;"_"&amp;J103</f>
        <v>2N4_2_1</v>
      </c>
      <c r="F103" s="2">
        <v>2</v>
      </c>
      <c r="G103" s="2" t="s">
        <v>37</v>
      </c>
      <c r="H103" s="2">
        <v>4</v>
      </c>
      <c r="I103" s="2">
        <v>2</v>
      </c>
      <c r="J103" s="2">
        <f>COUNTIFS($F$13:F103,F103,$I$13:I103,I103)</f>
        <v>1</v>
      </c>
      <c r="O103" s="8">
        <v>1002308</v>
      </c>
      <c r="P103" s="8">
        <v>1002309</v>
      </c>
      <c r="Q103" s="8">
        <v>1002311</v>
      </c>
      <c r="R103" s="8">
        <v>1002001</v>
      </c>
    </row>
    <row r="104" spans="1:18">
      <c r="A104" s="14" t="s">
        <v>14</v>
      </c>
      <c r="B104" s="8">
        <f t="shared" si="3"/>
        <v>70028202</v>
      </c>
      <c r="C104" s="2" t="s">
        <v>135</v>
      </c>
      <c r="E104" s="2" t="str">
        <f>F104&amp;(VLOOKUP(G104,编号表!$E$1:$G$8,2,0))&amp;H104&amp;"_"&amp;I104&amp;"_"&amp;J104</f>
        <v>2N8_2_2</v>
      </c>
      <c r="F104" s="2">
        <v>2</v>
      </c>
      <c r="G104" s="2" t="s">
        <v>37</v>
      </c>
      <c r="H104" s="2">
        <v>8</v>
      </c>
      <c r="I104" s="2">
        <v>2</v>
      </c>
      <c r="J104" s="2">
        <f>COUNTIFS($F$13:F104,F104,$I$13:I104,I104)</f>
        <v>2</v>
      </c>
      <c r="O104" s="8">
        <v>1002308</v>
      </c>
      <c r="P104" s="8">
        <v>1002309</v>
      </c>
      <c r="Q104" s="8">
        <v>1002311</v>
      </c>
      <c r="R104" s="8">
        <v>1002102</v>
      </c>
    </row>
    <row r="105" spans="1:18">
      <c r="A105" s="14" t="s">
        <v>14</v>
      </c>
      <c r="B105" s="8">
        <f t="shared" si="3"/>
        <v>70028203</v>
      </c>
      <c r="C105" s="2" t="s">
        <v>136</v>
      </c>
      <c r="E105" s="2" t="str">
        <f>F105&amp;(VLOOKUP(G105,编号表!$E$1:$G$8,2,0))&amp;H105&amp;"_"&amp;I105&amp;"_"&amp;J105</f>
        <v>2N8_2_3</v>
      </c>
      <c r="F105" s="2">
        <v>2</v>
      </c>
      <c r="G105" s="2" t="s">
        <v>37</v>
      </c>
      <c r="H105" s="2">
        <v>8</v>
      </c>
      <c r="I105" s="2">
        <v>2</v>
      </c>
      <c r="J105" s="2">
        <f>COUNTIFS($F$13:F105,F105,$I$13:I105,I105)</f>
        <v>3</v>
      </c>
      <c r="O105" s="8">
        <v>1002308</v>
      </c>
      <c r="P105" s="8">
        <v>1002309</v>
      </c>
      <c r="Q105" s="8">
        <v>1002311</v>
      </c>
    </row>
    <row r="106" spans="1:18">
      <c r="A106" s="14" t="s">
        <v>14</v>
      </c>
      <c r="B106" s="8">
        <f t="shared" si="3"/>
        <v>70028204</v>
      </c>
      <c r="C106" s="2" t="s">
        <v>137</v>
      </c>
      <c r="E106" s="2" t="str">
        <f>F106&amp;(VLOOKUP(G106,编号表!$E$1:$G$8,2,0))&amp;H106&amp;"_"&amp;I106&amp;"_"&amp;J106</f>
        <v>2N8_2_4</v>
      </c>
      <c r="F106" s="2">
        <v>2</v>
      </c>
      <c r="G106" s="2" t="s">
        <v>37</v>
      </c>
      <c r="H106" s="2">
        <v>8</v>
      </c>
      <c r="I106" s="2">
        <v>2</v>
      </c>
      <c r="J106" s="2">
        <f>COUNTIFS($F$13:F106,F106,$I$13:I106,I106)</f>
        <v>4</v>
      </c>
      <c r="O106" s="8">
        <v>1002308</v>
      </c>
      <c r="P106" s="8">
        <v>1002309</v>
      </c>
      <c r="Q106" s="8">
        <v>1002311</v>
      </c>
    </row>
    <row r="107" spans="1:18">
      <c r="A107" s="14" t="s">
        <v>14</v>
      </c>
      <c r="B107" s="8">
        <f t="shared" si="3"/>
        <v>70028205</v>
      </c>
      <c r="C107" s="2" t="s">
        <v>138</v>
      </c>
      <c r="E107" s="2" t="str">
        <f>F107&amp;(VLOOKUP(G107,编号表!$E$1:$G$8,2,0))&amp;H107&amp;"_"&amp;I107&amp;"_"&amp;J107</f>
        <v>2N8_2_5</v>
      </c>
      <c r="F107" s="2">
        <v>2</v>
      </c>
      <c r="G107" s="2" t="s">
        <v>37</v>
      </c>
      <c r="H107" s="2">
        <v>8</v>
      </c>
      <c r="I107" s="2">
        <v>2</v>
      </c>
      <c r="J107" s="2">
        <f>COUNTIFS($F$13:F107,F107,$I$13:I107,I107)</f>
        <v>5</v>
      </c>
      <c r="O107" s="8">
        <v>1002308</v>
      </c>
      <c r="P107" s="8">
        <v>1002309</v>
      </c>
      <c r="Q107" s="8">
        <v>1002311</v>
      </c>
    </row>
    <row r="108" spans="1:18">
      <c r="A108" s="14" t="s">
        <v>14</v>
      </c>
      <c r="B108" s="8">
        <f t="shared" si="3"/>
        <v>70028206</v>
      </c>
      <c r="C108" s="2" t="s">
        <v>139</v>
      </c>
      <c r="E108" s="2" t="str">
        <f>F108&amp;(VLOOKUP(G108,编号表!$E$1:$G$8,2,0))&amp;H108&amp;"_"&amp;I108&amp;"_"&amp;J108</f>
        <v>2N8_2_6</v>
      </c>
      <c r="F108" s="2">
        <v>2</v>
      </c>
      <c r="G108" s="2" t="s">
        <v>37</v>
      </c>
      <c r="H108" s="2">
        <v>8</v>
      </c>
      <c r="I108" s="2">
        <v>2</v>
      </c>
      <c r="J108" s="2">
        <f>COUNTIFS($F$13:F108,F108,$I$13:I108,I108)</f>
        <v>6</v>
      </c>
      <c r="O108" s="8">
        <v>1002308</v>
      </c>
      <c r="P108" s="8">
        <v>1002309</v>
      </c>
      <c r="Q108" s="8">
        <v>1002311</v>
      </c>
    </row>
    <row r="109" spans="1:18">
      <c r="A109" s="14" t="s">
        <v>14</v>
      </c>
      <c r="B109" s="8">
        <f t="shared" si="3"/>
        <v>70028207</v>
      </c>
      <c r="C109" s="2" t="s">
        <v>140</v>
      </c>
      <c r="E109" s="2" t="str">
        <f>F109&amp;(VLOOKUP(G109,编号表!$E$1:$G$8,2,0))&amp;H109&amp;"_"&amp;I109&amp;"_"&amp;J109</f>
        <v>2N8_2_7</v>
      </c>
      <c r="F109" s="2">
        <v>2</v>
      </c>
      <c r="G109" s="2" t="s">
        <v>37</v>
      </c>
      <c r="H109" s="2">
        <v>8</v>
      </c>
      <c r="I109" s="2">
        <v>2</v>
      </c>
      <c r="J109" s="2">
        <f>COUNTIFS($F$13:F109,F109,$I$13:I109,I109)</f>
        <v>7</v>
      </c>
      <c r="O109" s="8">
        <v>1002308</v>
      </c>
      <c r="P109" s="8">
        <v>1002309</v>
      </c>
      <c r="Q109" s="8">
        <v>1002311</v>
      </c>
    </row>
    <row r="110" spans="1:18">
      <c r="A110" s="14" t="s">
        <v>14</v>
      </c>
      <c r="B110" s="8">
        <f t="shared" si="3"/>
        <v>70028208</v>
      </c>
      <c r="C110" s="2" t="s">
        <v>141</v>
      </c>
      <c r="E110" s="2" t="str">
        <f>F110&amp;(VLOOKUP(G110,编号表!$E$1:$G$8,2,0))&amp;H110&amp;"_"&amp;I110&amp;"_"&amp;J110</f>
        <v>2N8_2_8</v>
      </c>
      <c r="F110" s="2">
        <v>2</v>
      </c>
      <c r="G110" s="2" t="s">
        <v>37</v>
      </c>
      <c r="H110" s="2">
        <v>8</v>
      </c>
      <c r="I110" s="2">
        <v>2</v>
      </c>
      <c r="J110" s="2">
        <f>COUNTIFS($F$13:F110,F110,$I$13:I110,I110)</f>
        <v>8</v>
      </c>
      <c r="O110" s="8">
        <v>1002308</v>
      </c>
      <c r="P110" s="8">
        <v>1002309</v>
      </c>
      <c r="Q110" s="8">
        <v>1002311</v>
      </c>
    </row>
    <row r="111" spans="1:18">
      <c r="A111" s="14" t="s">
        <v>14</v>
      </c>
      <c r="B111" s="8">
        <f t="shared" si="3"/>
        <v>70024209</v>
      </c>
      <c r="C111" s="2" t="s">
        <v>142</v>
      </c>
      <c r="E111" s="2" t="str">
        <f>F111&amp;(VLOOKUP(G111,编号表!$E$1:$G$8,2,0))&amp;H111&amp;"_"&amp;I111&amp;"_"&amp;J111</f>
        <v>2N4_2_9</v>
      </c>
      <c r="F111" s="2">
        <v>2</v>
      </c>
      <c r="G111" s="2" t="s">
        <v>37</v>
      </c>
      <c r="H111" s="2">
        <v>4</v>
      </c>
      <c r="I111" s="2">
        <v>2</v>
      </c>
      <c r="J111" s="2">
        <f>COUNTIFS($F$13:F111,F111,$I$13:I111,I111)</f>
        <v>9</v>
      </c>
      <c r="O111" s="8">
        <v>1002308</v>
      </c>
      <c r="P111" s="8">
        <v>1002309</v>
      </c>
      <c r="Q111" s="8">
        <v>1002311</v>
      </c>
    </row>
    <row r="112" spans="1:18">
      <c r="A112" s="14" t="s">
        <v>14</v>
      </c>
      <c r="B112" s="8">
        <f t="shared" si="3"/>
        <v>70028210</v>
      </c>
      <c r="C112" s="2" t="s">
        <v>143</v>
      </c>
      <c r="E112" s="2" t="str">
        <f>F112&amp;(VLOOKUP(G112,编号表!$E$1:$G$8,2,0))&amp;H112&amp;"_"&amp;I112&amp;"_"&amp;J112</f>
        <v>2N8_2_10</v>
      </c>
      <c r="F112" s="2">
        <v>2</v>
      </c>
      <c r="G112" s="2" t="s">
        <v>37</v>
      </c>
      <c r="H112" s="2">
        <v>8</v>
      </c>
      <c r="I112" s="2">
        <v>2</v>
      </c>
      <c r="J112" s="2">
        <f>COUNTIFS($F$13:F112,F112,$I$13:I112,I112)</f>
        <v>10</v>
      </c>
      <c r="O112" s="8">
        <v>1002308</v>
      </c>
      <c r="P112" s="8">
        <v>1002309</v>
      </c>
      <c r="Q112" s="8">
        <v>1002311</v>
      </c>
    </row>
    <row r="113" spans="1:17">
      <c r="A113" s="14" t="s">
        <v>14</v>
      </c>
      <c r="B113" s="8">
        <f t="shared" si="3"/>
        <v>70028211</v>
      </c>
      <c r="C113" s="2" t="s">
        <v>144</v>
      </c>
      <c r="E113" s="2" t="str">
        <f>F113&amp;(VLOOKUP(G113,编号表!$E$1:$G$8,2,0))&amp;H113&amp;"_"&amp;I113&amp;"_"&amp;J113</f>
        <v>2N8_2_11</v>
      </c>
      <c r="F113" s="2">
        <v>2</v>
      </c>
      <c r="G113" s="2" t="s">
        <v>37</v>
      </c>
      <c r="H113" s="2">
        <v>8</v>
      </c>
      <c r="I113" s="2">
        <v>2</v>
      </c>
      <c r="J113" s="2">
        <f>COUNTIFS($F$13:F113,F113,$I$13:I113,I113)</f>
        <v>11</v>
      </c>
      <c r="O113" s="8">
        <v>1002308</v>
      </c>
      <c r="P113" s="8">
        <v>1002309</v>
      </c>
      <c r="Q113" s="8">
        <v>1002311</v>
      </c>
    </row>
    <row r="114" spans="1:17">
      <c r="A114" s="14" t="s">
        <v>14</v>
      </c>
      <c r="B114" s="8">
        <f t="shared" si="3"/>
        <v>70028212</v>
      </c>
      <c r="C114" s="2" t="s">
        <v>145</v>
      </c>
      <c r="E114" s="2" t="str">
        <f>F114&amp;(VLOOKUP(G114,编号表!$E$1:$G$8,2,0))&amp;H114&amp;"_"&amp;I114&amp;"_"&amp;J114</f>
        <v>2N8_2_12</v>
      </c>
      <c r="F114" s="2">
        <v>2</v>
      </c>
      <c r="G114" s="2" t="s">
        <v>37</v>
      </c>
      <c r="H114" s="2">
        <v>8</v>
      </c>
      <c r="I114" s="2">
        <v>2</v>
      </c>
      <c r="J114" s="2">
        <f>COUNTIFS($F$13:F114,F114,$I$13:I114,I114)</f>
        <v>12</v>
      </c>
      <c r="O114" s="8">
        <v>1002308</v>
      </c>
      <c r="P114" s="8">
        <v>1002309</v>
      </c>
      <c r="Q114" s="8">
        <v>1002311</v>
      </c>
    </row>
    <row r="115" spans="1:17">
      <c r="A115" s="14" t="s">
        <v>14</v>
      </c>
      <c r="B115" s="8">
        <f t="shared" si="3"/>
        <v>70028213</v>
      </c>
      <c r="C115" s="2" t="s">
        <v>146</v>
      </c>
      <c r="E115" s="2" t="str">
        <f>F115&amp;(VLOOKUP(G115,编号表!$E$1:$G$8,2,0))&amp;H115&amp;"_"&amp;I115&amp;"_"&amp;J115</f>
        <v>2N8_2_13</v>
      </c>
      <c r="F115" s="2">
        <v>2</v>
      </c>
      <c r="G115" s="2" t="s">
        <v>37</v>
      </c>
      <c r="H115" s="2">
        <v>8</v>
      </c>
      <c r="I115" s="2">
        <v>2</v>
      </c>
      <c r="J115" s="2">
        <f>COUNTIFS($F$13:F115,F115,$I$13:I115,I115)</f>
        <v>13</v>
      </c>
      <c r="O115" s="8">
        <v>1002307</v>
      </c>
      <c r="P115" s="8">
        <v>1002309</v>
      </c>
      <c r="Q115" s="8">
        <v>1002310</v>
      </c>
    </row>
    <row r="116" spans="1:17">
      <c r="A116" s="14" t="s">
        <v>14</v>
      </c>
      <c r="B116" s="8">
        <f t="shared" si="3"/>
        <v>70028214</v>
      </c>
      <c r="C116" s="2" t="s">
        <v>147</v>
      </c>
      <c r="E116" s="2" t="str">
        <f>F116&amp;(VLOOKUP(G116,编号表!$E$1:$G$8,2,0))&amp;H116&amp;"_"&amp;I116&amp;"_"&amp;J116</f>
        <v>2N8_2_14</v>
      </c>
      <c r="F116" s="2">
        <v>2</v>
      </c>
      <c r="G116" s="2" t="s">
        <v>37</v>
      </c>
      <c r="H116" s="2">
        <v>8</v>
      </c>
      <c r="I116" s="2">
        <v>2</v>
      </c>
      <c r="J116" s="2">
        <f>COUNTIFS($F$13:F116,F116,$I$13:I116,I116)</f>
        <v>14</v>
      </c>
      <c r="O116" s="8">
        <v>1002307</v>
      </c>
      <c r="P116" s="8">
        <v>1002309</v>
      </c>
      <c r="Q116" s="8">
        <v>1002310</v>
      </c>
    </row>
    <row r="117" spans="1:17">
      <c r="A117" s="14" t="s">
        <v>14</v>
      </c>
      <c r="B117" s="8">
        <f t="shared" si="3"/>
        <v>70028215</v>
      </c>
      <c r="C117" s="2" t="s">
        <v>148</v>
      </c>
      <c r="E117" s="2" t="str">
        <f>F117&amp;(VLOOKUP(G117,编号表!$E$1:$G$8,2,0))&amp;H117&amp;"_"&amp;I117&amp;"_"&amp;J117</f>
        <v>2N8_2_15</v>
      </c>
      <c r="F117" s="2">
        <v>2</v>
      </c>
      <c r="G117" s="2" t="s">
        <v>37</v>
      </c>
      <c r="H117" s="2">
        <v>8</v>
      </c>
      <c r="I117" s="2">
        <v>2</v>
      </c>
      <c r="J117" s="2">
        <f>COUNTIFS($F$13:F117,F117,$I$13:I117,I117)</f>
        <v>15</v>
      </c>
      <c r="O117" s="8">
        <v>1002307</v>
      </c>
      <c r="P117" s="8">
        <v>1002309</v>
      </c>
      <c r="Q117" s="8">
        <v>1002310</v>
      </c>
    </row>
    <row r="118" spans="1:17">
      <c r="A118" s="14" t="s">
        <v>14</v>
      </c>
      <c r="B118" s="8">
        <f t="shared" si="3"/>
        <v>70024216</v>
      </c>
      <c r="C118" s="2" t="s">
        <v>149</v>
      </c>
      <c r="E118" s="2" t="str">
        <f>F118&amp;(VLOOKUP(G118,编号表!$E$1:$G$8,2,0))&amp;H118&amp;"_"&amp;I118&amp;"_"&amp;J118</f>
        <v>2N4_2_16</v>
      </c>
      <c r="F118" s="2">
        <v>2</v>
      </c>
      <c r="G118" s="2" t="s">
        <v>37</v>
      </c>
      <c r="H118" s="2">
        <v>4</v>
      </c>
      <c r="I118" s="2">
        <v>2</v>
      </c>
      <c r="J118" s="2">
        <f>COUNTIFS($F$13:F118,F118,$I$13:I118,I118)</f>
        <v>16</v>
      </c>
      <c r="O118" s="8">
        <v>1002307</v>
      </c>
      <c r="P118" s="8">
        <v>1002309</v>
      </c>
      <c r="Q118" s="8">
        <v>1002310</v>
      </c>
    </row>
    <row r="119" spans="1:17">
      <c r="A119" s="14" t="s">
        <v>14</v>
      </c>
      <c r="B119" s="8">
        <f t="shared" si="3"/>
        <v>70028217</v>
      </c>
      <c r="C119" s="2" t="s">
        <v>150</v>
      </c>
      <c r="E119" s="2" t="str">
        <f>F119&amp;(VLOOKUP(G119,编号表!$E$1:$G$8,2,0))&amp;H119&amp;"_"&amp;I119&amp;"_"&amp;J119</f>
        <v>2N8_2_17</v>
      </c>
      <c r="F119" s="2">
        <v>2</v>
      </c>
      <c r="G119" s="2" t="s">
        <v>37</v>
      </c>
      <c r="H119" s="2">
        <v>8</v>
      </c>
      <c r="I119" s="2">
        <v>2</v>
      </c>
      <c r="J119" s="2">
        <f>COUNTIFS($F$13:F119,F119,$I$13:I119,I119)</f>
        <v>17</v>
      </c>
      <c r="O119" s="8">
        <v>1002307</v>
      </c>
      <c r="P119" s="8">
        <v>1002309</v>
      </c>
      <c r="Q119" s="8">
        <v>1002310</v>
      </c>
    </row>
    <row r="120" spans="1:17">
      <c r="A120" s="14" t="s">
        <v>14</v>
      </c>
      <c r="B120" s="8">
        <f t="shared" si="3"/>
        <v>70028218</v>
      </c>
      <c r="C120" s="2" t="s">
        <v>151</v>
      </c>
      <c r="E120" s="2" t="str">
        <f>F120&amp;(VLOOKUP(G120,编号表!$E$1:$G$8,2,0))&amp;H120&amp;"_"&amp;I120&amp;"_"&amp;J120</f>
        <v>2N8_2_18</v>
      </c>
      <c r="F120" s="2">
        <v>2</v>
      </c>
      <c r="G120" s="2" t="s">
        <v>37</v>
      </c>
      <c r="H120" s="2">
        <v>8</v>
      </c>
      <c r="I120" s="2">
        <v>2</v>
      </c>
      <c r="J120" s="2">
        <f>COUNTIFS($F$13:F120,F120,$I$13:I120,I120)</f>
        <v>18</v>
      </c>
      <c r="O120" s="8">
        <v>1002307</v>
      </c>
      <c r="P120" s="8">
        <v>1002309</v>
      </c>
      <c r="Q120" s="8">
        <v>1002310</v>
      </c>
    </row>
    <row r="121" spans="1:17">
      <c r="A121" s="14" t="s">
        <v>14</v>
      </c>
      <c r="B121" s="8">
        <f t="shared" si="3"/>
        <v>70028219</v>
      </c>
      <c r="C121" s="2" t="s">
        <v>152</v>
      </c>
      <c r="E121" s="2" t="str">
        <f>F121&amp;(VLOOKUP(G121,编号表!$E$1:$G$8,2,0))&amp;H121&amp;"_"&amp;I121&amp;"_"&amp;J121</f>
        <v>2N8_2_19</v>
      </c>
      <c r="F121" s="2">
        <v>2</v>
      </c>
      <c r="G121" s="2" t="s">
        <v>37</v>
      </c>
      <c r="H121" s="2">
        <v>8</v>
      </c>
      <c r="I121" s="2">
        <v>2</v>
      </c>
      <c r="J121" s="2">
        <f>COUNTIFS($F$13:F121,F121,$I$13:I121,I121)</f>
        <v>19</v>
      </c>
      <c r="O121" s="8">
        <v>1002307</v>
      </c>
      <c r="P121" s="8">
        <v>1002309</v>
      </c>
      <c r="Q121" s="8">
        <v>1002310</v>
      </c>
    </row>
    <row r="122" spans="1:17">
      <c r="A122" s="14" t="s">
        <v>14</v>
      </c>
      <c r="B122" s="8">
        <f t="shared" si="3"/>
        <v>70028220</v>
      </c>
      <c r="C122" s="2" t="s">
        <v>153</v>
      </c>
      <c r="E122" s="2" t="str">
        <f>F122&amp;(VLOOKUP(G122,编号表!$E$1:$G$8,2,0))&amp;H122&amp;"_"&amp;I122&amp;"_"&amp;J122</f>
        <v>2N8_2_20</v>
      </c>
      <c r="F122" s="2">
        <v>2</v>
      </c>
      <c r="G122" s="2" t="s">
        <v>37</v>
      </c>
      <c r="H122" s="2">
        <v>8</v>
      </c>
      <c r="I122" s="2">
        <v>2</v>
      </c>
      <c r="J122" s="2">
        <f>COUNTIFS($F$13:F122,F122,$I$13:I122,I122)</f>
        <v>20</v>
      </c>
      <c r="O122" s="8">
        <v>1002307</v>
      </c>
      <c r="P122" s="8">
        <v>1002309</v>
      </c>
      <c r="Q122" s="8">
        <v>1002310</v>
      </c>
    </row>
    <row r="123" spans="1:17">
      <c r="A123" s="14" t="s">
        <v>14</v>
      </c>
      <c r="B123" s="8">
        <f t="shared" si="3"/>
        <v>70028221</v>
      </c>
      <c r="C123" s="2" t="s">
        <v>154</v>
      </c>
      <c r="E123" s="2" t="str">
        <f>F123&amp;(VLOOKUP(G123,编号表!$E$1:$G$8,2,0))&amp;H123&amp;"_"&amp;I123&amp;"_"&amp;J123</f>
        <v>2N8_2_21</v>
      </c>
      <c r="F123" s="2">
        <v>2</v>
      </c>
      <c r="G123" s="2" t="s">
        <v>37</v>
      </c>
      <c r="H123" s="2">
        <v>8</v>
      </c>
      <c r="I123" s="2">
        <v>2</v>
      </c>
      <c r="J123" s="2">
        <f>COUNTIFS($F$13:F123,F123,$I$13:I123,I123)</f>
        <v>21</v>
      </c>
      <c r="O123" s="8">
        <v>1002307</v>
      </c>
      <c r="P123" s="8">
        <v>1002309</v>
      </c>
      <c r="Q123" s="8">
        <v>1002310</v>
      </c>
    </row>
    <row r="124" spans="1:17">
      <c r="A124" s="14" t="s">
        <v>14</v>
      </c>
      <c r="B124" s="8">
        <f t="shared" si="3"/>
        <v>70024222</v>
      </c>
      <c r="C124" s="2" t="s">
        <v>155</v>
      </c>
      <c r="E124" s="2" t="str">
        <f>F124&amp;(VLOOKUP(G124,编号表!$E$1:$G$8,2,0))&amp;H124&amp;"_"&amp;I124&amp;"_"&amp;J124</f>
        <v>2N4_2_22</v>
      </c>
      <c r="F124" s="2">
        <v>2</v>
      </c>
      <c r="G124" s="2" t="s">
        <v>37</v>
      </c>
      <c r="H124" s="2">
        <v>4</v>
      </c>
      <c r="I124" s="2">
        <v>2</v>
      </c>
      <c r="J124" s="2">
        <f>COUNTIFS($F$13:F124,F124,$I$13:I124,I124)</f>
        <v>22</v>
      </c>
      <c r="O124" s="8">
        <v>1002307</v>
      </c>
      <c r="P124" s="8">
        <v>1002309</v>
      </c>
      <c r="Q124" s="8">
        <v>1002310</v>
      </c>
    </row>
    <row r="125" spans="1:17">
      <c r="A125" s="14" t="s">
        <v>14</v>
      </c>
      <c r="B125" s="8">
        <f t="shared" si="3"/>
        <v>70028223</v>
      </c>
      <c r="C125" s="2" t="s">
        <v>156</v>
      </c>
      <c r="E125" s="2" t="str">
        <f>F125&amp;(VLOOKUP(G125,编号表!$E$1:$G$8,2,0))&amp;H125&amp;"_"&amp;I125&amp;"_"&amp;J125</f>
        <v>2N8_2_23</v>
      </c>
      <c r="F125" s="2">
        <v>2</v>
      </c>
      <c r="G125" s="2" t="s">
        <v>37</v>
      </c>
      <c r="H125" s="2">
        <v>8</v>
      </c>
      <c r="I125" s="2">
        <v>2</v>
      </c>
      <c r="J125" s="2">
        <f>COUNTIFS($F$13:F125,F125,$I$13:I125,I125)</f>
        <v>23</v>
      </c>
      <c r="O125" s="8">
        <v>1002307</v>
      </c>
      <c r="P125" s="8">
        <v>1002309</v>
      </c>
      <c r="Q125" s="8">
        <v>1002310</v>
      </c>
    </row>
    <row r="126" spans="1:17">
      <c r="A126" s="14" t="s">
        <v>14</v>
      </c>
      <c r="B126" s="8">
        <f t="shared" si="3"/>
        <v>70028224</v>
      </c>
      <c r="C126" s="2" t="s">
        <v>157</v>
      </c>
      <c r="E126" s="2" t="str">
        <f>F126&amp;(VLOOKUP(G126,编号表!$E$1:$G$8,2,0))&amp;H126&amp;"_"&amp;I126&amp;"_"&amp;J126</f>
        <v>2N8_2_24</v>
      </c>
      <c r="F126" s="2">
        <v>2</v>
      </c>
      <c r="G126" s="2" t="s">
        <v>37</v>
      </c>
      <c r="H126" s="2">
        <v>8</v>
      </c>
      <c r="I126" s="2">
        <v>2</v>
      </c>
      <c r="J126" s="2">
        <f>COUNTIFS($F$13:F126,F126,$I$13:I126,I126)</f>
        <v>24</v>
      </c>
      <c r="O126" s="8">
        <v>1002307</v>
      </c>
      <c r="P126" s="8">
        <v>1002310</v>
      </c>
    </row>
    <row r="127" spans="1:17">
      <c r="A127" s="14" t="s">
        <v>14</v>
      </c>
      <c r="B127" s="8">
        <f t="shared" si="3"/>
        <v>70028225</v>
      </c>
      <c r="C127" s="2" t="s">
        <v>158</v>
      </c>
      <c r="E127" s="2" t="str">
        <f>F127&amp;(VLOOKUP(G127,编号表!$E$1:$G$8,2,0))&amp;H127&amp;"_"&amp;I127&amp;"_"&amp;J127</f>
        <v>2N8_2_25</v>
      </c>
      <c r="F127" s="2">
        <v>2</v>
      </c>
      <c r="G127" s="2" t="s">
        <v>37</v>
      </c>
      <c r="H127" s="2">
        <v>8</v>
      </c>
      <c r="I127" s="2">
        <v>2</v>
      </c>
      <c r="J127" s="2">
        <f>COUNTIFS($F$13:F127,F127,$I$13:I127,I127)</f>
        <v>25</v>
      </c>
      <c r="O127" s="8">
        <v>1002307</v>
      </c>
      <c r="P127" s="8">
        <v>1002308</v>
      </c>
      <c r="Q127" s="8">
        <v>1002310</v>
      </c>
    </row>
    <row r="128" spans="1:17">
      <c r="A128" s="14" t="s">
        <v>14</v>
      </c>
      <c r="B128" s="8">
        <f t="shared" si="3"/>
        <v>70028226</v>
      </c>
      <c r="C128" s="2" t="s">
        <v>159</v>
      </c>
      <c r="E128" s="2" t="str">
        <f>F128&amp;(VLOOKUP(G128,编号表!$E$1:$G$8,2,0))&amp;H128&amp;"_"&amp;I128&amp;"_"&amp;J128</f>
        <v>2N8_2_26</v>
      </c>
      <c r="F128" s="2">
        <v>2</v>
      </c>
      <c r="G128" s="2" t="s">
        <v>37</v>
      </c>
      <c r="H128" s="2">
        <v>8</v>
      </c>
      <c r="I128" s="2">
        <v>2</v>
      </c>
      <c r="J128" s="2">
        <f>COUNTIFS($F$13:F128,F128,$I$13:I128,I128)</f>
        <v>26</v>
      </c>
      <c r="O128" s="8">
        <v>1002307</v>
      </c>
      <c r="P128" s="8">
        <v>1002308</v>
      </c>
      <c r="Q128" s="8">
        <v>1002310</v>
      </c>
    </row>
    <row r="129" spans="1:18">
      <c r="A129" s="14" t="s">
        <v>14</v>
      </c>
      <c r="B129" s="8">
        <f t="shared" si="3"/>
        <v>70024227</v>
      </c>
      <c r="C129" s="2" t="s">
        <v>160</v>
      </c>
      <c r="E129" s="2" t="str">
        <f>F129&amp;(VLOOKUP(G129,编号表!$E$1:$G$8,2,0))&amp;H129&amp;"_"&amp;I129&amp;"_"&amp;J129</f>
        <v>2N4_2_27</v>
      </c>
      <c r="F129" s="2">
        <v>2</v>
      </c>
      <c r="G129" s="2" t="s">
        <v>37</v>
      </c>
      <c r="H129" s="2">
        <v>4</v>
      </c>
      <c r="I129" s="2">
        <v>2</v>
      </c>
      <c r="J129" s="2">
        <f>COUNTIFS($F$13:F129,F129,$I$13:I129,I129)</f>
        <v>27</v>
      </c>
      <c r="O129" s="8">
        <v>1002307</v>
      </c>
      <c r="P129" s="8">
        <v>1002308</v>
      </c>
      <c r="Q129" s="8">
        <v>1002310</v>
      </c>
    </row>
    <row r="130" spans="1:18">
      <c r="A130" s="14" t="s">
        <v>14</v>
      </c>
      <c r="B130" s="8">
        <f t="shared" si="3"/>
        <v>70028228</v>
      </c>
      <c r="C130" s="2" t="s">
        <v>161</v>
      </c>
      <c r="E130" s="2" t="str">
        <f>F130&amp;(VLOOKUP(G130,编号表!$E$1:$G$8,2,0))&amp;H130&amp;"_"&amp;I130&amp;"_"&amp;J130</f>
        <v>2N8_2_28</v>
      </c>
      <c r="F130" s="2">
        <v>2</v>
      </c>
      <c r="G130" s="2" t="s">
        <v>37</v>
      </c>
      <c r="H130" s="2">
        <v>8</v>
      </c>
      <c r="I130" s="2">
        <v>2</v>
      </c>
      <c r="J130" s="2">
        <f>COUNTIFS($F$13:F130,F130,$I$13:I130,I130)</f>
        <v>28</v>
      </c>
      <c r="O130" s="8">
        <v>1002307</v>
      </c>
      <c r="P130" s="8">
        <v>1002308</v>
      </c>
      <c r="Q130" s="8">
        <v>1002310</v>
      </c>
    </row>
    <row r="131" spans="1:18">
      <c r="A131" s="14" t="s">
        <v>14</v>
      </c>
      <c r="B131" s="8">
        <f t="shared" si="3"/>
        <v>70028229</v>
      </c>
      <c r="C131" s="2" t="s">
        <v>162</v>
      </c>
      <c r="E131" s="2" t="str">
        <f>F131&amp;(VLOOKUP(G131,编号表!$E$1:$G$8,2,0))&amp;H131&amp;"_"&amp;I131&amp;"_"&amp;J131</f>
        <v>2N8_2_29</v>
      </c>
      <c r="F131" s="2">
        <v>2</v>
      </c>
      <c r="G131" s="2" t="s">
        <v>37</v>
      </c>
      <c r="H131" s="2">
        <v>8</v>
      </c>
      <c r="I131" s="2">
        <v>2</v>
      </c>
      <c r="J131" s="2">
        <f>COUNTIFS($F$13:F131,F131,$I$13:I131,I131)</f>
        <v>29</v>
      </c>
      <c r="O131" s="8">
        <v>1002307</v>
      </c>
      <c r="P131" s="8">
        <v>1002308</v>
      </c>
      <c r="Q131" s="8">
        <v>1002310</v>
      </c>
    </row>
    <row r="132" spans="1:18">
      <c r="A132" s="14" t="s">
        <v>14</v>
      </c>
      <c r="B132" s="8">
        <f t="shared" si="3"/>
        <v>70028230</v>
      </c>
      <c r="C132" s="2" t="s">
        <v>163</v>
      </c>
      <c r="E132" s="2" t="str">
        <f>F132&amp;(VLOOKUP(G132,编号表!$E$1:$G$8,2,0))&amp;H132&amp;"_"&amp;I132&amp;"_"&amp;J132</f>
        <v>2N8_2_30</v>
      </c>
      <c r="F132" s="2">
        <v>2</v>
      </c>
      <c r="G132" s="2" t="s">
        <v>37</v>
      </c>
      <c r="H132" s="2">
        <v>8</v>
      </c>
      <c r="I132" s="2">
        <v>2</v>
      </c>
      <c r="J132" s="2">
        <f>COUNTIFS($F$13:F132,F132,$I$13:I132,I132)</f>
        <v>30</v>
      </c>
      <c r="O132" s="8">
        <v>1002307</v>
      </c>
      <c r="P132" s="8">
        <v>1002308</v>
      </c>
      <c r="Q132" s="8">
        <v>1002310</v>
      </c>
    </row>
    <row r="133" spans="1:18">
      <c r="A133" s="14" t="s">
        <v>14</v>
      </c>
      <c r="B133" s="8">
        <f t="shared" si="3"/>
        <v>70024231</v>
      </c>
      <c r="C133" s="2" t="s">
        <v>164</v>
      </c>
      <c r="E133" s="2" t="str">
        <f>F133&amp;(VLOOKUP(G133,编号表!$E$1:$G$8,2,0))&amp;H133&amp;"_"&amp;I133&amp;"_"&amp;J133</f>
        <v>2N4_2_31</v>
      </c>
      <c r="F133" s="2">
        <v>2</v>
      </c>
      <c r="G133" s="2" t="s">
        <v>37</v>
      </c>
      <c r="H133" s="2">
        <v>4</v>
      </c>
      <c r="I133" s="2">
        <v>2</v>
      </c>
      <c r="J133" s="2">
        <f>COUNTIFS($F$13:F133,F133,$I$13:I133,I133)</f>
        <v>31</v>
      </c>
      <c r="O133" s="8">
        <v>1002307</v>
      </c>
      <c r="P133" s="8">
        <v>1002308</v>
      </c>
      <c r="Q133" s="8">
        <v>1002310</v>
      </c>
    </row>
    <row r="134" spans="1:18">
      <c r="A134" s="14" t="s">
        <v>14</v>
      </c>
      <c r="B134" s="8">
        <f t="shared" si="3"/>
        <v>70028232</v>
      </c>
      <c r="C134" s="2" t="s">
        <v>165</v>
      </c>
      <c r="E134" s="2" t="str">
        <f>F134&amp;(VLOOKUP(G134,编号表!$E$1:$G$8,2,0))&amp;H134&amp;"_"&amp;I134&amp;"_"&amp;J134</f>
        <v>2N8_2_32</v>
      </c>
      <c r="F134" s="2">
        <v>2</v>
      </c>
      <c r="G134" s="2" t="s">
        <v>37</v>
      </c>
      <c r="H134" s="2">
        <v>8</v>
      </c>
      <c r="I134" s="2">
        <v>2</v>
      </c>
      <c r="J134" s="2">
        <f>COUNTIFS($F$13:F134,F134,$I$13:I134,I134)</f>
        <v>32</v>
      </c>
      <c r="O134" s="8">
        <v>1002308</v>
      </c>
      <c r="P134" s="8">
        <v>1002310</v>
      </c>
    </row>
    <row r="135" spans="1:18">
      <c r="A135" s="14" t="s">
        <v>14</v>
      </c>
      <c r="B135" s="8">
        <f t="shared" si="3"/>
        <v>70028233</v>
      </c>
      <c r="C135" s="2" t="s">
        <v>166</v>
      </c>
      <c r="E135" s="2" t="str">
        <f>F135&amp;(VLOOKUP(G135,编号表!$E$1:$G$8,2,0))&amp;H135&amp;"_"&amp;I135&amp;"_"&amp;J135</f>
        <v>2N8_2_33</v>
      </c>
      <c r="F135" s="2">
        <v>2</v>
      </c>
      <c r="G135" s="2" t="s">
        <v>37</v>
      </c>
      <c r="H135" s="2">
        <v>8</v>
      </c>
      <c r="I135" s="2">
        <v>2</v>
      </c>
      <c r="J135" s="2">
        <f>COUNTIFS($F$13:F135,F135,$I$13:I135,I135)</f>
        <v>33</v>
      </c>
      <c r="O135" s="8">
        <v>1002308</v>
      </c>
      <c r="P135" s="8">
        <v>1002310</v>
      </c>
    </row>
    <row r="136" spans="1:18">
      <c r="A136" s="14" t="s">
        <v>14</v>
      </c>
      <c r="B136" s="8">
        <f t="shared" si="3"/>
        <v>70024234</v>
      </c>
      <c r="C136" s="2" t="s">
        <v>167</v>
      </c>
      <c r="E136" s="2" t="str">
        <f>F136&amp;(VLOOKUP(G136,编号表!$E$1:$G$8,2,0))&amp;H136&amp;"_"&amp;I136&amp;"_"&amp;J136</f>
        <v>2N4_2_34</v>
      </c>
      <c r="F136" s="2">
        <v>2</v>
      </c>
      <c r="G136" s="2" t="s">
        <v>37</v>
      </c>
      <c r="H136" s="2">
        <v>4</v>
      </c>
      <c r="I136" s="2">
        <v>2</v>
      </c>
      <c r="J136" s="2">
        <f>COUNTIFS($F$13:F136,F136,$I$13:I136,I136)</f>
        <v>34</v>
      </c>
      <c r="O136" s="8">
        <v>1002308</v>
      </c>
      <c r="P136" s="8">
        <v>1002310</v>
      </c>
    </row>
    <row r="137" spans="1:18">
      <c r="A137" s="14" t="s">
        <v>14</v>
      </c>
      <c r="B137" s="8">
        <f t="shared" si="3"/>
        <v>70028235</v>
      </c>
      <c r="C137" s="2" t="s">
        <v>168</v>
      </c>
      <c r="E137" s="2" t="str">
        <f>F137&amp;(VLOOKUP(G137,编号表!$E$1:$G$8,2,0))&amp;H137&amp;"_"&amp;I137&amp;"_"&amp;J137</f>
        <v>2N8_2_35</v>
      </c>
      <c r="F137" s="2">
        <v>2</v>
      </c>
      <c r="G137" s="2" t="s">
        <v>37</v>
      </c>
      <c r="H137" s="2">
        <v>8</v>
      </c>
      <c r="I137" s="2">
        <v>2</v>
      </c>
      <c r="J137" s="2">
        <f>COUNTIFS($F$13:F137,F137,$I$13:I137,I137)</f>
        <v>35</v>
      </c>
      <c r="O137" s="8">
        <v>1002308</v>
      </c>
      <c r="P137" s="8">
        <v>1002310</v>
      </c>
    </row>
    <row r="138" spans="1:18">
      <c r="A138" s="14" t="s">
        <v>14</v>
      </c>
      <c r="B138" s="8">
        <f t="shared" si="3"/>
        <v>70026301</v>
      </c>
      <c r="C138" s="2" t="s">
        <v>169</v>
      </c>
      <c r="E138" s="2" t="str">
        <f>F138&amp;(VLOOKUP(G138,编号表!$E$1:$G$8,2,0))&amp;H138&amp;"_"&amp;I138&amp;"_"&amp;J138</f>
        <v>2N6_3_1</v>
      </c>
      <c r="F138" s="2">
        <v>2</v>
      </c>
      <c r="G138" s="2" t="s">
        <v>37</v>
      </c>
      <c r="H138" s="2">
        <v>6</v>
      </c>
      <c r="I138" s="2">
        <v>3</v>
      </c>
      <c r="J138" s="2">
        <f>COUNTIFS($F$13:F138,F138,$I$13:I138,I138)</f>
        <v>1</v>
      </c>
      <c r="O138" s="8">
        <v>1002313</v>
      </c>
      <c r="P138" s="8">
        <v>1002314</v>
      </c>
      <c r="Q138" s="8">
        <v>1002316</v>
      </c>
      <c r="R138" s="19">
        <v>1002001</v>
      </c>
    </row>
    <row r="139" spans="1:18">
      <c r="A139" s="14" t="s">
        <v>14</v>
      </c>
      <c r="B139" s="8">
        <f t="shared" si="3"/>
        <v>70023302</v>
      </c>
      <c r="C139" s="2" t="s">
        <v>170</v>
      </c>
      <c r="E139" s="2" t="str">
        <f>F139&amp;(VLOOKUP(G139,编号表!$E$1:$G$8,2,0))&amp;H139&amp;"_"&amp;I139&amp;"_"&amp;J139</f>
        <v>2N3_3_2</v>
      </c>
      <c r="F139" s="2">
        <v>2</v>
      </c>
      <c r="G139" s="2" t="s">
        <v>37</v>
      </c>
      <c r="H139" s="2">
        <v>3</v>
      </c>
      <c r="I139" s="2">
        <v>3</v>
      </c>
      <c r="J139" s="2">
        <f>COUNTIFS($F$13:F139,F139,$I$13:I139,I139)</f>
        <v>2</v>
      </c>
      <c r="O139" s="8">
        <v>1002313</v>
      </c>
      <c r="P139" s="8">
        <v>1002314</v>
      </c>
      <c r="Q139" s="8">
        <v>1002316</v>
      </c>
      <c r="R139" s="20">
        <v>1002103</v>
      </c>
    </row>
    <row r="140" spans="1:18">
      <c r="A140" s="14" t="s">
        <v>14</v>
      </c>
      <c r="B140" s="8">
        <f t="shared" si="3"/>
        <v>70028303</v>
      </c>
      <c r="C140" s="2" t="s">
        <v>171</v>
      </c>
      <c r="E140" s="2" t="str">
        <f>F140&amp;(VLOOKUP(G140,编号表!$E$1:$G$8,2,0))&amp;H140&amp;"_"&amp;I140&amp;"_"&amp;J140</f>
        <v>2N8_3_3</v>
      </c>
      <c r="F140" s="2">
        <v>2</v>
      </c>
      <c r="G140" s="2" t="s">
        <v>37</v>
      </c>
      <c r="H140" s="2">
        <v>8</v>
      </c>
      <c r="I140" s="2">
        <v>3</v>
      </c>
      <c r="J140" s="2">
        <f>COUNTIFS($F$13:F140,F140,$I$13:I140,I140)</f>
        <v>3</v>
      </c>
      <c r="O140" s="8">
        <v>1002313</v>
      </c>
      <c r="P140" s="8">
        <v>1002314</v>
      </c>
      <c r="Q140" s="8">
        <v>1002316</v>
      </c>
    </row>
    <row r="141" spans="1:18">
      <c r="A141" s="14" t="s">
        <v>14</v>
      </c>
      <c r="B141" s="8">
        <f t="shared" si="3"/>
        <v>70026304</v>
      </c>
      <c r="C141" s="2" t="s">
        <v>172</v>
      </c>
      <c r="E141" s="2" t="str">
        <f>F141&amp;(VLOOKUP(G141,编号表!$E$1:$G$8,2,0))&amp;H141&amp;"_"&amp;I141&amp;"_"&amp;J141</f>
        <v>2N6_3_4</v>
      </c>
      <c r="F141" s="2">
        <v>2</v>
      </c>
      <c r="G141" s="2" t="s">
        <v>37</v>
      </c>
      <c r="H141" s="2">
        <v>6</v>
      </c>
      <c r="I141" s="2">
        <v>3</v>
      </c>
      <c r="J141" s="2">
        <f>COUNTIFS($F$13:F141,F141,$I$13:I141,I141)</f>
        <v>4</v>
      </c>
      <c r="O141" s="8">
        <v>1002313</v>
      </c>
      <c r="P141" s="8">
        <v>1002314</v>
      </c>
      <c r="Q141" s="8">
        <v>1002316</v>
      </c>
    </row>
    <row r="142" spans="1:18">
      <c r="A142" s="14" t="s">
        <v>14</v>
      </c>
      <c r="B142" s="8">
        <f t="shared" si="3"/>
        <v>70023305</v>
      </c>
      <c r="C142" s="2" t="s">
        <v>173</v>
      </c>
      <c r="E142" s="2" t="str">
        <f>F142&amp;(VLOOKUP(G142,编号表!$E$1:$G$8,2,0))&amp;H142&amp;"_"&amp;I142&amp;"_"&amp;J142</f>
        <v>2N3_3_5</v>
      </c>
      <c r="F142" s="2">
        <v>2</v>
      </c>
      <c r="G142" s="2" t="s">
        <v>37</v>
      </c>
      <c r="H142" s="2">
        <v>3</v>
      </c>
      <c r="I142" s="2">
        <v>3</v>
      </c>
      <c r="J142" s="2">
        <f>COUNTIFS($F$13:F142,F142,$I$13:I142,I142)</f>
        <v>5</v>
      </c>
      <c r="O142" s="8">
        <v>1002313</v>
      </c>
      <c r="P142" s="8">
        <v>1002314</v>
      </c>
      <c r="Q142" s="8">
        <v>1002316</v>
      </c>
    </row>
    <row r="143" spans="1:18">
      <c r="A143" s="14" t="s">
        <v>14</v>
      </c>
      <c r="B143" s="8">
        <f t="shared" si="3"/>
        <v>70028306</v>
      </c>
      <c r="C143" s="2" t="s">
        <v>174</v>
      </c>
      <c r="E143" s="2" t="str">
        <f>F143&amp;(VLOOKUP(G143,编号表!$E$1:$G$8,2,0))&amp;H143&amp;"_"&amp;I143&amp;"_"&amp;J143</f>
        <v>2N8_3_6</v>
      </c>
      <c r="F143" s="2">
        <v>2</v>
      </c>
      <c r="G143" s="2" t="s">
        <v>37</v>
      </c>
      <c r="H143" s="2">
        <v>8</v>
      </c>
      <c r="I143" s="2">
        <v>3</v>
      </c>
      <c r="J143" s="2">
        <f>COUNTIFS($F$13:F143,F143,$I$13:I143,I143)</f>
        <v>6</v>
      </c>
      <c r="L143" s="8"/>
      <c r="O143" s="8">
        <v>1002313</v>
      </c>
      <c r="P143" s="8">
        <v>1002314</v>
      </c>
      <c r="Q143" s="8">
        <v>1002316</v>
      </c>
    </row>
    <row r="144" spans="1:18">
      <c r="A144" s="14" t="s">
        <v>14</v>
      </c>
      <c r="B144" s="8">
        <f t="shared" si="3"/>
        <v>70028307</v>
      </c>
      <c r="C144" s="2" t="s">
        <v>175</v>
      </c>
      <c r="E144" s="2" t="str">
        <f>F144&amp;(VLOOKUP(G144,编号表!$E$1:$G$8,2,0))&amp;H144&amp;"_"&amp;I144&amp;"_"&amp;J144</f>
        <v>2N8_3_7</v>
      </c>
      <c r="F144" s="2">
        <v>2</v>
      </c>
      <c r="G144" s="2" t="s">
        <v>37</v>
      </c>
      <c r="H144" s="2">
        <v>8</v>
      </c>
      <c r="I144" s="2">
        <v>3</v>
      </c>
      <c r="J144" s="2">
        <f>COUNTIFS($F$13:F144,F144,$I$13:I144,I144)</f>
        <v>7</v>
      </c>
      <c r="L144" s="8"/>
      <c r="O144" s="8">
        <v>1002313</v>
      </c>
      <c r="P144" s="8">
        <v>1002314</v>
      </c>
      <c r="Q144" s="8">
        <v>1002316</v>
      </c>
    </row>
    <row r="145" spans="1:17">
      <c r="A145" s="14" t="s">
        <v>14</v>
      </c>
      <c r="B145" s="8">
        <f t="shared" si="3"/>
        <v>70026308</v>
      </c>
      <c r="C145" s="2" t="s">
        <v>176</v>
      </c>
      <c r="E145" s="2" t="str">
        <f>F145&amp;(VLOOKUP(G145,编号表!$E$1:$G$8,2,0))&amp;H145&amp;"_"&amp;I145&amp;"_"&amp;J145</f>
        <v>2N6_3_8</v>
      </c>
      <c r="F145" s="2">
        <v>2</v>
      </c>
      <c r="G145" s="2" t="s">
        <v>37</v>
      </c>
      <c r="H145" s="2">
        <v>6</v>
      </c>
      <c r="I145" s="2">
        <v>3</v>
      </c>
      <c r="J145" s="2">
        <f>COUNTIFS($F$13:F145,F145,$I$13:I145,I145)</f>
        <v>8</v>
      </c>
      <c r="L145" s="8"/>
      <c r="O145" s="8">
        <v>1002313</v>
      </c>
      <c r="P145" s="8">
        <v>1002314</v>
      </c>
      <c r="Q145" s="8">
        <v>1002316</v>
      </c>
    </row>
    <row r="146" spans="1:17">
      <c r="A146" s="14" t="s">
        <v>14</v>
      </c>
      <c r="B146" s="8">
        <f t="shared" si="3"/>
        <v>70023309</v>
      </c>
      <c r="C146" s="2" t="s">
        <v>177</v>
      </c>
      <c r="E146" s="2" t="str">
        <f>F146&amp;(VLOOKUP(G146,编号表!$E$1:$G$8,2,0))&amp;H146&amp;"_"&amp;I146&amp;"_"&amp;J146</f>
        <v>2N3_3_9</v>
      </c>
      <c r="F146" s="2">
        <v>2</v>
      </c>
      <c r="G146" s="2" t="s">
        <v>37</v>
      </c>
      <c r="H146" s="2">
        <v>3</v>
      </c>
      <c r="I146" s="2">
        <v>3</v>
      </c>
      <c r="J146" s="2">
        <f>COUNTIFS($F$13:F146,F146,$I$13:I146,I146)</f>
        <v>9</v>
      </c>
      <c r="O146" s="8">
        <v>1002314</v>
      </c>
      <c r="P146" s="8">
        <v>1002316</v>
      </c>
    </row>
    <row r="147" spans="1:17">
      <c r="A147" s="14" t="s">
        <v>14</v>
      </c>
      <c r="B147" s="8">
        <f t="shared" si="3"/>
        <v>70028310</v>
      </c>
      <c r="C147" s="2" t="s">
        <v>178</v>
      </c>
      <c r="E147" s="2" t="str">
        <f>F147&amp;(VLOOKUP(G147,编号表!$E$1:$G$8,2,0))&amp;H147&amp;"_"&amp;I147&amp;"_"&amp;J147</f>
        <v>2N8_3_10</v>
      </c>
      <c r="F147" s="2">
        <v>2</v>
      </c>
      <c r="G147" s="2" t="s">
        <v>37</v>
      </c>
      <c r="H147" s="2">
        <v>8</v>
      </c>
      <c r="I147" s="2">
        <v>3</v>
      </c>
      <c r="J147" s="2">
        <f>COUNTIFS($F$13:F147,F147,$I$13:I147,I147)</f>
        <v>10</v>
      </c>
      <c r="O147" s="8">
        <v>1002314</v>
      </c>
      <c r="P147" s="8">
        <v>1002316</v>
      </c>
    </row>
    <row r="148" spans="1:17">
      <c r="A148" s="14" t="s">
        <v>14</v>
      </c>
      <c r="B148" s="8">
        <f t="shared" si="3"/>
        <v>70028311</v>
      </c>
      <c r="C148" s="2" t="s">
        <v>179</v>
      </c>
      <c r="E148" s="2" t="str">
        <f>F148&amp;(VLOOKUP(G148,编号表!$E$1:$G$8,2,0))&amp;H148&amp;"_"&amp;I148&amp;"_"&amp;J148</f>
        <v>2N8_3_11</v>
      </c>
      <c r="F148" s="2">
        <v>2</v>
      </c>
      <c r="G148" s="2" t="s">
        <v>37</v>
      </c>
      <c r="H148" s="2">
        <v>8</v>
      </c>
      <c r="I148" s="2">
        <v>3</v>
      </c>
      <c r="J148" s="2">
        <f>COUNTIFS($F$13:F148,F148,$I$13:I148,I148)</f>
        <v>11</v>
      </c>
      <c r="O148" s="8">
        <v>1002314</v>
      </c>
      <c r="P148" s="8">
        <v>1002316</v>
      </c>
    </row>
    <row r="149" spans="1:17">
      <c r="A149" s="14" t="s">
        <v>14</v>
      </c>
      <c r="B149" s="8">
        <f t="shared" si="3"/>
        <v>70028312</v>
      </c>
      <c r="C149" s="2" t="s">
        <v>180</v>
      </c>
      <c r="E149" s="2" t="str">
        <f>F149&amp;(VLOOKUP(G149,编号表!$E$1:$G$8,2,0))&amp;H149&amp;"_"&amp;I149&amp;"_"&amp;J149</f>
        <v>2N8_3_12</v>
      </c>
      <c r="F149" s="2">
        <v>2</v>
      </c>
      <c r="G149" s="2" t="s">
        <v>37</v>
      </c>
      <c r="H149" s="2">
        <v>8</v>
      </c>
      <c r="I149" s="2">
        <v>3</v>
      </c>
      <c r="J149" s="2">
        <f>COUNTIFS($F$13:F149,F149,$I$13:I149,I149)</f>
        <v>12</v>
      </c>
      <c r="O149" s="8">
        <v>1002314</v>
      </c>
      <c r="P149" s="8">
        <v>1002316</v>
      </c>
    </row>
    <row r="150" spans="1:17">
      <c r="A150" s="14" t="s">
        <v>14</v>
      </c>
      <c r="B150" s="8">
        <f t="shared" si="3"/>
        <v>70026313</v>
      </c>
      <c r="C150" s="2" t="s">
        <v>181</v>
      </c>
      <c r="E150" s="2" t="str">
        <f>F150&amp;(VLOOKUP(G150,编号表!$E$1:$G$8,2,0))&amp;H150&amp;"_"&amp;I150&amp;"_"&amp;J150</f>
        <v>2N6_3_13</v>
      </c>
      <c r="F150" s="2">
        <v>2</v>
      </c>
      <c r="G150" s="2" t="s">
        <v>37</v>
      </c>
      <c r="H150" s="2">
        <v>6</v>
      </c>
      <c r="I150" s="2">
        <v>3</v>
      </c>
      <c r="J150" s="2">
        <f>COUNTIFS($F$13:F150,F150,$I$13:I150,I150)</f>
        <v>13</v>
      </c>
      <c r="O150" s="8">
        <v>1002314</v>
      </c>
      <c r="P150" s="8">
        <v>1002316</v>
      </c>
    </row>
    <row r="151" spans="1:17">
      <c r="A151" s="14" t="s">
        <v>14</v>
      </c>
      <c r="B151" s="8">
        <f t="shared" si="3"/>
        <v>70023314</v>
      </c>
      <c r="C151" s="2" t="s">
        <v>182</v>
      </c>
      <c r="E151" s="2" t="str">
        <f>F151&amp;(VLOOKUP(G151,编号表!$E$1:$G$8,2,0))&amp;H151&amp;"_"&amp;I151&amp;"_"&amp;J151</f>
        <v>2N3_3_14</v>
      </c>
      <c r="F151" s="2">
        <v>2</v>
      </c>
      <c r="G151" s="2" t="s">
        <v>37</v>
      </c>
      <c r="H151" s="2">
        <v>3</v>
      </c>
      <c r="I151" s="2">
        <v>3</v>
      </c>
      <c r="J151" s="2">
        <f>COUNTIFS($F$13:F151,F151,$I$13:I151,I151)</f>
        <v>14</v>
      </c>
      <c r="O151" s="8">
        <v>1002314</v>
      </c>
      <c r="P151" s="8">
        <v>1002316</v>
      </c>
    </row>
    <row r="152" spans="1:17">
      <c r="A152" s="14" t="s">
        <v>14</v>
      </c>
      <c r="B152" s="8">
        <f t="shared" ref="B152:B215" si="4">70000000+F152*10000+H152*1000+I152*100+J152</f>
        <v>70028315</v>
      </c>
      <c r="C152" s="2" t="s">
        <v>183</v>
      </c>
      <c r="E152" s="2" t="str">
        <f>F152&amp;(VLOOKUP(G152,编号表!$E$1:$G$8,2,0))&amp;H152&amp;"_"&amp;I152&amp;"_"&amp;J152</f>
        <v>2N8_3_15</v>
      </c>
      <c r="F152" s="2">
        <v>2</v>
      </c>
      <c r="G152" s="2" t="s">
        <v>37</v>
      </c>
      <c r="H152" s="2">
        <v>8</v>
      </c>
      <c r="I152" s="2">
        <v>3</v>
      </c>
      <c r="J152" s="2">
        <f>COUNTIFS($F$13:F152,F152,$I$13:I152,I152)</f>
        <v>15</v>
      </c>
      <c r="O152" s="8">
        <v>1002314</v>
      </c>
      <c r="P152" s="8">
        <v>1002316</v>
      </c>
    </row>
    <row r="153" spans="1:17">
      <c r="A153" s="14" t="s">
        <v>14</v>
      </c>
      <c r="B153" s="8">
        <f t="shared" si="4"/>
        <v>70028316</v>
      </c>
      <c r="C153" s="2" t="s">
        <v>184</v>
      </c>
      <c r="E153" s="2" t="str">
        <f>F153&amp;(VLOOKUP(G153,编号表!$E$1:$G$8,2,0))&amp;H153&amp;"_"&amp;I153&amp;"_"&amp;J153</f>
        <v>2N8_3_16</v>
      </c>
      <c r="F153" s="2">
        <v>2</v>
      </c>
      <c r="G153" s="2" t="s">
        <v>37</v>
      </c>
      <c r="H153" s="2">
        <v>8</v>
      </c>
      <c r="I153" s="2">
        <v>3</v>
      </c>
      <c r="J153" s="2">
        <f>COUNTIFS($F$13:F153,F153,$I$13:I153,I153)</f>
        <v>16</v>
      </c>
      <c r="O153" s="8">
        <v>1002316</v>
      </c>
    </row>
    <row r="154" spans="1:17">
      <c r="A154" s="14" t="s">
        <v>14</v>
      </c>
      <c r="B154" s="8">
        <f t="shared" si="4"/>
        <v>70028317</v>
      </c>
      <c r="C154" s="2" t="s">
        <v>185</v>
      </c>
      <c r="E154" s="2" t="str">
        <f>F154&amp;(VLOOKUP(G154,编号表!$E$1:$G$8,2,0))&amp;H154&amp;"_"&amp;I154&amp;"_"&amp;J154</f>
        <v>2N8_3_17</v>
      </c>
      <c r="F154" s="2">
        <v>2</v>
      </c>
      <c r="G154" s="2" t="s">
        <v>37</v>
      </c>
      <c r="H154" s="2">
        <v>8</v>
      </c>
      <c r="I154" s="2">
        <v>3</v>
      </c>
      <c r="J154" s="2">
        <f>COUNTIFS($F$13:F154,F154,$I$13:I154,I154)</f>
        <v>17</v>
      </c>
      <c r="O154" s="8">
        <v>1002316</v>
      </c>
    </row>
    <row r="155" spans="1:17">
      <c r="A155" s="14" t="s">
        <v>14</v>
      </c>
      <c r="B155" s="8">
        <f t="shared" si="4"/>
        <v>70028318</v>
      </c>
      <c r="C155" s="2" t="s">
        <v>186</v>
      </c>
      <c r="E155" s="2" t="str">
        <f>F155&amp;(VLOOKUP(G155,编号表!$E$1:$G$8,2,0))&amp;H155&amp;"_"&amp;I155&amp;"_"&amp;J155</f>
        <v>2N8_3_18</v>
      </c>
      <c r="F155" s="2">
        <v>2</v>
      </c>
      <c r="G155" s="2" t="s">
        <v>37</v>
      </c>
      <c r="H155" s="2">
        <v>8</v>
      </c>
      <c r="I155" s="2">
        <v>3</v>
      </c>
      <c r="J155" s="2">
        <f>COUNTIFS($F$13:F155,F155,$I$13:I155,I155)</f>
        <v>18</v>
      </c>
      <c r="O155" s="8">
        <v>1002316</v>
      </c>
    </row>
    <row r="156" spans="1:17">
      <c r="A156" s="14" t="s">
        <v>14</v>
      </c>
      <c r="B156" s="8">
        <f t="shared" si="4"/>
        <v>70026319</v>
      </c>
      <c r="C156" s="2" t="s">
        <v>187</v>
      </c>
      <c r="E156" s="2" t="str">
        <f>F156&amp;(VLOOKUP(G156,编号表!$E$1:$G$8,2,0))&amp;H156&amp;"_"&amp;I156&amp;"_"&amp;J156</f>
        <v>2N6_3_19</v>
      </c>
      <c r="F156" s="2">
        <v>2</v>
      </c>
      <c r="G156" s="2" t="s">
        <v>37</v>
      </c>
      <c r="H156" s="2">
        <v>6</v>
      </c>
      <c r="I156" s="2">
        <v>3</v>
      </c>
      <c r="J156" s="2">
        <f>COUNTIFS($F$13:F156,F156,$I$13:I156,I156)</f>
        <v>19</v>
      </c>
      <c r="O156" s="8">
        <v>1002316</v>
      </c>
    </row>
    <row r="157" spans="1:17">
      <c r="A157" s="14" t="s">
        <v>14</v>
      </c>
      <c r="B157" s="8">
        <f t="shared" si="4"/>
        <v>70023320</v>
      </c>
      <c r="C157" s="2" t="s">
        <v>188</v>
      </c>
      <c r="E157" s="2" t="str">
        <f>F157&amp;(VLOOKUP(G157,编号表!$E$1:$G$8,2,0))&amp;H157&amp;"_"&amp;I157&amp;"_"&amp;J157</f>
        <v>2N3_3_20</v>
      </c>
      <c r="F157" s="2">
        <v>2</v>
      </c>
      <c r="G157" s="2" t="s">
        <v>37</v>
      </c>
      <c r="H157" s="2">
        <v>3</v>
      </c>
      <c r="I157" s="2">
        <v>3</v>
      </c>
      <c r="J157" s="2">
        <f>COUNTIFS($F$13:F157,F157,$I$13:I157,I157)</f>
        <v>20</v>
      </c>
      <c r="O157" s="8">
        <v>1002316</v>
      </c>
    </row>
    <row r="158" spans="1:17">
      <c r="A158" s="14" t="s">
        <v>14</v>
      </c>
      <c r="B158" s="8">
        <f t="shared" si="4"/>
        <v>70028321</v>
      </c>
      <c r="C158" s="2" t="s">
        <v>189</v>
      </c>
      <c r="E158" s="2" t="str">
        <f>F158&amp;(VLOOKUP(G158,编号表!$E$1:$G$8,2,0))&amp;H158&amp;"_"&amp;I158&amp;"_"&amp;J158</f>
        <v>2N8_3_21</v>
      </c>
      <c r="F158" s="2">
        <v>2</v>
      </c>
      <c r="G158" s="2" t="s">
        <v>37</v>
      </c>
      <c r="H158" s="2">
        <v>8</v>
      </c>
      <c r="I158" s="2">
        <v>3</v>
      </c>
      <c r="J158" s="2">
        <f>COUNTIFS($F$13:F158,F158,$I$13:I158,I158)</f>
        <v>21</v>
      </c>
      <c r="O158" s="8">
        <v>1002316</v>
      </c>
    </row>
    <row r="159" spans="1:17">
      <c r="A159" s="14" t="s">
        <v>14</v>
      </c>
      <c r="B159" s="8">
        <f t="shared" si="4"/>
        <v>70028322</v>
      </c>
      <c r="C159" s="2" t="s">
        <v>190</v>
      </c>
      <c r="E159" s="2" t="str">
        <f>F159&amp;(VLOOKUP(G159,编号表!$E$1:$G$8,2,0))&amp;H159&amp;"_"&amp;I159&amp;"_"&amp;J159</f>
        <v>2N8_3_22</v>
      </c>
      <c r="F159" s="2">
        <v>2</v>
      </c>
      <c r="G159" s="2" t="s">
        <v>37</v>
      </c>
      <c r="H159" s="2">
        <v>8</v>
      </c>
      <c r="I159" s="2">
        <v>3</v>
      </c>
      <c r="J159" s="2">
        <f>COUNTIFS($F$13:F159,F159,$I$13:I159,I159)</f>
        <v>22</v>
      </c>
      <c r="O159" s="8">
        <v>1002316</v>
      </c>
    </row>
    <row r="160" spans="1:17">
      <c r="A160" s="14" t="s">
        <v>14</v>
      </c>
      <c r="B160" s="8">
        <f t="shared" si="4"/>
        <v>70028323</v>
      </c>
      <c r="C160" s="2" t="s">
        <v>191</v>
      </c>
      <c r="E160" s="2" t="str">
        <f>F160&amp;(VLOOKUP(G160,编号表!$E$1:$G$8,2,0))&amp;H160&amp;"_"&amp;I160&amp;"_"&amp;J160</f>
        <v>2N8_3_23</v>
      </c>
      <c r="F160" s="2">
        <v>2</v>
      </c>
      <c r="G160" s="2" t="s">
        <v>37</v>
      </c>
      <c r="H160" s="2">
        <v>8</v>
      </c>
      <c r="I160" s="2">
        <v>3</v>
      </c>
      <c r="J160" s="2">
        <f>COUNTIFS($F$13:F160,F160,$I$13:I160,I160)</f>
        <v>23</v>
      </c>
      <c r="O160" s="8">
        <v>1002316</v>
      </c>
    </row>
    <row r="161" spans="1:18">
      <c r="A161" s="14" t="s">
        <v>14</v>
      </c>
      <c r="B161" s="8">
        <f t="shared" si="4"/>
        <v>70028324</v>
      </c>
      <c r="C161" s="2" t="s">
        <v>192</v>
      </c>
      <c r="E161" s="2" t="str">
        <f>F161&amp;(VLOOKUP(G161,编号表!$E$1:$G$8,2,0))&amp;H161&amp;"_"&amp;I161&amp;"_"&amp;J161</f>
        <v>2N8_3_24</v>
      </c>
      <c r="F161" s="2">
        <v>2</v>
      </c>
      <c r="G161" s="2" t="s">
        <v>37</v>
      </c>
      <c r="H161" s="2">
        <v>8</v>
      </c>
      <c r="I161" s="2">
        <v>3</v>
      </c>
      <c r="J161" s="2">
        <f>COUNTIFS($F$13:F161,F161,$I$13:I161,I161)</f>
        <v>24</v>
      </c>
      <c r="O161" s="8">
        <v>1002312</v>
      </c>
    </row>
    <row r="162" spans="1:18">
      <c r="A162" s="14" t="s">
        <v>14</v>
      </c>
      <c r="B162" s="8">
        <f t="shared" si="4"/>
        <v>70028325</v>
      </c>
      <c r="C162" s="2" t="s">
        <v>193</v>
      </c>
      <c r="E162" s="2" t="str">
        <f>F162&amp;(VLOOKUP(G162,编号表!$E$1:$G$8,2,0))&amp;H162&amp;"_"&amp;I162&amp;"_"&amp;J162</f>
        <v>2N8_3_25</v>
      </c>
      <c r="F162" s="2">
        <v>2</v>
      </c>
      <c r="G162" s="2" t="s">
        <v>37</v>
      </c>
      <c r="H162" s="2">
        <v>8</v>
      </c>
      <c r="I162" s="2">
        <v>3</v>
      </c>
      <c r="J162" s="2">
        <f>COUNTIFS($F$13:F162,F162,$I$13:I162,I162)</f>
        <v>25</v>
      </c>
      <c r="O162" s="8">
        <v>1002312</v>
      </c>
      <c r="P162" s="8">
        <v>1002315</v>
      </c>
    </row>
    <row r="163" spans="1:18">
      <c r="A163" s="14" t="s">
        <v>14</v>
      </c>
      <c r="B163" s="8">
        <f t="shared" si="4"/>
        <v>70026326</v>
      </c>
      <c r="C163" s="2" t="s">
        <v>194</v>
      </c>
      <c r="E163" s="2" t="str">
        <f>F163&amp;(VLOOKUP(G163,编号表!$E$1:$G$8,2,0))&amp;H163&amp;"_"&amp;I163&amp;"_"&amp;J163</f>
        <v>2N6_3_26</v>
      </c>
      <c r="F163" s="2">
        <v>2</v>
      </c>
      <c r="G163" s="2" t="s">
        <v>37</v>
      </c>
      <c r="H163" s="2">
        <v>6</v>
      </c>
      <c r="I163" s="2">
        <v>3</v>
      </c>
      <c r="J163" s="2">
        <f>COUNTIFS($F$13:F163,F163,$I$13:I163,I163)</f>
        <v>26</v>
      </c>
      <c r="O163" s="8">
        <v>1002312</v>
      </c>
      <c r="P163" s="8">
        <v>1002315</v>
      </c>
    </row>
    <row r="164" spans="1:18">
      <c r="A164" s="14" t="s">
        <v>14</v>
      </c>
      <c r="B164" s="8">
        <f t="shared" si="4"/>
        <v>70023327</v>
      </c>
      <c r="C164" s="2" t="s">
        <v>195</v>
      </c>
      <c r="E164" s="2" t="str">
        <f>F164&amp;(VLOOKUP(G164,编号表!$E$1:$G$8,2,0))&amp;H164&amp;"_"&amp;I164&amp;"_"&amp;J164</f>
        <v>2N3_3_27</v>
      </c>
      <c r="F164" s="2">
        <v>2</v>
      </c>
      <c r="G164" s="2" t="s">
        <v>37</v>
      </c>
      <c r="H164" s="2">
        <v>3</v>
      </c>
      <c r="I164" s="2">
        <v>3</v>
      </c>
      <c r="J164" s="2">
        <f>COUNTIFS($F$13:F164,F164,$I$13:I164,I164)</f>
        <v>27</v>
      </c>
      <c r="O164" s="8">
        <v>1002312</v>
      </c>
      <c r="P164" s="8">
        <v>1002315</v>
      </c>
    </row>
    <row r="165" spans="1:18">
      <c r="A165" s="14" t="s">
        <v>14</v>
      </c>
      <c r="B165" s="8">
        <f t="shared" si="4"/>
        <v>70028328</v>
      </c>
      <c r="C165" s="2" t="s">
        <v>196</v>
      </c>
      <c r="E165" s="2" t="str">
        <f>F165&amp;(VLOOKUP(G165,编号表!$E$1:$G$8,2,0))&amp;H165&amp;"_"&amp;I165&amp;"_"&amp;J165</f>
        <v>2N8_3_28</v>
      </c>
      <c r="F165" s="2">
        <v>2</v>
      </c>
      <c r="G165" s="2" t="s">
        <v>37</v>
      </c>
      <c r="H165" s="2">
        <v>8</v>
      </c>
      <c r="I165" s="2">
        <v>3</v>
      </c>
      <c r="J165" s="2">
        <f>COUNTIFS($F$13:F165,F165,$I$13:I165,I165)</f>
        <v>28</v>
      </c>
      <c r="O165" s="8">
        <v>1002312</v>
      </c>
      <c r="P165" s="8">
        <v>1002315</v>
      </c>
    </row>
    <row r="166" spans="1:18">
      <c r="A166" s="14" t="s">
        <v>14</v>
      </c>
      <c r="B166" s="8">
        <f t="shared" si="4"/>
        <v>70028329</v>
      </c>
      <c r="C166" s="2" t="s">
        <v>197</v>
      </c>
      <c r="E166" s="2" t="str">
        <f>F166&amp;(VLOOKUP(G166,编号表!$E$1:$G$8,2,0))&amp;H166&amp;"_"&amp;I166&amp;"_"&amp;J166</f>
        <v>2N8_3_29</v>
      </c>
      <c r="F166" s="2">
        <v>2</v>
      </c>
      <c r="G166" s="2" t="s">
        <v>37</v>
      </c>
      <c r="H166" s="2">
        <v>8</v>
      </c>
      <c r="I166" s="2">
        <v>3</v>
      </c>
      <c r="J166" s="2">
        <f>COUNTIFS($F$13:F166,F166,$I$13:I166,I166)</f>
        <v>29</v>
      </c>
      <c r="O166" s="8">
        <v>1002312</v>
      </c>
      <c r="P166" s="8">
        <v>1002315</v>
      </c>
    </row>
    <row r="167" spans="1:18">
      <c r="A167" s="14" t="s">
        <v>14</v>
      </c>
      <c r="B167" s="8">
        <f t="shared" si="4"/>
        <v>70028330</v>
      </c>
      <c r="C167" s="2" t="s">
        <v>198</v>
      </c>
      <c r="E167" s="2" t="str">
        <f>F167&amp;(VLOOKUP(G167,编号表!$E$1:$G$8,2,0))&amp;H167&amp;"_"&amp;I167&amp;"_"&amp;J167</f>
        <v>2N8_3_30</v>
      </c>
      <c r="F167" s="2">
        <v>2</v>
      </c>
      <c r="G167" s="2" t="s">
        <v>37</v>
      </c>
      <c r="H167" s="2">
        <v>8</v>
      </c>
      <c r="I167" s="2">
        <v>3</v>
      </c>
      <c r="J167" s="2">
        <f>COUNTIFS($F$13:F167,F167,$I$13:I167,I167)</f>
        <v>30</v>
      </c>
      <c r="O167" s="8">
        <v>1002312</v>
      </c>
      <c r="P167" s="8">
        <v>1002315</v>
      </c>
    </row>
    <row r="168" spans="1:18">
      <c r="A168" s="14" t="s">
        <v>14</v>
      </c>
      <c r="B168" s="8">
        <f t="shared" si="4"/>
        <v>70028331</v>
      </c>
      <c r="C168" s="2" t="s">
        <v>199</v>
      </c>
      <c r="E168" s="2" t="str">
        <f>F168&amp;(VLOOKUP(G168,编号表!$E$1:$G$8,2,0))&amp;H168&amp;"_"&amp;I168&amp;"_"&amp;J168</f>
        <v>2N8_3_31</v>
      </c>
      <c r="F168" s="2">
        <v>2</v>
      </c>
      <c r="G168" s="2" t="s">
        <v>37</v>
      </c>
      <c r="H168" s="2">
        <v>8</v>
      </c>
      <c r="I168" s="2">
        <v>3</v>
      </c>
      <c r="J168" s="2">
        <f>COUNTIFS($F$13:F168,F168,$I$13:I168,I168)</f>
        <v>31</v>
      </c>
      <c r="O168" s="8">
        <v>1002312</v>
      </c>
      <c r="P168" s="8">
        <v>1002315</v>
      </c>
    </row>
    <row r="169" spans="1:18">
      <c r="A169" s="14" t="s">
        <v>14</v>
      </c>
      <c r="B169" s="8">
        <f t="shared" si="4"/>
        <v>70028332</v>
      </c>
      <c r="C169" s="2" t="s">
        <v>200</v>
      </c>
      <c r="E169" s="2" t="str">
        <f>F169&amp;(VLOOKUP(G169,编号表!$E$1:$G$8,2,0))&amp;H169&amp;"_"&amp;I169&amp;"_"&amp;J169</f>
        <v>2N8_3_32</v>
      </c>
      <c r="F169" s="2">
        <v>2</v>
      </c>
      <c r="G169" s="2" t="s">
        <v>37</v>
      </c>
      <c r="H169" s="2">
        <v>8</v>
      </c>
      <c r="I169" s="2">
        <v>3</v>
      </c>
      <c r="J169" s="2">
        <f>COUNTIFS($F$13:F169,F169,$I$13:I169,I169)</f>
        <v>32</v>
      </c>
      <c r="O169" s="8">
        <v>1002312</v>
      </c>
      <c r="P169" s="8">
        <v>1002313</v>
      </c>
      <c r="Q169" s="8">
        <v>1002315</v>
      </c>
    </row>
    <row r="170" spans="1:18">
      <c r="A170" s="14" t="s">
        <v>14</v>
      </c>
      <c r="B170" s="8">
        <f t="shared" si="4"/>
        <v>70028333</v>
      </c>
      <c r="C170" s="2" t="s">
        <v>201</v>
      </c>
      <c r="E170" s="2" t="str">
        <f>F170&amp;(VLOOKUP(G170,编号表!$E$1:$G$8,2,0))&amp;H170&amp;"_"&amp;I170&amp;"_"&amp;J170</f>
        <v>2N8_3_33</v>
      </c>
      <c r="F170" s="2">
        <v>2</v>
      </c>
      <c r="G170" s="2" t="s">
        <v>37</v>
      </c>
      <c r="H170" s="2">
        <v>8</v>
      </c>
      <c r="I170" s="2">
        <v>3</v>
      </c>
      <c r="J170" s="2">
        <f>COUNTIFS($F$13:F170,F170,$I$13:I170,I170)</f>
        <v>33</v>
      </c>
      <c r="O170" s="8">
        <v>1002312</v>
      </c>
      <c r="P170" s="8">
        <v>1002313</v>
      </c>
      <c r="Q170" s="8">
        <v>1002315</v>
      </c>
    </row>
    <row r="171" spans="1:18">
      <c r="A171" s="14" t="s">
        <v>14</v>
      </c>
      <c r="B171" s="8">
        <f t="shared" si="4"/>
        <v>70026334</v>
      </c>
      <c r="C171" s="2" t="s">
        <v>202</v>
      </c>
      <c r="E171" s="2" t="str">
        <f>F171&amp;(VLOOKUP(G171,编号表!$E$1:$G$8,2,0))&amp;H171&amp;"_"&amp;I171&amp;"_"&amp;J171</f>
        <v>2N6_3_34</v>
      </c>
      <c r="F171" s="2">
        <v>2</v>
      </c>
      <c r="G171" s="2" t="s">
        <v>37</v>
      </c>
      <c r="H171" s="2">
        <v>6</v>
      </c>
      <c r="I171" s="2">
        <v>3</v>
      </c>
      <c r="J171" s="2">
        <f>COUNTIFS($F$13:F171,F171,$I$13:I171,I171)</f>
        <v>34</v>
      </c>
      <c r="O171" s="8">
        <v>1002312</v>
      </c>
      <c r="P171" s="8">
        <v>1002313</v>
      </c>
      <c r="Q171" s="8">
        <v>1002315</v>
      </c>
    </row>
    <row r="172" spans="1:18">
      <c r="A172" s="14" t="s">
        <v>14</v>
      </c>
      <c r="B172" s="8">
        <f t="shared" si="4"/>
        <v>70023335</v>
      </c>
      <c r="C172" s="2" t="s">
        <v>203</v>
      </c>
      <c r="E172" s="2" t="str">
        <f>F172&amp;(VLOOKUP(G172,编号表!$E$1:$G$8,2,0))&amp;H172&amp;"_"&amp;I172&amp;"_"&amp;J172</f>
        <v>2N3_3_35</v>
      </c>
      <c r="F172" s="2">
        <v>2</v>
      </c>
      <c r="G172" s="2" t="s">
        <v>37</v>
      </c>
      <c r="H172" s="2">
        <v>3</v>
      </c>
      <c r="I172" s="2">
        <v>3</v>
      </c>
      <c r="J172" s="2">
        <f>COUNTIFS($F$13:F172,F172,$I$13:I172,I172)</f>
        <v>35</v>
      </c>
      <c r="O172" s="8">
        <v>1002312</v>
      </c>
      <c r="P172" s="8">
        <v>1002313</v>
      </c>
      <c r="Q172" s="8">
        <v>1002315</v>
      </c>
    </row>
    <row r="173" spans="1:18">
      <c r="A173" s="14" t="s">
        <v>14</v>
      </c>
      <c r="B173" s="8">
        <f t="shared" si="4"/>
        <v>70028336</v>
      </c>
      <c r="C173" s="2" t="s">
        <v>204</v>
      </c>
      <c r="E173" s="2" t="str">
        <f>F173&amp;(VLOOKUP(G173,编号表!$E$1:$G$8,2,0))&amp;H173&amp;"_"&amp;I173&amp;"_"&amp;J173</f>
        <v>2N8_3_36</v>
      </c>
      <c r="F173" s="2">
        <v>2</v>
      </c>
      <c r="G173" s="2" t="s">
        <v>37</v>
      </c>
      <c r="H173" s="2">
        <v>8</v>
      </c>
      <c r="I173" s="2">
        <v>3</v>
      </c>
      <c r="J173" s="2">
        <f>COUNTIFS($F$13:F173,F173,$I$13:I173,I173)</f>
        <v>36</v>
      </c>
      <c r="O173" s="8">
        <v>1002312</v>
      </c>
      <c r="P173" s="8">
        <v>1002313</v>
      </c>
      <c r="Q173" s="8">
        <v>1002315</v>
      </c>
    </row>
    <row r="174" spans="1:18">
      <c r="A174" s="14" t="s">
        <v>14</v>
      </c>
      <c r="B174" s="8">
        <f t="shared" si="4"/>
        <v>70028337</v>
      </c>
      <c r="C174" s="2" t="s">
        <v>205</v>
      </c>
      <c r="E174" s="2" t="str">
        <f>F174&amp;(VLOOKUP(G174,编号表!$E$1:$G$8,2,0))&amp;H174&amp;"_"&amp;I174&amp;"_"&amp;J174</f>
        <v>2N8_3_37</v>
      </c>
      <c r="F174" s="2">
        <v>2</v>
      </c>
      <c r="G174" s="2" t="s">
        <v>37</v>
      </c>
      <c r="H174" s="2">
        <v>8</v>
      </c>
      <c r="I174" s="2">
        <v>3</v>
      </c>
      <c r="J174" s="2">
        <f>COUNTIFS($F$13:F174,F174,$I$13:I174,I174)</f>
        <v>37</v>
      </c>
      <c r="O174" s="8">
        <v>1002312</v>
      </c>
      <c r="P174" s="8">
        <v>1002313</v>
      </c>
      <c r="Q174" s="8">
        <v>1002315</v>
      </c>
    </row>
    <row r="175" spans="1:18">
      <c r="A175" s="14" t="s">
        <v>14</v>
      </c>
      <c r="B175" s="8">
        <f t="shared" si="4"/>
        <v>70028338</v>
      </c>
      <c r="C175" s="2" t="s">
        <v>206</v>
      </c>
      <c r="E175" s="2" t="str">
        <f>F175&amp;(VLOOKUP(G175,编号表!$E$1:$G$8,2,0))&amp;H175&amp;"_"&amp;I175&amp;"_"&amp;J175</f>
        <v>2N8_3_38</v>
      </c>
      <c r="F175" s="2">
        <v>2</v>
      </c>
      <c r="G175" s="2" t="s">
        <v>37</v>
      </c>
      <c r="H175" s="2">
        <v>8</v>
      </c>
      <c r="I175" s="2">
        <v>3</v>
      </c>
      <c r="J175" s="2">
        <f>COUNTIFS($F$13:F175,F175,$I$13:I175,I175)</f>
        <v>38</v>
      </c>
      <c r="O175" s="8">
        <v>1002312</v>
      </c>
      <c r="P175" s="8">
        <v>1002313</v>
      </c>
      <c r="Q175" s="8">
        <v>1002315</v>
      </c>
    </row>
    <row r="176" spans="1:18">
      <c r="A176" s="14" t="s">
        <v>14</v>
      </c>
      <c r="B176" s="8">
        <f t="shared" si="4"/>
        <v>70028339</v>
      </c>
      <c r="C176" s="2" t="s">
        <v>207</v>
      </c>
      <c r="E176" s="2" t="str">
        <f>F176&amp;(VLOOKUP(G176,编号表!$E$1:$G$8,2,0))&amp;H176&amp;"_"&amp;I176&amp;"_"&amp;J176</f>
        <v>2N8_3_39</v>
      </c>
      <c r="F176" s="2">
        <v>2</v>
      </c>
      <c r="G176" s="2" t="s">
        <v>37</v>
      </c>
      <c r="H176" s="2">
        <v>8</v>
      </c>
      <c r="I176" s="2">
        <v>3</v>
      </c>
      <c r="J176" s="2">
        <f>COUNTIFS($F$13:F176,F176,$I$13:I176,I176)</f>
        <v>39</v>
      </c>
      <c r="O176" s="8">
        <v>1002312</v>
      </c>
      <c r="P176" s="8">
        <v>1002313</v>
      </c>
      <c r="Q176" s="8">
        <v>1002314</v>
      </c>
      <c r="R176" s="8">
        <v>1002315</v>
      </c>
    </row>
    <row r="177" spans="1:18">
      <c r="A177" s="14" t="s">
        <v>14</v>
      </c>
      <c r="B177" s="8">
        <f t="shared" si="4"/>
        <v>70028340</v>
      </c>
      <c r="C177" s="2" t="s">
        <v>208</v>
      </c>
      <c r="E177" s="2" t="str">
        <f>F177&amp;(VLOOKUP(G177,编号表!$E$1:$G$8,2,0))&amp;H177&amp;"_"&amp;I177&amp;"_"&amp;J177</f>
        <v>2N8_3_40</v>
      </c>
      <c r="F177" s="2">
        <v>2</v>
      </c>
      <c r="G177" s="2" t="s">
        <v>37</v>
      </c>
      <c r="H177" s="2">
        <v>8</v>
      </c>
      <c r="I177" s="2">
        <v>3</v>
      </c>
      <c r="J177" s="2">
        <f>COUNTIFS($F$13:F177,F177,$I$13:I177,I177)</f>
        <v>40</v>
      </c>
      <c r="O177" s="8">
        <v>1002312</v>
      </c>
      <c r="P177" s="8">
        <v>1002313</v>
      </c>
      <c r="Q177" s="8">
        <v>1002314</v>
      </c>
      <c r="R177" s="8">
        <v>1002315</v>
      </c>
    </row>
    <row r="178" spans="1:18">
      <c r="A178" s="14" t="s">
        <v>14</v>
      </c>
      <c r="B178" s="8">
        <f t="shared" si="4"/>
        <v>70028341</v>
      </c>
      <c r="C178" s="2" t="s">
        <v>209</v>
      </c>
      <c r="E178" s="2" t="str">
        <f>F178&amp;(VLOOKUP(G178,编号表!$E$1:$G$8,2,0))&amp;H178&amp;"_"&amp;I178&amp;"_"&amp;J178</f>
        <v>2N8_3_41</v>
      </c>
      <c r="F178" s="2">
        <v>2</v>
      </c>
      <c r="G178" s="2" t="s">
        <v>37</v>
      </c>
      <c r="H178" s="2">
        <v>8</v>
      </c>
      <c r="I178" s="2">
        <v>3</v>
      </c>
      <c r="J178" s="2">
        <f>COUNTIFS($F$13:F178,F178,$I$13:I178,I178)</f>
        <v>41</v>
      </c>
      <c r="O178" s="8">
        <v>1002312</v>
      </c>
      <c r="P178" s="8">
        <v>1002313</v>
      </c>
      <c r="Q178" s="8">
        <v>1002314</v>
      </c>
      <c r="R178" s="8">
        <v>1002315</v>
      </c>
    </row>
    <row r="179" spans="1:18">
      <c r="A179" s="14" t="s">
        <v>14</v>
      </c>
      <c r="B179" s="8">
        <f t="shared" si="4"/>
        <v>70028342</v>
      </c>
      <c r="C179" s="2" t="s">
        <v>210</v>
      </c>
      <c r="E179" s="2" t="str">
        <f>F179&amp;(VLOOKUP(G179,编号表!$E$1:$G$8,2,0))&amp;H179&amp;"_"&amp;I179&amp;"_"&amp;J179</f>
        <v>2N8_3_42</v>
      </c>
      <c r="F179" s="2">
        <v>2</v>
      </c>
      <c r="G179" s="2" t="s">
        <v>37</v>
      </c>
      <c r="H179" s="2">
        <v>8</v>
      </c>
      <c r="I179" s="2">
        <v>3</v>
      </c>
      <c r="J179" s="2">
        <f>COUNTIFS($F$13:F179,F179,$I$13:I179,I179)</f>
        <v>42</v>
      </c>
      <c r="O179" s="8">
        <v>1002312</v>
      </c>
      <c r="P179" s="8">
        <v>1002313</v>
      </c>
      <c r="Q179" s="8">
        <v>1002314</v>
      </c>
      <c r="R179" s="8">
        <v>1002315</v>
      </c>
    </row>
    <row r="180" spans="1:18">
      <c r="A180" s="14" t="s">
        <v>14</v>
      </c>
      <c r="B180" s="8">
        <f t="shared" si="4"/>
        <v>70028343</v>
      </c>
      <c r="C180" s="2" t="s">
        <v>211</v>
      </c>
      <c r="E180" s="2" t="str">
        <f>F180&amp;(VLOOKUP(G180,编号表!$E$1:$G$8,2,0))&amp;H180&amp;"_"&amp;I180&amp;"_"&amp;J180</f>
        <v>2N8_3_43</v>
      </c>
      <c r="F180" s="2">
        <v>2</v>
      </c>
      <c r="G180" s="2" t="s">
        <v>37</v>
      </c>
      <c r="H180" s="2">
        <v>8</v>
      </c>
      <c r="I180" s="2">
        <v>3</v>
      </c>
      <c r="J180" s="2">
        <f>COUNTIFS($F$13:F180,F180,$I$13:I180,I180)</f>
        <v>43</v>
      </c>
      <c r="O180" s="8">
        <v>1002312</v>
      </c>
      <c r="P180" s="8">
        <v>1002313</v>
      </c>
      <c r="Q180" s="8">
        <v>1002314</v>
      </c>
      <c r="R180" s="8">
        <v>1002315</v>
      </c>
    </row>
    <row r="181" spans="1:18">
      <c r="A181" s="14" t="s">
        <v>14</v>
      </c>
      <c r="B181" s="8">
        <f t="shared" si="4"/>
        <v>70027401</v>
      </c>
      <c r="C181" s="2" t="s">
        <v>212</v>
      </c>
      <c r="E181" s="2" t="str">
        <f>F181&amp;(VLOOKUP(G181,编号表!$E$1:$G$8,2,0))&amp;H181&amp;"_"&amp;I181&amp;"_"&amp;J181</f>
        <v>2N7_4_1</v>
      </c>
      <c r="F181" s="2">
        <v>2</v>
      </c>
      <c r="G181" s="2" t="s">
        <v>37</v>
      </c>
      <c r="H181" s="2">
        <v>7</v>
      </c>
      <c r="I181" s="2">
        <v>4</v>
      </c>
      <c r="J181" s="2">
        <f>COUNTIFS($F$13:F181,F181,$I$13:I181,I181)</f>
        <v>1</v>
      </c>
      <c r="O181" s="8">
        <v>1002318</v>
      </c>
      <c r="P181" s="8">
        <v>1002320</v>
      </c>
      <c r="Q181" s="19">
        <v>1002001</v>
      </c>
    </row>
    <row r="182" spans="1:18">
      <c r="A182" s="14" t="s">
        <v>14</v>
      </c>
      <c r="B182" s="8">
        <f t="shared" si="4"/>
        <v>70023402</v>
      </c>
      <c r="C182" s="2" t="s">
        <v>213</v>
      </c>
      <c r="E182" s="2" t="str">
        <f>F182&amp;(VLOOKUP(G182,编号表!$E$1:$G$8,2,0))&amp;H182&amp;"_"&amp;I182&amp;"_"&amp;J182</f>
        <v>2N3_4_2</v>
      </c>
      <c r="F182" s="2">
        <v>2</v>
      </c>
      <c r="G182" s="2" t="s">
        <v>37</v>
      </c>
      <c r="H182" s="2">
        <v>3</v>
      </c>
      <c r="I182" s="2">
        <v>4</v>
      </c>
      <c r="J182" s="2">
        <f>COUNTIFS($F$13:F182,F182,$I$13:I182,I182)</f>
        <v>2</v>
      </c>
      <c r="O182" s="8">
        <v>1002318</v>
      </c>
      <c r="P182" s="8">
        <v>1002320</v>
      </c>
      <c r="Q182" s="8">
        <v>1002104</v>
      </c>
    </row>
    <row r="183" spans="1:18">
      <c r="A183" s="14" t="s">
        <v>14</v>
      </c>
      <c r="B183" s="8">
        <f t="shared" si="4"/>
        <v>70028403</v>
      </c>
      <c r="C183" s="2" t="s">
        <v>214</v>
      </c>
      <c r="E183" s="2" t="str">
        <f>F183&amp;(VLOOKUP(G183,编号表!$E$1:$G$8,2,0))&amp;H183&amp;"_"&amp;I183&amp;"_"&amp;J183</f>
        <v>2N8_4_3</v>
      </c>
      <c r="F183" s="2">
        <v>2</v>
      </c>
      <c r="G183" s="2" t="s">
        <v>37</v>
      </c>
      <c r="H183" s="2">
        <v>8</v>
      </c>
      <c r="I183" s="2">
        <v>4</v>
      </c>
      <c r="J183" s="2">
        <f>COUNTIFS($F$13:F183,F183,$I$13:I183,I183)</f>
        <v>3</v>
      </c>
      <c r="O183" s="8">
        <v>1002318</v>
      </c>
      <c r="P183" s="8">
        <v>1002320</v>
      </c>
      <c r="Q183" s="8">
        <v>1002105</v>
      </c>
    </row>
    <row r="184" spans="1:18">
      <c r="A184" s="14" t="s">
        <v>14</v>
      </c>
      <c r="B184" s="8">
        <f t="shared" si="4"/>
        <v>70026404</v>
      </c>
      <c r="C184" s="2" t="s">
        <v>215</v>
      </c>
      <c r="E184" s="2" t="str">
        <f>F184&amp;(VLOOKUP(G184,编号表!$E$1:$G$8,2,0))&amp;H184&amp;"_"&amp;I184&amp;"_"&amp;J184</f>
        <v>2N6_4_4</v>
      </c>
      <c r="F184" s="2">
        <v>2</v>
      </c>
      <c r="G184" s="2" t="s">
        <v>37</v>
      </c>
      <c r="H184" s="2">
        <v>6</v>
      </c>
      <c r="I184" s="2">
        <v>4</v>
      </c>
      <c r="J184" s="2">
        <f>COUNTIFS($F$13:F184,F184,$I$13:I184,I184)</f>
        <v>4</v>
      </c>
      <c r="O184" s="8">
        <v>1002318</v>
      </c>
      <c r="P184" s="8">
        <v>1002320</v>
      </c>
    </row>
    <row r="185" spans="1:18">
      <c r="A185" s="14" t="s">
        <v>14</v>
      </c>
      <c r="B185" s="8">
        <f t="shared" si="4"/>
        <v>70023405</v>
      </c>
      <c r="C185" s="2" t="s">
        <v>216</v>
      </c>
      <c r="E185" s="2" t="str">
        <f>F185&amp;(VLOOKUP(G185,编号表!$E$1:$G$8,2,0))&amp;H185&amp;"_"&amp;I185&amp;"_"&amp;J185</f>
        <v>2N3_4_5</v>
      </c>
      <c r="F185" s="2">
        <v>2</v>
      </c>
      <c r="G185" s="2" t="s">
        <v>37</v>
      </c>
      <c r="H185" s="2">
        <v>3</v>
      </c>
      <c r="I185" s="2">
        <v>4</v>
      </c>
      <c r="J185" s="2">
        <f>COUNTIFS($F$13:F185,F185,$I$13:I185,I185)</f>
        <v>5</v>
      </c>
      <c r="O185" s="8">
        <v>1002318</v>
      </c>
      <c r="P185" s="8">
        <v>1002320</v>
      </c>
    </row>
    <row r="186" spans="1:18">
      <c r="A186" s="14" t="s">
        <v>14</v>
      </c>
      <c r="B186" s="8">
        <f t="shared" si="4"/>
        <v>70028406</v>
      </c>
      <c r="C186" s="2" t="s">
        <v>217</v>
      </c>
      <c r="E186" s="2" t="str">
        <f>F186&amp;(VLOOKUP(G186,编号表!$E$1:$G$8,2,0))&amp;H186&amp;"_"&amp;I186&amp;"_"&amp;J186</f>
        <v>2N8_4_6</v>
      </c>
      <c r="F186" s="2">
        <v>2</v>
      </c>
      <c r="G186" s="2" t="s">
        <v>37</v>
      </c>
      <c r="H186" s="2">
        <v>8</v>
      </c>
      <c r="I186" s="2">
        <v>4</v>
      </c>
      <c r="J186" s="2">
        <f>COUNTIFS($F$13:F186,F186,$I$13:I186,I186)</f>
        <v>6</v>
      </c>
      <c r="O186" s="8">
        <v>1002318</v>
      </c>
      <c r="P186" s="8">
        <v>1002320</v>
      </c>
    </row>
    <row r="187" spans="1:18">
      <c r="A187" s="14" t="s">
        <v>14</v>
      </c>
      <c r="B187" s="8">
        <f t="shared" si="4"/>
        <v>70028407</v>
      </c>
      <c r="C187" s="2" t="s">
        <v>218</v>
      </c>
      <c r="E187" s="2" t="str">
        <f>F187&amp;(VLOOKUP(G187,编号表!$E$1:$G$8,2,0))&amp;H187&amp;"_"&amp;I187&amp;"_"&amp;J187</f>
        <v>2N8_4_7</v>
      </c>
      <c r="F187" s="2">
        <v>2</v>
      </c>
      <c r="G187" s="2" t="s">
        <v>37</v>
      </c>
      <c r="H187" s="2">
        <v>8</v>
      </c>
      <c r="I187" s="2">
        <v>4</v>
      </c>
      <c r="J187" s="2">
        <f>COUNTIFS($F$13:F187,F187,$I$13:I187,I187)</f>
        <v>7</v>
      </c>
      <c r="O187" s="8">
        <v>1002318</v>
      </c>
      <c r="P187" s="8">
        <v>1002320</v>
      </c>
    </row>
    <row r="188" spans="1:18">
      <c r="A188" s="14" t="s">
        <v>14</v>
      </c>
      <c r="B188" s="8">
        <f t="shared" si="4"/>
        <v>70026408</v>
      </c>
      <c r="C188" s="2" t="s">
        <v>219</v>
      </c>
      <c r="E188" s="2" t="str">
        <f>F188&amp;(VLOOKUP(G188,编号表!$E$1:$G$8,2,0))&amp;H188&amp;"_"&amp;I188&amp;"_"&amp;J188</f>
        <v>2N6_4_8</v>
      </c>
      <c r="F188" s="2">
        <v>2</v>
      </c>
      <c r="G188" s="2" t="s">
        <v>37</v>
      </c>
      <c r="H188" s="2">
        <v>6</v>
      </c>
      <c r="I188" s="2">
        <v>4</v>
      </c>
      <c r="J188" s="2">
        <f>COUNTIFS($F$13:F188,F188,$I$13:I188,I188)</f>
        <v>8</v>
      </c>
      <c r="O188" s="8">
        <v>1002318</v>
      </c>
      <c r="P188" s="8">
        <v>1002320</v>
      </c>
    </row>
    <row r="189" spans="1:18">
      <c r="A189" s="14" t="s">
        <v>14</v>
      </c>
      <c r="B189" s="8">
        <f t="shared" si="4"/>
        <v>70023409</v>
      </c>
      <c r="C189" s="2" t="s">
        <v>220</v>
      </c>
      <c r="E189" s="2" t="str">
        <f>F189&amp;(VLOOKUP(G189,编号表!$E$1:$G$8,2,0))&amp;H189&amp;"_"&amp;I189&amp;"_"&amp;J189</f>
        <v>2N3_4_9</v>
      </c>
      <c r="F189" s="2">
        <v>2</v>
      </c>
      <c r="G189" s="2" t="s">
        <v>37</v>
      </c>
      <c r="H189" s="2">
        <v>3</v>
      </c>
      <c r="I189" s="2">
        <v>4</v>
      </c>
      <c r="J189" s="2">
        <f>COUNTIFS($F$13:F189,F189,$I$13:I189,I189)</f>
        <v>9</v>
      </c>
      <c r="O189" s="8">
        <v>1002318</v>
      </c>
      <c r="P189" s="8">
        <v>1002320</v>
      </c>
    </row>
    <row r="190" spans="1:18">
      <c r="A190" s="14" t="s">
        <v>14</v>
      </c>
      <c r="B190" s="8">
        <f t="shared" si="4"/>
        <v>70028410</v>
      </c>
      <c r="C190" s="2" t="s">
        <v>221</v>
      </c>
      <c r="E190" s="2" t="str">
        <f>F190&amp;(VLOOKUP(G190,编号表!$E$1:$G$8,2,0))&amp;H190&amp;"_"&amp;I190&amp;"_"&amp;J190</f>
        <v>2N8_4_10</v>
      </c>
      <c r="F190" s="2">
        <v>2</v>
      </c>
      <c r="G190" s="2" t="s">
        <v>37</v>
      </c>
      <c r="H190" s="2">
        <v>8</v>
      </c>
      <c r="I190" s="2">
        <v>4</v>
      </c>
      <c r="J190" s="2">
        <f>COUNTIFS($F$13:F190,F190,$I$13:I190,I190)</f>
        <v>10</v>
      </c>
      <c r="O190" s="8">
        <v>1002318</v>
      </c>
      <c r="P190" s="8">
        <v>1002320</v>
      </c>
    </row>
    <row r="191" spans="1:18">
      <c r="A191" s="14" t="s">
        <v>14</v>
      </c>
      <c r="B191" s="8">
        <f t="shared" si="4"/>
        <v>70028411</v>
      </c>
      <c r="C191" s="2" t="s">
        <v>222</v>
      </c>
      <c r="E191" s="2" t="str">
        <f>F191&amp;(VLOOKUP(G191,编号表!$E$1:$G$8,2,0))&amp;H191&amp;"_"&amp;I191&amp;"_"&amp;J191</f>
        <v>2N8_4_11</v>
      </c>
      <c r="F191" s="2">
        <v>2</v>
      </c>
      <c r="G191" s="2" t="s">
        <v>37</v>
      </c>
      <c r="H191" s="2">
        <v>8</v>
      </c>
      <c r="I191" s="2">
        <v>4</v>
      </c>
      <c r="J191" s="2">
        <f>COUNTIFS($F$13:F191,F191,$I$13:I191,I191)</f>
        <v>11</v>
      </c>
      <c r="O191" s="8">
        <v>1002318</v>
      </c>
      <c r="P191" s="8">
        <v>1002320</v>
      </c>
    </row>
    <row r="192" spans="1:18">
      <c r="A192" s="14" t="s">
        <v>14</v>
      </c>
      <c r="B192" s="8">
        <f t="shared" si="4"/>
        <v>70028412</v>
      </c>
      <c r="C192" s="2" t="s">
        <v>223</v>
      </c>
      <c r="E192" s="2" t="str">
        <f>F192&amp;(VLOOKUP(G192,编号表!$E$1:$G$8,2,0))&amp;H192&amp;"_"&amp;I192&amp;"_"&amp;J192</f>
        <v>2N8_4_12</v>
      </c>
      <c r="F192" s="2">
        <v>2</v>
      </c>
      <c r="G192" s="2" t="s">
        <v>37</v>
      </c>
      <c r="H192" s="2">
        <v>8</v>
      </c>
      <c r="I192" s="2">
        <v>4</v>
      </c>
      <c r="J192" s="2">
        <f>COUNTIFS($F$13:F192,F192,$I$13:I192,I192)</f>
        <v>12</v>
      </c>
      <c r="O192" s="8">
        <v>1002318</v>
      </c>
      <c r="P192" s="8">
        <v>1002320</v>
      </c>
    </row>
    <row r="193" spans="1:17">
      <c r="A193" s="14" t="s">
        <v>14</v>
      </c>
      <c r="B193" s="8">
        <f t="shared" si="4"/>
        <v>70026413</v>
      </c>
      <c r="C193" s="2" t="s">
        <v>224</v>
      </c>
      <c r="E193" s="2" t="str">
        <f>F193&amp;(VLOOKUP(G193,编号表!$E$1:$G$8,2,0))&amp;H193&amp;"_"&amp;I193&amp;"_"&amp;J193</f>
        <v>2N6_4_13</v>
      </c>
      <c r="F193" s="2">
        <v>2</v>
      </c>
      <c r="G193" s="2" t="s">
        <v>37</v>
      </c>
      <c r="H193" s="2">
        <v>6</v>
      </c>
      <c r="I193" s="2">
        <v>4</v>
      </c>
      <c r="J193" s="2">
        <f>COUNTIFS($F$13:F193,F193,$I$13:I193,I193)</f>
        <v>13</v>
      </c>
      <c r="O193" s="8">
        <v>1002318</v>
      </c>
      <c r="P193" s="8">
        <v>1002320</v>
      </c>
    </row>
    <row r="194" spans="1:17">
      <c r="A194" s="14" t="s">
        <v>14</v>
      </c>
      <c r="B194" s="8">
        <f t="shared" si="4"/>
        <v>70023414</v>
      </c>
      <c r="C194" s="2" t="s">
        <v>225</v>
      </c>
      <c r="E194" s="2" t="str">
        <f>F194&amp;(VLOOKUP(G194,编号表!$E$1:$G$8,2,0))&amp;H194&amp;"_"&amp;I194&amp;"_"&amp;J194</f>
        <v>2N3_4_14</v>
      </c>
      <c r="F194" s="2">
        <v>2</v>
      </c>
      <c r="G194" s="2" t="s">
        <v>37</v>
      </c>
      <c r="H194" s="2">
        <v>3</v>
      </c>
      <c r="I194" s="2">
        <v>4</v>
      </c>
      <c r="J194" s="2">
        <f>COUNTIFS($F$13:F194,F194,$I$13:I194,I194)</f>
        <v>14</v>
      </c>
      <c r="O194" s="8">
        <v>1002318</v>
      </c>
      <c r="P194" s="8">
        <v>1002320</v>
      </c>
    </row>
    <row r="195" spans="1:17">
      <c r="A195" s="14" t="s">
        <v>14</v>
      </c>
      <c r="B195" s="8">
        <f t="shared" si="4"/>
        <v>70028415</v>
      </c>
      <c r="C195" s="2" t="s">
        <v>226</v>
      </c>
      <c r="E195" s="2" t="str">
        <f>F195&amp;(VLOOKUP(G195,编号表!$E$1:$G$8,2,0))&amp;H195&amp;"_"&amp;I195&amp;"_"&amp;J195</f>
        <v>2N8_4_15</v>
      </c>
      <c r="F195" s="2">
        <v>2</v>
      </c>
      <c r="G195" s="2" t="s">
        <v>37</v>
      </c>
      <c r="H195" s="2">
        <v>8</v>
      </c>
      <c r="I195" s="2">
        <v>4</v>
      </c>
      <c r="J195" s="2">
        <f>COUNTIFS($F$13:F195,F195,$I$13:I195,I195)</f>
        <v>15</v>
      </c>
      <c r="O195" s="8">
        <v>1002318</v>
      </c>
      <c r="P195" s="8">
        <v>1002320</v>
      </c>
    </row>
    <row r="196" spans="1:17">
      <c r="A196" s="14" t="s">
        <v>14</v>
      </c>
      <c r="B196" s="8">
        <f t="shared" si="4"/>
        <v>70028416</v>
      </c>
      <c r="C196" s="2" t="s">
        <v>227</v>
      </c>
      <c r="E196" s="2" t="str">
        <f>F196&amp;(VLOOKUP(G196,编号表!$E$1:$G$8,2,0))&amp;H196&amp;"_"&amp;I196&amp;"_"&amp;J196</f>
        <v>2N8_4_16</v>
      </c>
      <c r="F196" s="2">
        <v>2</v>
      </c>
      <c r="G196" s="2" t="s">
        <v>37</v>
      </c>
      <c r="H196" s="2">
        <v>8</v>
      </c>
      <c r="I196" s="2">
        <v>4</v>
      </c>
      <c r="J196" s="2">
        <f>COUNTIFS($F$13:F196,F196,$I$13:I196,I196)</f>
        <v>16</v>
      </c>
      <c r="O196" s="8">
        <v>1002318</v>
      </c>
      <c r="P196" s="8">
        <v>1002320</v>
      </c>
    </row>
    <row r="197" spans="1:17">
      <c r="A197" s="14" t="s">
        <v>14</v>
      </c>
      <c r="B197" s="8">
        <f t="shared" si="4"/>
        <v>70028417</v>
      </c>
      <c r="C197" s="2" t="s">
        <v>228</v>
      </c>
      <c r="E197" s="2" t="str">
        <f>F197&amp;(VLOOKUP(G197,编号表!$E$1:$G$8,2,0))&amp;H197&amp;"_"&amp;I197&amp;"_"&amp;J197</f>
        <v>2N8_4_17</v>
      </c>
      <c r="F197" s="2">
        <v>2</v>
      </c>
      <c r="G197" s="2" t="s">
        <v>37</v>
      </c>
      <c r="H197" s="2">
        <v>8</v>
      </c>
      <c r="I197" s="2">
        <v>4</v>
      </c>
      <c r="J197" s="2">
        <f>COUNTIFS($F$13:F197,F197,$I$13:I197,I197)</f>
        <v>17</v>
      </c>
      <c r="O197" s="8">
        <v>1002318</v>
      </c>
      <c r="P197" s="8">
        <v>1002320</v>
      </c>
    </row>
    <row r="198" spans="1:17">
      <c r="A198" s="14" t="s">
        <v>14</v>
      </c>
      <c r="B198" s="8">
        <f t="shared" si="4"/>
        <v>70028418</v>
      </c>
      <c r="C198" s="2" t="s">
        <v>229</v>
      </c>
      <c r="E198" s="2" t="str">
        <f>F198&amp;(VLOOKUP(G198,编号表!$E$1:$G$8,2,0))&amp;H198&amp;"_"&amp;I198&amp;"_"&amp;J198</f>
        <v>2N8_4_18</v>
      </c>
      <c r="F198" s="2">
        <v>2</v>
      </c>
      <c r="G198" s="2" t="s">
        <v>37</v>
      </c>
      <c r="H198" s="2">
        <v>8</v>
      </c>
      <c r="I198" s="2">
        <v>4</v>
      </c>
      <c r="J198" s="2">
        <f>COUNTIFS($F$13:F198,F198,$I$13:I198,I198)</f>
        <v>18</v>
      </c>
      <c r="O198" s="8">
        <v>1002317</v>
      </c>
      <c r="P198" s="8">
        <v>1002318</v>
      </c>
      <c r="Q198" s="8">
        <v>1002320</v>
      </c>
    </row>
    <row r="199" spans="1:17">
      <c r="A199" s="14" t="s">
        <v>14</v>
      </c>
      <c r="B199" s="8">
        <f t="shared" si="4"/>
        <v>70026419</v>
      </c>
      <c r="C199" s="2" t="s">
        <v>230</v>
      </c>
      <c r="E199" s="2" t="str">
        <f>F199&amp;(VLOOKUP(G199,编号表!$E$1:$G$8,2,0))&amp;H199&amp;"_"&amp;I199&amp;"_"&amp;J199</f>
        <v>2N6_4_19</v>
      </c>
      <c r="F199" s="2">
        <v>2</v>
      </c>
      <c r="G199" s="2" t="s">
        <v>37</v>
      </c>
      <c r="H199" s="2">
        <v>6</v>
      </c>
      <c r="I199" s="2">
        <v>4</v>
      </c>
      <c r="J199" s="2">
        <f>COUNTIFS($F$13:F199,F199,$I$13:I199,I199)</f>
        <v>19</v>
      </c>
      <c r="O199" s="8">
        <v>1002317</v>
      </c>
      <c r="P199" s="8">
        <v>1002320</v>
      </c>
    </row>
    <row r="200" spans="1:17">
      <c r="A200" s="14" t="s">
        <v>14</v>
      </c>
      <c r="B200" s="8">
        <f t="shared" si="4"/>
        <v>70023420</v>
      </c>
      <c r="C200" s="2" t="s">
        <v>231</v>
      </c>
      <c r="E200" s="2" t="str">
        <f>F200&amp;(VLOOKUP(G200,编号表!$E$1:$G$8,2,0))&amp;H200&amp;"_"&amp;I200&amp;"_"&amp;J200</f>
        <v>2N3_4_20</v>
      </c>
      <c r="F200" s="2">
        <v>2</v>
      </c>
      <c r="G200" s="2" t="s">
        <v>37</v>
      </c>
      <c r="H200" s="2">
        <v>3</v>
      </c>
      <c r="I200" s="2">
        <v>4</v>
      </c>
      <c r="J200" s="2">
        <f>COUNTIFS($F$13:F200,F200,$I$13:I200,I200)</f>
        <v>20</v>
      </c>
      <c r="O200" s="8">
        <v>1002317</v>
      </c>
      <c r="P200" s="8">
        <v>1002319</v>
      </c>
      <c r="Q200" s="8">
        <v>1002320</v>
      </c>
    </row>
    <row r="201" spans="1:17">
      <c r="A201" s="14" t="s">
        <v>14</v>
      </c>
      <c r="B201" s="8">
        <f t="shared" si="4"/>
        <v>70028421</v>
      </c>
      <c r="C201" s="2" t="s">
        <v>232</v>
      </c>
      <c r="E201" s="2" t="str">
        <f>F201&amp;(VLOOKUP(G201,编号表!$E$1:$G$8,2,0))&amp;H201&amp;"_"&amp;I201&amp;"_"&amp;J201</f>
        <v>2N8_4_21</v>
      </c>
      <c r="F201" s="2">
        <v>2</v>
      </c>
      <c r="G201" s="2" t="s">
        <v>37</v>
      </c>
      <c r="H201" s="2">
        <v>8</v>
      </c>
      <c r="I201" s="2">
        <v>4</v>
      </c>
      <c r="J201" s="2">
        <f>COUNTIFS($F$13:F201,F201,$I$13:I201,I201)</f>
        <v>21</v>
      </c>
      <c r="O201" s="8">
        <v>1002317</v>
      </c>
      <c r="P201" s="8">
        <v>1002319</v>
      </c>
      <c r="Q201" s="8">
        <v>1002320</v>
      </c>
    </row>
    <row r="202" spans="1:17">
      <c r="A202" s="14" t="s">
        <v>14</v>
      </c>
      <c r="B202" s="8">
        <f t="shared" si="4"/>
        <v>70028422</v>
      </c>
      <c r="C202" s="2" t="s">
        <v>233</v>
      </c>
      <c r="E202" s="2" t="str">
        <f>F202&amp;(VLOOKUP(G202,编号表!$E$1:$G$8,2,0))&amp;H202&amp;"_"&amp;I202&amp;"_"&amp;J202</f>
        <v>2N8_4_22</v>
      </c>
      <c r="F202" s="2">
        <v>2</v>
      </c>
      <c r="G202" s="2" t="s">
        <v>37</v>
      </c>
      <c r="H202" s="2">
        <v>8</v>
      </c>
      <c r="I202" s="2">
        <v>4</v>
      </c>
      <c r="J202" s="2">
        <f>COUNTIFS($F$13:F202,F202,$I$13:I202,I202)</f>
        <v>22</v>
      </c>
      <c r="O202" s="8">
        <v>1002317</v>
      </c>
      <c r="P202" s="8">
        <v>1002319</v>
      </c>
      <c r="Q202" s="8">
        <v>1002320</v>
      </c>
    </row>
    <row r="203" spans="1:17">
      <c r="A203" s="14" t="s">
        <v>14</v>
      </c>
      <c r="B203" s="8">
        <f t="shared" si="4"/>
        <v>70028423</v>
      </c>
      <c r="C203" s="2" t="s">
        <v>234</v>
      </c>
      <c r="E203" s="2" t="str">
        <f>F203&amp;(VLOOKUP(G203,编号表!$E$1:$G$8,2,0))&amp;H203&amp;"_"&amp;I203&amp;"_"&amp;J203</f>
        <v>2N8_4_23</v>
      </c>
      <c r="F203" s="2">
        <v>2</v>
      </c>
      <c r="G203" s="2" t="s">
        <v>37</v>
      </c>
      <c r="H203" s="2">
        <v>8</v>
      </c>
      <c r="I203" s="2">
        <v>4</v>
      </c>
      <c r="J203" s="2">
        <f>COUNTIFS($F$13:F203,F203,$I$13:I203,I203)</f>
        <v>23</v>
      </c>
      <c r="O203" s="8">
        <v>1002317</v>
      </c>
      <c r="P203" s="8">
        <v>1002319</v>
      </c>
      <c r="Q203" s="8">
        <v>1002320</v>
      </c>
    </row>
    <row r="204" spans="1:17">
      <c r="A204" s="14" t="s">
        <v>14</v>
      </c>
      <c r="B204" s="8">
        <f t="shared" si="4"/>
        <v>70028424</v>
      </c>
      <c r="C204" s="2" t="s">
        <v>235</v>
      </c>
      <c r="E204" s="2" t="str">
        <f>F204&amp;(VLOOKUP(G204,编号表!$E$1:$G$8,2,0))&amp;H204&amp;"_"&amp;I204&amp;"_"&amp;J204</f>
        <v>2N8_4_24</v>
      </c>
      <c r="F204" s="2">
        <v>2</v>
      </c>
      <c r="G204" s="2" t="s">
        <v>37</v>
      </c>
      <c r="H204" s="2">
        <v>8</v>
      </c>
      <c r="I204" s="2">
        <v>4</v>
      </c>
      <c r="J204" s="2">
        <f>COUNTIFS($F$13:F204,F204,$I$13:I204,I204)</f>
        <v>24</v>
      </c>
      <c r="O204" s="8">
        <v>1002317</v>
      </c>
      <c r="P204" s="8">
        <v>1002319</v>
      </c>
      <c r="Q204" s="8">
        <v>1002320</v>
      </c>
    </row>
    <row r="205" spans="1:17">
      <c r="A205" s="14" t="s">
        <v>14</v>
      </c>
      <c r="B205" s="8">
        <f t="shared" si="4"/>
        <v>70028425</v>
      </c>
      <c r="C205" s="2" t="s">
        <v>236</v>
      </c>
      <c r="E205" s="2" t="str">
        <f>F205&amp;(VLOOKUP(G205,编号表!$E$1:$G$8,2,0))&amp;H205&amp;"_"&amp;I205&amp;"_"&amp;J205</f>
        <v>2N8_4_25</v>
      </c>
      <c r="F205" s="2">
        <v>2</v>
      </c>
      <c r="G205" s="2" t="s">
        <v>37</v>
      </c>
      <c r="H205" s="2">
        <v>8</v>
      </c>
      <c r="I205" s="2">
        <v>4</v>
      </c>
      <c r="J205" s="2">
        <f>COUNTIFS($F$13:F205,F205,$I$13:I205,I205)</f>
        <v>25</v>
      </c>
      <c r="O205" s="8">
        <v>1002317</v>
      </c>
      <c r="P205" s="8">
        <v>1002319</v>
      </c>
    </row>
    <row r="206" spans="1:17">
      <c r="A206" s="14" t="s">
        <v>14</v>
      </c>
      <c r="B206" s="8">
        <f t="shared" si="4"/>
        <v>70026426</v>
      </c>
      <c r="C206" s="2" t="s">
        <v>237</v>
      </c>
      <c r="E206" s="2" t="str">
        <f>F206&amp;(VLOOKUP(G206,编号表!$E$1:$G$8,2,0))&amp;H206&amp;"_"&amp;I206&amp;"_"&amp;J206</f>
        <v>2N6_4_26</v>
      </c>
      <c r="F206" s="2">
        <v>2</v>
      </c>
      <c r="G206" s="2" t="s">
        <v>37</v>
      </c>
      <c r="H206" s="2">
        <v>6</v>
      </c>
      <c r="I206" s="2">
        <v>4</v>
      </c>
      <c r="J206" s="2">
        <f>COUNTIFS($F$13:F206,F206,$I$13:I206,I206)</f>
        <v>26</v>
      </c>
      <c r="O206" s="8">
        <v>1002317</v>
      </c>
      <c r="P206" s="8">
        <v>1002319</v>
      </c>
    </row>
    <row r="207" spans="1:17">
      <c r="A207" s="14" t="s">
        <v>14</v>
      </c>
      <c r="B207" s="8">
        <f t="shared" si="4"/>
        <v>70023427</v>
      </c>
      <c r="C207" s="2" t="s">
        <v>238</v>
      </c>
      <c r="E207" s="2" t="str">
        <f>F207&amp;(VLOOKUP(G207,编号表!$E$1:$G$8,2,0))&amp;H207&amp;"_"&amp;I207&amp;"_"&amp;J207</f>
        <v>2N3_4_27</v>
      </c>
      <c r="F207" s="2">
        <v>2</v>
      </c>
      <c r="G207" s="2" t="s">
        <v>37</v>
      </c>
      <c r="H207" s="2">
        <v>3</v>
      </c>
      <c r="I207" s="2">
        <v>4</v>
      </c>
      <c r="J207" s="2">
        <f>COUNTIFS($F$13:F207,F207,$I$13:I207,I207)</f>
        <v>27</v>
      </c>
      <c r="O207" s="8">
        <v>1002317</v>
      </c>
      <c r="P207" s="8">
        <v>1002319</v>
      </c>
    </row>
    <row r="208" spans="1:17">
      <c r="A208" s="14" t="s">
        <v>14</v>
      </c>
      <c r="B208" s="8">
        <f t="shared" si="4"/>
        <v>70028428</v>
      </c>
      <c r="C208" s="2" t="s">
        <v>239</v>
      </c>
      <c r="E208" s="2" t="str">
        <f>F208&amp;(VLOOKUP(G208,编号表!$E$1:$G$8,2,0))&amp;H208&amp;"_"&amp;I208&amp;"_"&amp;J208</f>
        <v>2N8_4_28</v>
      </c>
      <c r="F208" s="2">
        <v>2</v>
      </c>
      <c r="G208" s="2" t="s">
        <v>37</v>
      </c>
      <c r="H208" s="2">
        <v>8</v>
      </c>
      <c r="I208" s="2">
        <v>4</v>
      </c>
      <c r="J208" s="2">
        <f>COUNTIFS($F$13:F208,F208,$I$13:I208,I208)</f>
        <v>28</v>
      </c>
      <c r="O208" s="8">
        <v>1002317</v>
      </c>
      <c r="P208" s="8">
        <v>1002319</v>
      </c>
    </row>
    <row r="209" spans="1:17">
      <c r="A209" s="14" t="s">
        <v>14</v>
      </c>
      <c r="B209" s="8">
        <f t="shared" si="4"/>
        <v>70028429</v>
      </c>
      <c r="C209" s="2" t="s">
        <v>240</v>
      </c>
      <c r="E209" s="2" t="str">
        <f>F209&amp;(VLOOKUP(G209,编号表!$E$1:$G$8,2,0))&amp;H209&amp;"_"&amp;I209&amp;"_"&amp;J209</f>
        <v>2N8_4_29</v>
      </c>
      <c r="F209" s="2">
        <v>2</v>
      </c>
      <c r="G209" s="2" t="s">
        <v>37</v>
      </c>
      <c r="H209" s="2">
        <v>8</v>
      </c>
      <c r="I209" s="2">
        <v>4</v>
      </c>
      <c r="J209" s="2">
        <f>COUNTIFS($F$13:F209,F209,$I$13:I209,I209)</f>
        <v>29</v>
      </c>
      <c r="O209" s="8">
        <v>1002317</v>
      </c>
      <c r="P209" s="8">
        <v>1002319</v>
      </c>
    </row>
    <row r="210" spans="1:17">
      <c r="A210" s="14" t="s">
        <v>14</v>
      </c>
      <c r="B210" s="8">
        <f t="shared" si="4"/>
        <v>70028430</v>
      </c>
      <c r="C210" s="2" t="s">
        <v>241</v>
      </c>
      <c r="E210" s="2" t="str">
        <f>F210&amp;(VLOOKUP(G210,编号表!$E$1:$G$8,2,0))&amp;H210&amp;"_"&amp;I210&amp;"_"&amp;J210</f>
        <v>2N8_4_30</v>
      </c>
      <c r="F210" s="2">
        <v>2</v>
      </c>
      <c r="G210" s="2" t="s">
        <v>37</v>
      </c>
      <c r="H210" s="2">
        <v>8</v>
      </c>
      <c r="I210" s="2">
        <v>4</v>
      </c>
      <c r="J210" s="2">
        <f>COUNTIFS($F$13:F210,F210,$I$13:I210,I210)</f>
        <v>30</v>
      </c>
      <c r="O210" s="8">
        <v>1002317</v>
      </c>
      <c r="P210" s="8">
        <v>1002319</v>
      </c>
    </row>
    <row r="211" spans="1:17">
      <c r="A211" s="14" t="s">
        <v>14</v>
      </c>
      <c r="B211" s="8">
        <f t="shared" si="4"/>
        <v>70028431</v>
      </c>
      <c r="C211" s="2" t="s">
        <v>242</v>
      </c>
      <c r="E211" s="2" t="str">
        <f>F211&amp;(VLOOKUP(G211,编号表!$E$1:$G$8,2,0))&amp;H211&amp;"_"&amp;I211&amp;"_"&amp;J211</f>
        <v>2N8_4_31</v>
      </c>
      <c r="F211" s="2">
        <v>2</v>
      </c>
      <c r="G211" s="2" t="s">
        <v>37</v>
      </c>
      <c r="H211" s="2">
        <v>8</v>
      </c>
      <c r="I211" s="2">
        <v>4</v>
      </c>
      <c r="J211" s="2">
        <f>COUNTIFS($F$13:F211,F211,$I$13:I211,I211)</f>
        <v>31</v>
      </c>
      <c r="O211" s="8">
        <v>1002317</v>
      </c>
      <c r="P211" s="8">
        <v>1002319</v>
      </c>
    </row>
    <row r="212" spans="1:17">
      <c r="A212" s="14" t="s">
        <v>14</v>
      </c>
      <c r="B212" s="8">
        <f t="shared" si="4"/>
        <v>70028432</v>
      </c>
      <c r="C212" s="2" t="s">
        <v>243</v>
      </c>
      <c r="E212" s="2" t="str">
        <f>F212&amp;(VLOOKUP(G212,编号表!$E$1:$G$8,2,0))&amp;H212&amp;"_"&amp;I212&amp;"_"&amp;J212</f>
        <v>2N8_4_32</v>
      </c>
      <c r="F212" s="2">
        <v>2</v>
      </c>
      <c r="G212" s="2" t="s">
        <v>37</v>
      </c>
      <c r="H212" s="2">
        <v>8</v>
      </c>
      <c r="I212" s="2">
        <v>4</v>
      </c>
      <c r="J212" s="2">
        <f>COUNTIFS($F$13:F212,F212,$I$13:I212,I212)</f>
        <v>32</v>
      </c>
      <c r="O212" s="8">
        <v>1002317</v>
      </c>
      <c r="P212" s="8">
        <v>1002319</v>
      </c>
    </row>
    <row r="213" spans="1:17">
      <c r="A213" s="14" t="s">
        <v>14</v>
      </c>
      <c r="B213" s="8">
        <f t="shared" si="4"/>
        <v>70028433</v>
      </c>
      <c r="C213" s="2" t="s">
        <v>244</v>
      </c>
      <c r="E213" s="2" t="str">
        <f>F213&amp;(VLOOKUP(G213,编号表!$E$1:$G$8,2,0))&amp;H213&amp;"_"&amp;I213&amp;"_"&amp;J213</f>
        <v>2N8_4_33</v>
      </c>
      <c r="F213" s="2">
        <v>2</v>
      </c>
      <c r="G213" s="2" t="s">
        <v>37</v>
      </c>
      <c r="H213" s="2">
        <v>8</v>
      </c>
      <c r="I213" s="2">
        <v>4</v>
      </c>
      <c r="J213" s="2">
        <f>COUNTIFS($F$13:F213,F213,$I$13:I213,I213)</f>
        <v>33</v>
      </c>
      <c r="O213" s="8">
        <v>1002317</v>
      </c>
      <c r="P213" s="8">
        <v>1002319</v>
      </c>
    </row>
    <row r="214" spans="1:17">
      <c r="A214" s="14" t="s">
        <v>14</v>
      </c>
      <c r="B214" s="8">
        <f t="shared" si="4"/>
        <v>70026434</v>
      </c>
      <c r="C214" s="2" t="s">
        <v>245</v>
      </c>
      <c r="E214" s="2" t="str">
        <f>F214&amp;(VLOOKUP(G214,编号表!$E$1:$G$8,2,0))&amp;H214&amp;"_"&amp;I214&amp;"_"&amp;J214</f>
        <v>2N6_4_34</v>
      </c>
      <c r="F214" s="2">
        <v>2</v>
      </c>
      <c r="G214" s="2" t="s">
        <v>37</v>
      </c>
      <c r="H214" s="2">
        <v>6</v>
      </c>
      <c r="I214" s="2">
        <v>4</v>
      </c>
      <c r="J214" s="2">
        <f>COUNTIFS($F$13:F214,F214,$I$13:I214,I214)</f>
        <v>34</v>
      </c>
      <c r="O214" s="8">
        <v>1002317</v>
      </c>
      <c r="P214" s="8">
        <v>1002319</v>
      </c>
    </row>
    <row r="215" spans="1:17">
      <c r="A215" s="14" t="s">
        <v>14</v>
      </c>
      <c r="B215" s="8">
        <f t="shared" si="4"/>
        <v>70023435</v>
      </c>
      <c r="C215" s="2" t="s">
        <v>246</v>
      </c>
      <c r="E215" s="2" t="str">
        <f>F215&amp;(VLOOKUP(G215,编号表!$E$1:$G$8,2,0))&amp;H215&amp;"_"&amp;I215&amp;"_"&amp;J215</f>
        <v>2N3_4_35</v>
      </c>
      <c r="F215" s="2">
        <v>2</v>
      </c>
      <c r="G215" s="2" t="s">
        <v>37</v>
      </c>
      <c r="H215" s="2">
        <v>3</v>
      </c>
      <c r="I215" s="2">
        <v>4</v>
      </c>
      <c r="J215" s="2">
        <f>COUNTIFS($F$13:F215,F215,$I$13:I215,I215)</f>
        <v>35</v>
      </c>
      <c r="O215" s="8">
        <v>1002317</v>
      </c>
      <c r="P215" s="8">
        <v>1002319</v>
      </c>
    </row>
    <row r="216" spans="1:17">
      <c r="A216" s="14" t="s">
        <v>14</v>
      </c>
      <c r="B216" s="8">
        <f t="shared" ref="B216:B264" si="5">70000000+F216*10000+H216*1000+I216*100+J216</f>
        <v>70028436</v>
      </c>
      <c r="C216" s="2" t="s">
        <v>247</v>
      </c>
      <c r="E216" s="2" t="str">
        <f>F216&amp;(VLOOKUP(G216,编号表!$E$1:$G$8,2,0))&amp;H216&amp;"_"&amp;I216&amp;"_"&amp;J216</f>
        <v>2N8_4_36</v>
      </c>
      <c r="F216" s="2">
        <v>2</v>
      </c>
      <c r="G216" s="2" t="s">
        <v>37</v>
      </c>
      <c r="H216" s="2">
        <v>8</v>
      </c>
      <c r="I216" s="2">
        <v>4</v>
      </c>
      <c r="J216" s="2">
        <f>COUNTIFS($F$13:F216,F216,$I$13:I216,I216)</f>
        <v>36</v>
      </c>
      <c r="O216" s="8">
        <v>1002317</v>
      </c>
      <c r="P216" s="8">
        <v>1002318</v>
      </c>
      <c r="Q216" s="8">
        <v>1002319</v>
      </c>
    </row>
    <row r="217" spans="1:17">
      <c r="A217" s="14" t="s">
        <v>14</v>
      </c>
      <c r="B217" s="8">
        <f t="shared" si="5"/>
        <v>70028437</v>
      </c>
      <c r="C217" s="2" t="s">
        <v>248</v>
      </c>
      <c r="E217" s="2" t="str">
        <f>F217&amp;(VLOOKUP(G217,编号表!$E$1:$G$8,2,0))&amp;H217&amp;"_"&amp;I217&amp;"_"&amp;J217</f>
        <v>2N8_4_37</v>
      </c>
      <c r="F217" s="2">
        <v>2</v>
      </c>
      <c r="G217" s="2" t="s">
        <v>37</v>
      </c>
      <c r="H217" s="2">
        <v>8</v>
      </c>
      <c r="I217" s="2">
        <v>4</v>
      </c>
      <c r="J217" s="2">
        <f>COUNTIFS($F$13:F217,F217,$I$13:I217,I217)</f>
        <v>37</v>
      </c>
      <c r="O217" s="8">
        <v>1002317</v>
      </c>
      <c r="P217" s="8">
        <v>1002318</v>
      </c>
      <c r="Q217" s="8">
        <v>1002319</v>
      </c>
    </row>
    <row r="218" spans="1:17">
      <c r="A218" s="14" t="s">
        <v>14</v>
      </c>
      <c r="B218" s="8">
        <f t="shared" si="5"/>
        <v>70028438</v>
      </c>
      <c r="C218" s="2" t="s">
        <v>249</v>
      </c>
      <c r="E218" s="2" t="str">
        <f>F218&amp;(VLOOKUP(G218,编号表!$E$1:$G$8,2,0))&amp;H218&amp;"_"&amp;I218&amp;"_"&amp;J218</f>
        <v>2N8_4_38</v>
      </c>
      <c r="F218" s="2">
        <v>2</v>
      </c>
      <c r="G218" s="2" t="s">
        <v>37</v>
      </c>
      <c r="H218" s="2">
        <v>8</v>
      </c>
      <c r="I218" s="2">
        <v>4</v>
      </c>
      <c r="J218" s="2">
        <f>COUNTIFS($F$13:F218,F218,$I$13:I218,I218)</f>
        <v>38</v>
      </c>
      <c r="O218" s="8">
        <v>1002317</v>
      </c>
      <c r="P218" s="8">
        <v>1002318</v>
      </c>
      <c r="Q218" s="8">
        <v>1002319</v>
      </c>
    </row>
    <row r="219" spans="1:17">
      <c r="A219" s="14" t="s">
        <v>14</v>
      </c>
      <c r="B219" s="8">
        <f t="shared" si="5"/>
        <v>70028439</v>
      </c>
      <c r="C219" s="2" t="s">
        <v>250</v>
      </c>
      <c r="E219" s="2" t="str">
        <f>F219&amp;(VLOOKUP(G219,编号表!$E$1:$G$8,2,0))&amp;H219&amp;"_"&amp;I219&amp;"_"&amp;J219</f>
        <v>2N8_4_39</v>
      </c>
      <c r="F219" s="2">
        <v>2</v>
      </c>
      <c r="G219" s="2" t="s">
        <v>37</v>
      </c>
      <c r="H219" s="2">
        <v>8</v>
      </c>
      <c r="I219" s="2">
        <v>4</v>
      </c>
      <c r="J219" s="2">
        <f>COUNTIFS($F$13:F219,F219,$I$13:I219,I219)</f>
        <v>39</v>
      </c>
      <c r="O219" s="8">
        <v>1002317</v>
      </c>
      <c r="P219" s="8">
        <v>1002318</v>
      </c>
      <c r="Q219" s="8">
        <v>1002319</v>
      </c>
    </row>
    <row r="220" spans="1:17">
      <c r="A220" s="14" t="s">
        <v>14</v>
      </c>
      <c r="B220" s="8">
        <f t="shared" si="5"/>
        <v>70028440</v>
      </c>
      <c r="C220" s="2" t="s">
        <v>251</v>
      </c>
      <c r="E220" s="2" t="str">
        <f>F220&amp;(VLOOKUP(G220,编号表!$E$1:$G$8,2,0))&amp;H220&amp;"_"&amp;I220&amp;"_"&amp;J220</f>
        <v>2N8_4_40</v>
      </c>
      <c r="F220" s="2">
        <v>2</v>
      </c>
      <c r="G220" s="2" t="s">
        <v>37</v>
      </c>
      <c r="H220" s="2">
        <v>8</v>
      </c>
      <c r="I220" s="2">
        <v>4</v>
      </c>
      <c r="J220" s="2">
        <f>COUNTIFS($F$13:F220,F220,$I$13:I220,I220)</f>
        <v>40</v>
      </c>
      <c r="O220" s="8">
        <v>1002317</v>
      </c>
      <c r="P220" s="8">
        <v>1002318</v>
      </c>
      <c r="Q220" s="8">
        <v>1002319</v>
      </c>
    </row>
    <row r="221" spans="1:17">
      <c r="A221" s="14" t="s">
        <v>14</v>
      </c>
      <c r="B221" s="8">
        <f t="shared" si="5"/>
        <v>70028441</v>
      </c>
      <c r="C221" s="2" t="s">
        <v>252</v>
      </c>
      <c r="E221" s="2" t="str">
        <f>F221&amp;(VLOOKUP(G221,编号表!$E$1:$G$8,2,0))&amp;H221&amp;"_"&amp;I221&amp;"_"&amp;J221</f>
        <v>2N8_4_41</v>
      </c>
      <c r="F221" s="2">
        <v>2</v>
      </c>
      <c r="G221" s="2" t="s">
        <v>37</v>
      </c>
      <c r="H221" s="2">
        <v>8</v>
      </c>
      <c r="I221" s="2">
        <v>4</v>
      </c>
      <c r="J221" s="2">
        <f>COUNTIFS($F$13:F221,F221,$I$13:I221,I221)</f>
        <v>41</v>
      </c>
      <c r="O221" s="8">
        <v>1002317</v>
      </c>
      <c r="P221" s="8">
        <v>1002318</v>
      </c>
      <c r="Q221" s="8">
        <v>1002319</v>
      </c>
    </row>
    <row r="222" spans="1:17">
      <c r="A222" s="14" t="s">
        <v>14</v>
      </c>
      <c r="B222" s="8">
        <f t="shared" si="5"/>
        <v>70028442</v>
      </c>
      <c r="C222" s="2" t="s">
        <v>253</v>
      </c>
      <c r="E222" s="2" t="str">
        <f>F222&amp;(VLOOKUP(G222,编号表!$E$1:$G$8,2,0))&amp;H222&amp;"_"&amp;I222&amp;"_"&amp;J222</f>
        <v>2N8_4_42</v>
      </c>
      <c r="F222" s="2">
        <v>2</v>
      </c>
      <c r="G222" s="2" t="s">
        <v>37</v>
      </c>
      <c r="H222" s="2">
        <v>8</v>
      </c>
      <c r="I222" s="2">
        <v>4</v>
      </c>
      <c r="J222" s="2">
        <f>COUNTIFS($F$13:F222,F222,$I$13:I222,I222)</f>
        <v>42</v>
      </c>
      <c r="O222" s="8">
        <v>1002317</v>
      </c>
      <c r="P222" s="8">
        <v>1002318</v>
      </c>
      <c r="Q222" s="8">
        <v>1002319</v>
      </c>
    </row>
    <row r="223" spans="1:17">
      <c r="A223" s="14" t="s">
        <v>14</v>
      </c>
      <c r="B223" s="8">
        <f t="shared" si="5"/>
        <v>70021501</v>
      </c>
      <c r="C223" s="17" t="s">
        <v>254</v>
      </c>
      <c r="E223" s="2" t="str">
        <f>F223&amp;(VLOOKUP(G223,编号表!$E$1:$G$8,2,0))&amp;H223&amp;"_"&amp;I223&amp;"_"&amp;J223</f>
        <v>2P1_5_1</v>
      </c>
      <c r="F223" s="2">
        <v>2</v>
      </c>
      <c r="G223" s="2" t="s">
        <v>57</v>
      </c>
      <c r="H223" s="2">
        <v>1</v>
      </c>
      <c r="I223" s="2">
        <v>5</v>
      </c>
      <c r="J223" s="2">
        <f>COUNTIFS($F$13:F223,F223,$I$13:I223,I223)</f>
        <v>1</v>
      </c>
      <c r="P223" s="20"/>
    </row>
    <row r="224" spans="1:17">
      <c r="A224" s="14" t="s">
        <v>14</v>
      </c>
      <c r="B224" s="8">
        <f t="shared" si="5"/>
        <v>70021502</v>
      </c>
      <c r="C224" s="17" t="s">
        <v>255</v>
      </c>
      <c r="E224" s="2" t="str">
        <f>F224&amp;(VLOOKUP(G224,编号表!$E$1:$G$8,2,0))&amp;H224&amp;"_"&amp;I224&amp;"_"&amp;J224</f>
        <v>2P1_5_2</v>
      </c>
      <c r="F224" s="2">
        <v>2</v>
      </c>
      <c r="G224" s="2" t="s">
        <v>57</v>
      </c>
      <c r="H224" s="2">
        <v>1</v>
      </c>
      <c r="I224" s="2">
        <v>5</v>
      </c>
      <c r="J224" s="2">
        <f>COUNTIFS($F$13:F224,F224,$I$13:I224,I224)</f>
        <v>2</v>
      </c>
      <c r="P224" s="20"/>
    </row>
    <row r="225" spans="1:16">
      <c r="A225" s="14" t="s">
        <v>14</v>
      </c>
      <c r="B225" s="8">
        <f t="shared" si="5"/>
        <v>70021503</v>
      </c>
      <c r="C225" s="17" t="s">
        <v>256</v>
      </c>
      <c r="E225" s="2" t="str">
        <f>F225&amp;(VLOOKUP(G225,编号表!$E$1:$G$8,2,0))&amp;H225&amp;"_"&amp;I225&amp;"_"&amp;J225</f>
        <v>2P1_5_3</v>
      </c>
      <c r="F225" s="2">
        <v>2</v>
      </c>
      <c r="G225" s="2" t="s">
        <v>57</v>
      </c>
      <c r="H225" s="2">
        <v>1</v>
      </c>
      <c r="I225" s="2">
        <v>5</v>
      </c>
      <c r="J225" s="2">
        <f>COUNTIFS($F$13:F225,F225,$I$13:I225,I225)</f>
        <v>3</v>
      </c>
      <c r="P225" s="20"/>
    </row>
    <row r="226" spans="1:16">
      <c r="A226" s="14" t="s">
        <v>14</v>
      </c>
      <c r="B226" s="8">
        <f t="shared" si="5"/>
        <v>70021504</v>
      </c>
      <c r="C226" s="17" t="s">
        <v>257</v>
      </c>
      <c r="E226" s="2" t="str">
        <f>F226&amp;(VLOOKUP(G226,编号表!$E$1:$G$8,2,0))&amp;H226&amp;"_"&amp;I226&amp;"_"&amp;J226</f>
        <v>2P1_5_4</v>
      </c>
      <c r="F226" s="2">
        <v>2</v>
      </c>
      <c r="G226" s="2" t="s">
        <v>57</v>
      </c>
      <c r="H226" s="2">
        <v>1</v>
      </c>
      <c r="I226" s="2">
        <v>5</v>
      </c>
      <c r="J226" s="2">
        <f>COUNTIFS($F$13:F226,F226,$I$13:I226,I226)</f>
        <v>4</v>
      </c>
      <c r="P226" s="20"/>
    </row>
    <row r="227" spans="1:16">
      <c r="A227" s="14" t="s">
        <v>14</v>
      </c>
      <c r="B227" s="8">
        <f t="shared" si="5"/>
        <v>70027505</v>
      </c>
      <c r="C227" s="17" t="s">
        <v>258</v>
      </c>
      <c r="E227" s="2" t="str">
        <f>F227&amp;(VLOOKUP(G227,编号表!$E$1:$G$8,2,0))&amp;H227&amp;"_"&amp;I227&amp;"_"&amp;J227</f>
        <v>2P7_5_5</v>
      </c>
      <c r="F227" s="2">
        <v>2</v>
      </c>
      <c r="G227" s="2" t="s">
        <v>57</v>
      </c>
      <c r="H227" s="2">
        <v>7</v>
      </c>
      <c r="I227" s="2">
        <v>5</v>
      </c>
      <c r="J227" s="2">
        <f>COUNTIFS($F$13:F227,F227,$I$13:I227,I227)</f>
        <v>5</v>
      </c>
      <c r="O227" s="8">
        <v>1002301</v>
      </c>
      <c r="P227" s="20"/>
    </row>
    <row r="228" spans="1:16">
      <c r="A228" s="14" t="s">
        <v>14</v>
      </c>
      <c r="B228" s="8">
        <f t="shared" si="5"/>
        <v>70021506</v>
      </c>
      <c r="C228" s="17" t="s">
        <v>259</v>
      </c>
      <c r="E228" s="2" t="str">
        <f>F228&amp;(VLOOKUP(G228,编号表!$E$1:$G$8,2,0))&amp;H228&amp;"_"&amp;I228&amp;"_"&amp;J228</f>
        <v>2P1_5_6</v>
      </c>
      <c r="F228" s="2">
        <v>2</v>
      </c>
      <c r="G228" s="2" t="s">
        <v>57</v>
      </c>
      <c r="H228" s="2">
        <v>1</v>
      </c>
      <c r="I228" s="2">
        <v>5</v>
      </c>
      <c r="J228" s="2">
        <f>COUNTIFS($F$13:F228,F228,$I$13:I228,I228)</f>
        <v>6</v>
      </c>
      <c r="P228" s="20"/>
    </row>
    <row r="229" spans="1:16">
      <c r="A229" s="14" t="s">
        <v>14</v>
      </c>
      <c r="B229" s="8">
        <f t="shared" si="5"/>
        <v>70022507</v>
      </c>
      <c r="C229" s="17" t="s">
        <v>260</v>
      </c>
      <c r="E229" s="2" t="str">
        <f>F229&amp;(VLOOKUP(G229,编号表!$E$1:$G$8,2,0))&amp;H229&amp;"_"&amp;I229&amp;"_"&amp;J229</f>
        <v>2P2_5_7</v>
      </c>
      <c r="F229" s="2">
        <v>2</v>
      </c>
      <c r="G229" s="2" t="s">
        <v>57</v>
      </c>
      <c r="H229" s="2">
        <v>2</v>
      </c>
      <c r="I229" s="2">
        <v>5</v>
      </c>
      <c r="J229" s="2">
        <f>COUNTIFS($F$13:F229,F229,$I$13:I229,I229)</f>
        <v>7</v>
      </c>
      <c r="O229" s="8">
        <v>1002301</v>
      </c>
      <c r="P229" s="20"/>
    </row>
    <row r="230" spans="1:16">
      <c r="A230" s="14" t="s">
        <v>14</v>
      </c>
      <c r="B230" s="8">
        <f t="shared" si="5"/>
        <v>70022508</v>
      </c>
      <c r="C230" s="17" t="s">
        <v>261</v>
      </c>
      <c r="E230" s="2" t="str">
        <f>F230&amp;(VLOOKUP(G230,编号表!$E$1:$G$8,2,0))&amp;H230&amp;"_"&amp;I230&amp;"_"&amp;J230</f>
        <v>2P2_5_8</v>
      </c>
      <c r="F230" s="2">
        <v>2</v>
      </c>
      <c r="G230" s="2" t="s">
        <v>57</v>
      </c>
      <c r="H230" s="2">
        <v>2</v>
      </c>
      <c r="I230" s="2">
        <v>5</v>
      </c>
      <c r="J230" s="2">
        <f>COUNTIFS($F$13:F230,F230,$I$13:I230,I230)</f>
        <v>8</v>
      </c>
      <c r="O230" s="8">
        <v>1002301</v>
      </c>
      <c r="P230" s="20"/>
    </row>
    <row r="231" spans="1:16">
      <c r="A231" s="14" t="s">
        <v>14</v>
      </c>
      <c r="B231" s="8">
        <f t="shared" si="5"/>
        <v>70024509</v>
      </c>
      <c r="C231" s="17" t="s">
        <v>262</v>
      </c>
      <c r="E231" s="2" t="str">
        <f>F231&amp;(VLOOKUP(G231,编号表!$E$1:$G$8,2,0))&amp;H231&amp;"_"&amp;I231&amp;"_"&amp;J231</f>
        <v>2P4_5_9</v>
      </c>
      <c r="F231" s="2">
        <v>2</v>
      </c>
      <c r="G231" s="2" t="s">
        <v>57</v>
      </c>
      <c r="H231" s="2">
        <v>4</v>
      </c>
      <c r="I231" s="2">
        <v>5</v>
      </c>
      <c r="J231" s="2">
        <f>COUNTIFS($F$13:F231,F231,$I$13:I231,I231)</f>
        <v>9</v>
      </c>
      <c r="O231" s="8">
        <v>1002301</v>
      </c>
      <c r="P231" s="20"/>
    </row>
    <row r="232" spans="1:16">
      <c r="A232" s="14" t="s">
        <v>14</v>
      </c>
      <c r="B232" s="8">
        <f t="shared" si="5"/>
        <v>70028510</v>
      </c>
      <c r="C232" s="17" t="s">
        <v>263</v>
      </c>
      <c r="E232" s="2" t="str">
        <f>F232&amp;(VLOOKUP(G232,编号表!$E$1:$G$8,2,0))&amp;H232&amp;"_"&amp;I232&amp;"_"&amp;J232</f>
        <v>2P8_5_10</v>
      </c>
      <c r="F232" s="2">
        <v>2</v>
      </c>
      <c r="G232" s="2" t="s">
        <v>57</v>
      </c>
      <c r="H232" s="2">
        <v>8</v>
      </c>
      <c r="I232" s="2">
        <v>5</v>
      </c>
      <c r="J232" s="2">
        <f>COUNTIFS($F$13:F232,F232,$I$13:I232,I232)</f>
        <v>10</v>
      </c>
      <c r="O232" s="8">
        <v>1002301</v>
      </c>
      <c r="P232" s="20"/>
    </row>
    <row r="233" spans="1:16">
      <c r="A233" s="14" t="s">
        <v>14</v>
      </c>
      <c r="B233" s="8">
        <f t="shared" si="5"/>
        <v>70021511</v>
      </c>
      <c r="C233" s="17" t="s">
        <v>264</v>
      </c>
      <c r="E233" s="2" t="str">
        <f>F233&amp;(VLOOKUP(G233,编号表!$E$1:$G$8,2,0))&amp;H233&amp;"_"&amp;I233&amp;"_"&amp;J233</f>
        <v>2P1_5_11</v>
      </c>
      <c r="F233" s="2">
        <v>2</v>
      </c>
      <c r="G233" s="2" t="s">
        <v>57</v>
      </c>
      <c r="H233" s="2">
        <v>1</v>
      </c>
      <c r="I233" s="2">
        <v>5</v>
      </c>
      <c r="J233" s="2">
        <f>COUNTIFS($F$13:F233,F233,$I$13:I233,I233)</f>
        <v>11</v>
      </c>
      <c r="P233" s="20"/>
    </row>
    <row r="234" spans="1:16">
      <c r="A234" s="14" t="s">
        <v>14</v>
      </c>
      <c r="B234" s="8">
        <f t="shared" si="5"/>
        <v>70021512</v>
      </c>
      <c r="C234" s="17" t="s">
        <v>265</v>
      </c>
      <c r="E234" s="2" t="str">
        <f>F234&amp;(VLOOKUP(G234,编号表!$E$1:$G$8,2,0))&amp;H234&amp;"_"&amp;I234&amp;"_"&amp;J234</f>
        <v>2P1_5_12</v>
      </c>
      <c r="F234" s="2">
        <v>2</v>
      </c>
      <c r="G234" s="2" t="s">
        <v>57</v>
      </c>
      <c r="H234" s="2">
        <v>1</v>
      </c>
      <c r="I234" s="2">
        <v>5</v>
      </c>
      <c r="J234" s="2">
        <f>COUNTIFS($F$13:F234,F234,$I$13:I234,I234)</f>
        <v>12</v>
      </c>
      <c r="P234" s="20"/>
    </row>
    <row r="235" spans="1:16">
      <c r="A235" s="14" t="s">
        <v>14</v>
      </c>
      <c r="B235" s="8">
        <f t="shared" si="5"/>
        <v>70021513</v>
      </c>
      <c r="C235" s="17" t="s">
        <v>266</v>
      </c>
      <c r="E235" s="2" t="str">
        <f>F235&amp;(VLOOKUP(G235,编号表!$E$1:$G$8,2,0))&amp;H235&amp;"_"&amp;I235&amp;"_"&amp;J235</f>
        <v>2P1_5_13</v>
      </c>
      <c r="F235" s="2">
        <v>2</v>
      </c>
      <c r="G235" s="2" t="s">
        <v>57</v>
      </c>
      <c r="H235" s="2">
        <v>1</v>
      </c>
      <c r="I235" s="2">
        <v>5</v>
      </c>
      <c r="J235" s="2">
        <f>COUNTIFS($F$13:F235,F235,$I$13:I235,I235)</f>
        <v>13</v>
      </c>
      <c r="P235" s="20"/>
    </row>
    <row r="236" spans="1:16">
      <c r="A236" s="14" t="s">
        <v>14</v>
      </c>
      <c r="B236" s="8">
        <f t="shared" si="5"/>
        <v>70021514</v>
      </c>
      <c r="C236" s="17" t="s">
        <v>267</v>
      </c>
      <c r="E236" s="2" t="str">
        <f>F236&amp;(VLOOKUP(G236,编号表!$E$1:$G$8,2,0))&amp;H236&amp;"_"&amp;I236&amp;"_"&amp;J236</f>
        <v>2P1_5_14</v>
      </c>
      <c r="F236" s="2">
        <v>2</v>
      </c>
      <c r="G236" s="2" t="s">
        <v>57</v>
      </c>
      <c r="H236" s="2">
        <v>1</v>
      </c>
      <c r="I236" s="2">
        <v>5</v>
      </c>
      <c r="J236" s="2">
        <f>COUNTIFS($F$13:F236,F236,$I$13:I236,I236)</f>
        <v>14</v>
      </c>
      <c r="P236" s="20"/>
    </row>
    <row r="237" spans="1:16">
      <c r="A237" s="14" t="s">
        <v>14</v>
      </c>
      <c r="B237" s="8">
        <f t="shared" si="5"/>
        <v>70021515</v>
      </c>
      <c r="C237" s="17" t="s">
        <v>268</v>
      </c>
      <c r="E237" s="2" t="str">
        <f>F237&amp;(VLOOKUP(G237,编号表!$E$1:$G$8,2,0))&amp;H237&amp;"_"&amp;I237&amp;"_"&amp;J237</f>
        <v>2P1_5_15</v>
      </c>
      <c r="F237" s="2">
        <v>2</v>
      </c>
      <c r="G237" s="2" t="s">
        <v>57</v>
      </c>
      <c r="H237" s="2">
        <v>1</v>
      </c>
      <c r="I237" s="2">
        <v>5</v>
      </c>
      <c r="J237" s="2">
        <f>COUNTIFS($F$13:F237,F237,$I$13:I237,I237)</f>
        <v>15</v>
      </c>
      <c r="P237" s="20"/>
    </row>
    <row r="238" spans="1:16">
      <c r="A238" s="14" t="s">
        <v>14</v>
      </c>
      <c r="B238" s="8">
        <f t="shared" si="5"/>
        <v>70022516</v>
      </c>
      <c r="C238" s="17" t="s">
        <v>269</v>
      </c>
      <c r="E238" s="2" t="str">
        <f>F238&amp;(VLOOKUP(G238,编号表!$E$1:$G$8,2,0))&amp;H238&amp;"_"&amp;I238&amp;"_"&amp;J238</f>
        <v>2P2_5_16</v>
      </c>
      <c r="F238" s="2">
        <v>2</v>
      </c>
      <c r="G238" s="2" t="s">
        <v>57</v>
      </c>
      <c r="H238" s="2">
        <v>2</v>
      </c>
      <c r="I238" s="2">
        <v>5</v>
      </c>
      <c r="J238" s="2">
        <f>COUNTIFS($F$13:F238,F238,$I$13:I238,I238)</f>
        <v>16</v>
      </c>
      <c r="O238" s="8">
        <v>1002301</v>
      </c>
      <c r="P238" s="20"/>
    </row>
    <row r="239" spans="1:16">
      <c r="A239" s="14" t="s">
        <v>14</v>
      </c>
      <c r="B239" s="8">
        <f t="shared" si="5"/>
        <v>70022517</v>
      </c>
      <c r="C239" s="17" t="s">
        <v>270</v>
      </c>
      <c r="E239" s="2" t="str">
        <f>F239&amp;(VLOOKUP(G239,编号表!$E$1:$G$8,2,0))&amp;H239&amp;"_"&amp;I239&amp;"_"&amp;J239</f>
        <v>2P2_5_17</v>
      </c>
      <c r="F239" s="2">
        <v>2</v>
      </c>
      <c r="G239" s="2" t="s">
        <v>57</v>
      </c>
      <c r="H239" s="2">
        <v>2</v>
      </c>
      <c r="I239" s="2">
        <v>5</v>
      </c>
      <c r="J239" s="2">
        <f>COUNTIFS($F$13:F239,F239,$I$13:I239,I239)</f>
        <v>17</v>
      </c>
      <c r="O239" s="8">
        <v>1002301</v>
      </c>
      <c r="P239" s="20"/>
    </row>
    <row r="240" spans="1:16">
      <c r="A240" s="14" t="s">
        <v>14</v>
      </c>
      <c r="B240" s="8">
        <f t="shared" si="5"/>
        <v>70021518</v>
      </c>
      <c r="C240" s="17" t="s">
        <v>271</v>
      </c>
      <c r="E240" s="2" t="str">
        <f>F240&amp;(VLOOKUP(G240,编号表!$E$1:$G$8,2,0))&amp;H240&amp;"_"&amp;I240&amp;"_"&amp;J240</f>
        <v>2P1_5_18</v>
      </c>
      <c r="F240" s="2">
        <v>2</v>
      </c>
      <c r="G240" s="2" t="s">
        <v>57</v>
      </c>
      <c r="H240" s="2">
        <v>1</v>
      </c>
      <c r="I240" s="2">
        <v>5</v>
      </c>
      <c r="J240" s="2">
        <f>COUNTIFS($F$13:F240,F240,$I$13:I240,I240)</f>
        <v>18</v>
      </c>
      <c r="P240" s="20"/>
    </row>
    <row r="241" spans="1:16">
      <c r="A241" s="14" t="s">
        <v>14</v>
      </c>
      <c r="B241" s="8">
        <f t="shared" si="5"/>
        <v>70021519</v>
      </c>
      <c r="C241" s="17" t="s">
        <v>272</v>
      </c>
      <c r="E241" s="2" t="str">
        <f>F241&amp;(VLOOKUP(G241,编号表!$E$1:$G$8,2,0))&amp;H241&amp;"_"&amp;I241&amp;"_"&amp;J241</f>
        <v>2P1_5_19</v>
      </c>
      <c r="F241" s="2">
        <v>2</v>
      </c>
      <c r="G241" s="2" t="s">
        <v>57</v>
      </c>
      <c r="H241" s="2">
        <v>1</v>
      </c>
      <c r="I241" s="2">
        <v>5</v>
      </c>
      <c r="J241" s="2">
        <f>COUNTIFS($F$13:F241,F241,$I$13:I241,I241)</f>
        <v>19</v>
      </c>
      <c r="P241" s="20"/>
    </row>
    <row r="242" spans="1:16">
      <c r="A242" s="14" t="s">
        <v>14</v>
      </c>
      <c r="B242" s="8">
        <f t="shared" si="5"/>
        <v>70021520</v>
      </c>
      <c r="C242" s="17" t="s">
        <v>273</v>
      </c>
      <c r="E242" s="2" t="str">
        <f>F242&amp;(VLOOKUP(G242,编号表!$E$1:$G$8,2,0))&amp;H242&amp;"_"&amp;I242&amp;"_"&amp;J242</f>
        <v>2P1_5_20</v>
      </c>
      <c r="F242" s="2">
        <v>2</v>
      </c>
      <c r="G242" s="2" t="s">
        <v>57</v>
      </c>
      <c r="H242" s="2">
        <v>1</v>
      </c>
      <c r="I242" s="2">
        <v>5</v>
      </c>
      <c r="J242" s="2">
        <f>COUNTIFS($F$13:F242,F242,$I$13:I242,I242)</f>
        <v>20</v>
      </c>
      <c r="P242" s="20"/>
    </row>
    <row r="243" spans="1:16">
      <c r="A243" s="14" t="s">
        <v>14</v>
      </c>
      <c r="B243" s="8">
        <f t="shared" si="5"/>
        <v>70021521</v>
      </c>
      <c r="C243" s="17" t="s">
        <v>274</v>
      </c>
      <c r="E243" s="2" t="str">
        <f>F243&amp;(VLOOKUP(G243,编号表!$E$1:$G$8,2,0))&amp;H243&amp;"_"&amp;I243&amp;"_"&amp;J243</f>
        <v>2P1_5_21</v>
      </c>
      <c r="F243" s="2">
        <v>2</v>
      </c>
      <c r="G243" s="2" t="s">
        <v>57</v>
      </c>
      <c r="H243" s="2">
        <v>1</v>
      </c>
      <c r="I243" s="2">
        <v>5</v>
      </c>
      <c r="J243" s="2">
        <f>COUNTIFS($F$13:F243,F243,$I$13:I243,I243)</f>
        <v>21</v>
      </c>
      <c r="P243" s="20"/>
    </row>
    <row r="244" spans="1:16">
      <c r="A244" s="14" t="s">
        <v>14</v>
      </c>
      <c r="B244" s="8">
        <f t="shared" si="5"/>
        <v>70021522</v>
      </c>
      <c r="C244" s="17" t="s">
        <v>275</v>
      </c>
      <c r="E244" s="2" t="str">
        <f>F244&amp;(VLOOKUP(G244,编号表!$E$1:$G$8,2,0))&amp;H244&amp;"_"&amp;I244&amp;"_"&amp;J244</f>
        <v>2P1_5_22</v>
      </c>
      <c r="F244" s="2">
        <v>2</v>
      </c>
      <c r="G244" s="2" t="s">
        <v>57</v>
      </c>
      <c r="H244" s="2">
        <v>1</v>
      </c>
      <c r="I244" s="2">
        <v>5</v>
      </c>
      <c r="J244" s="2">
        <f>COUNTIFS($F$13:F244,F244,$I$13:I244,I244)</f>
        <v>22</v>
      </c>
      <c r="P244" s="20"/>
    </row>
    <row r="245" spans="1:16">
      <c r="A245" s="14" t="s">
        <v>14</v>
      </c>
      <c r="B245" s="8">
        <f t="shared" si="5"/>
        <v>70021523</v>
      </c>
      <c r="C245" s="17" t="s">
        <v>276</v>
      </c>
      <c r="E245" s="2" t="str">
        <f>F245&amp;(VLOOKUP(G245,编号表!$E$1:$G$8,2,0))&amp;H245&amp;"_"&amp;I245&amp;"_"&amp;J245</f>
        <v>2P1_5_23</v>
      </c>
      <c r="F245" s="2">
        <v>2</v>
      </c>
      <c r="G245" s="2" t="s">
        <v>57</v>
      </c>
      <c r="H245" s="2">
        <v>1</v>
      </c>
      <c r="I245" s="2">
        <v>5</v>
      </c>
      <c r="J245" s="2">
        <f>COUNTIFS($F$13:F245,F245,$I$13:I245,I245)</f>
        <v>23</v>
      </c>
      <c r="P245" s="20"/>
    </row>
    <row r="246" spans="1:16">
      <c r="A246" s="14" t="s">
        <v>14</v>
      </c>
      <c r="B246" s="8">
        <f t="shared" si="5"/>
        <v>70021524</v>
      </c>
      <c r="C246" s="17" t="s">
        <v>277</v>
      </c>
      <c r="E246" s="2" t="str">
        <f>F246&amp;(VLOOKUP(G246,编号表!$E$1:$G$8,2,0))&amp;H246&amp;"_"&amp;I246&amp;"_"&amp;J246</f>
        <v>2P1_5_24</v>
      </c>
      <c r="F246" s="2">
        <v>2</v>
      </c>
      <c r="G246" s="2" t="s">
        <v>57</v>
      </c>
      <c r="H246" s="2">
        <v>1</v>
      </c>
      <c r="I246" s="2">
        <v>5</v>
      </c>
      <c r="J246" s="2">
        <f>COUNTIFS($F$13:F246,F246,$I$13:I246,I246)</f>
        <v>24</v>
      </c>
      <c r="L246" s="2">
        <v>1</v>
      </c>
      <c r="P246" s="20"/>
    </row>
    <row r="247" spans="1:16">
      <c r="A247" s="14" t="s">
        <v>14</v>
      </c>
      <c r="B247" s="8">
        <f t="shared" si="5"/>
        <v>70021525</v>
      </c>
      <c r="C247" s="17" t="s">
        <v>278</v>
      </c>
      <c r="E247" s="2" t="str">
        <f>F247&amp;(VLOOKUP(G247,编号表!$E$1:$G$8,2,0))&amp;H247&amp;"_"&amp;I247&amp;"_"&amp;J247</f>
        <v>2P1_5_25</v>
      </c>
      <c r="F247" s="2">
        <v>2</v>
      </c>
      <c r="G247" s="2" t="s">
        <v>57</v>
      </c>
      <c r="H247" s="2">
        <v>1</v>
      </c>
      <c r="I247" s="2">
        <v>5</v>
      </c>
      <c r="J247" s="2">
        <f>COUNTIFS($F$13:F247,F247,$I$13:I247,I247)</f>
        <v>25</v>
      </c>
      <c r="P247" s="20"/>
    </row>
    <row r="248" spans="1:16">
      <c r="A248" s="14" t="s">
        <v>14</v>
      </c>
      <c r="B248" s="8">
        <f t="shared" si="5"/>
        <v>70021526</v>
      </c>
      <c r="C248" s="17" t="s">
        <v>279</v>
      </c>
      <c r="E248" s="2" t="str">
        <f>F248&amp;(VLOOKUP(G248,编号表!$E$1:$G$8,2,0))&amp;H248&amp;"_"&amp;I248&amp;"_"&amp;J248</f>
        <v>2P1_5_26</v>
      </c>
      <c r="F248" s="2">
        <v>2</v>
      </c>
      <c r="G248" s="2" t="s">
        <v>57</v>
      </c>
      <c r="H248" s="2">
        <v>1</v>
      </c>
      <c r="I248" s="2">
        <v>5</v>
      </c>
      <c r="J248" s="2">
        <f>COUNTIFS($F$13:F248,F248,$I$13:I248,I248)</f>
        <v>26</v>
      </c>
      <c r="P248" s="20"/>
    </row>
    <row r="249" spans="1:16">
      <c r="A249" s="14" t="s">
        <v>14</v>
      </c>
      <c r="B249" s="8">
        <f t="shared" si="5"/>
        <v>70021527</v>
      </c>
      <c r="C249" s="17" t="s">
        <v>280</v>
      </c>
      <c r="E249" s="2" t="str">
        <f>F249&amp;(VLOOKUP(G249,编号表!$E$1:$G$8,2,0))&amp;H249&amp;"_"&amp;I249&amp;"_"&amp;J249</f>
        <v>2P1_5_27</v>
      </c>
      <c r="F249" s="2">
        <v>2</v>
      </c>
      <c r="G249" s="2" t="s">
        <v>57</v>
      </c>
      <c r="H249" s="2">
        <v>1</v>
      </c>
      <c r="I249" s="2">
        <v>5</v>
      </c>
      <c r="J249" s="2">
        <f>COUNTIFS($F$13:F249,F249,$I$13:I249,I249)</f>
        <v>27</v>
      </c>
      <c r="P249" s="20"/>
    </row>
    <row r="250" spans="1:16">
      <c r="A250" s="14" t="s">
        <v>14</v>
      </c>
      <c r="B250" s="8">
        <f t="shared" si="5"/>
        <v>70021528</v>
      </c>
      <c r="C250" s="17" t="s">
        <v>281</v>
      </c>
      <c r="E250" s="2" t="str">
        <f>F250&amp;(VLOOKUP(G250,编号表!$E$1:$G$8,2,0))&amp;H250&amp;"_"&amp;I250&amp;"_"&amp;J250</f>
        <v>2P1_5_28</v>
      </c>
      <c r="F250" s="2">
        <v>2</v>
      </c>
      <c r="G250" s="2" t="s">
        <v>57</v>
      </c>
      <c r="H250" s="2">
        <v>1</v>
      </c>
      <c r="I250" s="2">
        <v>5</v>
      </c>
      <c r="J250" s="2">
        <f>COUNTIFS($F$13:F250,F250,$I$13:I250,I250)</f>
        <v>28</v>
      </c>
      <c r="P250" s="20"/>
    </row>
    <row r="251" spans="1:16">
      <c r="A251" s="14" t="s">
        <v>14</v>
      </c>
      <c r="B251" s="8">
        <f t="shared" si="5"/>
        <v>70021529</v>
      </c>
      <c r="C251" s="17" t="s">
        <v>282</v>
      </c>
      <c r="E251" s="2" t="str">
        <f>F251&amp;(VLOOKUP(G251,编号表!$E$1:$G$8,2,0))&amp;H251&amp;"_"&amp;I251&amp;"_"&amp;J251</f>
        <v>2P1_5_29</v>
      </c>
      <c r="F251" s="2">
        <v>2</v>
      </c>
      <c r="G251" s="2" t="s">
        <v>57</v>
      </c>
      <c r="H251" s="2">
        <v>1</v>
      </c>
      <c r="I251" s="2">
        <v>5</v>
      </c>
      <c r="J251" s="2">
        <f>COUNTIFS($F$13:F251,F251,$I$13:I251,I251)</f>
        <v>29</v>
      </c>
      <c r="P251" s="20"/>
    </row>
    <row r="252" spans="1:16">
      <c r="A252" s="14" t="s">
        <v>14</v>
      </c>
      <c r="B252" s="8">
        <f t="shared" si="5"/>
        <v>70021530</v>
      </c>
      <c r="C252" s="17" t="s">
        <v>283</v>
      </c>
      <c r="E252" s="2" t="str">
        <f>F252&amp;(VLOOKUP(G252,编号表!$E$1:$G$8,2,0))&amp;H252&amp;"_"&amp;I252&amp;"_"&amp;J252</f>
        <v>2P1_5_30</v>
      </c>
      <c r="F252" s="2">
        <v>2</v>
      </c>
      <c r="G252" s="2" t="s">
        <v>57</v>
      </c>
      <c r="H252" s="2">
        <v>1</v>
      </c>
      <c r="I252" s="2">
        <v>5</v>
      </c>
      <c r="J252" s="2">
        <f>COUNTIFS($F$13:F252,F252,$I$13:I252,I252)</f>
        <v>30</v>
      </c>
      <c r="P252" s="20"/>
    </row>
    <row r="253" spans="1:16">
      <c r="A253" s="14" t="s">
        <v>14</v>
      </c>
      <c r="B253" s="8">
        <f t="shared" si="5"/>
        <v>70023531</v>
      </c>
      <c r="C253" s="17" t="s">
        <v>284</v>
      </c>
      <c r="E253" s="2" t="str">
        <f>F253&amp;(VLOOKUP(G253,编号表!$E$1:$G$8,2,0))&amp;H253&amp;"_"&amp;I253&amp;"_"&amp;J253</f>
        <v>2P3_5_31</v>
      </c>
      <c r="F253" s="2">
        <v>2</v>
      </c>
      <c r="G253" s="2" t="s">
        <v>57</v>
      </c>
      <c r="H253" s="2">
        <v>3</v>
      </c>
      <c r="I253" s="2">
        <v>5</v>
      </c>
      <c r="J253" s="2">
        <f>COUNTIFS($F$13:F253,F253,$I$13:I253,I253)</f>
        <v>31</v>
      </c>
      <c r="O253" s="8">
        <v>1002301</v>
      </c>
      <c r="P253" s="20"/>
    </row>
    <row r="254" spans="1:16">
      <c r="A254" s="14" t="s">
        <v>14</v>
      </c>
      <c r="B254" s="8">
        <f t="shared" si="5"/>
        <v>70024532</v>
      </c>
      <c r="C254" s="17" t="s">
        <v>285</v>
      </c>
      <c r="E254" s="2" t="str">
        <f>F254&amp;(VLOOKUP(G254,编号表!$E$1:$G$8,2,0))&amp;H254&amp;"_"&amp;I254&amp;"_"&amp;J254</f>
        <v>2P4_5_32</v>
      </c>
      <c r="F254" s="2">
        <v>2</v>
      </c>
      <c r="G254" s="2" t="s">
        <v>57</v>
      </c>
      <c r="H254" s="2">
        <v>4</v>
      </c>
      <c r="I254" s="2">
        <v>5</v>
      </c>
      <c r="J254" s="2">
        <f>COUNTIFS($F$13:F254,F254,$I$13:I254,I254)</f>
        <v>32</v>
      </c>
      <c r="P254" s="20"/>
    </row>
    <row r="255" spans="1:16">
      <c r="A255" s="14" t="s">
        <v>14</v>
      </c>
      <c r="B255" s="8">
        <f t="shared" si="5"/>
        <v>70021533</v>
      </c>
      <c r="C255" s="17" t="s">
        <v>286</v>
      </c>
      <c r="E255" s="2" t="str">
        <f>F255&amp;(VLOOKUP(G255,编号表!$E$1:$G$8,2,0))&amp;H255&amp;"_"&amp;I255&amp;"_"&amp;J255</f>
        <v>2P1_5_33</v>
      </c>
      <c r="F255" s="2">
        <v>2</v>
      </c>
      <c r="G255" s="2" t="s">
        <v>57</v>
      </c>
      <c r="H255" s="2">
        <v>1</v>
      </c>
      <c r="I255" s="2">
        <v>5</v>
      </c>
      <c r="J255" s="2">
        <f>COUNTIFS($F$13:F255,F255,$I$13:I255,I255)</f>
        <v>33</v>
      </c>
      <c r="P255" s="20"/>
    </row>
    <row r="256" spans="1:16">
      <c r="A256" s="14" t="s">
        <v>14</v>
      </c>
      <c r="B256" s="8">
        <f t="shared" si="5"/>
        <v>70021534</v>
      </c>
      <c r="C256" s="17" t="s">
        <v>287</v>
      </c>
      <c r="E256" s="2" t="str">
        <f>F256&amp;(VLOOKUP(G256,编号表!$E$1:$G$8,2,0))&amp;H256&amp;"_"&amp;I256&amp;"_"&amp;J256</f>
        <v>2P1_5_34</v>
      </c>
      <c r="F256" s="2">
        <v>2</v>
      </c>
      <c r="G256" s="2" t="s">
        <v>57</v>
      </c>
      <c r="H256" s="2">
        <v>1</v>
      </c>
      <c r="I256" s="2">
        <v>5</v>
      </c>
      <c r="J256" s="2">
        <f>COUNTIFS($F$13:F256,F256,$I$13:I256,I256)</f>
        <v>34</v>
      </c>
      <c r="P256" s="20"/>
    </row>
    <row r="257" spans="1:16">
      <c r="A257" s="14" t="s">
        <v>14</v>
      </c>
      <c r="B257" s="8">
        <f t="shared" si="5"/>
        <v>70021535</v>
      </c>
      <c r="C257" s="17" t="s">
        <v>288</v>
      </c>
      <c r="E257" s="2" t="str">
        <f>F257&amp;(VLOOKUP(G257,编号表!$E$1:$G$8,2,0))&amp;H257&amp;"_"&amp;I257&amp;"_"&amp;J257</f>
        <v>2P1_5_35</v>
      </c>
      <c r="F257" s="2">
        <v>2</v>
      </c>
      <c r="G257" s="2" t="s">
        <v>57</v>
      </c>
      <c r="H257" s="2">
        <v>1</v>
      </c>
      <c r="I257" s="2">
        <v>5</v>
      </c>
      <c r="J257" s="2">
        <f>COUNTIFS($F$13:F257,F257,$I$13:I257,I257)</f>
        <v>35</v>
      </c>
      <c r="P257" s="20"/>
    </row>
    <row r="258" spans="1:16">
      <c r="A258" s="14" t="s">
        <v>14</v>
      </c>
      <c r="B258" s="8">
        <f t="shared" si="5"/>
        <v>70022536</v>
      </c>
      <c r="C258" s="17" t="s">
        <v>289</v>
      </c>
      <c r="E258" s="2" t="str">
        <f>F258&amp;(VLOOKUP(G258,编号表!$E$1:$G$8,2,0))&amp;H258&amp;"_"&amp;I258&amp;"_"&amp;J258</f>
        <v>2P2_5_36</v>
      </c>
      <c r="F258" s="2">
        <v>2</v>
      </c>
      <c r="G258" s="2" t="s">
        <v>57</v>
      </c>
      <c r="H258" s="2">
        <v>2</v>
      </c>
      <c r="I258" s="2">
        <v>5</v>
      </c>
      <c r="J258" s="2">
        <f>COUNTIFS($F$13:F258,F258,$I$13:I258,I258)</f>
        <v>36</v>
      </c>
      <c r="P258" s="20"/>
    </row>
    <row r="259" spans="1:16">
      <c r="A259" s="14" t="s">
        <v>14</v>
      </c>
      <c r="B259" s="8">
        <f t="shared" si="5"/>
        <v>70024537</v>
      </c>
      <c r="C259" s="17" t="s">
        <v>290</v>
      </c>
      <c r="E259" s="2" t="str">
        <f>F259&amp;(VLOOKUP(G259,编号表!$E$1:$G$8,2,0))&amp;H259&amp;"_"&amp;I259&amp;"_"&amp;J259</f>
        <v>2P4_5_37</v>
      </c>
      <c r="F259" s="2">
        <v>2</v>
      </c>
      <c r="G259" s="2" t="s">
        <v>57</v>
      </c>
      <c r="H259" s="2">
        <v>4</v>
      </c>
      <c r="I259" s="2">
        <v>5</v>
      </c>
      <c r="J259" s="2">
        <f>COUNTIFS($F$13:F259,F259,$I$13:I259,I259)</f>
        <v>37</v>
      </c>
      <c r="P259" s="20"/>
    </row>
    <row r="260" spans="1:16">
      <c r="A260" s="14" t="s">
        <v>14</v>
      </c>
      <c r="B260" s="8">
        <f t="shared" si="5"/>
        <v>70022538</v>
      </c>
      <c r="C260" s="17" t="s">
        <v>291</v>
      </c>
      <c r="E260" s="2" t="str">
        <f>F260&amp;(VLOOKUP(G260,编号表!$E$1:$G$8,2,0))&amp;H260&amp;"_"&amp;I260&amp;"_"&amp;J260</f>
        <v>2P2_5_38</v>
      </c>
      <c r="F260" s="2">
        <v>2</v>
      </c>
      <c r="G260" s="2" t="s">
        <v>57</v>
      </c>
      <c r="H260" s="2">
        <v>2</v>
      </c>
      <c r="I260" s="2">
        <v>5</v>
      </c>
      <c r="J260" s="2">
        <f>COUNTIFS($F$13:F260,F260,$I$13:I260,I260)</f>
        <v>38</v>
      </c>
      <c r="P260" s="20"/>
    </row>
    <row r="261" spans="1:16">
      <c r="A261" s="14" t="s">
        <v>14</v>
      </c>
      <c r="B261" s="8">
        <f t="shared" si="5"/>
        <v>70026539</v>
      </c>
      <c r="C261" s="17" t="s">
        <v>292</v>
      </c>
      <c r="E261" s="2" t="str">
        <f>F261&amp;(VLOOKUP(G261,编号表!$E$1:$G$8,2,0))&amp;H261&amp;"_"&amp;I261&amp;"_"&amp;J261</f>
        <v>2P6_5_39</v>
      </c>
      <c r="F261" s="2">
        <v>2</v>
      </c>
      <c r="G261" s="2" t="s">
        <v>57</v>
      </c>
      <c r="H261" s="2">
        <v>6</v>
      </c>
      <c r="I261" s="2">
        <v>5</v>
      </c>
      <c r="J261" s="2">
        <f>COUNTIFS($F$13:F261,F261,$I$13:I261,I261)</f>
        <v>39</v>
      </c>
      <c r="P261" s="20"/>
    </row>
    <row r="262" spans="1:16">
      <c r="A262" s="14" t="s">
        <v>14</v>
      </c>
      <c r="B262" s="8">
        <f t="shared" si="5"/>
        <v>70021540</v>
      </c>
      <c r="C262" s="17" t="s">
        <v>293</v>
      </c>
      <c r="E262" s="2" t="str">
        <f>F262&amp;(VLOOKUP(G262,编号表!$E$1:$G$8,2,0))&amp;H262&amp;"_"&amp;I262&amp;"_"&amp;J262</f>
        <v>2P1_5_40</v>
      </c>
      <c r="F262" s="2">
        <v>2</v>
      </c>
      <c r="G262" s="2" t="s">
        <v>57</v>
      </c>
      <c r="H262" s="2">
        <v>1</v>
      </c>
      <c r="I262" s="2">
        <v>5</v>
      </c>
      <c r="J262" s="2">
        <f>COUNTIFS($F$13:F262,F262,$I$13:I262,I262)</f>
        <v>40</v>
      </c>
      <c r="P262" s="20"/>
    </row>
    <row r="263" spans="1:16">
      <c r="A263" s="14" t="s">
        <v>14</v>
      </c>
      <c r="B263" s="8">
        <f t="shared" si="5"/>
        <v>70021541</v>
      </c>
      <c r="C263" s="17" t="s">
        <v>294</v>
      </c>
      <c r="E263" s="2" t="str">
        <f>F263&amp;(VLOOKUP(G263,编号表!$E$1:$G$8,2,0))&amp;H263&amp;"_"&amp;I263&amp;"_"&amp;J263</f>
        <v>2P1_5_41</v>
      </c>
      <c r="F263" s="2">
        <v>2</v>
      </c>
      <c r="G263" s="2" t="s">
        <v>57</v>
      </c>
      <c r="H263" s="2">
        <v>1</v>
      </c>
      <c r="I263" s="2">
        <v>5</v>
      </c>
      <c r="J263" s="2">
        <f>COUNTIFS($F$13:F263,F263,$I$13:I263,I263)</f>
        <v>41</v>
      </c>
      <c r="P263" s="20"/>
    </row>
    <row r="264" spans="1:16">
      <c r="A264" s="14" t="s">
        <v>14</v>
      </c>
      <c r="B264" s="8">
        <f t="shared" si="5"/>
        <v>70021542</v>
      </c>
      <c r="C264" s="17" t="s">
        <v>295</v>
      </c>
      <c r="E264" s="2" t="str">
        <f>F264&amp;(VLOOKUP(G264,编号表!$E$1:$G$8,2,0))&amp;H264&amp;"_"&amp;I264&amp;"_"&amp;J264</f>
        <v>2P1_5_42</v>
      </c>
      <c r="F264" s="2">
        <v>2</v>
      </c>
      <c r="G264" s="2" t="s">
        <v>57</v>
      </c>
      <c r="H264" s="2">
        <v>1</v>
      </c>
      <c r="I264" s="2">
        <v>5</v>
      </c>
      <c r="J264" s="2">
        <f>COUNTIFS($F$13:F264,F264,$I$13:I264,I264)</f>
        <v>42</v>
      </c>
      <c r="P264" s="20"/>
    </row>
    <row r="265" spans="1:16">
      <c r="A265" s="14" t="s">
        <v>14</v>
      </c>
      <c r="B265" s="8">
        <f t="shared" ref="B265:B291" si="6">70000000+F265*10000+H265*1000+I265*100+J265</f>
        <v>70021601</v>
      </c>
      <c r="C265" s="17" t="s">
        <v>296</v>
      </c>
      <c r="E265" s="2" t="str">
        <f>F265&amp;(VLOOKUP(G265,编号表!$E$1:$G$8,2,0))&amp;H265&amp;"_"&amp;I265&amp;"_"&amp;J265</f>
        <v>2P1_6_1</v>
      </c>
      <c r="F265" s="2">
        <v>2</v>
      </c>
      <c r="G265" s="2" t="s">
        <v>57</v>
      </c>
      <c r="H265" s="2">
        <v>1</v>
      </c>
      <c r="I265" s="2">
        <v>6</v>
      </c>
      <c r="J265" s="2">
        <f>COUNTIFS($F$13:F265,F265,$I$13:I265,I265)</f>
        <v>1</v>
      </c>
      <c r="P265" s="20"/>
    </row>
    <row r="266" spans="1:16">
      <c r="A266" s="14" t="s">
        <v>14</v>
      </c>
      <c r="B266" s="8">
        <f t="shared" si="6"/>
        <v>70021602</v>
      </c>
      <c r="C266" s="17" t="s">
        <v>297</v>
      </c>
      <c r="E266" s="2" t="str">
        <f>F266&amp;(VLOOKUP(G266,编号表!$E$1:$G$8,2,0))&amp;H266&amp;"_"&amp;I266&amp;"_"&amp;J266</f>
        <v>2P1_6_2</v>
      </c>
      <c r="F266" s="2">
        <v>2</v>
      </c>
      <c r="G266" s="2" t="s">
        <v>57</v>
      </c>
      <c r="H266" s="2">
        <v>1</v>
      </c>
      <c r="I266" s="2">
        <v>6</v>
      </c>
      <c r="J266" s="2">
        <f>COUNTIFS($F$13:F266,F266,$I$13:I266,I266)</f>
        <v>2</v>
      </c>
      <c r="P266" s="20"/>
    </row>
    <row r="267" spans="1:16">
      <c r="A267" s="14" t="s">
        <v>14</v>
      </c>
      <c r="B267" s="8">
        <f t="shared" si="6"/>
        <v>70021603</v>
      </c>
      <c r="C267" s="17" t="s">
        <v>298</v>
      </c>
      <c r="E267" s="2" t="str">
        <f>F267&amp;(VLOOKUP(G267,编号表!$E$1:$G$8,2,0))&amp;H267&amp;"_"&amp;I267&amp;"_"&amp;J267</f>
        <v>2P1_6_3</v>
      </c>
      <c r="F267" s="2">
        <v>2</v>
      </c>
      <c r="G267" s="2" t="s">
        <v>57</v>
      </c>
      <c r="H267" s="2">
        <v>1</v>
      </c>
      <c r="I267" s="2">
        <v>6</v>
      </c>
      <c r="J267" s="2">
        <f>COUNTIFS($F$13:F267,F267,$I$13:I267,I267)</f>
        <v>3</v>
      </c>
      <c r="P267" s="20"/>
    </row>
    <row r="268" spans="1:16">
      <c r="A268" s="14" t="s">
        <v>14</v>
      </c>
      <c r="B268" s="8">
        <f t="shared" si="6"/>
        <v>70021604</v>
      </c>
      <c r="C268" s="17" t="s">
        <v>299</v>
      </c>
      <c r="E268" s="2" t="str">
        <f>F268&amp;(VLOOKUP(G268,编号表!$E$1:$G$8,2,0))&amp;H268&amp;"_"&amp;I268&amp;"_"&amp;J268</f>
        <v>2P1_6_4</v>
      </c>
      <c r="F268" s="2">
        <v>2</v>
      </c>
      <c r="G268" s="2" t="s">
        <v>57</v>
      </c>
      <c r="H268" s="2">
        <v>1</v>
      </c>
      <c r="I268" s="2">
        <v>6</v>
      </c>
      <c r="J268" s="2">
        <f>COUNTIFS($F$13:F268,F268,$I$13:I268,I268)</f>
        <v>4</v>
      </c>
      <c r="P268" s="20"/>
    </row>
    <row r="269" spans="1:16">
      <c r="A269" s="14" t="s">
        <v>14</v>
      </c>
      <c r="B269" s="8">
        <f t="shared" si="6"/>
        <v>70021605</v>
      </c>
      <c r="C269" s="17" t="s">
        <v>300</v>
      </c>
      <c r="E269" s="2" t="str">
        <f>F269&amp;(VLOOKUP(G269,编号表!$E$1:$G$8,2,0))&amp;H269&amp;"_"&amp;I269&amp;"_"&amp;J269</f>
        <v>2P1_6_5</v>
      </c>
      <c r="F269" s="2">
        <v>2</v>
      </c>
      <c r="G269" s="2" t="s">
        <v>57</v>
      </c>
      <c r="H269" s="2">
        <v>1</v>
      </c>
      <c r="I269" s="2">
        <v>6</v>
      </c>
      <c r="J269" s="2">
        <f>COUNTIFS($F$13:F269,F269,$I$13:I269,I269)</f>
        <v>5</v>
      </c>
      <c r="P269" s="20"/>
    </row>
    <row r="270" spans="1:16">
      <c r="A270" s="14" t="s">
        <v>14</v>
      </c>
      <c r="B270" s="8">
        <f t="shared" si="6"/>
        <v>70021606</v>
      </c>
      <c r="C270" s="17" t="s">
        <v>301</v>
      </c>
      <c r="E270" s="2" t="str">
        <f>F270&amp;(VLOOKUP(G270,编号表!$E$1:$G$8,2,0))&amp;H270&amp;"_"&amp;I270&amp;"_"&amp;J270</f>
        <v>2P1_6_6</v>
      </c>
      <c r="F270" s="2">
        <v>2</v>
      </c>
      <c r="G270" s="2" t="s">
        <v>57</v>
      </c>
      <c r="H270" s="2">
        <v>1</v>
      </c>
      <c r="I270" s="2">
        <v>6</v>
      </c>
      <c r="J270" s="2">
        <f>COUNTIFS($F$13:F270,F270,$I$13:I270,I270)</f>
        <v>6</v>
      </c>
      <c r="P270" s="20"/>
    </row>
    <row r="271" spans="1:16">
      <c r="A271" s="14" t="s">
        <v>14</v>
      </c>
      <c r="B271" s="8">
        <f t="shared" si="6"/>
        <v>70021607</v>
      </c>
      <c r="C271" s="17" t="s">
        <v>302</v>
      </c>
      <c r="E271" s="2" t="str">
        <f>F271&amp;(VLOOKUP(G271,编号表!$E$1:$G$8,2,0))&amp;H271&amp;"_"&amp;I271&amp;"_"&amp;J271</f>
        <v>2P1_6_7</v>
      </c>
      <c r="F271" s="2">
        <v>2</v>
      </c>
      <c r="G271" s="2" t="s">
        <v>57</v>
      </c>
      <c r="H271" s="2">
        <v>1</v>
      </c>
      <c r="I271" s="2">
        <v>6</v>
      </c>
      <c r="J271" s="2">
        <f>COUNTIFS($F$13:F271,F271,$I$13:I271,I271)</f>
        <v>7</v>
      </c>
      <c r="P271" s="20"/>
    </row>
    <row r="272" spans="1:16">
      <c r="A272" s="14" t="s">
        <v>14</v>
      </c>
      <c r="B272" s="8">
        <f t="shared" si="6"/>
        <v>70021608</v>
      </c>
      <c r="C272" s="17" t="s">
        <v>303</v>
      </c>
      <c r="E272" s="2" t="str">
        <f>F272&amp;(VLOOKUP(G272,编号表!$E$1:$G$8,2,0))&amp;H272&amp;"_"&amp;I272&amp;"_"&amp;J272</f>
        <v>2P1_6_8</v>
      </c>
      <c r="F272" s="2">
        <v>2</v>
      </c>
      <c r="G272" s="2" t="s">
        <v>57</v>
      </c>
      <c r="H272" s="2">
        <v>1</v>
      </c>
      <c r="I272" s="2">
        <v>6</v>
      </c>
      <c r="J272" s="2">
        <f>COUNTIFS($F$13:F272,F272,$I$13:I272,I272)</f>
        <v>8</v>
      </c>
      <c r="P272" s="20"/>
    </row>
    <row r="273" spans="1:16">
      <c r="A273" s="14" t="s">
        <v>14</v>
      </c>
      <c r="B273" s="8">
        <f t="shared" si="6"/>
        <v>70021609</v>
      </c>
      <c r="C273" s="17" t="s">
        <v>304</v>
      </c>
      <c r="E273" s="2" t="str">
        <f>F273&amp;(VLOOKUP(G273,编号表!$E$1:$G$8,2,0))&amp;H273&amp;"_"&amp;I273&amp;"_"&amp;J273</f>
        <v>2P1_6_9</v>
      </c>
      <c r="F273" s="2">
        <v>2</v>
      </c>
      <c r="G273" s="2" t="s">
        <v>57</v>
      </c>
      <c r="H273" s="2">
        <v>1</v>
      </c>
      <c r="I273" s="2">
        <v>6</v>
      </c>
      <c r="J273" s="2">
        <f>COUNTIFS($F$13:F273,F273,$I$13:I273,I273)</f>
        <v>9</v>
      </c>
      <c r="P273" s="20"/>
    </row>
    <row r="274" spans="1:16">
      <c r="A274" s="14" t="s">
        <v>14</v>
      </c>
      <c r="B274" s="8">
        <f t="shared" si="6"/>
        <v>70021610</v>
      </c>
      <c r="C274" s="17" t="s">
        <v>305</v>
      </c>
      <c r="E274" s="2" t="str">
        <f>F274&amp;(VLOOKUP(G274,编号表!$E$1:$G$8,2,0))&amp;H274&amp;"_"&amp;I274&amp;"_"&amp;J274</f>
        <v>2P1_6_10</v>
      </c>
      <c r="F274" s="2">
        <v>2</v>
      </c>
      <c r="G274" s="2" t="s">
        <v>57</v>
      </c>
      <c r="H274" s="2">
        <v>1</v>
      </c>
      <c r="I274" s="2">
        <v>6</v>
      </c>
      <c r="J274" s="2">
        <f>COUNTIFS($F$13:F274,F274,$I$13:I274,I274)</f>
        <v>10</v>
      </c>
      <c r="P274" s="20"/>
    </row>
    <row r="275" spans="1:16">
      <c r="A275" s="14" t="s">
        <v>14</v>
      </c>
      <c r="B275" s="8">
        <f t="shared" si="6"/>
        <v>70021611</v>
      </c>
      <c r="C275" s="17" t="s">
        <v>306</v>
      </c>
      <c r="E275" s="2" t="str">
        <f>F275&amp;(VLOOKUP(G275,编号表!$E$1:$G$8,2,0))&amp;H275&amp;"_"&amp;I275&amp;"_"&amp;J275</f>
        <v>2P1_6_11</v>
      </c>
      <c r="F275" s="2">
        <v>2</v>
      </c>
      <c r="G275" s="2" t="s">
        <v>57</v>
      </c>
      <c r="H275" s="2">
        <v>1</v>
      </c>
      <c r="I275" s="2">
        <v>6</v>
      </c>
      <c r="J275" s="2">
        <f>COUNTIFS($F$13:F275,F275,$I$13:I275,I275)</f>
        <v>11</v>
      </c>
      <c r="P275" s="20"/>
    </row>
    <row r="276" spans="1:16">
      <c r="A276" s="14" t="s">
        <v>14</v>
      </c>
      <c r="B276" s="8">
        <f t="shared" si="6"/>
        <v>70021612</v>
      </c>
      <c r="C276" s="17" t="s">
        <v>307</v>
      </c>
      <c r="E276" s="2" t="str">
        <f>F276&amp;(VLOOKUP(G276,编号表!$E$1:$G$8,2,0))&amp;H276&amp;"_"&amp;I276&amp;"_"&amp;J276</f>
        <v>2P1_6_12</v>
      </c>
      <c r="F276" s="2">
        <v>2</v>
      </c>
      <c r="G276" s="2" t="s">
        <v>57</v>
      </c>
      <c r="H276" s="2">
        <v>1</v>
      </c>
      <c r="I276" s="2">
        <v>6</v>
      </c>
      <c r="J276" s="2">
        <f>COUNTIFS($F$13:F276,F276,$I$13:I276,I276)</f>
        <v>12</v>
      </c>
      <c r="P276" s="20"/>
    </row>
    <row r="277" spans="1:16">
      <c r="A277" s="14" t="s">
        <v>14</v>
      </c>
      <c r="B277" s="8">
        <f t="shared" si="6"/>
        <v>70021613</v>
      </c>
      <c r="C277" s="17" t="s">
        <v>308</v>
      </c>
      <c r="E277" s="2" t="str">
        <f>F277&amp;(VLOOKUP(G277,编号表!$E$1:$G$8,2,0))&amp;H277&amp;"_"&amp;I277&amp;"_"&amp;J277</f>
        <v>2P1_6_13</v>
      </c>
      <c r="F277" s="2">
        <v>2</v>
      </c>
      <c r="G277" s="2" t="s">
        <v>57</v>
      </c>
      <c r="H277" s="2">
        <v>1</v>
      </c>
      <c r="I277" s="2">
        <v>6</v>
      </c>
      <c r="J277" s="2">
        <f>COUNTIFS($F$13:F277,F277,$I$13:I277,I277)</f>
        <v>13</v>
      </c>
      <c r="P277" s="20"/>
    </row>
    <row r="278" spans="1:16">
      <c r="A278" s="14" t="s">
        <v>14</v>
      </c>
      <c r="B278" s="8">
        <f t="shared" si="6"/>
        <v>70021614</v>
      </c>
      <c r="C278" s="17" t="s">
        <v>309</v>
      </c>
      <c r="E278" s="2" t="str">
        <f>F278&amp;(VLOOKUP(G278,编号表!$E$1:$G$8,2,0))&amp;H278&amp;"_"&amp;I278&amp;"_"&amp;J278</f>
        <v>2P1_6_14</v>
      </c>
      <c r="F278" s="2">
        <v>2</v>
      </c>
      <c r="G278" s="2" t="s">
        <v>57</v>
      </c>
      <c r="H278" s="2">
        <v>1</v>
      </c>
      <c r="I278" s="2">
        <v>6</v>
      </c>
      <c r="J278" s="2">
        <f>COUNTIFS($F$13:F278,F278,$I$13:I278,I278)</f>
        <v>14</v>
      </c>
      <c r="P278" s="20"/>
    </row>
    <row r="279" spans="1:16">
      <c r="A279" s="14" t="s">
        <v>14</v>
      </c>
      <c r="B279" s="8">
        <f t="shared" si="6"/>
        <v>70021615</v>
      </c>
      <c r="C279" s="17" t="s">
        <v>310</v>
      </c>
      <c r="E279" s="2" t="str">
        <f>F279&amp;(VLOOKUP(G279,编号表!$E$1:$G$8,2,0))&amp;H279&amp;"_"&amp;I279&amp;"_"&amp;J279</f>
        <v>2P1_6_15</v>
      </c>
      <c r="F279" s="2">
        <v>2</v>
      </c>
      <c r="G279" s="2" t="s">
        <v>57</v>
      </c>
      <c r="H279" s="2">
        <v>1</v>
      </c>
      <c r="I279" s="2">
        <v>6</v>
      </c>
      <c r="J279" s="2">
        <f>COUNTIFS($F$13:F279,F279,$I$13:I279,I279)</f>
        <v>15</v>
      </c>
      <c r="P279" s="20"/>
    </row>
    <row r="280" spans="1:16">
      <c r="A280" s="14" t="s">
        <v>14</v>
      </c>
      <c r="B280" s="8">
        <f t="shared" si="6"/>
        <v>70021616</v>
      </c>
      <c r="C280" s="17" t="s">
        <v>311</v>
      </c>
      <c r="E280" s="2" t="str">
        <f>F280&amp;(VLOOKUP(G280,编号表!$E$1:$G$8,2,0))&amp;H280&amp;"_"&amp;I280&amp;"_"&amp;J280</f>
        <v>2P1_6_16</v>
      </c>
      <c r="F280" s="2">
        <v>2</v>
      </c>
      <c r="G280" s="2" t="s">
        <v>57</v>
      </c>
      <c r="H280" s="2">
        <v>1</v>
      </c>
      <c r="I280" s="2">
        <v>6</v>
      </c>
      <c r="J280" s="2">
        <f>COUNTIFS($F$13:F280,F280,$I$13:I280,I280)</f>
        <v>16</v>
      </c>
      <c r="P280" s="20"/>
    </row>
    <row r="281" spans="1:16">
      <c r="A281" s="14" t="s">
        <v>14</v>
      </c>
      <c r="B281" s="8">
        <f t="shared" si="6"/>
        <v>70021617</v>
      </c>
      <c r="C281" s="17" t="s">
        <v>312</v>
      </c>
      <c r="E281" s="2" t="str">
        <f>F281&amp;(VLOOKUP(G281,编号表!$E$1:$G$8,2,0))&amp;H281&amp;"_"&amp;I281&amp;"_"&amp;J281</f>
        <v>2P1_6_17</v>
      </c>
      <c r="F281" s="2">
        <v>2</v>
      </c>
      <c r="G281" s="2" t="s">
        <v>57</v>
      </c>
      <c r="H281" s="2">
        <v>1</v>
      </c>
      <c r="I281" s="2">
        <v>6</v>
      </c>
      <c r="J281" s="2">
        <f>COUNTIFS($F$13:F281,F281,$I$13:I281,I281)</f>
        <v>17</v>
      </c>
      <c r="P281" s="20"/>
    </row>
    <row r="282" spans="1:16">
      <c r="A282" s="14" t="s">
        <v>14</v>
      </c>
      <c r="B282" s="8">
        <f t="shared" si="6"/>
        <v>70021618</v>
      </c>
      <c r="C282" s="17" t="s">
        <v>313</v>
      </c>
      <c r="E282" s="2" t="str">
        <f>F282&amp;(VLOOKUP(G282,编号表!$E$1:$G$8,2,0))&amp;H282&amp;"_"&amp;I282&amp;"_"&amp;J282</f>
        <v>2P1_6_18</v>
      </c>
      <c r="F282" s="2">
        <v>2</v>
      </c>
      <c r="G282" s="2" t="s">
        <v>57</v>
      </c>
      <c r="H282" s="2">
        <v>1</v>
      </c>
      <c r="I282" s="2">
        <v>6</v>
      </c>
      <c r="J282" s="2">
        <f>COUNTIFS($F$13:F282,F282,$I$13:I282,I282)</f>
        <v>18</v>
      </c>
      <c r="P282" s="20"/>
    </row>
    <row r="283" spans="1:16">
      <c r="A283" s="14" t="s">
        <v>14</v>
      </c>
      <c r="B283" s="8">
        <f t="shared" si="6"/>
        <v>70021619</v>
      </c>
      <c r="C283" s="17" t="s">
        <v>314</v>
      </c>
      <c r="E283" s="2" t="str">
        <f>F283&amp;(VLOOKUP(G283,编号表!$E$1:$G$8,2,0))&amp;H283&amp;"_"&amp;I283&amp;"_"&amp;J283</f>
        <v>2P1_6_19</v>
      </c>
      <c r="F283" s="2">
        <v>2</v>
      </c>
      <c r="G283" s="2" t="s">
        <v>57</v>
      </c>
      <c r="H283" s="2">
        <v>1</v>
      </c>
      <c r="I283" s="2">
        <v>6</v>
      </c>
      <c r="J283" s="2">
        <f>COUNTIFS($F$13:F283,F283,$I$13:I283,I283)</f>
        <v>19</v>
      </c>
      <c r="P283" s="20"/>
    </row>
    <row r="284" spans="1:16">
      <c r="A284" s="14" t="s">
        <v>14</v>
      </c>
      <c r="B284" s="8">
        <f t="shared" si="6"/>
        <v>70021620</v>
      </c>
      <c r="C284" s="17" t="s">
        <v>315</v>
      </c>
      <c r="E284" s="2" t="str">
        <f>F284&amp;(VLOOKUP(G284,编号表!$E$1:$G$8,2,0))&amp;H284&amp;"_"&amp;I284&amp;"_"&amp;J284</f>
        <v>2P1_6_20</v>
      </c>
      <c r="F284" s="2">
        <v>2</v>
      </c>
      <c r="G284" s="2" t="s">
        <v>57</v>
      </c>
      <c r="H284" s="2">
        <v>1</v>
      </c>
      <c r="I284" s="2">
        <v>6</v>
      </c>
      <c r="J284" s="2">
        <f>COUNTIFS($F$13:F284,F284,$I$13:I284,I284)</f>
        <v>20</v>
      </c>
      <c r="P284" s="20"/>
    </row>
    <row r="285" spans="1:16">
      <c r="A285" s="14" t="s">
        <v>14</v>
      </c>
      <c r="B285" s="8">
        <f t="shared" si="6"/>
        <v>70021621</v>
      </c>
      <c r="C285" s="17" t="s">
        <v>316</v>
      </c>
      <c r="E285" s="2" t="str">
        <f>F285&amp;(VLOOKUP(G285,编号表!$E$1:$G$8,2,0))&amp;H285&amp;"_"&amp;I285&amp;"_"&amp;J285</f>
        <v>2P1_6_21</v>
      </c>
      <c r="F285" s="2">
        <v>2</v>
      </c>
      <c r="G285" s="2" t="s">
        <v>57</v>
      </c>
      <c r="H285" s="2">
        <v>1</v>
      </c>
      <c r="I285" s="2">
        <v>6</v>
      </c>
      <c r="J285" s="2">
        <f>COUNTIFS($F$13:F285,F285,$I$13:I285,I285)</f>
        <v>21</v>
      </c>
      <c r="P285" s="20"/>
    </row>
    <row r="286" spans="1:16">
      <c r="A286" s="14" t="s">
        <v>14</v>
      </c>
      <c r="B286" s="8">
        <f t="shared" si="6"/>
        <v>70021622</v>
      </c>
      <c r="C286" s="17" t="s">
        <v>317</v>
      </c>
      <c r="E286" s="2" t="str">
        <f>F286&amp;(VLOOKUP(G286,编号表!$E$1:$G$8,2,0))&amp;H286&amp;"_"&amp;I286&amp;"_"&amp;J286</f>
        <v>2P1_6_22</v>
      </c>
      <c r="F286" s="2">
        <v>2</v>
      </c>
      <c r="G286" s="2" t="s">
        <v>57</v>
      </c>
      <c r="H286" s="2">
        <v>1</v>
      </c>
      <c r="I286" s="2">
        <v>6</v>
      </c>
      <c r="J286" s="2">
        <f>COUNTIFS($F$13:F286,F286,$I$13:I286,I286)</f>
        <v>22</v>
      </c>
      <c r="P286" s="20"/>
    </row>
    <row r="287" spans="1:16">
      <c r="A287" s="14" t="s">
        <v>14</v>
      </c>
      <c r="B287" s="8">
        <f t="shared" si="6"/>
        <v>70021623</v>
      </c>
      <c r="C287" s="17" t="s">
        <v>318</v>
      </c>
      <c r="E287" s="2" t="str">
        <f>F287&amp;(VLOOKUP(G287,编号表!$E$1:$G$8,2,0))&amp;H287&amp;"_"&amp;I287&amp;"_"&amp;J287</f>
        <v>2P1_6_23</v>
      </c>
      <c r="F287" s="2">
        <v>2</v>
      </c>
      <c r="G287" s="2" t="s">
        <v>57</v>
      </c>
      <c r="H287" s="2">
        <v>1</v>
      </c>
      <c r="I287" s="2">
        <v>6</v>
      </c>
      <c r="J287" s="2">
        <f>COUNTIFS($F$13:F287,F287,$I$13:I287,I287)</f>
        <v>23</v>
      </c>
      <c r="P287" s="20"/>
    </row>
    <row r="288" spans="1:16">
      <c r="A288" s="14" t="s">
        <v>14</v>
      </c>
      <c r="B288" s="8">
        <f t="shared" si="6"/>
        <v>70021624</v>
      </c>
      <c r="C288" s="17" t="s">
        <v>319</v>
      </c>
      <c r="E288" s="2" t="str">
        <f>F288&amp;(VLOOKUP(G288,编号表!$E$1:$G$8,2,0))&amp;H288&amp;"_"&amp;I288&amp;"_"&amp;J288</f>
        <v>2P1_6_24</v>
      </c>
      <c r="F288" s="2">
        <v>2</v>
      </c>
      <c r="G288" s="2" t="s">
        <v>57</v>
      </c>
      <c r="H288" s="2">
        <v>1</v>
      </c>
      <c r="I288" s="2">
        <v>6</v>
      </c>
      <c r="J288" s="2">
        <f>COUNTIFS($F$13:F288,F288,$I$13:I288,I288)</f>
        <v>24</v>
      </c>
      <c r="P288" s="20"/>
    </row>
    <row r="289" spans="1:16">
      <c r="A289" s="14" t="s">
        <v>14</v>
      </c>
      <c r="B289" s="8">
        <f t="shared" si="6"/>
        <v>70021625</v>
      </c>
      <c r="C289" s="17" t="s">
        <v>320</v>
      </c>
      <c r="E289" s="2" t="str">
        <f>F289&amp;(VLOOKUP(G289,编号表!$E$1:$G$8,2,0))&amp;H289&amp;"_"&amp;I289&amp;"_"&amp;J289</f>
        <v>2P1_6_25</v>
      </c>
      <c r="F289" s="2">
        <v>2</v>
      </c>
      <c r="G289" s="2" t="s">
        <v>57</v>
      </c>
      <c r="H289" s="2">
        <v>1</v>
      </c>
      <c r="I289" s="2">
        <v>6</v>
      </c>
      <c r="J289" s="2">
        <f>COUNTIFS($F$13:F289,F289,$I$13:I289,I289)</f>
        <v>25</v>
      </c>
      <c r="P289" s="20"/>
    </row>
    <row r="290" spans="1:16">
      <c r="A290" s="14" t="s">
        <v>14</v>
      </c>
      <c r="B290" s="8">
        <f t="shared" si="6"/>
        <v>70021626</v>
      </c>
      <c r="C290" s="17" t="s">
        <v>321</v>
      </c>
      <c r="E290" s="2" t="str">
        <f>F290&amp;(VLOOKUP(G290,编号表!$E$1:$G$8,2,0))&amp;H290&amp;"_"&amp;I290&amp;"_"&amp;J290</f>
        <v>2P1_6_26</v>
      </c>
      <c r="F290" s="2">
        <v>2</v>
      </c>
      <c r="G290" s="2" t="s">
        <v>57</v>
      </c>
      <c r="H290" s="2">
        <v>1</v>
      </c>
      <c r="I290" s="2">
        <v>6</v>
      </c>
      <c r="J290" s="2">
        <f>COUNTIFS($F$13:F290,F290,$I$13:I290,I290)</f>
        <v>26</v>
      </c>
      <c r="P290" s="20"/>
    </row>
    <row r="291" spans="1:16">
      <c r="A291" s="14" t="s">
        <v>14</v>
      </c>
      <c r="B291" s="8">
        <f t="shared" si="6"/>
        <v>70021627</v>
      </c>
      <c r="C291" s="17" t="s">
        <v>322</v>
      </c>
      <c r="E291" s="2" t="str">
        <f>F291&amp;(VLOOKUP(G291,编号表!$E$1:$G$8,2,0))&amp;H291&amp;"_"&amp;I291&amp;"_"&amp;J291</f>
        <v>2P1_6_27</v>
      </c>
      <c r="F291" s="2">
        <v>2</v>
      </c>
      <c r="G291" s="2" t="s">
        <v>57</v>
      </c>
      <c r="H291" s="2">
        <v>1</v>
      </c>
      <c r="I291" s="2">
        <v>6</v>
      </c>
      <c r="J291" s="2">
        <f>COUNTIFS($F$13:F291,F291,$I$13:I291,I291)</f>
        <v>27</v>
      </c>
      <c r="P291" s="20"/>
    </row>
    <row r="292" spans="1:16">
      <c r="A292" s="14" t="s">
        <v>14</v>
      </c>
      <c r="B292" s="8">
        <f t="shared" ref="B292:B325" si="7">70000000+F292*10000+H292*1000+I292*100+J292</f>
        <v>70021628</v>
      </c>
      <c r="C292" s="17" t="s">
        <v>323</v>
      </c>
      <c r="E292" s="2" t="str">
        <f>F292&amp;(VLOOKUP(G292,编号表!$E$1:$G$8,2,0))&amp;H292&amp;"_"&amp;I292&amp;"_"&amp;J292</f>
        <v>2P1_6_28</v>
      </c>
      <c r="F292" s="2">
        <v>2</v>
      </c>
      <c r="G292" s="2" t="s">
        <v>57</v>
      </c>
      <c r="H292" s="2">
        <v>1</v>
      </c>
      <c r="I292" s="2">
        <v>6</v>
      </c>
      <c r="J292" s="2">
        <f>COUNTIFS($F$13:F292,F292,$I$13:I292,I292)</f>
        <v>28</v>
      </c>
      <c r="P292" s="20"/>
    </row>
    <row r="293" spans="1:16">
      <c r="A293" s="14" t="s">
        <v>14</v>
      </c>
      <c r="B293" s="8">
        <f t="shared" si="7"/>
        <v>70021629</v>
      </c>
      <c r="C293" s="17" t="s">
        <v>324</v>
      </c>
      <c r="E293" s="2" t="str">
        <f>F293&amp;(VLOOKUP(G293,编号表!$E$1:$G$8,2,0))&amp;H293&amp;"_"&amp;I293&amp;"_"&amp;J293</f>
        <v>2P1_6_29</v>
      </c>
      <c r="F293" s="2">
        <v>2</v>
      </c>
      <c r="G293" s="2" t="s">
        <v>57</v>
      </c>
      <c r="H293" s="2">
        <v>1</v>
      </c>
      <c r="I293" s="2">
        <v>6</v>
      </c>
      <c r="J293" s="2">
        <f>COUNTIFS($F$13:F293,F293,$I$13:I293,I293)</f>
        <v>29</v>
      </c>
      <c r="P293" s="20"/>
    </row>
    <row r="294" spans="1:16">
      <c r="A294" s="14" t="s">
        <v>14</v>
      </c>
      <c r="B294" s="8">
        <f t="shared" si="7"/>
        <v>70021630</v>
      </c>
      <c r="C294" s="17" t="s">
        <v>325</v>
      </c>
      <c r="E294" s="2" t="str">
        <f>F294&amp;(VLOOKUP(G294,编号表!$E$1:$G$8,2,0))&amp;H294&amp;"_"&amp;I294&amp;"_"&amp;J294</f>
        <v>2P1_6_30</v>
      </c>
      <c r="F294" s="2">
        <v>2</v>
      </c>
      <c r="G294" s="2" t="s">
        <v>57</v>
      </c>
      <c r="H294" s="2">
        <v>1</v>
      </c>
      <c r="I294" s="2">
        <v>6</v>
      </c>
      <c r="J294" s="2">
        <f>COUNTIFS($F$13:F294,F294,$I$13:I294,I294)</f>
        <v>30</v>
      </c>
      <c r="P294" s="20"/>
    </row>
    <row r="295" spans="1:16">
      <c r="A295" s="14" t="s">
        <v>14</v>
      </c>
      <c r="B295" s="8">
        <f t="shared" si="7"/>
        <v>70021631</v>
      </c>
      <c r="C295" s="17" t="s">
        <v>326</v>
      </c>
      <c r="E295" s="2" t="str">
        <f>F295&amp;(VLOOKUP(G295,编号表!$E$1:$G$8,2,0))&amp;H295&amp;"_"&amp;I295&amp;"_"&amp;J295</f>
        <v>2P1_6_31</v>
      </c>
      <c r="F295" s="2">
        <v>2</v>
      </c>
      <c r="G295" s="2" t="s">
        <v>57</v>
      </c>
      <c r="H295" s="2">
        <v>1</v>
      </c>
      <c r="I295" s="2">
        <v>6</v>
      </c>
      <c r="J295" s="2">
        <f>COUNTIFS($F$13:F295,F295,$I$13:I295,I295)</f>
        <v>31</v>
      </c>
      <c r="P295" s="20"/>
    </row>
    <row r="296" spans="1:16">
      <c r="A296" s="14" t="s">
        <v>14</v>
      </c>
      <c r="B296" s="8">
        <f t="shared" si="7"/>
        <v>70021632</v>
      </c>
      <c r="C296" s="17" t="s">
        <v>327</v>
      </c>
      <c r="E296" s="2" t="str">
        <f>F296&amp;(VLOOKUP(G296,编号表!$E$1:$G$8,2,0))&amp;H296&amp;"_"&amp;I296&amp;"_"&amp;J296</f>
        <v>2P1_6_32</v>
      </c>
      <c r="F296" s="2">
        <v>2</v>
      </c>
      <c r="G296" s="2" t="s">
        <v>57</v>
      </c>
      <c r="H296" s="2">
        <v>1</v>
      </c>
      <c r="I296" s="2">
        <v>6</v>
      </c>
      <c r="J296" s="2">
        <f>COUNTIFS($F$13:F296,F296,$I$13:I296,I296)</f>
        <v>32</v>
      </c>
      <c r="P296" s="20"/>
    </row>
    <row r="297" spans="1:16">
      <c r="A297" s="14" t="s">
        <v>14</v>
      </c>
      <c r="B297" s="8">
        <f t="shared" si="7"/>
        <v>70021633</v>
      </c>
      <c r="C297" s="17" t="s">
        <v>328</v>
      </c>
      <c r="E297" s="2" t="str">
        <f>F297&amp;(VLOOKUP(G297,编号表!$E$1:$G$8,2,0))&amp;H297&amp;"_"&amp;I297&amp;"_"&amp;J297</f>
        <v>2P1_6_33</v>
      </c>
      <c r="F297" s="2">
        <v>2</v>
      </c>
      <c r="G297" s="2" t="s">
        <v>57</v>
      </c>
      <c r="H297" s="2">
        <v>1</v>
      </c>
      <c r="I297" s="2">
        <v>6</v>
      </c>
      <c r="J297" s="2">
        <f>COUNTIFS($F$13:F297,F297,$I$13:I297,I297)</f>
        <v>33</v>
      </c>
      <c r="P297" s="20"/>
    </row>
    <row r="298" spans="1:16">
      <c r="A298" s="14" t="s">
        <v>14</v>
      </c>
      <c r="B298" s="8">
        <f t="shared" si="7"/>
        <v>70021634</v>
      </c>
      <c r="C298" s="17" t="s">
        <v>329</v>
      </c>
      <c r="E298" s="2" t="str">
        <f>F298&amp;(VLOOKUP(G298,编号表!$E$1:$G$8,2,0))&amp;H298&amp;"_"&amp;I298&amp;"_"&amp;J298</f>
        <v>2P1_6_34</v>
      </c>
      <c r="F298" s="2">
        <v>2</v>
      </c>
      <c r="G298" s="2" t="s">
        <v>57</v>
      </c>
      <c r="H298" s="2">
        <v>1</v>
      </c>
      <c r="I298" s="2">
        <v>6</v>
      </c>
      <c r="J298" s="2">
        <f>COUNTIFS($F$13:F298,F298,$I$13:I298,I298)</f>
        <v>34</v>
      </c>
      <c r="P298" s="20"/>
    </row>
    <row r="299" spans="1:16">
      <c r="A299" s="14" t="s">
        <v>14</v>
      </c>
      <c r="B299" s="8">
        <f t="shared" si="7"/>
        <v>70021635</v>
      </c>
      <c r="C299" s="17" t="s">
        <v>330</v>
      </c>
      <c r="E299" s="2" t="str">
        <f>F299&amp;(VLOOKUP(G299,编号表!$E$1:$G$8,2,0))&amp;H299&amp;"_"&amp;I299&amp;"_"&amp;J299</f>
        <v>2P1_6_35</v>
      </c>
      <c r="F299" s="2">
        <v>2</v>
      </c>
      <c r="G299" s="2" t="s">
        <v>57</v>
      </c>
      <c r="H299" s="2">
        <v>1</v>
      </c>
      <c r="I299" s="2">
        <v>6</v>
      </c>
      <c r="J299" s="2">
        <f>COUNTIFS($F$13:F299,F299,$I$13:I299,I299)</f>
        <v>35</v>
      </c>
      <c r="P299" s="20"/>
    </row>
    <row r="300" spans="1:16">
      <c r="A300" s="14" t="s">
        <v>14</v>
      </c>
      <c r="B300" s="8">
        <f t="shared" si="7"/>
        <v>70021636</v>
      </c>
      <c r="C300" s="17" t="s">
        <v>331</v>
      </c>
      <c r="E300" s="2" t="str">
        <f>F300&amp;(VLOOKUP(G300,编号表!$E$1:$G$8,2,0))&amp;H300&amp;"_"&amp;I300&amp;"_"&amp;J300</f>
        <v>2P1_6_36</v>
      </c>
      <c r="F300" s="2">
        <v>2</v>
      </c>
      <c r="G300" s="2" t="s">
        <v>57</v>
      </c>
      <c r="H300" s="2">
        <v>1</v>
      </c>
      <c r="I300" s="2">
        <v>6</v>
      </c>
      <c r="J300" s="2">
        <f>COUNTIFS($F$13:F300,F300,$I$13:I300,I300)</f>
        <v>36</v>
      </c>
      <c r="P300" s="20"/>
    </row>
    <row r="301" spans="1:16">
      <c r="A301" s="14" t="s">
        <v>14</v>
      </c>
      <c r="B301" s="8">
        <f t="shared" si="7"/>
        <v>70021637</v>
      </c>
      <c r="C301" s="17" t="s">
        <v>332</v>
      </c>
      <c r="E301" s="2" t="str">
        <f>F301&amp;(VLOOKUP(G301,编号表!$E$1:$G$8,2,0))&amp;H301&amp;"_"&amp;I301&amp;"_"&amp;J301</f>
        <v>2P1_6_37</v>
      </c>
      <c r="F301" s="2">
        <v>2</v>
      </c>
      <c r="G301" s="2" t="s">
        <v>57</v>
      </c>
      <c r="H301" s="2">
        <v>1</v>
      </c>
      <c r="I301" s="2">
        <v>6</v>
      </c>
      <c r="J301" s="2">
        <f>COUNTIFS($F$13:F301,F301,$I$13:I301,I301)</f>
        <v>37</v>
      </c>
      <c r="P301" s="20"/>
    </row>
    <row r="302" spans="1:16">
      <c r="A302" s="14" t="s">
        <v>14</v>
      </c>
      <c r="B302" s="8">
        <f t="shared" si="7"/>
        <v>70021638</v>
      </c>
      <c r="C302" s="17" t="s">
        <v>333</v>
      </c>
      <c r="E302" s="2" t="str">
        <f>F302&amp;(VLOOKUP(G302,编号表!$E$1:$G$8,2,0))&amp;H302&amp;"_"&amp;I302&amp;"_"&amp;J302</f>
        <v>2P1_6_38</v>
      </c>
      <c r="F302" s="2">
        <v>2</v>
      </c>
      <c r="G302" s="2" t="s">
        <v>57</v>
      </c>
      <c r="H302" s="2">
        <v>1</v>
      </c>
      <c r="I302" s="2">
        <v>6</v>
      </c>
      <c r="J302" s="2">
        <f>COUNTIFS($F$13:F302,F302,$I$13:I302,I302)</f>
        <v>38</v>
      </c>
      <c r="P302" s="20"/>
    </row>
    <row r="303" spans="1:16">
      <c r="A303" s="14" t="s">
        <v>14</v>
      </c>
      <c r="B303" s="8">
        <f t="shared" si="7"/>
        <v>70021639</v>
      </c>
      <c r="C303" s="17" t="s">
        <v>334</v>
      </c>
      <c r="E303" s="2" t="str">
        <f>F303&amp;(VLOOKUP(G303,编号表!$E$1:$G$8,2,0))&amp;H303&amp;"_"&amp;I303&amp;"_"&amp;J303</f>
        <v>2P1_6_39</v>
      </c>
      <c r="F303" s="2">
        <v>2</v>
      </c>
      <c r="G303" s="2" t="s">
        <v>57</v>
      </c>
      <c r="H303" s="2">
        <v>1</v>
      </c>
      <c r="I303" s="2">
        <v>6</v>
      </c>
      <c r="J303" s="2">
        <f>COUNTIFS($F$13:F303,F303,$I$13:I303,I303)</f>
        <v>39</v>
      </c>
      <c r="P303" s="20"/>
    </row>
    <row r="304" spans="1:16">
      <c r="A304" s="14" t="s">
        <v>14</v>
      </c>
      <c r="B304" s="8">
        <f t="shared" si="7"/>
        <v>70021640</v>
      </c>
      <c r="C304" s="17" t="s">
        <v>335</v>
      </c>
      <c r="E304" s="2" t="str">
        <f>F304&amp;(VLOOKUP(G304,编号表!$E$1:$G$8,2,0))&amp;H304&amp;"_"&amp;I304&amp;"_"&amp;J304</f>
        <v>2P1_6_40</v>
      </c>
      <c r="F304" s="2">
        <v>2</v>
      </c>
      <c r="G304" s="2" t="s">
        <v>57</v>
      </c>
      <c r="H304" s="2">
        <v>1</v>
      </c>
      <c r="I304" s="2">
        <v>6</v>
      </c>
      <c r="J304" s="2">
        <f>COUNTIFS($F$13:F304,F304,$I$13:I304,I304)</f>
        <v>40</v>
      </c>
      <c r="P304" s="20"/>
    </row>
    <row r="305" spans="1:20">
      <c r="A305" s="14" t="s">
        <v>14</v>
      </c>
      <c r="B305" s="8">
        <f t="shared" si="7"/>
        <v>70021641</v>
      </c>
      <c r="C305" s="17" t="s">
        <v>336</v>
      </c>
      <c r="E305" s="2" t="str">
        <f>F305&amp;(VLOOKUP(G305,编号表!$E$1:$G$8,2,0))&amp;H305&amp;"_"&amp;I305&amp;"_"&amp;J305</f>
        <v>2P1_6_41</v>
      </c>
      <c r="F305" s="2">
        <v>2</v>
      </c>
      <c r="G305" s="2" t="s">
        <v>57</v>
      </c>
      <c r="H305" s="2">
        <v>1</v>
      </c>
      <c r="I305" s="2">
        <v>6</v>
      </c>
      <c r="J305" s="2">
        <f>COUNTIFS($F$13:F305,F305,$I$13:I305,I305)</f>
        <v>41</v>
      </c>
      <c r="P305" s="20"/>
    </row>
    <row r="306" spans="1:20">
      <c r="A306" s="14" t="s">
        <v>14</v>
      </c>
      <c r="B306" s="8">
        <f t="shared" si="7"/>
        <v>70021642</v>
      </c>
      <c r="C306" s="17" t="s">
        <v>337</v>
      </c>
      <c r="E306" s="2" t="str">
        <f>F306&amp;(VLOOKUP(G306,编号表!$E$1:$G$8,2,0))&amp;H306&amp;"_"&amp;I306&amp;"_"&amp;J306</f>
        <v>2P1_6_42</v>
      </c>
      <c r="F306" s="2">
        <v>2</v>
      </c>
      <c r="G306" s="2" t="s">
        <v>57</v>
      </c>
      <c r="H306" s="2">
        <v>1</v>
      </c>
      <c r="I306" s="2">
        <v>6</v>
      </c>
      <c r="J306" s="2">
        <f>COUNTIFS($F$13:F306,F306,$I$13:I306,I306)</f>
        <v>42</v>
      </c>
      <c r="P306" s="20"/>
    </row>
    <row r="307" spans="1:20">
      <c r="A307" s="14" t="s">
        <v>14</v>
      </c>
      <c r="B307" s="8">
        <f t="shared" si="7"/>
        <v>70021643</v>
      </c>
      <c r="C307" s="17" t="s">
        <v>338</v>
      </c>
      <c r="E307" s="2" t="str">
        <f>F307&amp;(VLOOKUP(G307,编号表!$E$1:$G$8,2,0))&amp;H307&amp;"_"&amp;I307&amp;"_"&amp;J307</f>
        <v>2P1_6_43</v>
      </c>
      <c r="F307" s="2">
        <v>2</v>
      </c>
      <c r="G307" s="2" t="s">
        <v>57</v>
      </c>
      <c r="H307" s="2">
        <v>1</v>
      </c>
      <c r="I307" s="2">
        <v>6</v>
      </c>
      <c r="J307" s="2">
        <f>COUNTIFS($F$13:F307,F307,$I$13:I307,I307)</f>
        <v>43</v>
      </c>
      <c r="P307" s="20"/>
    </row>
    <row r="308" spans="1:20">
      <c r="A308" s="14" t="s">
        <v>14</v>
      </c>
      <c r="B308" s="8">
        <f t="shared" si="7"/>
        <v>70021644</v>
      </c>
      <c r="C308" s="17" t="s">
        <v>339</v>
      </c>
      <c r="E308" s="2" t="str">
        <f>F308&amp;(VLOOKUP(G308,编号表!$E$1:$G$8,2,0))&amp;H308&amp;"_"&amp;I308&amp;"_"&amp;J308</f>
        <v>2P1_6_44</v>
      </c>
      <c r="F308" s="2">
        <v>2</v>
      </c>
      <c r="G308" s="2" t="s">
        <v>57</v>
      </c>
      <c r="H308" s="2">
        <v>1</v>
      </c>
      <c r="I308" s="2">
        <v>6</v>
      </c>
      <c r="J308" s="2">
        <f>COUNTIFS($F$13:F308,F308,$I$13:I308,I308)</f>
        <v>44</v>
      </c>
      <c r="P308" s="20"/>
    </row>
    <row r="309" spans="1:20">
      <c r="A309" s="14" t="s">
        <v>14</v>
      </c>
      <c r="B309" s="8">
        <f t="shared" si="7"/>
        <v>70021645</v>
      </c>
      <c r="C309" s="17" t="s">
        <v>340</v>
      </c>
      <c r="E309" s="2" t="str">
        <f>F309&amp;(VLOOKUP(G309,编号表!$E$1:$G$8,2,0))&amp;H309&amp;"_"&amp;I309&amp;"_"&amp;J309</f>
        <v>2P1_6_45</v>
      </c>
      <c r="F309" s="2">
        <v>2</v>
      </c>
      <c r="G309" s="2" t="s">
        <v>57</v>
      </c>
      <c r="H309" s="2">
        <v>1</v>
      </c>
      <c r="I309" s="2">
        <v>6</v>
      </c>
      <c r="J309" s="2">
        <f>COUNTIFS($F$13:F309,F309,$I$13:I309,I309)</f>
        <v>45</v>
      </c>
      <c r="P309" s="20"/>
    </row>
    <row r="310" spans="1:20">
      <c r="A310" s="14" t="s">
        <v>14</v>
      </c>
      <c r="B310" s="8">
        <f t="shared" si="7"/>
        <v>70021646</v>
      </c>
      <c r="C310" s="17" t="s">
        <v>341</v>
      </c>
      <c r="E310" s="2" t="str">
        <f>F310&amp;(VLOOKUP(G310,编号表!$E$1:$G$8,2,0))&amp;H310&amp;"_"&amp;I310&amp;"_"&amp;J310</f>
        <v>2P1_6_46</v>
      </c>
      <c r="F310" s="2">
        <v>2</v>
      </c>
      <c r="G310" s="2" t="s">
        <v>57</v>
      </c>
      <c r="H310" s="2">
        <v>1</v>
      </c>
      <c r="I310" s="2">
        <v>6</v>
      </c>
      <c r="J310" s="2">
        <f>COUNTIFS($F$13:F310,F310,$I$13:I310,I310)</f>
        <v>46</v>
      </c>
      <c r="P310" s="20"/>
    </row>
    <row r="311" spans="1:20">
      <c r="A311" s="14" t="s">
        <v>14</v>
      </c>
      <c r="B311" s="8">
        <f t="shared" si="7"/>
        <v>70021011</v>
      </c>
      <c r="C311" s="18" t="s">
        <v>342</v>
      </c>
      <c r="E311" s="2" t="str">
        <f>F311&amp;(VLOOKUP(G311,编号表!$E$1:$G$8,2,0))&amp;H311&amp;"_"&amp;I311&amp;"_"&amp;J311</f>
        <v>2J1_0_11</v>
      </c>
      <c r="F311" s="2">
        <v>2</v>
      </c>
      <c r="G311" s="2" t="s">
        <v>86</v>
      </c>
      <c r="H311" s="2">
        <v>1</v>
      </c>
      <c r="I311" s="2">
        <v>0</v>
      </c>
      <c r="J311" s="2">
        <f>COUNTIFS($F$13:F311,F311,$I$13:I311,I311)</f>
        <v>11</v>
      </c>
      <c r="K311" s="2">
        <v>1</v>
      </c>
      <c r="P311" s="20"/>
    </row>
    <row r="312" spans="1:20">
      <c r="A312" s="14" t="s">
        <v>14</v>
      </c>
      <c r="B312" s="8">
        <f t="shared" si="7"/>
        <v>70033101</v>
      </c>
      <c r="C312" s="2" t="s">
        <v>343</v>
      </c>
      <c r="E312" s="2" t="str">
        <f>F312&amp;(VLOOKUP(G312,编号表!$E$1:$G$8,2,0))&amp;H312&amp;"_"&amp;I312&amp;"_"&amp;J312</f>
        <v>3N3_1_1</v>
      </c>
      <c r="F312" s="2">
        <v>3</v>
      </c>
      <c r="G312" s="2" t="s">
        <v>37</v>
      </c>
      <c r="H312" s="2">
        <v>3</v>
      </c>
      <c r="I312" s="2">
        <v>1</v>
      </c>
      <c r="J312" s="2">
        <f>COUNTIFS($F$13:F312,F312,$I$13:I312,I312)</f>
        <v>1</v>
      </c>
      <c r="O312" s="8">
        <v>1003201</v>
      </c>
      <c r="P312" s="20">
        <v>1003301</v>
      </c>
      <c r="Q312" s="20">
        <v>1003401</v>
      </c>
      <c r="R312" s="20">
        <v>1003501</v>
      </c>
      <c r="S312" s="20">
        <v>1003601</v>
      </c>
      <c r="T312" s="8">
        <v>1003001</v>
      </c>
    </row>
    <row r="313" spans="1:20">
      <c r="A313" s="14" t="s">
        <v>14</v>
      </c>
      <c r="B313" s="8">
        <f t="shared" si="7"/>
        <v>70034102</v>
      </c>
      <c r="C313" s="2" t="s">
        <v>344</v>
      </c>
      <c r="E313" s="2" t="str">
        <f>F313&amp;(VLOOKUP(G313,编号表!$E$1:$G$8,2,0))&amp;H313&amp;"_"&amp;I313&amp;"_"&amp;J313</f>
        <v>3N4_1_2</v>
      </c>
      <c r="F313" s="2">
        <v>3</v>
      </c>
      <c r="G313" s="2" t="s">
        <v>37</v>
      </c>
      <c r="H313" s="2">
        <v>4</v>
      </c>
      <c r="I313" s="2">
        <v>1</v>
      </c>
      <c r="J313" s="2">
        <f>COUNTIFS($F$13:F313,F313,$I$13:I313,I313)</f>
        <v>2</v>
      </c>
      <c r="O313" s="8">
        <v>1003201</v>
      </c>
      <c r="P313" s="20">
        <v>1003301</v>
      </c>
      <c r="Q313" s="8">
        <v>1003401</v>
      </c>
      <c r="R313" s="8">
        <v>1003501</v>
      </c>
      <c r="S313" s="8">
        <v>1003601</v>
      </c>
      <c r="T313" s="8">
        <v>1003101</v>
      </c>
    </row>
    <row r="314" spans="1:20">
      <c r="A314" s="14" t="s">
        <v>14</v>
      </c>
      <c r="B314" s="8">
        <f t="shared" si="7"/>
        <v>70032103</v>
      </c>
      <c r="C314" s="2" t="s">
        <v>345</v>
      </c>
      <c r="E314" s="2" t="str">
        <f>F314&amp;(VLOOKUP(G314,编号表!$E$1:$G$8,2,0))&amp;H314&amp;"_"&amp;I314&amp;"_"&amp;J314</f>
        <v>3N2_1_3</v>
      </c>
      <c r="F314" s="2">
        <v>3</v>
      </c>
      <c r="G314" s="2" t="s">
        <v>37</v>
      </c>
      <c r="H314" s="2">
        <v>2</v>
      </c>
      <c r="I314" s="2">
        <v>1</v>
      </c>
      <c r="J314" s="2">
        <f>COUNTIFS($F$13:F314,F314,$I$13:I314,I314)</f>
        <v>3</v>
      </c>
      <c r="O314" s="8">
        <v>1003201</v>
      </c>
      <c r="P314" s="20">
        <v>1003301</v>
      </c>
    </row>
    <row r="315" spans="1:20">
      <c r="A315" s="14" t="s">
        <v>14</v>
      </c>
      <c r="B315" s="8">
        <f t="shared" si="7"/>
        <v>70032104</v>
      </c>
      <c r="C315" s="2" t="s">
        <v>346</v>
      </c>
      <c r="E315" s="2" t="str">
        <f>F315&amp;(VLOOKUP(G315,编号表!$E$1:$G$8,2,0))&amp;H315&amp;"_"&amp;I315&amp;"_"&amp;J315</f>
        <v>3N2_1_4</v>
      </c>
      <c r="F315" s="2">
        <v>3</v>
      </c>
      <c r="G315" s="2" t="s">
        <v>37</v>
      </c>
      <c r="H315" s="2">
        <v>2</v>
      </c>
      <c r="I315" s="2">
        <v>1</v>
      </c>
      <c r="J315" s="2">
        <f>COUNTIFS($F$13:F315,F315,$I$13:I315,I315)</f>
        <v>4</v>
      </c>
      <c r="O315" s="8">
        <v>1003201</v>
      </c>
      <c r="P315" s="20">
        <v>1003301</v>
      </c>
    </row>
    <row r="316" spans="1:20">
      <c r="A316" s="14" t="s">
        <v>14</v>
      </c>
      <c r="B316" s="8">
        <f t="shared" si="7"/>
        <v>70035105</v>
      </c>
      <c r="C316" s="2" t="s">
        <v>347</v>
      </c>
      <c r="E316" s="2" t="str">
        <f>F316&amp;(VLOOKUP(G316,编号表!$E$1:$G$8,2,0))&amp;H316&amp;"_"&amp;I316&amp;"_"&amp;J316</f>
        <v>3N5_1_5</v>
      </c>
      <c r="F316" s="2">
        <v>3</v>
      </c>
      <c r="G316" s="2" t="s">
        <v>37</v>
      </c>
      <c r="H316" s="2">
        <v>5</v>
      </c>
      <c r="I316" s="2">
        <v>1</v>
      </c>
      <c r="J316" s="2">
        <f>COUNTIFS($F$13:F316,F316,$I$13:I316,I316)</f>
        <v>5</v>
      </c>
      <c r="O316" s="8">
        <v>1003201</v>
      </c>
      <c r="P316" s="20">
        <v>1003301</v>
      </c>
      <c r="Q316" s="8">
        <v>1003401</v>
      </c>
      <c r="R316" s="8">
        <v>1003501</v>
      </c>
      <c r="S316" s="8">
        <v>1003601</v>
      </c>
    </row>
    <row r="317" spans="1:20">
      <c r="A317" s="14" t="s">
        <v>14</v>
      </c>
      <c r="B317" s="8">
        <f t="shared" si="7"/>
        <v>70032106</v>
      </c>
      <c r="C317" s="2" t="s">
        <v>348</v>
      </c>
      <c r="E317" s="2" t="str">
        <f>F317&amp;(VLOOKUP(G317,编号表!$E$1:$G$8,2,0))&amp;H317&amp;"_"&amp;I317&amp;"_"&amp;J317</f>
        <v>3N2_1_6</v>
      </c>
      <c r="F317" s="2">
        <v>3</v>
      </c>
      <c r="G317" s="2" t="s">
        <v>37</v>
      </c>
      <c r="H317" s="2">
        <v>2</v>
      </c>
      <c r="I317" s="2">
        <v>1</v>
      </c>
      <c r="J317" s="2">
        <f>COUNTIFS($F$13:F317,F317,$I$13:I317,I317)</f>
        <v>6</v>
      </c>
      <c r="O317" s="8">
        <v>1003201</v>
      </c>
      <c r="P317" s="20">
        <v>1003301</v>
      </c>
    </row>
    <row r="318" spans="1:20">
      <c r="A318" s="14" t="s">
        <v>14</v>
      </c>
      <c r="B318" s="8">
        <f t="shared" si="7"/>
        <v>70032107</v>
      </c>
      <c r="C318" s="2" t="s">
        <v>349</v>
      </c>
      <c r="E318" s="2" t="str">
        <f>F318&amp;(VLOOKUP(G318,编号表!$E$1:$G$8,2,0))&amp;H318&amp;"_"&amp;I318&amp;"_"&amp;J318</f>
        <v>3N2_1_7</v>
      </c>
      <c r="F318" s="2">
        <v>3</v>
      </c>
      <c r="G318" s="2" t="s">
        <v>37</v>
      </c>
      <c r="H318" s="2">
        <v>2</v>
      </c>
      <c r="I318" s="2">
        <v>1</v>
      </c>
      <c r="J318" s="2">
        <f>COUNTIFS($F$13:F318,F318,$I$13:I318,I318)</f>
        <v>7</v>
      </c>
      <c r="O318" s="8">
        <v>1003201</v>
      </c>
      <c r="P318" s="20">
        <v>1003301</v>
      </c>
    </row>
    <row r="319" spans="1:20">
      <c r="A319" s="14" t="s">
        <v>14</v>
      </c>
      <c r="B319" s="8">
        <f t="shared" si="7"/>
        <v>70032108</v>
      </c>
      <c r="C319" s="2" t="s">
        <v>350</v>
      </c>
      <c r="E319" s="2" t="str">
        <f>F319&amp;(VLOOKUP(G319,编号表!$E$1:$G$8,2,0))&amp;H319&amp;"_"&amp;I319&amp;"_"&amp;J319</f>
        <v>3N2_1_8</v>
      </c>
      <c r="F319" s="2">
        <v>3</v>
      </c>
      <c r="G319" s="2" t="s">
        <v>37</v>
      </c>
      <c r="H319" s="2">
        <v>2</v>
      </c>
      <c r="I319" s="2">
        <v>1</v>
      </c>
      <c r="J319" s="2">
        <f>COUNTIFS($F$13:F319,F319,$I$13:I319,I319)</f>
        <v>8</v>
      </c>
      <c r="O319" s="8">
        <v>1003201</v>
      </c>
      <c r="P319" s="20">
        <v>1003301</v>
      </c>
    </row>
    <row r="320" spans="1:20">
      <c r="A320" s="14" t="s">
        <v>14</v>
      </c>
      <c r="B320" s="8">
        <f t="shared" si="7"/>
        <v>70032109</v>
      </c>
      <c r="C320" s="2" t="s">
        <v>351</v>
      </c>
      <c r="E320" s="2" t="str">
        <f>F320&amp;(VLOOKUP(G320,编号表!$E$1:$G$8,2,0))&amp;H320&amp;"_"&amp;I320&amp;"_"&amp;J320</f>
        <v>3N2_1_9</v>
      </c>
      <c r="F320" s="2">
        <v>3</v>
      </c>
      <c r="G320" s="2" t="s">
        <v>37</v>
      </c>
      <c r="H320" s="2">
        <v>2</v>
      </c>
      <c r="I320" s="2">
        <v>1</v>
      </c>
      <c r="J320" s="2">
        <f>COUNTIFS($F$13:F320,F320,$I$13:I320,I320)</f>
        <v>9</v>
      </c>
      <c r="O320" s="8">
        <v>1003201</v>
      </c>
      <c r="P320" s="20">
        <v>1003301</v>
      </c>
    </row>
    <row r="321" spans="1:19">
      <c r="A321" s="14" t="s">
        <v>14</v>
      </c>
      <c r="B321" s="8">
        <f t="shared" si="7"/>
        <v>70032110</v>
      </c>
      <c r="C321" s="2" t="s">
        <v>352</v>
      </c>
      <c r="E321" s="2" t="str">
        <f>F321&amp;(VLOOKUP(G321,编号表!$E$1:$G$8,2,0))&amp;H321&amp;"_"&amp;I321&amp;"_"&amp;J321</f>
        <v>3N2_1_10</v>
      </c>
      <c r="F321" s="2">
        <v>3</v>
      </c>
      <c r="G321" s="2" t="s">
        <v>37</v>
      </c>
      <c r="H321" s="2">
        <v>2</v>
      </c>
      <c r="I321" s="2">
        <v>1</v>
      </c>
      <c r="J321" s="2">
        <f>COUNTIFS($F$13:F321,F321,$I$13:I321,I321)</f>
        <v>10</v>
      </c>
      <c r="O321" s="8">
        <v>1003501</v>
      </c>
      <c r="P321" s="8">
        <v>1003601</v>
      </c>
    </row>
    <row r="322" spans="1:19">
      <c r="A322" s="14" t="s">
        <v>14</v>
      </c>
      <c r="B322" s="8">
        <f t="shared" si="7"/>
        <v>70032111</v>
      </c>
      <c r="C322" s="2" t="s">
        <v>353</v>
      </c>
      <c r="E322" s="2" t="str">
        <f>F322&amp;(VLOOKUP(G322,编号表!$E$1:$G$8,2,0))&amp;H322&amp;"_"&amp;I322&amp;"_"&amp;J322</f>
        <v>3N2_1_11</v>
      </c>
      <c r="F322" s="2">
        <v>3</v>
      </c>
      <c r="G322" s="2" t="s">
        <v>37</v>
      </c>
      <c r="H322" s="2">
        <v>2</v>
      </c>
      <c r="I322" s="2">
        <v>1</v>
      </c>
      <c r="J322" s="2">
        <f>COUNTIFS($F$13:F322,F322,$I$13:I322,I322)</f>
        <v>11</v>
      </c>
      <c r="O322" s="8">
        <v>1003501</v>
      </c>
      <c r="P322" s="8">
        <v>1003601</v>
      </c>
    </row>
    <row r="323" spans="1:19">
      <c r="A323" s="14" t="s">
        <v>14</v>
      </c>
      <c r="B323" s="8">
        <f t="shared" si="7"/>
        <v>70034112</v>
      </c>
      <c r="C323" s="2" t="s">
        <v>354</v>
      </c>
      <c r="E323" s="2" t="str">
        <f>F323&amp;(VLOOKUP(G323,编号表!$E$1:$G$8,2,0))&amp;H323&amp;"_"&amp;I323&amp;"_"&amp;J323</f>
        <v>3N4_1_12</v>
      </c>
      <c r="F323" s="2">
        <v>3</v>
      </c>
      <c r="G323" s="2" t="s">
        <v>37</v>
      </c>
      <c r="H323" s="2">
        <v>4</v>
      </c>
      <c r="I323" s="2">
        <v>1</v>
      </c>
      <c r="J323" s="2">
        <f>COUNTIFS($F$13:F323,F323,$I$13:I323,I323)</f>
        <v>12</v>
      </c>
      <c r="O323" s="8">
        <v>1003201</v>
      </c>
      <c r="P323" s="8">
        <v>1003401</v>
      </c>
      <c r="Q323" s="8">
        <v>1003501</v>
      </c>
      <c r="R323" s="8">
        <v>1003601</v>
      </c>
    </row>
    <row r="324" spans="1:19">
      <c r="A324" s="14" t="s">
        <v>14</v>
      </c>
      <c r="B324" s="8">
        <f t="shared" si="7"/>
        <v>70034113</v>
      </c>
      <c r="C324" s="2" t="s">
        <v>355</v>
      </c>
      <c r="E324" s="2" t="str">
        <f>F324&amp;(VLOOKUP(G324,编号表!$E$1:$G$8,2,0))&amp;H324&amp;"_"&amp;I324&amp;"_"&amp;J324</f>
        <v>3N4_1_13</v>
      </c>
      <c r="F324" s="2">
        <v>3</v>
      </c>
      <c r="G324" s="2" t="s">
        <v>37</v>
      </c>
      <c r="H324" s="2">
        <v>4</v>
      </c>
      <c r="I324" s="2">
        <v>1</v>
      </c>
      <c r="J324" s="2">
        <f>COUNTIFS($F$13:F324,F324,$I$13:I324,I324)</f>
        <v>13</v>
      </c>
      <c r="O324" s="8">
        <v>1003201</v>
      </c>
      <c r="P324" s="8">
        <v>1003401</v>
      </c>
      <c r="Q324" s="8">
        <v>1003501</v>
      </c>
      <c r="R324" s="8">
        <v>1003601</v>
      </c>
    </row>
    <row r="325" spans="1:19">
      <c r="A325" s="14" t="s">
        <v>14</v>
      </c>
      <c r="B325" s="8">
        <f t="shared" si="7"/>
        <v>70034114</v>
      </c>
      <c r="C325" s="2" t="s">
        <v>356</v>
      </c>
      <c r="E325" s="2" t="str">
        <f>F325&amp;(VLOOKUP(G325,编号表!$E$1:$G$8,2,0))&amp;H325&amp;"_"&amp;I325&amp;"_"&amp;J325</f>
        <v>3N4_1_14</v>
      </c>
      <c r="F325" s="2">
        <v>3</v>
      </c>
      <c r="G325" s="2" t="s">
        <v>37</v>
      </c>
      <c r="H325" s="2">
        <v>4</v>
      </c>
      <c r="I325" s="2">
        <v>1</v>
      </c>
      <c r="J325" s="2">
        <f>COUNTIFS($F$13:F325,F325,$I$13:I325,I325)</f>
        <v>14</v>
      </c>
      <c r="O325" s="8">
        <v>1003201</v>
      </c>
      <c r="P325" s="8">
        <v>1003401</v>
      </c>
      <c r="Q325" s="8">
        <v>1003501</v>
      </c>
      <c r="R325" s="8">
        <v>1003601</v>
      </c>
    </row>
    <row r="326" spans="1:19">
      <c r="A326" s="14" t="s">
        <v>14</v>
      </c>
      <c r="B326" s="8">
        <f t="shared" ref="B326:B389" si="8">70000000+F326*10000+H326*1000+I326*100+J326</f>
        <v>70034115</v>
      </c>
      <c r="C326" s="2" t="s">
        <v>357</v>
      </c>
      <c r="E326" s="2" t="str">
        <f>F326&amp;(VLOOKUP(G326,编号表!$E$1:$G$8,2,0))&amp;H326&amp;"_"&amp;I326&amp;"_"&amp;J326</f>
        <v>3N4_1_15</v>
      </c>
      <c r="F326" s="2">
        <v>3</v>
      </c>
      <c r="G326" s="2" t="s">
        <v>37</v>
      </c>
      <c r="H326" s="2">
        <v>4</v>
      </c>
      <c r="I326" s="2">
        <v>1</v>
      </c>
      <c r="J326" s="2">
        <f>COUNTIFS($F$13:F326,F326,$I$13:I326,I326)</f>
        <v>15</v>
      </c>
      <c r="O326" s="8">
        <v>1003201</v>
      </c>
      <c r="P326" s="8">
        <v>1003401</v>
      </c>
      <c r="Q326" s="8">
        <v>1003501</v>
      </c>
      <c r="R326" s="8">
        <v>1003601</v>
      </c>
    </row>
    <row r="327" spans="1:19">
      <c r="A327" s="14" t="s">
        <v>14</v>
      </c>
      <c r="B327" s="8">
        <f t="shared" si="8"/>
        <v>70034116</v>
      </c>
      <c r="C327" s="2" t="s">
        <v>358</v>
      </c>
      <c r="E327" s="2" t="str">
        <f>F327&amp;(VLOOKUP(G327,编号表!$E$1:$G$8,2,0))&amp;H327&amp;"_"&amp;I327&amp;"_"&amp;J327</f>
        <v>3N4_1_16</v>
      </c>
      <c r="F327" s="2">
        <v>3</v>
      </c>
      <c r="G327" s="2" t="s">
        <v>37</v>
      </c>
      <c r="H327" s="2">
        <v>4</v>
      </c>
      <c r="I327" s="2">
        <v>1</v>
      </c>
      <c r="J327" s="2">
        <f>COUNTIFS($F$13:F327,F327,$I$13:I327,I327)</f>
        <v>16</v>
      </c>
      <c r="O327" s="8">
        <v>1003201</v>
      </c>
      <c r="P327" s="8">
        <v>1003401</v>
      </c>
      <c r="Q327" s="8">
        <v>1003501</v>
      </c>
      <c r="R327" s="8">
        <v>1003601</v>
      </c>
    </row>
    <row r="328" spans="1:19">
      <c r="A328" s="14" t="s">
        <v>14</v>
      </c>
      <c r="B328" s="8">
        <f t="shared" si="8"/>
        <v>70033201</v>
      </c>
      <c r="C328" s="2" t="s">
        <v>359</v>
      </c>
      <c r="E328" s="2" t="str">
        <f>F328&amp;(VLOOKUP(G328,编号表!$E$1:$G$8,2,0))&amp;H328&amp;"_"&amp;I328&amp;"_"&amp;J328</f>
        <v>3N3_2_1</v>
      </c>
      <c r="F328" s="2">
        <v>3</v>
      </c>
      <c r="G328" s="2" t="s">
        <v>37</v>
      </c>
      <c r="H328" s="2">
        <v>3</v>
      </c>
      <c r="I328" s="2">
        <v>2</v>
      </c>
      <c r="J328" s="2">
        <f>COUNTIFS($F$13:F328,F328,$I$13:I328,I328)</f>
        <v>1</v>
      </c>
      <c r="O328" s="8">
        <v>1003201</v>
      </c>
      <c r="P328" s="8">
        <v>1003401</v>
      </c>
      <c r="Q328" s="8">
        <v>1003501</v>
      </c>
      <c r="R328" s="8">
        <v>1003601</v>
      </c>
    </row>
    <row r="329" spans="1:19">
      <c r="A329" s="14" t="s">
        <v>14</v>
      </c>
      <c r="B329" s="8">
        <f t="shared" si="8"/>
        <v>70034202</v>
      </c>
      <c r="C329" s="2" t="s">
        <v>360</v>
      </c>
      <c r="E329" s="2" t="str">
        <f>F329&amp;(VLOOKUP(G329,编号表!$E$1:$G$8,2,0))&amp;H329&amp;"_"&amp;I329&amp;"_"&amp;J329</f>
        <v>3N4_2_2</v>
      </c>
      <c r="F329" s="2">
        <v>3</v>
      </c>
      <c r="G329" s="2" t="s">
        <v>37</v>
      </c>
      <c r="H329" s="2">
        <v>4</v>
      </c>
      <c r="I329" s="2">
        <v>2</v>
      </c>
      <c r="J329" s="2">
        <f>COUNTIFS($F$13:F329,F329,$I$13:I329,I329)</f>
        <v>2</v>
      </c>
      <c r="O329" s="8">
        <v>1003201</v>
      </c>
      <c r="P329" s="8">
        <v>1003401</v>
      </c>
      <c r="Q329" s="8">
        <v>1003501</v>
      </c>
      <c r="R329" s="8">
        <v>1003601</v>
      </c>
    </row>
    <row r="330" spans="1:19">
      <c r="A330" s="14" t="s">
        <v>14</v>
      </c>
      <c r="B330" s="8">
        <f t="shared" si="8"/>
        <v>70034203</v>
      </c>
      <c r="C330" s="2" t="s">
        <v>361</v>
      </c>
      <c r="E330" s="2" t="str">
        <f>F330&amp;(VLOOKUP(G330,编号表!$E$1:$G$8,2,0))&amp;H330&amp;"_"&amp;I330&amp;"_"&amp;J330</f>
        <v>3N4_2_3</v>
      </c>
      <c r="F330" s="2">
        <v>3</v>
      </c>
      <c r="G330" s="2" t="s">
        <v>37</v>
      </c>
      <c r="H330" s="2">
        <v>4</v>
      </c>
      <c r="I330" s="2">
        <v>2</v>
      </c>
      <c r="J330" s="2">
        <f>COUNTIFS($F$13:F330,F330,$I$13:I330,I330)</f>
        <v>3</v>
      </c>
      <c r="O330" s="8">
        <v>1003201</v>
      </c>
      <c r="P330" s="20">
        <v>1003301</v>
      </c>
      <c r="Q330" s="8">
        <v>1003401</v>
      </c>
      <c r="R330" s="8">
        <v>1003501</v>
      </c>
      <c r="S330" s="8">
        <v>1003601</v>
      </c>
    </row>
    <row r="331" spans="1:19">
      <c r="A331" s="14" t="s">
        <v>14</v>
      </c>
      <c r="B331" s="8">
        <f t="shared" si="8"/>
        <v>70035204</v>
      </c>
      <c r="C331" s="2" t="s">
        <v>362</v>
      </c>
      <c r="E331" s="2" t="str">
        <f>F331&amp;(VLOOKUP(G331,编号表!$E$1:$G$8,2,0))&amp;H331&amp;"_"&amp;I331&amp;"_"&amp;J331</f>
        <v>3N5_2_4</v>
      </c>
      <c r="F331" s="2">
        <v>3</v>
      </c>
      <c r="G331" s="2" t="s">
        <v>37</v>
      </c>
      <c r="H331" s="2">
        <v>5</v>
      </c>
      <c r="I331" s="2">
        <v>2</v>
      </c>
      <c r="J331" s="2">
        <f>COUNTIFS($F$13:F331,F331,$I$13:I331,I331)</f>
        <v>4</v>
      </c>
      <c r="O331" s="8">
        <v>1003201</v>
      </c>
      <c r="P331" s="20">
        <v>1003301</v>
      </c>
      <c r="Q331" s="8">
        <v>1003401</v>
      </c>
      <c r="R331" s="8">
        <v>1003501</v>
      </c>
      <c r="S331" s="8">
        <v>1003601</v>
      </c>
    </row>
    <row r="332" spans="1:19">
      <c r="A332" s="14" t="s">
        <v>14</v>
      </c>
      <c r="B332" s="8">
        <f t="shared" si="8"/>
        <v>70034205</v>
      </c>
      <c r="C332" s="2" t="s">
        <v>363</v>
      </c>
      <c r="E332" s="2" t="str">
        <f>F332&amp;(VLOOKUP(G332,编号表!$E$1:$G$8,2,0))&amp;H332&amp;"_"&amp;I332&amp;"_"&amp;J332</f>
        <v>3N4_2_5</v>
      </c>
      <c r="F332" s="2">
        <v>3</v>
      </c>
      <c r="G332" s="2" t="s">
        <v>37</v>
      </c>
      <c r="H332" s="2">
        <v>4</v>
      </c>
      <c r="I332" s="2">
        <v>2</v>
      </c>
      <c r="J332" s="2">
        <f>COUNTIFS($F$13:F332,F332,$I$13:I332,I332)</f>
        <v>5</v>
      </c>
      <c r="O332" s="8">
        <v>1003201</v>
      </c>
      <c r="P332" s="20">
        <v>1003301</v>
      </c>
      <c r="Q332" s="8">
        <v>1003401</v>
      </c>
      <c r="R332" s="8">
        <v>1003501</v>
      </c>
      <c r="S332" s="8">
        <v>1003601</v>
      </c>
    </row>
    <row r="333" spans="1:19">
      <c r="A333" s="14" t="s">
        <v>14</v>
      </c>
      <c r="B333" s="8">
        <f t="shared" si="8"/>
        <v>70033301</v>
      </c>
      <c r="C333" s="16" t="s">
        <v>54</v>
      </c>
      <c r="D333" s="2" t="s">
        <v>89</v>
      </c>
      <c r="E333" s="2" t="str">
        <f>F333&amp;(VLOOKUP(G333,编号表!$E$1:$G$8,2,0))&amp;H333&amp;"_"&amp;I333&amp;"_"&amp;J333</f>
        <v>3T3_3_1</v>
      </c>
      <c r="F333" s="2">
        <v>3</v>
      </c>
      <c r="G333" s="2" t="s">
        <v>53</v>
      </c>
      <c r="H333" s="2">
        <v>3</v>
      </c>
      <c r="I333" s="2">
        <v>3</v>
      </c>
      <c r="J333" s="2">
        <f>COUNTIFS($F$13:F333,F333,$I$13:I333,I333)</f>
        <v>1</v>
      </c>
      <c r="M333" s="2">
        <v>107</v>
      </c>
      <c r="P333" s="20"/>
    </row>
    <row r="334" spans="1:19">
      <c r="A334" s="14" t="s">
        <v>14</v>
      </c>
      <c r="B334" s="8">
        <f t="shared" si="8"/>
        <v>70031302</v>
      </c>
      <c r="C334" s="15" t="s">
        <v>88</v>
      </c>
      <c r="E334" s="2" t="str">
        <f>F334&amp;(VLOOKUP(G334,编号表!$E$1:$G$8,2,0))&amp;H334&amp;"_"&amp;I334&amp;"_"&amp;J334</f>
        <v>3T1_3_2</v>
      </c>
      <c r="F334" s="2">
        <v>3</v>
      </c>
      <c r="G334" s="2" t="s">
        <v>53</v>
      </c>
      <c r="H334" s="2">
        <v>1</v>
      </c>
      <c r="I334" s="2">
        <v>3</v>
      </c>
      <c r="J334" s="2">
        <f>COUNTIFS($F$13:F334,F334,$I$13:I334,I334)</f>
        <v>2</v>
      </c>
      <c r="L334" s="2">
        <v>1</v>
      </c>
      <c r="P334" s="20"/>
    </row>
    <row r="335" spans="1:19">
      <c r="A335" s="14" t="s">
        <v>14</v>
      </c>
      <c r="B335" s="8">
        <f t="shared" si="8"/>
        <v>70033303</v>
      </c>
      <c r="C335" s="2" t="s">
        <v>364</v>
      </c>
      <c r="E335" s="2" t="str">
        <f>F335&amp;(VLOOKUP(G335,编号表!$E$1:$G$8,2,0))&amp;H335&amp;"_"&amp;I335&amp;"_"&amp;J335</f>
        <v>3N3_3_3</v>
      </c>
      <c r="F335" s="2">
        <v>3</v>
      </c>
      <c r="G335" s="2" t="s">
        <v>37</v>
      </c>
      <c r="H335" s="2">
        <v>3</v>
      </c>
      <c r="I335" s="2">
        <v>3</v>
      </c>
      <c r="J335" s="2">
        <f>COUNTIFS($F$13:F335,F335,$I$13:I335,I335)</f>
        <v>3</v>
      </c>
      <c r="O335" s="8">
        <v>1003201</v>
      </c>
      <c r="P335" s="20">
        <v>1003301</v>
      </c>
      <c r="Q335" s="8">
        <v>1003401</v>
      </c>
      <c r="R335" s="8">
        <v>1003501</v>
      </c>
      <c r="S335" s="8">
        <v>1003601</v>
      </c>
    </row>
    <row r="336" spans="1:19">
      <c r="A336" s="14" t="s">
        <v>14</v>
      </c>
      <c r="B336" s="8">
        <f t="shared" si="8"/>
        <v>70033304</v>
      </c>
      <c r="C336" s="2" t="s">
        <v>365</v>
      </c>
      <c r="E336" s="2" t="str">
        <f>F336&amp;(VLOOKUP(G336,编号表!$E$1:$G$8,2,0))&amp;H336&amp;"_"&amp;I336&amp;"_"&amp;J336</f>
        <v>3N3_3_4</v>
      </c>
      <c r="F336" s="2">
        <v>3</v>
      </c>
      <c r="G336" s="2" t="s">
        <v>37</v>
      </c>
      <c r="H336" s="2">
        <v>3</v>
      </c>
      <c r="I336" s="2">
        <v>3</v>
      </c>
      <c r="J336" s="2">
        <f>COUNTIFS($F$13:F336,F336,$I$13:I336,I336)</f>
        <v>4</v>
      </c>
      <c r="O336" s="8">
        <v>1003201</v>
      </c>
      <c r="P336" s="20">
        <v>1003301</v>
      </c>
      <c r="Q336" s="8">
        <v>1003401</v>
      </c>
      <c r="R336" s="8">
        <v>1003501</v>
      </c>
      <c r="S336" s="8">
        <v>1003601</v>
      </c>
    </row>
    <row r="337" spans="1:18">
      <c r="A337" s="14" t="s">
        <v>14</v>
      </c>
      <c r="B337" s="8">
        <f t="shared" si="8"/>
        <v>70033305</v>
      </c>
      <c r="C337" s="2" t="s">
        <v>366</v>
      </c>
      <c r="E337" s="2" t="str">
        <f>F337&amp;(VLOOKUP(G337,编号表!$E$1:$G$8,2,0))&amp;H337&amp;"_"&amp;I337&amp;"_"&amp;J337</f>
        <v>3N3_3_5</v>
      </c>
      <c r="F337" s="2">
        <v>3</v>
      </c>
      <c r="G337" s="2" t="s">
        <v>37</v>
      </c>
      <c r="H337" s="2">
        <v>3</v>
      </c>
      <c r="I337" s="2">
        <v>3</v>
      </c>
      <c r="J337" s="2">
        <f>COUNTIFS($F$13:F337,F337,$I$13:I337,I337)</f>
        <v>5</v>
      </c>
      <c r="O337" s="8">
        <v>1003201</v>
      </c>
      <c r="P337" s="20">
        <v>1003301</v>
      </c>
      <c r="Q337" s="8">
        <v>1003601</v>
      </c>
    </row>
    <row r="338" spans="1:18">
      <c r="A338" s="14" t="s">
        <v>14</v>
      </c>
      <c r="B338" s="8">
        <f t="shared" si="8"/>
        <v>70033306</v>
      </c>
      <c r="C338" s="2" t="s">
        <v>367</v>
      </c>
      <c r="E338" s="2" t="str">
        <f>F338&amp;(VLOOKUP(G338,编号表!$E$1:$G$8,2,0))&amp;H338&amp;"_"&amp;I338&amp;"_"&amp;J338</f>
        <v>3N3_3_6</v>
      </c>
      <c r="F338" s="2">
        <v>3</v>
      </c>
      <c r="G338" s="2" t="s">
        <v>37</v>
      </c>
      <c r="H338" s="2">
        <v>3</v>
      </c>
      <c r="I338" s="2">
        <v>3</v>
      </c>
      <c r="J338" s="2">
        <f>COUNTIFS($F$13:F338,F338,$I$13:I338,I338)</f>
        <v>6</v>
      </c>
      <c r="O338" s="8">
        <v>1003201</v>
      </c>
      <c r="P338" s="20">
        <v>1003301</v>
      </c>
      <c r="Q338" s="8">
        <v>1003601</v>
      </c>
    </row>
    <row r="339" spans="1:18">
      <c r="A339" s="14" t="s">
        <v>14</v>
      </c>
      <c r="B339" s="8">
        <f t="shared" si="8"/>
        <v>70033307</v>
      </c>
      <c r="C339" s="2" t="s">
        <v>368</v>
      </c>
      <c r="E339" s="2" t="str">
        <f>F339&amp;(VLOOKUP(G339,编号表!$E$1:$G$8,2,0))&amp;H339&amp;"_"&amp;I339&amp;"_"&amp;J339</f>
        <v>3N3_3_7</v>
      </c>
      <c r="F339" s="2">
        <v>3</v>
      </c>
      <c r="G339" s="2" t="s">
        <v>37</v>
      </c>
      <c r="H339" s="2">
        <v>3</v>
      </c>
      <c r="I339" s="2">
        <v>3</v>
      </c>
      <c r="J339" s="2">
        <f>COUNTIFS($F$13:F339,F339,$I$13:I339,I339)</f>
        <v>7</v>
      </c>
      <c r="O339" s="8">
        <v>1003201</v>
      </c>
      <c r="P339" s="20">
        <v>1003301</v>
      </c>
      <c r="Q339" s="8">
        <v>1003601</v>
      </c>
    </row>
    <row r="340" spans="1:18">
      <c r="A340" s="14" t="s">
        <v>14</v>
      </c>
      <c r="B340" s="8">
        <f t="shared" si="8"/>
        <v>70034308</v>
      </c>
      <c r="C340" s="2" t="s">
        <v>369</v>
      </c>
      <c r="E340" s="2" t="str">
        <f>F340&amp;(VLOOKUP(G340,编号表!$E$1:$G$8,2,0))&amp;H340&amp;"_"&amp;I340&amp;"_"&amp;J340</f>
        <v>3N4_3_8</v>
      </c>
      <c r="F340" s="2">
        <v>3</v>
      </c>
      <c r="G340" s="2" t="s">
        <v>37</v>
      </c>
      <c r="H340" s="2">
        <v>4</v>
      </c>
      <c r="I340" s="2">
        <v>3</v>
      </c>
      <c r="J340" s="2">
        <f>COUNTIFS($F$13:F340,F340,$I$13:I340,I340)</f>
        <v>8</v>
      </c>
      <c r="O340" s="8">
        <v>1003201</v>
      </c>
      <c r="P340" s="20">
        <v>1003301</v>
      </c>
      <c r="Q340" s="8">
        <v>1003501</v>
      </c>
      <c r="R340" s="8">
        <v>1003601</v>
      </c>
    </row>
    <row r="341" spans="1:18">
      <c r="A341" s="14" t="s">
        <v>14</v>
      </c>
      <c r="B341" s="8">
        <f t="shared" si="8"/>
        <v>70034309</v>
      </c>
      <c r="C341" s="2" t="s">
        <v>370</v>
      </c>
      <c r="E341" s="2" t="str">
        <f>F341&amp;(VLOOKUP(G341,编号表!$E$1:$G$8,2,0))&amp;H341&amp;"_"&amp;I341&amp;"_"&amp;J341</f>
        <v>3N4_3_9</v>
      </c>
      <c r="F341" s="2">
        <v>3</v>
      </c>
      <c r="G341" s="2" t="s">
        <v>37</v>
      </c>
      <c r="H341" s="2">
        <v>4</v>
      </c>
      <c r="I341" s="2">
        <v>3</v>
      </c>
      <c r="J341" s="2">
        <f>COUNTIFS($F$13:F341,F341,$I$13:I341,I341)</f>
        <v>9</v>
      </c>
      <c r="O341" s="8">
        <v>1003201</v>
      </c>
      <c r="P341" s="20">
        <v>1003301</v>
      </c>
      <c r="Q341" s="8">
        <v>1003501</v>
      </c>
      <c r="R341" s="8">
        <v>1003601</v>
      </c>
    </row>
    <row r="342" spans="1:18">
      <c r="A342" s="14" t="s">
        <v>14</v>
      </c>
      <c r="B342" s="8">
        <f t="shared" si="8"/>
        <v>70035310</v>
      </c>
      <c r="C342" s="2" t="s">
        <v>371</v>
      </c>
      <c r="E342" s="2" t="str">
        <f>F342&amp;(VLOOKUP(G342,编号表!$E$1:$G$8,2,0))&amp;H342&amp;"_"&amp;I342&amp;"_"&amp;J342</f>
        <v>3N5_3_10</v>
      </c>
      <c r="F342" s="2">
        <v>3</v>
      </c>
      <c r="G342" s="2" t="s">
        <v>37</v>
      </c>
      <c r="H342" s="2">
        <v>5</v>
      </c>
      <c r="I342" s="2">
        <v>3</v>
      </c>
      <c r="J342" s="2">
        <f>COUNTIFS($F$13:F342,F342,$I$13:I342,I342)</f>
        <v>10</v>
      </c>
      <c r="O342" s="8">
        <v>1003201</v>
      </c>
      <c r="P342" s="20">
        <v>1003301</v>
      </c>
      <c r="Q342" s="8">
        <v>1003501</v>
      </c>
      <c r="R342" s="8">
        <v>1003601</v>
      </c>
    </row>
    <row r="343" spans="1:18">
      <c r="A343" s="14" t="s">
        <v>14</v>
      </c>
      <c r="B343" s="8">
        <f t="shared" si="8"/>
        <v>70034311</v>
      </c>
      <c r="C343" s="2" t="s">
        <v>372</v>
      </c>
      <c r="E343" s="2" t="str">
        <f>F343&amp;(VLOOKUP(G343,编号表!$E$1:$G$8,2,0))&amp;H343&amp;"_"&amp;I343&amp;"_"&amp;J343</f>
        <v>3N4_3_11</v>
      </c>
      <c r="F343" s="2">
        <v>3</v>
      </c>
      <c r="G343" s="2" t="s">
        <v>37</v>
      </c>
      <c r="H343" s="2">
        <v>4</v>
      </c>
      <c r="I343" s="2">
        <v>3</v>
      </c>
      <c r="J343" s="2">
        <f>COUNTIFS($F$13:F343,F343,$I$13:I343,I343)</f>
        <v>11</v>
      </c>
      <c r="O343" s="8">
        <v>1003201</v>
      </c>
      <c r="P343" s="20">
        <v>1003301</v>
      </c>
      <c r="Q343" s="8">
        <v>1003501</v>
      </c>
      <c r="R343" s="8">
        <v>1003601</v>
      </c>
    </row>
    <row r="344" spans="1:18">
      <c r="A344" s="14" t="s">
        <v>14</v>
      </c>
      <c r="B344" s="8">
        <f t="shared" si="8"/>
        <v>70034312</v>
      </c>
      <c r="C344" s="2" t="s">
        <v>373</v>
      </c>
      <c r="E344" s="2" t="str">
        <f>F344&amp;(VLOOKUP(G344,编号表!$E$1:$G$8,2,0))&amp;H344&amp;"_"&amp;I344&amp;"_"&amp;J344</f>
        <v>3N4_3_12</v>
      </c>
      <c r="F344" s="2">
        <v>3</v>
      </c>
      <c r="G344" s="2" t="s">
        <v>37</v>
      </c>
      <c r="H344" s="2">
        <v>4</v>
      </c>
      <c r="I344" s="2">
        <v>3</v>
      </c>
      <c r="J344" s="2">
        <f>COUNTIFS($F$13:F344,F344,$I$13:I344,I344)</f>
        <v>12</v>
      </c>
      <c r="O344" s="8">
        <v>1003201</v>
      </c>
      <c r="P344" s="20">
        <v>1003301</v>
      </c>
      <c r="Q344" s="8">
        <v>1003501</v>
      </c>
      <c r="R344" s="8">
        <v>1003601</v>
      </c>
    </row>
    <row r="345" spans="1:18">
      <c r="A345" s="14" t="s">
        <v>14</v>
      </c>
      <c r="B345" s="8">
        <f t="shared" si="8"/>
        <v>70033313</v>
      </c>
      <c r="C345" s="2" t="s">
        <v>374</v>
      </c>
      <c r="E345" s="2" t="str">
        <f>F345&amp;(VLOOKUP(G345,编号表!$E$1:$G$8,2,0))&amp;H345&amp;"_"&amp;I345&amp;"_"&amp;J345</f>
        <v>3N3_3_13</v>
      </c>
      <c r="F345" s="2">
        <v>3</v>
      </c>
      <c r="G345" s="2" t="s">
        <v>37</v>
      </c>
      <c r="H345" s="2">
        <v>3</v>
      </c>
      <c r="I345" s="2">
        <v>3</v>
      </c>
      <c r="J345" s="2">
        <f>COUNTIFS($F$13:F345,F345,$I$13:I345,I345)</f>
        <v>13</v>
      </c>
      <c r="O345" s="8">
        <v>1003201</v>
      </c>
      <c r="P345" s="20">
        <v>1003301</v>
      </c>
      <c r="Q345" s="8">
        <v>1003501</v>
      </c>
      <c r="R345" s="8">
        <v>1003601</v>
      </c>
    </row>
    <row r="346" spans="1:18">
      <c r="A346" s="14" t="s">
        <v>14</v>
      </c>
      <c r="B346" s="8">
        <f t="shared" si="8"/>
        <v>70033314</v>
      </c>
      <c r="C346" s="2" t="s">
        <v>375</v>
      </c>
      <c r="E346" s="2" t="str">
        <f>F346&amp;(VLOOKUP(G346,编号表!$E$1:$G$8,2,0))&amp;H346&amp;"_"&amp;I346&amp;"_"&amp;J346</f>
        <v>3N3_3_14</v>
      </c>
      <c r="F346" s="2">
        <v>3</v>
      </c>
      <c r="G346" s="2" t="s">
        <v>37</v>
      </c>
      <c r="H346" s="2">
        <v>3</v>
      </c>
      <c r="I346" s="2">
        <v>3</v>
      </c>
      <c r="J346" s="2">
        <f>COUNTIFS($F$13:F346,F346,$I$13:I346,I346)</f>
        <v>14</v>
      </c>
      <c r="O346" s="8">
        <v>1003201</v>
      </c>
      <c r="P346" s="8">
        <v>1003301</v>
      </c>
      <c r="Q346" s="8">
        <v>1003501</v>
      </c>
      <c r="R346" s="8">
        <v>1003601</v>
      </c>
    </row>
    <row r="347" spans="1:18">
      <c r="A347" s="14" t="s">
        <v>14</v>
      </c>
      <c r="B347" s="8">
        <f t="shared" si="8"/>
        <v>70031315</v>
      </c>
      <c r="C347" s="15" t="s">
        <v>376</v>
      </c>
      <c r="E347" s="2" t="str">
        <f>F347&amp;(VLOOKUP(G347,编号表!$E$1:$G$8,2,0))&amp;H347&amp;"_"&amp;I347&amp;"_"&amp;J347</f>
        <v>3T1_3_15</v>
      </c>
      <c r="F347" s="2">
        <v>3</v>
      </c>
      <c r="G347" s="2" t="s">
        <v>53</v>
      </c>
      <c r="H347" s="2">
        <v>1</v>
      </c>
      <c r="I347" s="2">
        <v>3</v>
      </c>
      <c r="J347" s="2">
        <f>COUNTIFS($F$13:F347,F347,$I$13:I347,I347)</f>
        <v>15</v>
      </c>
    </row>
    <row r="348" spans="1:18">
      <c r="A348" s="14" t="s">
        <v>14</v>
      </c>
      <c r="B348" s="8">
        <f t="shared" si="8"/>
        <v>70033316</v>
      </c>
      <c r="C348" s="16" t="s">
        <v>377</v>
      </c>
      <c r="D348" s="2" t="s">
        <v>378</v>
      </c>
      <c r="E348" s="2" t="str">
        <f>F348&amp;(VLOOKUP(G348,编号表!$E$1:$G$8,2,0))&amp;H348&amp;"_"&amp;I348&amp;"_"&amp;J348</f>
        <v>3T3_3_16</v>
      </c>
      <c r="F348" s="2">
        <v>3</v>
      </c>
      <c r="G348" s="2" t="s">
        <v>53</v>
      </c>
      <c r="H348" s="2">
        <v>3</v>
      </c>
      <c r="I348" s="2">
        <v>3</v>
      </c>
      <c r="J348" s="2">
        <f>COUNTIFS($F$13:F348,F348,$I$13:I348,I348)</f>
        <v>16</v>
      </c>
      <c r="M348" s="2">
        <v>108</v>
      </c>
    </row>
    <row r="349" spans="1:18">
      <c r="A349" s="14" t="s">
        <v>14</v>
      </c>
      <c r="B349" s="8">
        <f t="shared" si="8"/>
        <v>70032401</v>
      </c>
      <c r="C349" s="2" t="s">
        <v>379</v>
      </c>
      <c r="E349" s="2" t="str">
        <f>F349&amp;(VLOOKUP(G349,编号表!$E$1:$G$8,2,0))&amp;H349&amp;"_"&amp;I349&amp;"_"&amp;J349</f>
        <v>3N2_4_1</v>
      </c>
      <c r="F349" s="2">
        <v>3</v>
      </c>
      <c r="G349" s="2" t="s">
        <v>37</v>
      </c>
      <c r="H349" s="2">
        <v>2</v>
      </c>
      <c r="I349" s="2">
        <v>4</v>
      </c>
      <c r="J349" s="2">
        <f>COUNTIFS($F$13:F349,F349,$I$13:I349,I349)</f>
        <v>1</v>
      </c>
      <c r="O349" s="8">
        <v>1003501</v>
      </c>
      <c r="P349" s="8">
        <v>1003601</v>
      </c>
    </row>
    <row r="350" spans="1:18">
      <c r="A350" s="14" t="s">
        <v>14</v>
      </c>
      <c r="B350" s="8">
        <f t="shared" si="8"/>
        <v>70032402</v>
      </c>
      <c r="C350" s="2" t="s">
        <v>380</v>
      </c>
      <c r="E350" s="2" t="str">
        <f>F350&amp;(VLOOKUP(G350,编号表!$E$1:$G$8,2,0))&amp;H350&amp;"_"&amp;I350&amp;"_"&amp;J350</f>
        <v>3N2_4_2</v>
      </c>
      <c r="F350" s="2">
        <v>3</v>
      </c>
      <c r="G350" s="2" t="s">
        <v>37</v>
      </c>
      <c r="H350" s="2">
        <v>2</v>
      </c>
      <c r="I350" s="2">
        <v>4</v>
      </c>
      <c r="J350" s="2">
        <f>COUNTIFS($F$13:F350,F350,$I$13:I350,I350)</f>
        <v>2</v>
      </c>
      <c r="O350" s="8">
        <v>1003501</v>
      </c>
      <c r="P350" s="8">
        <v>1003601</v>
      </c>
    </row>
    <row r="351" spans="1:18">
      <c r="A351" s="14" t="s">
        <v>14</v>
      </c>
      <c r="B351" s="8">
        <f t="shared" si="8"/>
        <v>70033403</v>
      </c>
      <c r="C351" s="2" t="s">
        <v>381</v>
      </c>
      <c r="E351" s="2" t="str">
        <f>F351&amp;(VLOOKUP(G351,编号表!$E$1:$G$8,2,0))&amp;H351&amp;"_"&amp;I351&amp;"_"&amp;J351</f>
        <v>3N3_4_3</v>
      </c>
      <c r="F351" s="2">
        <v>3</v>
      </c>
      <c r="G351" s="2" t="s">
        <v>37</v>
      </c>
      <c r="H351" s="2">
        <v>3</v>
      </c>
      <c r="I351" s="2">
        <v>4</v>
      </c>
      <c r="J351" s="2">
        <f>COUNTIFS($F$13:F351,F351,$I$13:I351,I351)</f>
        <v>3</v>
      </c>
      <c r="O351" s="8">
        <v>1003201</v>
      </c>
      <c r="P351" s="8">
        <v>1003301</v>
      </c>
      <c r="Q351" s="8">
        <v>1003501</v>
      </c>
      <c r="R351" s="8">
        <v>1003601</v>
      </c>
    </row>
    <row r="352" spans="1:18">
      <c r="A352" s="14" t="s">
        <v>14</v>
      </c>
      <c r="B352" s="8">
        <f t="shared" si="8"/>
        <v>70032404</v>
      </c>
      <c r="C352" s="2" t="s">
        <v>382</v>
      </c>
      <c r="E352" s="2" t="str">
        <f>F352&amp;(VLOOKUP(G352,编号表!$E$1:$G$8,2,0))&amp;H352&amp;"_"&amp;I352&amp;"_"&amp;J352</f>
        <v>3N2_4_4</v>
      </c>
      <c r="F352" s="2">
        <v>3</v>
      </c>
      <c r="G352" s="2" t="s">
        <v>37</v>
      </c>
      <c r="H352" s="2">
        <v>2</v>
      </c>
      <c r="I352" s="2">
        <v>4</v>
      </c>
      <c r="J352" s="2">
        <f>COUNTIFS($F$13:F352,F352,$I$13:I352,I352)</f>
        <v>4</v>
      </c>
      <c r="O352" s="8">
        <v>1003501</v>
      </c>
      <c r="P352" s="8">
        <v>1003601</v>
      </c>
    </row>
    <row r="353" spans="1:18">
      <c r="A353" s="14" t="s">
        <v>14</v>
      </c>
      <c r="B353" s="8">
        <f t="shared" si="8"/>
        <v>70034405</v>
      </c>
      <c r="C353" s="2" t="s">
        <v>383</v>
      </c>
      <c r="E353" s="2" t="str">
        <f>F353&amp;(VLOOKUP(G353,编号表!$E$1:$G$8,2,0))&amp;H353&amp;"_"&amp;I353&amp;"_"&amp;J353</f>
        <v>3N4_4_5</v>
      </c>
      <c r="F353" s="2">
        <v>3</v>
      </c>
      <c r="G353" s="2" t="s">
        <v>37</v>
      </c>
      <c r="H353" s="2">
        <v>4</v>
      </c>
      <c r="I353" s="2">
        <v>4</v>
      </c>
      <c r="J353" s="2">
        <f>COUNTIFS($F$13:F353,F353,$I$13:I353,I353)</f>
        <v>5</v>
      </c>
      <c r="O353" s="8">
        <v>1003501</v>
      </c>
      <c r="P353" s="8">
        <v>1003601</v>
      </c>
    </row>
    <row r="354" spans="1:18">
      <c r="A354" s="14" t="s">
        <v>14</v>
      </c>
      <c r="B354" s="8">
        <f t="shared" si="8"/>
        <v>70035406</v>
      </c>
      <c r="C354" s="2" t="s">
        <v>384</v>
      </c>
      <c r="E354" s="2" t="str">
        <f>F354&amp;(VLOOKUP(G354,编号表!$E$1:$G$8,2,0))&amp;H354&amp;"_"&amp;I354&amp;"_"&amp;J354</f>
        <v>3N5_4_6</v>
      </c>
      <c r="F354" s="2">
        <v>3</v>
      </c>
      <c r="G354" s="2" t="s">
        <v>37</v>
      </c>
      <c r="H354" s="2">
        <v>5</v>
      </c>
      <c r="I354" s="2">
        <v>4</v>
      </c>
      <c r="J354" s="2">
        <f>COUNTIFS($F$13:F354,F354,$I$13:I354,I354)</f>
        <v>6</v>
      </c>
      <c r="O354" s="8">
        <v>1003301</v>
      </c>
      <c r="P354" s="8">
        <v>1003401</v>
      </c>
      <c r="Q354" s="8">
        <v>1003501</v>
      </c>
      <c r="R354" s="8">
        <v>1003601</v>
      </c>
    </row>
    <row r="355" spans="1:18">
      <c r="A355" s="14" t="s">
        <v>14</v>
      </c>
      <c r="B355" s="8">
        <f t="shared" si="8"/>
        <v>70033407</v>
      </c>
      <c r="C355" s="2" t="s">
        <v>385</v>
      </c>
      <c r="E355" s="2" t="str">
        <f>F355&amp;(VLOOKUP(G355,编号表!$E$1:$G$8,2,0))&amp;H355&amp;"_"&amp;I355&amp;"_"&amp;J355</f>
        <v>3N3_4_7</v>
      </c>
      <c r="F355" s="2">
        <v>3</v>
      </c>
      <c r="G355" s="2" t="s">
        <v>37</v>
      </c>
      <c r="H355" s="2">
        <v>3</v>
      </c>
      <c r="I355" s="2">
        <v>4</v>
      </c>
      <c r="J355" s="2">
        <f>COUNTIFS($F$13:F355,F355,$I$13:I355,I355)</f>
        <v>7</v>
      </c>
      <c r="O355" s="8">
        <v>1003301</v>
      </c>
      <c r="P355" s="8">
        <v>1003401</v>
      </c>
      <c r="Q355" s="8">
        <v>1003501</v>
      </c>
      <c r="R355" s="8">
        <v>1003601</v>
      </c>
    </row>
    <row r="356" spans="1:18">
      <c r="A356" s="14" t="s">
        <v>14</v>
      </c>
      <c r="B356" s="8">
        <f t="shared" si="8"/>
        <v>70033408</v>
      </c>
      <c r="C356" s="2" t="s">
        <v>386</v>
      </c>
      <c r="E356" s="2" t="str">
        <f>F356&amp;(VLOOKUP(G356,编号表!$E$1:$G$8,2,0))&amp;H356&amp;"_"&amp;I356&amp;"_"&amp;J356</f>
        <v>3N3_4_8</v>
      </c>
      <c r="F356" s="2">
        <v>3</v>
      </c>
      <c r="G356" s="2" t="s">
        <v>37</v>
      </c>
      <c r="H356" s="2">
        <v>3</v>
      </c>
      <c r="I356" s="2">
        <v>4</v>
      </c>
      <c r="J356" s="2">
        <f>COUNTIFS($F$13:F356,F356,$I$13:I356,I356)</f>
        <v>8</v>
      </c>
      <c r="O356" s="8">
        <v>1003301</v>
      </c>
      <c r="P356" s="8">
        <v>1003401</v>
      </c>
      <c r="Q356" s="8">
        <v>1003501</v>
      </c>
      <c r="R356" s="8">
        <v>1003601</v>
      </c>
    </row>
    <row r="357" spans="1:18">
      <c r="A357" s="14" t="s">
        <v>14</v>
      </c>
      <c r="B357" s="8">
        <f t="shared" si="8"/>
        <v>70033409</v>
      </c>
      <c r="C357" s="2" t="s">
        <v>387</v>
      </c>
      <c r="E357" s="2" t="str">
        <f>F357&amp;(VLOOKUP(G357,编号表!$E$1:$G$8,2,0))&amp;H357&amp;"_"&amp;I357&amp;"_"&amp;J357</f>
        <v>3N3_4_9</v>
      </c>
      <c r="F357" s="2">
        <v>3</v>
      </c>
      <c r="G357" s="2" t="s">
        <v>37</v>
      </c>
      <c r="H357" s="2">
        <v>3</v>
      </c>
      <c r="I357" s="2">
        <v>4</v>
      </c>
      <c r="J357" s="2">
        <f>COUNTIFS($F$13:F357,F357,$I$13:I357,I357)</f>
        <v>9</v>
      </c>
      <c r="O357" s="8">
        <v>1003301</v>
      </c>
      <c r="P357" s="8">
        <v>1003401</v>
      </c>
      <c r="Q357" s="8">
        <v>1003501</v>
      </c>
      <c r="R357" s="8">
        <v>1003601</v>
      </c>
    </row>
    <row r="358" spans="1:18">
      <c r="A358" s="14" t="s">
        <v>14</v>
      </c>
      <c r="B358" s="8">
        <f t="shared" si="8"/>
        <v>70033410</v>
      </c>
      <c r="C358" s="2" t="s">
        <v>388</v>
      </c>
      <c r="E358" s="2" t="str">
        <f>F358&amp;(VLOOKUP(G358,编号表!$E$1:$G$8,2,0))&amp;H358&amp;"_"&amp;I358&amp;"_"&amp;J358</f>
        <v>3N3_4_10</v>
      </c>
      <c r="F358" s="2">
        <v>3</v>
      </c>
      <c r="G358" s="2" t="s">
        <v>37</v>
      </c>
      <c r="H358" s="2">
        <v>3</v>
      </c>
      <c r="I358" s="2">
        <v>4</v>
      </c>
      <c r="J358" s="2">
        <f>COUNTIFS($F$13:F358,F358,$I$13:I358,I358)</f>
        <v>10</v>
      </c>
      <c r="O358" s="8">
        <v>1003301</v>
      </c>
      <c r="P358" s="8">
        <v>1003401</v>
      </c>
      <c r="Q358" s="8">
        <v>1003501</v>
      </c>
      <c r="R358" s="8">
        <v>1003601</v>
      </c>
    </row>
    <row r="359" spans="1:18">
      <c r="A359" s="14" t="s">
        <v>14</v>
      </c>
      <c r="B359" s="8">
        <f t="shared" si="8"/>
        <v>70035411</v>
      </c>
      <c r="C359" s="2" t="s">
        <v>389</v>
      </c>
      <c r="E359" s="2" t="str">
        <f>F359&amp;(VLOOKUP(G359,编号表!$E$1:$G$8,2,0))&amp;H359&amp;"_"&amp;I359&amp;"_"&amp;J359</f>
        <v>3N5_4_11</v>
      </c>
      <c r="F359" s="2">
        <v>3</v>
      </c>
      <c r="G359" s="2" t="s">
        <v>37</v>
      </c>
      <c r="H359" s="2">
        <v>5</v>
      </c>
      <c r="I359" s="2">
        <v>4</v>
      </c>
      <c r="J359" s="2">
        <f>COUNTIFS($F$13:F359,F359,$I$13:I359,I359)</f>
        <v>11</v>
      </c>
      <c r="O359" s="8">
        <v>1003301</v>
      </c>
      <c r="P359" s="8">
        <v>1003401</v>
      </c>
      <c r="Q359" s="8">
        <v>1003501</v>
      </c>
      <c r="R359" s="8">
        <v>1003601</v>
      </c>
    </row>
    <row r="360" spans="1:18">
      <c r="A360" s="14" t="s">
        <v>14</v>
      </c>
      <c r="B360" s="8">
        <f t="shared" si="8"/>
        <v>70033412</v>
      </c>
      <c r="C360" s="2" t="s">
        <v>390</v>
      </c>
      <c r="E360" s="2" t="str">
        <f>F360&amp;(VLOOKUP(G360,编号表!$E$1:$G$8,2,0))&amp;H360&amp;"_"&amp;I360&amp;"_"&amp;J360</f>
        <v>3N3_4_12</v>
      </c>
      <c r="F360" s="2">
        <v>3</v>
      </c>
      <c r="G360" s="2" t="s">
        <v>37</v>
      </c>
      <c r="H360" s="2">
        <v>3</v>
      </c>
      <c r="I360" s="2">
        <v>4</v>
      </c>
      <c r="J360" s="2">
        <f>COUNTIFS($F$13:F360,F360,$I$13:I360,I360)</f>
        <v>12</v>
      </c>
      <c r="O360" s="8">
        <v>1003301</v>
      </c>
      <c r="P360" s="8">
        <v>1003401</v>
      </c>
      <c r="Q360" s="8">
        <v>1003501</v>
      </c>
      <c r="R360" s="8">
        <v>1003601</v>
      </c>
    </row>
    <row r="361" spans="1:18">
      <c r="A361" s="14" t="s">
        <v>14</v>
      </c>
      <c r="B361" s="8">
        <f t="shared" si="8"/>
        <v>70034501</v>
      </c>
      <c r="C361" s="2" t="s">
        <v>391</v>
      </c>
      <c r="E361" s="2" t="str">
        <f>F361&amp;(VLOOKUP(G361,编号表!$E$1:$G$8,2,0))&amp;H361&amp;"_"&amp;I361&amp;"_"&amp;J361</f>
        <v>3N4_5_1</v>
      </c>
      <c r="F361" s="2">
        <v>3</v>
      </c>
      <c r="G361" s="2" t="s">
        <v>37</v>
      </c>
      <c r="H361" s="2">
        <v>4</v>
      </c>
      <c r="I361" s="2">
        <v>5</v>
      </c>
      <c r="J361" s="2">
        <f>COUNTIFS($F$13:F361,F361,$I$13:I361,I361)</f>
        <v>1</v>
      </c>
      <c r="O361" s="8">
        <v>1003301</v>
      </c>
      <c r="P361" s="8">
        <v>1003401</v>
      </c>
      <c r="Q361" s="8">
        <v>1003501</v>
      </c>
      <c r="R361" s="8">
        <v>1003601</v>
      </c>
    </row>
    <row r="362" spans="1:18">
      <c r="A362" s="14" t="s">
        <v>14</v>
      </c>
      <c r="B362" s="8">
        <f t="shared" si="8"/>
        <v>70034502</v>
      </c>
      <c r="C362" s="2" t="s">
        <v>392</v>
      </c>
      <c r="E362" s="2" t="str">
        <f>F362&amp;(VLOOKUP(G362,编号表!$E$1:$G$8,2,0))&amp;H362&amp;"_"&amp;I362&amp;"_"&amp;J362</f>
        <v>3N4_5_2</v>
      </c>
      <c r="F362" s="2">
        <v>3</v>
      </c>
      <c r="G362" s="2" t="s">
        <v>37</v>
      </c>
      <c r="H362" s="2">
        <v>4</v>
      </c>
      <c r="I362" s="2">
        <v>5</v>
      </c>
      <c r="J362" s="2">
        <f>COUNTIFS($F$13:F362,F362,$I$13:I362,I362)</f>
        <v>2</v>
      </c>
      <c r="O362" s="8">
        <v>1003301</v>
      </c>
      <c r="P362" s="8">
        <v>1003401</v>
      </c>
      <c r="Q362" s="8">
        <v>1003501</v>
      </c>
      <c r="R362" s="8">
        <v>1003601</v>
      </c>
    </row>
    <row r="363" spans="1:18">
      <c r="A363" s="14" t="s">
        <v>14</v>
      </c>
      <c r="B363" s="8">
        <f t="shared" si="8"/>
        <v>70034503</v>
      </c>
      <c r="C363" s="2" t="s">
        <v>393</v>
      </c>
      <c r="E363" s="2" t="str">
        <f>F363&amp;(VLOOKUP(G363,编号表!$E$1:$G$8,2,0))&amp;H363&amp;"_"&amp;I363&amp;"_"&amp;J363</f>
        <v>3N4_5_3</v>
      </c>
      <c r="F363" s="2">
        <v>3</v>
      </c>
      <c r="G363" s="2" t="s">
        <v>37</v>
      </c>
      <c r="H363" s="2">
        <v>4</v>
      </c>
      <c r="I363" s="2">
        <v>5</v>
      </c>
      <c r="J363" s="2">
        <f>COUNTIFS($F$13:F363,F363,$I$13:I363,I363)</f>
        <v>3</v>
      </c>
      <c r="O363" s="8">
        <v>1003301</v>
      </c>
      <c r="P363" s="8">
        <v>1003401</v>
      </c>
      <c r="Q363" s="8">
        <v>1003501</v>
      </c>
      <c r="R363" s="8">
        <v>1003601</v>
      </c>
    </row>
    <row r="364" spans="1:18">
      <c r="A364" s="14" t="s">
        <v>14</v>
      </c>
      <c r="B364" s="8">
        <f t="shared" si="8"/>
        <v>70034504</v>
      </c>
      <c r="C364" s="2" t="s">
        <v>394</v>
      </c>
      <c r="E364" s="2" t="str">
        <f>F364&amp;(VLOOKUP(G364,编号表!$E$1:$G$8,2,0))&amp;H364&amp;"_"&amp;I364&amp;"_"&amp;J364</f>
        <v>3N4_5_4</v>
      </c>
      <c r="F364" s="2">
        <v>3</v>
      </c>
      <c r="G364" s="2" t="s">
        <v>37</v>
      </c>
      <c r="H364" s="2">
        <v>4</v>
      </c>
      <c r="I364" s="2">
        <v>5</v>
      </c>
      <c r="J364" s="2">
        <f>COUNTIFS($F$13:F364,F364,$I$13:I364,I364)</f>
        <v>4</v>
      </c>
      <c r="O364" s="8">
        <v>1003301</v>
      </c>
      <c r="P364" s="8">
        <v>1003401</v>
      </c>
      <c r="Q364" s="8">
        <v>1003501</v>
      </c>
      <c r="R364" s="8">
        <v>1003601</v>
      </c>
    </row>
    <row r="365" spans="1:18">
      <c r="A365" s="14" t="s">
        <v>14</v>
      </c>
      <c r="B365" s="8">
        <f t="shared" si="8"/>
        <v>70033505</v>
      </c>
      <c r="C365" s="2" t="s">
        <v>395</v>
      </c>
      <c r="E365" s="2" t="str">
        <f>F365&amp;(VLOOKUP(G365,编号表!$E$1:$G$8,2,0))&amp;H365&amp;"_"&amp;I365&amp;"_"&amp;J365</f>
        <v>3N3_5_5</v>
      </c>
      <c r="F365" s="2">
        <v>3</v>
      </c>
      <c r="G365" s="2" t="s">
        <v>37</v>
      </c>
      <c r="H365" s="2">
        <v>3</v>
      </c>
      <c r="I365" s="2">
        <v>5</v>
      </c>
      <c r="J365" s="2">
        <f>COUNTIFS($F$13:F365,F365,$I$13:I365,I365)</f>
        <v>5</v>
      </c>
      <c r="O365" s="8">
        <v>1003301</v>
      </c>
      <c r="P365" s="8">
        <v>1003401</v>
      </c>
      <c r="Q365" s="8">
        <v>1003501</v>
      </c>
      <c r="R365" s="8">
        <v>1003601</v>
      </c>
    </row>
    <row r="366" spans="1:18">
      <c r="A366" s="14" t="s">
        <v>14</v>
      </c>
      <c r="B366" s="8">
        <f t="shared" si="8"/>
        <v>70033506</v>
      </c>
      <c r="C366" s="2" t="s">
        <v>396</v>
      </c>
      <c r="E366" s="2" t="str">
        <f>F366&amp;(VLOOKUP(G366,编号表!$E$1:$G$8,2,0))&amp;H366&amp;"_"&amp;I366&amp;"_"&amp;J366</f>
        <v>3N3_5_6</v>
      </c>
      <c r="F366" s="2">
        <v>3</v>
      </c>
      <c r="G366" s="2" t="s">
        <v>37</v>
      </c>
      <c r="H366" s="2">
        <v>3</v>
      </c>
      <c r="I366" s="2">
        <v>5</v>
      </c>
      <c r="J366" s="2">
        <f>COUNTIFS($F$13:F366,F366,$I$13:I366,I366)</f>
        <v>6</v>
      </c>
      <c r="O366" s="8">
        <v>1003301</v>
      </c>
      <c r="P366" s="8">
        <v>1003401</v>
      </c>
      <c r="Q366" s="8">
        <v>1003501</v>
      </c>
      <c r="R366" s="8">
        <v>1003601</v>
      </c>
    </row>
    <row r="367" spans="1:18">
      <c r="A367" s="14" t="s">
        <v>14</v>
      </c>
      <c r="B367" s="8">
        <f t="shared" si="8"/>
        <v>70033507</v>
      </c>
      <c r="C367" s="2" t="s">
        <v>397</v>
      </c>
      <c r="E367" s="2" t="str">
        <f>F367&amp;(VLOOKUP(G367,编号表!$E$1:$G$8,2,0))&amp;H367&amp;"_"&amp;I367&amp;"_"&amp;J367</f>
        <v>3N3_5_7</v>
      </c>
      <c r="F367" s="2">
        <v>3</v>
      </c>
      <c r="G367" s="2" t="s">
        <v>37</v>
      </c>
      <c r="H367" s="2">
        <v>3</v>
      </c>
      <c r="I367" s="2">
        <v>5</v>
      </c>
      <c r="J367" s="2">
        <f>COUNTIFS($F$13:F367,F367,$I$13:I367,I367)</f>
        <v>7</v>
      </c>
      <c r="O367" s="8">
        <v>1003301</v>
      </c>
      <c r="P367" s="8">
        <v>1003401</v>
      </c>
      <c r="Q367" s="8">
        <v>1003501</v>
      </c>
      <c r="R367" s="8">
        <v>1003601</v>
      </c>
    </row>
    <row r="368" spans="1:18">
      <c r="A368" s="14" t="s">
        <v>14</v>
      </c>
      <c r="B368" s="8">
        <f t="shared" si="8"/>
        <v>70033508</v>
      </c>
      <c r="C368" s="2" t="s">
        <v>398</v>
      </c>
      <c r="E368" s="2" t="str">
        <f>F368&amp;(VLOOKUP(G368,编号表!$E$1:$G$8,2,0))&amp;H368&amp;"_"&amp;I368&amp;"_"&amp;J368</f>
        <v>3N3_5_8</v>
      </c>
      <c r="F368" s="2">
        <v>3</v>
      </c>
      <c r="G368" s="2" t="s">
        <v>37</v>
      </c>
      <c r="H368" s="2">
        <v>3</v>
      </c>
      <c r="I368" s="2">
        <v>5</v>
      </c>
      <c r="J368" s="2">
        <f>COUNTIFS($F$13:F368,F368,$I$13:I368,I368)</f>
        <v>8</v>
      </c>
      <c r="O368" s="8">
        <v>1003301</v>
      </c>
      <c r="P368" s="8">
        <v>1003401</v>
      </c>
      <c r="Q368" s="8">
        <v>1003501</v>
      </c>
      <c r="R368" s="8">
        <v>1003601</v>
      </c>
    </row>
    <row r="369" spans="1:21">
      <c r="A369" s="14" t="s">
        <v>14</v>
      </c>
      <c r="B369" s="8">
        <f t="shared" si="8"/>
        <v>70033509</v>
      </c>
      <c r="C369" s="2" t="s">
        <v>399</v>
      </c>
      <c r="E369" s="2" t="str">
        <f>F369&amp;(VLOOKUP(G369,编号表!$E$1:$G$8,2,0))&amp;H369&amp;"_"&amp;I369&amp;"_"&amp;J369</f>
        <v>3N3_5_9</v>
      </c>
      <c r="F369" s="2">
        <v>3</v>
      </c>
      <c r="G369" s="2" t="s">
        <v>37</v>
      </c>
      <c r="H369" s="2">
        <v>3</v>
      </c>
      <c r="I369" s="2">
        <v>5</v>
      </c>
      <c r="J369" s="2">
        <f>COUNTIFS($F$13:F369,F369,$I$13:I369,I369)</f>
        <v>9</v>
      </c>
      <c r="O369" s="8">
        <v>1003301</v>
      </c>
      <c r="P369" s="8">
        <v>1003401</v>
      </c>
      <c r="Q369" s="8">
        <v>1003501</v>
      </c>
      <c r="R369" s="8">
        <v>1003601</v>
      </c>
    </row>
    <row r="370" spans="1:21">
      <c r="A370" s="14" t="s">
        <v>14</v>
      </c>
      <c r="B370" s="8">
        <f t="shared" si="8"/>
        <v>70030001</v>
      </c>
      <c r="C370" s="18" t="s">
        <v>400</v>
      </c>
      <c r="E370" s="2" t="str">
        <f>F370&amp;(VLOOKUP(G370,编号表!$E$1:$G$8,2,0))&amp;H370&amp;"_"&amp;I370&amp;"_"&amp;J370</f>
        <v>3J0_0_1</v>
      </c>
      <c r="F370" s="2">
        <v>3</v>
      </c>
      <c r="G370" s="2" t="s">
        <v>86</v>
      </c>
      <c r="H370" s="2">
        <v>0</v>
      </c>
      <c r="I370" s="2">
        <v>0</v>
      </c>
      <c r="J370" s="2">
        <f>COUNTIFS($F$13:F370,F370,$I$13:I370,I370)</f>
        <v>1</v>
      </c>
      <c r="K370" s="2">
        <v>1</v>
      </c>
    </row>
    <row r="371" spans="1:21">
      <c r="A371" s="14" t="s">
        <v>14</v>
      </c>
      <c r="B371" s="8">
        <f t="shared" si="8"/>
        <v>70042101</v>
      </c>
      <c r="C371" s="2" t="s">
        <v>401</v>
      </c>
      <c r="E371" s="2" t="str">
        <f>F371&amp;(VLOOKUP(G371,编号表!$E$1:$G$8,2,0))&amp;H371&amp;"_"&amp;I371&amp;"_"&amp;J371</f>
        <v>4N2_1_1</v>
      </c>
      <c r="F371" s="2">
        <v>4</v>
      </c>
      <c r="G371" s="2" t="s">
        <v>37</v>
      </c>
      <c r="H371" s="2">
        <v>2</v>
      </c>
      <c r="I371" s="2">
        <v>1</v>
      </c>
      <c r="J371" s="2">
        <f>COUNTIFS($F$13:F371,F371,$I$13:I371,I371)</f>
        <v>1</v>
      </c>
      <c r="O371" s="8">
        <v>1004201</v>
      </c>
      <c r="P371" s="8">
        <v>1004301</v>
      </c>
      <c r="Q371" s="8">
        <v>1004001</v>
      </c>
    </row>
    <row r="372" spans="1:21">
      <c r="A372" s="14" t="s">
        <v>14</v>
      </c>
      <c r="B372" s="8">
        <f t="shared" si="8"/>
        <v>70043102</v>
      </c>
      <c r="C372" s="2" t="s">
        <v>402</v>
      </c>
      <c r="E372" s="2" t="str">
        <f>F372&amp;(VLOOKUP(G372,编号表!$E$1:$G$8,2,0))&amp;H372&amp;"_"&amp;I372&amp;"_"&amp;J372</f>
        <v>4N3_1_2</v>
      </c>
      <c r="F372" s="2">
        <v>4</v>
      </c>
      <c r="G372" s="2" t="s">
        <v>37</v>
      </c>
      <c r="H372" s="2">
        <v>3</v>
      </c>
      <c r="I372" s="2">
        <v>1</v>
      </c>
      <c r="J372" s="2">
        <f>COUNTIFS($F$13:F372,F372,$I$13:I372,I372)</f>
        <v>2</v>
      </c>
      <c r="O372" s="8">
        <v>1004301</v>
      </c>
      <c r="P372" s="8">
        <v>1004401</v>
      </c>
      <c r="Q372" s="8">
        <v>1004501</v>
      </c>
      <c r="R372" s="8">
        <v>1004601</v>
      </c>
      <c r="S372" s="8">
        <v>1004701</v>
      </c>
      <c r="T372" s="8">
        <v>1004101</v>
      </c>
    </row>
    <row r="373" spans="1:21">
      <c r="A373" s="14" t="s">
        <v>14</v>
      </c>
      <c r="B373" s="8">
        <f t="shared" si="8"/>
        <v>70044103</v>
      </c>
      <c r="C373" s="2" t="s">
        <v>403</v>
      </c>
      <c r="E373" s="2" t="str">
        <f>F373&amp;(VLOOKUP(G373,编号表!$E$1:$G$8,2,0))&amp;H373&amp;"_"&amp;I373&amp;"_"&amp;J373</f>
        <v>4N4_1_3</v>
      </c>
      <c r="F373" s="2">
        <v>4</v>
      </c>
      <c r="G373" s="2" t="s">
        <v>37</v>
      </c>
      <c r="H373" s="2">
        <v>4</v>
      </c>
      <c r="I373" s="2">
        <v>1</v>
      </c>
      <c r="J373" s="2">
        <f>COUNTIFS($F$13:F373,F373,$I$13:I373,I373)</f>
        <v>3</v>
      </c>
      <c r="O373" s="8">
        <v>1004301</v>
      </c>
      <c r="P373" s="8">
        <v>1004401</v>
      </c>
      <c r="Q373" s="8">
        <v>1004501</v>
      </c>
      <c r="R373" s="8">
        <v>1004601</v>
      </c>
      <c r="S373" s="8">
        <v>1004701</v>
      </c>
      <c r="T373" s="8">
        <v>1004102</v>
      </c>
    </row>
    <row r="374" spans="1:21">
      <c r="A374" s="14" t="s">
        <v>14</v>
      </c>
      <c r="B374" s="8">
        <f t="shared" si="8"/>
        <v>70043104</v>
      </c>
      <c r="C374" s="2" t="s">
        <v>404</v>
      </c>
      <c r="E374" s="2" t="str">
        <f>F374&amp;(VLOOKUP(G374,编号表!$E$1:$G$8,2,0))&amp;H374&amp;"_"&amp;I374&amp;"_"&amp;J374</f>
        <v>4N3_1_4</v>
      </c>
      <c r="F374" s="2">
        <v>4</v>
      </c>
      <c r="G374" s="2" t="s">
        <v>37</v>
      </c>
      <c r="H374" s="2">
        <v>3</v>
      </c>
      <c r="I374" s="2">
        <v>1</v>
      </c>
      <c r="J374" s="2">
        <f>COUNTIFS($F$13:F374,F374,$I$13:I374,I374)</f>
        <v>4</v>
      </c>
      <c r="O374" s="8">
        <v>1004301</v>
      </c>
      <c r="P374" s="8">
        <v>1004401</v>
      </c>
      <c r="Q374" s="8">
        <v>1004501</v>
      </c>
      <c r="R374" s="8">
        <v>1004601</v>
      </c>
      <c r="S374" s="8">
        <v>1004701</v>
      </c>
    </row>
    <row r="375" spans="1:21">
      <c r="A375" s="14" t="s">
        <v>14</v>
      </c>
      <c r="B375" s="8">
        <f t="shared" si="8"/>
        <v>70043105</v>
      </c>
      <c r="C375" s="2" t="s">
        <v>405</v>
      </c>
      <c r="E375" s="2" t="str">
        <f>F375&amp;(VLOOKUP(G375,编号表!$E$1:$G$8,2,0))&amp;H375&amp;"_"&amp;I375&amp;"_"&amp;J375</f>
        <v>4N3_1_5</v>
      </c>
      <c r="F375" s="2">
        <v>4</v>
      </c>
      <c r="G375" s="2" t="s">
        <v>37</v>
      </c>
      <c r="H375" s="2">
        <v>3</v>
      </c>
      <c r="I375" s="2">
        <v>1</v>
      </c>
      <c r="J375" s="2">
        <f>COUNTIFS($F$13:F375,F375,$I$13:I375,I375)</f>
        <v>5</v>
      </c>
      <c r="O375" s="8">
        <v>1004301</v>
      </c>
      <c r="P375" s="8">
        <v>1004401</v>
      </c>
      <c r="Q375" s="8">
        <v>1004501</v>
      </c>
      <c r="R375" s="8">
        <v>1004601</v>
      </c>
      <c r="S375" s="8">
        <v>1004701</v>
      </c>
    </row>
    <row r="376" spans="1:21">
      <c r="A376" s="14" t="s">
        <v>14</v>
      </c>
      <c r="B376" s="8">
        <f t="shared" si="8"/>
        <v>70043106</v>
      </c>
      <c r="C376" s="2" t="s">
        <v>406</v>
      </c>
      <c r="E376" s="2" t="str">
        <f>F376&amp;(VLOOKUP(G376,编号表!$E$1:$G$8,2,0))&amp;H376&amp;"_"&amp;I376&amp;"_"&amp;J376</f>
        <v>4N3_1_6</v>
      </c>
      <c r="F376" s="2">
        <v>4</v>
      </c>
      <c r="G376" s="2" t="s">
        <v>37</v>
      </c>
      <c r="H376" s="2">
        <v>3</v>
      </c>
      <c r="I376" s="2">
        <v>1</v>
      </c>
      <c r="J376" s="2">
        <f>COUNTIFS($F$13:F376,F376,$I$13:I376,I376)</f>
        <v>6</v>
      </c>
      <c r="O376" s="8">
        <v>1004301</v>
      </c>
      <c r="P376" s="8">
        <v>1004401</v>
      </c>
      <c r="Q376" s="8">
        <v>1004501</v>
      </c>
      <c r="R376" s="8">
        <v>1004601</v>
      </c>
      <c r="S376" s="8">
        <v>1004701</v>
      </c>
    </row>
    <row r="377" spans="1:21">
      <c r="A377" s="14" t="s">
        <v>14</v>
      </c>
      <c r="B377" s="8">
        <f t="shared" si="8"/>
        <v>70045107</v>
      </c>
      <c r="C377" s="2" t="s">
        <v>407</v>
      </c>
      <c r="E377" s="2" t="str">
        <f>F377&amp;(VLOOKUP(G377,编号表!$E$1:$G$8,2,0))&amp;H377&amp;"_"&amp;I377&amp;"_"&amp;J377</f>
        <v>4N5_1_7</v>
      </c>
      <c r="F377" s="2">
        <v>4</v>
      </c>
      <c r="G377" s="2" t="s">
        <v>37</v>
      </c>
      <c r="H377" s="2">
        <v>5</v>
      </c>
      <c r="I377" s="2">
        <v>1</v>
      </c>
      <c r="J377" s="2">
        <f>COUNTIFS($F$13:F377,F377,$I$13:I377,I377)</f>
        <v>7</v>
      </c>
      <c r="O377" s="8">
        <v>1004301</v>
      </c>
      <c r="P377" s="8">
        <v>1004401</v>
      </c>
      <c r="Q377" s="8">
        <v>1004501</v>
      </c>
      <c r="R377" s="8">
        <v>1004601</v>
      </c>
      <c r="S377" s="8">
        <v>1004701</v>
      </c>
    </row>
    <row r="378" spans="1:21">
      <c r="A378" s="14" t="s">
        <v>14</v>
      </c>
      <c r="B378" s="8">
        <f t="shared" si="8"/>
        <v>70044108</v>
      </c>
      <c r="C378" s="2" t="s">
        <v>408</v>
      </c>
      <c r="E378" s="2" t="str">
        <f>F378&amp;(VLOOKUP(G378,编号表!$E$1:$G$8,2,0))&amp;H378&amp;"_"&amp;I378&amp;"_"&amp;J378</f>
        <v>4N4_1_8</v>
      </c>
      <c r="F378" s="2">
        <v>4</v>
      </c>
      <c r="G378" s="2" t="s">
        <v>37</v>
      </c>
      <c r="H378" s="2">
        <v>4</v>
      </c>
      <c r="I378" s="2">
        <v>1</v>
      </c>
      <c r="J378" s="2">
        <f>COUNTIFS($F$13:F378,F378,$I$13:I378,I378)</f>
        <v>8</v>
      </c>
      <c r="O378" s="8">
        <v>1004301</v>
      </c>
      <c r="P378" s="8">
        <v>1004401</v>
      </c>
      <c r="Q378" s="8">
        <v>1004501</v>
      </c>
      <c r="R378" s="8">
        <v>1004601</v>
      </c>
      <c r="S378" s="8">
        <v>1004701</v>
      </c>
    </row>
    <row r="379" spans="1:21">
      <c r="A379" s="14" t="s">
        <v>14</v>
      </c>
      <c r="B379" s="8">
        <f t="shared" si="8"/>
        <v>70043109</v>
      </c>
      <c r="C379" s="2" t="s">
        <v>409</v>
      </c>
      <c r="E379" s="2" t="str">
        <f>F379&amp;(VLOOKUP(G379,编号表!$E$1:$G$8,2,0))&amp;H379&amp;"_"&amp;I379&amp;"_"&amp;J379</f>
        <v>4N3_1_9</v>
      </c>
      <c r="F379" s="2">
        <v>4</v>
      </c>
      <c r="G379" s="2" t="s">
        <v>37</v>
      </c>
      <c r="H379" s="2">
        <v>3</v>
      </c>
      <c r="I379" s="2">
        <v>1</v>
      </c>
      <c r="J379" s="2">
        <f>COUNTIFS($F$13:F379,F379,$I$13:I379,I379)</f>
        <v>9</v>
      </c>
      <c r="O379" s="8">
        <v>1004301</v>
      </c>
      <c r="P379" s="8">
        <v>1004401</v>
      </c>
      <c r="Q379" s="8">
        <v>1004501</v>
      </c>
      <c r="R379" s="8">
        <v>1004601</v>
      </c>
      <c r="S379" s="8">
        <v>1004701</v>
      </c>
    </row>
    <row r="380" spans="1:21">
      <c r="A380" s="14" t="s">
        <v>14</v>
      </c>
      <c r="B380" s="8">
        <f t="shared" si="8"/>
        <v>70043110</v>
      </c>
      <c r="C380" s="2" t="s">
        <v>410</v>
      </c>
      <c r="E380" s="2" t="str">
        <f>F380&amp;(VLOOKUP(G380,编号表!$E$1:$G$8,2,0))&amp;H380&amp;"_"&amp;I380&amp;"_"&amp;J380</f>
        <v>4N3_1_10</v>
      </c>
      <c r="F380" s="2">
        <v>4</v>
      </c>
      <c r="G380" s="2" t="s">
        <v>37</v>
      </c>
      <c r="H380" s="2">
        <v>3</v>
      </c>
      <c r="I380" s="2">
        <v>1</v>
      </c>
      <c r="J380" s="2">
        <f>COUNTIFS($F$13:F380,F380,$I$13:I380,I380)</f>
        <v>10</v>
      </c>
      <c r="O380" s="8">
        <v>1004201</v>
      </c>
      <c r="P380" s="8">
        <v>1004301</v>
      </c>
      <c r="Q380" s="8">
        <v>1004401</v>
      </c>
      <c r="R380" s="8">
        <v>1004501</v>
      </c>
      <c r="S380" s="8">
        <v>1004601</v>
      </c>
      <c r="T380" s="8">
        <v>1004701</v>
      </c>
    </row>
    <row r="381" spans="1:21">
      <c r="A381" s="14" t="s">
        <v>14</v>
      </c>
      <c r="B381" s="8">
        <f t="shared" si="8"/>
        <v>70043111</v>
      </c>
      <c r="C381" s="2" t="s">
        <v>411</v>
      </c>
      <c r="E381" s="2" t="str">
        <f>F381&amp;(VLOOKUP(G381,编号表!$E$1:$G$8,2,0))&amp;H381&amp;"_"&amp;I381&amp;"_"&amp;J381</f>
        <v>4N3_1_11</v>
      </c>
      <c r="F381" s="2">
        <v>4</v>
      </c>
      <c r="G381" s="2" t="s">
        <v>37</v>
      </c>
      <c r="H381" s="2">
        <v>3</v>
      </c>
      <c r="I381" s="2">
        <v>1</v>
      </c>
      <c r="J381" s="2">
        <f>COUNTIFS($F$13:F381,F381,$I$13:I381,I381)</f>
        <v>11</v>
      </c>
      <c r="O381" s="8">
        <v>1004201</v>
      </c>
      <c r="P381" s="8">
        <v>1004301</v>
      </c>
      <c r="Q381" s="8">
        <v>1004401</v>
      </c>
      <c r="R381" s="8">
        <v>1004501</v>
      </c>
      <c r="S381" s="8">
        <v>1004601</v>
      </c>
      <c r="T381" s="8">
        <v>1004701</v>
      </c>
    </row>
    <row r="382" spans="1:21" ht="14">
      <c r="A382" s="14" t="s">
        <v>14</v>
      </c>
      <c r="B382" s="8">
        <f t="shared" si="8"/>
        <v>70043112</v>
      </c>
      <c r="C382" s="2" t="s">
        <v>412</v>
      </c>
      <c r="E382" s="2" t="str">
        <f>F382&amp;(VLOOKUP(G382,编号表!$E$1:$G$8,2,0))&amp;H382&amp;"_"&amp;I382&amp;"_"&amp;J382</f>
        <v>4N3_1_12</v>
      </c>
      <c r="F382" s="2">
        <v>4</v>
      </c>
      <c r="G382" s="2" t="s">
        <v>37</v>
      </c>
      <c r="H382" s="2">
        <v>3</v>
      </c>
      <c r="I382" s="2">
        <v>1</v>
      </c>
      <c r="J382" s="2">
        <f>COUNTIFS($F$13:F382,F382,$I$13:I382,I382)</f>
        <v>12</v>
      </c>
      <c r="O382" s="8">
        <v>1004201</v>
      </c>
      <c r="P382" s="8">
        <v>1004401</v>
      </c>
      <c r="Q382" s="8">
        <v>1004501</v>
      </c>
      <c r="R382" s="8">
        <v>1004601</v>
      </c>
      <c r="S382" s="8">
        <v>1004701</v>
      </c>
      <c r="U382"/>
    </row>
    <row r="383" spans="1:21" ht="14">
      <c r="A383" s="14" t="s">
        <v>14</v>
      </c>
      <c r="B383" s="8">
        <f t="shared" si="8"/>
        <v>70043201</v>
      </c>
      <c r="C383" s="2" t="s">
        <v>413</v>
      </c>
      <c r="E383" s="2" t="str">
        <f>F383&amp;(VLOOKUP(G383,编号表!$E$1:$G$8,2,0))&amp;H383&amp;"_"&amp;I383&amp;"_"&amp;J383</f>
        <v>4N3_2_1</v>
      </c>
      <c r="F383" s="2">
        <v>4</v>
      </c>
      <c r="G383" s="2" t="s">
        <v>37</v>
      </c>
      <c r="H383" s="2">
        <v>3</v>
      </c>
      <c r="I383" s="2">
        <v>2</v>
      </c>
      <c r="J383" s="2">
        <f>COUNTIFS($F$13:F383,F383,$I$13:I383,I383)</f>
        <v>1</v>
      </c>
      <c r="O383" s="8">
        <v>1004201</v>
      </c>
      <c r="P383" s="8">
        <v>1004401</v>
      </c>
      <c r="Q383" s="8">
        <v>1004501</v>
      </c>
      <c r="R383" s="8">
        <v>1004601</v>
      </c>
      <c r="S383" s="8">
        <v>1004701</v>
      </c>
      <c r="U383"/>
    </row>
    <row r="384" spans="1:21" ht="14">
      <c r="A384" s="14" t="s">
        <v>14</v>
      </c>
      <c r="B384" s="8">
        <f t="shared" si="8"/>
        <v>70043202</v>
      </c>
      <c r="C384" s="2" t="s">
        <v>414</v>
      </c>
      <c r="E384" s="2" t="str">
        <f>F384&amp;(VLOOKUP(G384,编号表!$E$1:$G$8,2,0))&amp;H384&amp;"_"&amp;I384&amp;"_"&amp;J384</f>
        <v>4N3_2_2</v>
      </c>
      <c r="F384" s="2">
        <v>4</v>
      </c>
      <c r="G384" s="2" t="s">
        <v>37</v>
      </c>
      <c r="H384" s="2">
        <v>3</v>
      </c>
      <c r="I384" s="2">
        <v>2</v>
      </c>
      <c r="J384" s="2">
        <f>COUNTIFS($F$13:F384,F384,$I$13:I384,I384)</f>
        <v>2</v>
      </c>
      <c r="O384" s="8">
        <v>1004201</v>
      </c>
      <c r="P384" s="8">
        <v>1004401</v>
      </c>
      <c r="Q384" s="8">
        <v>1004501</v>
      </c>
      <c r="R384" s="8">
        <v>1004601</v>
      </c>
      <c r="S384" s="8">
        <v>1004701</v>
      </c>
      <c r="U384"/>
    </row>
    <row r="385" spans="1:21" ht="14">
      <c r="A385" s="14" t="s">
        <v>14</v>
      </c>
      <c r="B385" s="8">
        <f t="shared" si="8"/>
        <v>70043203</v>
      </c>
      <c r="C385" s="2" t="s">
        <v>415</v>
      </c>
      <c r="E385" s="2" t="str">
        <f>F385&amp;(VLOOKUP(G385,编号表!$E$1:$G$8,2,0))&amp;H385&amp;"_"&amp;I385&amp;"_"&amp;J385</f>
        <v>4N3_2_3</v>
      </c>
      <c r="F385" s="2">
        <v>4</v>
      </c>
      <c r="G385" s="2" t="s">
        <v>37</v>
      </c>
      <c r="H385" s="2">
        <v>3</v>
      </c>
      <c r="I385" s="2">
        <v>2</v>
      </c>
      <c r="J385" s="2">
        <f>COUNTIFS($F$13:F385,F385,$I$13:I385,I385)</f>
        <v>3</v>
      </c>
      <c r="O385" s="8">
        <v>1004201</v>
      </c>
      <c r="P385" s="8">
        <v>1004401</v>
      </c>
      <c r="Q385" s="8">
        <v>1004501</v>
      </c>
      <c r="R385" s="8">
        <v>1004601</v>
      </c>
      <c r="S385" s="8">
        <v>1004701</v>
      </c>
      <c r="U385"/>
    </row>
    <row r="386" spans="1:21" ht="14">
      <c r="A386" s="14" t="s">
        <v>14</v>
      </c>
      <c r="B386" s="8">
        <f t="shared" si="8"/>
        <v>70043204</v>
      </c>
      <c r="C386" s="2" t="s">
        <v>416</v>
      </c>
      <c r="E386" s="2" t="str">
        <f>F386&amp;(VLOOKUP(G386,编号表!$E$1:$G$8,2,0))&amp;H386&amp;"_"&amp;I386&amp;"_"&amp;J386</f>
        <v>4N3_2_4</v>
      </c>
      <c r="F386" s="2">
        <v>4</v>
      </c>
      <c r="G386" s="2" t="s">
        <v>37</v>
      </c>
      <c r="H386" s="2">
        <v>3</v>
      </c>
      <c r="I386" s="2">
        <v>2</v>
      </c>
      <c r="J386" s="2">
        <f>COUNTIFS($F$13:F386,F386,$I$13:I386,I386)</f>
        <v>4</v>
      </c>
      <c r="O386" s="8">
        <v>1004201</v>
      </c>
      <c r="P386" s="8">
        <v>1004401</v>
      </c>
      <c r="Q386" s="8">
        <v>1004501</v>
      </c>
      <c r="R386" s="8">
        <v>1004601</v>
      </c>
      <c r="S386" s="8">
        <v>1004701</v>
      </c>
      <c r="U386"/>
    </row>
    <row r="387" spans="1:21">
      <c r="A387" s="14" t="s">
        <v>14</v>
      </c>
      <c r="B387" s="8">
        <f t="shared" si="8"/>
        <v>70043205</v>
      </c>
      <c r="C387" s="2" t="s">
        <v>417</v>
      </c>
      <c r="E387" s="2" t="str">
        <f>F387&amp;(VLOOKUP(G387,编号表!$E$1:$G$8,2,0))&amp;H387&amp;"_"&amp;I387&amp;"_"&amp;J387</f>
        <v>4N3_2_5</v>
      </c>
      <c r="F387" s="2">
        <v>4</v>
      </c>
      <c r="G387" s="2" t="s">
        <v>37</v>
      </c>
      <c r="H387" s="2">
        <v>3</v>
      </c>
      <c r="I387" s="2">
        <v>2</v>
      </c>
      <c r="J387" s="2">
        <f>COUNTIFS($F$13:F387,F387,$I$13:I387,I387)</f>
        <v>5</v>
      </c>
      <c r="O387" s="8">
        <v>1004201</v>
      </c>
      <c r="P387" s="8">
        <v>1004401</v>
      </c>
      <c r="Q387" s="8">
        <v>1004501</v>
      </c>
      <c r="R387" s="8">
        <v>1004601</v>
      </c>
      <c r="S387" s="8">
        <v>1004701</v>
      </c>
    </row>
    <row r="388" spans="1:21" ht="14">
      <c r="A388" s="14" t="s">
        <v>14</v>
      </c>
      <c r="B388" s="8">
        <f t="shared" si="8"/>
        <v>70043206</v>
      </c>
      <c r="C388" s="2" t="s">
        <v>418</v>
      </c>
      <c r="E388" s="2" t="str">
        <f>F388&amp;(VLOOKUP(G388,编号表!$E$1:$G$8,2,0))&amp;H388&amp;"_"&amp;I388&amp;"_"&amp;J388</f>
        <v>4N3_2_6</v>
      </c>
      <c r="F388" s="2">
        <v>4</v>
      </c>
      <c r="G388" s="2" t="s">
        <v>37</v>
      </c>
      <c r="H388" s="2">
        <v>3</v>
      </c>
      <c r="I388" s="2">
        <v>2</v>
      </c>
      <c r="J388" s="2">
        <f>COUNTIFS($F$13:F388,F388,$I$13:I388,I388)</f>
        <v>6</v>
      </c>
      <c r="O388" s="8">
        <v>1004201</v>
      </c>
      <c r="P388" s="8">
        <v>1004401</v>
      </c>
      <c r="Q388" s="8">
        <v>1004501</v>
      </c>
      <c r="R388" s="8">
        <v>1004601</v>
      </c>
      <c r="S388" s="8">
        <v>1004701</v>
      </c>
      <c r="U388"/>
    </row>
    <row r="389" spans="1:21" ht="14">
      <c r="A389" s="14" t="s">
        <v>14</v>
      </c>
      <c r="B389" s="8">
        <f t="shared" si="8"/>
        <v>70043207</v>
      </c>
      <c r="C389" s="2" t="s">
        <v>419</v>
      </c>
      <c r="E389" s="2" t="str">
        <f>F389&amp;(VLOOKUP(G389,编号表!$E$1:$G$8,2,0))&amp;H389&amp;"_"&amp;I389&amp;"_"&amp;J389</f>
        <v>4N3_2_7</v>
      </c>
      <c r="F389" s="2">
        <v>4</v>
      </c>
      <c r="G389" s="2" t="s">
        <v>37</v>
      </c>
      <c r="H389" s="2">
        <v>3</v>
      </c>
      <c r="I389" s="2">
        <v>2</v>
      </c>
      <c r="J389" s="2">
        <f>COUNTIFS($F$13:F389,F389,$I$13:I389,I389)</f>
        <v>7</v>
      </c>
      <c r="O389" s="8">
        <v>1004201</v>
      </c>
      <c r="P389" s="8">
        <v>1004401</v>
      </c>
      <c r="Q389" s="8">
        <v>1004501</v>
      </c>
      <c r="R389" s="8">
        <v>1004601</v>
      </c>
      <c r="S389" s="8">
        <v>1004701</v>
      </c>
      <c r="U389"/>
    </row>
    <row r="390" spans="1:21">
      <c r="A390" s="14" t="s">
        <v>14</v>
      </c>
      <c r="B390" s="8">
        <f t="shared" ref="B390:B453" si="9">70000000+F390*10000+H390*1000+I390*100+J390</f>
        <v>70043301</v>
      </c>
      <c r="C390" s="2" t="s">
        <v>420</v>
      </c>
      <c r="E390" s="2" t="str">
        <f>F390&amp;(VLOOKUP(G390,编号表!$E$1:$G$8,2,0))&amp;H390&amp;"_"&amp;I390&amp;"_"&amp;J390</f>
        <v>4N3_3_1</v>
      </c>
      <c r="F390" s="2">
        <v>4</v>
      </c>
      <c r="G390" s="2" t="s">
        <v>37</v>
      </c>
      <c r="H390" s="2">
        <v>3</v>
      </c>
      <c r="I390" s="2">
        <v>3</v>
      </c>
      <c r="J390" s="2">
        <f>COUNTIFS($F$13:F390,F390,$I$13:I390,I390)</f>
        <v>1</v>
      </c>
      <c r="O390" s="8">
        <v>1004201</v>
      </c>
      <c r="P390" s="8">
        <v>1004301</v>
      </c>
      <c r="Q390" s="8">
        <v>1004401</v>
      </c>
      <c r="R390" s="8">
        <v>1004501</v>
      </c>
      <c r="S390" s="8">
        <v>1004601</v>
      </c>
      <c r="T390" s="8">
        <v>1004701</v>
      </c>
    </row>
    <row r="391" spans="1:21" ht="14">
      <c r="A391" s="14" t="s">
        <v>14</v>
      </c>
      <c r="B391" s="8">
        <f t="shared" si="9"/>
        <v>70044302</v>
      </c>
      <c r="C391" s="2" t="s">
        <v>421</v>
      </c>
      <c r="E391" s="2" t="str">
        <f>F391&amp;(VLOOKUP(G391,编号表!$E$1:$G$8,2,0))&amp;H391&amp;"_"&amp;I391&amp;"_"&amp;J391</f>
        <v>4N4_3_2</v>
      </c>
      <c r="F391" s="2">
        <v>4</v>
      </c>
      <c r="G391" s="2" t="s">
        <v>37</v>
      </c>
      <c r="H391" s="2">
        <v>4</v>
      </c>
      <c r="I391" s="2">
        <v>3</v>
      </c>
      <c r="J391" s="2">
        <f>COUNTIFS($F$13:F391,F391,$I$13:I391,I391)</f>
        <v>2</v>
      </c>
      <c r="O391" s="8">
        <v>1004201</v>
      </c>
      <c r="P391" s="8">
        <v>1004301</v>
      </c>
      <c r="Q391" s="8">
        <v>1004401</v>
      </c>
      <c r="R391" s="8">
        <v>1004501</v>
      </c>
      <c r="S391" s="8">
        <v>1004601</v>
      </c>
      <c r="T391" s="8">
        <v>1004701</v>
      </c>
      <c r="U391"/>
    </row>
    <row r="392" spans="1:21" ht="14">
      <c r="A392" s="14" t="s">
        <v>14</v>
      </c>
      <c r="B392" s="8">
        <f t="shared" si="9"/>
        <v>70043303</v>
      </c>
      <c r="C392" s="2" t="s">
        <v>422</v>
      </c>
      <c r="E392" s="2" t="str">
        <f>F392&amp;(VLOOKUP(G392,编号表!$E$1:$G$8,2,0))&amp;H392&amp;"_"&amp;I392&amp;"_"&amp;J392</f>
        <v>4N3_3_3</v>
      </c>
      <c r="F392" s="2">
        <v>4</v>
      </c>
      <c r="G392" s="2" t="s">
        <v>37</v>
      </c>
      <c r="H392" s="2">
        <v>3</v>
      </c>
      <c r="I392" s="2">
        <v>3</v>
      </c>
      <c r="J392" s="2">
        <f>COUNTIFS($F$13:F392,F392,$I$13:I392,I392)</f>
        <v>3</v>
      </c>
      <c r="O392" s="8">
        <v>1004201</v>
      </c>
      <c r="P392" s="8">
        <v>1004301</v>
      </c>
      <c r="Q392" s="8">
        <v>1004401</v>
      </c>
      <c r="R392" s="8">
        <v>1004501</v>
      </c>
      <c r="S392" s="8">
        <v>1004601</v>
      </c>
      <c r="T392" s="8">
        <v>1004701</v>
      </c>
      <c r="U392"/>
    </row>
    <row r="393" spans="1:21">
      <c r="A393" s="14" t="s">
        <v>14</v>
      </c>
      <c r="B393" s="8">
        <f t="shared" si="9"/>
        <v>70043401</v>
      </c>
      <c r="C393" s="16" t="s">
        <v>87</v>
      </c>
      <c r="D393" s="2" t="s">
        <v>376</v>
      </c>
      <c r="E393" s="2" t="str">
        <f>F393&amp;(VLOOKUP(G393,编号表!$E$1:$G$8,2,0))&amp;H393&amp;"_"&amp;I393&amp;"_"&amp;J393</f>
        <v>4T3_4_1</v>
      </c>
      <c r="F393" s="2">
        <v>4</v>
      </c>
      <c r="G393" s="2" t="s">
        <v>53</v>
      </c>
      <c r="H393" s="2">
        <v>3</v>
      </c>
      <c r="I393" s="2">
        <v>4</v>
      </c>
      <c r="J393" s="2">
        <f>COUNTIFS($F$13:F393,F393,$I$13:I393,I393)</f>
        <v>1</v>
      </c>
      <c r="M393" s="2">
        <v>109</v>
      </c>
      <c r="O393" s="21"/>
      <c r="P393" s="21"/>
      <c r="Q393" s="22"/>
      <c r="R393" s="21"/>
      <c r="S393" s="21"/>
      <c r="T393" s="21"/>
    </row>
    <row r="394" spans="1:21">
      <c r="A394" s="14" t="s">
        <v>14</v>
      </c>
      <c r="B394" s="8">
        <f t="shared" si="9"/>
        <v>70041402</v>
      </c>
      <c r="C394" s="15" t="s">
        <v>378</v>
      </c>
      <c r="E394" s="2" t="str">
        <f>F394&amp;(VLOOKUP(G394,编号表!$E$1:$G$8,2,0))&amp;H394&amp;"_"&amp;I394&amp;"_"&amp;J394</f>
        <v>4T1_4_2</v>
      </c>
      <c r="F394" s="2">
        <v>4</v>
      </c>
      <c r="G394" s="2" t="s">
        <v>53</v>
      </c>
      <c r="H394" s="2">
        <v>1</v>
      </c>
      <c r="I394" s="2">
        <v>4</v>
      </c>
      <c r="J394" s="2">
        <f>COUNTIFS($F$13:F394,F394,$I$13:I394,I394)</f>
        <v>2</v>
      </c>
      <c r="L394" s="2">
        <v>1</v>
      </c>
      <c r="O394" s="21"/>
      <c r="P394" s="21"/>
      <c r="Q394" s="22"/>
      <c r="R394" s="21"/>
      <c r="S394" s="21"/>
      <c r="T394" s="21"/>
    </row>
    <row r="395" spans="1:21">
      <c r="A395" s="14" t="s">
        <v>14</v>
      </c>
      <c r="B395" s="8">
        <f t="shared" si="9"/>
        <v>70043403</v>
      </c>
      <c r="C395" s="2" t="s">
        <v>423</v>
      </c>
      <c r="E395" s="2" t="str">
        <f>F395&amp;(VLOOKUP(G395,编号表!$E$1:$G$8,2,0))&amp;H395&amp;"_"&amp;I395&amp;"_"&amp;J395</f>
        <v>4N3_4_3</v>
      </c>
      <c r="F395" s="2">
        <v>4</v>
      </c>
      <c r="G395" s="2" t="s">
        <v>37</v>
      </c>
      <c r="H395" s="2">
        <v>3</v>
      </c>
      <c r="I395" s="2">
        <v>4</v>
      </c>
      <c r="J395" s="2">
        <f>COUNTIFS($F$13:F395,F395,$I$13:I395,I395)</f>
        <v>3</v>
      </c>
      <c r="O395" s="8">
        <v>1004301</v>
      </c>
      <c r="P395" s="8">
        <v>1004401</v>
      </c>
      <c r="Q395" s="8">
        <v>1004501</v>
      </c>
      <c r="R395" s="8">
        <v>1004601</v>
      </c>
      <c r="S395" s="8">
        <v>1004701</v>
      </c>
    </row>
    <row r="396" spans="1:21">
      <c r="A396" s="14" t="s">
        <v>14</v>
      </c>
      <c r="B396" s="8">
        <f t="shared" si="9"/>
        <v>70043404</v>
      </c>
      <c r="C396" s="2" t="s">
        <v>424</v>
      </c>
      <c r="E396" s="2" t="str">
        <f>F396&amp;(VLOOKUP(G396,编号表!$E$1:$G$8,2,0))&amp;H396&amp;"_"&amp;I396&amp;"_"&amp;J396</f>
        <v>4N3_4_4</v>
      </c>
      <c r="F396" s="2">
        <v>4</v>
      </c>
      <c r="G396" s="2" t="s">
        <v>37</v>
      </c>
      <c r="H396" s="2">
        <v>3</v>
      </c>
      <c r="I396" s="2">
        <v>4</v>
      </c>
      <c r="J396" s="2">
        <f>COUNTIFS($F$13:F396,F396,$I$13:I396,I396)</f>
        <v>4</v>
      </c>
      <c r="O396" s="8">
        <v>1004301</v>
      </c>
      <c r="P396" s="8">
        <v>1004501</v>
      </c>
      <c r="Q396" s="8">
        <v>1004601</v>
      </c>
      <c r="R396" s="8">
        <v>1004701</v>
      </c>
    </row>
    <row r="397" spans="1:21">
      <c r="A397" s="14" t="s">
        <v>14</v>
      </c>
      <c r="B397" s="8">
        <f t="shared" si="9"/>
        <v>70043405</v>
      </c>
      <c r="C397" s="2" t="s">
        <v>425</v>
      </c>
      <c r="E397" s="2" t="str">
        <f>F397&amp;(VLOOKUP(G397,编号表!$E$1:$G$8,2,0))&amp;H397&amp;"_"&amp;I397&amp;"_"&amp;J397</f>
        <v>4N3_4_5</v>
      </c>
      <c r="F397" s="2">
        <v>4</v>
      </c>
      <c r="G397" s="2" t="s">
        <v>37</v>
      </c>
      <c r="H397" s="2">
        <v>3</v>
      </c>
      <c r="I397" s="2">
        <v>4</v>
      </c>
      <c r="J397" s="2">
        <f>COUNTIFS($F$13:F397,F397,$I$13:I397,I397)</f>
        <v>5</v>
      </c>
      <c r="O397" s="8">
        <v>1004301</v>
      </c>
      <c r="P397" s="8">
        <v>1004501</v>
      </c>
      <c r="Q397" s="8">
        <v>1004601</v>
      </c>
      <c r="R397" s="8">
        <v>1004701</v>
      </c>
    </row>
    <row r="398" spans="1:21">
      <c r="A398" s="14" t="s">
        <v>14</v>
      </c>
      <c r="B398" s="8">
        <f t="shared" si="9"/>
        <v>70043406</v>
      </c>
      <c r="C398" s="2" t="s">
        <v>426</v>
      </c>
      <c r="E398" s="2" t="str">
        <f>F398&amp;(VLOOKUP(G398,编号表!$E$1:$G$8,2,0))&amp;H398&amp;"_"&amp;I398&amp;"_"&amp;J398</f>
        <v>4N3_4_6</v>
      </c>
      <c r="F398" s="2">
        <v>4</v>
      </c>
      <c r="G398" s="2" t="s">
        <v>37</v>
      </c>
      <c r="H398" s="2">
        <v>3</v>
      </c>
      <c r="I398" s="2">
        <v>4</v>
      </c>
      <c r="J398" s="2">
        <f>COUNTIFS($F$13:F398,F398,$I$13:I398,I398)</f>
        <v>6</v>
      </c>
      <c r="O398" s="8">
        <v>1004301</v>
      </c>
      <c r="P398" s="8">
        <v>1004501</v>
      </c>
      <c r="Q398" s="8">
        <v>1004601</v>
      </c>
      <c r="R398" s="8">
        <v>1004701</v>
      </c>
    </row>
    <row r="399" spans="1:21">
      <c r="A399" s="14" t="s">
        <v>14</v>
      </c>
      <c r="B399" s="8">
        <f t="shared" si="9"/>
        <v>70043407</v>
      </c>
      <c r="C399" s="2" t="s">
        <v>427</v>
      </c>
      <c r="E399" s="2" t="str">
        <f>F399&amp;(VLOOKUP(G399,编号表!$E$1:$G$8,2,0))&amp;H399&amp;"_"&amp;I399&amp;"_"&amp;J399</f>
        <v>4N3_4_7</v>
      </c>
      <c r="F399" s="2">
        <v>4</v>
      </c>
      <c r="G399" s="2" t="s">
        <v>37</v>
      </c>
      <c r="H399" s="2">
        <v>3</v>
      </c>
      <c r="I399" s="2">
        <v>4</v>
      </c>
      <c r="J399" s="2">
        <f>COUNTIFS($F$13:F399,F399,$I$13:I399,I399)</f>
        <v>7</v>
      </c>
      <c r="O399" s="8">
        <v>1004301</v>
      </c>
      <c r="P399" s="8">
        <v>1004501</v>
      </c>
      <c r="Q399" s="8">
        <v>1004601</v>
      </c>
      <c r="R399" s="8">
        <v>1004701</v>
      </c>
    </row>
    <row r="400" spans="1:21">
      <c r="A400" s="14" t="s">
        <v>14</v>
      </c>
      <c r="B400" s="8">
        <f t="shared" si="9"/>
        <v>70043408</v>
      </c>
      <c r="C400" s="2" t="s">
        <v>428</v>
      </c>
      <c r="E400" s="2" t="str">
        <f>F400&amp;(VLOOKUP(G400,编号表!$E$1:$G$8,2,0))&amp;H400&amp;"_"&amp;I400&amp;"_"&amp;J400</f>
        <v>4N3_4_8</v>
      </c>
      <c r="F400" s="2">
        <v>4</v>
      </c>
      <c r="G400" s="2" t="s">
        <v>37</v>
      </c>
      <c r="H400" s="2">
        <v>3</v>
      </c>
      <c r="I400" s="2">
        <v>4</v>
      </c>
      <c r="J400" s="2">
        <f>COUNTIFS($F$13:F400,F400,$I$13:I400,I400)</f>
        <v>8</v>
      </c>
      <c r="O400" s="8">
        <v>1004301</v>
      </c>
      <c r="P400" s="8">
        <v>1004501</v>
      </c>
      <c r="Q400" s="8">
        <v>1004601</v>
      </c>
      <c r="R400" s="8">
        <v>1004701</v>
      </c>
    </row>
    <row r="401" spans="1:19">
      <c r="A401" s="14" t="s">
        <v>14</v>
      </c>
      <c r="B401" s="8">
        <f t="shared" si="9"/>
        <v>70043409</v>
      </c>
      <c r="C401" s="2" t="s">
        <v>429</v>
      </c>
      <c r="E401" s="2" t="str">
        <f>F401&amp;(VLOOKUP(G401,编号表!$E$1:$G$8,2,0))&amp;H401&amp;"_"&amp;I401&amp;"_"&amp;J401</f>
        <v>4N3_4_9</v>
      </c>
      <c r="F401" s="2">
        <v>4</v>
      </c>
      <c r="G401" s="2" t="s">
        <v>37</v>
      </c>
      <c r="H401" s="2">
        <v>3</v>
      </c>
      <c r="I401" s="2">
        <v>4</v>
      </c>
      <c r="J401" s="2">
        <f>COUNTIFS($F$13:F401,F401,$I$13:I401,I401)</f>
        <v>9</v>
      </c>
      <c r="O401" s="8">
        <v>1004301</v>
      </c>
      <c r="P401" s="8">
        <v>1004501</v>
      </c>
      <c r="Q401" s="8">
        <v>1004601</v>
      </c>
      <c r="R401" s="8">
        <v>1004701</v>
      </c>
    </row>
    <row r="402" spans="1:19">
      <c r="A402" s="14" t="s">
        <v>14</v>
      </c>
      <c r="B402" s="8">
        <f t="shared" si="9"/>
        <v>70043410</v>
      </c>
      <c r="C402" s="2" t="s">
        <v>430</v>
      </c>
      <c r="E402" s="2" t="str">
        <f>F402&amp;(VLOOKUP(G402,编号表!$E$1:$G$8,2,0))&amp;H402&amp;"_"&amp;I402&amp;"_"&amp;J402</f>
        <v>4N3_4_10</v>
      </c>
      <c r="F402" s="2">
        <v>4</v>
      </c>
      <c r="G402" s="2" t="s">
        <v>37</v>
      </c>
      <c r="H402" s="2">
        <v>3</v>
      </c>
      <c r="I402" s="2">
        <v>4</v>
      </c>
      <c r="J402" s="2">
        <f>COUNTIFS($F$13:F402,F402,$I$13:I402,I402)</f>
        <v>10</v>
      </c>
      <c r="O402" s="8">
        <v>1004301</v>
      </c>
      <c r="P402" s="8">
        <v>1004501</v>
      </c>
      <c r="Q402" s="8">
        <v>1004601</v>
      </c>
      <c r="R402" s="8">
        <v>1004701</v>
      </c>
    </row>
    <row r="403" spans="1:19">
      <c r="A403" s="14" t="s">
        <v>14</v>
      </c>
      <c r="B403" s="8">
        <f t="shared" si="9"/>
        <v>70043411</v>
      </c>
      <c r="C403" s="2" t="s">
        <v>431</v>
      </c>
      <c r="E403" s="2" t="str">
        <f>F403&amp;(VLOOKUP(G403,编号表!$E$1:$G$8,2,0))&amp;H403&amp;"_"&amp;I403&amp;"_"&amp;J403</f>
        <v>4N3_4_11</v>
      </c>
      <c r="F403" s="2">
        <v>4</v>
      </c>
      <c r="G403" s="2" t="s">
        <v>37</v>
      </c>
      <c r="H403" s="2">
        <v>3</v>
      </c>
      <c r="I403" s="2">
        <v>4</v>
      </c>
      <c r="J403" s="2">
        <f>COUNTIFS($F$13:F403,F403,$I$13:I403,I403)</f>
        <v>11</v>
      </c>
      <c r="O403" s="8">
        <v>1004201</v>
      </c>
      <c r="P403" s="8">
        <v>1004301</v>
      </c>
      <c r="Q403" s="8">
        <v>1004501</v>
      </c>
      <c r="R403" s="8">
        <v>1004601</v>
      </c>
      <c r="S403" s="8">
        <v>1004701</v>
      </c>
    </row>
    <row r="404" spans="1:19">
      <c r="A404" s="14" t="s">
        <v>14</v>
      </c>
      <c r="B404" s="8">
        <f t="shared" si="9"/>
        <v>70043412</v>
      </c>
      <c r="C404" s="2" t="s">
        <v>432</v>
      </c>
      <c r="E404" s="2" t="str">
        <f>F404&amp;(VLOOKUP(G404,编号表!$E$1:$G$8,2,0))&amp;H404&amp;"_"&amp;I404&amp;"_"&amp;J404</f>
        <v>4N3_4_12</v>
      </c>
      <c r="F404" s="2">
        <v>4</v>
      </c>
      <c r="G404" s="2" t="s">
        <v>37</v>
      </c>
      <c r="H404" s="2">
        <v>3</v>
      </c>
      <c r="I404" s="2">
        <v>4</v>
      </c>
      <c r="J404" s="2">
        <f>COUNTIFS($F$13:F404,F404,$I$13:I404,I404)</f>
        <v>12</v>
      </c>
      <c r="O404" s="8">
        <v>1004201</v>
      </c>
      <c r="P404" s="8">
        <v>1004301</v>
      </c>
      <c r="Q404" s="8">
        <v>1004401</v>
      </c>
      <c r="R404" s="8">
        <v>1004501</v>
      </c>
      <c r="S404" s="8">
        <v>1004701</v>
      </c>
    </row>
    <row r="405" spans="1:19">
      <c r="A405" s="14" t="s">
        <v>14</v>
      </c>
      <c r="B405" s="8">
        <f t="shared" si="9"/>
        <v>70043413</v>
      </c>
      <c r="C405" s="2" t="s">
        <v>433</v>
      </c>
      <c r="E405" s="2" t="str">
        <f>F405&amp;(VLOOKUP(G405,编号表!$E$1:$G$8,2,0))&amp;H405&amp;"_"&amp;I405&amp;"_"&amp;J405</f>
        <v>4N3_4_13</v>
      </c>
      <c r="F405" s="2">
        <v>4</v>
      </c>
      <c r="G405" s="2" t="s">
        <v>37</v>
      </c>
      <c r="H405" s="2">
        <v>3</v>
      </c>
      <c r="I405" s="2">
        <v>4</v>
      </c>
      <c r="J405" s="2">
        <f>COUNTIFS($F$13:F405,F405,$I$13:I405,I405)</f>
        <v>13</v>
      </c>
      <c r="O405" s="8">
        <v>1004201</v>
      </c>
      <c r="P405" s="8">
        <v>1004301</v>
      </c>
      <c r="Q405" s="8">
        <v>1004401</v>
      </c>
      <c r="R405" s="8">
        <v>1004501</v>
      </c>
      <c r="S405" s="8">
        <v>1004701</v>
      </c>
    </row>
    <row r="406" spans="1:19">
      <c r="A406" s="14" t="s">
        <v>14</v>
      </c>
      <c r="B406" s="8">
        <f t="shared" si="9"/>
        <v>70043414</v>
      </c>
      <c r="C406" s="2" t="s">
        <v>434</v>
      </c>
      <c r="E406" s="2" t="str">
        <f>F406&amp;(VLOOKUP(G406,编号表!$E$1:$G$8,2,0))&amp;H406&amp;"_"&amp;I406&amp;"_"&amp;J406</f>
        <v>4N3_4_14</v>
      </c>
      <c r="F406" s="2">
        <v>4</v>
      </c>
      <c r="G406" s="2" t="s">
        <v>37</v>
      </c>
      <c r="H406" s="2">
        <v>3</v>
      </c>
      <c r="I406" s="2">
        <v>4</v>
      </c>
      <c r="J406" s="2">
        <f>COUNTIFS($F$13:F406,F406,$I$13:I406,I406)</f>
        <v>14</v>
      </c>
      <c r="O406" s="8">
        <v>1004201</v>
      </c>
      <c r="P406" s="8">
        <v>1004301</v>
      </c>
      <c r="Q406" s="8">
        <v>1004401</v>
      </c>
      <c r="R406" s="8">
        <v>1004501</v>
      </c>
      <c r="S406" s="8">
        <v>1004701</v>
      </c>
    </row>
    <row r="407" spans="1:19">
      <c r="A407" s="14" t="s">
        <v>14</v>
      </c>
      <c r="B407" s="8">
        <f t="shared" si="9"/>
        <v>70043415</v>
      </c>
      <c r="C407" s="2" t="s">
        <v>435</v>
      </c>
      <c r="E407" s="2" t="str">
        <f>F407&amp;(VLOOKUP(G407,编号表!$E$1:$G$8,2,0))&amp;H407&amp;"_"&amp;I407&amp;"_"&amp;J407</f>
        <v>4N3_4_15</v>
      </c>
      <c r="F407" s="2">
        <v>4</v>
      </c>
      <c r="G407" s="2" t="s">
        <v>37</v>
      </c>
      <c r="H407" s="2">
        <v>3</v>
      </c>
      <c r="I407" s="2">
        <v>4</v>
      </c>
      <c r="J407" s="2">
        <f>COUNTIFS($F$13:F407,F407,$I$13:I407,I407)</f>
        <v>15</v>
      </c>
      <c r="O407" s="8">
        <v>1004201</v>
      </c>
      <c r="P407" s="8">
        <v>1004301</v>
      </c>
      <c r="Q407" s="8">
        <v>1004401</v>
      </c>
      <c r="R407" s="8">
        <v>1004501</v>
      </c>
      <c r="S407" s="8">
        <v>1004701</v>
      </c>
    </row>
    <row r="408" spans="1:19">
      <c r="A408" s="14" t="s">
        <v>14</v>
      </c>
      <c r="B408" s="8">
        <f t="shared" si="9"/>
        <v>70043416</v>
      </c>
      <c r="C408" s="2" t="s">
        <v>436</v>
      </c>
      <c r="E408" s="2" t="str">
        <f>F408&amp;(VLOOKUP(G408,编号表!$E$1:$G$8,2,0))&amp;H408&amp;"_"&amp;I408&amp;"_"&amp;J408</f>
        <v>4N3_4_16</v>
      </c>
      <c r="F408" s="2">
        <v>4</v>
      </c>
      <c r="G408" s="2" t="s">
        <v>37</v>
      </c>
      <c r="H408" s="2">
        <v>3</v>
      </c>
      <c r="I408" s="2">
        <v>4</v>
      </c>
      <c r="J408" s="2">
        <f>COUNTIFS($F$13:F408,F408,$I$13:I408,I408)</f>
        <v>16</v>
      </c>
      <c r="O408" s="8">
        <v>1004201</v>
      </c>
      <c r="P408" s="8">
        <v>1004301</v>
      </c>
      <c r="Q408" s="8">
        <v>1004401</v>
      </c>
      <c r="R408" s="8">
        <v>1004501</v>
      </c>
      <c r="S408" s="8">
        <v>1004701</v>
      </c>
    </row>
    <row r="409" spans="1:19">
      <c r="A409" s="14" t="s">
        <v>14</v>
      </c>
      <c r="B409" s="8">
        <f t="shared" si="9"/>
        <v>70041417</v>
      </c>
      <c r="C409" s="15" t="s">
        <v>437</v>
      </c>
      <c r="E409" s="2" t="str">
        <f>F409&amp;(VLOOKUP(G409,编号表!$E$1:$G$8,2,0))&amp;H409&amp;"_"&amp;I409&amp;"_"&amp;J409</f>
        <v>4T1_4_17</v>
      </c>
      <c r="F409" s="2">
        <v>4</v>
      </c>
      <c r="G409" s="2" t="s">
        <v>53</v>
      </c>
      <c r="H409" s="2">
        <v>1</v>
      </c>
      <c r="I409" s="2">
        <v>4</v>
      </c>
      <c r="J409" s="2">
        <f>COUNTIFS($F$13:F409,F409,$I$13:I409,I409)</f>
        <v>17</v>
      </c>
    </row>
    <row r="410" spans="1:19">
      <c r="A410" s="14" t="s">
        <v>14</v>
      </c>
      <c r="B410" s="8">
        <f t="shared" si="9"/>
        <v>70043418</v>
      </c>
      <c r="C410" s="16" t="s">
        <v>438</v>
      </c>
      <c r="D410" s="2" t="s">
        <v>439</v>
      </c>
      <c r="E410" s="2" t="str">
        <f>F410&amp;(VLOOKUP(G410,编号表!$E$1:$G$8,2,0))&amp;H410&amp;"_"&amp;I410&amp;"_"&amp;J410</f>
        <v>4T3_4_18</v>
      </c>
      <c r="F410" s="2">
        <v>4</v>
      </c>
      <c r="G410" s="2" t="s">
        <v>53</v>
      </c>
      <c r="H410" s="2">
        <v>3</v>
      </c>
      <c r="I410" s="2">
        <v>4</v>
      </c>
      <c r="J410" s="2">
        <f>COUNTIFS($F$13:F410,F410,$I$13:I410,I410)</f>
        <v>18</v>
      </c>
      <c r="M410" s="2">
        <v>110</v>
      </c>
    </row>
    <row r="411" spans="1:19">
      <c r="A411" s="14" t="s">
        <v>14</v>
      </c>
      <c r="B411" s="8">
        <f t="shared" si="9"/>
        <v>70044501</v>
      </c>
      <c r="C411" s="2" t="s">
        <v>440</v>
      </c>
      <c r="E411" s="2" t="str">
        <f>F411&amp;(VLOOKUP(G411,编号表!$E$1:$G$8,2,0))&amp;H411&amp;"_"&amp;I411&amp;"_"&amp;J411</f>
        <v>4N4_5_1</v>
      </c>
      <c r="F411" s="2">
        <v>4</v>
      </c>
      <c r="G411" s="2" t="s">
        <v>37</v>
      </c>
      <c r="H411" s="2">
        <v>4</v>
      </c>
      <c r="I411" s="2">
        <v>5</v>
      </c>
      <c r="J411" s="2">
        <f>COUNTIFS($F$13:F411,F411,$I$13:I411,I411)</f>
        <v>1</v>
      </c>
      <c r="O411" s="8">
        <v>1004201</v>
      </c>
      <c r="P411" s="8">
        <v>1004301</v>
      </c>
      <c r="Q411" s="8">
        <v>1004401</v>
      </c>
      <c r="R411" s="8">
        <v>1004501</v>
      </c>
      <c r="S411" s="8">
        <v>1004701</v>
      </c>
    </row>
    <row r="412" spans="1:19">
      <c r="A412" s="14" t="s">
        <v>14</v>
      </c>
      <c r="B412" s="8">
        <f t="shared" si="9"/>
        <v>70044502</v>
      </c>
      <c r="C412" s="2" t="s">
        <v>441</v>
      </c>
      <c r="E412" s="2" t="str">
        <f>F412&amp;(VLOOKUP(G412,编号表!$E$1:$G$8,2,0))&amp;H412&amp;"_"&amp;I412&amp;"_"&amp;J412</f>
        <v>4N4_5_2</v>
      </c>
      <c r="F412" s="2">
        <v>4</v>
      </c>
      <c r="G412" s="2" t="s">
        <v>37</v>
      </c>
      <c r="H412" s="2">
        <v>4</v>
      </c>
      <c r="I412" s="2">
        <v>5</v>
      </c>
      <c r="J412" s="2">
        <f>COUNTIFS($F$13:F412,F412,$I$13:I412,I412)</f>
        <v>2</v>
      </c>
      <c r="O412" s="8">
        <v>1004201</v>
      </c>
      <c r="P412" s="8">
        <v>1004301</v>
      </c>
      <c r="Q412" s="8">
        <v>1004401</v>
      </c>
      <c r="R412" s="8">
        <v>1004501</v>
      </c>
      <c r="S412" s="8">
        <v>1004701</v>
      </c>
    </row>
    <row r="413" spans="1:19">
      <c r="A413" s="14" t="s">
        <v>14</v>
      </c>
      <c r="B413" s="8">
        <f t="shared" si="9"/>
        <v>70043503</v>
      </c>
      <c r="C413" s="2" t="s">
        <v>442</v>
      </c>
      <c r="E413" s="2" t="str">
        <f>F413&amp;(VLOOKUP(G413,编号表!$E$1:$G$8,2,0))&amp;H413&amp;"_"&amp;I413&amp;"_"&amp;J413</f>
        <v>4N3_5_3</v>
      </c>
      <c r="F413" s="2">
        <v>4</v>
      </c>
      <c r="G413" s="2" t="s">
        <v>37</v>
      </c>
      <c r="H413" s="2">
        <v>3</v>
      </c>
      <c r="I413" s="2">
        <v>5</v>
      </c>
      <c r="J413" s="2">
        <f>COUNTIFS($F$13:F413,F413,$I$13:I413,I413)</f>
        <v>3</v>
      </c>
      <c r="O413" s="8">
        <v>1004201</v>
      </c>
      <c r="P413" s="8">
        <v>1004301</v>
      </c>
      <c r="Q413" s="8">
        <v>1004401</v>
      </c>
      <c r="R413" s="8">
        <v>1004501</v>
      </c>
      <c r="S413" s="8">
        <v>1004701</v>
      </c>
    </row>
    <row r="414" spans="1:19">
      <c r="A414" s="14" t="s">
        <v>14</v>
      </c>
      <c r="B414" s="8">
        <f t="shared" si="9"/>
        <v>70042504</v>
      </c>
      <c r="C414" s="2" t="s">
        <v>443</v>
      </c>
      <c r="E414" s="2" t="str">
        <f>F414&amp;(VLOOKUP(G414,编号表!$E$1:$G$8,2,0))&amp;H414&amp;"_"&amp;I414&amp;"_"&amp;J414</f>
        <v>4N2_5_4</v>
      </c>
      <c r="F414" s="2">
        <v>4</v>
      </c>
      <c r="G414" s="2" t="s">
        <v>37</v>
      </c>
      <c r="H414" s="2">
        <v>2</v>
      </c>
      <c r="I414" s="2">
        <v>5</v>
      </c>
      <c r="J414" s="2">
        <f>COUNTIFS($F$13:F414,F414,$I$13:I414,I414)</f>
        <v>4</v>
      </c>
      <c r="O414" s="8">
        <v>1004201</v>
      </c>
      <c r="P414" s="8">
        <v>1004301</v>
      </c>
    </row>
    <row r="415" spans="1:19">
      <c r="A415" s="14" t="s">
        <v>14</v>
      </c>
      <c r="B415" s="8">
        <f t="shared" si="9"/>
        <v>70042505</v>
      </c>
      <c r="C415" s="2" t="s">
        <v>444</v>
      </c>
      <c r="E415" s="2" t="str">
        <f>F415&amp;(VLOOKUP(G415,编号表!$E$1:$G$8,2,0))&amp;H415&amp;"_"&amp;I415&amp;"_"&amp;J415</f>
        <v>4N2_5_5</v>
      </c>
      <c r="F415" s="2">
        <v>4</v>
      </c>
      <c r="G415" s="2" t="s">
        <v>37</v>
      </c>
      <c r="H415" s="2">
        <v>2</v>
      </c>
      <c r="I415" s="2">
        <v>5</v>
      </c>
      <c r="J415" s="2">
        <f>COUNTIFS($F$13:F415,F415,$I$13:I415,I415)</f>
        <v>5</v>
      </c>
      <c r="O415" s="8">
        <v>1004201</v>
      </c>
      <c r="P415" s="8">
        <v>1004301</v>
      </c>
    </row>
    <row r="416" spans="1:19">
      <c r="A416" s="14" t="s">
        <v>14</v>
      </c>
      <c r="B416" s="8">
        <f t="shared" si="9"/>
        <v>70042506</v>
      </c>
      <c r="C416" s="2" t="s">
        <v>445</v>
      </c>
      <c r="E416" s="2" t="str">
        <f>F416&amp;(VLOOKUP(G416,编号表!$E$1:$G$8,2,0))&amp;H416&amp;"_"&amp;I416&amp;"_"&amp;J416</f>
        <v>4N2_5_6</v>
      </c>
      <c r="F416" s="2">
        <v>4</v>
      </c>
      <c r="G416" s="2" t="s">
        <v>37</v>
      </c>
      <c r="H416" s="2">
        <v>2</v>
      </c>
      <c r="I416" s="2">
        <v>5</v>
      </c>
      <c r="J416" s="2">
        <f>COUNTIFS($F$13:F416,F416,$I$13:I416,I416)</f>
        <v>6</v>
      </c>
      <c r="O416" s="8">
        <v>1004601</v>
      </c>
      <c r="P416" s="8">
        <v>1004701</v>
      </c>
    </row>
    <row r="417" spans="1:20">
      <c r="A417" s="14" t="s">
        <v>14</v>
      </c>
      <c r="B417" s="8">
        <f t="shared" si="9"/>
        <v>70043507</v>
      </c>
      <c r="C417" s="2" t="s">
        <v>446</v>
      </c>
      <c r="E417" s="2" t="str">
        <f>F417&amp;(VLOOKUP(G417,编号表!$E$1:$G$8,2,0))&amp;H417&amp;"_"&amp;I417&amp;"_"&amp;J417</f>
        <v>4N3_5_7</v>
      </c>
      <c r="F417" s="2">
        <v>4</v>
      </c>
      <c r="G417" s="2" t="s">
        <v>37</v>
      </c>
      <c r="H417" s="2">
        <v>3</v>
      </c>
      <c r="I417" s="2">
        <v>5</v>
      </c>
      <c r="J417" s="2">
        <f>COUNTIFS($F$13:F417,F417,$I$13:I417,I417)</f>
        <v>7</v>
      </c>
      <c r="O417" s="8">
        <v>1004201</v>
      </c>
      <c r="P417" s="8">
        <v>1004301</v>
      </c>
      <c r="Q417" s="8">
        <v>1004401</v>
      </c>
      <c r="R417" s="8">
        <v>1004501</v>
      </c>
      <c r="S417" s="8">
        <v>1004601</v>
      </c>
      <c r="T417" s="8">
        <v>1004701</v>
      </c>
    </row>
    <row r="418" spans="1:20">
      <c r="A418" s="14" t="s">
        <v>14</v>
      </c>
      <c r="B418" s="8">
        <f t="shared" si="9"/>
        <v>70043508</v>
      </c>
      <c r="C418" s="2" t="s">
        <v>447</v>
      </c>
      <c r="E418" s="2" t="str">
        <f>F418&amp;(VLOOKUP(G418,编号表!$E$1:$G$8,2,0))&amp;H418&amp;"_"&amp;I418&amp;"_"&amp;J418</f>
        <v>4N3_5_8</v>
      </c>
      <c r="F418" s="2">
        <v>4</v>
      </c>
      <c r="G418" s="2" t="s">
        <v>37</v>
      </c>
      <c r="H418" s="2">
        <v>3</v>
      </c>
      <c r="I418" s="2">
        <v>5</v>
      </c>
      <c r="J418" s="2">
        <f>COUNTIFS($F$13:F418,F418,$I$13:I418,I418)</f>
        <v>8</v>
      </c>
      <c r="O418" s="8">
        <v>1004201</v>
      </c>
      <c r="P418" s="8">
        <v>1004301</v>
      </c>
      <c r="Q418" s="8">
        <v>1004401</v>
      </c>
      <c r="R418" s="8">
        <v>1004501</v>
      </c>
      <c r="S418" s="8">
        <v>1004601</v>
      </c>
      <c r="T418" s="8">
        <v>1004701</v>
      </c>
    </row>
    <row r="419" spans="1:20">
      <c r="A419" s="14" t="s">
        <v>14</v>
      </c>
      <c r="B419" s="8">
        <f t="shared" si="9"/>
        <v>70043509</v>
      </c>
      <c r="C419" s="2" t="s">
        <v>448</v>
      </c>
      <c r="E419" s="2" t="str">
        <f>F419&amp;(VLOOKUP(G419,编号表!$E$1:$G$8,2,0))&amp;H419&amp;"_"&amp;I419&amp;"_"&amp;J419</f>
        <v>4N3_5_9</v>
      </c>
      <c r="F419" s="2">
        <v>4</v>
      </c>
      <c r="G419" s="2" t="s">
        <v>37</v>
      </c>
      <c r="H419" s="2">
        <v>3</v>
      </c>
      <c r="I419" s="2">
        <v>5</v>
      </c>
      <c r="J419" s="2">
        <f>COUNTIFS($F$13:F419,F419,$I$13:I419,I419)</f>
        <v>9</v>
      </c>
      <c r="O419" s="8">
        <v>1004201</v>
      </c>
      <c r="P419" s="8">
        <v>1004301</v>
      </c>
      <c r="Q419" s="8">
        <v>1004401</v>
      </c>
      <c r="R419" s="8">
        <v>1004501</v>
      </c>
      <c r="S419" s="8">
        <v>1004601</v>
      </c>
      <c r="T419" s="8">
        <v>1004701</v>
      </c>
    </row>
    <row r="420" spans="1:20">
      <c r="A420" s="14" t="s">
        <v>14</v>
      </c>
      <c r="B420" s="8">
        <f t="shared" si="9"/>
        <v>70043510</v>
      </c>
      <c r="C420" s="2" t="s">
        <v>449</v>
      </c>
      <c r="E420" s="2" t="str">
        <f>F420&amp;(VLOOKUP(G420,编号表!$E$1:$G$8,2,0))&amp;H420&amp;"_"&amp;I420&amp;"_"&amp;J420</f>
        <v>4N3_5_10</v>
      </c>
      <c r="F420" s="2">
        <v>4</v>
      </c>
      <c r="G420" s="2" t="s">
        <v>37</v>
      </c>
      <c r="H420" s="2">
        <v>3</v>
      </c>
      <c r="I420" s="2">
        <v>5</v>
      </c>
      <c r="J420" s="2">
        <f>COUNTIFS($F$13:F420,F420,$I$13:I420,I420)</f>
        <v>10</v>
      </c>
      <c r="O420" s="8">
        <v>1004201</v>
      </c>
      <c r="P420" s="8">
        <v>1004301</v>
      </c>
      <c r="Q420" s="8">
        <v>1004401</v>
      </c>
      <c r="R420" s="8">
        <v>1004501</v>
      </c>
      <c r="S420" s="8">
        <v>1004601</v>
      </c>
      <c r="T420" s="8">
        <v>1004701</v>
      </c>
    </row>
    <row r="421" spans="1:20">
      <c r="A421" s="14" t="s">
        <v>14</v>
      </c>
      <c r="B421" s="8">
        <f t="shared" si="9"/>
        <v>70042511</v>
      </c>
      <c r="C421" s="2" t="s">
        <v>450</v>
      </c>
      <c r="E421" s="2" t="str">
        <f>F421&amp;(VLOOKUP(G421,编号表!$E$1:$G$8,2,0))&amp;H421&amp;"_"&amp;I421&amp;"_"&amp;J421</f>
        <v>4N2_5_11</v>
      </c>
      <c r="F421" s="2">
        <v>4</v>
      </c>
      <c r="G421" s="2" t="s">
        <v>37</v>
      </c>
      <c r="H421" s="2">
        <v>2</v>
      </c>
      <c r="I421" s="2">
        <v>5</v>
      </c>
      <c r="J421" s="2">
        <f>COUNTIFS($F$13:F421,F421,$I$13:I421,I421)</f>
        <v>11</v>
      </c>
      <c r="O421" s="8">
        <v>1004601</v>
      </c>
      <c r="P421" s="8">
        <v>1004701</v>
      </c>
    </row>
    <row r="422" spans="1:20">
      <c r="A422" s="14" t="s">
        <v>14</v>
      </c>
      <c r="B422" s="8">
        <f t="shared" si="9"/>
        <v>70042512</v>
      </c>
      <c r="C422" s="2" t="s">
        <v>451</v>
      </c>
      <c r="E422" s="2" t="str">
        <f>F422&amp;(VLOOKUP(G422,编号表!$E$1:$G$8,2,0))&amp;H422&amp;"_"&amp;I422&amp;"_"&amp;J422</f>
        <v>4N2_5_12</v>
      </c>
      <c r="F422" s="2">
        <v>4</v>
      </c>
      <c r="G422" s="2" t="s">
        <v>37</v>
      </c>
      <c r="H422" s="2">
        <v>2</v>
      </c>
      <c r="I422" s="2">
        <v>5</v>
      </c>
      <c r="J422" s="2">
        <f>COUNTIFS($F$13:F422,F422,$I$13:I422,I422)</f>
        <v>12</v>
      </c>
      <c r="O422" s="8">
        <v>1004601</v>
      </c>
      <c r="P422" s="8">
        <v>1004701</v>
      </c>
    </row>
    <row r="423" spans="1:20">
      <c r="A423" s="14" t="s">
        <v>14</v>
      </c>
      <c r="B423" s="8">
        <f t="shared" si="9"/>
        <v>70042513</v>
      </c>
      <c r="C423" s="2" t="s">
        <v>452</v>
      </c>
      <c r="E423" s="2" t="str">
        <f>F423&amp;(VLOOKUP(G423,编号表!$E$1:$G$8,2,0))&amp;H423&amp;"_"&amp;I423&amp;"_"&amp;J423</f>
        <v>4N2_5_13</v>
      </c>
      <c r="F423" s="2">
        <v>4</v>
      </c>
      <c r="G423" s="2" t="s">
        <v>37</v>
      </c>
      <c r="H423" s="2">
        <v>2</v>
      </c>
      <c r="I423" s="2">
        <v>5</v>
      </c>
      <c r="J423" s="2">
        <f>COUNTIFS($F$13:F423,F423,$I$13:I423,I423)</f>
        <v>13</v>
      </c>
      <c r="O423" s="8">
        <v>1004601</v>
      </c>
      <c r="P423" s="8">
        <v>1004701</v>
      </c>
    </row>
    <row r="424" spans="1:20">
      <c r="A424" s="14" t="s">
        <v>14</v>
      </c>
      <c r="B424" s="8">
        <f t="shared" si="9"/>
        <v>70042514</v>
      </c>
      <c r="C424" s="2" t="s">
        <v>453</v>
      </c>
      <c r="E424" s="2" t="str">
        <f>F424&amp;(VLOOKUP(G424,编号表!$E$1:$G$8,2,0))&amp;H424&amp;"_"&amp;I424&amp;"_"&amp;J424</f>
        <v>4N2_5_14</v>
      </c>
      <c r="F424" s="2">
        <v>4</v>
      </c>
      <c r="G424" s="2" t="s">
        <v>37</v>
      </c>
      <c r="H424" s="2">
        <v>2</v>
      </c>
      <c r="I424" s="2">
        <v>5</v>
      </c>
      <c r="J424" s="2">
        <f>COUNTIFS($F$13:F424,F424,$I$13:I424,I424)</f>
        <v>14</v>
      </c>
      <c r="O424" s="8">
        <v>1004601</v>
      </c>
      <c r="P424" s="8">
        <v>1004701</v>
      </c>
    </row>
    <row r="425" spans="1:20">
      <c r="A425" s="14" t="s">
        <v>14</v>
      </c>
      <c r="B425" s="8">
        <f t="shared" si="9"/>
        <v>70042515</v>
      </c>
      <c r="C425" s="2" t="s">
        <v>454</v>
      </c>
      <c r="E425" s="2" t="str">
        <f>F425&amp;(VLOOKUP(G425,编号表!$E$1:$G$8,2,0))&amp;H425&amp;"_"&amp;I425&amp;"_"&amp;J425</f>
        <v>4N2_5_15</v>
      </c>
      <c r="F425" s="2">
        <v>4</v>
      </c>
      <c r="G425" s="2" t="s">
        <v>37</v>
      </c>
      <c r="H425" s="2">
        <v>2</v>
      </c>
      <c r="I425" s="2">
        <v>5</v>
      </c>
      <c r="J425" s="2">
        <f>COUNTIFS($F$13:F425,F425,$I$13:I425,I425)</f>
        <v>15</v>
      </c>
      <c r="O425" s="8">
        <v>1004601</v>
      </c>
      <c r="P425" s="8">
        <v>1004701</v>
      </c>
    </row>
    <row r="426" spans="1:20">
      <c r="A426" s="14" t="s">
        <v>14</v>
      </c>
      <c r="B426" s="8">
        <f t="shared" si="9"/>
        <v>70043516</v>
      </c>
      <c r="C426" s="2" t="s">
        <v>455</v>
      </c>
      <c r="E426" s="2" t="str">
        <f>F426&amp;(VLOOKUP(G426,编号表!$E$1:$G$8,2,0))&amp;H426&amp;"_"&amp;I426&amp;"_"&amp;J426</f>
        <v>4N3_5_16</v>
      </c>
      <c r="F426" s="2">
        <v>4</v>
      </c>
      <c r="G426" s="2" t="s">
        <v>37</v>
      </c>
      <c r="H426" s="2">
        <v>3</v>
      </c>
      <c r="I426" s="2">
        <v>5</v>
      </c>
      <c r="J426" s="2">
        <f>COUNTIFS($F$13:F426,F426,$I$13:I426,I426)</f>
        <v>16</v>
      </c>
      <c r="O426" s="8">
        <v>1004201</v>
      </c>
      <c r="P426" s="8">
        <v>1004301</v>
      </c>
      <c r="Q426" s="8">
        <v>1004401</v>
      </c>
      <c r="R426" s="8">
        <v>1004501</v>
      </c>
      <c r="S426" s="8">
        <v>1004601</v>
      </c>
      <c r="T426" s="8">
        <v>1004701</v>
      </c>
    </row>
    <row r="427" spans="1:20">
      <c r="A427" s="14" t="s">
        <v>14</v>
      </c>
      <c r="B427" s="8">
        <f t="shared" si="9"/>
        <v>70043601</v>
      </c>
      <c r="C427" s="2" t="s">
        <v>456</v>
      </c>
      <c r="E427" s="2" t="str">
        <f>F427&amp;(VLOOKUP(G427,编号表!$E$1:$G$8,2,0))&amp;H427&amp;"_"&amp;I427&amp;"_"&amp;J427</f>
        <v>4N3_6_1</v>
      </c>
      <c r="F427" s="2">
        <v>4</v>
      </c>
      <c r="G427" s="2" t="s">
        <v>37</v>
      </c>
      <c r="H427" s="2">
        <v>3</v>
      </c>
      <c r="I427" s="2">
        <v>6</v>
      </c>
      <c r="J427" s="2">
        <f>COUNTIFS($F$13:F427,F427,$I$13:I427,I427)</f>
        <v>1</v>
      </c>
      <c r="O427" s="8">
        <v>1004201</v>
      </c>
      <c r="P427" s="8">
        <v>1004301</v>
      </c>
      <c r="Q427" s="8">
        <v>1004401</v>
      </c>
      <c r="R427" s="8">
        <v>1004501</v>
      </c>
      <c r="S427" s="8">
        <v>1004601</v>
      </c>
      <c r="T427" s="8">
        <v>1004701</v>
      </c>
    </row>
    <row r="428" spans="1:20">
      <c r="A428" s="14" t="s">
        <v>14</v>
      </c>
      <c r="B428" s="8">
        <f t="shared" si="9"/>
        <v>70043602</v>
      </c>
      <c r="C428" s="2" t="s">
        <v>457</v>
      </c>
      <c r="E428" s="2" t="str">
        <f>F428&amp;(VLOOKUP(G428,编号表!$E$1:$G$8,2,0))&amp;H428&amp;"_"&amp;I428&amp;"_"&amp;J428</f>
        <v>4N3_6_2</v>
      </c>
      <c r="F428" s="2">
        <v>4</v>
      </c>
      <c r="G428" s="2" t="s">
        <v>37</v>
      </c>
      <c r="H428" s="2">
        <v>3</v>
      </c>
      <c r="I428" s="2">
        <v>6</v>
      </c>
      <c r="J428" s="2">
        <f>COUNTIFS($F$13:F428,F428,$I$13:I428,I428)</f>
        <v>2</v>
      </c>
      <c r="O428" s="8">
        <v>1004201</v>
      </c>
      <c r="P428" s="8">
        <v>1004301</v>
      </c>
      <c r="Q428" s="8">
        <v>1004401</v>
      </c>
      <c r="R428" s="8">
        <v>1004501</v>
      </c>
      <c r="S428" s="8">
        <v>1004601</v>
      </c>
    </row>
    <row r="429" spans="1:20">
      <c r="A429" s="14" t="s">
        <v>14</v>
      </c>
      <c r="B429" s="8">
        <f t="shared" si="9"/>
        <v>70043603</v>
      </c>
      <c r="C429" s="2" t="s">
        <v>458</v>
      </c>
      <c r="E429" s="2" t="str">
        <f>F429&amp;(VLOOKUP(G429,编号表!$E$1:$G$8,2,0))&amp;H429&amp;"_"&amp;I429&amp;"_"&amp;J429</f>
        <v>4N3_6_3</v>
      </c>
      <c r="F429" s="2">
        <v>4</v>
      </c>
      <c r="G429" s="2" t="s">
        <v>37</v>
      </c>
      <c r="H429" s="2">
        <v>3</v>
      </c>
      <c r="I429" s="2">
        <v>6</v>
      </c>
      <c r="J429" s="2">
        <f>COUNTIFS($F$13:F429,F429,$I$13:I429,I429)</f>
        <v>3</v>
      </c>
      <c r="O429" s="8">
        <v>1004201</v>
      </c>
      <c r="P429" s="8">
        <v>1004301</v>
      </c>
      <c r="Q429" s="8">
        <v>1004501</v>
      </c>
      <c r="R429" s="8">
        <v>1004601</v>
      </c>
    </row>
    <row r="430" spans="1:20">
      <c r="A430" s="14" t="s">
        <v>14</v>
      </c>
      <c r="B430" s="8">
        <f t="shared" si="9"/>
        <v>70043604</v>
      </c>
      <c r="C430" s="2" t="s">
        <v>459</v>
      </c>
      <c r="E430" s="2" t="str">
        <f>F430&amp;(VLOOKUP(G430,编号表!$E$1:$G$8,2,0))&amp;H430&amp;"_"&amp;I430&amp;"_"&amp;J430</f>
        <v>4N3_6_4</v>
      </c>
      <c r="F430" s="2">
        <v>4</v>
      </c>
      <c r="G430" s="2" t="s">
        <v>37</v>
      </c>
      <c r="H430" s="2">
        <v>3</v>
      </c>
      <c r="I430" s="2">
        <v>6</v>
      </c>
      <c r="J430" s="2">
        <f>COUNTIFS($F$13:F430,F430,$I$13:I430,I430)</f>
        <v>4</v>
      </c>
      <c r="O430" s="8">
        <v>1004201</v>
      </c>
      <c r="P430" s="8">
        <v>1004301</v>
      </c>
      <c r="Q430" s="8">
        <v>1004501</v>
      </c>
      <c r="R430" s="8">
        <v>1004601</v>
      </c>
    </row>
    <row r="431" spans="1:20">
      <c r="A431" s="14" t="s">
        <v>14</v>
      </c>
      <c r="B431" s="8">
        <f t="shared" si="9"/>
        <v>70043605</v>
      </c>
      <c r="C431" s="2" t="s">
        <v>460</v>
      </c>
      <c r="E431" s="2" t="str">
        <f>F431&amp;(VLOOKUP(G431,编号表!$E$1:$G$8,2,0))&amp;H431&amp;"_"&amp;I431&amp;"_"&amp;J431</f>
        <v>4N3_6_5</v>
      </c>
      <c r="F431" s="2">
        <v>4</v>
      </c>
      <c r="G431" s="2" t="s">
        <v>37</v>
      </c>
      <c r="H431" s="2">
        <v>3</v>
      </c>
      <c r="I431" s="2">
        <v>6</v>
      </c>
      <c r="J431" s="2">
        <f>COUNTIFS($F$13:F431,F431,$I$13:I431,I431)</f>
        <v>5</v>
      </c>
      <c r="O431" s="8">
        <v>1004201</v>
      </c>
      <c r="P431" s="8">
        <v>1004301</v>
      </c>
      <c r="Q431" s="8">
        <v>1004501</v>
      </c>
      <c r="R431" s="8">
        <v>1004601</v>
      </c>
    </row>
    <row r="432" spans="1:20">
      <c r="A432" s="14" t="s">
        <v>14</v>
      </c>
      <c r="B432" s="8">
        <f t="shared" si="9"/>
        <v>70043606</v>
      </c>
      <c r="C432" s="2" t="s">
        <v>461</v>
      </c>
      <c r="E432" s="2" t="str">
        <f>F432&amp;(VLOOKUP(G432,编号表!$E$1:$G$8,2,0))&amp;H432&amp;"_"&amp;I432&amp;"_"&amp;J432</f>
        <v>4N3_6_6</v>
      </c>
      <c r="F432" s="2">
        <v>4</v>
      </c>
      <c r="G432" s="2" t="s">
        <v>37</v>
      </c>
      <c r="H432" s="2">
        <v>3</v>
      </c>
      <c r="I432" s="2">
        <v>6</v>
      </c>
      <c r="J432" s="2">
        <f>COUNTIFS($F$13:F432,F432,$I$13:I432,I432)</f>
        <v>6</v>
      </c>
      <c r="O432" s="8">
        <v>1004201</v>
      </c>
      <c r="P432" s="8">
        <v>1004301</v>
      </c>
      <c r="Q432" s="8">
        <v>1004501</v>
      </c>
      <c r="R432" s="8">
        <v>1004601</v>
      </c>
    </row>
    <row r="433" spans="1:20">
      <c r="A433" s="14" t="s">
        <v>14</v>
      </c>
      <c r="B433" s="8">
        <f t="shared" si="9"/>
        <v>70043607</v>
      </c>
      <c r="C433" s="2" t="s">
        <v>462</v>
      </c>
      <c r="E433" s="2" t="str">
        <f>F433&amp;(VLOOKUP(G433,编号表!$E$1:$G$8,2,0))&amp;H433&amp;"_"&amp;I433&amp;"_"&amp;J433</f>
        <v>4N3_6_7</v>
      </c>
      <c r="F433" s="2">
        <v>4</v>
      </c>
      <c r="G433" s="2" t="s">
        <v>37</v>
      </c>
      <c r="H433" s="2">
        <v>3</v>
      </c>
      <c r="I433" s="2">
        <v>6</v>
      </c>
      <c r="J433" s="2">
        <f>COUNTIFS($F$13:F433,F433,$I$13:I433,I433)</f>
        <v>7</v>
      </c>
      <c r="O433" s="8">
        <v>1004201</v>
      </c>
      <c r="P433" s="8">
        <v>1004301</v>
      </c>
      <c r="Q433" s="8">
        <v>1004501</v>
      </c>
      <c r="R433" s="8">
        <v>1004601</v>
      </c>
    </row>
    <row r="434" spans="1:20">
      <c r="A434" s="14" t="s">
        <v>14</v>
      </c>
      <c r="B434" s="8">
        <f t="shared" si="9"/>
        <v>70043608</v>
      </c>
      <c r="C434" s="2" t="s">
        <v>463</v>
      </c>
      <c r="E434" s="2" t="str">
        <f>F434&amp;(VLOOKUP(G434,编号表!$E$1:$G$8,2,0))&amp;H434&amp;"_"&amp;I434&amp;"_"&amp;J434</f>
        <v>4N3_6_8</v>
      </c>
      <c r="F434" s="2">
        <v>4</v>
      </c>
      <c r="G434" s="2" t="s">
        <v>37</v>
      </c>
      <c r="H434" s="2">
        <v>3</v>
      </c>
      <c r="I434" s="2">
        <v>6</v>
      </c>
      <c r="J434" s="2">
        <f>COUNTIFS($F$13:F434,F434,$I$13:I434,I434)</f>
        <v>8</v>
      </c>
      <c r="O434" s="8">
        <v>1004201</v>
      </c>
      <c r="P434" s="8">
        <v>1004301</v>
      </c>
      <c r="Q434" s="8">
        <v>1004501</v>
      </c>
      <c r="R434" s="8">
        <v>1004601</v>
      </c>
    </row>
    <row r="435" spans="1:20">
      <c r="A435" s="14" t="s">
        <v>14</v>
      </c>
      <c r="B435" s="8">
        <f t="shared" si="9"/>
        <v>70044609</v>
      </c>
      <c r="C435" s="2" t="s">
        <v>464</v>
      </c>
      <c r="E435" s="2" t="str">
        <f>F435&amp;(VLOOKUP(G435,编号表!$E$1:$G$8,2,0))&amp;H435&amp;"_"&amp;I435&amp;"_"&amp;J435</f>
        <v>4N4_6_9</v>
      </c>
      <c r="F435" s="2">
        <v>4</v>
      </c>
      <c r="G435" s="2" t="s">
        <v>37</v>
      </c>
      <c r="H435" s="2">
        <v>4</v>
      </c>
      <c r="I435" s="2">
        <v>6</v>
      </c>
      <c r="J435" s="2">
        <f>COUNTIFS($F$13:F435,F435,$I$13:I435,I435)</f>
        <v>9</v>
      </c>
      <c r="O435" s="8">
        <v>1004201</v>
      </c>
      <c r="P435" s="8">
        <v>1004301</v>
      </c>
      <c r="Q435" s="8">
        <v>1004501</v>
      </c>
      <c r="R435" s="8">
        <v>1004601</v>
      </c>
    </row>
    <row r="436" spans="1:20">
      <c r="A436" s="14" t="s">
        <v>14</v>
      </c>
      <c r="B436" s="8">
        <f t="shared" si="9"/>
        <v>70043610</v>
      </c>
      <c r="C436" s="2" t="s">
        <v>465</v>
      </c>
      <c r="E436" s="2" t="str">
        <f>F436&amp;(VLOOKUP(G436,编号表!$E$1:$G$8,2,0))&amp;H436&amp;"_"&amp;I436&amp;"_"&amp;J436</f>
        <v>4N3_6_10</v>
      </c>
      <c r="F436" s="2">
        <v>4</v>
      </c>
      <c r="G436" s="2" t="s">
        <v>37</v>
      </c>
      <c r="H436" s="2">
        <v>3</v>
      </c>
      <c r="I436" s="2">
        <v>6</v>
      </c>
      <c r="J436" s="2">
        <f>COUNTIFS($F$13:F436,F436,$I$13:I436,I436)</f>
        <v>10</v>
      </c>
      <c r="O436" s="8">
        <v>1004201</v>
      </c>
      <c r="P436" s="8">
        <v>1004301</v>
      </c>
      <c r="Q436" s="8">
        <v>1004501</v>
      </c>
      <c r="R436" s="8">
        <v>1004601</v>
      </c>
      <c r="S436" s="8">
        <v>1004701</v>
      </c>
    </row>
    <row r="437" spans="1:20">
      <c r="A437" s="14" t="s">
        <v>14</v>
      </c>
      <c r="B437" s="8">
        <f t="shared" si="9"/>
        <v>70043611</v>
      </c>
      <c r="C437" s="2" t="s">
        <v>466</v>
      </c>
      <c r="E437" s="2" t="str">
        <f>F437&amp;(VLOOKUP(G437,编号表!$E$1:$G$8,2,0))&amp;H437&amp;"_"&amp;I437&amp;"_"&amp;J437</f>
        <v>4N3_6_11</v>
      </c>
      <c r="F437" s="2">
        <v>4</v>
      </c>
      <c r="G437" s="2" t="s">
        <v>37</v>
      </c>
      <c r="H437" s="2">
        <v>3</v>
      </c>
      <c r="I437" s="2">
        <v>6</v>
      </c>
      <c r="J437" s="2">
        <f>COUNTIFS($F$13:F437,F437,$I$13:I437,I437)</f>
        <v>11</v>
      </c>
      <c r="O437" s="8">
        <v>1004201</v>
      </c>
      <c r="P437" s="8">
        <v>1004301</v>
      </c>
      <c r="Q437" s="8">
        <v>1004401</v>
      </c>
      <c r="R437" s="8">
        <v>1004501</v>
      </c>
      <c r="S437" s="8">
        <v>1004601</v>
      </c>
      <c r="T437" s="8">
        <v>1004701</v>
      </c>
    </row>
    <row r="438" spans="1:20">
      <c r="A438" s="14" t="s">
        <v>14</v>
      </c>
      <c r="B438" s="8">
        <f t="shared" si="9"/>
        <v>70043612</v>
      </c>
      <c r="C438" s="2" t="s">
        <v>467</v>
      </c>
      <c r="E438" s="2" t="str">
        <f>F438&amp;(VLOOKUP(G438,编号表!$E$1:$G$8,2,0))&amp;H438&amp;"_"&amp;I438&amp;"_"&amp;J438</f>
        <v>4N3_6_12</v>
      </c>
      <c r="F438" s="2">
        <v>4</v>
      </c>
      <c r="G438" s="2" t="s">
        <v>37</v>
      </c>
      <c r="H438" s="2">
        <v>3</v>
      </c>
      <c r="I438" s="2">
        <v>6</v>
      </c>
      <c r="J438" s="2">
        <f>COUNTIFS($F$13:F438,F438,$I$13:I438,I438)</f>
        <v>12</v>
      </c>
      <c r="O438" s="8">
        <v>1004201</v>
      </c>
      <c r="P438" s="8">
        <v>1004301</v>
      </c>
      <c r="Q438" s="8">
        <v>1004401</v>
      </c>
      <c r="R438" s="8">
        <v>1004501</v>
      </c>
      <c r="S438" s="8">
        <v>1004601</v>
      </c>
      <c r="T438" s="8">
        <v>1004701</v>
      </c>
    </row>
    <row r="439" spans="1:20">
      <c r="A439" s="14" t="s">
        <v>14</v>
      </c>
      <c r="B439" s="8">
        <f t="shared" si="9"/>
        <v>70040001</v>
      </c>
      <c r="C439" s="18" t="s">
        <v>468</v>
      </c>
      <c r="E439" s="2" t="str">
        <f>F439&amp;(VLOOKUP(G439,编号表!$E$1:$G$8,2,0))&amp;H439&amp;"_"&amp;I439&amp;"_"&amp;J439</f>
        <v>4J0_0_1</v>
      </c>
      <c r="F439" s="2">
        <v>4</v>
      </c>
      <c r="G439" s="2" t="s">
        <v>86</v>
      </c>
      <c r="H439" s="2">
        <v>0</v>
      </c>
      <c r="I439" s="2">
        <v>0</v>
      </c>
      <c r="J439" s="2">
        <f>COUNTIFS($F$13:F439,F439,$I$13:I439,I439)</f>
        <v>1</v>
      </c>
      <c r="K439" s="2">
        <v>1</v>
      </c>
    </row>
    <row r="440" spans="1:20">
      <c r="A440" s="14" t="s">
        <v>14</v>
      </c>
      <c r="B440" s="8">
        <f t="shared" si="9"/>
        <v>70055101</v>
      </c>
      <c r="C440" s="2" t="s">
        <v>469</v>
      </c>
      <c r="E440" s="2" t="str">
        <f>F440&amp;(VLOOKUP(G440,编号表!$E$1:$G$8,2,0))&amp;H440&amp;"_"&amp;I440&amp;"_"&amp;J440</f>
        <v>5N5_1_1</v>
      </c>
      <c r="F440" s="2">
        <v>5</v>
      </c>
      <c r="G440" s="2" t="s">
        <v>37</v>
      </c>
      <c r="H440" s="2">
        <v>5</v>
      </c>
      <c r="I440" s="2">
        <v>1</v>
      </c>
      <c r="J440" s="2">
        <f>COUNTIFS($F$13:F440,F440,$I$13:I440,I440)</f>
        <v>1</v>
      </c>
      <c r="O440" s="8">
        <v>1005201</v>
      </c>
      <c r="P440" s="8">
        <v>1005301</v>
      </c>
      <c r="Q440" s="8">
        <v>1005401</v>
      </c>
      <c r="R440" s="8">
        <v>1005001</v>
      </c>
    </row>
    <row r="441" spans="1:20">
      <c r="A441" s="14" t="s">
        <v>14</v>
      </c>
      <c r="B441" s="8">
        <f t="shared" si="9"/>
        <v>70055102</v>
      </c>
      <c r="C441" s="2" t="s">
        <v>470</v>
      </c>
      <c r="E441" s="2" t="str">
        <f>F441&amp;(VLOOKUP(G441,编号表!$E$1:$G$8,2,0))&amp;H441&amp;"_"&amp;I441&amp;"_"&amp;J441</f>
        <v>5N5_1_2</v>
      </c>
      <c r="F441" s="2">
        <v>5</v>
      </c>
      <c r="G441" s="2" t="s">
        <v>37</v>
      </c>
      <c r="H441" s="2">
        <v>5</v>
      </c>
      <c r="I441" s="2">
        <v>1</v>
      </c>
      <c r="J441" s="2">
        <f>COUNTIFS($F$13:F441,F441,$I$13:I441,I441)</f>
        <v>2</v>
      </c>
      <c r="O441" s="8">
        <v>1005201</v>
      </c>
      <c r="P441" s="8">
        <v>1005301</v>
      </c>
      <c r="Q441" s="8">
        <v>1005401</v>
      </c>
      <c r="R441" s="8">
        <v>1005002</v>
      </c>
    </row>
    <row r="442" spans="1:20">
      <c r="A442" s="14" t="s">
        <v>14</v>
      </c>
      <c r="B442" s="8">
        <f t="shared" si="9"/>
        <v>70053103</v>
      </c>
      <c r="C442" s="2" t="s">
        <v>471</v>
      </c>
      <c r="E442" s="2" t="str">
        <f>F442&amp;(VLOOKUP(G442,编号表!$E$1:$G$8,2,0))&amp;H442&amp;"_"&amp;I442&amp;"_"&amp;J442</f>
        <v>5N3_1_3</v>
      </c>
      <c r="F442" s="2">
        <v>5</v>
      </c>
      <c r="G442" s="2" t="s">
        <v>37</v>
      </c>
      <c r="H442" s="2">
        <v>3</v>
      </c>
      <c r="I442" s="2">
        <v>1</v>
      </c>
      <c r="J442" s="2">
        <f>COUNTIFS($F$13:F442,F442,$I$13:I442,I442)</f>
        <v>3</v>
      </c>
      <c r="O442" s="8">
        <v>1005201</v>
      </c>
      <c r="P442" s="8">
        <v>1005301</v>
      </c>
      <c r="Q442" s="8">
        <v>1005401</v>
      </c>
      <c r="R442" s="8">
        <v>1005101</v>
      </c>
    </row>
    <row r="443" spans="1:20">
      <c r="A443" s="14" t="s">
        <v>14</v>
      </c>
      <c r="B443" s="8">
        <f t="shared" si="9"/>
        <v>70051201</v>
      </c>
      <c r="C443" s="2" t="s">
        <v>472</v>
      </c>
      <c r="E443" s="2" t="str">
        <f>F443&amp;(VLOOKUP(G443,编号表!$E$1:$G$8,2,0))&amp;H443&amp;"_"&amp;I443&amp;"_"&amp;J443</f>
        <v>5N1_2_1</v>
      </c>
      <c r="F443" s="2">
        <v>5</v>
      </c>
      <c r="G443" s="2" t="s">
        <v>37</v>
      </c>
      <c r="H443" s="2">
        <v>1</v>
      </c>
      <c r="I443" s="2">
        <v>2</v>
      </c>
      <c r="J443" s="2">
        <f>COUNTIFS($F$13:F443,F443,$I$13:I443,I443)</f>
        <v>1</v>
      </c>
      <c r="O443" s="8">
        <v>1005201</v>
      </c>
    </row>
    <row r="444" spans="1:20">
      <c r="A444" s="14" t="s">
        <v>14</v>
      </c>
      <c r="B444" s="8">
        <f t="shared" si="9"/>
        <v>70051202</v>
      </c>
      <c r="C444" s="2" t="s">
        <v>473</v>
      </c>
      <c r="E444" s="2" t="str">
        <f>F444&amp;(VLOOKUP(G444,编号表!$E$1:$G$8,2,0))&amp;H444&amp;"_"&amp;I444&amp;"_"&amp;J444</f>
        <v>5N1_2_2</v>
      </c>
      <c r="F444" s="2">
        <v>5</v>
      </c>
      <c r="G444" s="2" t="s">
        <v>37</v>
      </c>
      <c r="H444" s="2">
        <v>1</v>
      </c>
      <c r="I444" s="2">
        <v>2</v>
      </c>
      <c r="J444" s="2">
        <f>COUNTIFS($F$13:F444,F444,$I$13:I444,I444)</f>
        <v>2</v>
      </c>
      <c r="O444" s="8">
        <v>1005201</v>
      </c>
    </row>
    <row r="445" spans="1:20">
      <c r="A445" s="14" t="s">
        <v>14</v>
      </c>
      <c r="B445" s="8">
        <f t="shared" si="9"/>
        <v>70052203</v>
      </c>
      <c r="C445" s="2" t="s">
        <v>474</v>
      </c>
      <c r="E445" s="2" t="str">
        <f>F445&amp;(VLOOKUP(G445,编号表!$E$1:$G$8,2,0))&amp;H445&amp;"_"&amp;I445&amp;"_"&amp;J445</f>
        <v>5N2_2_3</v>
      </c>
      <c r="F445" s="2">
        <v>5</v>
      </c>
      <c r="G445" s="2" t="s">
        <v>37</v>
      </c>
      <c r="H445" s="2">
        <v>2</v>
      </c>
      <c r="I445" s="2">
        <v>2</v>
      </c>
      <c r="J445" s="2">
        <f>COUNTIFS($F$13:F445,F445,$I$13:I445,I445)</f>
        <v>3</v>
      </c>
      <c r="O445" s="8">
        <v>1005201</v>
      </c>
      <c r="P445" s="8">
        <v>1005301</v>
      </c>
      <c r="Q445" s="8">
        <v>1005401</v>
      </c>
    </row>
    <row r="446" spans="1:20">
      <c r="A446" s="14" t="s">
        <v>14</v>
      </c>
      <c r="B446" s="8">
        <f t="shared" si="9"/>
        <v>70051204</v>
      </c>
      <c r="C446" s="2" t="s">
        <v>475</v>
      </c>
      <c r="E446" s="2" t="str">
        <f>F446&amp;(VLOOKUP(G446,编号表!$E$1:$G$8,2,0))&amp;H446&amp;"_"&amp;I446&amp;"_"&amp;J446</f>
        <v>5N1_2_4</v>
      </c>
      <c r="F446" s="2">
        <v>5</v>
      </c>
      <c r="G446" s="2" t="s">
        <v>37</v>
      </c>
      <c r="H446" s="2">
        <v>1</v>
      </c>
      <c r="I446" s="2">
        <v>2</v>
      </c>
      <c r="J446" s="2">
        <f>COUNTIFS($F$13:F446,F446,$I$13:I446,I446)</f>
        <v>4</v>
      </c>
      <c r="O446" s="8">
        <v>1005401</v>
      </c>
    </row>
    <row r="447" spans="1:20">
      <c r="A447" s="14" t="s">
        <v>14</v>
      </c>
      <c r="B447" s="8">
        <f t="shared" si="9"/>
        <v>70052205</v>
      </c>
      <c r="C447" s="2" t="s">
        <v>476</v>
      </c>
      <c r="E447" s="2" t="str">
        <f>F447&amp;(VLOOKUP(G447,编号表!$E$1:$G$8,2,0))&amp;H447&amp;"_"&amp;I447&amp;"_"&amp;J447</f>
        <v>5N2_2_5</v>
      </c>
      <c r="F447" s="2">
        <v>5</v>
      </c>
      <c r="G447" s="2" t="s">
        <v>37</v>
      </c>
      <c r="H447" s="2">
        <v>2</v>
      </c>
      <c r="I447" s="2">
        <v>2</v>
      </c>
      <c r="J447" s="2">
        <f>COUNTIFS($F$13:F447,F447,$I$13:I447,I447)</f>
        <v>5</v>
      </c>
      <c r="O447" s="8">
        <v>1005201</v>
      </c>
      <c r="P447" s="8">
        <v>1005301</v>
      </c>
      <c r="Q447" s="8">
        <v>1005401</v>
      </c>
    </row>
    <row r="448" spans="1:20">
      <c r="A448" s="14" t="s">
        <v>14</v>
      </c>
      <c r="B448" s="8">
        <f t="shared" si="9"/>
        <v>70052206</v>
      </c>
      <c r="C448" s="2" t="s">
        <v>477</v>
      </c>
      <c r="E448" s="2" t="str">
        <f>F448&amp;(VLOOKUP(G448,编号表!$E$1:$G$8,2,0))&amp;H448&amp;"_"&amp;I448&amp;"_"&amp;J448</f>
        <v>5N2_2_6</v>
      </c>
      <c r="F448" s="2">
        <v>5</v>
      </c>
      <c r="G448" s="2" t="s">
        <v>37</v>
      </c>
      <c r="H448" s="2">
        <v>2</v>
      </c>
      <c r="I448" s="2">
        <v>2</v>
      </c>
      <c r="J448" s="2">
        <f>COUNTIFS($F$13:F448,F448,$I$13:I448,I448)</f>
        <v>6</v>
      </c>
      <c r="O448" s="8">
        <v>1005201</v>
      </c>
      <c r="P448" s="8">
        <v>1005301</v>
      </c>
      <c r="Q448" s="8">
        <v>1005401</v>
      </c>
    </row>
    <row r="449" spans="1:17">
      <c r="A449" s="14" t="s">
        <v>14</v>
      </c>
      <c r="B449" s="8">
        <f t="shared" si="9"/>
        <v>70051301</v>
      </c>
      <c r="C449" s="2" t="s">
        <v>478</v>
      </c>
      <c r="E449" s="2" t="str">
        <f>F449&amp;(VLOOKUP(G449,编号表!$E$1:$G$8,2,0))&amp;H449&amp;"_"&amp;I449&amp;"_"&amp;J449</f>
        <v>5N1_3_1</v>
      </c>
      <c r="F449" s="2">
        <v>5</v>
      </c>
      <c r="G449" s="2" t="s">
        <v>37</v>
      </c>
      <c r="H449" s="2">
        <v>1</v>
      </c>
      <c r="I449" s="2">
        <v>3</v>
      </c>
      <c r="J449" s="2">
        <f>COUNTIFS($F$13:F449,F449,$I$13:I449,I449)</f>
        <v>1</v>
      </c>
      <c r="O449" s="8">
        <v>1005401</v>
      </c>
    </row>
    <row r="450" spans="1:17">
      <c r="A450" s="14" t="s">
        <v>14</v>
      </c>
      <c r="B450" s="8">
        <f t="shared" si="9"/>
        <v>70051302</v>
      </c>
      <c r="C450" s="2" t="s">
        <v>479</v>
      </c>
      <c r="E450" s="2" t="str">
        <f>F450&amp;(VLOOKUP(G450,编号表!$E$1:$G$8,2,0))&amp;H450&amp;"_"&amp;I450&amp;"_"&amp;J450</f>
        <v>5N1_3_2</v>
      </c>
      <c r="F450" s="2">
        <v>5</v>
      </c>
      <c r="G450" s="2" t="s">
        <v>37</v>
      </c>
      <c r="H450" s="2">
        <v>1</v>
      </c>
      <c r="I450" s="2">
        <v>3</v>
      </c>
      <c r="J450" s="2">
        <f>COUNTIFS($F$13:F450,F450,$I$13:I450,I450)</f>
        <v>2</v>
      </c>
      <c r="O450" s="8">
        <v>1005201</v>
      </c>
    </row>
    <row r="451" spans="1:17">
      <c r="A451" s="14" t="s">
        <v>14</v>
      </c>
      <c r="B451" s="8">
        <f t="shared" si="9"/>
        <v>70052303</v>
      </c>
      <c r="C451" s="2" t="s">
        <v>480</v>
      </c>
      <c r="E451" s="2" t="str">
        <f>F451&amp;(VLOOKUP(G451,编号表!$E$1:$G$8,2,0))&amp;H451&amp;"_"&amp;I451&amp;"_"&amp;J451</f>
        <v>5N2_3_3</v>
      </c>
      <c r="F451" s="2">
        <v>5</v>
      </c>
      <c r="G451" s="2" t="s">
        <v>37</v>
      </c>
      <c r="H451" s="2">
        <v>2</v>
      </c>
      <c r="I451" s="2">
        <v>3</v>
      </c>
      <c r="J451" s="2">
        <f>COUNTIFS($F$13:F451,F451,$I$13:I451,I451)</f>
        <v>3</v>
      </c>
      <c r="O451" s="8">
        <v>1005201</v>
      </c>
      <c r="P451" s="8">
        <v>1005301</v>
      </c>
      <c r="Q451" s="8">
        <v>1005401</v>
      </c>
    </row>
    <row r="452" spans="1:17">
      <c r="A452" s="14" t="s">
        <v>14</v>
      </c>
      <c r="B452" s="8">
        <f t="shared" si="9"/>
        <v>70052304</v>
      </c>
      <c r="C452" s="2" t="s">
        <v>481</v>
      </c>
      <c r="E452" s="2" t="str">
        <f>F452&amp;(VLOOKUP(G452,编号表!$E$1:$G$8,2,0))&amp;H452&amp;"_"&amp;I452&amp;"_"&amp;J452</f>
        <v>5N2_3_4</v>
      </c>
      <c r="F452" s="2">
        <v>5</v>
      </c>
      <c r="G452" s="2" t="s">
        <v>37</v>
      </c>
      <c r="H452" s="2">
        <v>2</v>
      </c>
      <c r="I452" s="2">
        <v>3</v>
      </c>
      <c r="J452" s="2">
        <f>COUNTIFS($F$13:F452,F452,$I$13:I452,I452)</f>
        <v>4</v>
      </c>
      <c r="O452" s="8">
        <v>1005201</v>
      </c>
      <c r="P452" s="8">
        <v>1005301</v>
      </c>
      <c r="Q452" s="8">
        <v>1005401</v>
      </c>
    </row>
    <row r="453" spans="1:17">
      <c r="A453" s="14" t="s">
        <v>14</v>
      </c>
      <c r="B453" s="8">
        <f t="shared" si="9"/>
        <v>70052305</v>
      </c>
      <c r="C453" s="2" t="s">
        <v>482</v>
      </c>
      <c r="E453" s="2" t="str">
        <f>F453&amp;(VLOOKUP(G453,编号表!$E$1:$G$8,2,0))&amp;H453&amp;"_"&amp;I453&amp;"_"&amp;J453</f>
        <v>5N2_3_5</v>
      </c>
      <c r="F453" s="2">
        <v>5</v>
      </c>
      <c r="G453" s="2" t="s">
        <v>37</v>
      </c>
      <c r="H453" s="2">
        <v>2</v>
      </c>
      <c r="I453" s="2">
        <v>3</v>
      </c>
      <c r="J453" s="2">
        <f>COUNTIFS($F$13:F453,F453,$I$13:I453,I453)</f>
        <v>5</v>
      </c>
      <c r="O453" s="8">
        <v>1005201</v>
      </c>
      <c r="P453" s="8">
        <v>1005301</v>
      </c>
      <c r="Q453" s="8">
        <v>1005401</v>
      </c>
    </row>
    <row r="454" spans="1:17">
      <c r="A454" s="14" t="s">
        <v>14</v>
      </c>
      <c r="B454" s="8">
        <f t="shared" ref="B454:B517" si="10">70000000+F454*10000+H454*1000+I454*100+J454</f>
        <v>70051306</v>
      </c>
      <c r="C454" s="2" t="s">
        <v>483</v>
      </c>
      <c r="E454" s="2" t="str">
        <f>F454&amp;(VLOOKUP(G454,编号表!$E$1:$G$8,2,0))&amp;H454&amp;"_"&amp;I454&amp;"_"&amp;J454</f>
        <v>5N1_3_6</v>
      </c>
      <c r="F454" s="2">
        <v>5</v>
      </c>
      <c r="G454" s="2" t="s">
        <v>37</v>
      </c>
      <c r="H454" s="2">
        <v>1</v>
      </c>
      <c r="I454" s="2">
        <v>3</v>
      </c>
      <c r="J454" s="2">
        <f>COUNTIFS($F$13:F454,F454,$I$13:I454,I454)</f>
        <v>6</v>
      </c>
      <c r="O454" s="8">
        <v>1005301</v>
      </c>
    </row>
    <row r="455" spans="1:17">
      <c r="A455" s="14" t="s">
        <v>14</v>
      </c>
      <c r="B455" s="8">
        <f t="shared" si="10"/>
        <v>70052401</v>
      </c>
      <c r="C455" s="2" t="s">
        <v>484</v>
      </c>
      <c r="E455" s="2" t="str">
        <f>F455&amp;(VLOOKUP(G455,编号表!$E$1:$G$8,2,0))&amp;H455&amp;"_"&amp;I455&amp;"_"&amp;J455</f>
        <v>5N2_4_1</v>
      </c>
      <c r="F455" s="2">
        <v>5</v>
      </c>
      <c r="G455" s="2" t="s">
        <v>37</v>
      </c>
      <c r="H455" s="2">
        <v>2</v>
      </c>
      <c r="I455" s="2">
        <v>4</v>
      </c>
      <c r="J455" s="2">
        <f>COUNTIFS($F$13:F455,F455,$I$13:I455,I455)</f>
        <v>1</v>
      </c>
      <c r="O455" s="8">
        <v>1005201</v>
      </c>
      <c r="P455" s="8">
        <v>1005301</v>
      </c>
      <c r="Q455" s="8">
        <v>1005401</v>
      </c>
    </row>
    <row r="456" spans="1:17">
      <c r="A456" s="14" t="s">
        <v>14</v>
      </c>
      <c r="B456" s="8">
        <f t="shared" si="10"/>
        <v>70051402</v>
      </c>
      <c r="C456" s="2" t="s">
        <v>485</v>
      </c>
      <c r="E456" s="2" t="str">
        <f>F456&amp;(VLOOKUP(G456,编号表!$E$1:$G$8,2,0))&amp;H456&amp;"_"&amp;I456&amp;"_"&amp;J456</f>
        <v>5N1_4_2</v>
      </c>
      <c r="F456" s="2">
        <v>5</v>
      </c>
      <c r="G456" s="2" t="s">
        <v>37</v>
      </c>
      <c r="H456" s="2">
        <v>1</v>
      </c>
      <c r="I456" s="2">
        <v>4</v>
      </c>
      <c r="J456" s="2">
        <f>COUNTIFS($F$13:F456,F456,$I$13:I456,I456)</f>
        <v>2</v>
      </c>
      <c r="O456" s="8">
        <v>1005301</v>
      </c>
    </row>
    <row r="457" spans="1:17">
      <c r="A457" s="14" t="s">
        <v>14</v>
      </c>
      <c r="B457" s="8">
        <f t="shared" si="10"/>
        <v>70051403</v>
      </c>
      <c r="C457" s="2" t="s">
        <v>486</v>
      </c>
      <c r="E457" s="2" t="str">
        <f>F457&amp;(VLOOKUP(G457,编号表!$E$1:$G$8,2,0))&amp;H457&amp;"_"&amp;I457&amp;"_"&amp;J457</f>
        <v>5N1_4_3</v>
      </c>
      <c r="F457" s="2">
        <v>5</v>
      </c>
      <c r="G457" s="2" t="s">
        <v>37</v>
      </c>
      <c r="H457" s="2">
        <v>1</v>
      </c>
      <c r="I457" s="2">
        <v>4</v>
      </c>
      <c r="J457" s="2">
        <f>COUNTIFS($F$13:F457,F457,$I$13:I457,I457)</f>
        <v>3</v>
      </c>
      <c r="O457" s="8">
        <v>1005301</v>
      </c>
    </row>
    <row r="458" spans="1:17">
      <c r="A458" s="14" t="s">
        <v>14</v>
      </c>
      <c r="B458" s="8">
        <f t="shared" si="10"/>
        <v>70052404</v>
      </c>
      <c r="C458" s="2" t="s">
        <v>487</v>
      </c>
      <c r="E458" s="2" t="str">
        <f>F458&amp;(VLOOKUP(G458,编号表!$E$1:$G$8,2,0))&amp;H458&amp;"_"&amp;I458&amp;"_"&amp;J458</f>
        <v>5N2_4_4</v>
      </c>
      <c r="F458" s="2">
        <v>5</v>
      </c>
      <c r="G458" s="2" t="s">
        <v>37</v>
      </c>
      <c r="H458" s="2">
        <v>2</v>
      </c>
      <c r="I458" s="2">
        <v>4</v>
      </c>
      <c r="J458" s="2">
        <f>COUNTIFS($F$13:F458,F458,$I$13:I458,I458)</f>
        <v>4</v>
      </c>
      <c r="O458" s="8">
        <v>1005201</v>
      </c>
      <c r="P458" s="8">
        <v>1005301</v>
      </c>
      <c r="Q458" s="8">
        <v>1005401</v>
      </c>
    </row>
    <row r="459" spans="1:17">
      <c r="A459" s="14" t="s">
        <v>14</v>
      </c>
      <c r="B459" s="8">
        <f t="shared" si="10"/>
        <v>70052405</v>
      </c>
      <c r="C459" s="2" t="s">
        <v>488</v>
      </c>
      <c r="E459" s="2" t="str">
        <f>F459&amp;(VLOOKUP(G459,编号表!$E$1:$G$8,2,0))&amp;H459&amp;"_"&amp;I459&amp;"_"&amp;J459</f>
        <v>5N2_4_5</v>
      </c>
      <c r="F459" s="2">
        <v>5</v>
      </c>
      <c r="G459" s="2" t="s">
        <v>37</v>
      </c>
      <c r="H459" s="2">
        <v>2</v>
      </c>
      <c r="I459" s="2">
        <v>4</v>
      </c>
      <c r="J459" s="2">
        <f>COUNTIFS($F$13:F459,F459,$I$13:I459,I459)</f>
        <v>5</v>
      </c>
      <c r="O459" s="8">
        <v>1005201</v>
      </c>
      <c r="P459" s="8">
        <v>1005301</v>
      </c>
      <c r="Q459" s="8">
        <v>1005401</v>
      </c>
    </row>
    <row r="460" spans="1:17">
      <c r="A460" s="14" t="s">
        <v>14</v>
      </c>
      <c r="B460" s="8">
        <f t="shared" si="10"/>
        <v>70051406</v>
      </c>
      <c r="C460" s="2" t="s">
        <v>489</v>
      </c>
      <c r="E460" s="2" t="str">
        <f>F460&amp;(VLOOKUP(G460,编号表!$E$1:$G$8,2,0))&amp;H460&amp;"_"&amp;I460&amp;"_"&amp;J460</f>
        <v>5N1_4_6</v>
      </c>
      <c r="F460" s="2">
        <v>5</v>
      </c>
      <c r="G460" s="2" t="s">
        <v>37</v>
      </c>
      <c r="H460" s="2">
        <v>1</v>
      </c>
      <c r="I460" s="2">
        <v>4</v>
      </c>
      <c r="J460" s="2">
        <f>COUNTIFS($F$13:F460,F460,$I$13:I460,I460)</f>
        <v>6</v>
      </c>
      <c r="O460" s="8">
        <v>1005201</v>
      </c>
    </row>
    <row r="461" spans="1:17">
      <c r="A461" s="14" t="s">
        <v>14</v>
      </c>
      <c r="B461" s="8">
        <f t="shared" si="10"/>
        <v>70051501</v>
      </c>
      <c r="C461" s="2" t="s">
        <v>490</v>
      </c>
      <c r="E461" s="2" t="str">
        <f>F461&amp;(VLOOKUP(G461,编号表!$E$1:$G$8,2,0))&amp;H461&amp;"_"&amp;I461&amp;"_"&amp;J461</f>
        <v>5N1_5_1</v>
      </c>
      <c r="F461" s="2">
        <v>5</v>
      </c>
      <c r="G461" s="2" t="s">
        <v>37</v>
      </c>
      <c r="H461" s="2">
        <v>1</v>
      </c>
      <c r="I461" s="2">
        <v>5</v>
      </c>
      <c r="J461" s="2">
        <f>COUNTIFS($F$13:F461,F461,$I$13:I461,I461)</f>
        <v>1</v>
      </c>
      <c r="O461" s="8">
        <v>1005201</v>
      </c>
    </row>
    <row r="462" spans="1:17">
      <c r="A462" s="14" t="s">
        <v>14</v>
      </c>
      <c r="B462" s="8">
        <f t="shared" si="10"/>
        <v>70051502</v>
      </c>
      <c r="C462" s="2" t="s">
        <v>491</v>
      </c>
      <c r="E462" s="2" t="str">
        <f>F462&amp;(VLOOKUP(G462,编号表!$E$1:$G$8,2,0))&amp;H462&amp;"_"&amp;I462&amp;"_"&amp;J462</f>
        <v>5N1_5_2</v>
      </c>
      <c r="F462" s="2">
        <v>5</v>
      </c>
      <c r="G462" s="2" t="s">
        <v>37</v>
      </c>
      <c r="H462" s="2">
        <v>1</v>
      </c>
      <c r="I462" s="2">
        <v>5</v>
      </c>
      <c r="J462" s="2">
        <f>COUNTIFS($F$13:F462,F462,$I$13:I462,I462)</f>
        <v>2</v>
      </c>
      <c r="O462" s="8">
        <v>1005401</v>
      </c>
    </row>
    <row r="463" spans="1:17">
      <c r="A463" s="14" t="s">
        <v>14</v>
      </c>
      <c r="B463" s="8">
        <f t="shared" si="10"/>
        <v>70052503</v>
      </c>
      <c r="C463" s="2" t="s">
        <v>492</v>
      </c>
      <c r="E463" s="2" t="str">
        <f>F463&amp;(VLOOKUP(G463,编号表!$E$1:$G$8,2,0))&amp;H463&amp;"_"&amp;I463&amp;"_"&amp;J463</f>
        <v>5N2_5_3</v>
      </c>
      <c r="F463" s="2">
        <v>5</v>
      </c>
      <c r="G463" s="2" t="s">
        <v>37</v>
      </c>
      <c r="H463" s="2">
        <v>2</v>
      </c>
      <c r="I463" s="2">
        <v>5</v>
      </c>
      <c r="J463" s="2">
        <f>COUNTIFS($F$13:F463,F463,$I$13:I463,I463)</f>
        <v>3</v>
      </c>
      <c r="O463" s="8">
        <v>1005201</v>
      </c>
      <c r="P463" s="8">
        <v>1005301</v>
      </c>
      <c r="Q463" s="8">
        <v>1005401</v>
      </c>
    </row>
    <row r="464" spans="1:17">
      <c r="A464" s="14" t="s">
        <v>14</v>
      </c>
      <c r="B464" s="8">
        <f t="shared" si="10"/>
        <v>70051504</v>
      </c>
      <c r="C464" s="15" t="s">
        <v>439</v>
      </c>
      <c r="E464" s="2" t="str">
        <f>F464&amp;(VLOOKUP(G464,编号表!$E$1:$G$8,2,0))&amp;H464&amp;"_"&amp;I464&amp;"_"&amp;J464</f>
        <v>5T1_5_4</v>
      </c>
      <c r="F464" s="2">
        <v>5</v>
      </c>
      <c r="G464" s="2" t="s">
        <v>53</v>
      </c>
      <c r="H464" s="2">
        <v>1</v>
      </c>
      <c r="I464" s="2">
        <v>5</v>
      </c>
      <c r="J464" s="2">
        <f>COUNTIFS($F$13:F464,F464,$I$13:I464,I464)</f>
        <v>4</v>
      </c>
      <c r="L464" s="2">
        <v>1</v>
      </c>
    </row>
    <row r="465" spans="1:21">
      <c r="A465" s="14" t="s">
        <v>14</v>
      </c>
      <c r="B465" s="8">
        <f t="shared" si="10"/>
        <v>70052505</v>
      </c>
      <c r="C465" s="2" t="s">
        <v>493</v>
      </c>
      <c r="E465" s="2" t="str">
        <f>F465&amp;(VLOOKUP(G465,编号表!$E$1:$G$8,2,0))&amp;H465&amp;"_"&amp;I465&amp;"_"&amp;J465</f>
        <v>5N2_5_5</v>
      </c>
      <c r="F465" s="2">
        <v>5</v>
      </c>
      <c r="G465" s="2" t="s">
        <v>37</v>
      </c>
      <c r="H465" s="2">
        <v>2</v>
      </c>
      <c r="I465" s="2">
        <v>5</v>
      </c>
      <c r="J465" s="2">
        <f>COUNTIFS($F$13:F465,F465,$I$13:I465,I465)</f>
        <v>5</v>
      </c>
      <c r="O465" s="8">
        <v>1005201</v>
      </c>
      <c r="P465" s="8">
        <v>1005301</v>
      </c>
      <c r="Q465" s="8">
        <v>1005401</v>
      </c>
    </row>
    <row r="466" spans="1:21">
      <c r="A466" s="14" t="s">
        <v>14</v>
      </c>
      <c r="B466" s="8">
        <f t="shared" si="10"/>
        <v>70051506</v>
      </c>
      <c r="C466" s="2" t="s">
        <v>494</v>
      </c>
      <c r="E466" s="2" t="str">
        <f>F466&amp;(VLOOKUP(G466,编号表!$E$1:$G$8,2,0))&amp;H466&amp;"_"&amp;I466&amp;"_"&amp;J466</f>
        <v>5N1_5_6</v>
      </c>
      <c r="F466" s="2">
        <v>5</v>
      </c>
      <c r="G466" s="2" t="s">
        <v>37</v>
      </c>
      <c r="H466" s="2">
        <v>1</v>
      </c>
      <c r="I466" s="2">
        <v>5</v>
      </c>
      <c r="J466" s="2">
        <f>COUNTIFS($F$13:F466,F466,$I$13:I466,I466)</f>
        <v>6</v>
      </c>
      <c r="O466" s="8">
        <v>1005201</v>
      </c>
    </row>
    <row r="467" spans="1:21">
      <c r="A467" s="14" t="s">
        <v>14</v>
      </c>
      <c r="B467" s="8">
        <f t="shared" si="10"/>
        <v>70052601</v>
      </c>
      <c r="C467" s="2" t="s">
        <v>495</v>
      </c>
      <c r="E467" s="2" t="str">
        <f>F467&amp;(VLOOKUP(G467,编号表!$E$1:$G$8,2,0))&amp;H467&amp;"_"&amp;I467&amp;"_"&amp;J467</f>
        <v>5N2_6_1</v>
      </c>
      <c r="F467" s="2">
        <v>5</v>
      </c>
      <c r="G467" s="2" t="s">
        <v>37</v>
      </c>
      <c r="H467" s="2">
        <v>2</v>
      </c>
      <c r="I467" s="2">
        <v>6</v>
      </c>
      <c r="J467" s="2">
        <f>COUNTIFS($F$13:F467,F467,$I$13:I467,I467)</f>
        <v>1</v>
      </c>
      <c r="O467" s="8">
        <v>1005201</v>
      </c>
      <c r="P467" s="8">
        <v>1005301</v>
      </c>
      <c r="Q467" s="8">
        <v>1005401</v>
      </c>
    </row>
    <row r="468" spans="1:21">
      <c r="A468" s="14" t="s">
        <v>14</v>
      </c>
      <c r="B468" s="8">
        <f t="shared" si="10"/>
        <v>70051602</v>
      </c>
      <c r="C468" s="2" t="s">
        <v>496</v>
      </c>
      <c r="E468" s="2" t="str">
        <f>F468&amp;(VLOOKUP(G468,编号表!$E$1:$G$8,2,0))&amp;H468&amp;"_"&amp;I468&amp;"_"&amp;J468</f>
        <v>5N1_6_2</v>
      </c>
      <c r="F468" s="2">
        <v>5</v>
      </c>
      <c r="G468" s="2" t="s">
        <v>37</v>
      </c>
      <c r="H468" s="2">
        <v>1</v>
      </c>
      <c r="I468" s="2">
        <v>6</v>
      </c>
      <c r="J468" s="2">
        <f>COUNTIFS($F$13:F468,F468,$I$13:I468,I468)</f>
        <v>2</v>
      </c>
      <c r="O468" s="8">
        <v>1005401</v>
      </c>
    </row>
    <row r="469" spans="1:21">
      <c r="A469" s="14" t="s">
        <v>14</v>
      </c>
      <c r="B469" s="8">
        <f t="shared" si="10"/>
        <v>70053603</v>
      </c>
      <c r="C469" s="16" t="s">
        <v>377</v>
      </c>
      <c r="D469" s="2" t="s">
        <v>437</v>
      </c>
      <c r="E469" s="2" t="str">
        <f>F469&amp;(VLOOKUP(G469,编号表!$E$1:$G$8,2,0))&amp;H469&amp;"_"&amp;I469&amp;"_"&amp;J469</f>
        <v>5T3_6_3</v>
      </c>
      <c r="F469" s="2">
        <v>5</v>
      </c>
      <c r="G469" s="2" t="s">
        <v>53</v>
      </c>
      <c r="H469" s="2">
        <v>3</v>
      </c>
      <c r="I469" s="2">
        <v>6</v>
      </c>
      <c r="J469" s="2">
        <f>COUNTIFS($F$13:F469,F469,$I$13:I469,I469)</f>
        <v>3</v>
      </c>
      <c r="M469" s="2">
        <v>111</v>
      </c>
    </row>
    <row r="470" spans="1:21">
      <c r="A470" s="14" t="s">
        <v>14</v>
      </c>
      <c r="B470" s="8">
        <f t="shared" si="10"/>
        <v>70051604</v>
      </c>
      <c r="C470" s="2" t="s">
        <v>497</v>
      </c>
      <c r="E470" s="2" t="str">
        <f>F470&amp;(VLOOKUP(G470,编号表!$E$1:$G$8,2,0))&amp;H470&amp;"_"&amp;I470&amp;"_"&amp;J470</f>
        <v>5N1_6_4</v>
      </c>
      <c r="F470" s="2">
        <v>5</v>
      </c>
      <c r="G470" s="2" t="s">
        <v>37</v>
      </c>
      <c r="H470" s="2">
        <v>1</v>
      </c>
      <c r="I470" s="2">
        <v>6</v>
      </c>
      <c r="J470" s="2">
        <f>COUNTIFS($F$13:F470,F470,$I$13:I470,I470)</f>
        <v>4</v>
      </c>
      <c r="O470" s="8">
        <v>1005401</v>
      </c>
    </row>
    <row r="471" spans="1:21">
      <c r="A471" s="14" t="s">
        <v>14</v>
      </c>
      <c r="B471" s="8">
        <f t="shared" si="10"/>
        <v>70051605</v>
      </c>
      <c r="C471" s="2" t="s">
        <v>498</v>
      </c>
      <c r="E471" s="2" t="str">
        <f>F471&amp;(VLOOKUP(G471,编号表!$E$1:$G$8,2,0))&amp;H471&amp;"_"&amp;I471&amp;"_"&amp;J471</f>
        <v>5N1_6_5</v>
      </c>
      <c r="F471" s="2">
        <v>5</v>
      </c>
      <c r="G471" s="2" t="s">
        <v>37</v>
      </c>
      <c r="H471" s="2">
        <v>1</v>
      </c>
      <c r="I471" s="2">
        <v>6</v>
      </c>
      <c r="J471" s="2">
        <f>COUNTIFS($F$13:F471,F471,$I$13:I471,I471)</f>
        <v>5</v>
      </c>
      <c r="O471" s="8">
        <v>1005201</v>
      </c>
    </row>
    <row r="472" spans="1:21">
      <c r="A472" s="14" t="s">
        <v>14</v>
      </c>
      <c r="B472" s="8">
        <f t="shared" si="10"/>
        <v>70050001</v>
      </c>
      <c r="C472" s="18" t="s">
        <v>499</v>
      </c>
      <c r="E472" s="2" t="str">
        <f>F472&amp;(VLOOKUP(G472,编号表!$E$1:$G$8,2,0))&amp;H472&amp;"_"&amp;I472&amp;"_"&amp;J472</f>
        <v>5J0_0_1</v>
      </c>
      <c r="F472" s="2">
        <v>5</v>
      </c>
      <c r="G472" s="2" t="s">
        <v>86</v>
      </c>
      <c r="H472" s="2">
        <v>0</v>
      </c>
      <c r="I472" s="2">
        <v>0</v>
      </c>
      <c r="J472" s="2">
        <f>COUNTIFS($F$13:F472,F472,$I$13:I472,I472)</f>
        <v>1</v>
      </c>
      <c r="K472" s="2">
        <v>1</v>
      </c>
    </row>
    <row r="473" spans="1:21">
      <c r="A473" s="14" t="s">
        <v>14</v>
      </c>
      <c r="B473" s="8">
        <f t="shared" si="10"/>
        <v>70062101</v>
      </c>
      <c r="C473" s="2" t="s">
        <v>500</v>
      </c>
      <c r="E473" s="2" t="str">
        <f>F473&amp;(VLOOKUP(G473,编号表!$E$1:$G$8,2,0))&amp;H473&amp;"_"&amp;I473&amp;"_"&amp;J473</f>
        <v>6N2_1_1</v>
      </c>
      <c r="F473" s="2">
        <v>6</v>
      </c>
      <c r="G473" s="2" t="s">
        <v>37</v>
      </c>
      <c r="H473" s="2">
        <v>2</v>
      </c>
      <c r="I473" s="2">
        <v>1</v>
      </c>
      <c r="J473" s="2">
        <f>COUNTIFS($F$13:F473,F473,$I$13:I473,I473)</f>
        <v>1</v>
      </c>
      <c r="O473" s="23">
        <v>1006301</v>
      </c>
      <c r="P473" s="23">
        <v>1006401</v>
      </c>
      <c r="Q473" s="23">
        <v>1006501</v>
      </c>
      <c r="R473" s="23">
        <v>1006601</v>
      </c>
      <c r="S473" s="23">
        <v>1006701</v>
      </c>
      <c r="T473" s="23">
        <v>1006801</v>
      </c>
      <c r="U473" s="8">
        <v>1006001</v>
      </c>
    </row>
    <row r="474" spans="1:21">
      <c r="A474" s="14" t="s">
        <v>14</v>
      </c>
      <c r="B474" s="8">
        <f t="shared" si="10"/>
        <v>70062102</v>
      </c>
      <c r="C474" s="2" t="s">
        <v>501</v>
      </c>
      <c r="E474" s="2" t="str">
        <f>F474&amp;(VLOOKUP(G474,编号表!$E$1:$G$8,2,0))&amp;H474&amp;"_"&amp;I474&amp;"_"&amp;J474</f>
        <v>6N2_1_2</v>
      </c>
      <c r="F474" s="2">
        <v>6</v>
      </c>
      <c r="G474" s="2" t="s">
        <v>37</v>
      </c>
      <c r="H474" s="2">
        <v>2</v>
      </c>
      <c r="I474" s="2">
        <v>1</v>
      </c>
      <c r="J474" s="2">
        <f>COUNTIFS($F$13:F474,F474,$I$13:I474,I474)</f>
        <v>2</v>
      </c>
      <c r="O474" s="23">
        <v>1006301</v>
      </c>
      <c r="P474" s="23">
        <v>1006401</v>
      </c>
      <c r="Q474" s="23">
        <v>1006501</v>
      </c>
      <c r="R474" s="23">
        <v>1006601</v>
      </c>
      <c r="S474" s="23">
        <v>1006701</v>
      </c>
      <c r="T474" s="23">
        <v>1006801</v>
      </c>
      <c r="U474" s="8">
        <v>1006002</v>
      </c>
    </row>
    <row r="475" spans="1:21">
      <c r="A475" s="14" t="s">
        <v>14</v>
      </c>
      <c r="B475" s="8">
        <f t="shared" si="10"/>
        <v>70062103</v>
      </c>
      <c r="C475" s="2" t="s">
        <v>502</v>
      </c>
      <c r="E475" s="2" t="str">
        <f>F475&amp;(VLOOKUP(G475,编号表!$E$1:$G$8,2,0))&amp;H475&amp;"_"&amp;I475&amp;"_"&amp;J475</f>
        <v>6N2_1_3</v>
      </c>
      <c r="F475" s="2">
        <v>6</v>
      </c>
      <c r="G475" s="2" t="s">
        <v>37</v>
      </c>
      <c r="H475" s="2">
        <v>2</v>
      </c>
      <c r="I475" s="2">
        <v>1</v>
      </c>
      <c r="J475" s="2">
        <f>COUNTIFS($F$13:F475,F475,$I$13:I475,I475)</f>
        <v>3</v>
      </c>
      <c r="O475" s="23">
        <v>1006301</v>
      </c>
      <c r="P475" s="23">
        <v>1006401</v>
      </c>
      <c r="Q475" s="23">
        <v>1006501</v>
      </c>
      <c r="R475" s="23">
        <v>1006601</v>
      </c>
      <c r="S475" s="23">
        <v>1006701</v>
      </c>
      <c r="T475" s="23">
        <v>1006801</v>
      </c>
      <c r="U475" s="8">
        <v>1006003</v>
      </c>
    </row>
    <row r="476" spans="1:21">
      <c r="A476" s="14" t="s">
        <v>14</v>
      </c>
      <c r="B476" s="8">
        <f t="shared" si="10"/>
        <v>70062104</v>
      </c>
      <c r="C476" s="2" t="s">
        <v>503</v>
      </c>
      <c r="E476" s="2" t="str">
        <f>F476&amp;(VLOOKUP(G476,编号表!$E$1:$G$8,2,0))&amp;H476&amp;"_"&amp;I476&amp;"_"&amp;J476</f>
        <v>6N2_1_4</v>
      </c>
      <c r="F476" s="2">
        <v>6</v>
      </c>
      <c r="G476" s="2" t="s">
        <v>37</v>
      </c>
      <c r="H476" s="2">
        <v>2</v>
      </c>
      <c r="I476" s="2">
        <v>1</v>
      </c>
      <c r="J476" s="2">
        <f>COUNTIFS($F$13:F476,F476,$I$13:I476,I476)</f>
        <v>4</v>
      </c>
      <c r="O476" s="23">
        <v>1006301</v>
      </c>
      <c r="P476" s="23">
        <v>1006401</v>
      </c>
      <c r="Q476" s="23">
        <v>1006501</v>
      </c>
      <c r="R476" s="23">
        <v>1006601</v>
      </c>
      <c r="S476" s="23">
        <v>1006801</v>
      </c>
      <c r="T476" s="8">
        <v>1006101</v>
      </c>
    </row>
    <row r="477" spans="1:21">
      <c r="A477" s="14" t="s">
        <v>14</v>
      </c>
      <c r="B477" s="8">
        <f t="shared" si="10"/>
        <v>70062105</v>
      </c>
      <c r="C477" s="2" t="s">
        <v>504</v>
      </c>
      <c r="E477" s="2" t="str">
        <f>F477&amp;(VLOOKUP(G477,编号表!$E$1:$G$8,2,0))&amp;H477&amp;"_"&amp;I477&amp;"_"&amp;J477</f>
        <v>6N2_1_5</v>
      </c>
      <c r="F477" s="2">
        <v>6</v>
      </c>
      <c r="G477" s="2" t="s">
        <v>37</v>
      </c>
      <c r="H477" s="2">
        <v>2</v>
      </c>
      <c r="I477" s="2">
        <v>1</v>
      </c>
      <c r="J477" s="2">
        <f>COUNTIFS($F$13:F477,F477,$I$13:I477,I477)</f>
        <v>5</v>
      </c>
      <c r="O477" s="23">
        <v>1006301</v>
      </c>
      <c r="P477" s="23">
        <v>1006401</v>
      </c>
      <c r="Q477" s="23">
        <v>1006501</v>
      </c>
      <c r="R477" s="23">
        <v>1006601</v>
      </c>
      <c r="S477" s="23">
        <v>1006801</v>
      </c>
    </row>
    <row r="478" spans="1:21">
      <c r="A478" s="14" t="s">
        <v>14</v>
      </c>
      <c r="B478" s="8">
        <f t="shared" si="10"/>
        <v>70062106</v>
      </c>
      <c r="C478" s="2" t="s">
        <v>505</v>
      </c>
      <c r="E478" s="2" t="str">
        <f>F478&amp;(VLOOKUP(G478,编号表!$E$1:$G$8,2,0))&amp;H478&amp;"_"&amp;I478&amp;"_"&amp;J478</f>
        <v>6N2_1_6</v>
      </c>
      <c r="F478" s="2">
        <v>6</v>
      </c>
      <c r="G478" s="2" t="s">
        <v>37</v>
      </c>
      <c r="H478" s="2">
        <v>2</v>
      </c>
      <c r="I478" s="2">
        <v>1</v>
      </c>
      <c r="J478" s="2">
        <f>COUNTIFS($F$13:F478,F478,$I$13:I478,I478)</f>
        <v>6</v>
      </c>
      <c r="O478" s="23">
        <v>1006301</v>
      </c>
      <c r="P478" s="23">
        <v>1006401</v>
      </c>
      <c r="Q478" s="23">
        <v>1006501</v>
      </c>
      <c r="R478" s="23">
        <v>1006601</v>
      </c>
      <c r="S478" s="23">
        <v>1006801</v>
      </c>
    </row>
    <row r="479" spans="1:21">
      <c r="A479" s="14" t="s">
        <v>14</v>
      </c>
      <c r="B479" s="8">
        <f t="shared" si="10"/>
        <v>70063107</v>
      </c>
      <c r="C479" s="2" t="s">
        <v>506</v>
      </c>
      <c r="E479" s="2" t="str">
        <f>F479&amp;(VLOOKUP(G479,编号表!$E$1:$G$8,2,0))&amp;H479&amp;"_"&amp;I479&amp;"_"&amp;J479</f>
        <v>6N3_1_7</v>
      </c>
      <c r="F479" s="2">
        <v>6</v>
      </c>
      <c r="G479" s="2" t="s">
        <v>37</v>
      </c>
      <c r="H479" s="2">
        <v>3</v>
      </c>
      <c r="I479" s="2">
        <v>1</v>
      </c>
      <c r="J479" s="2">
        <f>COUNTIFS($F$13:F479,F479,$I$13:I479,I479)</f>
        <v>7</v>
      </c>
      <c r="O479" s="23">
        <v>1006301</v>
      </c>
      <c r="P479" s="23">
        <v>1006401</v>
      </c>
      <c r="Q479" s="23">
        <v>1006501</v>
      </c>
      <c r="R479" s="23">
        <v>1006601</v>
      </c>
      <c r="S479" s="23">
        <v>1006801</v>
      </c>
    </row>
    <row r="480" spans="1:21">
      <c r="A480" s="14" t="s">
        <v>14</v>
      </c>
      <c r="B480" s="8">
        <f t="shared" si="10"/>
        <v>70064201</v>
      </c>
      <c r="C480" s="2" t="s">
        <v>507</v>
      </c>
      <c r="E480" s="2" t="str">
        <f>F480&amp;(VLOOKUP(G480,编号表!$E$1:$G$8,2,0))&amp;H480&amp;"_"&amp;I480&amp;"_"&amp;J480</f>
        <v>6N4_2_1</v>
      </c>
      <c r="F480" s="2">
        <v>6</v>
      </c>
      <c r="G480" s="2" t="s">
        <v>37</v>
      </c>
      <c r="H480" s="2">
        <v>4</v>
      </c>
      <c r="I480" s="2">
        <v>2</v>
      </c>
      <c r="J480" s="2">
        <f>COUNTIFS($F$13:F480,F480,$I$13:I480,I480)</f>
        <v>1</v>
      </c>
      <c r="O480" s="23">
        <v>1006301</v>
      </c>
      <c r="P480" s="23">
        <v>1006401</v>
      </c>
      <c r="Q480" s="23">
        <v>1006501</v>
      </c>
      <c r="R480" s="23">
        <v>1006601</v>
      </c>
      <c r="S480" s="23">
        <v>1006801</v>
      </c>
    </row>
    <row r="481" spans="1:20">
      <c r="A481" s="14" t="s">
        <v>14</v>
      </c>
      <c r="B481" s="8">
        <f t="shared" si="10"/>
        <v>70064202</v>
      </c>
      <c r="C481" s="2" t="s">
        <v>508</v>
      </c>
      <c r="E481" s="2" t="str">
        <f>F481&amp;(VLOOKUP(G481,编号表!$E$1:$G$8,2,0))&amp;H481&amp;"_"&amp;I481&amp;"_"&amp;J481</f>
        <v>6N4_2_2</v>
      </c>
      <c r="F481" s="2">
        <v>6</v>
      </c>
      <c r="G481" s="2" t="s">
        <v>37</v>
      </c>
      <c r="H481" s="2">
        <v>4</v>
      </c>
      <c r="I481" s="2">
        <v>2</v>
      </c>
      <c r="J481" s="2">
        <f>COUNTIFS($F$13:F481,F481,$I$13:I481,I481)</f>
        <v>2</v>
      </c>
      <c r="O481" s="23">
        <v>1006301</v>
      </c>
      <c r="P481" s="23">
        <v>1006401</v>
      </c>
      <c r="Q481" s="23">
        <v>1006501</v>
      </c>
      <c r="R481" s="23">
        <v>1006601</v>
      </c>
      <c r="S481" s="23">
        <v>1006801</v>
      </c>
    </row>
    <row r="482" spans="1:20">
      <c r="A482" s="14" t="s">
        <v>14</v>
      </c>
      <c r="B482" s="8">
        <f t="shared" si="10"/>
        <v>70064203</v>
      </c>
      <c r="C482" s="2" t="s">
        <v>509</v>
      </c>
      <c r="E482" s="2" t="str">
        <f>F482&amp;(VLOOKUP(G482,编号表!$E$1:$G$8,2,0))&amp;H482&amp;"_"&amp;I482&amp;"_"&amp;J482</f>
        <v>6N4_2_3</v>
      </c>
      <c r="F482" s="2">
        <v>6</v>
      </c>
      <c r="G482" s="2" t="s">
        <v>37</v>
      </c>
      <c r="H482" s="2">
        <v>4</v>
      </c>
      <c r="I482" s="2">
        <v>2</v>
      </c>
      <c r="J482" s="2">
        <f>COUNTIFS($F$13:F482,F482,$I$13:I482,I482)</f>
        <v>3</v>
      </c>
      <c r="O482" s="23">
        <v>1006301</v>
      </c>
      <c r="P482" s="23">
        <v>1006401</v>
      </c>
      <c r="Q482" s="23">
        <v>1006501</v>
      </c>
      <c r="R482" s="23">
        <v>1006601</v>
      </c>
      <c r="S482" s="23">
        <v>1006801</v>
      </c>
    </row>
    <row r="483" spans="1:20">
      <c r="A483" s="14" t="s">
        <v>14</v>
      </c>
      <c r="B483" s="8">
        <f t="shared" si="10"/>
        <v>70064204</v>
      </c>
      <c r="C483" s="2" t="s">
        <v>510</v>
      </c>
      <c r="E483" s="2" t="str">
        <f>F483&amp;(VLOOKUP(G483,编号表!$E$1:$G$8,2,0))&amp;H483&amp;"_"&amp;I483&amp;"_"&amp;J483</f>
        <v>6N4_2_4</v>
      </c>
      <c r="F483" s="2">
        <v>6</v>
      </c>
      <c r="G483" s="2" t="s">
        <v>37</v>
      </c>
      <c r="H483" s="2">
        <v>4</v>
      </c>
      <c r="I483" s="2">
        <v>2</v>
      </c>
      <c r="J483" s="2">
        <f>COUNTIFS($F$13:F483,F483,$I$13:I483,I483)</f>
        <v>4</v>
      </c>
      <c r="O483" s="23">
        <v>1006201</v>
      </c>
      <c r="P483" s="23">
        <v>1006401</v>
      </c>
      <c r="Q483" s="23">
        <v>1006501</v>
      </c>
      <c r="R483" s="23">
        <v>1006601</v>
      </c>
      <c r="S483" s="23">
        <v>1006801</v>
      </c>
    </row>
    <row r="484" spans="1:20">
      <c r="A484" s="14" t="s">
        <v>14</v>
      </c>
      <c r="B484" s="8">
        <f t="shared" si="10"/>
        <v>70064205</v>
      </c>
      <c r="C484" s="2" t="s">
        <v>511</v>
      </c>
      <c r="E484" s="2" t="str">
        <f>F484&amp;(VLOOKUP(G484,编号表!$E$1:$G$8,2,0))&amp;H484&amp;"_"&amp;I484&amp;"_"&amp;J484</f>
        <v>6N4_2_5</v>
      </c>
      <c r="F484" s="2">
        <v>6</v>
      </c>
      <c r="G484" s="2" t="s">
        <v>37</v>
      </c>
      <c r="H484" s="2">
        <v>4</v>
      </c>
      <c r="I484" s="2">
        <v>2</v>
      </c>
      <c r="J484" s="2">
        <f>COUNTIFS($F$13:F484,F484,$I$13:I484,I484)</f>
        <v>5</v>
      </c>
      <c r="O484" s="23">
        <v>1006201</v>
      </c>
      <c r="P484" s="23">
        <v>1006401</v>
      </c>
      <c r="Q484" s="23">
        <v>1006501</v>
      </c>
      <c r="R484" s="23">
        <v>1006601</v>
      </c>
      <c r="S484" s="23">
        <v>1006801</v>
      </c>
    </row>
    <row r="485" spans="1:20">
      <c r="A485" s="14" t="s">
        <v>14</v>
      </c>
      <c r="B485" s="8">
        <f t="shared" si="10"/>
        <v>70064301</v>
      </c>
      <c r="C485" s="2" t="s">
        <v>512</v>
      </c>
      <c r="E485" s="2" t="str">
        <f>F485&amp;(VLOOKUP(G485,编号表!$E$1:$G$8,2,0))&amp;H485&amp;"_"&amp;I485&amp;"_"&amp;J485</f>
        <v>6N4_3_1</v>
      </c>
      <c r="F485" s="2">
        <v>6</v>
      </c>
      <c r="G485" s="2" t="s">
        <v>37</v>
      </c>
      <c r="H485" s="2">
        <v>4</v>
      </c>
      <c r="I485" s="2">
        <v>3</v>
      </c>
      <c r="J485" s="2">
        <f>COUNTIFS($F$13:F485,F485,$I$13:I485,I485)</f>
        <v>1</v>
      </c>
      <c r="O485" s="23">
        <v>1006201</v>
      </c>
      <c r="P485" s="23">
        <v>1006401</v>
      </c>
      <c r="Q485" s="23">
        <v>1006501</v>
      </c>
      <c r="R485" s="23">
        <v>1006601</v>
      </c>
      <c r="S485" s="23">
        <v>1006801</v>
      </c>
    </row>
    <row r="486" spans="1:20">
      <c r="A486" s="14" t="s">
        <v>14</v>
      </c>
      <c r="B486" s="8">
        <f t="shared" si="10"/>
        <v>70064302</v>
      </c>
      <c r="C486" s="2" t="s">
        <v>513</v>
      </c>
      <c r="E486" s="2" t="str">
        <f>F486&amp;(VLOOKUP(G486,编号表!$E$1:$G$8,2,0))&amp;H486&amp;"_"&amp;I486&amp;"_"&amp;J486</f>
        <v>6N4_3_2</v>
      </c>
      <c r="F486" s="2">
        <v>6</v>
      </c>
      <c r="G486" s="2" t="s">
        <v>37</v>
      </c>
      <c r="H486" s="2">
        <v>4</v>
      </c>
      <c r="I486" s="2">
        <v>3</v>
      </c>
      <c r="J486" s="2">
        <f>COUNTIFS($F$13:F486,F486,$I$13:I486,I486)</f>
        <v>2</v>
      </c>
      <c r="O486" s="23">
        <v>1006201</v>
      </c>
      <c r="P486" s="23">
        <v>1006401</v>
      </c>
      <c r="Q486" s="23">
        <v>1006501</v>
      </c>
      <c r="R486" s="23">
        <v>1006601</v>
      </c>
      <c r="S486" s="23">
        <v>1006701</v>
      </c>
      <c r="T486" s="23">
        <v>1006801</v>
      </c>
    </row>
    <row r="487" spans="1:20">
      <c r="A487" s="14" t="s">
        <v>14</v>
      </c>
      <c r="B487" s="8">
        <f t="shared" si="10"/>
        <v>70063303</v>
      </c>
      <c r="C487" s="2" t="s">
        <v>514</v>
      </c>
      <c r="E487" s="2" t="str">
        <f>F487&amp;(VLOOKUP(G487,编号表!$E$1:$G$8,2,0))&amp;H487&amp;"_"&amp;I487&amp;"_"&amp;J487</f>
        <v>6N3_3_3</v>
      </c>
      <c r="F487" s="2">
        <v>6</v>
      </c>
      <c r="G487" s="2" t="s">
        <v>37</v>
      </c>
      <c r="H487" s="2">
        <v>3</v>
      </c>
      <c r="I487" s="2">
        <v>3</v>
      </c>
      <c r="J487" s="2">
        <f>COUNTIFS($F$13:F487,F487,$I$13:I487,I487)</f>
        <v>3</v>
      </c>
      <c r="O487" s="23">
        <v>1006201</v>
      </c>
      <c r="P487" s="23">
        <v>1006401</v>
      </c>
      <c r="Q487" s="23">
        <v>1006501</v>
      </c>
      <c r="R487" s="23">
        <v>1006601</v>
      </c>
      <c r="S487" s="23">
        <v>1006701</v>
      </c>
      <c r="T487" s="23">
        <v>1006801</v>
      </c>
    </row>
    <row r="488" spans="1:20">
      <c r="A488" s="14" t="s">
        <v>14</v>
      </c>
      <c r="B488" s="8">
        <f t="shared" si="10"/>
        <v>70064304</v>
      </c>
      <c r="C488" s="2" t="s">
        <v>515</v>
      </c>
      <c r="E488" s="2" t="str">
        <f>F488&amp;(VLOOKUP(G488,编号表!$E$1:$G$8,2,0))&amp;H488&amp;"_"&amp;I488&amp;"_"&amp;J488</f>
        <v>6N4_3_4</v>
      </c>
      <c r="F488" s="2">
        <v>6</v>
      </c>
      <c r="G488" s="2" t="s">
        <v>37</v>
      </c>
      <c r="H488" s="2">
        <v>4</v>
      </c>
      <c r="I488" s="2">
        <v>3</v>
      </c>
      <c r="J488" s="2">
        <f>COUNTIFS($F$13:F488,F488,$I$13:I488,I488)</f>
        <v>4</v>
      </c>
      <c r="O488" s="23">
        <v>1006201</v>
      </c>
      <c r="P488" s="23">
        <v>1006401</v>
      </c>
      <c r="Q488" s="23">
        <v>1006501</v>
      </c>
      <c r="R488" s="23">
        <v>1006601</v>
      </c>
      <c r="S488" s="23">
        <v>1006701</v>
      </c>
      <c r="T488" s="23">
        <v>1006801</v>
      </c>
    </row>
    <row r="489" spans="1:20">
      <c r="A489" s="14" t="s">
        <v>14</v>
      </c>
      <c r="B489" s="8">
        <f t="shared" si="10"/>
        <v>70064305</v>
      </c>
      <c r="C489" s="2" t="s">
        <v>516</v>
      </c>
      <c r="E489" s="2" t="str">
        <f>F489&amp;(VLOOKUP(G489,编号表!$E$1:$G$8,2,0))&amp;H489&amp;"_"&amp;I489&amp;"_"&amp;J489</f>
        <v>6N4_3_5</v>
      </c>
      <c r="F489" s="2">
        <v>6</v>
      </c>
      <c r="G489" s="2" t="s">
        <v>37</v>
      </c>
      <c r="H489" s="2">
        <v>4</v>
      </c>
      <c r="I489" s="2">
        <v>3</v>
      </c>
      <c r="J489" s="2">
        <f>COUNTIFS($F$13:F489,F489,$I$13:I489,I489)</f>
        <v>5</v>
      </c>
      <c r="O489" s="23">
        <v>1006201</v>
      </c>
      <c r="P489" s="23">
        <v>1006401</v>
      </c>
      <c r="Q489" s="23">
        <v>1006501</v>
      </c>
      <c r="R489" s="23">
        <v>1006601</v>
      </c>
      <c r="S489" s="23">
        <v>1006701</v>
      </c>
      <c r="T489" s="23">
        <v>1006801</v>
      </c>
    </row>
    <row r="490" spans="1:20">
      <c r="A490" s="14" t="s">
        <v>14</v>
      </c>
      <c r="B490" s="8">
        <f t="shared" si="10"/>
        <v>70063401</v>
      </c>
      <c r="C490" s="16" t="s">
        <v>54</v>
      </c>
      <c r="D490" s="2" t="s">
        <v>98</v>
      </c>
      <c r="E490" s="2" t="str">
        <f>F490&amp;(VLOOKUP(G490,编号表!$E$1:$G$8,2,0))&amp;H490&amp;"_"&amp;I490&amp;"_"&amp;J490</f>
        <v>6T3_4_1</v>
      </c>
      <c r="F490" s="2">
        <v>6</v>
      </c>
      <c r="G490" s="2" t="s">
        <v>53</v>
      </c>
      <c r="H490" s="2">
        <v>3</v>
      </c>
      <c r="I490" s="2">
        <v>4</v>
      </c>
      <c r="J490" s="2">
        <f>COUNTIFS($F$13:F490,F490,$I$13:I490,I490)</f>
        <v>1</v>
      </c>
      <c r="M490" s="2">
        <v>113</v>
      </c>
    </row>
    <row r="491" spans="1:20">
      <c r="A491" s="14" t="s">
        <v>14</v>
      </c>
      <c r="B491" s="8">
        <f t="shared" si="10"/>
        <v>70061402</v>
      </c>
      <c r="C491" s="15" t="s">
        <v>97</v>
      </c>
      <c r="E491" s="2" t="str">
        <f>F491&amp;(VLOOKUP(G491,编号表!$E$1:$G$8,2,0))&amp;H491&amp;"_"&amp;I491&amp;"_"&amp;J491</f>
        <v>6T1_4_2</v>
      </c>
      <c r="F491" s="2">
        <v>6</v>
      </c>
      <c r="G491" s="2" t="s">
        <v>53</v>
      </c>
      <c r="H491" s="2">
        <v>1</v>
      </c>
      <c r="I491" s="2">
        <v>4</v>
      </c>
      <c r="J491" s="2">
        <f>COUNTIFS($F$13:F491,F491,$I$13:I491,I491)</f>
        <v>2</v>
      </c>
      <c r="L491" s="2">
        <v>1</v>
      </c>
    </row>
    <row r="492" spans="1:20">
      <c r="A492" s="14" t="s">
        <v>14</v>
      </c>
      <c r="B492" s="8">
        <f t="shared" si="10"/>
        <v>70063403</v>
      </c>
      <c r="C492" s="2" t="s">
        <v>517</v>
      </c>
      <c r="E492" s="2" t="str">
        <f>F492&amp;(VLOOKUP(G492,编号表!$E$1:$G$8,2,0))&amp;H492&amp;"_"&amp;I492&amp;"_"&amp;J492</f>
        <v>6N3_4_3</v>
      </c>
      <c r="F492" s="2">
        <v>6</v>
      </c>
      <c r="G492" s="2" t="s">
        <v>37</v>
      </c>
      <c r="H492" s="2">
        <v>3</v>
      </c>
      <c r="I492" s="2">
        <v>4</v>
      </c>
      <c r="J492" s="2">
        <f>COUNTIFS($F$13:F492,F492,$I$13:I492,I492)</f>
        <v>3</v>
      </c>
      <c r="O492" s="23">
        <v>1006201</v>
      </c>
      <c r="P492" s="23">
        <v>1006401</v>
      </c>
      <c r="Q492" s="23">
        <v>1006501</v>
      </c>
      <c r="R492" s="23">
        <v>1006601</v>
      </c>
      <c r="S492" s="23">
        <v>1006701</v>
      </c>
      <c r="T492" s="23">
        <v>1006801</v>
      </c>
    </row>
    <row r="493" spans="1:20">
      <c r="A493" s="14" t="s">
        <v>14</v>
      </c>
      <c r="B493" s="8">
        <f t="shared" si="10"/>
        <v>70063404</v>
      </c>
      <c r="C493" s="2" t="s">
        <v>518</v>
      </c>
      <c r="E493" s="2" t="str">
        <f>F493&amp;(VLOOKUP(G493,编号表!$E$1:$G$8,2,0))&amp;H493&amp;"_"&amp;I493&amp;"_"&amp;J493</f>
        <v>6N3_4_4</v>
      </c>
      <c r="F493" s="2">
        <v>6</v>
      </c>
      <c r="G493" s="2" t="s">
        <v>37</v>
      </c>
      <c r="H493" s="2">
        <v>3</v>
      </c>
      <c r="I493" s="2">
        <v>4</v>
      </c>
      <c r="J493" s="2">
        <f>COUNTIFS($F$13:F493,F493,$I$13:I493,I493)</f>
        <v>4</v>
      </c>
      <c r="O493" s="23">
        <v>1006201</v>
      </c>
      <c r="P493" s="23">
        <v>1006401</v>
      </c>
      <c r="Q493" s="23">
        <v>1006501</v>
      </c>
      <c r="R493" s="23">
        <v>1006601</v>
      </c>
      <c r="S493" s="23">
        <v>1006701</v>
      </c>
      <c r="T493" s="23">
        <v>1006801</v>
      </c>
    </row>
    <row r="494" spans="1:20">
      <c r="A494" s="14" t="s">
        <v>14</v>
      </c>
      <c r="B494" s="8">
        <f t="shared" si="10"/>
        <v>70064405</v>
      </c>
      <c r="C494" s="2" t="s">
        <v>519</v>
      </c>
      <c r="E494" s="2" t="str">
        <f>F494&amp;(VLOOKUP(G494,编号表!$E$1:$G$8,2,0))&amp;H494&amp;"_"&amp;I494&amp;"_"&amp;J494</f>
        <v>6N4_4_5</v>
      </c>
      <c r="F494" s="2">
        <v>6</v>
      </c>
      <c r="G494" s="2" t="s">
        <v>37</v>
      </c>
      <c r="H494" s="2">
        <v>4</v>
      </c>
      <c r="I494" s="2">
        <v>4</v>
      </c>
      <c r="J494" s="2">
        <f>COUNTIFS($F$13:F494,F494,$I$13:I494,I494)</f>
        <v>5</v>
      </c>
      <c r="O494" s="23">
        <v>1006201</v>
      </c>
      <c r="P494" s="23">
        <v>1006401</v>
      </c>
      <c r="Q494" s="23">
        <v>1006501</v>
      </c>
      <c r="R494" s="23">
        <v>1006601</v>
      </c>
      <c r="S494" s="23">
        <v>1006701</v>
      </c>
      <c r="T494" s="23">
        <v>1006801</v>
      </c>
    </row>
    <row r="495" spans="1:20">
      <c r="A495" s="14" t="s">
        <v>14</v>
      </c>
      <c r="B495" s="8">
        <f t="shared" si="10"/>
        <v>70063406</v>
      </c>
      <c r="C495" s="2" t="s">
        <v>520</v>
      </c>
      <c r="E495" s="2" t="str">
        <f>F495&amp;(VLOOKUP(G495,编号表!$E$1:$G$8,2,0))&amp;H495&amp;"_"&amp;I495&amp;"_"&amp;J495</f>
        <v>6N3_4_6</v>
      </c>
      <c r="F495" s="2">
        <v>6</v>
      </c>
      <c r="G495" s="2" t="s">
        <v>37</v>
      </c>
      <c r="H495" s="2">
        <v>3</v>
      </c>
      <c r="I495" s="2">
        <v>4</v>
      </c>
      <c r="J495" s="2">
        <f>COUNTIFS($F$13:F495,F495,$I$13:I495,I495)</f>
        <v>6</v>
      </c>
      <c r="O495" s="23">
        <v>1006201</v>
      </c>
      <c r="P495" s="23">
        <v>1006301</v>
      </c>
      <c r="Q495" s="23">
        <v>1006501</v>
      </c>
      <c r="R495" s="23">
        <v>1006601</v>
      </c>
      <c r="S495" s="23">
        <v>1006701</v>
      </c>
      <c r="T495" s="23">
        <v>1006801</v>
      </c>
    </row>
    <row r="496" spans="1:20">
      <c r="A496" s="14" t="s">
        <v>14</v>
      </c>
      <c r="B496" s="8">
        <f t="shared" si="10"/>
        <v>70063407</v>
      </c>
      <c r="C496" s="2" t="s">
        <v>521</v>
      </c>
      <c r="E496" s="2" t="str">
        <f>F496&amp;(VLOOKUP(G496,编号表!$E$1:$G$8,2,0))&amp;H496&amp;"_"&amp;I496&amp;"_"&amp;J496</f>
        <v>6N3_4_7</v>
      </c>
      <c r="F496" s="2">
        <v>6</v>
      </c>
      <c r="G496" s="2" t="s">
        <v>37</v>
      </c>
      <c r="H496" s="2">
        <v>3</v>
      </c>
      <c r="I496" s="2">
        <v>4</v>
      </c>
      <c r="J496" s="2">
        <f>COUNTIFS($F$13:F496,F496,$I$13:I496,I496)</f>
        <v>7</v>
      </c>
      <c r="O496" s="23">
        <v>1006201</v>
      </c>
      <c r="P496" s="23">
        <v>1006301</v>
      </c>
      <c r="Q496" s="23">
        <v>1006501</v>
      </c>
      <c r="R496" s="23">
        <v>1006601</v>
      </c>
      <c r="S496" s="23">
        <v>1006701</v>
      </c>
      <c r="T496" s="23">
        <v>1006801</v>
      </c>
    </row>
    <row r="497" spans="1:21">
      <c r="A497" s="14" t="s">
        <v>14</v>
      </c>
      <c r="B497" s="8">
        <f t="shared" si="10"/>
        <v>70063408</v>
      </c>
      <c r="C497" s="2" t="s">
        <v>522</v>
      </c>
      <c r="E497" s="2" t="str">
        <f>F497&amp;(VLOOKUP(G497,编号表!$E$1:$G$8,2,0))&amp;H497&amp;"_"&amp;I497&amp;"_"&amp;J497</f>
        <v>6N3_4_8</v>
      </c>
      <c r="F497" s="2">
        <v>6</v>
      </c>
      <c r="G497" s="2" t="s">
        <v>37</v>
      </c>
      <c r="H497" s="2">
        <v>3</v>
      </c>
      <c r="I497" s="2">
        <v>4</v>
      </c>
      <c r="J497" s="2">
        <f>COUNTIFS($F$13:F497,F497,$I$13:I497,I497)</f>
        <v>8</v>
      </c>
      <c r="O497" s="23">
        <v>1006201</v>
      </c>
      <c r="P497" s="23">
        <v>1006301</v>
      </c>
      <c r="Q497" s="23">
        <v>1006501</v>
      </c>
      <c r="R497" s="23">
        <v>1006601</v>
      </c>
      <c r="S497" s="23">
        <v>1006701</v>
      </c>
      <c r="T497" s="23">
        <v>1006801</v>
      </c>
    </row>
    <row r="498" spans="1:21">
      <c r="A498" s="14" t="s">
        <v>14</v>
      </c>
      <c r="B498" s="8">
        <f t="shared" si="10"/>
        <v>70063409</v>
      </c>
      <c r="C498" s="2" t="s">
        <v>523</v>
      </c>
      <c r="E498" s="2" t="str">
        <f>F498&amp;(VLOOKUP(G498,编号表!$E$1:$G$8,2,0))&amp;H498&amp;"_"&amp;I498&amp;"_"&amp;J498</f>
        <v>6N3_4_9</v>
      </c>
      <c r="F498" s="2">
        <v>6</v>
      </c>
      <c r="G498" s="2" t="s">
        <v>37</v>
      </c>
      <c r="H498" s="2">
        <v>3</v>
      </c>
      <c r="I498" s="2">
        <v>4</v>
      </c>
      <c r="J498" s="2">
        <f>COUNTIFS($F$13:F498,F498,$I$13:I498,I498)</f>
        <v>9</v>
      </c>
      <c r="O498" s="23">
        <v>1006201</v>
      </c>
      <c r="P498" s="23">
        <v>1006301</v>
      </c>
      <c r="Q498" s="23">
        <v>1006501</v>
      </c>
      <c r="R498" s="23">
        <v>1006601</v>
      </c>
      <c r="S498" s="23">
        <v>1006701</v>
      </c>
      <c r="T498" s="23">
        <v>1006801</v>
      </c>
    </row>
    <row r="499" spans="1:21">
      <c r="A499" s="14" t="s">
        <v>14</v>
      </c>
      <c r="B499" s="8">
        <f t="shared" si="10"/>
        <v>70063410</v>
      </c>
      <c r="C499" s="2" t="s">
        <v>524</v>
      </c>
      <c r="E499" s="2" t="str">
        <f>F499&amp;(VLOOKUP(G499,编号表!$E$1:$G$8,2,0))&amp;H499&amp;"_"&amp;I499&amp;"_"&amp;J499</f>
        <v>6N3_4_10</v>
      </c>
      <c r="F499" s="2">
        <v>6</v>
      </c>
      <c r="G499" s="2" t="s">
        <v>37</v>
      </c>
      <c r="H499" s="2">
        <v>3</v>
      </c>
      <c r="I499" s="2">
        <v>4</v>
      </c>
      <c r="J499" s="2">
        <f>COUNTIFS($F$13:F499,F499,$I$13:I499,I499)</f>
        <v>10</v>
      </c>
      <c r="O499" s="23">
        <v>1006201</v>
      </c>
      <c r="P499" s="23">
        <v>1006301</v>
      </c>
      <c r="Q499" s="23">
        <v>1006501</v>
      </c>
      <c r="R499" s="23">
        <v>1006601</v>
      </c>
      <c r="S499" s="23">
        <v>1006701</v>
      </c>
      <c r="U499" s="23"/>
    </row>
    <row r="500" spans="1:21">
      <c r="A500" s="14" t="s">
        <v>14</v>
      </c>
      <c r="B500" s="8">
        <f t="shared" si="10"/>
        <v>70062411</v>
      </c>
      <c r="C500" s="2" t="s">
        <v>525</v>
      </c>
      <c r="E500" s="2" t="str">
        <f>F500&amp;(VLOOKUP(G500,编号表!$E$1:$G$8,2,0))&amp;H500&amp;"_"&amp;I500&amp;"_"&amp;J500</f>
        <v>6N2_4_11</v>
      </c>
      <c r="F500" s="2">
        <v>6</v>
      </c>
      <c r="G500" s="2" t="s">
        <v>37</v>
      </c>
      <c r="H500" s="2">
        <v>2</v>
      </c>
      <c r="I500" s="2">
        <v>4</v>
      </c>
      <c r="J500" s="2">
        <f>COUNTIFS($F$13:F500,F500,$I$13:I500,I500)</f>
        <v>11</v>
      </c>
      <c r="O500" s="23">
        <v>1006201</v>
      </c>
      <c r="P500" s="23">
        <v>1006301</v>
      </c>
      <c r="Q500" s="23">
        <v>1006501</v>
      </c>
      <c r="R500" s="23">
        <v>1006601</v>
      </c>
      <c r="S500" s="23">
        <v>1006701</v>
      </c>
      <c r="U500" s="23"/>
    </row>
    <row r="501" spans="1:21">
      <c r="A501" s="14" t="s">
        <v>14</v>
      </c>
      <c r="B501" s="8">
        <f t="shared" si="10"/>
        <v>70063412</v>
      </c>
      <c r="C501" s="2" t="s">
        <v>526</v>
      </c>
      <c r="E501" s="2" t="str">
        <f>F501&amp;(VLOOKUP(G501,编号表!$E$1:$G$8,2,0))&amp;H501&amp;"_"&amp;I501&amp;"_"&amp;J501</f>
        <v>6N3_4_12</v>
      </c>
      <c r="F501" s="2">
        <v>6</v>
      </c>
      <c r="G501" s="2" t="s">
        <v>37</v>
      </c>
      <c r="H501" s="2">
        <v>3</v>
      </c>
      <c r="I501" s="2">
        <v>4</v>
      </c>
      <c r="J501" s="2">
        <f>COUNTIFS($F$13:F501,F501,$I$13:I501,I501)</f>
        <v>12</v>
      </c>
      <c r="O501" s="23">
        <v>1006201</v>
      </c>
      <c r="P501" s="23">
        <v>1006301</v>
      </c>
      <c r="Q501" s="23">
        <v>1006501</v>
      </c>
      <c r="R501" s="23">
        <v>1006601</v>
      </c>
      <c r="S501" s="23">
        <v>1006701</v>
      </c>
      <c r="U501" s="23"/>
    </row>
    <row r="502" spans="1:21">
      <c r="A502" s="14" t="s">
        <v>14</v>
      </c>
      <c r="B502" s="8">
        <f t="shared" si="10"/>
        <v>70063413</v>
      </c>
      <c r="C502" s="2" t="s">
        <v>527</v>
      </c>
      <c r="E502" s="2" t="str">
        <f>F502&amp;(VLOOKUP(G502,编号表!$E$1:$G$8,2,0))&amp;H502&amp;"_"&amp;I502&amp;"_"&amp;J502</f>
        <v>6N3_4_13</v>
      </c>
      <c r="F502" s="2">
        <v>6</v>
      </c>
      <c r="G502" s="2" t="s">
        <v>37</v>
      </c>
      <c r="H502" s="2">
        <v>3</v>
      </c>
      <c r="I502" s="2">
        <v>4</v>
      </c>
      <c r="J502" s="2">
        <f>COUNTIFS($F$13:F502,F502,$I$13:I502,I502)</f>
        <v>13</v>
      </c>
      <c r="O502" s="23">
        <v>1006201</v>
      </c>
      <c r="P502" s="23">
        <v>1006301</v>
      </c>
      <c r="Q502" s="23">
        <v>1006501</v>
      </c>
      <c r="R502" s="23">
        <v>1006601</v>
      </c>
      <c r="S502" s="23">
        <v>1006701</v>
      </c>
      <c r="U502" s="23"/>
    </row>
    <row r="503" spans="1:21">
      <c r="A503" s="14" t="s">
        <v>14</v>
      </c>
      <c r="B503" s="8">
        <f t="shared" si="10"/>
        <v>70063414</v>
      </c>
      <c r="C503" s="2" t="s">
        <v>528</v>
      </c>
      <c r="E503" s="2" t="str">
        <f>F503&amp;(VLOOKUP(G503,编号表!$E$1:$G$8,2,0))&amp;H503&amp;"_"&amp;I503&amp;"_"&amp;J503</f>
        <v>6N3_4_14</v>
      </c>
      <c r="F503" s="2">
        <v>6</v>
      </c>
      <c r="G503" s="2" t="s">
        <v>37</v>
      </c>
      <c r="H503" s="2">
        <v>3</v>
      </c>
      <c r="I503" s="2">
        <v>4</v>
      </c>
      <c r="J503" s="2">
        <f>COUNTIFS($F$13:F503,F503,$I$13:I503,I503)</f>
        <v>14</v>
      </c>
      <c r="O503" s="23">
        <v>1006201</v>
      </c>
      <c r="P503" s="23">
        <v>1006301</v>
      </c>
      <c r="Q503" s="23">
        <v>1006501</v>
      </c>
      <c r="R503" s="23">
        <v>1006601</v>
      </c>
      <c r="S503" s="23">
        <v>1006701</v>
      </c>
      <c r="U503" s="23"/>
    </row>
    <row r="504" spans="1:21">
      <c r="A504" s="14" t="s">
        <v>14</v>
      </c>
      <c r="B504" s="8">
        <f t="shared" si="10"/>
        <v>70063415</v>
      </c>
      <c r="C504" s="2" t="s">
        <v>529</v>
      </c>
      <c r="E504" s="2" t="str">
        <f>F504&amp;(VLOOKUP(G504,编号表!$E$1:$G$8,2,0))&amp;H504&amp;"_"&amp;I504&amp;"_"&amp;J504</f>
        <v>6N3_4_15</v>
      </c>
      <c r="F504" s="2">
        <v>6</v>
      </c>
      <c r="G504" s="2" t="s">
        <v>37</v>
      </c>
      <c r="H504" s="2">
        <v>3</v>
      </c>
      <c r="I504" s="2">
        <v>4</v>
      </c>
      <c r="J504" s="2">
        <f>COUNTIFS($F$13:F504,F504,$I$13:I504,I504)</f>
        <v>15</v>
      </c>
      <c r="O504" s="23">
        <v>1006201</v>
      </c>
      <c r="P504" s="23">
        <v>1006301</v>
      </c>
      <c r="Q504" s="23">
        <v>1006501</v>
      </c>
      <c r="R504" s="23">
        <v>1006601</v>
      </c>
      <c r="S504" s="23">
        <v>1006701</v>
      </c>
      <c r="U504" s="23"/>
    </row>
    <row r="505" spans="1:21">
      <c r="A505" s="14" t="s">
        <v>14</v>
      </c>
      <c r="B505" s="8">
        <f t="shared" si="10"/>
        <v>70063501</v>
      </c>
      <c r="C505" s="2" t="s">
        <v>530</v>
      </c>
      <c r="E505" s="2" t="str">
        <f>F505&amp;(VLOOKUP(G505,编号表!$E$1:$G$8,2,0))&amp;H505&amp;"_"&amp;I505&amp;"_"&amp;J505</f>
        <v>6N3_5_1</v>
      </c>
      <c r="F505" s="2">
        <v>6</v>
      </c>
      <c r="G505" s="2" t="s">
        <v>37</v>
      </c>
      <c r="H505" s="2">
        <v>3</v>
      </c>
      <c r="I505" s="2">
        <v>5</v>
      </c>
      <c r="J505" s="2">
        <f>COUNTIFS($F$13:F505,F505,$I$13:I505,I505)</f>
        <v>1</v>
      </c>
      <c r="O505" s="23">
        <v>1006201</v>
      </c>
      <c r="P505" s="23">
        <v>1006301</v>
      </c>
      <c r="Q505" s="23">
        <v>1006401</v>
      </c>
      <c r="R505" s="23">
        <v>1006601</v>
      </c>
      <c r="S505" s="23">
        <v>1006701</v>
      </c>
      <c r="T505" s="23"/>
    </row>
    <row r="506" spans="1:21">
      <c r="A506" s="14" t="s">
        <v>14</v>
      </c>
      <c r="B506" s="8">
        <f t="shared" si="10"/>
        <v>70062502</v>
      </c>
      <c r="C506" s="2" t="s">
        <v>531</v>
      </c>
      <c r="E506" s="2" t="str">
        <f>F506&amp;(VLOOKUP(G506,编号表!$E$1:$G$8,2,0))&amp;H506&amp;"_"&amp;I506&amp;"_"&amp;J506</f>
        <v>6N2_5_2</v>
      </c>
      <c r="F506" s="2">
        <v>6</v>
      </c>
      <c r="G506" s="2" t="s">
        <v>37</v>
      </c>
      <c r="H506" s="2">
        <v>2</v>
      </c>
      <c r="I506" s="2">
        <v>5</v>
      </c>
      <c r="J506" s="2">
        <f>COUNTIFS($F$13:F506,F506,$I$13:I506,I506)</f>
        <v>2</v>
      </c>
      <c r="O506" s="23">
        <v>1006201</v>
      </c>
      <c r="P506" s="23">
        <v>1006301</v>
      </c>
      <c r="Q506" s="23">
        <v>1006401</v>
      </c>
      <c r="R506" s="23">
        <v>1006601</v>
      </c>
      <c r="S506" s="23">
        <v>1006701</v>
      </c>
      <c r="T506" s="23"/>
    </row>
    <row r="507" spans="1:21">
      <c r="A507" s="14" t="s">
        <v>14</v>
      </c>
      <c r="B507" s="8">
        <f t="shared" si="10"/>
        <v>70064503</v>
      </c>
      <c r="C507" s="2" t="s">
        <v>532</v>
      </c>
      <c r="E507" s="2" t="str">
        <f>F507&amp;(VLOOKUP(G507,编号表!$E$1:$G$8,2,0))&amp;H507&amp;"_"&amp;I507&amp;"_"&amp;J507</f>
        <v>6N4_5_3</v>
      </c>
      <c r="F507" s="2">
        <v>6</v>
      </c>
      <c r="G507" s="2" t="s">
        <v>37</v>
      </c>
      <c r="H507" s="2">
        <v>4</v>
      </c>
      <c r="I507" s="2">
        <v>5</v>
      </c>
      <c r="J507" s="2">
        <f>COUNTIFS($F$13:F507,F507,$I$13:I507,I507)</f>
        <v>3</v>
      </c>
      <c r="O507" s="23">
        <v>1006201</v>
      </c>
      <c r="P507" s="23">
        <v>1006301</v>
      </c>
      <c r="Q507" s="23">
        <v>1006401</v>
      </c>
      <c r="R507" s="23">
        <v>1006601</v>
      </c>
      <c r="S507" s="23">
        <v>1006701</v>
      </c>
      <c r="T507" s="23"/>
    </row>
    <row r="508" spans="1:21">
      <c r="A508" s="14" t="s">
        <v>14</v>
      </c>
      <c r="B508" s="8">
        <f t="shared" si="10"/>
        <v>70063504</v>
      </c>
      <c r="C508" s="2" t="s">
        <v>533</v>
      </c>
      <c r="E508" s="2" t="str">
        <f>F508&amp;(VLOOKUP(G508,编号表!$E$1:$G$8,2,0))&amp;H508&amp;"_"&amp;I508&amp;"_"&amp;J508</f>
        <v>6N3_5_4</v>
      </c>
      <c r="F508" s="2">
        <v>6</v>
      </c>
      <c r="G508" s="2" t="s">
        <v>37</v>
      </c>
      <c r="H508" s="2">
        <v>3</v>
      </c>
      <c r="I508" s="2">
        <v>5</v>
      </c>
      <c r="J508" s="2">
        <f>COUNTIFS($F$13:F508,F508,$I$13:I508,I508)</f>
        <v>4</v>
      </c>
      <c r="O508" s="23">
        <v>1006201</v>
      </c>
      <c r="P508" s="23">
        <v>1006301</v>
      </c>
      <c r="Q508" s="23">
        <v>1006401</v>
      </c>
      <c r="R508" s="23">
        <v>1006601</v>
      </c>
      <c r="S508" s="23">
        <v>1006701</v>
      </c>
      <c r="T508" s="23"/>
    </row>
    <row r="509" spans="1:21">
      <c r="A509" s="14" t="s">
        <v>14</v>
      </c>
      <c r="B509" s="8">
        <f t="shared" si="10"/>
        <v>70062505</v>
      </c>
      <c r="C509" s="2" t="s">
        <v>534</v>
      </c>
      <c r="E509" s="2" t="str">
        <f>F509&amp;(VLOOKUP(G509,编号表!$E$1:$G$8,2,0))&amp;H509&amp;"_"&amp;I509&amp;"_"&amp;J509</f>
        <v>6N2_5_5</v>
      </c>
      <c r="F509" s="2">
        <v>6</v>
      </c>
      <c r="G509" s="2" t="s">
        <v>37</v>
      </c>
      <c r="H509" s="2">
        <v>2</v>
      </c>
      <c r="I509" s="2">
        <v>5</v>
      </c>
      <c r="J509" s="2">
        <f>COUNTIFS($F$13:F509,F509,$I$13:I509,I509)</f>
        <v>5</v>
      </c>
      <c r="O509" s="23">
        <v>1006201</v>
      </c>
      <c r="P509" s="23">
        <v>1006301</v>
      </c>
      <c r="Q509" s="23">
        <v>1006401</v>
      </c>
      <c r="R509" s="23">
        <v>1006601</v>
      </c>
      <c r="S509" s="23">
        <v>1006701</v>
      </c>
      <c r="T509" s="23">
        <v>1006801</v>
      </c>
    </row>
    <row r="510" spans="1:21">
      <c r="A510" s="14" t="s">
        <v>14</v>
      </c>
      <c r="B510" s="8">
        <f t="shared" si="10"/>
        <v>70062506</v>
      </c>
      <c r="C510" s="2" t="s">
        <v>535</v>
      </c>
      <c r="E510" s="2" t="str">
        <f>F510&amp;(VLOOKUP(G510,编号表!$E$1:$G$8,2,0))&amp;H510&amp;"_"&amp;I510&amp;"_"&amp;J510</f>
        <v>6N2_5_6</v>
      </c>
      <c r="F510" s="2">
        <v>6</v>
      </c>
      <c r="G510" s="2" t="s">
        <v>37</v>
      </c>
      <c r="H510" s="2">
        <v>2</v>
      </c>
      <c r="I510" s="2">
        <v>5</v>
      </c>
      <c r="J510" s="2">
        <f>COUNTIFS($F$13:F510,F510,$I$13:I510,I510)</f>
        <v>6</v>
      </c>
      <c r="O510" s="23">
        <v>1006201</v>
      </c>
      <c r="P510" s="23">
        <v>1006301</v>
      </c>
      <c r="Q510" s="23">
        <v>1006401</v>
      </c>
      <c r="R510" s="23">
        <v>1006601</v>
      </c>
      <c r="S510" s="23">
        <v>1006701</v>
      </c>
      <c r="T510" s="23">
        <v>1006801</v>
      </c>
    </row>
    <row r="511" spans="1:21">
      <c r="A511" s="14" t="s">
        <v>14</v>
      </c>
      <c r="B511" s="8">
        <f t="shared" si="10"/>
        <v>70063507</v>
      </c>
      <c r="C511" s="2" t="s">
        <v>536</v>
      </c>
      <c r="E511" s="2" t="str">
        <f>F511&amp;(VLOOKUP(G511,编号表!$E$1:$G$8,2,0))&amp;H511&amp;"_"&amp;I511&amp;"_"&amp;J511</f>
        <v>6N3_5_7</v>
      </c>
      <c r="F511" s="2">
        <v>6</v>
      </c>
      <c r="G511" s="2" t="s">
        <v>37</v>
      </c>
      <c r="H511" s="2">
        <v>3</v>
      </c>
      <c r="I511" s="2">
        <v>5</v>
      </c>
      <c r="J511" s="2">
        <f>COUNTIFS($F$13:F511,F511,$I$13:I511,I511)</f>
        <v>7</v>
      </c>
      <c r="O511" s="23">
        <v>1006201</v>
      </c>
      <c r="P511" s="23">
        <v>1006301</v>
      </c>
      <c r="Q511" s="23">
        <v>1006401</v>
      </c>
      <c r="R511" s="23">
        <v>1006601</v>
      </c>
      <c r="S511" s="23">
        <v>1006701</v>
      </c>
      <c r="T511" s="23">
        <v>1006801</v>
      </c>
    </row>
    <row r="512" spans="1:21">
      <c r="A512" s="14" t="s">
        <v>14</v>
      </c>
      <c r="B512" s="8">
        <f t="shared" si="10"/>
        <v>70063601</v>
      </c>
      <c r="C512" s="2" t="s">
        <v>537</v>
      </c>
      <c r="E512" s="2" t="str">
        <f>F512&amp;(VLOOKUP(G512,编号表!$E$1:$G$8,2,0))&amp;H512&amp;"_"&amp;I512&amp;"_"&amp;J512</f>
        <v>6N3_6_1</v>
      </c>
      <c r="F512" s="2">
        <v>6</v>
      </c>
      <c r="G512" s="2" t="s">
        <v>37</v>
      </c>
      <c r="H512" s="2">
        <v>3</v>
      </c>
      <c r="I512" s="2">
        <v>6</v>
      </c>
      <c r="J512" s="2">
        <f>COUNTIFS($F$13:F512,F512,$I$13:I512,I512)</f>
        <v>1</v>
      </c>
      <c r="O512" s="23">
        <v>1006201</v>
      </c>
      <c r="P512" s="23">
        <v>1006301</v>
      </c>
      <c r="Q512" s="23">
        <v>1006401</v>
      </c>
      <c r="R512" s="23">
        <v>1006601</v>
      </c>
      <c r="S512" s="23">
        <v>1006701</v>
      </c>
      <c r="T512" s="23">
        <v>1006801</v>
      </c>
    </row>
    <row r="513" spans="1:21">
      <c r="A513" s="14" t="s">
        <v>14</v>
      </c>
      <c r="B513" s="8">
        <f t="shared" si="10"/>
        <v>70063602</v>
      </c>
      <c r="C513" s="2" t="s">
        <v>538</v>
      </c>
      <c r="E513" s="2" t="str">
        <f>F513&amp;(VLOOKUP(G513,编号表!$E$1:$G$8,2,0))&amp;H513&amp;"_"&amp;I513&amp;"_"&amp;J513</f>
        <v>6N3_6_2</v>
      </c>
      <c r="F513" s="2">
        <v>6</v>
      </c>
      <c r="G513" s="2" t="s">
        <v>37</v>
      </c>
      <c r="H513" s="2">
        <v>3</v>
      </c>
      <c r="I513" s="2">
        <v>6</v>
      </c>
      <c r="J513" s="2">
        <f>COUNTIFS($F$13:F513,F513,$I$13:I513,I513)</f>
        <v>2</v>
      </c>
      <c r="O513" s="23">
        <v>1006201</v>
      </c>
      <c r="P513" s="23">
        <v>1006301</v>
      </c>
      <c r="Q513" s="23">
        <v>1006401</v>
      </c>
      <c r="R513" s="23">
        <v>1006601</v>
      </c>
      <c r="S513" s="23">
        <v>1006701</v>
      </c>
      <c r="T513" s="23">
        <v>1006801</v>
      </c>
    </row>
    <row r="514" spans="1:21">
      <c r="A514" s="14" t="s">
        <v>14</v>
      </c>
      <c r="B514" s="8">
        <f t="shared" si="10"/>
        <v>70064603</v>
      </c>
      <c r="C514" s="2" t="s">
        <v>539</v>
      </c>
      <c r="E514" s="2" t="str">
        <f>F514&amp;(VLOOKUP(G514,编号表!$E$1:$G$8,2,0))&amp;H514&amp;"_"&amp;I514&amp;"_"&amp;J514</f>
        <v>6N4_6_3</v>
      </c>
      <c r="F514" s="2">
        <v>6</v>
      </c>
      <c r="G514" s="2" t="s">
        <v>37</v>
      </c>
      <c r="H514" s="2">
        <v>4</v>
      </c>
      <c r="I514" s="2">
        <v>6</v>
      </c>
      <c r="J514" s="2">
        <f>COUNTIFS($F$13:F514,F514,$I$13:I514,I514)</f>
        <v>3</v>
      </c>
      <c r="O514" s="23">
        <v>1006201</v>
      </c>
      <c r="P514" s="23">
        <v>1006301</v>
      </c>
      <c r="Q514" s="23">
        <v>1006401</v>
      </c>
      <c r="R514" s="23">
        <v>1006601</v>
      </c>
      <c r="S514" s="23">
        <v>1006701</v>
      </c>
      <c r="T514" s="23">
        <v>1006801</v>
      </c>
    </row>
    <row r="515" spans="1:21">
      <c r="A515" s="14" t="s">
        <v>14</v>
      </c>
      <c r="B515" s="8">
        <f t="shared" si="10"/>
        <v>70063604</v>
      </c>
      <c r="C515" s="2" t="s">
        <v>540</v>
      </c>
      <c r="E515" s="2" t="str">
        <f>F515&amp;(VLOOKUP(G515,编号表!$E$1:$G$8,2,0))&amp;H515&amp;"_"&amp;I515&amp;"_"&amp;J515</f>
        <v>6N3_6_4</v>
      </c>
      <c r="F515" s="2">
        <v>6</v>
      </c>
      <c r="G515" s="2" t="s">
        <v>37</v>
      </c>
      <c r="H515" s="2">
        <v>3</v>
      </c>
      <c r="I515" s="2">
        <v>6</v>
      </c>
      <c r="J515" s="2">
        <f>COUNTIFS($F$13:F515,F515,$I$13:I515,I515)</f>
        <v>4</v>
      </c>
      <c r="O515" s="23">
        <v>1006201</v>
      </c>
      <c r="P515" s="23">
        <v>1006301</v>
      </c>
      <c r="Q515" s="23">
        <v>1006401</v>
      </c>
      <c r="R515" s="23">
        <v>1006501</v>
      </c>
      <c r="S515" s="23">
        <v>1006701</v>
      </c>
      <c r="T515" s="23">
        <v>1006801</v>
      </c>
    </row>
    <row r="516" spans="1:21">
      <c r="A516" s="14" t="s">
        <v>14</v>
      </c>
      <c r="B516" s="8">
        <f t="shared" si="10"/>
        <v>70063605</v>
      </c>
      <c r="C516" s="2" t="s">
        <v>541</v>
      </c>
      <c r="E516" s="2" t="str">
        <f>F516&amp;(VLOOKUP(G516,编号表!$E$1:$G$8,2,0))&amp;H516&amp;"_"&amp;I516&amp;"_"&amp;J516</f>
        <v>6N3_6_5</v>
      </c>
      <c r="F516" s="2">
        <v>6</v>
      </c>
      <c r="G516" s="2" t="s">
        <v>37</v>
      </c>
      <c r="H516" s="2">
        <v>3</v>
      </c>
      <c r="I516" s="2">
        <v>6</v>
      </c>
      <c r="J516" s="2">
        <f>COUNTIFS($F$13:F516,F516,$I$13:I516,I516)</f>
        <v>5</v>
      </c>
      <c r="O516" s="23">
        <v>1006201</v>
      </c>
      <c r="P516" s="23">
        <v>1006301</v>
      </c>
      <c r="Q516" s="23">
        <v>1006401</v>
      </c>
      <c r="R516" s="23">
        <v>1006501</v>
      </c>
      <c r="S516" s="23">
        <v>1006701</v>
      </c>
      <c r="T516" s="23">
        <v>1006801</v>
      </c>
    </row>
    <row r="517" spans="1:21">
      <c r="A517" s="14" t="s">
        <v>14</v>
      </c>
      <c r="B517" s="8">
        <f t="shared" si="10"/>
        <v>70065606</v>
      </c>
      <c r="C517" s="2" t="s">
        <v>542</v>
      </c>
      <c r="E517" s="2" t="str">
        <f>F517&amp;(VLOOKUP(G517,编号表!$E$1:$G$8,2,0))&amp;H517&amp;"_"&amp;I517&amp;"_"&amp;J517</f>
        <v>6N5_6_6</v>
      </c>
      <c r="F517" s="2">
        <v>6</v>
      </c>
      <c r="G517" s="2" t="s">
        <v>37</v>
      </c>
      <c r="H517" s="2">
        <v>5</v>
      </c>
      <c r="I517" s="2">
        <v>6</v>
      </c>
      <c r="J517" s="2">
        <f>COUNTIFS($F$13:F517,F517,$I$13:I517,I517)</f>
        <v>6</v>
      </c>
      <c r="O517" s="23">
        <v>1006201</v>
      </c>
      <c r="P517" s="23">
        <v>1006301</v>
      </c>
      <c r="Q517" s="23">
        <v>1006401</v>
      </c>
      <c r="R517" s="23">
        <v>1006501</v>
      </c>
      <c r="S517" s="23">
        <v>1006701</v>
      </c>
      <c r="T517" s="23">
        <v>1006801</v>
      </c>
    </row>
    <row r="518" spans="1:21">
      <c r="A518" s="14" t="s">
        <v>14</v>
      </c>
      <c r="B518" s="8">
        <f t="shared" ref="B518:B530" si="11">70000000+F518*10000+H518*1000+I518*100+J518</f>
        <v>70065607</v>
      </c>
      <c r="C518" s="2" t="s">
        <v>543</v>
      </c>
      <c r="E518" s="2" t="str">
        <f>F518&amp;(VLOOKUP(G518,编号表!$E$1:$G$8,2,0))&amp;H518&amp;"_"&amp;I518&amp;"_"&amp;J518</f>
        <v>6N5_6_7</v>
      </c>
      <c r="F518" s="2">
        <v>6</v>
      </c>
      <c r="G518" s="2" t="s">
        <v>37</v>
      </c>
      <c r="H518" s="2">
        <v>5</v>
      </c>
      <c r="I518" s="2">
        <v>6</v>
      </c>
      <c r="J518" s="2">
        <f>COUNTIFS($F$13:F518,F518,$I$13:I518,I518)</f>
        <v>7</v>
      </c>
      <c r="O518" s="23">
        <v>1006201</v>
      </c>
      <c r="P518" s="23">
        <v>1006301</v>
      </c>
      <c r="Q518" s="23">
        <v>1006401</v>
      </c>
      <c r="R518" s="23">
        <v>1006501</v>
      </c>
      <c r="S518" s="23">
        <v>1006701</v>
      </c>
      <c r="T518" s="23">
        <v>1006801</v>
      </c>
    </row>
    <row r="519" spans="1:21">
      <c r="A519" s="14" t="s">
        <v>14</v>
      </c>
      <c r="B519" s="8">
        <f t="shared" si="11"/>
        <v>70064608</v>
      </c>
      <c r="C519" s="2" t="s">
        <v>544</v>
      </c>
      <c r="E519" s="2" t="str">
        <f>F519&amp;(VLOOKUP(G519,编号表!$E$1:$G$8,2,0))&amp;H519&amp;"_"&amp;I519&amp;"_"&amp;J519</f>
        <v>6N4_6_8</v>
      </c>
      <c r="F519" s="2">
        <v>6</v>
      </c>
      <c r="G519" s="2" t="s">
        <v>37</v>
      </c>
      <c r="H519" s="2">
        <v>4</v>
      </c>
      <c r="I519" s="2">
        <v>6</v>
      </c>
      <c r="J519" s="2">
        <f>COUNTIFS($F$13:F519,F519,$I$13:I519,I519)</f>
        <v>8</v>
      </c>
      <c r="O519" s="23">
        <v>1006201</v>
      </c>
      <c r="P519" s="23">
        <v>1006301</v>
      </c>
      <c r="Q519" s="23">
        <v>1006401</v>
      </c>
      <c r="R519" s="23">
        <v>1006501</v>
      </c>
      <c r="S519" s="23">
        <v>1006701</v>
      </c>
      <c r="T519" s="23">
        <v>1006801</v>
      </c>
    </row>
    <row r="520" spans="1:21">
      <c r="A520" s="14" t="s">
        <v>14</v>
      </c>
      <c r="B520" s="8">
        <f t="shared" si="11"/>
        <v>70064701</v>
      </c>
      <c r="C520" s="2" t="s">
        <v>545</v>
      </c>
      <c r="E520" s="2" t="str">
        <f>F520&amp;(VLOOKUP(G520,编号表!$E$1:$G$8,2,0))&amp;H520&amp;"_"&amp;I520&amp;"_"&amp;J520</f>
        <v>6N4_7_1</v>
      </c>
      <c r="F520" s="2">
        <v>6</v>
      </c>
      <c r="G520" s="2" t="s">
        <v>37</v>
      </c>
      <c r="H520" s="2">
        <v>4</v>
      </c>
      <c r="I520" s="2">
        <v>7</v>
      </c>
      <c r="J520" s="2">
        <f>COUNTIFS($F$13:F520,F520,$I$13:I520,I520)</f>
        <v>1</v>
      </c>
      <c r="O520" s="23">
        <v>1006201</v>
      </c>
      <c r="P520" s="23">
        <v>1006301</v>
      </c>
      <c r="Q520" s="23">
        <v>1006401</v>
      </c>
      <c r="R520" s="23">
        <v>1006501</v>
      </c>
      <c r="S520" s="23">
        <v>1006701</v>
      </c>
      <c r="T520" s="23">
        <v>1006801</v>
      </c>
    </row>
    <row r="521" spans="1:21">
      <c r="A521" s="14" t="s">
        <v>14</v>
      </c>
      <c r="B521" s="8">
        <f t="shared" si="11"/>
        <v>70064702</v>
      </c>
      <c r="C521" s="2" t="s">
        <v>546</v>
      </c>
      <c r="E521" s="2" t="str">
        <f>F521&amp;(VLOOKUP(G521,编号表!$E$1:$G$8,2,0))&amp;H521&amp;"_"&amp;I521&amp;"_"&amp;J521</f>
        <v>6N4_7_2</v>
      </c>
      <c r="F521" s="2">
        <v>6</v>
      </c>
      <c r="G521" s="2" t="s">
        <v>37</v>
      </c>
      <c r="H521" s="2">
        <v>4</v>
      </c>
      <c r="I521" s="2">
        <v>7</v>
      </c>
      <c r="J521" s="2">
        <f>COUNTIFS($F$13:F521,F521,$I$13:I521,I521)</f>
        <v>2</v>
      </c>
      <c r="O521" s="23">
        <v>1006201</v>
      </c>
      <c r="P521" s="23">
        <v>1006301</v>
      </c>
      <c r="Q521" s="23">
        <v>1006401</v>
      </c>
      <c r="R521" s="23">
        <v>1006501</v>
      </c>
      <c r="S521" s="23">
        <v>1006701</v>
      </c>
      <c r="T521" s="23">
        <v>1006801</v>
      </c>
    </row>
    <row r="522" spans="1:21">
      <c r="A522" s="14" t="s">
        <v>14</v>
      </c>
      <c r="B522" s="8">
        <f t="shared" si="11"/>
        <v>70064703</v>
      </c>
      <c r="C522" s="2" t="s">
        <v>547</v>
      </c>
      <c r="E522" s="2" t="str">
        <f>F522&amp;(VLOOKUP(G522,编号表!$E$1:$G$8,2,0))&amp;H522&amp;"_"&amp;I522&amp;"_"&amp;J522</f>
        <v>6N4_7_3</v>
      </c>
      <c r="F522" s="2">
        <v>6</v>
      </c>
      <c r="G522" s="2" t="s">
        <v>37</v>
      </c>
      <c r="H522" s="2">
        <v>4</v>
      </c>
      <c r="I522" s="2">
        <v>7</v>
      </c>
      <c r="J522" s="2">
        <f>COUNTIFS($F$13:F522,F522,$I$13:I522,I522)</f>
        <v>3</v>
      </c>
      <c r="O522" s="23">
        <v>1006201</v>
      </c>
      <c r="P522" s="23">
        <v>1006301</v>
      </c>
      <c r="Q522" s="23">
        <v>1006401</v>
      </c>
      <c r="R522" s="23">
        <v>1006501</v>
      </c>
      <c r="S522" s="23">
        <v>1006701</v>
      </c>
      <c r="T522" s="23">
        <v>1006801</v>
      </c>
    </row>
    <row r="523" spans="1:21">
      <c r="A523" s="14" t="s">
        <v>14</v>
      </c>
      <c r="B523" s="8">
        <f t="shared" si="11"/>
        <v>70063704</v>
      </c>
      <c r="C523" s="2" t="s">
        <v>548</v>
      </c>
      <c r="E523" s="2" t="str">
        <f>F523&amp;(VLOOKUP(G523,编号表!$E$1:$G$8,2,0))&amp;H523&amp;"_"&amp;I523&amp;"_"&amp;J523</f>
        <v>6N3_7_4</v>
      </c>
      <c r="F523" s="2">
        <v>6</v>
      </c>
      <c r="G523" s="2" t="s">
        <v>37</v>
      </c>
      <c r="H523" s="2">
        <v>3</v>
      </c>
      <c r="I523" s="2">
        <v>7</v>
      </c>
      <c r="J523" s="2">
        <f>COUNTIFS($F$13:F523,F523,$I$13:I523,I523)</f>
        <v>4</v>
      </c>
      <c r="O523" s="23">
        <v>1006201</v>
      </c>
      <c r="P523" s="23">
        <v>1006301</v>
      </c>
      <c r="Q523" s="23">
        <v>1006401</v>
      </c>
      <c r="R523" s="23">
        <v>1006501</v>
      </c>
      <c r="S523" s="23">
        <v>1006701</v>
      </c>
      <c r="T523" s="23">
        <v>1006801</v>
      </c>
    </row>
    <row r="524" spans="1:21">
      <c r="A524" s="14" t="s">
        <v>14</v>
      </c>
      <c r="B524" s="8">
        <f t="shared" si="11"/>
        <v>70063705</v>
      </c>
      <c r="C524" s="2" t="s">
        <v>549</v>
      </c>
      <c r="E524" s="2" t="str">
        <f>F524&amp;(VLOOKUP(G524,编号表!$E$1:$G$8,2,0))&amp;H524&amp;"_"&amp;I524&amp;"_"&amp;J524</f>
        <v>6N3_7_5</v>
      </c>
      <c r="F524" s="2">
        <v>6</v>
      </c>
      <c r="G524" s="2" t="s">
        <v>37</v>
      </c>
      <c r="H524" s="2">
        <v>3</v>
      </c>
      <c r="I524" s="2">
        <v>7</v>
      </c>
      <c r="J524" s="2">
        <f>COUNTIFS($F$13:F524,F524,$I$13:I524,I524)</f>
        <v>5</v>
      </c>
      <c r="O524" s="23">
        <v>1006201</v>
      </c>
      <c r="P524" s="23">
        <v>1006301</v>
      </c>
      <c r="Q524" s="23">
        <v>1006401</v>
      </c>
      <c r="R524" s="23">
        <v>1006501</v>
      </c>
      <c r="S524" s="23">
        <v>1006701</v>
      </c>
      <c r="T524" s="23">
        <v>1006801</v>
      </c>
    </row>
    <row r="525" spans="1:21">
      <c r="A525" s="14" t="s">
        <v>14</v>
      </c>
      <c r="B525" s="8">
        <f t="shared" si="11"/>
        <v>70063706</v>
      </c>
      <c r="C525" s="2" t="s">
        <v>550</v>
      </c>
      <c r="E525" s="2" t="str">
        <f>F525&amp;(VLOOKUP(G525,编号表!$E$1:$G$8,2,0))&amp;H525&amp;"_"&amp;I525&amp;"_"&amp;J525</f>
        <v>6N3_7_6</v>
      </c>
      <c r="F525" s="2">
        <v>6</v>
      </c>
      <c r="G525" s="2" t="s">
        <v>37</v>
      </c>
      <c r="H525" s="2">
        <v>3</v>
      </c>
      <c r="I525" s="2">
        <v>7</v>
      </c>
      <c r="J525" s="2">
        <f>COUNTIFS($F$13:F525,F525,$I$13:I525,I525)</f>
        <v>6</v>
      </c>
      <c r="O525" s="23">
        <v>1006201</v>
      </c>
      <c r="P525" s="23">
        <v>1006301</v>
      </c>
      <c r="Q525" s="23">
        <v>1006401</v>
      </c>
      <c r="R525" s="23">
        <v>1006501</v>
      </c>
      <c r="S525" s="23">
        <v>1006601</v>
      </c>
      <c r="T525" s="23">
        <v>1006701</v>
      </c>
      <c r="U525" s="23"/>
    </row>
    <row r="526" spans="1:21">
      <c r="A526" s="14" t="s">
        <v>14</v>
      </c>
      <c r="B526" s="8">
        <f t="shared" si="11"/>
        <v>70063707</v>
      </c>
      <c r="C526" s="2" t="s">
        <v>551</v>
      </c>
      <c r="E526" s="2" t="str">
        <f>F526&amp;(VLOOKUP(G526,编号表!$E$1:$G$8,2,0))&amp;H526&amp;"_"&amp;I526&amp;"_"&amp;J526</f>
        <v>6N3_7_7</v>
      </c>
      <c r="F526" s="2">
        <v>6</v>
      </c>
      <c r="G526" s="2" t="s">
        <v>37</v>
      </c>
      <c r="H526" s="2">
        <v>3</v>
      </c>
      <c r="I526" s="2">
        <v>7</v>
      </c>
      <c r="J526" s="2">
        <f>COUNTIFS($F$13:F526,F526,$I$13:I526,I526)</f>
        <v>7</v>
      </c>
      <c r="O526" s="23">
        <v>1006201</v>
      </c>
      <c r="P526" s="23">
        <v>1006301</v>
      </c>
      <c r="Q526" s="23">
        <v>1006401</v>
      </c>
      <c r="R526" s="23">
        <v>1006501</v>
      </c>
      <c r="S526" s="23">
        <v>1006601</v>
      </c>
      <c r="T526" s="23">
        <v>1006701</v>
      </c>
      <c r="U526" s="23"/>
    </row>
    <row r="527" spans="1:21">
      <c r="A527" s="14" t="s">
        <v>14</v>
      </c>
      <c r="B527" s="8">
        <f t="shared" si="11"/>
        <v>70063708</v>
      </c>
      <c r="C527" s="2" t="s">
        <v>552</v>
      </c>
      <c r="E527" s="2" t="str">
        <f>F527&amp;(VLOOKUP(G527,编号表!$E$1:$G$8,2,0))&amp;H527&amp;"_"&amp;I527&amp;"_"&amp;J527</f>
        <v>6N3_7_8</v>
      </c>
      <c r="F527" s="2">
        <v>6</v>
      </c>
      <c r="G527" s="2" t="s">
        <v>37</v>
      </c>
      <c r="H527" s="2">
        <v>3</v>
      </c>
      <c r="I527" s="2">
        <v>7</v>
      </c>
      <c r="J527" s="2">
        <f>COUNTIFS($F$13:F527,F527,$I$13:I527,I527)</f>
        <v>8</v>
      </c>
      <c r="O527" s="23">
        <v>1006201</v>
      </c>
      <c r="P527" s="23">
        <v>1006301</v>
      </c>
      <c r="Q527" s="23">
        <v>1006401</v>
      </c>
      <c r="R527" s="23">
        <v>1006501</v>
      </c>
      <c r="S527" s="23">
        <v>1006601</v>
      </c>
      <c r="T527" s="23">
        <v>1006701</v>
      </c>
      <c r="U527" s="23"/>
    </row>
    <row r="528" spans="1:21">
      <c r="A528" s="14" t="s">
        <v>14</v>
      </c>
      <c r="B528" s="8">
        <f t="shared" si="11"/>
        <v>70061709</v>
      </c>
      <c r="C528" s="15" t="s">
        <v>553</v>
      </c>
      <c r="E528" s="2" t="str">
        <f>F528&amp;(VLOOKUP(G528,编号表!$E$1:$G$8,2,0))&amp;H528&amp;"_"&amp;I528&amp;"_"&amp;J528</f>
        <v>6T1_7_9</v>
      </c>
      <c r="F528" s="2">
        <v>6</v>
      </c>
      <c r="G528" s="2" t="s">
        <v>53</v>
      </c>
      <c r="H528" s="2">
        <v>1</v>
      </c>
      <c r="I528" s="2">
        <v>7</v>
      </c>
      <c r="J528" s="2">
        <f>COUNTIFS($F$13:F528,F528,$I$13:I528,I528)</f>
        <v>9</v>
      </c>
    </row>
    <row r="529" spans="1:18">
      <c r="A529" s="14" t="s">
        <v>14</v>
      </c>
      <c r="B529" s="8">
        <f t="shared" si="11"/>
        <v>70063710</v>
      </c>
      <c r="C529" s="16" t="s">
        <v>554</v>
      </c>
      <c r="D529" s="2" t="s">
        <v>555</v>
      </c>
      <c r="E529" s="2" t="str">
        <f>F529&amp;(VLOOKUP(G529,编号表!$E$1:$G$8,2,0))&amp;H529&amp;"_"&amp;I529&amp;"_"&amp;J529</f>
        <v>6T3_7_10</v>
      </c>
      <c r="F529" s="2">
        <v>6</v>
      </c>
      <c r="G529" s="2" t="s">
        <v>53</v>
      </c>
      <c r="H529" s="2">
        <v>3</v>
      </c>
      <c r="I529" s="2">
        <v>7</v>
      </c>
      <c r="J529" s="2">
        <f>COUNTIFS($F$13:F529,F529,$I$13:I529,I529)</f>
        <v>10</v>
      </c>
      <c r="M529" s="2">
        <v>114</v>
      </c>
    </row>
    <row r="530" spans="1:18">
      <c r="A530" s="14" t="s">
        <v>14</v>
      </c>
      <c r="B530" s="8">
        <f t="shared" si="11"/>
        <v>70060001</v>
      </c>
      <c r="C530" s="18" t="s">
        <v>556</v>
      </c>
      <c r="E530" s="2" t="str">
        <f>F530&amp;(VLOOKUP(G530,编号表!$E$1:$G$8,2,0))&amp;H530&amp;"_"&amp;I530&amp;"_"&amp;J530</f>
        <v>6J0_0_1</v>
      </c>
      <c r="F530" s="2">
        <v>6</v>
      </c>
      <c r="G530" s="2" t="s">
        <v>86</v>
      </c>
      <c r="H530" s="2">
        <v>0</v>
      </c>
      <c r="I530" s="2">
        <v>0</v>
      </c>
      <c r="J530" s="2">
        <f>COUNTIFS($F$13:F530,F530,$I$13:I530,I530)</f>
        <v>1</v>
      </c>
      <c r="K530" s="2">
        <v>1</v>
      </c>
    </row>
    <row r="531" spans="1:18">
      <c r="A531" s="14" t="s">
        <v>14</v>
      </c>
      <c r="B531" s="8">
        <f t="shared" ref="B531:B582" si="12">70000000+F531*10000+H531*1000+I531*100+J531</f>
        <v>70074101</v>
      </c>
      <c r="C531" s="2" t="s">
        <v>557</v>
      </c>
      <c r="E531" s="2" t="str">
        <f>F531&amp;(VLOOKUP(G531,编号表!$E$1:$G$8,2,0))&amp;H531&amp;"_"&amp;I531&amp;"_"&amp;J531</f>
        <v>7N4_1_1</v>
      </c>
      <c r="F531" s="2">
        <v>7</v>
      </c>
      <c r="G531" s="2" t="s">
        <v>37</v>
      </c>
      <c r="H531" s="2">
        <v>4</v>
      </c>
      <c r="I531" s="2">
        <v>1</v>
      </c>
      <c r="J531" s="2">
        <f>COUNTIFS($F$13:F531,F531,$I$13:I531,I531)</f>
        <v>1</v>
      </c>
      <c r="O531" s="8">
        <v>1007201</v>
      </c>
      <c r="P531" s="8">
        <v>1007301</v>
      </c>
      <c r="Q531" s="8">
        <v>1007401</v>
      </c>
      <c r="R531" s="8">
        <v>1007001</v>
      </c>
    </row>
    <row r="532" spans="1:18">
      <c r="A532" s="14" t="s">
        <v>14</v>
      </c>
      <c r="B532" s="8">
        <f t="shared" si="12"/>
        <v>70074102</v>
      </c>
      <c r="C532" s="2" t="s">
        <v>558</v>
      </c>
      <c r="E532" s="2" t="str">
        <f>F532&amp;(VLOOKUP(G532,编号表!$E$1:$G$8,2,0))&amp;H532&amp;"_"&amp;I532&amp;"_"&amp;J532</f>
        <v>7N4_1_2</v>
      </c>
      <c r="F532" s="2">
        <v>7</v>
      </c>
      <c r="G532" s="2" t="s">
        <v>37</v>
      </c>
      <c r="H532" s="2">
        <v>4</v>
      </c>
      <c r="I532" s="2">
        <v>1</v>
      </c>
      <c r="J532" s="2">
        <f>COUNTIFS($F$13:F532,F532,$I$13:I532,I532)</f>
        <v>2</v>
      </c>
      <c r="O532" s="8">
        <v>1007201</v>
      </c>
      <c r="P532" s="8">
        <v>1007301</v>
      </c>
      <c r="Q532" s="8">
        <v>1007401</v>
      </c>
      <c r="R532" s="8">
        <v>1007002</v>
      </c>
    </row>
    <row r="533" spans="1:18">
      <c r="A533" s="14" t="s">
        <v>14</v>
      </c>
      <c r="B533" s="8">
        <f t="shared" si="12"/>
        <v>70074103</v>
      </c>
      <c r="C533" s="2" t="s">
        <v>559</v>
      </c>
      <c r="E533" s="2" t="str">
        <f>F533&amp;(VLOOKUP(G533,编号表!$E$1:$G$8,2,0))&amp;H533&amp;"_"&amp;I533&amp;"_"&amp;J533</f>
        <v>7N4_1_3</v>
      </c>
      <c r="F533" s="2">
        <v>7</v>
      </c>
      <c r="G533" s="2" t="s">
        <v>37</v>
      </c>
      <c r="H533" s="2">
        <v>4</v>
      </c>
      <c r="I533" s="2">
        <v>1</v>
      </c>
      <c r="J533" s="2">
        <f>COUNTIFS($F$13:F533,F533,$I$13:I533,I533)</f>
        <v>3</v>
      </c>
      <c r="O533" s="8">
        <v>1007201</v>
      </c>
      <c r="P533" s="8">
        <v>1007301</v>
      </c>
      <c r="Q533" s="8">
        <v>1007401</v>
      </c>
      <c r="R533" s="8">
        <v>1007003</v>
      </c>
    </row>
    <row r="534" spans="1:18">
      <c r="A534" s="14" t="s">
        <v>14</v>
      </c>
      <c r="B534" s="8">
        <f t="shared" si="12"/>
        <v>70073104</v>
      </c>
      <c r="C534" s="2" t="s">
        <v>560</v>
      </c>
      <c r="E534" s="2" t="str">
        <f>F534&amp;(VLOOKUP(G534,编号表!$E$1:$G$8,2,0))&amp;H534&amp;"_"&amp;I534&amp;"_"&amp;J534</f>
        <v>7N3_1_4</v>
      </c>
      <c r="F534" s="2">
        <v>7</v>
      </c>
      <c r="G534" s="2" t="s">
        <v>37</v>
      </c>
      <c r="H534" s="2">
        <v>3</v>
      </c>
      <c r="I534" s="2">
        <v>1</v>
      </c>
      <c r="J534" s="2">
        <f>COUNTIFS($F$13:F534,F534,$I$13:I534,I534)</f>
        <v>4</v>
      </c>
      <c r="O534" s="8">
        <v>1007201</v>
      </c>
      <c r="P534" s="8">
        <v>1007301</v>
      </c>
      <c r="Q534" s="8">
        <v>1007401</v>
      </c>
      <c r="R534" s="8">
        <v>1007101</v>
      </c>
    </row>
    <row r="535" spans="1:18">
      <c r="A535" s="14" t="s">
        <v>14</v>
      </c>
      <c r="B535" s="8">
        <f t="shared" si="12"/>
        <v>70074201</v>
      </c>
      <c r="C535" s="2" t="s">
        <v>561</v>
      </c>
      <c r="E535" s="2" t="str">
        <f>F535&amp;(VLOOKUP(G535,编号表!$E$1:$G$8,2,0))&amp;H535&amp;"_"&amp;I535&amp;"_"&amp;J535</f>
        <v>7N4_2_1</v>
      </c>
      <c r="F535" s="2">
        <v>7</v>
      </c>
      <c r="G535" s="2" t="s">
        <v>37</v>
      </c>
      <c r="H535" s="2">
        <v>4</v>
      </c>
      <c r="I535" s="2">
        <v>2</v>
      </c>
      <c r="J535" s="2">
        <f>COUNTIFS($F$13:F535,F535,$I$13:I535,I535)</f>
        <v>1</v>
      </c>
      <c r="O535" s="8">
        <v>1007201</v>
      </c>
      <c r="P535" s="8">
        <v>1007301</v>
      </c>
      <c r="Q535" s="8">
        <v>1007401</v>
      </c>
    </row>
    <row r="536" spans="1:18">
      <c r="A536" s="14" t="s">
        <v>14</v>
      </c>
      <c r="B536" s="8">
        <f t="shared" si="12"/>
        <v>70074202</v>
      </c>
      <c r="C536" s="2" t="s">
        <v>562</v>
      </c>
      <c r="E536" s="2" t="str">
        <f>F536&amp;(VLOOKUP(G536,编号表!$E$1:$G$8,2,0))&amp;H536&amp;"_"&amp;I536&amp;"_"&amp;J536</f>
        <v>7N4_2_2</v>
      </c>
      <c r="F536" s="2">
        <v>7</v>
      </c>
      <c r="G536" s="2" t="s">
        <v>37</v>
      </c>
      <c r="H536" s="2">
        <v>4</v>
      </c>
      <c r="I536" s="2">
        <v>2</v>
      </c>
      <c r="J536" s="2">
        <f>COUNTIFS($F$13:F536,F536,$I$13:I536,I536)</f>
        <v>2</v>
      </c>
      <c r="O536" s="8">
        <v>1007201</v>
      </c>
      <c r="P536" s="8">
        <v>1007301</v>
      </c>
      <c r="Q536" s="8">
        <v>1007401</v>
      </c>
    </row>
    <row r="537" spans="1:18">
      <c r="A537" s="14" t="s">
        <v>14</v>
      </c>
      <c r="B537" s="8">
        <f t="shared" si="12"/>
        <v>70074203</v>
      </c>
      <c r="C537" s="2" t="s">
        <v>563</v>
      </c>
      <c r="E537" s="2" t="str">
        <f>F537&amp;(VLOOKUP(G537,编号表!$E$1:$G$8,2,0))&amp;H537&amp;"_"&amp;I537&amp;"_"&amp;J537</f>
        <v>7N4_2_3</v>
      </c>
      <c r="F537" s="2">
        <v>7</v>
      </c>
      <c r="G537" s="2" t="s">
        <v>37</v>
      </c>
      <c r="H537" s="2">
        <v>4</v>
      </c>
      <c r="I537" s="2">
        <v>2</v>
      </c>
      <c r="J537" s="2">
        <f>COUNTIFS($F$13:F537,F537,$I$13:I537,I537)</f>
        <v>3</v>
      </c>
      <c r="O537" s="8">
        <v>1007201</v>
      </c>
      <c r="P537" s="8">
        <v>1007301</v>
      </c>
      <c r="Q537" s="8">
        <v>1007401</v>
      </c>
    </row>
    <row r="538" spans="1:18">
      <c r="A538" s="14" t="s">
        <v>14</v>
      </c>
      <c r="B538" s="8">
        <f t="shared" si="12"/>
        <v>70073204</v>
      </c>
      <c r="C538" s="2" t="s">
        <v>564</v>
      </c>
      <c r="E538" s="2" t="str">
        <f>F538&amp;(VLOOKUP(G538,编号表!$E$1:$G$8,2,0))&amp;H538&amp;"_"&amp;I538&amp;"_"&amp;J538</f>
        <v>7N3_2_4</v>
      </c>
      <c r="F538" s="2">
        <v>7</v>
      </c>
      <c r="G538" s="2" t="s">
        <v>37</v>
      </c>
      <c r="H538" s="2">
        <v>3</v>
      </c>
      <c r="I538" s="2">
        <v>2</v>
      </c>
      <c r="J538" s="2">
        <f>COUNTIFS($F$13:F538,F538,$I$13:I538,I538)</f>
        <v>4</v>
      </c>
      <c r="O538" s="8">
        <v>1007201</v>
      </c>
      <c r="P538" s="8">
        <v>1007301</v>
      </c>
      <c r="Q538" s="8">
        <v>1007401</v>
      </c>
    </row>
    <row r="539" spans="1:18">
      <c r="A539" s="14" t="s">
        <v>14</v>
      </c>
      <c r="B539" s="8">
        <f t="shared" si="12"/>
        <v>70074301</v>
      </c>
      <c r="C539" s="2" t="s">
        <v>565</v>
      </c>
      <c r="E539" s="2" t="str">
        <f>F539&amp;(VLOOKUP(G539,编号表!$E$1:$G$8,2,0))&amp;H539&amp;"_"&amp;I539&amp;"_"&amp;J539</f>
        <v>7N4_3_1</v>
      </c>
      <c r="F539" s="2">
        <v>7</v>
      </c>
      <c r="G539" s="2" t="s">
        <v>37</v>
      </c>
      <c r="H539" s="2">
        <v>4</v>
      </c>
      <c r="I539" s="2">
        <v>3</v>
      </c>
      <c r="J539" s="2">
        <f>COUNTIFS($F$13:F539,F539,$I$13:I539,I539)</f>
        <v>1</v>
      </c>
      <c r="O539" s="8">
        <v>1007201</v>
      </c>
      <c r="P539" s="8">
        <v>1007301</v>
      </c>
      <c r="Q539" s="8">
        <v>1007401</v>
      </c>
    </row>
    <row r="540" spans="1:18">
      <c r="A540" s="14" t="s">
        <v>14</v>
      </c>
      <c r="B540" s="8">
        <f t="shared" si="12"/>
        <v>70074302</v>
      </c>
      <c r="C540" s="2" t="s">
        <v>566</v>
      </c>
      <c r="E540" s="2" t="str">
        <f>F540&amp;(VLOOKUP(G540,编号表!$E$1:$G$8,2,0))&amp;H540&amp;"_"&amp;I540&amp;"_"&amp;J540</f>
        <v>7N4_3_2</v>
      </c>
      <c r="F540" s="2">
        <v>7</v>
      </c>
      <c r="G540" s="2" t="s">
        <v>37</v>
      </c>
      <c r="H540" s="2">
        <v>4</v>
      </c>
      <c r="I540" s="2">
        <v>3</v>
      </c>
      <c r="J540" s="2">
        <f>COUNTIFS($F$13:F540,F540,$I$13:I540,I540)</f>
        <v>2</v>
      </c>
      <c r="O540" s="8">
        <v>1007201</v>
      </c>
      <c r="P540" s="8">
        <v>1007301</v>
      </c>
      <c r="Q540" s="8">
        <v>1007401</v>
      </c>
    </row>
    <row r="541" spans="1:18">
      <c r="A541" s="14" t="s">
        <v>14</v>
      </c>
      <c r="B541" s="8">
        <f t="shared" si="12"/>
        <v>70074303</v>
      </c>
      <c r="C541" s="2" t="s">
        <v>567</v>
      </c>
      <c r="E541" s="2" t="str">
        <f>F541&amp;(VLOOKUP(G541,编号表!$E$1:$G$8,2,0))&amp;H541&amp;"_"&amp;I541&amp;"_"&amp;J541</f>
        <v>7N4_3_3</v>
      </c>
      <c r="F541" s="2">
        <v>7</v>
      </c>
      <c r="G541" s="2" t="s">
        <v>37</v>
      </c>
      <c r="H541" s="2">
        <v>4</v>
      </c>
      <c r="I541" s="2">
        <v>3</v>
      </c>
      <c r="J541" s="2">
        <f>COUNTIFS($F$13:F541,F541,$I$13:I541,I541)</f>
        <v>3</v>
      </c>
      <c r="O541" s="8">
        <v>1007201</v>
      </c>
      <c r="P541" s="8">
        <v>1007301</v>
      </c>
      <c r="Q541" s="8">
        <v>1007401</v>
      </c>
    </row>
    <row r="542" spans="1:18">
      <c r="A542" s="14" t="s">
        <v>14</v>
      </c>
      <c r="B542" s="8">
        <f t="shared" si="12"/>
        <v>70073304</v>
      </c>
      <c r="C542" s="2" t="s">
        <v>568</v>
      </c>
      <c r="E542" s="2" t="str">
        <f>F542&amp;(VLOOKUP(G542,编号表!$E$1:$G$8,2,0))&amp;H542&amp;"_"&amp;I542&amp;"_"&amp;J542</f>
        <v>7N3_3_4</v>
      </c>
      <c r="F542" s="2">
        <v>7</v>
      </c>
      <c r="G542" s="2" t="s">
        <v>37</v>
      </c>
      <c r="H542" s="2">
        <v>3</v>
      </c>
      <c r="I542" s="2">
        <v>3</v>
      </c>
      <c r="J542" s="2">
        <f>COUNTIFS($F$13:F542,F542,$I$13:I542,I542)</f>
        <v>4</v>
      </c>
      <c r="O542" s="8">
        <v>1007201</v>
      </c>
      <c r="P542" s="8">
        <v>1007301</v>
      </c>
      <c r="Q542" s="8">
        <v>1007401</v>
      </c>
    </row>
    <row r="543" spans="1:18">
      <c r="A543" s="14" t="s">
        <v>14</v>
      </c>
      <c r="B543" s="8">
        <f t="shared" si="12"/>
        <v>70071401</v>
      </c>
      <c r="C543" s="15" t="s">
        <v>555</v>
      </c>
      <c r="E543" s="2" t="str">
        <f>F543&amp;(VLOOKUP(G543,编号表!$E$1:$G$8,2,0))&amp;H543&amp;"_"&amp;I543&amp;"_"&amp;J543</f>
        <v>7T1_4_1</v>
      </c>
      <c r="F543" s="2">
        <v>7</v>
      </c>
      <c r="G543" s="2" t="s">
        <v>53</v>
      </c>
      <c r="H543" s="2">
        <v>1</v>
      </c>
      <c r="I543" s="2">
        <v>4</v>
      </c>
      <c r="J543" s="2">
        <f>COUNTIFS($F$13:F543,F543,$I$13:I543,I543)</f>
        <v>1</v>
      </c>
      <c r="L543" s="2">
        <v>1</v>
      </c>
    </row>
    <row r="544" spans="1:18">
      <c r="A544" s="14" t="s">
        <v>14</v>
      </c>
      <c r="B544" s="8">
        <f t="shared" si="12"/>
        <v>70073402</v>
      </c>
      <c r="C544" s="16" t="s">
        <v>96</v>
      </c>
      <c r="D544" s="2" t="s">
        <v>553</v>
      </c>
      <c r="E544" s="2" t="str">
        <f>F544&amp;(VLOOKUP(G544,编号表!$E$1:$G$8,2,0))&amp;H544&amp;"_"&amp;I544&amp;"_"&amp;J544</f>
        <v>7T3_4_2</v>
      </c>
      <c r="F544" s="2">
        <v>7</v>
      </c>
      <c r="G544" s="2" t="s">
        <v>53</v>
      </c>
      <c r="H544" s="2">
        <v>3</v>
      </c>
      <c r="I544" s="2">
        <v>4</v>
      </c>
      <c r="J544" s="2">
        <f>COUNTIFS($F$13:F544,F544,$I$13:I544,I544)</f>
        <v>2</v>
      </c>
      <c r="M544" s="2">
        <v>115</v>
      </c>
    </row>
    <row r="545" spans="1:19">
      <c r="A545" s="14" t="s">
        <v>14</v>
      </c>
      <c r="B545" s="8">
        <f t="shared" si="12"/>
        <v>70073403</v>
      </c>
      <c r="C545" s="2" t="s">
        <v>569</v>
      </c>
      <c r="E545" s="2" t="str">
        <f>F545&amp;(VLOOKUP(G545,编号表!$E$1:$G$8,2,0))&amp;H545&amp;"_"&amp;I545&amp;"_"&amp;J545</f>
        <v>7N3_4_3</v>
      </c>
      <c r="F545" s="2">
        <v>7</v>
      </c>
      <c r="G545" s="2" t="s">
        <v>37</v>
      </c>
      <c r="H545" s="2">
        <v>3</v>
      </c>
      <c r="I545" s="2">
        <v>4</v>
      </c>
      <c r="J545" s="2">
        <f>COUNTIFS($F$13:F545,F545,$I$13:I545,I545)</f>
        <v>3</v>
      </c>
      <c r="O545" s="8">
        <v>1007201</v>
      </c>
      <c r="P545" s="8">
        <v>1007301</v>
      </c>
      <c r="Q545" s="8">
        <v>1007401</v>
      </c>
    </row>
    <row r="546" spans="1:19">
      <c r="A546" s="14" t="s">
        <v>14</v>
      </c>
      <c r="B546" s="8">
        <f t="shared" si="12"/>
        <v>70073404</v>
      </c>
      <c r="C546" s="2" t="s">
        <v>570</v>
      </c>
      <c r="E546" s="2" t="str">
        <f>F546&amp;(VLOOKUP(G546,编号表!$E$1:$G$8,2,0))&amp;H546&amp;"_"&amp;I546&amp;"_"&amp;J546</f>
        <v>7N3_4_4</v>
      </c>
      <c r="F546" s="2">
        <v>7</v>
      </c>
      <c r="G546" s="2" t="s">
        <v>37</v>
      </c>
      <c r="H546" s="2">
        <v>3</v>
      </c>
      <c r="I546" s="2">
        <v>4</v>
      </c>
      <c r="J546" s="2">
        <f>COUNTIFS($F$13:F546,F546,$I$13:I546,I546)</f>
        <v>4</v>
      </c>
      <c r="O546" s="8">
        <v>1007201</v>
      </c>
      <c r="P546" s="8">
        <v>1007301</v>
      </c>
      <c r="Q546" s="8">
        <v>1007401</v>
      </c>
    </row>
    <row r="547" spans="1:19">
      <c r="A547" s="14" t="s">
        <v>14</v>
      </c>
      <c r="B547" s="8">
        <f t="shared" si="12"/>
        <v>70073405</v>
      </c>
      <c r="C547" s="2" t="s">
        <v>571</v>
      </c>
      <c r="E547" s="2" t="str">
        <f>F547&amp;(VLOOKUP(G547,编号表!$E$1:$G$8,2,0))&amp;H547&amp;"_"&amp;I547&amp;"_"&amp;J547</f>
        <v>7N3_4_5</v>
      </c>
      <c r="F547" s="2">
        <v>7</v>
      </c>
      <c r="G547" s="2" t="s">
        <v>37</v>
      </c>
      <c r="H547" s="2">
        <v>3</v>
      </c>
      <c r="I547" s="2">
        <v>4</v>
      </c>
      <c r="J547" s="2">
        <f>COUNTIFS($F$13:F547,F547,$I$13:I547,I547)</f>
        <v>5</v>
      </c>
      <c r="O547" s="8">
        <v>1007201</v>
      </c>
      <c r="P547" s="8">
        <v>1007301</v>
      </c>
      <c r="Q547" s="8">
        <v>1007401</v>
      </c>
    </row>
    <row r="548" spans="1:19">
      <c r="A548" s="14" t="s">
        <v>14</v>
      </c>
      <c r="B548" s="8">
        <f t="shared" si="12"/>
        <v>70070001</v>
      </c>
      <c r="C548" s="18" t="s">
        <v>572</v>
      </c>
      <c r="E548" s="2" t="str">
        <f>F548&amp;(VLOOKUP(G548,编号表!$E$1:$G$8,2,0))&amp;H548&amp;"_"&amp;I548&amp;"_"&amp;J548</f>
        <v>7J0_0_1</v>
      </c>
      <c r="F548" s="2">
        <v>7</v>
      </c>
      <c r="G548" s="2" t="s">
        <v>86</v>
      </c>
      <c r="H548" s="2">
        <v>0</v>
      </c>
      <c r="I548" s="2">
        <v>0</v>
      </c>
      <c r="J548" s="2">
        <f>COUNTIFS($F$13:F548,F548,$I$13:I548,I548)</f>
        <v>1</v>
      </c>
      <c r="K548" s="2">
        <v>1</v>
      </c>
    </row>
    <row r="549" spans="1:19">
      <c r="A549" s="14" t="s">
        <v>14</v>
      </c>
      <c r="B549" s="8">
        <f t="shared" si="12"/>
        <v>70083101</v>
      </c>
      <c r="C549" s="2" t="s">
        <v>573</v>
      </c>
      <c r="E549" s="2" t="str">
        <f>F549&amp;(VLOOKUP(G549,编号表!$E$1:$G$8,2,0))&amp;H549&amp;"_"&amp;I549&amp;"_"&amp;J549</f>
        <v>8N3_1_1</v>
      </c>
      <c r="F549" s="2">
        <v>8</v>
      </c>
      <c r="G549" s="2" t="s">
        <v>37</v>
      </c>
      <c r="H549" s="2">
        <v>3</v>
      </c>
      <c r="I549" s="2">
        <v>1</v>
      </c>
      <c r="J549" s="2">
        <f>COUNTIFS($F$13:F549,F549,$I$13:I549,I549)</f>
        <v>1</v>
      </c>
      <c r="O549" s="8">
        <v>1008201</v>
      </c>
      <c r="P549" s="8">
        <v>1008301</v>
      </c>
      <c r="Q549" s="8">
        <v>1008401</v>
      </c>
      <c r="R549" s="8">
        <v>1008501</v>
      </c>
      <c r="S549" s="8">
        <v>1008001</v>
      </c>
    </row>
    <row r="550" spans="1:19">
      <c r="A550" s="14" t="s">
        <v>14</v>
      </c>
      <c r="B550" s="8">
        <f t="shared" si="12"/>
        <v>70083102</v>
      </c>
      <c r="C550" s="2" t="s">
        <v>574</v>
      </c>
      <c r="E550" s="2" t="str">
        <f>F550&amp;(VLOOKUP(G550,编号表!$E$1:$G$8,2,0))&amp;H550&amp;"_"&amp;I550&amp;"_"&amp;J550</f>
        <v>8N3_1_2</v>
      </c>
      <c r="F550" s="2">
        <v>8</v>
      </c>
      <c r="G550" s="2" t="s">
        <v>37</v>
      </c>
      <c r="H550" s="2">
        <v>3</v>
      </c>
      <c r="I550" s="2">
        <v>1</v>
      </c>
      <c r="J550" s="2">
        <f>COUNTIFS($F$13:F550,F550,$I$13:I550,I550)</f>
        <v>2</v>
      </c>
      <c r="O550" s="8">
        <v>1008201</v>
      </c>
      <c r="P550" s="8">
        <v>1008301</v>
      </c>
      <c r="Q550" s="8">
        <v>1008401</v>
      </c>
      <c r="R550" s="8">
        <v>1008501</v>
      </c>
      <c r="S550" s="8">
        <v>1008002</v>
      </c>
    </row>
    <row r="551" spans="1:19">
      <c r="A551" s="14" t="s">
        <v>14</v>
      </c>
      <c r="B551" s="8">
        <f t="shared" si="12"/>
        <v>70083103</v>
      </c>
      <c r="C551" s="2" t="s">
        <v>575</v>
      </c>
      <c r="E551" s="2" t="str">
        <f>F551&amp;(VLOOKUP(G551,编号表!$E$1:$G$8,2,0))&amp;H551&amp;"_"&amp;I551&amp;"_"&amp;J551</f>
        <v>8N3_1_3</v>
      </c>
      <c r="F551" s="2">
        <v>8</v>
      </c>
      <c r="G551" s="2" t="s">
        <v>37</v>
      </c>
      <c r="H551" s="2">
        <v>3</v>
      </c>
      <c r="I551" s="2">
        <v>1</v>
      </c>
      <c r="J551" s="2">
        <f>COUNTIFS($F$13:F551,F551,$I$13:I551,I551)</f>
        <v>3</v>
      </c>
      <c r="O551" s="8">
        <v>1008201</v>
      </c>
      <c r="P551" s="8">
        <v>1008301</v>
      </c>
      <c r="Q551" s="8">
        <v>1008401</v>
      </c>
      <c r="R551" s="8">
        <v>1008501</v>
      </c>
      <c r="S551" s="8">
        <v>1008101</v>
      </c>
    </row>
    <row r="552" spans="1:19">
      <c r="A552" s="14" t="s">
        <v>14</v>
      </c>
      <c r="B552" s="8">
        <f t="shared" si="12"/>
        <v>70083104</v>
      </c>
      <c r="C552" s="2" t="s">
        <v>576</v>
      </c>
      <c r="E552" s="2" t="str">
        <f>F552&amp;(VLOOKUP(G552,编号表!$E$1:$G$8,2,0))&amp;H552&amp;"_"&amp;I552&amp;"_"&amp;J552</f>
        <v>8N3_1_4</v>
      </c>
      <c r="F552" s="2">
        <v>8</v>
      </c>
      <c r="G552" s="2" t="s">
        <v>37</v>
      </c>
      <c r="H552" s="2">
        <v>3</v>
      </c>
      <c r="I552" s="2">
        <v>1</v>
      </c>
      <c r="J552" s="2">
        <f>COUNTIFS($F$13:F552,F552,$I$13:I552,I552)</f>
        <v>4</v>
      </c>
      <c r="O552" s="8">
        <v>1008201</v>
      </c>
      <c r="P552" s="8">
        <v>1008301</v>
      </c>
      <c r="Q552" s="8">
        <v>1008401</v>
      </c>
      <c r="R552" s="8">
        <v>1008501</v>
      </c>
    </row>
    <row r="553" spans="1:19">
      <c r="A553" s="14" t="s">
        <v>14</v>
      </c>
      <c r="B553" s="8">
        <f t="shared" si="12"/>
        <v>70084105</v>
      </c>
      <c r="C553" s="2" t="s">
        <v>577</v>
      </c>
      <c r="E553" s="2" t="str">
        <f>F553&amp;(VLOOKUP(G553,编号表!$E$1:$G$8,2,0))&amp;H553&amp;"_"&amp;I553&amp;"_"&amp;J553</f>
        <v>8N4_1_5</v>
      </c>
      <c r="F553" s="2">
        <v>8</v>
      </c>
      <c r="G553" s="2" t="s">
        <v>37</v>
      </c>
      <c r="H553" s="2">
        <v>4</v>
      </c>
      <c r="I553" s="2">
        <v>1</v>
      </c>
      <c r="J553" s="2">
        <f>COUNTIFS($F$13:F553,F553,$I$13:I553,I553)</f>
        <v>5</v>
      </c>
      <c r="O553" s="8">
        <v>1008201</v>
      </c>
      <c r="P553" s="8">
        <v>1008301</v>
      </c>
      <c r="Q553" s="8">
        <v>1008401</v>
      </c>
      <c r="R553" s="8">
        <v>1008501</v>
      </c>
    </row>
    <row r="554" spans="1:19">
      <c r="A554" s="14" t="s">
        <v>14</v>
      </c>
      <c r="B554" s="8">
        <f t="shared" si="12"/>
        <v>70081106</v>
      </c>
      <c r="C554" s="2" t="s">
        <v>578</v>
      </c>
      <c r="E554" s="2" t="str">
        <f>F554&amp;(VLOOKUP(G554,编号表!$E$1:$G$8,2,0))&amp;H554&amp;"_"&amp;I554&amp;"_"&amp;J554</f>
        <v>8N1_1_6</v>
      </c>
      <c r="F554" s="2">
        <v>8</v>
      </c>
      <c r="G554" s="2" t="s">
        <v>37</v>
      </c>
      <c r="H554" s="2">
        <v>1</v>
      </c>
      <c r="I554" s="2">
        <v>1</v>
      </c>
      <c r="J554" s="2">
        <f>COUNTIFS($F$13:F554,F554,$I$13:I554,I554)</f>
        <v>6</v>
      </c>
      <c r="O554" s="8">
        <v>1008201</v>
      </c>
      <c r="P554" s="8">
        <v>1008301</v>
      </c>
      <c r="Q554" s="8">
        <v>1008401</v>
      </c>
      <c r="R554" s="8">
        <v>1008501</v>
      </c>
    </row>
    <row r="555" spans="1:19">
      <c r="A555" s="14" t="s">
        <v>14</v>
      </c>
      <c r="B555" s="8">
        <f t="shared" si="12"/>
        <v>70082107</v>
      </c>
      <c r="C555" s="2" t="s">
        <v>579</v>
      </c>
      <c r="E555" s="2" t="str">
        <f>F555&amp;(VLOOKUP(G555,编号表!$E$1:$G$8,2,0))&amp;H555&amp;"_"&amp;I555&amp;"_"&amp;J555</f>
        <v>8N2_1_7</v>
      </c>
      <c r="F555" s="2">
        <v>8</v>
      </c>
      <c r="G555" s="2" t="s">
        <v>37</v>
      </c>
      <c r="H555" s="2">
        <v>2</v>
      </c>
      <c r="I555" s="2">
        <v>1</v>
      </c>
      <c r="J555" s="2">
        <f>COUNTIFS($F$13:F555,F555,$I$13:I555,I555)</f>
        <v>7</v>
      </c>
      <c r="O555" s="8">
        <v>1008201</v>
      </c>
      <c r="P555" s="8">
        <v>1008301</v>
      </c>
      <c r="Q555" s="8">
        <v>1008401</v>
      </c>
      <c r="R555" s="8">
        <v>1008501</v>
      </c>
    </row>
    <row r="556" spans="1:19">
      <c r="A556" s="14" t="s">
        <v>14</v>
      </c>
      <c r="B556" s="8">
        <f t="shared" si="12"/>
        <v>70082108</v>
      </c>
      <c r="C556" s="2" t="s">
        <v>580</v>
      </c>
      <c r="E556" s="2" t="str">
        <f>F556&amp;(VLOOKUP(G556,编号表!$E$1:$G$8,2,0))&amp;H556&amp;"_"&amp;I556&amp;"_"&amp;J556</f>
        <v>8N2_1_8</v>
      </c>
      <c r="F556" s="2">
        <v>8</v>
      </c>
      <c r="G556" s="2" t="s">
        <v>37</v>
      </c>
      <c r="H556" s="2">
        <v>2</v>
      </c>
      <c r="I556" s="2">
        <v>1</v>
      </c>
      <c r="J556" s="2">
        <f>COUNTIFS($F$13:F556,F556,$I$13:I556,I556)</f>
        <v>8</v>
      </c>
      <c r="O556" s="8">
        <v>1008201</v>
      </c>
      <c r="P556" s="8">
        <v>1008301</v>
      </c>
      <c r="Q556" s="8">
        <v>1008401</v>
      </c>
      <c r="R556" s="8">
        <v>1008501</v>
      </c>
    </row>
    <row r="557" spans="1:19">
      <c r="A557" s="14" t="s">
        <v>14</v>
      </c>
      <c r="B557" s="8">
        <f t="shared" si="12"/>
        <v>70082109</v>
      </c>
      <c r="C557" s="2" t="s">
        <v>581</v>
      </c>
      <c r="E557" s="2" t="str">
        <f>F557&amp;(VLOOKUP(G557,编号表!$E$1:$G$8,2,0))&amp;H557&amp;"_"&amp;I557&amp;"_"&amp;J557</f>
        <v>8N2_1_9</v>
      </c>
      <c r="F557" s="2">
        <v>8</v>
      </c>
      <c r="G557" s="2" t="s">
        <v>37</v>
      </c>
      <c r="H557" s="2">
        <v>2</v>
      </c>
      <c r="I557" s="2">
        <v>1</v>
      </c>
      <c r="J557" s="2">
        <f>COUNTIFS($F$13:F557,F557,$I$13:I557,I557)</f>
        <v>9</v>
      </c>
      <c r="O557" s="8">
        <v>1008201</v>
      </c>
      <c r="P557" s="8">
        <v>1008301</v>
      </c>
      <c r="Q557" s="8">
        <v>1008401</v>
      </c>
      <c r="R557" s="8">
        <v>1008501</v>
      </c>
    </row>
    <row r="558" spans="1:19">
      <c r="A558" s="14" t="s">
        <v>14</v>
      </c>
      <c r="B558" s="8">
        <f t="shared" si="12"/>
        <v>70082110</v>
      </c>
      <c r="C558" s="2" t="s">
        <v>582</v>
      </c>
      <c r="E558" s="2" t="str">
        <f>F558&amp;(VLOOKUP(G558,编号表!$E$1:$G$8,2,0))&amp;H558&amp;"_"&amp;I558&amp;"_"&amp;J558</f>
        <v>8N2_1_10</v>
      </c>
      <c r="F558" s="2">
        <v>8</v>
      </c>
      <c r="G558" s="2" t="s">
        <v>37</v>
      </c>
      <c r="H558" s="2">
        <v>2</v>
      </c>
      <c r="I558" s="2">
        <v>1</v>
      </c>
      <c r="J558" s="2">
        <f>COUNTIFS($F$13:F558,F558,$I$13:I558,I558)</f>
        <v>10</v>
      </c>
      <c r="O558" s="8">
        <v>1008201</v>
      </c>
      <c r="P558" s="8">
        <v>1008301</v>
      </c>
      <c r="Q558" s="8">
        <v>1008401</v>
      </c>
      <c r="R558" s="8">
        <v>1008501</v>
      </c>
    </row>
    <row r="559" spans="1:19">
      <c r="A559" s="14" t="s">
        <v>14</v>
      </c>
      <c r="B559" s="8">
        <f t="shared" si="12"/>
        <v>70083201</v>
      </c>
      <c r="C559" s="2" t="s">
        <v>583</v>
      </c>
      <c r="E559" s="2" t="str">
        <f>F559&amp;(VLOOKUP(G559,编号表!$E$1:$G$8,2,0))&amp;H559&amp;"_"&amp;I559&amp;"_"&amp;J559</f>
        <v>8N3_2_1</v>
      </c>
      <c r="F559" s="2">
        <v>8</v>
      </c>
      <c r="G559" s="2" t="s">
        <v>37</v>
      </c>
      <c r="H559" s="2">
        <v>3</v>
      </c>
      <c r="I559" s="2">
        <v>2</v>
      </c>
      <c r="J559" s="2">
        <f>COUNTIFS($F$13:F559,F559,$I$13:I559,I559)</f>
        <v>1</v>
      </c>
      <c r="O559" s="8">
        <v>1008201</v>
      </c>
      <c r="P559" s="8">
        <v>1008301</v>
      </c>
      <c r="Q559" s="8">
        <v>1008401</v>
      </c>
      <c r="R559" s="8">
        <v>1008501</v>
      </c>
    </row>
    <row r="560" spans="1:19">
      <c r="A560" s="14" t="s">
        <v>14</v>
      </c>
      <c r="B560" s="8">
        <f t="shared" si="12"/>
        <v>70082202</v>
      </c>
      <c r="C560" s="2" t="s">
        <v>584</v>
      </c>
      <c r="E560" s="2" t="str">
        <f>F560&amp;(VLOOKUP(G560,编号表!$E$1:$G$8,2,0))&amp;H560&amp;"_"&amp;I560&amp;"_"&amp;J560</f>
        <v>8N2_2_2</v>
      </c>
      <c r="F560" s="2">
        <v>8</v>
      </c>
      <c r="G560" s="2" t="s">
        <v>37</v>
      </c>
      <c r="H560" s="2">
        <v>2</v>
      </c>
      <c r="I560" s="2">
        <v>2</v>
      </c>
      <c r="J560" s="2">
        <f>COUNTIFS($F$13:F560,F560,$I$13:I560,I560)</f>
        <v>2</v>
      </c>
      <c r="O560" s="8">
        <v>1008201</v>
      </c>
      <c r="P560" s="8">
        <v>1008301</v>
      </c>
      <c r="Q560" s="8">
        <v>1008401</v>
      </c>
      <c r="R560" s="8">
        <v>1008501</v>
      </c>
    </row>
    <row r="561" spans="1:18">
      <c r="A561" s="14" t="s">
        <v>14</v>
      </c>
      <c r="B561" s="8">
        <f t="shared" si="12"/>
        <v>70082203</v>
      </c>
      <c r="C561" s="2" t="s">
        <v>585</v>
      </c>
      <c r="E561" s="2" t="str">
        <f>F561&amp;(VLOOKUP(G561,编号表!$E$1:$G$8,2,0))&amp;H561&amp;"_"&amp;I561&amp;"_"&amp;J561</f>
        <v>8N2_2_3</v>
      </c>
      <c r="F561" s="2">
        <v>8</v>
      </c>
      <c r="G561" s="2" t="s">
        <v>37</v>
      </c>
      <c r="H561" s="2">
        <v>2</v>
      </c>
      <c r="I561" s="2">
        <v>2</v>
      </c>
      <c r="J561" s="2">
        <f>COUNTIFS($F$13:F561,F561,$I$13:I561,I561)</f>
        <v>3</v>
      </c>
      <c r="O561" s="8">
        <v>1008201</v>
      </c>
      <c r="P561" s="8">
        <v>1008301</v>
      </c>
      <c r="Q561" s="8">
        <v>1008401</v>
      </c>
      <c r="R561" s="8">
        <v>1008501</v>
      </c>
    </row>
    <row r="562" spans="1:18">
      <c r="A562" s="14" t="s">
        <v>14</v>
      </c>
      <c r="B562" s="8">
        <f t="shared" si="12"/>
        <v>70082204</v>
      </c>
      <c r="C562" s="2" t="s">
        <v>586</v>
      </c>
      <c r="E562" s="2" t="str">
        <f>F562&amp;(VLOOKUP(G562,编号表!$E$1:$G$8,2,0))&amp;H562&amp;"_"&amp;I562&amp;"_"&amp;J562</f>
        <v>8N2_2_4</v>
      </c>
      <c r="F562" s="2">
        <v>8</v>
      </c>
      <c r="G562" s="2" t="s">
        <v>37</v>
      </c>
      <c r="H562" s="2">
        <v>2</v>
      </c>
      <c r="I562" s="2">
        <v>2</v>
      </c>
      <c r="J562" s="2">
        <f>COUNTIFS($F$13:F562,F562,$I$13:I562,I562)</f>
        <v>4</v>
      </c>
      <c r="O562" s="8">
        <v>1008201</v>
      </c>
      <c r="P562" s="8">
        <v>1008301</v>
      </c>
      <c r="Q562" s="8">
        <v>1008401</v>
      </c>
      <c r="R562" s="8">
        <v>1008501</v>
      </c>
    </row>
    <row r="563" spans="1:18">
      <c r="A563" s="14" t="s">
        <v>14</v>
      </c>
      <c r="B563" s="8">
        <f t="shared" si="12"/>
        <v>70083205</v>
      </c>
      <c r="C563" s="2" t="s">
        <v>587</v>
      </c>
      <c r="E563" s="2" t="str">
        <f>F563&amp;(VLOOKUP(G563,编号表!$E$1:$G$8,2,0))&amp;H563&amp;"_"&amp;I563&amp;"_"&amp;J563</f>
        <v>8N3_2_5</v>
      </c>
      <c r="F563" s="2">
        <v>8</v>
      </c>
      <c r="G563" s="2" t="s">
        <v>37</v>
      </c>
      <c r="H563" s="2">
        <v>3</v>
      </c>
      <c r="I563" s="2">
        <v>2</v>
      </c>
      <c r="J563" s="2">
        <f>COUNTIFS($F$13:F563,F563,$I$13:I563,I563)</f>
        <v>5</v>
      </c>
      <c r="O563" s="8">
        <v>1008201</v>
      </c>
      <c r="P563" s="8">
        <v>1008301</v>
      </c>
      <c r="Q563" s="8">
        <v>1008401</v>
      </c>
      <c r="R563" s="8">
        <v>1008501</v>
      </c>
    </row>
    <row r="564" spans="1:18">
      <c r="A564" s="14" t="s">
        <v>14</v>
      </c>
      <c r="B564" s="8">
        <f t="shared" si="12"/>
        <v>70083206</v>
      </c>
      <c r="C564" s="2" t="s">
        <v>588</v>
      </c>
      <c r="E564" s="2" t="str">
        <f>F564&amp;(VLOOKUP(G564,编号表!$E$1:$G$8,2,0))&amp;H564&amp;"_"&amp;I564&amp;"_"&amp;J564</f>
        <v>8N3_2_6</v>
      </c>
      <c r="F564" s="2">
        <v>8</v>
      </c>
      <c r="G564" s="2" t="s">
        <v>37</v>
      </c>
      <c r="H564" s="2">
        <v>3</v>
      </c>
      <c r="I564" s="2">
        <v>2</v>
      </c>
      <c r="J564" s="2">
        <f>COUNTIFS($F$13:F564,F564,$I$13:I564,I564)</f>
        <v>6</v>
      </c>
      <c r="O564" s="8">
        <v>1008201</v>
      </c>
      <c r="P564" s="8">
        <v>1008301</v>
      </c>
      <c r="Q564" s="8">
        <v>1008401</v>
      </c>
      <c r="R564" s="8">
        <v>1008501</v>
      </c>
    </row>
    <row r="565" spans="1:18">
      <c r="A565" s="14" t="s">
        <v>14</v>
      </c>
      <c r="B565" s="8">
        <f t="shared" si="12"/>
        <v>70083207</v>
      </c>
      <c r="C565" s="2" t="s">
        <v>589</v>
      </c>
      <c r="E565" s="2" t="str">
        <f>F565&amp;(VLOOKUP(G565,编号表!$E$1:$G$8,2,0))&amp;H565&amp;"_"&amp;I565&amp;"_"&amp;J565</f>
        <v>8N3_2_7</v>
      </c>
      <c r="F565" s="2">
        <v>8</v>
      </c>
      <c r="G565" s="2" t="s">
        <v>37</v>
      </c>
      <c r="H565" s="2">
        <v>3</v>
      </c>
      <c r="I565" s="2">
        <v>2</v>
      </c>
      <c r="J565" s="2">
        <f>COUNTIFS($F$13:F565,F565,$I$13:I565,I565)</f>
        <v>7</v>
      </c>
      <c r="O565" s="8">
        <v>1008201</v>
      </c>
      <c r="P565" s="8">
        <v>1008301</v>
      </c>
      <c r="Q565" s="8">
        <v>1008401</v>
      </c>
      <c r="R565" s="8">
        <v>1008501</v>
      </c>
    </row>
    <row r="566" spans="1:18">
      <c r="A566" s="14" t="s">
        <v>14</v>
      </c>
      <c r="B566" s="8">
        <f t="shared" si="12"/>
        <v>70083208</v>
      </c>
      <c r="C566" s="2" t="s">
        <v>590</v>
      </c>
      <c r="E566" s="2" t="str">
        <f>F566&amp;(VLOOKUP(G566,编号表!$E$1:$G$8,2,0))&amp;H566&amp;"_"&amp;I566&amp;"_"&amp;J566</f>
        <v>8N3_2_8</v>
      </c>
      <c r="F566" s="2">
        <v>8</v>
      </c>
      <c r="G566" s="2" t="s">
        <v>37</v>
      </c>
      <c r="H566" s="2">
        <v>3</v>
      </c>
      <c r="I566" s="2">
        <v>2</v>
      </c>
      <c r="J566" s="2">
        <f>COUNTIFS($F$13:F566,F566,$I$13:I566,I566)</f>
        <v>8</v>
      </c>
      <c r="O566" s="8">
        <v>1008201</v>
      </c>
      <c r="P566" s="8">
        <v>1008301</v>
      </c>
      <c r="Q566" s="8">
        <v>1008401</v>
      </c>
      <c r="R566" s="8">
        <v>1008501</v>
      </c>
    </row>
    <row r="567" spans="1:18">
      <c r="A567" s="14" t="s">
        <v>14</v>
      </c>
      <c r="B567" s="8">
        <f t="shared" si="12"/>
        <v>70083209</v>
      </c>
      <c r="C567" s="2" t="s">
        <v>591</v>
      </c>
      <c r="E567" s="2" t="str">
        <f>F567&amp;(VLOOKUP(G567,编号表!$E$1:$G$8,2,0))&amp;H567&amp;"_"&amp;I567&amp;"_"&amp;J567</f>
        <v>8N3_2_9</v>
      </c>
      <c r="F567" s="2">
        <v>8</v>
      </c>
      <c r="G567" s="2" t="s">
        <v>37</v>
      </c>
      <c r="H567" s="2">
        <v>3</v>
      </c>
      <c r="I567" s="2">
        <v>2</v>
      </c>
      <c r="J567" s="2">
        <f>COUNTIFS($F$13:F567,F567,$I$13:I567,I567)</f>
        <v>9</v>
      </c>
      <c r="O567" s="8">
        <v>1008201</v>
      </c>
      <c r="P567" s="8">
        <v>1008301</v>
      </c>
      <c r="Q567" s="8">
        <v>1008401</v>
      </c>
      <c r="R567" s="8">
        <v>1008501</v>
      </c>
    </row>
    <row r="568" spans="1:18">
      <c r="A568" s="14" t="s">
        <v>14</v>
      </c>
      <c r="B568" s="8">
        <f t="shared" si="12"/>
        <v>70083210</v>
      </c>
      <c r="C568" s="2" t="s">
        <v>592</v>
      </c>
      <c r="E568" s="2" t="str">
        <f>F568&amp;(VLOOKUP(G568,编号表!$E$1:$G$8,2,0))&amp;H568&amp;"_"&amp;I568&amp;"_"&amp;J568</f>
        <v>8N3_2_10</v>
      </c>
      <c r="F568" s="2">
        <v>8</v>
      </c>
      <c r="G568" s="2" t="s">
        <v>37</v>
      </c>
      <c r="H568" s="2">
        <v>3</v>
      </c>
      <c r="I568" s="2">
        <v>2</v>
      </c>
      <c r="J568" s="2">
        <f>COUNTIFS($F$13:F568,F568,$I$13:I568,I568)</f>
        <v>10</v>
      </c>
      <c r="O568" s="8">
        <v>1008201</v>
      </c>
      <c r="P568" s="8">
        <v>1008301</v>
      </c>
      <c r="Q568" s="8">
        <v>1008401</v>
      </c>
      <c r="R568" s="8">
        <v>1008501</v>
      </c>
    </row>
    <row r="569" spans="1:18">
      <c r="A569" s="14" t="s">
        <v>14</v>
      </c>
      <c r="B569" s="8">
        <f t="shared" si="12"/>
        <v>70084211</v>
      </c>
      <c r="C569" s="2" t="s">
        <v>593</v>
      </c>
      <c r="E569" s="2" t="str">
        <f>F569&amp;(VLOOKUP(G569,编号表!$E$1:$G$8,2,0))&amp;H569&amp;"_"&amp;I569&amp;"_"&amp;J569</f>
        <v>8N4_2_11</v>
      </c>
      <c r="F569" s="2">
        <v>8</v>
      </c>
      <c r="G569" s="2" t="s">
        <v>37</v>
      </c>
      <c r="H569" s="2">
        <v>4</v>
      </c>
      <c r="I569" s="2">
        <v>2</v>
      </c>
      <c r="J569" s="2">
        <f>COUNTIFS($F$13:F569,F569,$I$13:I569,I569)</f>
        <v>11</v>
      </c>
      <c r="O569" s="8">
        <v>1008201</v>
      </c>
      <c r="P569" s="8">
        <v>1008301</v>
      </c>
      <c r="Q569" s="8">
        <v>1008401</v>
      </c>
      <c r="R569" s="8">
        <v>1008501</v>
      </c>
    </row>
    <row r="570" spans="1:18">
      <c r="A570" s="14" t="s">
        <v>14</v>
      </c>
      <c r="B570" s="8">
        <f t="shared" si="12"/>
        <v>70082212</v>
      </c>
      <c r="C570" s="2" t="s">
        <v>594</v>
      </c>
      <c r="E570" s="2" t="str">
        <f>F570&amp;(VLOOKUP(G570,编号表!$E$1:$G$8,2,0))&amp;H570&amp;"_"&amp;I570&amp;"_"&amp;J570</f>
        <v>8N2_2_12</v>
      </c>
      <c r="F570" s="2">
        <v>8</v>
      </c>
      <c r="G570" s="2" t="s">
        <v>37</v>
      </c>
      <c r="H570" s="2">
        <v>2</v>
      </c>
      <c r="I570" s="2">
        <v>2</v>
      </c>
      <c r="J570" s="2">
        <f>COUNTIFS($F$13:F570,F570,$I$13:I570,I570)</f>
        <v>12</v>
      </c>
      <c r="O570" s="8">
        <v>1008201</v>
      </c>
      <c r="P570" s="8">
        <v>1008301</v>
      </c>
      <c r="Q570" s="8">
        <v>1008401</v>
      </c>
      <c r="R570" s="8">
        <v>1008501</v>
      </c>
    </row>
    <row r="571" spans="1:18">
      <c r="A571" s="14" t="s">
        <v>14</v>
      </c>
      <c r="B571" s="8">
        <f t="shared" si="12"/>
        <v>70084213</v>
      </c>
      <c r="C571" s="2" t="s">
        <v>595</v>
      </c>
      <c r="E571" s="2" t="str">
        <f>F571&amp;(VLOOKUP(G571,编号表!$E$1:$G$8,2,0))&amp;H571&amp;"_"&amp;I571&amp;"_"&amp;J571</f>
        <v>8N4_2_13</v>
      </c>
      <c r="F571" s="2">
        <v>8</v>
      </c>
      <c r="G571" s="2" t="s">
        <v>37</v>
      </c>
      <c r="H571" s="2">
        <v>4</v>
      </c>
      <c r="I571" s="2">
        <v>2</v>
      </c>
      <c r="J571" s="2">
        <f>COUNTIFS($F$13:F571,F571,$I$13:I571,I571)</f>
        <v>13</v>
      </c>
      <c r="O571" s="8">
        <v>1008201</v>
      </c>
      <c r="P571" s="8">
        <v>1008301</v>
      </c>
      <c r="Q571" s="8">
        <v>1008401</v>
      </c>
      <c r="R571" s="8">
        <v>1008501</v>
      </c>
    </row>
    <row r="572" spans="1:18">
      <c r="A572" s="14" t="s">
        <v>14</v>
      </c>
      <c r="B572" s="8">
        <f t="shared" si="12"/>
        <v>70083301</v>
      </c>
      <c r="C572" s="16" t="s">
        <v>54</v>
      </c>
      <c r="D572" s="2" t="s">
        <v>92</v>
      </c>
      <c r="E572" s="2" t="str">
        <f>F572&amp;(VLOOKUP(G572,编号表!$E$1:$G$8,2,0))&amp;H572&amp;"_"&amp;I572&amp;"_"&amp;J572</f>
        <v>8T3_3_1</v>
      </c>
      <c r="F572" s="2">
        <v>8</v>
      </c>
      <c r="G572" s="2" t="s">
        <v>53</v>
      </c>
      <c r="H572" s="2">
        <v>3</v>
      </c>
      <c r="I572" s="2">
        <v>3</v>
      </c>
      <c r="J572" s="2">
        <f>COUNTIFS($F$13:F572,F572,$I$13:I572,I572)</f>
        <v>1</v>
      </c>
      <c r="M572" s="2">
        <v>117</v>
      </c>
    </row>
    <row r="573" spans="1:18">
      <c r="A573" s="14" t="s">
        <v>14</v>
      </c>
      <c r="B573" s="8">
        <f t="shared" si="12"/>
        <v>70081302</v>
      </c>
      <c r="C573" s="15" t="s">
        <v>91</v>
      </c>
      <c r="E573" s="2" t="str">
        <f>F573&amp;(VLOOKUP(G573,编号表!$E$1:$G$8,2,0))&amp;H573&amp;"_"&amp;I573&amp;"_"&amp;J573</f>
        <v>8T1_3_2</v>
      </c>
      <c r="F573" s="2">
        <v>8</v>
      </c>
      <c r="G573" s="2" t="s">
        <v>53</v>
      </c>
      <c r="H573" s="2">
        <v>1</v>
      </c>
      <c r="I573" s="2">
        <v>3</v>
      </c>
      <c r="J573" s="2">
        <f>COUNTIFS($F$13:F573,F573,$I$13:I573,I573)</f>
        <v>2</v>
      </c>
      <c r="L573" s="2">
        <v>1</v>
      </c>
    </row>
    <row r="574" spans="1:18">
      <c r="A574" s="14" t="s">
        <v>14</v>
      </c>
      <c r="B574" s="8">
        <f t="shared" si="12"/>
        <v>70083303</v>
      </c>
      <c r="C574" s="2" t="s">
        <v>596</v>
      </c>
      <c r="E574" s="2" t="str">
        <f>F574&amp;(VLOOKUP(G574,编号表!$E$1:$G$8,2,0))&amp;H574&amp;"_"&amp;I574&amp;"_"&amp;J574</f>
        <v>8N3_3_3</v>
      </c>
      <c r="F574" s="2">
        <v>8</v>
      </c>
      <c r="G574" s="2" t="s">
        <v>37</v>
      </c>
      <c r="H574" s="2">
        <v>3</v>
      </c>
      <c r="I574" s="2">
        <v>3</v>
      </c>
      <c r="J574" s="2">
        <f>COUNTIFS($F$13:F574,F574,$I$13:I574,I574)</f>
        <v>3</v>
      </c>
      <c r="O574" s="8">
        <v>1008201</v>
      </c>
      <c r="P574" s="8">
        <v>1008301</v>
      </c>
      <c r="Q574" s="8">
        <v>1008401</v>
      </c>
      <c r="R574" s="8">
        <v>1008501</v>
      </c>
    </row>
    <row r="575" spans="1:18">
      <c r="A575" s="14" t="s">
        <v>14</v>
      </c>
      <c r="B575" s="8">
        <f t="shared" si="12"/>
        <v>70083304</v>
      </c>
      <c r="C575" s="2" t="s">
        <v>597</v>
      </c>
      <c r="E575" s="2" t="str">
        <f>F575&amp;(VLOOKUP(G575,编号表!$E$1:$G$8,2,0))&amp;H575&amp;"_"&amp;I575&amp;"_"&amp;J575</f>
        <v>8N3_3_4</v>
      </c>
      <c r="F575" s="2">
        <v>8</v>
      </c>
      <c r="G575" s="2" t="s">
        <v>37</v>
      </c>
      <c r="H575" s="2">
        <v>3</v>
      </c>
      <c r="I575" s="2">
        <v>3</v>
      </c>
      <c r="J575" s="2">
        <f>COUNTIFS($F$13:F575,F575,$I$13:I575,I575)</f>
        <v>4</v>
      </c>
      <c r="O575" s="8">
        <v>1008201</v>
      </c>
      <c r="P575" s="8">
        <v>1008301</v>
      </c>
      <c r="Q575" s="8">
        <v>1008401</v>
      </c>
      <c r="R575" s="8">
        <v>1008501</v>
      </c>
    </row>
    <row r="576" spans="1:18">
      <c r="A576" s="14" t="s">
        <v>14</v>
      </c>
      <c r="B576" s="8">
        <f t="shared" si="12"/>
        <v>70084305</v>
      </c>
      <c r="C576" s="2" t="s">
        <v>598</v>
      </c>
      <c r="E576" s="2" t="str">
        <f>F576&amp;(VLOOKUP(G576,编号表!$E$1:$G$8,2,0))&amp;H576&amp;"_"&amp;I576&amp;"_"&amp;J576</f>
        <v>8N4_3_5</v>
      </c>
      <c r="F576" s="2">
        <v>8</v>
      </c>
      <c r="G576" s="2" t="s">
        <v>37</v>
      </c>
      <c r="H576" s="2">
        <v>4</v>
      </c>
      <c r="I576" s="2">
        <v>3</v>
      </c>
      <c r="J576" s="2">
        <f>COUNTIFS($F$13:F576,F576,$I$13:I576,I576)</f>
        <v>5</v>
      </c>
      <c r="O576" s="8">
        <v>1008201</v>
      </c>
      <c r="P576" s="8">
        <v>1008301</v>
      </c>
      <c r="Q576" s="8">
        <v>1008401</v>
      </c>
      <c r="R576" s="8">
        <v>1008501</v>
      </c>
    </row>
    <row r="577" spans="1:18">
      <c r="A577" s="14" t="s">
        <v>14</v>
      </c>
      <c r="B577" s="8">
        <f t="shared" si="12"/>
        <v>70083306</v>
      </c>
      <c r="C577" s="2" t="s">
        <v>599</v>
      </c>
      <c r="E577" s="2" t="str">
        <f>F577&amp;(VLOOKUP(G577,编号表!$E$1:$G$8,2,0))&amp;H577&amp;"_"&amp;I577&amp;"_"&amp;J577</f>
        <v>8N3_3_6</v>
      </c>
      <c r="F577" s="2">
        <v>8</v>
      </c>
      <c r="G577" s="2" t="s">
        <v>37</v>
      </c>
      <c r="H577" s="2">
        <v>3</v>
      </c>
      <c r="I577" s="2">
        <v>3</v>
      </c>
      <c r="J577" s="2">
        <f>COUNTIFS($F$13:F577,F577,$I$13:I577,I577)</f>
        <v>6</v>
      </c>
      <c r="O577" s="8">
        <v>1008201</v>
      </c>
      <c r="P577" s="8">
        <v>1008301</v>
      </c>
      <c r="Q577" s="8">
        <v>1008401</v>
      </c>
      <c r="R577" s="8">
        <v>1008501</v>
      </c>
    </row>
    <row r="578" spans="1:18">
      <c r="A578" s="14" t="s">
        <v>14</v>
      </c>
      <c r="B578" s="8">
        <f t="shared" si="12"/>
        <v>70083307</v>
      </c>
      <c r="C578" s="2" t="s">
        <v>600</v>
      </c>
      <c r="E578" s="2" t="str">
        <f>F578&amp;(VLOOKUP(G578,编号表!$E$1:$G$8,2,0))&amp;H578&amp;"_"&amp;I578&amp;"_"&amp;J578</f>
        <v>8N3_3_7</v>
      </c>
      <c r="F578" s="2">
        <v>8</v>
      </c>
      <c r="G578" s="2" t="s">
        <v>37</v>
      </c>
      <c r="H578" s="2">
        <v>3</v>
      </c>
      <c r="I578" s="2">
        <v>3</v>
      </c>
      <c r="J578" s="2">
        <f>COUNTIFS($F$13:F578,F578,$I$13:I578,I578)</f>
        <v>7</v>
      </c>
      <c r="O578" s="8">
        <v>1008201</v>
      </c>
      <c r="P578" s="8">
        <v>1008301</v>
      </c>
      <c r="Q578" s="8">
        <v>1008401</v>
      </c>
      <c r="R578" s="8">
        <v>1008501</v>
      </c>
    </row>
    <row r="579" spans="1:18">
      <c r="A579" s="14" t="s">
        <v>14</v>
      </c>
      <c r="B579" s="8">
        <f t="shared" si="12"/>
        <v>70083308</v>
      </c>
      <c r="C579" s="2" t="s">
        <v>601</v>
      </c>
      <c r="E579" s="2" t="str">
        <f>F579&amp;(VLOOKUP(G579,编号表!$E$1:$G$8,2,0))&amp;H579&amp;"_"&amp;I579&amp;"_"&amp;J579</f>
        <v>8N3_3_8</v>
      </c>
      <c r="F579" s="2">
        <v>8</v>
      </c>
      <c r="G579" s="2" t="s">
        <v>37</v>
      </c>
      <c r="H579" s="2">
        <v>3</v>
      </c>
      <c r="I579" s="2">
        <v>3</v>
      </c>
      <c r="J579" s="2">
        <f>COUNTIFS($F$13:F579,F579,$I$13:I579,I579)</f>
        <v>8</v>
      </c>
      <c r="O579" s="8">
        <v>1008201</v>
      </c>
      <c r="P579" s="8">
        <v>1008301</v>
      </c>
      <c r="Q579" s="8">
        <v>1008401</v>
      </c>
      <c r="R579" s="8">
        <v>1008501</v>
      </c>
    </row>
    <row r="580" spans="1:18">
      <c r="A580" s="14" t="s">
        <v>14</v>
      </c>
      <c r="B580" s="8">
        <f t="shared" si="12"/>
        <v>70083309</v>
      </c>
      <c r="C580" s="2" t="s">
        <v>602</v>
      </c>
      <c r="E580" s="2" t="str">
        <f>F580&amp;(VLOOKUP(G580,编号表!$E$1:$G$8,2,0))&amp;H580&amp;"_"&amp;I580&amp;"_"&amp;J580</f>
        <v>8N3_3_9</v>
      </c>
      <c r="F580" s="2">
        <v>8</v>
      </c>
      <c r="G580" s="2" t="s">
        <v>37</v>
      </c>
      <c r="H580" s="2">
        <v>3</v>
      </c>
      <c r="I580" s="2">
        <v>3</v>
      </c>
      <c r="J580" s="2">
        <f>COUNTIFS($F$13:F580,F580,$I$13:I580,I580)</f>
        <v>9</v>
      </c>
      <c r="O580" s="8">
        <v>1008201</v>
      </c>
      <c r="P580" s="8">
        <v>1008301</v>
      </c>
      <c r="Q580" s="8">
        <v>1008401</v>
      </c>
      <c r="R580" s="8">
        <v>1008501</v>
      </c>
    </row>
    <row r="581" spans="1:18">
      <c r="A581" s="14" t="s">
        <v>14</v>
      </c>
      <c r="B581" s="8">
        <f t="shared" si="12"/>
        <v>70083310</v>
      </c>
      <c r="C581" s="2" t="s">
        <v>603</v>
      </c>
      <c r="E581" s="2" t="str">
        <f>F581&amp;(VLOOKUP(G581,编号表!$E$1:$G$8,2,0))&amp;H581&amp;"_"&amp;I581&amp;"_"&amp;J581</f>
        <v>8N3_3_10</v>
      </c>
      <c r="F581" s="2">
        <v>8</v>
      </c>
      <c r="G581" s="2" t="s">
        <v>37</v>
      </c>
      <c r="H581" s="2">
        <v>3</v>
      </c>
      <c r="I581" s="2">
        <v>3</v>
      </c>
      <c r="J581" s="2">
        <f>COUNTIFS($F$13:F581,F581,$I$13:I581,I581)</f>
        <v>10</v>
      </c>
      <c r="O581" s="8">
        <v>1008201</v>
      </c>
      <c r="P581" s="8">
        <v>1008301</v>
      </c>
      <c r="Q581" s="8">
        <v>1008401</v>
      </c>
      <c r="R581" s="8">
        <v>1008501</v>
      </c>
    </row>
    <row r="582" spans="1:18">
      <c r="A582" s="14" t="s">
        <v>14</v>
      </c>
      <c r="B582" s="8">
        <f t="shared" si="12"/>
        <v>70084401</v>
      </c>
      <c r="C582" s="2" t="s">
        <v>604</v>
      </c>
      <c r="E582" s="2" t="str">
        <f>F582&amp;(VLOOKUP(G582,编号表!$E$1:$G$8,2,0))&amp;H582&amp;"_"&amp;I582&amp;"_"&amp;J582</f>
        <v>8N4_4_1</v>
      </c>
      <c r="F582" s="2">
        <v>8</v>
      </c>
      <c r="G582" s="2" t="s">
        <v>37</v>
      </c>
      <c r="H582" s="2">
        <v>4</v>
      </c>
      <c r="I582" s="2">
        <v>4</v>
      </c>
      <c r="J582" s="2">
        <f>COUNTIFS($F$13:F582,F582,$I$13:I582,I582)</f>
        <v>1</v>
      </c>
      <c r="O582" s="8">
        <v>1008201</v>
      </c>
      <c r="P582" s="8">
        <v>1008301</v>
      </c>
      <c r="Q582" s="8">
        <v>1008401</v>
      </c>
      <c r="R582" s="8">
        <v>1008501</v>
      </c>
    </row>
    <row r="583" spans="1:18">
      <c r="A583" s="14" t="s">
        <v>14</v>
      </c>
      <c r="B583" s="8">
        <f t="shared" ref="B583:B646" si="13">70000000+F583*10000+H583*1000+I583*100+J583</f>
        <v>70084402</v>
      </c>
      <c r="C583" s="2" t="s">
        <v>605</v>
      </c>
      <c r="E583" s="2" t="str">
        <f>F583&amp;(VLOOKUP(G583,编号表!$E$1:$G$8,2,0))&amp;H583&amp;"_"&amp;I583&amp;"_"&amp;J583</f>
        <v>8N4_4_2</v>
      </c>
      <c r="F583" s="2">
        <v>8</v>
      </c>
      <c r="G583" s="2" t="s">
        <v>37</v>
      </c>
      <c r="H583" s="2">
        <v>4</v>
      </c>
      <c r="I583" s="2">
        <v>4</v>
      </c>
      <c r="J583" s="2">
        <f>COUNTIFS($F$13:F583,F583,$I$13:I583,I583)</f>
        <v>2</v>
      </c>
      <c r="O583" s="8">
        <v>1008201</v>
      </c>
      <c r="P583" s="8">
        <v>1008301</v>
      </c>
      <c r="Q583" s="8">
        <v>1008401</v>
      </c>
      <c r="R583" s="8">
        <v>1008501</v>
      </c>
    </row>
    <row r="584" spans="1:18">
      <c r="A584" s="14" t="s">
        <v>14</v>
      </c>
      <c r="B584" s="8">
        <f t="shared" si="13"/>
        <v>70084403</v>
      </c>
      <c r="C584" s="2" t="s">
        <v>606</v>
      </c>
      <c r="E584" s="2" t="str">
        <f>F584&amp;(VLOOKUP(G584,编号表!$E$1:$G$8,2,0))&amp;H584&amp;"_"&amp;I584&amp;"_"&amp;J584</f>
        <v>8N4_4_3</v>
      </c>
      <c r="F584" s="2">
        <v>8</v>
      </c>
      <c r="G584" s="2" t="s">
        <v>37</v>
      </c>
      <c r="H584" s="2">
        <v>4</v>
      </c>
      <c r="I584" s="2">
        <v>4</v>
      </c>
      <c r="J584" s="2">
        <f>COUNTIFS($F$13:F584,F584,$I$13:I584,I584)</f>
        <v>3</v>
      </c>
      <c r="O584" s="8">
        <v>1008201</v>
      </c>
      <c r="P584" s="8">
        <v>1008301</v>
      </c>
      <c r="Q584" s="8">
        <v>1008401</v>
      </c>
      <c r="R584" s="8">
        <v>1008501</v>
      </c>
    </row>
    <row r="585" spans="1:18">
      <c r="A585" s="14" t="s">
        <v>14</v>
      </c>
      <c r="B585" s="8">
        <f t="shared" si="13"/>
        <v>70083404</v>
      </c>
      <c r="C585" s="2" t="s">
        <v>607</v>
      </c>
      <c r="E585" s="2" t="str">
        <f>F585&amp;(VLOOKUP(G585,编号表!$E$1:$G$8,2,0))&amp;H585&amp;"_"&amp;I585&amp;"_"&amp;J585</f>
        <v>8N3_4_4</v>
      </c>
      <c r="F585" s="2">
        <v>8</v>
      </c>
      <c r="G585" s="2" t="s">
        <v>37</v>
      </c>
      <c r="H585" s="2">
        <v>3</v>
      </c>
      <c r="I585" s="2">
        <v>4</v>
      </c>
      <c r="J585" s="2">
        <f>COUNTIFS($F$13:F585,F585,$I$13:I585,I585)</f>
        <v>4</v>
      </c>
      <c r="O585" s="8">
        <v>1008201</v>
      </c>
      <c r="P585" s="8">
        <v>1008301</v>
      </c>
      <c r="Q585" s="8">
        <v>1008401</v>
      </c>
      <c r="R585" s="8">
        <v>1008501</v>
      </c>
    </row>
    <row r="586" spans="1:18">
      <c r="A586" s="14" t="s">
        <v>14</v>
      </c>
      <c r="B586" s="8">
        <f t="shared" si="13"/>
        <v>70084405</v>
      </c>
      <c r="C586" s="2" t="s">
        <v>608</v>
      </c>
      <c r="E586" s="2" t="str">
        <f>F586&amp;(VLOOKUP(G586,编号表!$E$1:$G$8,2,0))&amp;H586&amp;"_"&amp;I586&amp;"_"&amp;J586</f>
        <v>8N4_4_5</v>
      </c>
      <c r="F586" s="2">
        <v>8</v>
      </c>
      <c r="G586" s="2" t="s">
        <v>37</v>
      </c>
      <c r="H586" s="2">
        <v>4</v>
      </c>
      <c r="I586" s="2">
        <v>4</v>
      </c>
      <c r="J586" s="2">
        <f>COUNTIFS($F$13:F586,F586,$I$13:I586,I586)</f>
        <v>5</v>
      </c>
      <c r="O586" s="8">
        <v>1008201</v>
      </c>
      <c r="P586" s="8">
        <v>1008301</v>
      </c>
      <c r="Q586" s="8">
        <v>1008401</v>
      </c>
      <c r="R586" s="8">
        <v>1008501</v>
      </c>
    </row>
    <row r="587" spans="1:18">
      <c r="A587" s="14" t="s">
        <v>14</v>
      </c>
      <c r="B587" s="8">
        <f t="shared" si="13"/>
        <v>70083406</v>
      </c>
      <c r="C587" s="2" t="s">
        <v>609</v>
      </c>
      <c r="E587" s="2" t="str">
        <f>F587&amp;(VLOOKUP(G587,编号表!$E$1:$G$8,2,0))&amp;H587&amp;"_"&amp;I587&amp;"_"&amp;J587</f>
        <v>8N3_4_6</v>
      </c>
      <c r="F587" s="2">
        <v>8</v>
      </c>
      <c r="G587" s="2" t="s">
        <v>37</v>
      </c>
      <c r="H587" s="2">
        <v>3</v>
      </c>
      <c r="I587" s="2">
        <v>4</v>
      </c>
      <c r="J587" s="2">
        <f>COUNTIFS($F$13:F587,F587,$I$13:I587,I587)</f>
        <v>6</v>
      </c>
      <c r="O587" s="8">
        <v>1008201</v>
      </c>
      <c r="P587" s="8">
        <v>1008301</v>
      </c>
      <c r="Q587" s="8">
        <v>1008401</v>
      </c>
      <c r="R587" s="8">
        <v>1008501</v>
      </c>
    </row>
    <row r="588" spans="1:18">
      <c r="A588" s="14" t="s">
        <v>14</v>
      </c>
      <c r="B588" s="8">
        <f t="shared" si="13"/>
        <v>70082407</v>
      </c>
      <c r="C588" s="2" t="s">
        <v>610</v>
      </c>
      <c r="E588" s="2" t="str">
        <f>F588&amp;(VLOOKUP(G588,编号表!$E$1:$G$8,2,0))&amp;H588&amp;"_"&amp;I588&amp;"_"&amp;J588</f>
        <v>8N2_4_7</v>
      </c>
      <c r="F588" s="2">
        <v>8</v>
      </c>
      <c r="G588" s="2" t="s">
        <v>37</v>
      </c>
      <c r="H588" s="2">
        <v>2</v>
      </c>
      <c r="I588" s="2">
        <v>4</v>
      </c>
      <c r="J588" s="2">
        <f>COUNTIFS($F$13:F588,F588,$I$13:I588,I588)</f>
        <v>7</v>
      </c>
      <c r="O588" s="8">
        <v>1008201</v>
      </c>
      <c r="P588" s="8">
        <v>1008301</v>
      </c>
      <c r="Q588" s="8">
        <v>1008401</v>
      </c>
      <c r="R588" s="8">
        <v>1008501</v>
      </c>
    </row>
    <row r="589" spans="1:18">
      <c r="A589" s="14" t="s">
        <v>14</v>
      </c>
      <c r="B589" s="8">
        <f t="shared" si="13"/>
        <v>70082408</v>
      </c>
      <c r="C589" s="2" t="s">
        <v>611</v>
      </c>
      <c r="E589" s="2" t="str">
        <f>F589&amp;(VLOOKUP(G589,编号表!$E$1:$G$8,2,0))&amp;H589&amp;"_"&amp;I589&amp;"_"&amp;J589</f>
        <v>8N2_4_8</v>
      </c>
      <c r="F589" s="2">
        <v>8</v>
      </c>
      <c r="G589" s="2" t="s">
        <v>37</v>
      </c>
      <c r="H589" s="2">
        <v>2</v>
      </c>
      <c r="I589" s="2">
        <v>4</v>
      </c>
      <c r="J589" s="2">
        <f>COUNTIFS($F$13:F589,F589,$I$13:I589,I589)</f>
        <v>8</v>
      </c>
      <c r="O589" s="8">
        <v>1008201</v>
      </c>
      <c r="P589" s="8">
        <v>1008301</v>
      </c>
      <c r="Q589" s="8">
        <v>1008401</v>
      </c>
      <c r="R589" s="8">
        <v>1008501</v>
      </c>
    </row>
    <row r="590" spans="1:18">
      <c r="A590" s="14" t="s">
        <v>14</v>
      </c>
      <c r="B590" s="8">
        <f t="shared" si="13"/>
        <v>70082409</v>
      </c>
      <c r="C590" s="2" t="s">
        <v>612</v>
      </c>
      <c r="E590" s="2" t="str">
        <f>F590&amp;(VLOOKUP(G590,编号表!$E$1:$G$8,2,0))&amp;H590&amp;"_"&amp;I590&amp;"_"&amp;J590</f>
        <v>8N2_4_9</v>
      </c>
      <c r="F590" s="2">
        <v>8</v>
      </c>
      <c r="G590" s="2" t="s">
        <v>37</v>
      </c>
      <c r="H590" s="2">
        <v>2</v>
      </c>
      <c r="I590" s="2">
        <v>4</v>
      </c>
      <c r="J590" s="2">
        <f>COUNTIFS($F$13:F590,F590,$I$13:I590,I590)</f>
        <v>9</v>
      </c>
      <c r="O590" s="8">
        <v>1008201</v>
      </c>
      <c r="P590" s="8">
        <v>1008301</v>
      </c>
      <c r="Q590" s="8">
        <v>1008401</v>
      </c>
      <c r="R590" s="8">
        <v>1008501</v>
      </c>
    </row>
    <row r="591" spans="1:18">
      <c r="A591" s="14" t="s">
        <v>14</v>
      </c>
      <c r="B591" s="8">
        <f t="shared" si="13"/>
        <v>70082410</v>
      </c>
      <c r="C591" s="2" t="s">
        <v>613</v>
      </c>
      <c r="E591" s="2" t="str">
        <f>F591&amp;(VLOOKUP(G591,编号表!$E$1:$G$8,2,0))&amp;H591&amp;"_"&amp;I591&amp;"_"&amp;J591</f>
        <v>8N2_4_10</v>
      </c>
      <c r="F591" s="2">
        <v>8</v>
      </c>
      <c r="G591" s="2" t="s">
        <v>37</v>
      </c>
      <c r="H591" s="2">
        <v>2</v>
      </c>
      <c r="I591" s="2">
        <v>4</v>
      </c>
      <c r="J591" s="2">
        <f>COUNTIFS($F$13:F591,F591,$I$13:I591,I591)</f>
        <v>10</v>
      </c>
      <c r="O591" s="8">
        <v>1008201</v>
      </c>
      <c r="P591" s="8">
        <v>1008301</v>
      </c>
      <c r="Q591" s="8">
        <v>1008401</v>
      </c>
      <c r="R591" s="8">
        <v>1008501</v>
      </c>
    </row>
    <row r="592" spans="1:18">
      <c r="A592" s="14" t="s">
        <v>14</v>
      </c>
      <c r="B592" s="8">
        <f t="shared" si="13"/>
        <v>70084411</v>
      </c>
      <c r="C592" s="2" t="s">
        <v>614</v>
      </c>
      <c r="E592" s="2" t="str">
        <f>F592&amp;(VLOOKUP(G592,编号表!$E$1:$G$8,2,0))&amp;H592&amp;"_"&amp;I592&amp;"_"&amp;J592</f>
        <v>8N4_4_11</v>
      </c>
      <c r="F592" s="2">
        <v>8</v>
      </c>
      <c r="G592" s="2" t="s">
        <v>37</v>
      </c>
      <c r="H592" s="2">
        <v>4</v>
      </c>
      <c r="I592" s="2">
        <v>4</v>
      </c>
      <c r="J592" s="2">
        <f>COUNTIFS($F$13:F592,F592,$I$13:I592,I592)</f>
        <v>11</v>
      </c>
      <c r="O592" s="8">
        <v>1008201</v>
      </c>
      <c r="P592" s="8">
        <v>1008301</v>
      </c>
      <c r="Q592" s="8">
        <v>1008401</v>
      </c>
      <c r="R592" s="8">
        <v>1008501</v>
      </c>
    </row>
    <row r="593" spans="1:20">
      <c r="A593" s="14" t="s">
        <v>14</v>
      </c>
      <c r="B593" s="8">
        <f t="shared" si="13"/>
        <v>70083412</v>
      </c>
      <c r="C593" s="2" t="s">
        <v>615</v>
      </c>
      <c r="E593" s="2" t="str">
        <f>F593&amp;(VLOOKUP(G593,编号表!$E$1:$G$8,2,0))&amp;H593&amp;"_"&amp;I593&amp;"_"&amp;J593</f>
        <v>8N3_4_12</v>
      </c>
      <c r="F593" s="2">
        <v>8</v>
      </c>
      <c r="G593" s="2" t="s">
        <v>37</v>
      </c>
      <c r="H593" s="2">
        <v>3</v>
      </c>
      <c r="I593" s="2">
        <v>4</v>
      </c>
      <c r="J593" s="2">
        <f>COUNTIFS($F$13:F593,F593,$I$13:I593,I593)</f>
        <v>12</v>
      </c>
      <c r="O593" s="8">
        <v>1008201</v>
      </c>
      <c r="P593" s="8">
        <v>1008301</v>
      </c>
      <c r="Q593" s="8">
        <v>1008401</v>
      </c>
      <c r="R593" s="8">
        <v>1008501</v>
      </c>
    </row>
    <row r="594" spans="1:20">
      <c r="A594" s="14" t="s">
        <v>14</v>
      </c>
      <c r="B594" s="8">
        <f t="shared" si="13"/>
        <v>70083413</v>
      </c>
      <c r="C594" s="2" t="s">
        <v>616</v>
      </c>
      <c r="E594" s="2" t="str">
        <f>F594&amp;(VLOOKUP(G594,编号表!$E$1:$G$8,2,0))&amp;H594&amp;"_"&amp;I594&amp;"_"&amp;J594</f>
        <v>8N3_4_13</v>
      </c>
      <c r="F594" s="2">
        <v>8</v>
      </c>
      <c r="G594" s="2" t="s">
        <v>37</v>
      </c>
      <c r="H594" s="2">
        <v>3</v>
      </c>
      <c r="I594" s="2">
        <v>4</v>
      </c>
      <c r="J594" s="2">
        <f>COUNTIFS($F$13:F594,F594,$I$13:I594,I594)</f>
        <v>13</v>
      </c>
      <c r="O594" s="8">
        <v>1008201</v>
      </c>
      <c r="P594" s="8">
        <v>1008301</v>
      </c>
      <c r="Q594" s="8">
        <v>1008401</v>
      </c>
      <c r="R594" s="8">
        <v>1008501</v>
      </c>
    </row>
    <row r="595" spans="1:20">
      <c r="A595" s="14" t="s">
        <v>14</v>
      </c>
      <c r="B595" s="8">
        <f t="shared" si="13"/>
        <v>70083414</v>
      </c>
      <c r="C595" s="2" t="s">
        <v>617</v>
      </c>
      <c r="E595" s="2" t="str">
        <f>F595&amp;(VLOOKUP(G595,编号表!$E$1:$G$8,2,0))&amp;H595&amp;"_"&amp;I595&amp;"_"&amp;J595</f>
        <v>8N3_4_14</v>
      </c>
      <c r="F595" s="2">
        <v>8</v>
      </c>
      <c r="G595" s="2" t="s">
        <v>37</v>
      </c>
      <c r="H595" s="2">
        <v>3</v>
      </c>
      <c r="I595" s="2">
        <v>4</v>
      </c>
      <c r="J595" s="2">
        <f>COUNTIFS($F$13:F595,F595,$I$13:I595,I595)</f>
        <v>14</v>
      </c>
      <c r="O595" s="8">
        <v>1008201</v>
      </c>
      <c r="P595" s="8">
        <v>1008301</v>
      </c>
      <c r="Q595" s="8">
        <v>1008401</v>
      </c>
      <c r="R595" s="8">
        <v>1008501</v>
      </c>
    </row>
    <row r="596" spans="1:20">
      <c r="A596" s="14" t="s">
        <v>14</v>
      </c>
      <c r="B596" s="8">
        <f t="shared" si="13"/>
        <v>70083415</v>
      </c>
      <c r="C596" s="2" t="s">
        <v>618</v>
      </c>
      <c r="E596" s="2" t="str">
        <f>F596&amp;(VLOOKUP(G596,编号表!$E$1:$G$8,2,0))&amp;H596&amp;"_"&amp;I596&amp;"_"&amp;J596</f>
        <v>8N3_4_15</v>
      </c>
      <c r="F596" s="2">
        <v>8</v>
      </c>
      <c r="G596" s="2" t="s">
        <v>37</v>
      </c>
      <c r="H596" s="2">
        <v>3</v>
      </c>
      <c r="I596" s="2">
        <v>4</v>
      </c>
      <c r="J596" s="2">
        <f>COUNTIFS($F$13:F596,F596,$I$13:I596,I596)</f>
        <v>15</v>
      </c>
      <c r="O596" s="8">
        <v>1008201</v>
      </c>
      <c r="P596" s="8">
        <v>1008301</v>
      </c>
      <c r="Q596" s="8">
        <v>1008401</v>
      </c>
      <c r="R596" s="8">
        <v>1008501</v>
      </c>
    </row>
    <row r="597" spans="1:20">
      <c r="A597" s="14" t="s">
        <v>14</v>
      </c>
      <c r="B597" s="8">
        <f t="shared" si="13"/>
        <v>70084416</v>
      </c>
      <c r="C597" s="2" t="s">
        <v>619</v>
      </c>
      <c r="E597" s="2" t="str">
        <f>F597&amp;(VLOOKUP(G597,编号表!$E$1:$G$8,2,0))&amp;H597&amp;"_"&amp;I597&amp;"_"&amp;J597</f>
        <v>8N4_4_16</v>
      </c>
      <c r="F597" s="2">
        <v>8</v>
      </c>
      <c r="G597" s="2" t="s">
        <v>37</v>
      </c>
      <c r="H597" s="2">
        <v>4</v>
      </c>
      <c r="I597" s="2">
        <v>4</v>
      </c>
      <c r="J597" s="2">
        <f>COUNTIFS($F$13:F597,F597,$I$13:I597,I597)</f>
        <v>16</v>
      </c>
      <c r="O597" s="8">
        <v>1008201</v>
      </c>
      <c r="P597" s="8">
        <v>1008301</v>
      </c>
      <c r="Q597" s="8">
        <v>1008401</v>
      </c>
      <c r="R597" s="8">
        <v>1008501</v>
      </c>
    </row>
    <row r="598" spans="1:20">
      <c r="A598" s="14" t="s">
        <v>14</v>
      </c>
      <c r="B598" s="8">
        <f t="shared" si="13"/>
        <v>70082501</v>
      </c>
      <c r="C598" s="2" t="s">
        <v>620</v>
      </c>
      <c r="E598" s="2" t="str">
        <f>F598&amp;(VLOOKUP(G598,编号表!$E$1:$G$8,2,0))&amp;H598&amp;"_"&amp;I598&amp;"_"&amp;J598</f>
        <v>8N2_5_1</v>
      </c>
      <c r="F598" s="2">
        <v>8</v>
      </c>
      <c r="G598" s="2" t="s">
        <v>37</v>
      </c>
      <c r="H598" s="2">
        <v>2</v>
      </c>
      <c r="I598" s="2">
        <v>5</v>
      </c>
      <c r="J598" s="2">
        <f>COUNTIFS($F$13:F598,F598,$I$13:I598,I598)</f>
        <v>1</v>
      </c>
      <c r="O598" s="8">
        <v>1008201</v>
      </c>
      <c r="P598" s="8">
        <v>1008301</v>
      </c>
      <c r="Q598" s="8">
        <v>1008401</v>
      </c>
      <c r="R598" s="8">
        <v>1008501</v>
      </c>
    </row>
    <row r="599" spans="1:20">
      <c r="A599" s="14" t="s">
        <v>14</v>
      </c>
      <c r="B599" s="8">
        <f t="shared" si="13"/>
        <v>70081502</v>
      </c>
      <c r="C599" s="17" t="s">
        <v>621</v>
      </c>
      <c r="E599" s="2" t="str">
        <f>F599&amp;(VLOOKUP(G599,编号表!$E$1:$G$8,2,0))&amp;H599&amp;"_"&amp;I599&amp;"_"&amp;J599</f>
        <v>8P1_5_2</v>
      </c>
      <c r="F599" s="2">
        <v>8</v>
      </c>
      <c r="G599" s="2" t="s">
        <v>57</v>
      </c>
      <c r="H599" s="2">
        <v>1</v>
      </c>
      <c r="I599" s="2">
        <v>5</v>
      </c>
      <c r="J599" s="2">
        <f>COUNTIFS($F$13:F599,F599,$I$13:I599,I599)</f>
        <v>2</v>
      </c>
      <c r="O599" s="8">
        <v>1008201</v>
      </c>
      <c r="P599" s="8">
        <v>1008301</v>
      </c>
      <c r="Q599" s="8">
        <v>1008401</v>
      </c>
      <c r="R599" s="8">
        <v>1008501</v>
      </c>
    </row>
    <row r="600" spans="1:20">
      <c r="A600" s="14" t="s">
        <v>14</v>
      </c>
      <c r="B600" s="8">
        <f t="shared" si="13"/>
        <v>70082503</v>
      </c>
      <c r="C600" s="2" t="s">
        <v>622</v>
      </c>
      <c r="E600" s="2" t="str">
        <f>F600&amp;(VLOOKUP(G600,编号表!$E$1:$G$8,2,0))&amp;H600&amp;"_"&amp;I600&amp;"_"&amp;J600</f>
        <v>8N2_5_3</v>
      </c>
      <c r="F600" s="2">
        <v>8</v>
      </c>
      <c r="G600" s="2" t="s">
        <v>37</v>
      </c>
      <c r="H600" s="2">
        <v>2</v>
      </c>
      <c r="I600" s="2">
        <v>5</v>
      </c>
      <c r="J600" s="2">
        <f>COUNTIFS($F$13:F600,F600,$I$13:I600,I600)</f>
        <v>3</v>
      </c>
      <c r="O600" s="8">
        <v>1008201</v>
      </c>
      <c r="P600" s="8">
        <v>1008301</v>
      </c>
      <c r="Q600" s="8">
        <v>1008401</v>
      </c>
      <c r="R600" s="8">
        <v>1008501</v>
      </c>
    </row>
    <row r="601" spans="1:20">
      <c r="A601" s="14" t="s">
        <v>14</v>
      </c>
      <c r="B601" s="8">
        <f t="shared" si="13"/>
        <v>70082504</v>
      </c>
      <c r="C601" s="15" t="s">
        <v>623</v>
      </c>
      <c r="E601" s="2" t="str">
        <f>F601&amp;(VLOOKUP(G601,编号表!$E$1:$G$8,2,0))&amp;H601&amp;"_"&amp;I601&amp;"_"&amp;J601</f>
        <v>8T2_5_4</v>
      </c>
      <c r="F601" s="2">
        <v>8</v>
      </c>
      <c r="G601" s="2" t="s">
        <v>53</v>
      </c>
      <c r="H601" s="2">
        <v>2</v>
      </c>
      <c r="I601" s="2">
        <v>5</v>
      </c>
      <c r="J601" s="2">
        <f>COUNTIFS($F$13:F601,F601,$I$13:I601,I601)</f>
        <v>4</v>
      </c>
    </row>
    <row r="602" spans="1:20">
      <c r="A602" s="14" t="s">
        <v>14</v>
      </c>
      <c r="B602" s="8">
        <f t="shared" si="13"/>
        <v>70082505</v>
      </c>
      <c r="C602" s="16" t="s">
        <v>624</v>
      </c>
      <c r="D602" s="2" t="s">
        <v>625</v>
      </c>
      <c r="E602" s="2" t="str">
        <f>F602&amp;(VLOOKUP(G602,编号表!$E$1:$G$8,2,0))&amp;H602&amp;"_"&amp;I602&amp;"_"&amp;J602</f>
        <v>8T2_5_5</v>
      </c>
      <c r="F602" s="2">
        <v>8</v>
      </c>
      <c r="G602" s="2" t="s">
        <v>53</v>
      </c>
      <c r="H602" s="2">
        <v>2</v>
      </c>
      <c r="I602" s="2">
        <v>5</v>
      </c>
      <c r="J602" s="2">
        <f>COUNTIFS($F$13:F602,F602,$I$13:I602,I602)</f>
        <v>5</v>
      </c>
      <c r="M602" s="2">
        <v>118</v>
      </c>
    </row>
    <row r="603" spans="1:20">
      <c r="A603" s="14" t="s">
        <v>14</v>
      </c>
      <c r="B603" s="8">
        <f t="shared" si="13"/>
        <v>70080001</v>
      </c>
      <c r="C603" s="18" t="s">
        <v>626</v>
      </c>
      <c r="E603" s="2" t="str">
        <f>F603&amp;(VLOOKUP(G603,编号表!$E$1:$G$8,2,0))&amp;H603&amp;"_"&amp;I603&amp;"_"&amp;J603</f>
        <v>8J0_0_1</v>
      </c>
      <c r="F603" s="2">
        <v>8</v>
      </c>
      <c r="G603" s="2" t="s">
        <v>86</v>
      </c>
      <c r="H603" s="2">
        <v>0</v>
      </c>
      <c r="I603" s="2">
        <v>0</v>
      </c>
      <c r="J603" s="2">
        <f>COUNTIFS($F$13:F603,F603,$I$13:I603,I603)</f>
        <v>1</v>
      </c>
      <c r="K603" s="2">
        <v>1</v>
      </c>
    </row>
    <row r="604" spans="1:20">
      <c r="A604" s="14" t="s">
        <v>14</v>
      </c>
      <c r="B604" s="8">
        <f t="shared" si="13"/>
        <v>70093101</v>
      </c>
      <c r="C604" s="16" t="s">
        <v>90</v>
      </c>
      <c r="D604" s="2" t="s">
        <v>623</v>
      </c>
      <c r="E604" s="2" t="str">
        <f>F604&amp;(VLOOKUP(G604,编号表!$E$1:$G$8,2,0))&amp;H604&amp;"_"&amp;I604&amp;"_"&amp;J604</f>
        <v>9T3_1_1</v>
      </c>
      <c r="F604" s="2">
        <v>9</v>
      </c>
      <c r="G604" s="2" t="s">
        <v>53</v>
      </c>
      <c r="H604" s="2">
        <v>3</v>
      </c>
      <c r="I604" s="2">
        <v>1</v>
      </c>
      <c r="J604" s="2">
        <f>COUNTIFS($F$13:F604,F604,$I$13:I604,I604)</f>
        <v>1</v>
      </c>
      <c r="M604" s="2">
        <v>119</v>
      </c>
    </row>
    <row r="605" spans="1:20">
      <c r="A605" s="14" t="s">
        <v>14</v>
      </c>
      <c r="B605" s="8">
        <f t="shared" si="13"/>
        <v>70091102</v>
      </c>
      <c r="C605" s="15" t="s">
        <v>625</v>
      </c>
      <c r="E605" s="2" t="str">
        <f>F605&amp;(VLOOKUP(G605,编号表!$E$1:$G$8,2,0))&amp;H605&amp;"_"&amp;I605&amp;"_"&amp;J605</f>
        <v>9T1_1_2</v>
      </c>
      <c r="F605" s="2">
        <v>9</v>
      </c>
      <c r="G605" s="2" t="s">
        <v>53</v>
      </c>
      <c r="H605" s="2">
        <v>1</v>
      </c>
      <c r="I605" s="2">
        <v>1</v>
      </c>
      <c r="J605" s="2">
        <f>COUNTIFS($F$13:F605,F605,$I$13:I605,I605)</f>
        <v>2</v>
      </c>
      <c r="L605" s="2">
        <v>1</v>
      </c>
    </row>
    <row r="606" spans="1:20">
      <c r="A606" s="14" t="s">
        <v>14</v>
      </c>
      <c r="B606" s="8">
        <f t="shared" si="13"/>
        <v>70093103</v>
      </c>
      <c r="C606" s="2" t="s">
        <v>627</v>
      </c>
      <c r="E606" s="2" t="str">
        <f>F606&amp;(VLOOKUP(G606,编号表!$E$1:$G$8,2,0))&amp;H606&amp;"_"&amp;I606&amp;"_"&amp;J606</f>
        <v>9N3_1_3</v>
      </c>
      <c r="F606" s="2">
        <v>9</v>
      </c>
      <c r="G606" s="2" t="s">
        <v>37</v>
      </c>
      <c r="H606" s="2">
        <v>3</v>
      </c>
      <c r="I606" s="2">
        <v>1</v>
      </c>
      <c r="J606" s="2">
        <f>COUNTIFS($F$13:F606,F606,$I$13:I606,I606)</f>
        <v>3</v>
      </c>
      <c r="O606" s="8">
        <v>1009201</v>
      </c>
      <c r="P606" s="8">
        <v>1009301</v>
      </c>
      <c r="Q606" s="8">
        <v>1009401</v>
      </c>
      <c r="R606" s="8">
        <v>1009501</v>
      </c>
      <c r="S606" s="8">
        <v>1009601</v>
      </c>
      <c r="T606" s="8">
        <v>1009001</v>
      </c>
    </row>
    <row r="607" spans="1:20">
      <c r="A607" s="14" t="s">
        <v>14</v>
      </c>
      <c r="B607" s="8">
        <f t="shared" si="13"/>
        <v>70093104</v>
      </c>
      <c r="C607" s="2" t="s">
        <v>628</v>
      </c>
      <c r="E607" s="2" t="str">
        <f>F607&amp;(VLOOKUP(G607,编号表!$E$1:$G$8,2,0))&amp;H607&amp;"_"&amp;I607&amp;"_"&amp;J607</f>
        <v>9N3_1_4</v>
      </c>
      <c r="F607" s="2">
        <v>9</v>
      </c>
      <c r="G607" s="2" t="s">
        <v>37</v>
      </c>
      <c r="H607" s="2">
        <v>3</v>
      </c>
      <c r="I607" s="2">
        <v>1</v>
      </c>
      <c r="J607" s="2">
        <f>COUNTIFS($F$13:F607,F607,$I$13:I607,I607)</f>
        <v>4</v>
      </c>
      <c r="O607" s="8">
        <v>1009201</v>
      </c>
      <c r="P607" s="8">
        <v>1009301</v>
      </c>
      <c r="Q607" s="8">
        <v>1009401</v>
      </c>
      <c r="R607" s="8">
        <v>1009501</v>
      </c>
      <c r="S607" s="8">
        <v>1009601</v>
      </c>
      <c r="T607" s="8">
        <v>1009002</v>
      </c>
    </row>
    <row r="608" spans="1:20">
      <c r="A608" s="14" t="s">
        <v>14</v>
      </c>
      <c r="B608" s="8">
        <f t="shared" si="13"/>
        <v>70093105</v>
      </c>
      <c r="C608" s="2" t="s">
        <v>629</v>
      </c>
      <c r="E608" s="2" t="str">
        <f>F608&amp;(VLOOKUP(G608,编号表!$E$1:$G$8,2,0))&amp;H608&amp;"_"&amp;I608&amp;"_"&amp;J608</f>
        <v>9N3_1_5</v>
      </c>
      <c r="F608" s="2">
        <v>9</v>
      </c>
      <c r="G608" s="2" t="s">
        <v>37</v>
      </c>
      <c r="H608" s="2">
        <v>3</v>
      </c>
      <c r="I608" s="2">
        <v>1</v>
      </c>
      <c r="J608" s="2">
        <f>COUNTIFS($F$13:F608,F608,$I$13:I608,I608)</f>
        <v>5</v>
      </c>
      <c r="O608" s="8">
        <v>1009201</v>
      </c>
      <c r="P608" s="8">
        <v>1009301</v>
      </c>
      <c r="Q608" s="8">
        <v>1009401</v>
      </c>
      <c r="R608" s="8">
        <v>1009501</v>
      </c>
      <c r="S608" s="8">
        <v>1009601</v>
      </c>
      <c r="T608" s="8">
        <v>1009101</v>
      </c>
    </row>
    <row r="609" spans="1:19">
      <c r="A609" s="14" t="s">
        <v>14</v>
      </c>
      <c r="B609" s="8">
        <f t="shared" si="13"/>
        <v>70093106</v>
      </c>
      <c r="C609" s="2" t="s">
        <v>630</v>
      </c>
      <c r="E609" s="2" t="str">
        <f>F609&amp;(VLOOKUP(G609,编号表!$E$1:$G$8,2,0))&amp;H609&amp;"_"&amp;I609&amp;"_"&amp;J609</f>
        <v>9N3_1_6</v>
      </c>
      <c r="F609" s="2">
        <v>9</v>
      </c>
      <c r="G609" s="2" t="s">
        <v>37</v>
      </c>
      <c r="H609" s="2">
        <v>3</v>
      </c>
      <c r="I609" s="2">
        <v>1</v>
      </c>
      <c r="J609" s="2">
        <f>COUNTIFS($F$13:F609,F609,$I$13:I609,I609)</f>
        <v>6</v>
      </c>
      <c r="O609" s="8">
        <v>1009201</v>
      </c>
      <c r="P609" s="8">
        <v>1009301</v>
      </c>
      <c r="Q609" s="8">
        <v>1009401</v>
      </c>
      <c r="R609" s="8">
        <v>1009501</v>
      </c>
      <c r="S609" s="8">
        <v>1009601</v>
      </c>
    </row>
    <row r="610" spans="1:19">
      <c r="A610" s="14" t="s">
        <v>14</v>
      </c>
      <c r="B610" s="8">
        <f t="shared" si="13"/>
        <v>70093107</v>
      </c>
      <c r="C610" s="2" t="s">
        <v>631</v>
      </c>
      <c r="E610" s="2" t="str">
        <f>F610&amp;(VLOOKUP(G610,编号表!$E$1:$G$8,2,0))&amp;H610&amp;"_"&amp;I610&amp;"_"&amp;J610</f>
        <v>9N3_1_7</v>
      </c>
      <c r="F610" s="2">
        <v>9</v>
      </c>
      <c r="G610" s="2" t="s">
        <v>37</v>
      </c>
      <c r="H610" s="2">
        <v>3</v>
      </c>
      <c r="I610" s="2">
        <v>1</v>
      </c>
      <c r="J610" s="2">
        <f>COUNTIFS($F$13:F610,F610,$I$13:I610,I610)</f>
        <v>7</v>
      </c>
      <c r="O610" s="8">
        <v>1009201</v>
      </c>
      <c r="P610" s="8">
        <v>1009301</v>
      </c>
      <c r="Q610" s="8">
        <v>1009401</v>
      </c>
      <c r="R610" s="8">
        <v>1009501</v>
      </c>
      <c r="S610" s="8">
        <v>1009601</v>
      </c>
    </row>
    <row r="611" spans="1:19">
      <c r="A611" s="14" t="s">
        <v>14</v>
      </c>
      <c r="B611" s="8">
        <f t="shared" si="13"/>
        <v>70093108</v>
      </c>
      <c r="C611" s="2" t="s">
        <v>632</v>
      </c>
      <c r="E611" s="2" t="str">
        <f>F611&amp;(VLOOKUP(G611,编号表!$E$1:$G$8,2,0))&amp;H611&amp;"_"&amp;I611&amp;"_"&amp;J611</f>
        <v>9N3_1_8</v>
      </c>
      <c r="F611" s="2">
        <v>9</v>
      </c>
      <c r="G611" s="2" t="s">
        <v>37</v>
      </c>
      <c r="H611" s="2">
        <v>3</v>
      </c>
      <c r="I611" s="2">
        <v>1</v>
      </c>
      <c r="J611" s="2">
        <f>COUNTIFS($F$13:F611,F611,$I$13:I611,I611)</f>
        <v>8</v>
      </c>
      <c r="O611" s="8">
        <v>1009201</v>
      </c>
      <c r="P611" s="8">
        <v>1009301</v>
      </c>
      <c r="Q611" s="8">
        <v>1009401</v>
      </c>
      <c r="R611" s="8">
        <v>1009501</v>
      </c>
      <c r="S611" s="8">
        <v>1009601</v>
      </c>
    </row>
    <row r="612" spans="1:19">
      <c r="A612" s="14" t="s">
        <v>14</v>
      </c>
      <c r="B612" s="8">
        <f t="shared" si="13"/>
        <v>70092109</v>
      </c>
      <c r="C612" s="2" t="s">
        <v>633</v>
      </c>
      <c r="E612" s="2" t="str">
        <f>F612&amp;(VLOOKUP(G612,编号表!$E$1:$G$8,2,0))&amp;H612&amp;"_"&amp;I612&amp;"_"&amp;J612</f>
        <v>9N2_1_9</v>
      </c>
      <c r="F612" s="2">
        <v>9</v>
      </c>
      <c r="G612" s="2" t="s">
        <v>37</v>
      </c>
      <c r="H612" s="2">
        <v>2</v>
      </c>
      <c r="I612" s="2">
        <v>1</v>
      </c>
      <c r="J612" s="2">
        <f>COUNTIFS($F$13:F612,F612,$I$13:I612,I612)</f>
        <v>9</v>
      </c>
      <c r="O612" s="8">
        <v>1009201</v>
      </c>
      <c r="P612" s="8">
        <v>1009301</v>
      </c>
      <c r="Q612" s="8">
        <v>1009401</v>
      </c>
      <c r="R612" s="8">
        <v>1009501</v>
      </c>
      <c r="S612" s="8">
        <v>1009601</v>
      </c>
    </row>
    <row r="613" spans="1:19">
      <c r="A613" s="14" t="s">
        <v>14</v>
      </c>
      <c r="B613" s="8">
        <f t="shared" si="13"/>
        <v>70093110</v>
      </c>
      <c r="C613" s="2" t="s">
        <v>634</v>
      </c>
      <c r="E613" s="2" t="str">
        <f>F613&amp;(VLOOKUP(G613,编号表!$E$1:$G$8,2,0))&amp;H613&amp;"_"&amp;I613&amp;"_"&amp;J613</f>
        <v>9N3_1_10</v>
      </c>
      <c r="F613" s="2">
        <v>9</v>
      </c>
      <c r="G613" s="2" t="s">
        <v>37</v>
      </c>
      <c r="H613" s="2">
        <v>3</v>
      </c>
      <c r="I613" s="2">
        <v>1</v>
      </c>
      <c r="J613" s="2">
        <f>COUNTIFS($F$13:F613,F613,$I$13:I613,I613)</f>
        <v>10</v>
      </c>
      <c r="O613" s="8">
        <v>1009201</v>
      </c>
      <c r="P613" s="8">
        <v>1009301</v>
      </c>
      <c r="Q613" s="8">
        <v>1009401</v>
      </c>
      <c r="R613" s="8">
        <v>1009501</v>
      </c>
      <c r="S613" s="8">
        <v>1009601</v>
      </c>
    </row>
    <row r="614" spans="1:19">
      <c r="A614" s="14" t="s">
        <v>14</v>
      </c>
      <c r="B614" s="8">
        <f t="shared" si="13"/>
        <v>70093111</v>
      </c>
      <c r="C614" s="2" t="s">
        <v>635</v>
      </c>
      <c r="E614" s="2" t="str">
        <f>F614&amp;(VLOOKUP(G614,编号表!$E$1:$G$8,2,0))&amp;H614&amp;"_"&amp;I614&amp;"_"&amp;J614</f>
        <v>9N3_1_11</v>
      </c>
      <c r="F614" s="2">
        <v>9</v>
      </c>
      <c r="G614" s="2" t="s">
        <v>37</v>
      </c>
      <c r="H614" s="2">
        <v>3</v>
      </c>
      <c r="I614" s="2">
        <v>1</v>
      </c>
      <c r="J614" s="2">
        <f>COUNTIFS($F$13:F614,F614,$I$13:I614,I614)</f>
        <v>11</v>
      </c>
      <c r="O614" s="8">
        <v>1009201</v>
      </c>
      <c r="P614" s="8">
        <v>1009301</v>
      </c>
      <c r="Q614" s="8">
        <v>1009401</v>
      </c>
      <c r="R614" s="8">
        <v>1009501</v>
      </c>
      <c r="S614" s="8">
        <v>1009601</v>
      </c>
    </row>
    <row r="615" spans="1:19">
      <c r="A615" s="14" t="s">
        <v>14</v>
      </c>
      <c r="B615" s="8">
        <f t="shared" si="13"/>
        <v>70093112</v>
      </c>
      <c r="C615" s="2" t="s">
        <v>636</v>
      </c>
      <c r="E615" s="2" t="str">
        <f>F615&amp;(VLOOKUP(G615,编号表!$E$1:$G$8,2,0))&amp;H615&amp;"_"&amp;I615&amp;"_"&amp;J615</f>
        <v>9N3_1_12</v>
      </c>
      <c r="F615" s="2">
        <v>9</v>
      </c>
      <c r="G615" s="2" t="s">
        <v>37</v>
      </c>
      <c r="H615" s="2">
        <v>3</v>
      </c>
      <c r="I615" s="2">
        <v>1</v>
      </c>
      <c r="J615" s="2">
        <f>COUNTIFS($F$13:F615,F615,$I$13:I615,I615)</f>
        <v>12</v>
      </c>
      <c r="O615" s="8">
        <v>1009201</v>
      </c>
      <c r="P615" s="8">
        <v>1009301</v>
      </c>
      <c r="Q615" s="8">
        <v>1009401</v>
      </c>
      <c r="R615" s="8">
        <v>1009501</v>
      </c>
      <c r="S615" s="8">
        <v>1009601</v>
      </c>
    </row>
    <row r="616" spans="1:19">
      <c r="A616" s="14" t="s">
        <v>14</v>
      </c>
      <c r="B616" s="8">
        <f t="shared" si="13"/>
        <v>70093113</v>
      </c>
      <c r="C616" s="2" t="s">
        <v>637</v>
      </c>
      <c r="E616" s="2" t="str">
        <f>F616&amp;(VLOOKUP(G616,编号表!$E$1:$G$8,2,0))&amp;H616&amp;"_"&amp;I616&amp;"_"&amp;J616</f>
        <v>9N3_1_13</v>
      </c>
      <c r="F616" s="2">
        <v>9</v>
      </c>
      <c r="G616" s="2" t="s">
        <v>37</v>
      </c>
      <c r="H616" s="2">
        <v>3</v>
      </c>
      <c r="I616" s="2">
        <v>1</v>
      </c>
      <c r="J616" s="2">
        <f>COUNTIFS($F$13:F616,F616,$I$13:I616,I616)</f>
        <v>13</v>
      </c>
      <c r="O616" s="8">
        <v>1009201</v>
      </c>
      <c r="P616" s="8">
        <v>1009301</v>
      </c>
      <c r="Q616" s="8">
        <v>1009401</v>
      </c>
      <c r="R616" s="8">
        <v>1009501</v>
      </c>
      <c r="S616" s="8">
        <v>1009601</v>
      </c>
    </row>
    <row r="617" spans="1:19">
      <c r="A617" s="14" t="s">
        <v>14</v>
      </c>
      <c r="B617" s="8">
        <f t="shared" si="13"/>
        <v>70092201</v>
      </c>
      <c r="C617" s="2" t="s">
        <v>638</v>
      </c>
      <c r="E617" s="2" t="str">
        <f>F617&amp;(VLOOKUP(G617,编号表!$E$1:$G$8,2,0))&amp;H617&amp;"_"&amp;I617&amp;"_"&amp;J617</f>
        <v>9N2_2_1</v>
      </c>
      <c r="F617" s="2">
        <v>9</v>
      </c>
      <c r="G617" s="2" t="s">
        <v>37</v>
      </c>
      <c r="H617" s="2">
        <v>2</v>
      </c>
      <c r="I617" s="2">
        <v>2</v>
      </c>
      <c r="J617" s="2">
        <f>COUNTIFS($F$13:F617,F617,$I$13:I617,I617)</f>
        <v>1</v>
      </c>
      <c r="O617" s="8">
        <v>1009201</v>
      </c>
      <c r="P617" s="8">
        <v>1009301</v>
      </c>
      <c r="Q617" s="8">
        <v>1009401</v>
      </c>
      <c r="R617" s="8">
        <v>1009501</v>
      </c>
      <c r="S617" s="8">
        <v>1009601</v>
      </c>
    </row>
    <row r="618" spans="1:19">
      <c r="A618" s="14" t="s">
        <v>14</v>
      </c>
      <c r="B618" s="8">
        <f t="shared" si="13"/>
        <v>70093202</v>
      </c>
      <c r="C618" s="2" t="s">
        <v>639</v>
      </c>
      <c r="E618" s="2" t="str">
        <f>F618&amp;(VLOOKUP(G618,编号表!$E$1:$G$8,2,0))&amp;H618&amp;"_"&amp;I618&amp;"_"&amp;J618</f>
        <v>9N3_2_2</v>
      </c>
      <c r="F618" s="2">
        <v>9</v>
      </c>
      <c r="G618" s="2" t="s">
        <v>37</v>
      </c>
      <c r="H618" s="2">
        <v>3</v>
      </c>
      <c r="I618" s="2">
        <v>2</v>
      </c>
      <c r="J618" s="2">
        <f>COUNTIFS($F$13:F618,F618,$I$13:I618,I618)</f>
        <v>2</v>
      </c>
      <c r="O618" s="8">
        <v>1009201</v>
      </c>
      <c r="P618" s="8">
        <v>1009301</v>
      </c>
      <c r="Q618" s="8">
        <v>1009401</v>
      </c>
      <c r="R618" s="8">
        <v>1009501</v>
      </c>
      <c r="S618" s="8">
        <v>1009601</v>
      </c>
    </row>
    <row r="619" spans="1:19">
      <c r="A619" s="14" t="s">
        <v>14</v>
      </c>
      <c r="B619" s="8">
        <f t="shared" si="13"/>
        <v>70093203</v>
      </c>
      <c r="C619" s="2" t="s">
        <v>640</v>
      </c>
      <c r="E619" s="2" t="str">
        <f>F619&amp;(VLOOKUP(G619,编号表!$E$1:$G$8,2,0))&amp;H619&amp;"_"&amp;I619&amp;"_"&amp;J619</f>
        <v>9N3_2_3</v>
      </c>
      <c r="F619" s="2">
        <v>9</v>
      </c>
      <c r="G619" s="2" t="s">
        <v>37</v>
      </c>
      <c r="H619" s="2">
        <v>3</v>
      </c>
      <c r="I619" s="2">
        <v>2</v>
      </c>
      <c r="J619" s="2">
        <f>COUNTIFS($F$13:F619,F619,$I$13:I619,I619)</f>
        <v>3</v>
      </c>
      <c r="O619" s="8">
        <v>1009201</v>
      </c>
      <c r="P619" s="8">
        <v>1009301</v>
      </c>
      <c r="Q619" s="8">
        <v>1009401</v>
      </c>
      <c r="R619" s="8">
        <v>1009501</v>
      </c>
      <c r="S619" s="8">
        <v>1009601</v>
      </c>
    </row>
    <row r="620" spans="1:19">
      <c r="A620" s="14" t="s">
        <v>14</v>
      </c>
      <c r="B620" s="8">
        <f t="shared" si="13"/>
        <v>70093204</v>
      </c>
      <c r="C620" s="2" t="s">
        <v>641</v>
      </c>
      <c r="E620" s="2" t="str">
        <f>F620&amp;(VLOOKUP(G620,编号表!$E$1:$G$8,2,0))&amp;H620&amp;"_"&amp;I620&amp;"_"&amp;J620</f>
        <v>9N3_2_4</v>
      </c>
      <c r="F620" s="2">
        <v>9</v>
      </c>
      <c r="G620" s="2" t="s">
        <v>37</v>
      </c>
      <c r="H620" s="2">
        <v>3</v>
      </c>
      <c r="I620" s="2">
        <v>2</v>
      </c>
      <c r="J620" s="2">
        <f>COUNTIFS($F$13:F620,F620,$I$13:I620,I620)</f>
        <v>4</v>
      </c>
      <c r="O620" s="8">
        <v>1009201</v>
      </c>
      <c r="P620" s="8">
        <v>1009301</v>
      </c>
      <c r="Q620" s="8">
        <v>1009401</v>
      </c>
      <c r="R620" s="8">
        <v>1009501</v>
      </c>
      <c r="S620" s="8">
        <v>1009601</v>
      </c>
    </row>
    <row r="621" spans="1:19">
      <c r="A621" s="14" t="s">
        <v>14</v>
      </c>
      <c r="B621" s="8">
        <f t="shared" si="13"/>
        <v>70093205</v>
      </c>
      <c r="C621" s="2" t="s">
        <v>642</v>
      </c>
      <c r="E621" s="2" t="str">
        <f>F621&amp;(VLOOKUP(G621,编号表!$E$1:$G$8,2,0))&amp;H621&amp;"_"&amp;I621&amp;"_"&amp;J621</f>
        <v>9N3_2_5</v>
      </c>
      <c r="F621" s="2">
        <v>9</v>
      </c>
      <c r="G621" s="2" t="s">
        <v>37</v>
      </c>
      <c r="H621" s="2">
        <v>3</v>
      </c>
      <c r="I621" s="2">
        <v>2</v>
      </c>
      <c r="J621" s="2">
        <f>COUNTIFS($F$13:F621,F621,$I$13:I621,I621)</f>
        <v>5</v>
      </c>
      <c r="O621" s="8">
        <v>1009201</v>
      </c>
      <c r="P621" s="8">
        <v>1009301</v>
      </c>
      <c r="Q621" s="8">
        <v>1009401</v>
      </c>
      <c r="R621" s="8">
        <v>1009501</v>
      </c>
      <c r="S621" s="8">
        <v>1009601</v>
      </c>
    </row>
    <row r="622" spans="1:19">
      <c r="A622" s="14" t="s">
        <v>14</v>
      </c>
      <c r="B622" s="8">
        <f t="shared" si="13"/>
        <v>70091206</v>
      </c>
      <c r="C622" s="2" t="s">
        <v>643</v>
      </c>
      <c r="E622" s="2" t="str">
        <f>F622&amp;(VLOOKUP(G622,编号表!$E$1:$G$8,2,0))&amp;H622&amp;"_"&amp;I622&amp;"_"&amp;J622</f>
        <v>9N1_2_6</v>
      </c>
      <c r="F622" s="2">
        <v>9</v>
      </c>
      <c r="G622" s="2" t="s">
        <v>37</v>
      </c>
      <c r="H622" s="2">
        <v>1</v>
      </c>
      <c r="I622" s="2">
        <v>2</v>
      </c>
      <c r="J622" s="2">
        <f>COUNTIFS($F$13:F622,F622,$I$13:I622,I622)</f>
        <v>6</v>
      </c>
      <c r="O622" s="8">
        <v>1009201</v>
      </c>
      <c r="P622" s="8">
        <v>1009301</v>
      </c>
      <c r="Q622" s="8">
        <v>1009401</v>
      </c>
      <c r="R622" s="8">
        <v>1009501</v>
      </c>
      <c r="S622" s="8">
        <v>1009601</v>
      </c>
    </row>
    <row r="623" spans="1:19">
      <c r="A623" s="14" t="s">
        <v>14</v>
      </c>
      <c r="B623" s="8">
        <f t="shared" si="13"/>
        <v>70091207</v>
      </c>
      <c r="C623" s="2" t="s">
        <v>644</v>
      </c>
      <c r="E623" s="2" t="str">
        <f>F623&amp;(VLOOKUP(G623,编号表!$E$1:$G$8,2,0))&amp;H623&amp;"_"&amp;I623&amp;"_"&amp;J623</f>
        <v>9N1_2_7</v>
      </c>
      <c r="F623" s="2">
        <v>9</v>
      </c>
      <c r="G623" s="2" t="s">
        <v>37</v>
      </c>
      <c r="H623" s="2">
        <v>1</v>
      </c>
      <c r="I623" s="2">
        <v>2</v>
      </c>
      <c r="J623" s="2">
        <f>COUNTIFS($F$13:F623,F623,$I$13:I623,I623)</f>
        <v>7</v>
      </c>
      <c r="O623" s="8">
        <v>1009201</v>
      </c>
      <c r="P623" s="8">
        <v>1009301</v>
      </c>
      <c r="Q623" s="8">
        <v>1009401</v>
      </c>
      <c r="R623" s="8">
        <v>1009501</v>
      </c>
      <c r="S623" s="8">
        <v>1009601</v>
      </c>
    </row>
    <row r="624" spans="1:19">
      <c r="A624" s="14" t="s">
        <v>14</v>
      </c>
      <c r="B624" s="8">
        <f t="shared" si="13"/>
        <v>70093208</v>
      </c>
      <c r="C624" s="2" t="s">
        <v>645</v>
      </c>
      <c r="E624" s="2" t="str">
        <f>F624&amp;(VLOOKUP(G624,编号表!$E$1:$G$8,2,0))&amp;H624&amp;"_"&amp;I624&amp;"_"&amp;J624</f>
        <v>9N3_2_8</v>
      </c>
      <c r="F624" s="2">
        <v>9</v>
      </c>
      <c r="G624" s="2" t="s">
        <v>37</v>
      </c>
      <c r="H624" s="2">
        <v>3</v>
      </c>
      <c r="I624" s="2">
        <v>2</v>
      </c>
      <c r="J624" s="2">
        <f>COUNTIFS($F$13:F624,F624,$I$13:I624,I624)</f>
        <v>8</v>
      </c>
      <c r="O624" s="8">
        <v>1009201</v>
      </c>
      <c r="P624" s="8">
        <v>1009301</v>
      </c>
      <c r="Q624" s="8">
        <v>1009401</v>
      </c>
      <c r="R624" s="8">
        <v>1009501</v>
      </c>
      <c r="S624" s="8">
        <v>1009601</v>
      </c>
    </row>
    <row r="625" spans="1:19">
      <c r="A625" s="14" t="s">
        <v>14</v>
      </c>
      <c r="B625" s="8">
        <f t="shared" si="13"/>
        <v>70093301</v>
      </c>
      <c r="C625" s="2" t="s">
        <v>646</v>
      </c>
      <c r="E625" s="2" t="str">
        <f>F625&amp;(VLOOKUP(G625,编号表!$E$1:$G$8,2,0))&amp;H625&amp;"_"&amp;I625&amp;"_"&amp;J625</f>
        <v>9N3_3_1</v>
      </c>
      <c r="F625" s="2">
        <v>9</v>
      </c>
      <c r="G625" s="2" t="s">
        <v>37</v>
      </c>
      <c r="H625" s="2">
        <v>3</v>
      </c>
      <c r="I625" s="2">
        <v>3</v>
      </c>
      <c r="J625" s="2">
        <f>COUNTIFS($F$13:F625,F625,$I$13:I625,I625)</f>
        <v>1</v>
      </c>
      <c r="O625" s="8">
        <v>1009201</v>
      </c>
      <c r="P625" s="8">
        <v>1009301</v>
      </c>
      <c r="Q625" s="8">
        <v>1009401</v>
      </c>
      <c r="R625" s="8">
        <v>1009501</v>
      </c>
      <c r="S625" s="8">
        <v>1009601</v>
      </c>
    </row>
    <row r="626" spans="1:19">
      <c r="A626" s="14" t="s">
        <v>14</v>
      </c>
      <c r="B626" s="8">
        <f t="shared" si="13"/>
        <v>70093302</v>
      </c>
      <c r="C626" s="2" t="s">
        <v>647</v>
      </c>
      <c r="E626" s="2" t="str">
        <f>F626&amp;(VLOOKUP(G626,编号表!$E$1:$G$8,2,0))&amp;H626&amp;"_"&amp;I626&amp;"_"&amp;J626</f>
        <v>9N3_3_2</v>
      </c>
      <c r="F626" s="2">
        <v>9</v>
      </c>
      <c r="G626" s="2" t="s">
        <v>37</v>
      </c>
      <c r="H626" s="2">
        <v>3</v>
      </c>
      <c r="I626" s="2">
        <v>3</v>
      </c>
      <c r="J626" s="2">
        <f>COUNTIFS($F$13:F626,F626,$I$13:I626,I626)</f>
        <v>2</v>
      </c>
      <c r="O626" s="8">
        <v>1009201</v>
      </c>
      <c r="P626" s="8">
        <v>1009301</v>
      </c>
      <c r="Q626" s="8">
        <v>1009401</v>
      </c>
      <c r="R626" s="8">
        <v>1009501</v>
      </c>
      <c r="S626" s="8">
        <v>1009601</v>
      </c>
    </row>
    <row r="627" spans="1:19">
      <c r="A627" s="14" t="s">
        <v>14</v>
      </c>
      <c r="B627" s="8">
        <f t="shared" si="13"/>
        <v>70093303</v>
      </c>
      <c r="C627" s="2" t="s">
        <v>648</v>
      </c>
      <c r="E627" s="2" t="str">
        <f>F627&amp;(VLOOKUP(G627,编号表!$E$1:$G$8,2,0))&amp;H627&amp;"_"&amp;I627&amp;"_"&amp;J627</f>
        <v>9N3_3_3</v>
      </c>
      <c r="F627" s="2">
        <v>9</v>
      </c>
      <c r="G627" s="2" t="s">
        <v>37</v>
      </c>
      <c r="H627" s="2">
        <v>3</v>
      </c>
      <c r="I627" s="2">
        <v>3</v>
      </c>
      <c r="J627" s="2">
        <f>COUNTIFS($F$13:F627,F627,$I$13:I627,I627)</f>
        <v>3</v>
      </c>
      <c r="O627" s="8">
        <v>1009201</v>
      </c>
      <c r="P627" s="8">
        <v>1009301</v>
      </c>
      <c r="Q627" s="8">
        <v>1009401</v>
      </c>
      <c r="R627" s="8">
        <v>1009501</v>
      </c>
      <c r="S627" s="8">
        <v>1009601</v>
      </c>
    </row>
    <row r="628" spans="1:19">
      <c r="A628" s="14" t="s">
        <v>14</v>
      </c>
      <c r="B628" s="8">
        <f t="shared" si="13"/>
        <v>70092304</v>
      </c>
      <c r="C628" s="2" t="s">
        <v>649</v>
      </c>
      <c r="E628" s="2" t="str">
        <f>F628&amp;(VLOOKUP(G628,编号表!$E$1:$G$8,2,0))&amp;H628&amp;"_"&amp;I628&amp;"_"&amp;J628</f>
        <v>9N2_3_4</v>
      </c>
      <c r="F628" s="2">
        <v>9</v>
      </c>
      <c r="G628" s="2" t="s">
        <v>37</v>
      </c>
      <c r="H628" s="2">
        <v>2</v>
      </c>
      <c r="I628" s="2">
        <v>3</v>
      </c>
      <c r="J628" s="2">
        <f>COUNTIFS($F$13:F628,F628,$I$13:I628,I628)</f>
        <v>4</v>
      </c>
      <c r="O628" s="8">
        <v>1009201</v>
      </c>
      <c r="P628" s="8">
        <v>1009301</v>
      </c>
      <c r="Q628" s="8">
        <v>1009401</v>
      </c>
      <c r="R628" s="8">
        <v>1009501</v>
      </c>
      <c r="S628" s="8">
        <v>1009601</v>
      </c>
    </row>
    <row r="629" spans="1:19">
      <c r="A629" s="14" t="s">
        <v>14</v>
      </c>
      <c r="B629" s="8">
        <f t="shared" si="13"/>
        <v>70094305</v>
      </c>
      <c r="C629" s="2" t="s">
        <v>650</v>
      </c>
      <c r="E629" s="2" t="str">
        <f>F629&amp;(VLOOKUP(G629,编号表!$E$1:$G$8,2,0))&amp;H629&amp;"_"&amp;I629&amp;"_"&amp;J629</f>
        <v>9N4_3_5</v>
      </c>
      <c r="F629" s="2">
        <v>9</v>
      </c>
      <c r="G629" s="2" t="s">
        <v>37</v>
      </c>
      <c r="H629" s="2">
        <v>4</v>
      </c>
      <c r="I629" s="2">
        <v>3</v>
      </c>
      <c r="J629" s="2">
        <f>COUNTIFS($F$13:F629,F629,$I$13:I629,I629)</f>
        <v>5</v>
      </c>
      <c r="O629" s="8">
        <v>1009201</v>
      </c>
      <c r="P629" s="8">
        <v>1009301</v>
      </c>
      <c r="Q629" s="8">
        <v>1009401</v>
      </c>
      <c r="R629" s="8">
        <v>1009501</v>
      </c>
      <c r="S629" s="8">
        <v>1009601</v>
      </c>
    </row>
    <row r="630" spans="1:19">
      <c r="A630" s="14" t="s">
        <v>14</v>
      </c>
      <c r="B630" s="8">
        <f t="shared" si="13"/>
        <v>70092306</v>
      </c>
      <c r="C630" s="2" t="s">
        <v>651</v>
      </c>
      <c r="E630" s="2" t="str">
        <f>F630&amp;(VLOOKUP(G630,编号表!$E$1:$G$8,2,0))&amp;H630&amp;"_"&amp;I630&amp;"_"&amp;J630</f>
        <v>9N2_3_6</v>
      </c>
      <c r="F630" s="2">
        <v>9</v>
      </c>
      <c r="G630" s="2" t="s">
        <v>37</v>
      </c>
      <c r="H630" s="2">
        <v>2</v>
      </c>
      <c r="I630" s="2">
        <v>3</v>
      </c>
      <c r="J630" s="2">
        <f>COUNTIFS($F$13:F630,F630,$I$13:I630,I630)</f>
        <v>6</v>
      </c>
      <c r="O630" s="8">
        <v>1009201</v>
      </c>
      <c r="P630" s="8">
        <v>1009301</v>
      </c>
      <c r="Q630" s="8">
        <v>1009401</v>
      </c>
      <c r="R630" s="8">
        <v>1009501</v>
      </c>
      <c r="S630" s="8">
        <v>1009601</v>
      </c>
    </row>
    <row r="631" spans="1:19">
      <c r="A631" s="14" t="s">
        <v>14</v>
      </c>
      <c r="B631" s="8">
        <f t="shared" si="13"/>
        <v>70093307</v>
      </c>
      <c r="C631" s="2" t="s">
        <v>652</v>
      </c>
      <c r="E631" s="2" t="str">
        <f>F631&amp;(VLOOKUP(G631,编号表!$E$1:$G$8,2,0))&amp;H631&amp;"_"&amp;I631&amp;"_"&amp;J631</f>
        <v>9N3_3_7</v>
      </c>
      <c r="F631" s="2">
        <v>9</v>
      </c>
      <c r="G631" s="2" t="s">
        <v>37</v>
      </c>
      <c r="H631" s="2">
        <v>3</v>
      </c>
      <c r="I631" s="2">
        <v>3</v>
      </c>
      <c r="J631" s="2">
        <f>COUNTIFS($F$13:F631,F631,$I$13:I631,I631)</f>
        <v>7</v>
      </c>
      <c r="O631" s="8">
        <v>1009201</v>
      </c>
      <c r="P631" s="8">
        <v>1009301</v>
      </c>
      <c r="Q631" s="8">
        <v>1009401</v>
      </c>
      <c r="R631" s="8">
        <v>1009501</v>
      </c>
      <c r="S631" s="8">
        <v>1009601</v>
      </c>
    </row>
    <row r="632" spans="1:19">
      <c r="A632" s="14" t="s">
        <v>14</v>
      </c>
      <c r="B632" s="8">
        <f t="shared" si="13"/>
        <v>70092308</v>
      </c>
      <c r="C632" s="2" t="s">
        <v>653</v>
      </c>
      <c r="E632" s="2" t="str">
        <f>F632&amp;(VLOOKUP(G632,编号表!$E$1:$G$8,2,0))&amp;H632&amp;"_"&amp;I632&amp;"_"&amp;J632</f>
        <v>9N2_3_8</v>
      </c>
      <c r="F632" s="2">
        <v>9</v>
      </c>
      <c r="G632" s="2" t="s">
        <v>37</v>
      </c>
      <c r="H632" s="2">
        <v>2</v>
      </c>
      <c r="I632" s="2">
        <v>3</v>
      </c>
      <c r="J632" s="2">
        <f>COUNTIFS($F$13:F632,F632,$I$13:I632,I632)</f>
        <v>8</v>
      </c>
      <c r="O632" s="8">
        <v>1009201</v>
      </c>
      <c r="P632" s="8">
        <v>1009301</v>
      </c>
      <c r="Q632" s="8">
        <v>1009401</v>
      </c>
      <c r="R632" s="8">
        <v>1009501</v>
      </c>
      <c r="S632" s="8">
        <v>1009601</v>
      </c>
    </row>
    <row r="633" spans="1:19">
      <c r="A633" s="14" t="s">
        <v>14</v>
      </c>
      <c r="B633" s="8">
        <f t="shared" si="13"/>
        <v>70093309</v>
      </c>
      <c r="C633" s="2" t="s">
        <v>654</v>
      </c>
      <c r="E633" s="2" t="str">
        <f>F633&amp;(VLOOKUP(G633,编号表!$E$1:$G$8,2,0))&amp;H633&amp;"_"&amp;I633&amp;"_"&amp;J633</f>
        <v>9N3_3_9</v>
      </c>
      <c r="F633" s="2">
        <v>9</v>
      </c>
      <c r="G633" s="2" t="s">
        <v>37</v>
      </c>
      <c r="H633" s="2">
        <v>3</v>
      </c>
      <c r="I633" s="2">
        <v>3</v>
      </c>
      <c r="J633" s="2">
        <f>COUNTIFS($F$13:F633,F633,$I$13:I633,I633)</f>
        <v>9</v>
      </c>
      <c r="O633" s="8">
        <v>1009201</v>
      </c>
      <c r="P633" s="8">
        <v>1009301</v>
      </c>
      <c r="Q633" s="8">
        <v>1009401</v>
      </c>
      <c r="R633" s="8">
        <v>1009501</v>
      </c>
      <c r="S633" s="8">
        <v>1009601</v>
      </c>
    </row>
    <row r="634" spans="1:19">
      <c r="A634" s="14" t="s">
        <v>14</v>
      </c>
      <c r="B634" s="8">
        <f t="shared" si="13"/>
        <v>70092310</v>
      </c>
      <c r="C634" s="2" t="s">
        <v>655</v>
      </c>
      <c r="E634" s="2" t="str">
        <f>F634&amp;(VLOOKUP(G634,编号表!$E$1:$G$8,2,0))&amp;H634&amp;"_"&amp;I634&amp;"_"&amp;J634</f>
        <v>9N2_3_10</v>
      </c>
      <c r="F634" s="2">
        <v>9</v>
      </c>
      <c r="G634" s="2" t="s">
        <v>37</v>
      </c>
      <c r="H634" s="2">
        <v>2</v>
      </c>
      <c r="I634" s="2">
        <v>3</v>
      </c>
      <c r="J634" s="2">
        <f>COUNTIFS($F$13:F634,F634,$I$13:I634,I634)</f>
        <v>10</v>
      </c>
      <c r="O634" s="8">
        <v>1009201</v>
      </c>
      <c r="P634" s="8">
        <v>1009301</v>
      </c>
      <c r="Q634" s="8">
        <v>1009401</v>
      </c>
      <c r="R634" s="8">
        <v>1009501</v>
      </c>
      <c r="S634" s="8">
        <v>1009601</v>
      </c>
    </row>
    <row r="635" spans="1:19">
      <c r="A635" s="14" t="s">
        <v>14</v>
      </c>
      <c r="B635" s="8">
        <f t="shared" si="13"/>
        <v>70093311</v>
      </c>
      <c r="C635" s="2" t="s">
        <v>656</v>
      </c>
      <c r="E635" s="2" t="str">
        <f>F635&amp;(VLOOKUP(G635,编号表!$E$1:$G$8,2,0))&amp;H635&amp;"_"&amp;I635&amp;"_"&amp;J635</f>
        <v>9N3_3_11</v>
      </c>
      <c r="F635" s="2">
        <v>9</v>
      </c>
      <c r="G635" s="2" t="s">
        <v>37</v>
      </c>
      <c r="H635" s="2">
        <v>3</v>
      </c>
      <c r="I635" s="2">
        <v>3</v>
      </c>
      <c r="J635" s="2">
        <f>COUNTIFS($F$13:F635,F635,$I$13:I635,I635)</f>
        <v>11</v>
      </c>
      <c r="O635" s="8">
        <v>1009201</v>
      </c>
      <c r="P635" s="8">
        <v>1009301</v>
      </c>
      <c r="Q635" s="8">
        <v>1009401</v>
      </c>
      <c r="R635" s="8">
        <v>1009501</v>
      </c>
      <c r="S635" s="8">
        <v>1009601</v>
      </c>
    </row>
    <row r="636" spans="1:19">
      <c r="A636" s="14" t="s">
        <v>14</v>
      </c>
      <c r="B636" s="8">
        <f t="shared" si="13"/>
        <v>70092312</v>
      </c>
      <c r="C636" s="2" t="s">
        <v>657</v>
      </c>
      <c r="E636" s="2" t="str">
        <f>F636&amp;(VLOOKUP(G636,编号表!$E$1:$G$8,2,0))&amp;H636&amp;"_"&amp;I636&amp;"_"&amp;J636</f>
        <v>9N2_3_12</v>
      </c>
      <c r="F636" s="2">
        <v>9</v>
      </c>
      <c r="G636" s="2" t="s">
        <v>37</v>
      </c>
      <c r="H636" s="2">
        <v>2</v>
      </c>
      <c r="I636" s="2">
        <v>3</v>
      </c>
      <c r="J636" s="2">
        <f>COUNTIFS($F$13:F636,F636,$I$13:I636,I636)</f>
        <v>12</v>
      </c>
      <c r="O636" s="8">
        <v>1009201</v>
      </c>
      <c r="P636" s="8">
        <v>1009301</v>
      </c>
      <c r="Q636" s="8">
        <v>1009401</v>
      </c>
      <c r="R636" s="8">
        <v>1009501</v>
      </c>
      <c r="S636" s="8">
        <v>1009601</v>
      </c>
    </row>
    <row r="637" spans="1:19">
      <c r="A637" s="14" t="s">
        <v>14</v>
      </c>
      <c r="B637" s="8">
        <f t="shared" si="13"/>
        <v>70093313</v>
      </c>
      <c r="C637" s="2" t="s">
        <v>658</v>
      </c>
      <c r="E637" s="2" t="str">
        <f>F637&amp;(VLOOKUP(G637,编号表!$E$1:$G$8,2,0))&amp;H637&amp;"_"&amp;I637&amp;"_"&amp;J637</f>
        <v>9N3_3_13</v>
      </c>
      <c r="F637" s="2">
        <v>9</v>
      </c>
      <c r="G637" s="2" t="s">
        <v>37</v>
      </c>
      <c r="H637" s="2">
        <v>3</v>
      </c>
      <c r="I637" s="2">
        <v>3</v>
      </c>
      <c r="J637" s="2">
        <f>COUNTIFS($F$13:F637,F637,$I$13:I637,I637)</f>
        <v>13</v>
      </c>
      <c r="O637" s="8">
        <v>1009201</v>
      </c>
      <c r="P637" s="8">
        <v>1009301</v>
      </c>
      <c r="Q637" s="8">
        <v>1009401</v>
      </c>
      <c r="R637" s="8">
        <v>1009501</v>
      </c>
      <c r="S637" s="8">
        <v>1009601</v>
      </c>
    </row>
    <row r="638" spans="1:19">
      <c r="A638" s="14" t="s">
        <v>14</v>
      </c>
      <c r="B638" s="8">
        <f t="shared" si="13"/>
        <v>70093401</v>
      </c>
      <c r="C638" s="2" t="s">
        <v>659</v>
      </c>
      <c r="E638" s="2" t="str">
        <f>F638&amp;(VLOOKUP(G638,编号表!$E$1:$G$8,2,0))&amp;H638&amp;"_"&amp;I638&amp;"_"&amp;J638</f>
        <v>9N3_4_1</v>
      </c>
      <c r="F638" s="2">
        <v>9</v>
      </c>
      <c r="G638" s="2" t="s">
        <v>37</v>
      </c>
      <c r="H638" s="2">
        <v>3</v>
      </c>
      <c r="I638" s="2">
        <v>4</v>
      </c>
      <c r="J638" s="2">
        <f>COUNTIFS($F$13:F638,F638,$I$13:I638,I638)</f>
        <v>1</v>
      </c>
      <c r="O638" s="8">
        <v>1009201</v>
      </c>
      <c r="P638" s="8">
        <v>1009301</v>
      </c>
      <c r="Q638" s="8">
        <v>1009401</v>
      </c>
      <c r="R638" s="8">
        <v>1009501</v>
      </c>
      <c r="S638" s="8">
        <v>1009601</v>
      </c>
    </row>
    <row r="639" spans="1:19">
      <c r="A639" s="14" t="s">
        <v>14</v>
      </c>
      <c r="B639" s="8">
        <f t="shared" si="13"/>
        <v>70093402</v>
      </c>
      <c r="C639" s="2" t="s">
        <v>660</v>
      </c>
      <c r="E639" s="2" t="str">
        <f>F639&amp;(VLOOKUP(G639,编号表!$E$1:$G$8,2,0))&amp;H639&amp;"_"&amp;I639&amp;"_"&amp;J639</f>
        <v>9N3_4_2</v>
      </c>
      <c r="F639" s="2">
        <v>9</v>
      </c>
      <c r="G639" s="2" t="s">
        <v>37</v>
      </c>
      <c r="H639" s="2">
        <v>3</v>
      </c>
      <c r="I639" s="2">
        <v>4</v>
      </c>
      <c r="J639" s="2">
        <f>COUNTIFS($F$13:F639,F639,$I$13:I639,I639)</f>
        <v>2</v>
      </c>
      <c r="O639" s="8">
        <v>1009201</v>
      </c>
      <c r="P639" s="8">
        <v>1009301</v>
      </c>
      <c r="Q639" s="8">
        <v>1009401</v>
      </c>
      <c r="R639" s="8">
        <v>1009501</v>
      </c>
      <c r="S639" s="8">
        <v>1009601</v>
      </c>
    </row>
    <row r="640" spans="1:19">
      <c r="A640" s="14" t="s">
        <v>14</v>
      </c>
      <c r="B640" s="8">
        <f t="shared" si="13"/>
        <v>70093403</v>
      </c>
      <c r="C640" s="2" t="s">
        <v>661</v>
      </c>
      <c r="E640" s="2" t="str">
        <f>F640&amp;(VLOOKUP(G640,编号表!$E$1:$G$8,2,0))&amp;H640&amp;"_"&amp;I640&amp;"_"&amp;J640</f>
        <v>9N3_4_3</v>
      </c>
      <c r="F640" s="2">
        <v>9</v>
      </c>
      <c r="G640" s="2" t="s">
        <v>37</v>
      </c>
      <c r="H640" s="2">
        <v>3</v>
      </c>
      <c r="I640" s="2">
        <v>4</v>
      </c>
      <c r="J640" s="2">
        <f>COUNTIFS($F$13:F640,F640,$I$13:I640,I640)</f>
        <v>3</v>
      </c>
      <c r="O640" s="8">
        <v>1009201</v>
      </c>
      <c r="P640" s="8">
        <v>1009301</v>
      </c>
      <c r="Q640" s="8">
        <v>1009401</v>
      </c>
      <c r="R640" s="8">
        <v>1009501</v>
      </c>
      <c r="S640" s="8">
        <v>1009601</v>
      </c>
    </row>
    <row r="641" spans="1:19">
      <c r="A641" s="14" t="s">
        <v>14</v>
      </c>
      <c r="B641" s="8">
        <f t="shared" si="13"/>
        <v>70093404</v>
      </c>
      <c r="C641" s="2" t="s">
        <v>662</v>
      </c>
      <c r="E641" s="2" t="str">
        <f>F641&amp;(VLOOKUP(G641,编号表!$E$1:$G$8,2,0))&amp;H641&amp;"_"&amp;I641&amp;"_"&amp;J641</f>
        <v>9N3_4_4</v>
      </c>
      <c r="F641" s="2">
        <v>9</v>
      </c>
      <c r="G641" s="2" t="s">
        <v>37</v>
      </c>
      <c r="H641" s="2">
        <v>3</v>
      </c>
      <c r="I641" s="2">
        <v>4</v>
      </c>
      <c r="J641" s="2">
        <f>COUNTIFS($F$13:F641,F641,$I$13:I641,I641)</f>
        <v>4</v>
      </c>
      <c r="O641" s="8">
        <v>1009201</v>
      </c>
      <c r="P641" s="8">
        <v>1009301</v>
      </c>
      <c r="Q641" s="8">
        <v>1009401</v>
      </c>
      <c r="R641" s="8">
        <v>1009501</v>
      </c>
      <c r="S641" s="8">
        <v>1009601</v>
      </c>
    </row>
    <row r="642" spans="1:19">
      <c r="A642" s="14" t="s">
        <v>14</v>
      </c>
      <c r="B642" s="8">
        <f t="shared" si="13"/>
        <v>70093405</v>
      </c>
      <c r="C642" s="2" t="s">
        <v>663</v>
      </c>
      <c r="E642" s="2" t="str">
        <f>F642&amp;(VLOOKUP(G642,编号表!$E$1:$G$8,2,0))&amp;H642&amp;"_"&amp;I642&amp;"_"&amp;J642</f>
        <v>9N3_4_5</v>
      </c>
      <c r="F642" s="2">
        <v>9</v>
      </c>
      <c r="G642" s="2" t="s">
        <v>37</v>
      </c>
      <c r="H642" s="2">
        <v>3</v>
      </c>
      <c r="I642" s="2">
        <v>4</v>
      </c>
      <c r="J642" s="2">
        <f>COUNTIFS($F$13:F642,F642,$I$13:I642,I642)</f>
        <v>5</v>
      </c>
      <c r="O642" s="8">
        <v>1009201</v>
      </c>
      <c r="P642" s="8">
        <v>1009301</v>
      </c>
      <c r="Q642" s="8">
        <v>1009401</v>
      </c>
      <c r="R642" s="8">
        <v>1009501</v>
      </c>
      <c r="S642" s="8">
        <v>1009601</v>
      </c>
    </row>
    <row r="643" spans="1:19">
      <c r="A643" s="14" t="s">
        <v>14</v>
      </c>
      <c r="B643" s="8">
        <f t="shared" si="13"/>
        <v>70093406</v>
      </c>
      <c r="C643" s="2" t="s">
        <v>664</v>
      </c>
      <c r="E643" s="2" t="str">
        <f>F643&amp;(VLOOKUP(G643,编号表!$E$1:$G$8,2,0))&amp;H643&amp;"_"&amp;I643&amp;"_"&amp;J643</f>
        <v>9N3_4_6</v>
      </c>
      <c r="F643" s="2">
        <v>9</v>
      </c>
      <c r="G643" s="2" t="s">
        <v>37</v>
      </c>
      <c r="H643" s="2">
        <v>3</v>
      </c>
      <c r="I643" s="2">
        <v>4</v>
      </c>
      <c r="J643" s="2">
        <f>COUNTIFS($F$13:F643,F643,$I$13:I643,I643)</f>
        <v>6</v>
      </c>
      <c r="O643" s="8">
        <v>1009201</v>
      </c>
      <c r="P643" s="8">
        <v>1009301</v>
      </c>
      <c r="Q643" s="8">
        <v>1009401</v>
      </c>
      <c r="R643" s="8">
        <v>1009501</v>
      </c>
      <c r="S643" s="8">
        <v>1009601</v>
      </c>
    </row>
    <row r="644" spans="1:19">
      <c r="A644" s="14" t="s">
        <v>14</v>
      </c>
      <c r="B644" s="8">
        <f t="shared" si="13"/>
        <v>70093407</v>
      </c>
      <c r="C644" s="2" t="s">
        <v>665</v>
      </c>
      <c r="E644" s="2" t="str">
        <f>F644&amp;(VLOOKUP(G644,编号表!$E$1:$G$8,2,0))&amp;H644&amp;"_"&amp;I644&amp;"_"&amp;J644</f>
        <v>9N3_4_7</v>
      </c>
      <c r="F644" s="2">
        <v>9</v>
      </c>
      <c r="G644" s="2" t="s">
        <v>37</v>
      </c>
      <c r="H644" s="2">
        <v>3</v>
      </c>
      <c r="I644" s="2">
        <v>4</v>
      </c>
      <c r="J644" s="2">
        <f>COUNTIFS($F$13:F644,F644,$I$13:I644,I644)</f>
        <v>7</v>
      </c>
      <c r="O644" s="8">
        <v>1009201</v>
      </c>
      <c r="P644" s="8">
        <v>1009301</v>
      </c>
      <c r="Q644" s="8">
        <v>1009401</v>
      </c>
      <c r="R644" s="8">
        <v>1009501</v>
      </c>
      <c r="S644" s="8">
        <v>1009601</v>
      </c>
    </row>
    <row r="645" spans="1:19">
      <c r="A645" s="14" t="s">
        <v>14</v>
      </c>
      <c r="B645" s="8">
        <f t="shared" si="13"/>
        <v>70092408</v>
      </c>
      <c r="C645" s="2" t="s">
        <v>666</v>
      </c>
      <c r="E645" s="2" t="str">
        <f>F645&amp;(VLOOKUP(G645,编号表!$E$1:$G$8,2,0))&amp;H645&amp;"_"&amp;I645&amp;"_"&amp;J645</f>
        <v>9N2_4_8</v>
      </c>
      <c r="F645" s="2">
        <v>9</v>
      </c>
      <c r="G645" s="2" t="s">
        <v>37</v>
      </c>
      <c r="H645" s="2">
        <v>2</v>
      </c>
      <c r="I645" s="2">
        <v>4</v>
      </c>
      <c r="J645" s="2">
        <f>COUNTIFS($F$13:F645,F645,$I$13:I645,I645)</f>
        <v>8</v>
      </c>
      <c r="O645" s="8">
        <v>1009201</v>
      </c>
      <c r="P645" s="8">
        <v>1009301</v>
      </c>
      <c r="Q645" s="8">
        <v>1009401</v>
      </c>
      <c r="R645" s="8">
        <v>1009501</v>
      </c>
      <c r="S645" s="8">
        <v>1009601</v>
      </c>
    </row>
    <row r="646" spans="1:19">
      <c r="A646" s="14" t="s">
        <v>14</v>
      </c>
      <c r="B646" s="8">
        <f t="shared" si="13"/>
        <v>70093409</v>
      </c>
      <c r="C646" s="2" t="s">
        <v>667</v>
      </c>
      <c r="E646" s="2" t="str">
        <f>F646&amp;(VLOOKUP(G646,编号表!$E$1:$G$8,2,0))&amp;H646&amp;"_"&amp;I646&amp;"_"&amp;J646</f>
        <v>9N3_4_9</v>
      </c>
      <c r="F646" s="2">
        <v>9</v>
      </c>
      <c r="G646" s="2" t="s">
        <v>37</v>
      </c>
      <c r="H646" s="2">
        <v>3</v>
      </c>
      <c r="I646" s="2">
        <v>4</v>
      </c>
      <c r="J646" s="2">
        <f>COUNTIFS($F$13:F646,F646,$I$13:I646,I646)</f>
        <v>9</v>
      </c>
      <c r="O646" s="8">
        <v>1009201</v>
      </c>
      <c r="P646" s="8">
        <v>1009301</v>
      </c>
      <c r="Q646" s="8">
        <v>1009401</v>
      </c>
      <c r="R646" s="8">
        <v>1009501</v>
      </c>
      <c r="S646" s="8">
        <v>1009601</v>
      </c>
    </row>
    <row r="647" spans="1:19">
      <c r="A647" s="14" t="s">
        <v>14</v>
      </c>
      <c r="B647" s="8">
        <f t="shared" ref="B647:B710" si="14">70000000+F647*10000+H647*1000+I647*100+J647</f>
        <v>70093501</v>
      </c>
      <c r="C647" s="2" t="s">
        <v>668</v>
      </c>
      <c r="E647" s="2" t="str">
        <f>F647&amp;(VLOOKUP(G647,编号表!$E$1:$G$8,2,0))&amp;H647&amp;"_"&amp;I647&amp;"_"&amp;J647</f>
        <v>9N3_5_1</v>
      </c>
      <c r="F647" s="2">
        <v>9</v>
      </c>
      <c r="G647" s="2" t="s">
        <v>37</v>
      </c>
      <c r="H647" s="2">
        <v>3</v>
      </c>
      <c r="I647" s="2">
        <v>5</v>
      </c>
      <c r="J647" s="2">
        <f>COUNTIFS($F$13:F647,F647,$I$13:I647,I647)</f>
        <v>1</v>
      </c>
      <c r="O647" s="8">
        <v>1009201</v>
      </c>
      <c r="P647" s="8">
        <v>1009301</v>
      </c>
      <c r="Q647" s="8">
        <v>1009401</v>
      </c>
      <c r="R647" s="8">
        <v>1009501</v>
      </c>
      <c r="S647" s="8">
        <v>1009601</v>
      </c>
    </row>
    <row r="648" spans="1:19">
      <c r="A648" s="14" t="s">
        <v>14</v>
      </c>
      <c r="B648" s="8">
        <f t="shared" si="14"/>
        <v>70092502</v>
      </c>
      <c r="C648" s="2" t="s">
        <v>669</v>
      </c>
      <c r="E648" s="2" t="str">
        <f>F648&amp;(VLOOKUP(G648,编号表!$E$1:$G$8,2,0))&amp;H648&amp;"_"&amp;I648&amp;"_"&amp;J648</f>
        <v>9N2_5_2</v>
      </c>
      <c r="F648" s="2">
        <v>9</v>
      </c>
      <c r="G648" s="2" t="s">
        <v>37</v>
      </c>
      <c r="H648" s="2">
        <v>2</v>
      </c>
      <c r="I648" s="2">
        <v>5</v>
      </c>
      <c r="J648" s="2">
        <f>COUNTIFS($F$13:F648,F648,$I$13:I648,I648)</f>
        <v>2</v>
      </c>
      <c r="O648" s="8">
        <v>1009201</v>
      </c>
      <c r="P648" s="8">
        <v>1009301</v>
      </c>
      <c r="Q648" s="8">
        <v>1009401</v>
      </c>
      <c r="R648" s="8">
        <v>1009501</v>
      </c>
      <c r="S648" s="8">
        <v>1009601</v>
      </c>
    </row>
    <row r="649" spans="1:19">
      <c r="A649" s="14" t="s">
        <v>14</v>
      </c>
      <c r="B649" s="8">
        <f t="shared" si="14"/>
        <v>70092503</v>
      </c>
      <c r="C649" s="2" t="s">
        <v>670</v>
      </c>
      <c r="E649" s="2" t="str">
        <f>F649&amp;(VLOOKUP(G649,编号表!$E$1:$G$8,2,0))&amp;H649&amp;"_"&amp;I649&amp;"_"&amp;J649</f>
        <v>9N2_5_3</v>
      </c>
      <c r="F649" s="2">
        <v>9</v>
      </c>
      <c r="G649" s="2" t="s">
        <v>37</v>
      </c>
      <c r="H649" s="2">
        <v>2</v>
      </c>
      <c r="I649" s="2">
        <v>5</v>
      </c>
      <c r="J649" s="2">
        <f>COUNTIFS($F$13:F649,F649,$I$13:I649,I649)</f>
        <v>3</v>
      </c>
      <c r="O649" s="8">
        <v>1009201</v>
      </c>
      <c r="P649" s="8">
        <v>1009301</v>
      </c>
      <c r="Q649" s="8">
        <v>1009401</v>
      </c>
      <c r="R649" s="8">
        <v>1009501</v>
      </c>
      <c r="S649" s="8">
        <v>1009601</v>
      </c>
    </row>
    <row r="650" spans="1:19">
      <c r="A650" s="14" t="s">
        <v>14</v>
      </c>
      <c r="B650" s="8">
        <f t="shared" si="14"/>
        <v>70093504</v>
      </c>
      <c r="C650" s="2" t="s">
        <v>671</v>
      </c>
      <c r="E650" s="2" t="str">
        <f>F650&amp;(VLOOKUP(G650,编号表!$E$1:$G$8,2,0))&amp;H650&amp;"_"&amp;I650&amp;"_"&amp;J650</f>
        <v>9N3_5_4</v>
      </c>
      <c r="F650" s="2">
        <v>9</v>
      </c>
      <c r="G650" s="2" t="s">
        <v>37</v>
      </c>
      <c r="H650" s="2">
        <v>3</v>
      </c>
      <c r="I650" s="2">
        <v>5</v>
      </c>
      <c r="J650" s="2">
        <f>COUNTIFS($F$13:F650,F650,$I$13:I650,I650)</f>
        <v>4</v>
      </c>
      <c r="O650" s="8">
        <v>1009201</v>
      </c>
      <c r="P650" s="8">
        <v>1009301</v>
      </c>
      <c r="Q650" s="8">
        <v>1009401</v>
      </c>
      <c r="R650" s="8">
        <v>1009501</v>
      </c>
      <c r="S650" s="8">
        <v>1009601</v>
      </c>
    </row>
    <row r="651" spans="1:19">
      <c r="A651" s="14" t="s">
        <v>14</v>
      </c>
      <c r="B651" s="8">
        <f t="shared" si="14"/>
        <v>70092505</v>
      </c>
      <c r="C651" s="2" t="s">
        <v>672</v>
      </c>
      <c r="E651" s="2" t="str">
        <f>F651&amp;(VLOOKUP(G651,编号表!$E$1:$G$8,2,0))&amp;H651&amp;"_"&amp;I651&amp;"_"&amp;J651</f>
        <v>9N2_5_5</v>
      </c>
      <c r="F651" s="2">
        <v>9</v>
      </c>
      <c r="G651" s="2" t="s">
        <v>37</v>
      </c>
      <c r="H651" s="2">
        <v>2</v>
      </c>
      <c r="I651" s="2">
        <v>5</v>
      </c>
      <c r="J651" s="2">
        <f>COUNTIFS($F$13:F651,F651,$I$13:I651,I651)</f>
        <v>5</v>
      </c>
      <c r="O651" s="8">
        <v>1009201</v>
      </c>
      <c r="P651" s="8">
        <v>1009301</v>
      </c>
      <c r="Q651" s="8">
        <v>1009401</v>
      </c>
      <c r="R651" s="8">
        <v>1009501</v>
      </c>
      <c r="S651" s="8">
        <v>1009601</v>
      </c>
    </row>
    <row r="652" spans="1:19">
      <c r="A652" s="14" t="s">
        <v>14</v>
      </c>
      <c r="B652" s="8">
        <f t="shared" si="14"/>
        <v>70092506</v>
      </c>
      <c r="C652" s="2" t="s">
        <v>673</v>
      </c>
      <c r="E652" s="2" t="str">
        <f>F652&amp;(VLOOKUP(G652,编号表!$E$1:$G$8,2,0))&amp;H652&amp;"_"&amp;I652&amp;"_"&amp;J652</f>
        <v>9N2_5_6</v>
      </c>
      <c r="F652" s="2">
        <v>9</v>
      </c>
      <c r="G652" s="2" t="s">
        <v>37</v>
      </c>
      <c r="H652" s="2">
        <v>2</v>
      </c>
      <c r="I652" s="2">
        <v>5</v>
      </c>
      <c r="J652" s="2">
        <f>COUNTIFS($F$13:F652,F652,$I$13:I652,I652)</f>
        <v>6</v>
      </c>
      <c r="O652" s="8">
        <v>1009201</v>
      </c>
      <c r="P652" s="8">
        <v>1009301</v>
      </c>
      <c r="Q652" s="8">
        <v>1009401</v>
      </c>
      <c r="R652" s="8">
        <v>1009501</v>
      </c>
      <c r="S652" s="8">
        <v>1009601</v>
      </c>
    </row>
    <row r="653" spans="1:19">
      <c r="A653" s="14" t="s">
        <v>14</v>
      </c>
      <c r="B653" s="8">
        <f t="shared" si="14"/>
        <v>70093507</v>
      </c>
      <c r="C653" s="2" t="s">
        <v>674</v>
      </c>
      <c r="E653" s="2" t="str">
        <f>F653&amp;(VLOOKUP(G653,编号表!$E$1:$G$8,2,0))&amp;H653&amp;"_"&amp;I653&amp;"_"&amp;J653</f>
        <v>9N3_5_7</v>
      </c>
      <c r="F653" s="2">
        <v>9</v>
      </c>
      <c r="G653" s="2" t="s">
        <v>37</v>
      </c>
      <c r="H653" s="2">
        <v>3</v>
      </c>
      <c r="I653" s="2">
        <v>5</v>
      </c>
      <c r="J653" s="2">
        <f>COUNTIFS($F$13:F653,F653,$I$13:I653,I653)</f>
        <v>7</v>
      </c>
      <c r="O653" s="8">
        <v>1009201</v>
      </c>
      <c r="P653" s="8">
        <v>1009301</v>
      </c>
      <c r="Q653" s="8">
        <v>1009401</v>
      </c>
      <c r="R653" s="8">
        <v>1009501</v>
      </c>
      <c r="S653" s="8">
        <v>1009601</v>
      </c>
    </row>
    <row r="654" spans="1:19">
      <c r="A654" s="14" t="s">
        <v>14</v>
      </c>
      <c r="B654" s="8">
        <f t="shared" si="14"/>
        <v>70094508</v>
      </c>
      <c r="C654" s="2" t="s">
        <v>675</v>
      </c>
      <c r="E654" s="2" t="str">
        <f>F654&amp;(VLOOKUP(G654,编号表!$E$1:$G$8,2,0))&amp;H654&amp;"_"&amp;I654&amp;"_"&amp;J654</f>
        <v>9N4_5_8</v>
      </c>
      <c r="F654" s="2">
        <v>9</v>
      </c>
      <c r="G654" s="2" t="s">
        <v>37</v>
      </c>
      <c r="H654" s="2">
        <v>4</v>
      </c>
      <c r="I654" s="2">
        <v>5</v>
      </c>
      <c r="J654" s="2">
        <f>COUNTIFS($F$13:F654,F654,$I$13:I654,I654)</f>
        <v>8</v>
      </c>
      <c r="O654" s="8">
        <v>1009201</v>
      </c>
      <c r="P654" s="8">
        <v>1009301</v>
      </c>
      <c r="Q654" s="8">
        <v>1009401</v>
      </c>
      <c r="R654" s="8">
        <v>1009501</v>
      </c>
      <c r="S654" s="8">
        <v>1009601</v>
      </c>
    </row>
    <row r="655" spans="1:19">
      <c r="A655" s="14" t="s">
        <v>14</v>
      </c>
      <c r="B655" s="8">
        <f t="shared" si="14"/>
        <v>70093601</v>
      </c>
      <c r="C655" s="2" t="s">
        <v>676</v>
      </c>
      <c r="E655" s="2" t="str">
        <f>F655&amp;(VLOOKUP(G655,编号表!$E$1:$G$8,2,0))&amp;H655&amp;"_"&amp;I655&amp;"_"&amp;J655</f>
        <v>9N3_6_1</v>
      </c>
      <c r="F655" s="2">
        <v>9</v>
      </c>
      <c r="G655" s="2" t="s">
        <v>37</v>
      </c>
      <c r="H655" s="2">
        <v>3</v>
      </c>
      <c r="I655" s="2">
        <v>6</v>
      </c>
      <c r="J655" s="2">
        <f>COUNTIFS($F$13:F655,F655,$I$13:I655,I655)</f>
        <v>1</v>
      </c>
      <c r="O655" s="8">
        <v>1009201</v>
      </c>
      <c r="P655" s="8">
        <v>1009301</v>
      </c>
      <c r="Q655" s="8">
        <v>1009401</v>
      </c>
      <c r="R655" s="8">
        <v>1009501</v>
      </c>
      <c r="S655" s="8">
        <v>1009601</v>
      </c>
    </row>
    <row r="656" spans="1:19">
      <c r="A656" s="14" t="s">
        <v>14</v>
      </c>
      <c r="B656" s="8">
        <f t="shared" si="14"/>
        <v>70092602</v>
      </c>
      <c r="C656" s="2" t="s">
        <v>677</v>
      </c>
      <c r="E656" s="2" t="str">
        <f>F656&amp;(VLOOKUP(G656,编号表!$E$1:$G$8,2,0))&amp;H656&amp;"_"&amp;I656&amp;"_"&amp;J656</f>
        <v>9N2_6_2</v>
      </c>
      <c r="F656" s="2">
        <v>9</v>
      </c>
      <c r="G656" s="2" t="s">
        <v>37</v>
      </c>
      <c r="H656" s="2">
        <v>2</v>
      </c>
      <c r="I656" s="2">
        <v>6</v>
      </c>
      <c r="J656" s="2">
        <f>COUNTIFS($F$13:F656,F656,$I$13:I656,I656)</f>
        <v>2</v>
      </c>
      <c r="O656" s="8">
        <v>1009201</v>
      </c>
      <c r="P656" s="8">
        <v>1009301</v>
      </c>
      <c r="Q656" s="8">
        <v>1009401</v>
      </c>
      <c r="R656" s="8">
        <v>1009501</v>
      </c>
      <c r="S656" s="8">
        <v>1009601</v>
      </c>
    </row>
    <row r="657" spans="1:19">
      <c r="A657" s="14" t="s">
        <v>14</v>
      </c>
      <c r="B657" s="8">
        <f t="shared" si="14"/>
        <v>70092603</v>
      </c>
      <c r="C657" s="2" t="s">
        <v>678</v>
      </c>
      <c r="E657" s="2" t="str">
        <f>F657&amp;(VLOOKUP(G657,编号表!$E$1:$G$8,2,0))&amp;H657&amp;"_"&amp;I657&amp;"_"&amp;J657</f>
        <v>9N2_6_3</v>
      </c>
      <c r="F657" s="2">
        <v>9</v>
      </c>
      <c r="G657" s="2" t="s">
        <v>37</v>
      </c>
      <c r="H657" s="2">
        <v>2</v>
      </c>
      <c r="I657" s="2">
        <v>6</v>
      </c>
      <c r="J657" s="2">
        <f>COUNTIFS($F$13:F657,F657,$I$13:I657,I657)</f>
        <v>3</v>
      </c>
      <c r="O657" s="8">
        <v>1009201</v>
      </c>
      <c r="P657" s="8">
        <v>1009301</v>
      </c>
      <c r="Q657" s="8">
        <v>1009401</v>
      </c>
      <c r="R657" s="8">
        <v>1009501</v>
      </c>
      <c r="S657" s="8">
        <v>1009601</v>
      </c>
    </row>
    <row r="658" spans="1:19">
      <c r="A658" s="14" t="s">
        <v>14</v>
      </c>
      <c r="B658" s="8">
        <f t="shared" si="14"/>
        <v>70094604</v>
      </c>
      <c r="C658" s="2" t="s">
        <v>679</v>
      </c>
      <c r="E658" s="2" t="str">
        <f>F658&amp;(VLOOKUP(G658,编号表!$E$1:$G$8,2,0))&amp;H658&amp;"_"&amp;I658&amp;"_"&amp;J658</f>
        <v>9N4_6_4</v>
      </c>
      <c r="F658" s="2">
        <v>9</v>
      </c>
      <c r="G658" s="2" t="s">
        <v>37</v>
      </c>
      <c r="H658" s="2">
        <v>4</v>
      </c>
      <c r="I658" s="2">
        <v>6</v>
      </c>
      <c r="J658" s="2">
        <f>COUNTIFS($F$13:F658,F658,$I$13:I658,I658)</f>
        <v>4</v>
      </c>
      <c r="O658" s="8">
        <v>1009201</v>
      </c>
      <c r="P658" s="8">
        <v>1009301</v>
      </c>
      <c r="Q658" s="8">
        <v>1009401</v>
      </c>
      <c r="R658" s="8">
        <v>1009501</v>
      </c>
      <c r="S658" s="8">
        <v>1009601</v>
      </c>
    </row>
    <row r="659" spans="1:19">
      <c r="A659" s="14" t="s">
        <v>14</v>
      </c>
      <c r="B659" s="8">
        <f t="shared" si="14"/>
        <v>70094605</v>
      </c>
      <c r="C659" s="2" t="s">
        <v>680</v>
      </c>
      <c r="E659" s="2" t="str">
        <f>F659&amp;(VLOOKUP(G659,编号表!$E$1:$G$8,2,0))&amp;H659&amp;"_"&amp;I659&amp;"_"&amp;J659</f>
        <v>9N4_6_5</v>
      </c>
      <c r="F659" s="2">
        <v>9</v>
      </c>
      <c r="G659" s="2" t="s">
        <v>37</v>
      </c>
      <c r="H659" s="2">
        <v>4</v>
      </c>
      <c r="I659" s="2">
        <v>6</v>
      </c>
      <c r="J659" s="2">
        <f>COUNTIFS($F$13:F659,F659,$I$13:I659,I659)</f>
        <v>5</v>
      </c>
      <c r="O659" s="8">
        <v>1009201</v>
      </c>
      <c r="P659" s="8">
        <v>1009301</v>
      </c>
      <c r="Q659" s="8">
        <v>1009401</v>
      </c>
      <c r="R659" s="8">
        <v>1009501</v>
      </c>
      <c r="S659" s="8">
        <v>1009601</v>
      </c>
    </row>
    <row r="660" spans="1:19">
      <c r="A660" s="14" t="s">
        <v>14</v>
      </c>
      <c r="B660" s="8">
        <f t="shared" si="14"/>
        <v>70094606</v>
      </c>
      <c r="C660" s="2" t="s">
        <v>681</v>
      </c>
      <c r="E660" s="2" t="str">
        <f>F660&amp;(VLOOKUP(G660,编号表!$E$1:$G$8,2,0))&amp;H660&amp;"_"&amp;I660&amp;"_"&amp;J660</f>
        <v>9N4_6_6</v>
      </c>
      <c r="F660" s="2">
        <v>9</v>
      </c>
      <c r="G660" s="2" t="s">
        <v>37</v>
      </c>
      <c r="H660" s="2">
        <v>4</v>
      </c>
      <c r="I660" s="2">
        <v>6</v>
      </c>
      <c r="J660" s="2">
        <f>COUNTIFS($F$13:F660,F660,$I$13:I660,I660)</f>
        <v>6</v>
      </c>
      <c r="O660" s="8">
        <v>1009201</v>
      </c>
      <c r="P660" s="8">
        <v>1009301</v>
      </c>
      <c r="Q660" s="8">
        <v>1009401</v>
      </c>
      <c r="R660" s="8">
        <v>1009501</v>
      </c>
      <c r="S660" s="8">
        <v>1009601</v>
      </c>
    </row>
    <row r="661" spans="1:19">
      <c r="A661" s="14" t="s">
        <v>14</v>
      </c>
      <c r="B661" s="8">
        <f t="shared" si="14"/>
        <v>70094607</v>
      </c>
      <c r="C661" s="2" t="s">
        <v>682</v>
      </c>
      <c r="E661" s="2" t="str">
        <f>F661&amp;(VLOOKUP(G661,编号表!$E$1:$G$8,2,0))&amp;H661&amp;"_"&amp;I661&amp;"_"&amp;J661</f>
        <v>9N4_6_7</v>
      </c>
      <c r="F661" s="2">
        <v>9</v>
      </c>
      <c r="G661" s="2" t="s">
        <v>37</v>
      </c>
      <c r="H661" s="2">
        <v>4</v>
      </c>
      <c r="I661" s="2">
        <v>6</v>
      </c>
      <c r="J661" s="2">
        <f>COUNTIFS($F$13:F661,F661,$I$13:I661,I661)</f>
        <v>7</v>
      </c>
      <c r="O661" s="8">
        <v>1009201</v>
      </c>
      <c r="P661" s="8">
        <v>1009301</v>
      </c>
      <c r="Q661" s="8">
        <v>1009401</v>
      </c>
      <c r="R661" s="8">
        <v>1009501</v>
      </c>
      <c r="S661" s="8">
        <v>1009601</v>
      </c>
    </row>
    <row r="662" spans="1:19">
      <c r="A662" s="14" t="s">
        <v>14</v>
      </c>
      <c r="B662" s="8">
        <f t="shared" si="14"/>
        <v>70094608</v>
      </c>
      <c r="C662" s="2" t="s">
        <v>683</v>
      </c>
      <c r="E662" s="2" t="str">
        <f>F662&amp;(VLOOKUP(G662,编号表!$E$1:$G$8,2,0))&amp;H662&amp;"_"&amp;I662&amp;"_"&amp;J662</f>
        <v>9N4_6_8</v>
      </c>
      <c r="F662" s="2">
        <v>9</v>
      </c>
      <c r="G662" s="2" t="s">
        <v>37</v>
      </c>
      <c r="H662" s="2">
        <v>4</v>
      </c>
      <c r="I662" s="2">
        <v>6</v>
      </c>
      <c r="J662" s="2">
        <f>COUNTIFS($F$13:F662,F662,$I$13:I662,I662)</f>
        <v>8</v>
      </c>
      <c r="O662" s="8">
        <v>1009201</v>
      </c>
      <c r="P662" s="8">
        <v>1009301</v>
      </c>
      <c r="Q662" s="8">
        <v>1009401</v>
      </c>
      <c r="R662" s="8">
        <v>1009501</v>
      </c>
      <c r="S662" s="8">
        <v>1009601</v>
      </c>
    </row>
    <row r="663" spans="1:19">
      <c r="A663" s="14" t="s">
        <v>14</v>
      </c>
      <c r="B663" s="8">
        <f t="shared" si="14"/>
        <v>70093609</v>
      </c>
      <c r="C663" s="2" t="s">
        <v>684</v>
      </c>
      <c r="E663" s="2" t="str">
        <f>F663&amp;(VLOOKUP(G663,编号表!$E$1:$G$8,2,0))&amp;H663&amp;"_"&amp;I663&amp;"_"&amp;J663</f>
        <v>9N3_6_9</v>
      </c>
      <c r="F663" s="2">
        <v>9</v>
      </c>
      <c r="G663" s="2" t="s">
        <v>37</v>
      </c>
      <c r="H663" s="2">
        <v>3</v>
      </c>
      <c r="I663" s="2">
        <v>6</v>
      </c>
      <c r="J663" s="2">
        <f>COUNTIFS($F$13:F663,F663,$I$13:I663,I663)</f>
        <v>9</v>
      </c>
      <c r="O663" s="8">
        <v>1009201</v>
      </c>
      <c r="P663" s="8">
        <v>1009301</v>
      </c>
      <c r="Q663" s="8">
        <v>1009401</v>
      </c>
      <c r="R663" s="8">
        <v>1009501</v>
      </c>
      <c r="S663" s="8">
        <v>1009601</v>
      </c>
    </row>
    <row r="664" spans="1:19">
      <c r="A664" s="14" t="s">
        <v>14</v>
      </c>
      <c r="B664" s="8">
        <f t="shared" si="14"/>
        <v>70093610</v>
      </c>
      <c r="C664" s="2" t="s">
        <v>685</v>
      </c>
      <c r="E664" s="2" t="str">
        <f>F664&amp;(VLOOKUP(G664,编号表!$E$1:$G$8,2,0))&amp;H664&amp;"_"&amp;I664&amp;"_"&amp;J664</f>
        <v>9N3_6_10</v>
      </c>
      <c r="F664" s="2">
        <v>9</v>
      </c>
      <c r="G664" s="2" t="s">
        <v>37</v>
      </c>
      <c r="H664" s="2">
        <v>3</v>
      </c>
      <c r="I664" s="2">
        <v>6</v>
      </c>
      <c r="J664" s="2">
        <f>COUNTIFS($F$13:F664,F664,$I$13:I664,I664)</f>
        <v>10</v>
      </c>
      <c r="O664" s="8">
        <v>1009201</v>
      </c>
      <c r="P664" s="8">
        <v>1009301</v>
      </c>
      <c r="Q664" s="8">
        <v>1009401</v>
      </c>
      <c r="R664" s="8">
        <v>1009501</v>
      </c>
      <c r="S664" s="8">
        <v>1009601</v>
      </c>
    </row>
    <row r="665" spans="1:19">
      <c r="A665" s="14" t="s">
        <v>14</v>
      </c>
      <c r="B665" s="8">
        <f t="shared" si="14"/>
        <v>70093611</v>
      </c>
      <c r="C665" s="2" t="s">
        <v>686</v>
      </c>
      <c r="E665" s="2" t="str">
        <f>F665&amp;(VLOOKUP(G665,编号表!$E$1:$G$8,2,0))&amp;H665&amp;"_"&amp;I665&amp;"_"&amp;J665</f>
        <v>9N3_6_11</v>
      </c>
      <c r="F665" s="2">
        <v>9</v>
      </c>
      <c r="G665" s="2" t="s">
        <v>37</v>
      </c>
      <c r="H665" s="2">
        <v>3</v>
      </c>
      <c r="I665" s="2">
        <v>6</v>
      </c>
      <c r="J665" s="2">
        <f>COUNTIFS($F$13:F665,F665,$I$13:I665,I665)</f>
        <v>11</v>
      </c>
      <c r="O665" s="8">
        <v>1009201</v>
      </c>
      <c r="P665" s="8">
        <v>1009301</v>
      </c>
      <c r="Q665" s="8">
        <v>1009401</v>
      </c>
      <c r="R665" s="8">
        <v>1009501</v>
      </c>
      <c r="S665" s="8">
        <v>1009601</v>
      </c>
    </row>
    <row r="666" spans="1:19">
      <c r="A666" s="14" t="s">
        <v>14</v>
      </c>
      <c r="B666" s="8">
        <f t="shared" si="14"/>
        <v>70092612</v>
      </c>
      <c r="C666" s="2" t="s">
        <v>687</v>
      </c>
      <c r="E666" s="2" t="str">
        <f>F666&amp;(VLOOKUP(G666,编号表!$E$1:$G$8,2,0))&amp;H666&amp;"_"&amp;I666&amp;"_"&amp;J666</f>
        <v>9N2_6_12</v>
      </c>
      <c r="F666" s="2">
        <v>9</v>
      </c>
      <c r="G666" s="2" t="s">
        <v>37</v>
      </c>
      <c r="H666" s="2">
        <v>2</v>
      </c>
      <c r="I666" s="2">
        <v>6</v>
      </c>
      <c r="J666" s="2">
        <f>COUNTIFS($F$13:F666,F666,$I$13:I666,I666)</f>
        <v>12</v>
      </c>
      <c r="O666" s="8">
        <v>1009201</v>
      </c>
      <c r="P666" s="8">
        <v>1009301</v>
      </c>
      <c r="Q666" s="8">
        <v>1009401</v>
      </c>
      <c r="R666" s="8">
        <v>1009501</v>
      </c>
      <c r="S666" s="8">
        <v>1009601</v>
      </c>
    </row>
    <row r="667" spans="1:19">
      <c r="A667" s="14" t="s">
        <v>14</v>
      </c>
      <c r="B667" s="8">
        <f t="shared" si="14"/>
        <v>70093613</v>
      </c>
      <c r="C667" s="2" t="s">
        <v>688</v>
      </c>
      <c r="E667" s="2" t="str">
        <f>F667&amp;(VLOOKUP(G667,编号表!$E$1:$G$8,2,0))&amp;H667&amp;"_"&amp;I667&amp;"_"&amp;J667</f>
        <v>9N3_6_13</v>
      </c>
      <c r="F667" s="2">
        <v>9</v>
      </c>
      <c r="G667" s="2" t="s">
        <v>37</v>
      </c>
      <c r="H667" s="2">
        <v>3</v>
      </c>
      <c r="I667" s="2">
        <v>6</v>
      </c>
      <c r="J667" s="2">
        <f>COUNTIFS($F$13:F667,F667,$I$13:I667,I667)</f>
        <v>13</v>
      </c>
      <c r="O667" s="8">
        <v>1009201</v>
      </c>
      <c r="P667" s="8">
        <v>1009301</v>
      </c>
      <c r="Q667" s="8">
        <v>1009401</v>
      </c>
      <c r="R667" s="8">
        <v>1009501</v>
      </c>
      <c r="S667" s="8">
        <v>1009601</v>
      </c>
    </row>
    <row r="668" spans="1:19">
      <c r="A668" s="14" t="s">
        <v>14</v>
      </c>
      <c r="B668" s="8">
        <f t="shared" si="14"/>
        <v>70091614</v>
      </c>
      <c r="C668" s="15" t="s">
        <v>689</v>
      </c>
      <c r="E668" s="2" t="str">
        <f>F668&amp;(VLOOKUP(G668,编号表!$E$1:$G$8,2,0))&amp;H668&amp;"_"&amp;I668&amp;"_"&amp;J668</f>
        <v>9T1_6_14</v>
      </c>
      <c r="F668" s="2">
        <v>9</v>
      </c>
      <c r="G668" s="2" t="s">
        <v>53</v>
      </c>
      <c r="H668" s="2">
        <v>1</v>
      </c>
      <c r="I668" s="2">
        <v>6</v>
      </c>
      <c r="J668" s="2">
        <f>COUNTIFS($F$13:F668,F668,$I$13:I668,I668)</f>
        <v>14</v>
      </c>
    </row>
    <row r="669" spans="1:19">
      <c r="A669" s="14" t="s">
        <v>14</v>
      </c>
      <c r="B669" s="8">
        <f t="shared" si="14"/>
        <v>70093615</v>
      </c>
      <c r="C669" s="16" t="s">
        <v>690</v>
      </c>
      <c r="D669" s="2" t="s">
        <v>691</v>
      </c>
      <c r="E669" s="2" t="str">
        <f>F669&amp;(VLOOKUP(G669,编号表!$E$1:$G$8,2,0))&amp;H669&amp;"_"&amp;I669&amp;"_"&amp;J669</f>
        <v>9T3_6_15</v>
      </c>
      <c r="F669" s="2">
        <v>9</v>
      </c>
      <c r="G669" s="2" t="s">
        <v>53</v>
      </c>
      <c r="H669" s="2">
        <v>3</v>
      </c>
      <c r="I669" s="2">
        <v>6</v>
      </c>
      <c r="J669" s="2">
        <f>COUNTIFS($F$13:F669,F669,$I$13:I669,I669)</f>
        <v>15</v>
      </c>
      <c r="M669" s="2">
        <v>120</v>
      </c>
    </row>
    <row r="670" spans="1:19">
      <c r="A670" s="14" t="s">
        <v>14</v>
      </c>
      <c r="B670" s="8">
        <f t="shared" si="14"/>
        <v>70094701</v>
      </c>
      <c r="C670" s="2" t="s">
        <v>692</v>
      </c>
      <c r="E670" s="2" t="str">
        <f>F670&amp;(VLOOKUP(G670,编号表!$E$1:$G$8,2,0))&amp;H670&amp;"_"&amp;I670&amp;"_"&amp;J670</f>
        <v>9N4_7_1</v>
      </c>
      <c r="F670" s="2">
        <v>9</v>
      </c>
      <c r="G670" s="2" t="s">
        <v>37</v>
      </c>
      <c r="H670" s="2">
        <v>4</v>
      </c>
      <c r="I670" s="2">
        <v>7</v>
      </c>
      <c r="J670" s="2">
        <f>COUNTIFS($F$13:F670,F670,$I$13:I670,I670)</f>
        <v>1</v>
      </c>
      <c r="O670" s="8">
        <v>1009201</v>
      </c>
      <c r="P670" s="8">
        <v>1009301</v>
      </c>
      <c r="Q670" s="8">
        <v>1009401</v>
      </c>
      <c r="R670" s="8">
        <v>1009501</v>
      </c>
      <c r="S670" s="8">
        <v>1009601</v>
      </c>
    </row>
    <row r="671" spans="1:19">
      <c r="A671" s="14" t="s">
        <v>14</v>
      </c>
      <c r="B671" s="8">
        <f t="shared" si="14"/>
        <v>70093702</v>
      </c>
      <c r="C671" s="2" t="s">
        <v>693</v>
      </c>
      <c r="E671" s="2" t="str">
        <f>F671&amp;(VLOOKUP(G671,编号表!$E$1:$G$8,2,0))&amp;H671&amp;"_"&amp;I671&amp;"_"&amp;J671</f>
        <v>9N3_7_2</v>
      </c>
      <c r="F671" s="2">
        <v>9</v>
      </c>
      <c r="G671" s="2" t="s">
        <v>37</v>
      </c>
      <c r="H671" s="2">
        <v>3</v>
      </c>
      <c r="I671" s="2">
        <v>7</v>
      </c>
      <c r="J671" s="2">
        <f>COUNTIFS($F$13:F671,F671,$I$13:I671,I671)</f>
        <v>2</v>
      </c>
      <c r="O671" s="8">
        <v>1009201</v>
      </c>
      <c r="P671" s="8">
        <v>1009301</v>
      </c>
      <c r="Q671" s="8">
        <v>1009401</v>
      </c>
      <c r="R671" s="8">
        <v>1009501</v>
      </c>
      <c r="S671" s="8">
        <v>1009601</v>
      </c>
    </row>
    <row r="672" spans="1:19">
      <c r="A672" s="14" t="s">
        <v>14</v>
      </c>
      <c r="B672" s="8">
        <f t="shared" si="14"/>
        <v>70094703</v>
      </c>
      <c r="C672" s="2" t="s">
        <v>694</v>
      </c>
      <c r="E672" s="2" t="str">
        <f>F672&amp;(VLOOKUP(G672,编号表!$E$1:$G$8,2,0))&amp;H672&amp;"_"&amp;I672&amp;"_"&amp;J672</f>
        <v>9N4_7_3</v>
      </c>
      <c r="F672" s="2">
        <v>9</v>
      </c>
      <c r="G672" s="2" t="s">
        <v>37</v>
      </c>
      <c r="H672" s="2">
        <v>4</v>
      </c>
      <c r="I672" s="2">
        <v>7</v>
      </c>
      <c r="J672" s="2">
        <f>COUNTIFS($F$13:F672,F672,$I$13:I672,I672)</f>
        <v>3</v>
      </c>
      <c r="O672" s="8">
        <v>1009201</v>
      </c>
      <c r="P672" s="8">
        <v>1009301</v>
      </c>
      <c r="Q672" s="8">
        <v>1009401</v>
      </c>
      <c r="R672" s="8">
        <v>1009501</v>
      </c>
      <c r="S672" s="8">
        <v>1009601</v>
      </c>
    </row>
    <row r="673" spans="1:20">
      <c r="A673" s="14" t="s">
        <v>14</v>
      </c>
      <c r="B673" s="8">
        <f t="shared" si="14"/>
        <v>70090001</v>
      </c>
      <c r="C673" s="18" t="s">
        <v>695</v>
      </c>
      <c r="E673" s="2" t="str">
        <f>F673&amp;(VLOOKUP(G673,编号表!$E$1:$G$8,2,0))&amp;H673&amp;"_"&amp;I673&amp;"_"&amp;J673</f>
        <v>9J0_0_1</v>
      </c>
      <c r="F673" s="2">
        <v>9</v>
      </c>
      <c r="G673" s="2" t="s">
        <v>86</v>
      </c>
      <c r="H673" s="2">
        <v>0</v>
      </c>
      <c r="I673" s="2">
        <v>0</v>
      </c>
      <c r="J673" s="2">
        <f>COUNTIFS($F$13:F673,F673,$I$13:I673,I673)</f>
        <v>1</v>
      </c>
      <c r="K673" s="2">
        <v>1</v>
      </c>
    </row>
    <row r="674" spans="1:20">
      <c r="A674" s="14" t="s">
        <v>14</v>
      </c>
      <c r="B674" s="8">
        <f t="shared" si="14"/>
        <v>70105101</v>
      </c>
      <c r="C674" s="2" t="s">
        <v>696</v>
      </c>
      <c r="E674" s="2" t="str">
        <f>F674&amp;(VLOOKUP(G674,编号表!$E$1:$G$8,2,0))&amp;H674&amp;"_"&amp;I674&amp;"_"&amp;J674</f>
        <v>10N5_1_1</v>
      </c>
      <c r="F674" s="2">
        <v>10</v>
      </c>
      <c r="G674" s="2" t="s">
        <v>37</v>
      </c>
      <c r="H674" s="2">
        <v>5</v>
      </c>
      <c r="I674" s="2">
        <v>1</v>
      </c>
      <c r="J674" s="2">
        <f>COUNTIFS($F$13:F674,F674,$I$13:I674,I674)</f>
        <v>1</v>
      </c>
      <c r="O674" s="8">
        <v>1010201</v>
      </c>
      <c r="P674" s="8">
        <v>1010301</v>
      </c>
      <c r="Q674" s="8">
        <v>1010401</v>
      </c>
      <c r="R674" s="8">
        <v>1010501</v>
      </c>
      <c r="S674" s="8">
        <v>1010601</v>
      </c>
      <c r="T674" s="8">
        <v>1010001</v>
      </c>
    </row>
    <row r="675" spans="1:20">
      <c r="A675" s="14" t="s">
        <v>14</v>
      </c>
      <c r="B675" s="8">
        <f t="shared" si="14"/>
        <v>70104102</v>
      </c>
      <c r="C675" s="2" t="s">
        <v>697</v>
      </c>
      <c r="E675" s="2" t="str">
        <f>F675&amp;(VLOOKUP(G675,编号表!$E$1:$G$8,2,0))&amp;H675&amp;"_"&amp;I675&amp;"_"&amp;J675</f>
        <v>10N4_1_2</v>
      </c>
      <c r="F675" s="2">
        <v>10</v>
      </c>
      <c r="G675" s="2" t="s">
        <v>37</v>
      </c>
      <c r="H675" s="2">
        <v>4</v>
      </c>
      <c r="I675" s="2">
        <v>1</v>
      </c>
      <c r="J675" s="2">
        <f>COUNTIFS($F$13:F675,F675,$I$13:I675,I675)</f>
        <v>2</v>
      </c>
      <c r="O675" s="8">
        <v>1010201</v>
      </c>
      <c r="P675" s="8">
        <v>1010301</v>
      </c>
      <c r="Q675" s="8">
        <v>1010401</v>
      </c>
      <c r="R675" s="8">
        <v>1010501</v>
      </c>
      <c r="S675" s="8">
        <v>1010601</v>
      </c>
      <c r="T675" s="8">
        <v>1010101</v>
      </c>
    </row>
    <row r="676" spans="1:20">
      <c r="A676" s="14" t="s">
        <v>14</v>
      </c>
      <c r="B676" s="8">
        <f t="shared" si="14"/>
        <v>70102103</v>
      </c>
      <c r="C676" s="2" t="s">
        <v>698</v>
      </c>
      <c r="E676" s="2" t="str">
        <f>F676&amp;(VLOOKUP(G676,编号表!$E$1:$G$8,2,0))&amp;H676&amp;"_"&amp;I676&amp;"_"&amp;J676</f>
        <v>10N2_1_3</v>
      </c>
      <c r="F676" s="2">
        <v>10</v>
      </c>
      <c r="G676" s="2" t="s">
        <v>37</v>
      </c>
      <c r="H676" s="2">
        <v>2</v>
      </c>
      <c r="I676" s="2">
        <v>1</v>
      </c>
      <c r="J676" s="2">
        <f>COUNTIFS($F$13:F676,F676,$I$13:I676,I676)</f>
        <v>3</v>
      </c>
      <c r="O676" s="8">
        <v>1010201</v>
      </c>
      <c r="P676" s="8">
        <v>1010301</v>
      </c>
      <c r="Q676" s="8">
        <v>1010401</v>
      </c>
      <c r="R676" s="8">
        <v>1010501</v>
      </c>
      <c r="S676" s="8">
        <v>1010601</v>
      </c>
      <c r="T676" s="8">
        <v>1010102</v>
      </c>
    </row>
    <row r="677" spans="1:20">
      <c r="A677" s="14" t="s">
        <v>14</v>
      </c>
      <c r="B677" s="8">
        <f t="shared" si="14"/>
        <v>70103104</v>
      </c>
      <c r="C677" s="2" t="s">
        <v>699</v>
      </c>
      <c r="E677" s="2" t="str">
        <f>F677&amp;(VLOOKUP(G677,编号表!$E$1:$G$8,2,0))&amp;H677&amp;"_"&amp;I677&amp;"_"&amp;J677</f>
        <v>10N3_1_4</v>
      </c>
      <c r="F677" s="2">
        <v>10</v>
      </c>
      <c r="G677" s="2" t="s">
        <v>37</v>
      </c>
      <c r="H677" s="2">
        <v>3</v>
      </c>
      <c r="I677" s="2">
        <v>1</v>
      </c>
      <c r="J677" s="2">
        <f>COUNTIFS($F$13:F677,F677,$I$13:I677,I677)</f>
        <v>4</v>
      </c>
      <c r="O677" s="8">
        <v>1010201</v>
      </c>
      <c r="P677" s="8">
        <v>1010301</v>
      </c>
      <c r="Q677" s="8">
        <v>1010401</v>
      </c>
      <c r="R677" s="8">
        <v>1010501</v>
      </c>
      <c r="S677" s="8">
        <v>1010601</v>
      </c>
    </row>
    <row r="678" spans="1:20">
      <c r="A678" s="14" t="s">
        <v>14</v>
      </c>
      <c r="B678" s="8">
        <f t="shared" si="14"/>
        <v>70103105</v>
      </c>
      <c r="C678" s="2" t="s">
        <v>700</v>
      </c>
      <c r="E678" s="2" t="str">
        <f>F678&amp;(VLOOKUP(G678,编号表!$E$1:$G$8,2,0))&amp;H678&amp;"_"&amp;I678&amp;"_"&amp;J678</f>
        <v>10N3_1_5</v>
      </c>
      <c r="F678" s="2">
        <v>10</v>
      </c>
      <c r="G678" s="2" t="s">
        <v>37</v>
      </c>
      <c r="H678" s="2">
        <v>3</v>
      </c>
      <c r="I678" s="2">
        <v>1</v>
      </c>
      <c r="J678" s="2">
        <f>COUNTIFS($F$13:F678,F678,$I$13:I678,I678)</f>
        <v>5</v>
      </c>
      <c r="O678" s="8">
        <v>1010201</v>
      </c>
      <c r="P678" s="8">
        <v>1010301</v>
      </c>
      <c r="Q678" s="8">
        <v>1010401</v>
      </c>
      <c r="R678" s="8">
        <v>1010501</v>
      </c>
      <c r="S678" s="8">
        <v>1010601</v>
      </c>
    </row>
    <row r="679" spans="1:20">
      <c r="A679" s="14" t="s">
        <v>14</v>
      </c>
      <c r="B679" s="8">
        <f t="shared" si="14"/>
        <v>70103106</v>
      </c>
      <c r="C679" s="2" t="s">
        <v>701</v>
      </c>
      <c r="E679" s="2" t="str">
        <f>F679&amp;(VLOOKUP(G679,编号表!$E$1:$G$8,2,0))&amp;H679&amp;"_"&amp;I679&amp;"_"&amp;J679</f>
        <v>10N3_1_6</v>
      </c>
      <c r="F679" s="2">
        <v>10</v>
      </c>
      <c r="G679" s="2" t="s">
        <v>37</v>
      </c>
      <c r="H679" s="2">
        <v>3</v>
      </c>
      <c r="I679" s="2">
        <v>1</v>
      </c>
      <c r="J679" s="2">
        <f>COUNTIFS($F$13:F679,F679,$I$13:I679,I679)</f>
        <v>6</v>
      </c>
      <c r="O679" s="8">
        <v>1010201</v>
      </c>
      <c r="P679" s="8">
        <v>1010301</v>
      </c>
      <c r="Q679" s="8">
        <v>1010401</v>
      </c>
      <c r="R679" s="8">
        <v>1010501</v>
      </c>
      <c r="S679" s="8">
        <v>1010601</v>
      </c>
    </row>
    <row r="680" spans="1:20">
      <c r="A680" s="14" t="s">
        <v>14</v>
      </c>
      <c r="B680" s="8">
        <f t="shared" si="14"/>
        <v>70103107</v>
      </c>
      <c r="C680" s="2" t="s">
        <v>702</v>
      </c>
      <c r="E680" s="2" t="str">
        <f>F680&amp;(VLOOKUP(G680,编号表!$E$1:$G$8,2,0))&amp;H680&amp;"_"&amp;I680&amp;"_"&amp;J680</f>
        <v>10N3_1_7</v>
      </c>
      <c r="F680" s="2">
        <v>10</v>
      </c>
      <c r="G680" s="2" t="s">
        <v>37</v>
      </c>
      <c r="H680" s="2">
        <v>3</v>
      </c>
      <c r="I680" s="2">
        <v>1</v>
      </c>
      <c r="J680" s="2">
        <f>COUNTIFS($F$13:F680,F680,$I$13:I680,I680)</f>
        <v>7</v>
      </c>
      <c r="O680" s="8">
        <v>1010201</v>
      </c>
      <c r="P680" s="8">
        <v>1010301</v>
      </c>
      <c r="Q680" s="8">
        <v>1010401</v>
      </c>
      <c r="R680" s="8">
        <v>1010501</v>
      </c>
      <c r="S680" s="8">
        <v>1010601</v>
      </c>
    </row>
    <row r="681" spans="1:20">
      <c r="A681" s="14" t="s">
        <v>14</v>
      </c>
      <c r="B681" s="8">
        <f t="shared" si="14"/>
        <v>70103201</v>
      </c>
      <c r="C681" s="16" t="s">
        <v>624</v>
      </c>
      <c r="D681" s="2" t="s">
        <v>689</v>
      </c>
      <c r="E681" s="2" t="str">
        <f>F681&amp;(VLOOKUP(G681,编号表!$E$1:$G$8,2,0))&amp;H681&amp;"_"&amp;I681&amp;"_"&amp;J681</f>
        <v>10T3_2_1</v>
      </c>
      <c r="F681" s="2">
        <v>10</v>
      </c>
      <c r="G681" s="2" t="s">
        <v>53</v>
      </c>
      <c r="H681" s="2">
        <v>3</v>
      </c>
      <c r="I681" s="2">
        <v>2</v>
      </c>
      <c r="J681" s="2">
        <f>COUNTIFS($F$13:F681,F681,$I$13:I681,I681)</f>
        <v>1</v>
      </c>
      <c r="M681" s="2">
        <v>121</v>
      </c>
    </row>
    <row r="682" spans="1:20">
      <c r="A682" s="14" t="s">
        <v>14</v>
      </c>
      <c r="B682" s="8">
        <f t="shared" si="14"/>
        <v>70103202</v>
      </c>
      <c r="C682" s="15" t="s">
        <v>691</v>
      </c>
      <c r="E682" s="2" t="str">
        <f>F682&amp;(VLOOKUP(G682,编号表!$E$1:$G$8,2,0))&amp;H682&amp;"_"&amp;I682&amp;"_"&amp;J682</f>
        <v>10T3_2_2</v>
      </c>
      <c r="F682" s="2">
        <v>10</v>
      </c>
      <c r="G682" s="2" t="s">
        <v>53</v>
      </c>
      <c r="H682" s="2">
        <v>3</v>
      </c>
      <c r="I682" s="2">
        <v>2</v>
      </c>
      <c r="J682" s="2">
        <f>COUNTIFS($F$13:F682,F682,$I$13:I682,I682)</f>
        <v>2</v>
      </c>
      <c r="L682" s="2">
        <v>1</v>
      </c>
    </row>
    <row r="683" spans="1:20">
      <c r="A683" s="14" t="s">
        <v>14</v>
      </c>
      <c r="B683" s="8">
        <f t="shared" si="14"/>
        <v>70103203</v>
      </c>
      <c r="C683" s="2" t="s">
        <v>703</v>
      </c>
      <c r="E683" s="2" t="str">
        <f>F683&amp;(VLOOKUP(G683,编号表!$E$1:$G$8,2,0))&amp;H683&amp;"_"&amp;I683&amp;"_"&amp;J683</f>
        <v>10N3_2_3</v>
      </c>
      <c r="F683" s="2">
        <v>10</v>
      </c>
      <c r="G683" s="2" t="s">
        <v>37</v>
      </c>
      <c r="H683" s="2">
        <v>3</v>
      </c>
      <c r="I683" s="2">
        <v>2</v>
      </c>
      <c r="J683" s="2">
        <f>COUNTIFS($F$13:F683,F683,$I$13:I683,I683)</f>
        <v>3</v>
      </c>
      <c r="O683" s="8">
        <v>1010201</v>
      </c>
      <c r="P683" s="8">
        <v>1010301</v>
      </c>
      <c r="Q683" s="8">
        <v>1010401</v>
      </c>
      <c r="R683" s="8">
        <v>1010501</v>
      </c>
      <c r="S683" s="8">
        <v>1010601</v>
      </c>
    </row>
    <row r="684" spans="1:20">
      <c r="A684" s="14" t="s">
        <v>14</v>
      </c>
      <c r="B684" s="8">
        <f t="shared" si="14"/>
        <v>70103204</v>
      </c>
      <c r="C684" s="2" t="s">
        <v>704</v>
      </c>
      <c r="E684" s="2" t="str">
        <f>F684&amp;(VLOOKUP(G684,编号表!$E$1:$G$8,2,0))&amp;H684&amp;"_"&amp;I684&amp;"_"&amp;J684</f>
        <v>10N3_2_4</v>
      </c>
      <c r="F684" s="2">
        <v>10</v>
      </c>
      <c r="G684" s="2" t="s">
        <v>37</v>
      </c>
      <c r="H684" s="2">
        <v>3</v>
      </c>
      <c r="I684" s="2">
        <v>2</v>
      </c>
      <c r="J684" s="2">
        <f>COUNTIFS($F$13:F684,F684,$I$13:I684,I684)</f>
        <v>4</v>
      </c>
      <c r="O684" s="8">
        <v>1010201</v>
      </c>
      <c r="P684" s="8">
        <v>1010301</v>
      </c>
      <c r="Q684" s="8">
        <v>1010401</v>
      </c>
      <c r="R684" s="8">
        <v>1010501</v>
      </c>
      <c r="S684" s="8">
        <v>1010601</v>
      </c>
    </row>
    <row r="685" spans="1:20">
      <c r="A685" s="14" t="s">
        <v>14</v>
      </c>
      <c r="B685" s="8">
        <f t="shared" si="14"/>
        <v>70103205</v>
      </c>
      <c r="C685" s="2" t="s">
        <v>705</v>
      </c>
      <c r="E685" s="2" t="str">
        <f>F685&amp;(VLOOKUP(G685,编号表!$E$1:$G$8,2,0))&amp;H685&amp;"_"&amp;I685&amp;"_"&amp;J685</f>
        <v>10N3_2_5</v>
      </c>
      <c r="F685" s="2">
        <v>10</v>
      </c>
      <c r="G685" s="2" t="s">
        <v>37</v>
      </c>
      <c r="H685" s="2">
        <v>3</v>
      </c>
      <c r="I685" s="2">
        <v>2</v>
      </c>
      <c r="J685" s="2">
        <f>COUNTIFS($F$13:F685,F685,$I$13:I685,I685)</f>
        <v>5</v>
      </c>
      <c r="O685" s="8">
        <v>1010201</v>
      </c>
      <c r="P685" s="8">
        <v>1010301</v>
      </c>
      <c r="Q685" s="8">
        <v>1010401</v>
      </c>
      <c r="R685" s="8">
        <v>1010501</v>
      </c>
      <c r="S685" s="8">
        <v>1010601</v>
      </c>
    </row>
    <row r="686" spans="1:20">
      <c r="A686" s="14" t="s">
        <v>14</v>
      </c>
      <c r="B686" s="8">
        <f t="shared" si="14"/>
        <v>70103206</v>
      </c>
      <c r="C686" s="2" t="s">
        <v>706</v>
      </c>
      <c r="E686" s="2" t="str">
        <f>F686&amp;(VLOOKUP(G686,编号表!$E$1:$G$8,2,0))&amp;H686&amp;"_"&amp;I686&amp;"_"&amp;J686</f>
        <v>10N3_2_6</v>
      </c>
      <c r="F686" s="2">
        <v>10</v>
      </c>
      <c r="G686" s="2" t="s">
        <v>37</v>
      </c>
      <c r="H686" s="2">
        <v>3</v>
      </c>
      <c r="I686" s="2">
        <v>2</v>
      </c>
      <c r="J686" s="2">
        <f>COUNTIFS($F$13:F686,F686,$I$13:I686,I686)</f>
        <v>6</v>
      </c>
      <c r="O686" s="8">
        <v>1010201</v>
      </c>
      <c r="P686" s="8">
        <v>1010301</v>
      </c>
      <c r="Q686" s="8">
        <v>1010401</v>
      </c>
      <c r="R686" s="8">
        <v>1010501</v>
      </c>
      <c r="S686" s="8">
        <v>1010601</v>
      </c>
    </row>
    <row r="687" spans="1:20">
      <c r="A687" s="14" t="s">
        <v>14</v>
      </c>
      <c r="B687" s="8">
        <f t="shared" si="14"/>
        <v>70103207</v>
      </c>
      <c r="C687" s="2" t="s">
        <v>707</v>
      </c>
      <c r="E687" s="2" t="str">
        <f>F687&amp;(VLOOKUP(G687,编号表!$E$1:$G$8,2,0))&amp;H687&amp;"_"&amp;I687&amp;"_"&amp;J687</f>
        <v>10N3_2_7</v>
      </c>
      <c r="F687" s="2">
        <v>10</v>
      </c>
      <c r="G687" s="2" t="s">
        <v>37</v>
      </c>
      <c r="H687" s="2">
        <v>3</v>
      </c>
      <c r="I687" s="2">
        <v>2</v>
      </c>
      <c r="J687" s="2">
        <f>COUNTIFS($F$13:F687,F687,$I$13:I687,I687)</f>
        <v>7</v>
      </c>
      <c r="O687" s="8">
        <v>1010201</v>
      </c>
      <c r="P687" s="8">
        <v>1010301</v>
      </c>
      <c r="Q687" s="8">
        <v>1010401</v>
      </c>
      <c r="R687" s="8">
        <v>1010501</v>
      </c>
      <c r="S687" s="8">
        <v>1010601</v>
      </c>
    </row>
    <row r="688" spans="1:20">
      <c r="A688" s="14" t="s">
        <v>14</v>
      </c>
      <c r="B688" s="8">
        <f t="shared" si="14"/>
        <v>70103208</v>
      </c>
      <c r="C688" s="2" t="s">
        <v>708</v>
      </c>
      <c r="E688" s="2" t="str">
        <f>F688&amp;(VLOOKUP(G688,编号表!$E$1:$G$8,2,0))&amp;H688&amp;"_"&amp;I688&amp;"_"&amp;J688</f>
        <v>10N3_2_8</v>
      </c>
      <c r="F688" s="2">
        <v>10</v>
      </c>
      <c r="G688" s="2" t="s">
        <v>37</v>
      </c>
      <c r="H688" s="2">
        <v>3</v>
      </c>
      <c r="I688" s="2">
        <v>2</v>
      </c>
      <c r="J688" s="2">
        <f>COUNTIFS($F$13:F688,F688,$I$13:I688,I688)</f>
        <v>8</v>
      </c>
      <c r="O688" s="8">
        <v>1010201</v>
      </c>
      <c r="P688" s="8">
        <v>1010301</v>
      </c>
      <c r="Q688" s="8">
        <v>1010401</v>
      </c>
      <c r="R688" s="8">
        <v>1010501</v>
      </c>
      <c r="S688" s="8">
        <v>1010601</v>
      </c>
    </row>
    <row r="689" spans="1:19">
      <c r="A689" s="14" t="s">
        <v>14</v>
      </c>
      <c r="B689" s="8">
        <f t="shared" si="14"/>
        <v>70102209</v>
      </c>
      <c r="C689" s="2" t="s">
        <v>709</v>
      </c>
      <c r="E689" s="2" t="str">
        <f>F689&amp;(VLOOKUP(G689,编号表!$E$1:$G$8,2,0))&amp;H689&amp;"_"&amp;I689&amp;"_"&amp;J689</f>
        <v>10N2_2_9</v>
      </c>
      <c r="F689" s="2">
        <v>10</v>
      </c>
      <c r="G689" s="2" t="s">
        <v>37</v>
      </c>
      <c r="H689" s="2">
        <v>2</v>
      </c>
      <c r="I689" s="2">
        <v>2</v>
      </c>
      <c r="J689" s="2">
        <f>COUNTIFS($F$13:F689,F689,$I$13:I689,I689)</f>
        <v>9</v>
      </c>
      <c r="O689" s="8">
        <v>1010201</v>
      </c>
      <c r="P689" s="8">
        <v>1010301</v>
      </c>
      <c r="Q689" s="8">
        <v>1010401</v>
      </c>
      <c r="R689" s="8">
        <v>1010501</v>
      </c>
      <c r="S689" s="8">
        <v>1010601</v>
      </c>
    </row>
    <row r="690" spans="1:19">
      <c r="A690" s="14" t="s">
        <v>14</v>
      </c>
      <c r="B690" s="8">
        <f t="shared" si="14"/>
        <v>70102210</v>
      </c>
      <c r="C690" s="2" t="s">
        <v>710</v>
      </c>
      <c r="E690" s="2" t="str">
        <f>F690&amp;(VLOOKUP(G690,编号表!$E$1:$G$8,2,0))&amp;H690&amp;"_"&amp;I690&amp;"_"&amp;J690</f>
        <v>10N2_2_10</v>
      </c>
      <c r="F690" s="2">
        <v>10</v>
      </c>
      <c r="G690" s="2" t="s">
        <v>37</v>
      </c>
      <c r="H690" s="2">
        <v>2</v>
      </c>
      <c r="I690" s="2">
        <v>2</v>
      </c>
      <c r="J690" s="2">
        <f>COUNTIFS($F$13:F690,F690,$I$13:I690,I690)</f>
        <v>10</v>
      </c>
      <c r="O690" s="8">
        <v>1010201</v>
      </c>
      <c r="P690" s="8">
        <v>1010301</v>
      </c>
      <c r="Q690" s="8">
        <v>1010401</v>
      </c>
      <c r="R690" s="8">
        <v>1010501</v>
      </c>
      <c r="S690" s="8">
        <v>1010601</v>
      </c>
    </row>
    <row r="691" spans="1:19">
      <c r="A691" s="14" t="s">
        <v>14</v>
      </c>
      <c r="B691" s="8">
        <f t="shared" si="14"/>
        <v>70103211</v>
      </c>
      <c r="C691" s="2" t="s">
        <v>711</v>
      </c>
      <c r="E691" s="2" t="str">
        <f>F691&amp;(VLOOKUP(G691,编号表!$E$1:$G$8,2,0))&amp;H691&amp;"_"&amp;I691&amp;"_"&amp;J691</f>
        <v>10N3_2_11</v>
      </c>
      <c r="F691" s="2">
        <v>10</v>
      </c>
      <c r="G691" s="2" t="s">
        <v>37</v>
      </c>
      <c r="H691" s="2">
        <v>3</v>
      </c>
      <c r="I691" s="2">
        <v>2</v>
      </c>
      <c r="J691" s="2">
        <f>COUNTIFS($F$13:F691,F691,$I$13:I691,I691)</f>
        <v>11</v>
      </c>
      <c r="O691" s="8">
        <v>1010201</v>
      </c>
      <c r="P691" s="8">
        <v>1010301</v>
      </c>
      <c r="Q691" s="8">
        <v>1010401</v>
      </c>
      <c r="R691" s="8">
        <v>1010501</v>
      </c>
      <c r="S691" s="8">
        <v>1010601</v>
      </c>
    </row>
    <row r="692" spans="1:19">
      <c r="A692" s="14" t="s">
        <v>14</v>
      </c>
      <c r="B692" s="8">
        <f t="shared" si="14"/>
        <v>70103212</v>
      </c>
      <c r="C692" s="2" t="s">
        <v>712</v>
      </c>
      <c r="E692" s="2" t="str">
        <f>F692&amp;(VLOOKUP(G692,编号表!$E$1:$G$8,2,0))&amp;H692&amp;"_"&amp;I692&amp;"_"&amp;J692</f>
        <v>10N3_2_12</v>
      </c>
      <c r="F692" s="2">
        <v>10</v>
      </c>
      <c r="G692" s="2" t="s">
        <v>37</v>
      </c>
      <c r="H692" s="2">
        <v>3</v>
      </c>
      <c r="I692" s="2">
        <v>2</v>
      </c>
      <c r="J692" s="2">
        <f>COUNTIFS($F$13:F692,F692,$I$13:I692,I692)</f>
        <v>12</v>
      </c>
      <c r="O692" s="8">
        <v>1010201</v>
      </c>
      <c r="P692" s="8">
        <v>1010301</v>
      </c>
      <c r="Q692" s="8">
        <v>1010401</v>
      </c>
      <c r="R692" s="8">
        <v>1010501</v>
      </c>
      <c r="S692" s="8">
        <v>1010601</v>
      </c>
    </row>
    <row r="693" spans="1:19">
      <c r="A693" s="14" t="s">
        <v>14</v>
      </c>
      <c r="B693" s="8">
        <f t="shared" si="14"/>
        <v>70103213</v>
      </c>
      <c r="C693" s="2" t="s">
        <v>713</v>
      </c>
      <c r="E693" s="2" t="str">
        <f>F693&amp;(VLOOKUP(G693,编号表!$E$1:$G$8,2,0))&amp;H693&amp;"_"&amp;I693&amp;"_"&amp;J693</f>
        <v>10N3_2_13</v>
      </c>
      <c r="F693" s="2">
        <v>10</v>
      </c>
      <c r="G693" s="2" t="s">
        <v>37</v>
      </c>
      <c r="H693" s="2">
        <v>3</v>
      </c>
      <c r="I693" s="2">
        <v>2</v>
      </c>
      <c r="J693" s="2">
        <f>COUNTIFS($F$13:F693,F693,$I$13:I693,I693)</f>
        <v>13</v>
      </c>
      <c r="O693" s="8">
        <v>1010201</v>
      </c>
      <c r="P693" s="8">
        <v>1010301</v>
      </c>
      <c r="Q693" s="8">
        <v>1010401</v>
      </c>
      <c r="R693" s="8">
        <v>1010501</v>
      </c>
      <c r="S693" s="8">
        <v>1010601</v>
      </c>
    </row>
    <row r="694" spans="1:19">
      <c r="A694" s="14" t="s">
        <v>14</v>
      </c>
      <c r="B694" s="8">
        <f t="shared" si="14"/>
        <v>70102214</v>
      </c>
      <c r="C694" s="2" t="s">
        <v>714</v>
      </c>
      <c r="E694" s="2" t="str">
        <f>F694&amp;(VLOOKUP(G694,编号表!$E$1:$G$8,2,0))&amp;H694&amp;"_"&amp;I694&amp;"_"&amp;J694</f>
        <v>10N2_2_14</v>
      </c>
      <c r="F694" s="2">
        <v>10</v>
      </c>
      <c r="G694" s="2" t="s">
        <v>37</v>
      </c>
      <c r="H694" s="2">
        <v>2</v>
      </c>
      <c r="I694" s="2">
        <v>2</v>
      </c>
      <c r="J694" s="2">
        <f>COUNTIFS($F$13:F694,F694,$I$13:I694,I694)</f>
        <v>14</v>
      </c>
      <c r="O694" s="8">
        <v>1010201</v>
      </c>
      <c r="P694" s="8">
        <v>1010301</v>
      </c>
      <c r="Q694" s="8">
        <v>1010401</v>
      </c>
      <c r="R694" s="8">
        <v>1010501</v>
      </c>
      <c r="S694" s="8">
        <v>1010601</v>
      </c>
    </row>
    <row r="695" spans="1:19">
      <c r="A695" s="14" t="s">
        <v>14</v>
      </c>
      <c r="B695" s="8">
        <f t="shared" si="14"/>
        <v>70102215</v>
      </c>
      <c r="C695" s="2" t="s">
        <v>715</v>
      </c>
      <c r="E695" s="2" t="str">
        <f>F695&amp;(VLOOKUP(G695,编号表!$E$1:$G$8,2,0))&amp;H695&amp;"_"&amp;I695&amp;"_"&amp;J695</f>
        <v>10N2_2_15</v>
      </c>
      <c r="F695" s="2">
        <v>10</v>
      </c>
      <c r="G695" s="2" t="s">
        <v>37</v>
      </c>
      <c r="H695" s="2">
        <v>2</v>
      </c>
      <c r="I695" s="2">
        <v>2</v>
      </c>
      <c r="J695" s="2">
        <f>COUNTIFS($F$13:F695,F695,$I$13:I695,I695)</f>
        <v>15</v>
      </c>
      <c r="O695" s="8">
        <v>1010201</v>
      </c>
      <c r="P695" s="8">
        <v>1010301</v>
      </c>
      <c r="Q695" s="8">
        <v>1010401</v>
      </c>
      <c r="R695" s="8">
        <v>1010501</v>
      </c>
      <c r="S695" s="8">
        <v>1010601</v>
      </c>
    </row>
    <row r="696" spans="1:19">
      <c r="A696" s="14" t="s">
        <v>14</v>
      </c>
      <c r="B696" s="8">
        <f t="shared" si="14"/>
        <v>70103216</v>
      </c>
      <c r="C696" s="2" t="s">
        <v>716</v>
      </c>
      <c r="E696" s="2" t="str">
        <f>F696&amp;(VLOOKUP(G696,编号表!$E$1:$G$8,2,0))&amp;H696&amp;"_"&amp;I696&amp;"_"&amp;J696</f>
        <v>10N3_2_16</v>
      </c>
      <c r="F696" s="2">
        <v>10</v>
      </c>
      <c r="G696" s="2" t="s">
        <v>37</v>
      </c>
      <c r="H696" s="2">
        <v>3</v>
      </c>
      <c r="I696" s="2">
        <v>2</v>
      </c>
      <c r="J696" s="2">
        <f>COUNTIFS($F$13:F696,F696,$I$13:I696,I696)</f>
        <v>16</v>
      </c>
      <c r="O696" s="8">
        <v>1010201</v>
      </c>
      <c r="P696" s="8">
        <v>1010301</v>
      </c>
      <c r="Q696" s="8">
        <v>1010401</v>
      </c>
      <c r="R696" s="8">
        <v>1010501</v>
      </c>
      <c r="S696" s="8">
        <v>1010601</v>
      </c>
    </row>
    <row r="697" spans="1:19">
      <c r="A697" s="14" t="s">
        <v>14</v>
      </c>
      <c r="B697" s="8">
        <f t="shared" si="14"/>
        <v>70102217</v>
      </c>
      <c r="C697" s="2" t="s">
        <v>717</v>
      </c>
      <c r="E697" s="2" t="str">
        <f>F697&amp;(VLOOKUP(G697,编号表!$E$1:$G$8,2,0))&amp;H697&amp;"_"&amp;I697&amp;"_"&amp;J697</f>
        <v>10N2_2_17</v>
      </c>
      <c r="F697" s="2">
        <v>10</v>
      </c>
      <c r="G697" s="2" t="s">
        <v>37</v>
      </c>
      <c r="H697" s="2">
        <v>2</v>
      </c>
      <c r="I697" s="2">
        <v>2</v>
      </c>
      <c r="J697" s="2">
        <f>COUNTIFS($F$13:F697,F697,$I$13:I697,I697)</f>
        <v>17</v>
      </c>
      <c r="O697" s="8">
        <v>1010201</v>
      </c>
      <c r="P697" s="8">
        <v>1010301</v>
      </c>
      <c r="Q697" s="8">
        <v>1010401</v>
      </c>
      <c r="R697" s="8">
        <v>1010501</v>
      </c>
      <c r="S697" s="8">
        <v>1010601</v>
      </c>
    </row>
    <row r="698" spans="1:19">
      <c r="A698" s="14" t="s">
        <v>14</v>
      </c>
      <c r="B698" s="8">
        <f t="shared" si="14"/>
        <v>70104218</v>
      </c>
      <c r="C698" s="2" t="s">
        <v>718</v>
      </c>
      <c r="E698" s="2" t="str">
        <f>F698&amp;(VLOOKUP(G698,编号表!$E$1:$G$8,2,0))&amp;H698&amp;"_"&amp;I698&amp;"_"&amp;J698</f>
        <v>10N4_2_18</v>
      </c>
      <c r="F698" s="2">
        <v>10</v>
      </c>
      <c r="G698" s="2" t="s">
        <v>37</v>
      </c>
      <c r="H698" s="2">
        <v>4</v>
      </c>
      <c r="I698" s="2">
        <v>2</v>
      </c>
      <c r="J698" s="2">
        <f>COUNTIFS($F$13:F698,F698,$I$13:I698,I698)</f>
        <v>18</v>
      </c>
      <c r="O698" s="8">
        <v>1010201</v>
      </c>
      <c r="P698" s="8">
        <v>1010301</v>
      </c>
      <c r="Q698" s="8">
        <v>1010401</v>
      </c>
      <c r="R698" s="8">
        <v>1010501</v>
      </c>
      <c r="S698" s="8">
        <v>1010601</v>
      </c>
    </row>
    <row r="699" spans="1:19">
      <c r="A699" s="14" t="s">
        <v>14</v>
      </c>
      <c r="B699" s="8">
        <f t="shared" si="14"/>
        <v>70103301</v>
      </c>
      <c r="C699" s="2" t="s">
        <v>719</v>
      </c>
      <c r="E699" s="2" t="str">
        <f>F699&amp;(VLOOKUP(G699,编号表!$E$1:$G$8,2,0))&amp;H699&amp;"_"&amp;I699&amp;"_"&amp;J699</f>
        <v>10N3_3_1</v>
      </c>
      <c r="F699" s="2">
        <v>10</v>
      </c>
      <c r="G699" s="2" t="s">
        <v>37</v>
      </c>
      <c r="H699" s="2">
        <v>3</v>
      </c>
      <c r="I699" s="2">
        <v>3</v>
      </c>
      <c r="J699" s="2">
        <f>COUNTIFS($F$13:F699,F699,$I$13:I699,I699)</f>
        <v>1</v>
      </c>
      <c r="O699" s="8">
        <v>1010201</v>
      </c>
      <c r="P699" s="8">
        <v>1010301</v>
      </c>
      <c r="Q699" s="8">
        <v>1010401</v>
      </c>
      <c r="R699" s="8">
        <v>1010501</v>
      </c>
      <c r="S699" s="8">
        <v>1010601</v>
      </c>
    </row>
    <row r="700" spans="1:19">
      <c r="A700" s="14" t="s">
        <v>14</v>
      </c>
      <c r="B700" s="8">
        <f t="shared" si="14"/>
        <v>70103302</v>
      </c>
      <c r="C700" s="2" t="s">
        <v>720</v>
      </c>
      <c r="E700" s="2" t="str">
        <f>F700&amp;(VLOOKUP(G700,编号表!$E$1:$G$8,2,0))&amp;H700&amp;"_"&amp;I700&amp;"_"&amp;J700</f>
        <v>10N3_3_2</v>
      </c>
      <c r="F700" s="2">
        <v>10</v>
      </c>
      <c r="G700" s="2" t="s">
        <v>37</v>
      </c>
      <c r="H700" s="2">
        <v>3</v>
      </c>
      <c r="I700" s="2">
        <v>3</v>
      </c>
      <c r="J700" s="2">
        <f>COUNTIFS($F$13:F700,F700,$I$13:I700,I700)</f>
        <v>2</v>
      </c>
      <c r="O700" s="8">
        <v>1010201</v>
      </c>
      <c r="P700" s="8">
        <v>1010301</v>
      </c>
      <c r="Q700" s="8">
        <v>1010401</v>
      </c>
      <c r="R700" s="8">
        <v>1010501</v>
      </c>
      <c r="S700" s="8">
        <v>1010601</v>
      </c>
    </row>
    <row r="701" spans="1:19">
      <c r="A701" s="14" t="s">
        <v>14</v>
      </c>
      <c r="B701" s="8">
        <f t="shared" si="14"/>
        <v>70102303</v>
      </c>
      <c r="C701" s="2" t="s">
        <v>721</v>
      </c>
      <c r="E701" s="2" t="str">
        <f>F701&amp;(VLOOKUP(G701,编号表!$E$1:$G$8,2,0))&amp;H701&amp;"_"&amp;I701&amp;"_"&amp;J701</f>
        <v>10N2_3_3</v>
      </c>
      <c r="F701" s="2">
        <v>10</v>
      </c>
      <c r="G701" s="2" t="s">
        <v>37</v>
      </c>
      <c r="H701" s="2">
        <v>2</v>
      </c>
      <c r="I701" s="2">
        <v>3</v>
      </c>
      <c r="J701" s="2">
        <f>COUNTIFS($F$13:F701,F701,$I$13:I701,I701)</f>
        <v>3</v>
      </c>
      <c r="O701" s="8">
        <v>1010201</v>
      </c>
      <c r="P701" s="8">
        <v>1010301</v>
      </c>
      <c r="Q701" s="8">
        <v>1010401</v>
      </c>
      <c r="R701" s="8">
        <v>1010501</v>
      </c>
      <c r="S701" s="8">
        <v>1010601</v>
      </c>
    </row>
    <row r="702" spans="1:19">
      <c r="A702" s="14" t="s">
        <v>14</v>
      </c>
      <c r="B702" s="8">
        <f t="shared" si="14"/>
        <v>70102304</v>
      </c>
      <c r="C702" s="2" t="s">
        <v>722</v>
      </c>
      <c r="E702" s="2" t="str">
        <f>F702&amp;(VLOOKUP(G702,编号表!$E$1:$G$8,2,0))&amp;H702&amp;"_"&amp;I702&amp;"_"&amp;J702</f>
        <v>10N2_3_4</v>
      </c>
      <c r="F702" s="2">
        <v>10</v>
      </c>
      <c r="G702" s="2" t="s">
        <v>37</v>
      </c>
      <c r="H702" s="2">
        <v>2</v>
      </c>
      <c r="I702" s="2">
        <v>3</v>
      </c>
      <c r="J702" s="2">
        <f>COUNTIFS($F$13:F702,F702,$I$13:I702,I702)</f>
        <v>4</v>
      </c>
      <c r="O702" s="8">
        <v>1010201</v>
      </c>
      <c r="P702" s="8">
        <v>1010301</v>
      </c>
      <c r="Q702" s="8">
        <v>1010401</v>
      </c>
      <c r="R702" s="8">
        <v>1010501</v>
      </c>
      <c r="S702" s="8">
        <v>1010601</v>
      </c>
    </row>
    <row r="703" spans="1:19">
      <c r="A703" s="14" t="s">
        <v>14</v>
      </c>
      <c r="B703" s="8">
        <f t="shared" si="14"/>
        <v>70101305</v>
      </c>
      <c r="C703" s="2" t="s">
        <v>723</v>
      </c>
      <c r="E703" s="2" t="str">
        <f>F703&amp;(VLOOKUP(G703,编号表!$E$1:$G$8,2,0))&amp;H703&amp;"_"&amp;I703&amp;"_"&amp;J703</f>
        <v>10N1_3_5</v>
      </c>
      <c r="F703" s="2">
        <v>10</v>
      </c>
      <c r="G703" s="2" t="s">
        <v>37</v>
      </c>
      <c r="H703" s="2">
        <v>1</v>
      </c>
      <c r="I703" s="2">
        <v>3</v>
      </c>
      <c r="J703" s="2">
        <f>COUNTIFS($F$13:F703,F703,$I$13:I703,I703)</f>
        <v>5</v>
      </c>
      <c r="O703" s="8">
        <v>1010201</v>
      </c>
      <c r="P703" s="8">
        <v>1010301</v>
      </c>
      <c r="Q703" s="8">
        <v>1010401</v>
      </c>
      <c r="R703" s="8">
        <v>1010501</v>
      </c>
      <c r="S703" s="8">
        <v>1010601</v>
      </c>
    </row>
    <row r="704" spans="1:19">
      <c r="A704" s="14" t="s">
        <v>14</v>
      </c>
      <c r="B704" s="8">
        <f t="shared" si="14"/>
        <v>70103306</v>
      </c>
      <c r="C704" s="2" t="s">
        <v>724</v>
      </c>
      <c r="E704" s="2" t="str">
        <f>F704&amp;(VLOOKUP(G704,编号表!$E$1:$G$8,2,0))&amp;H704&amp;"_"&amp;I704&amp;"_"&amp;J704</f>
        <v>10N3_3_6</v>
      </c>
      <c r="F704" s="2">
        <v>10</v>
      </c>
      <c r="G704" s="2" t="s">
        <v>37</v>
      </c>
      <c r="H704" s="2">
        <v>3</v>
      </c>
      <c r="I704" s="2">
        <v>3</v>
      </c>
      <c r="J704" s="2">
        <f>COUNTIFS($F$13:F704,F704,$I$13:I704,I704)</f>
        <v>6</v>
      </c>
      <c r="O704" s="8">
        <v>1010201</v>
      </c>
      <c r="P704" s="8">
        <v>1010301</v>
      </c>
      <c r="Q704" s="8">
        <v>1010401</v>
      </c>
      <c r="R704" s="8">
        <v>1010501</v>
      </c>
      <c r="S704" s="8">
        <v>1010601</v>
      </c>
    </row>
    <row r="705" spans="1:19">
      <c r="A705" s="14" t="s">
        <v>14</v>
      </c>
      <c r="B705" s="8">
        <f t="shared" si="14"/>
        <v>70102307</v>
      </c>
      <c r="C705" s="2" t="s">
        <v>725</v>
      </c>
      <c r="E705" s="2" t="str">
        <f>F705&amp;(VLOOKUP(G705,编号表!$E$1:$G$8,2,0))&amp;H705&amp;"_"&amp;I705&amp;"_"&amp;J705</f>
        <v>10N2_3_7</v>
      </c>
      <c r="F705" s="2">
        <v>10</v>
      </c>
      <c r="G705" s="2" t="s">
        <v>37</v>
      </c>
      <c r="H705" s="2">
        <v>2</v>
      </c>
      <c r="I705" s="2">
        <v>3</v>
      </c>
      <c r="J705" s="2">
        <f>COUNTIFS($F$13:F705,F705,$I$13:I705,I705)</f>
        <v>7</v>
      </c>
      <c r="O705" s="8">
        <v>1010201</v>
      </c>
      <c r="P705" s="8">
        <v>1010301</v>
      </c>
      <c r="Q705" s="8">
        <v>1010401</v>
      </c>
      <c r="R705" s="8">
        <v>1010501</v>
      </c>
      <c r="S705" s="8">
        <v>1010601</v>
      </c>
    </row>
    <row r="706" spans="1:19">
      <c r="A706" s="14" t="s">
        <v>14</v>
      </c>
      <c r="B706" s="8">
        <f t="shared" si="14"/>
        <v>70102308</v>
      </c>
      <c r="C706" s="2" t="s">
        <v>726</v>
      </c>
      <c r="E706" s="2" t="str">
        <f>F706&amp;(VLOOKUP(G706,编号表!$E$1:$G$8,2,0))&amp;H706&amp;"_"&amp;I706&amp;"_"&amp;J706</f>
        <v>10N2_3_8</v>
      </c>
      <c r="F706" s="2">
        <v>10</v>
      </c>
      <c r="G706" s="2" t="s">
        <v>37</v>
      </c>
      <c r="H706" s="2">
        <v>2</v>
      </c>
      <c r="I706" s="2">
        <v>3</v>
      </c>
      <c r="J706" s="2">
        <f>COUNTIFS($F$13:F706,F706,$I$13:I706,I706)</f>
        <v>8</v>
      </c>
      <c r="O706" s="8">
        <v>1010201</v>
      </c>
      <c r="P706" s="8">
        <v>1010301</v>
      </c>
      <c r="Q706" s="8">
        <v>1010401</v>
      </c>
      <c r="R706" s="8">
        <v>1010501</v>
      </c>
      <c r="S706" s="8">
        <v>1010601</v>
      </c>
    </row>
    <row r="707" spans="1:19">
      <c r="A707" s="14" t="s">
        <v>14</v>
      </c>
      <c r="B707" s="8">
        <f t="shared" si="14"/>
        <v>70103309</v>
      </c>
      <c r="C707" s="2" t="s">
        <v>727</v>
      </c>
      <c r="E707" s="2" t="str">
        <f>F707&amp;(VLOOKUP(G707,编号表!$E$1:$G$8,2,0))&amp;H707&amp;"_"&amp;I707&amp;"_"&amp;J707</f>
        <v>10N3_3_9</v>
      </c>
      <c r="F707" s="2">
        <v>10</v>
      </c>
      <c r="G707" s="2" t="s">
        <v>37</v>
      </c>
      <c r="H707" s="2">
        <v>3</v>
      </c>
      <c r="I707" s="2">
        <v>3</v>
      </c>
      <c r="J707" s="2">
        <f>COUNTIFS($F$13:F707,F707,$I$13:I707,I707)</f>
        <v>9</v>
      </c>
      <c r="O707" s="8">
        <v>1010201</v>
      </c>
      <c r="P707" s="8">
        <v>1010301</v>
      </c>
      <c r="Q707" s="8">
        <v>1010401</v>
      </c>
      <c r="R707" s="8">
        <v>1010501</v>
      </c>
      <c r="S707" s="8">
        <v>1010601</v>
      </c>
    </row>
    <row r="708" spans="1:19">
      <c r="A708" s="14" t="s">
        <v>14</v>
      </c>
      <c r="B708" s="8">
        <f t="shared" si="14"/>
        <v>70103310</v>
      </c>
      <c r="C708" s="2" t="s">
        <v>728</v>
      </c>
      <c r="E708" s="2" t="str">
        <f>F708&amp;(VLOOKUP(G708,编号表!$E$1:$G$8,2,0))&amp;H708&amp;"_"&amp;I708&amp;"_"&amp;J708</f>
        <v>10N3_3_10</v>
      </c>
      <c r="F708" s="2">
        <v>10</v>
      </c>
      <c r="G708" s="2" t="s">
        <v>37</v>
      </c>
      <c r="H708" s="2">
        <v>3</v>
      </c>
      <c r="I708" s="2">
        <v>3</v>
      </c>
      <c r="J708" s="2">
        <f>COUNTIFS($F$13:F708,F708,$I$13:I708,I708)</f>
        <v>10</v>
      </c>
      <c r="O708" s="8">
        <v>1010201</v>
      </c>
      <c r="P708" s="8">
        <v>1010301</v>
      </c>
      <c r="Q708" s="8">
        <v>1010401</v>
      </c>
      <c r="R708" s="8">
        <v>1010501</v>
      </c>
      <c r="S708" s="8">
        <v>1010601</v>
      </c>
    </row>
    <row r="709" spans="1:19">
      <c r="A709" s="14" t="s">
        <v>14</v>
      </c>
      <c r="B709" s="8">
        <f t="shared" si="14"/>
        <v>70103311</v>
      </c>
      <c r="C709" s="2" t="s">
        <v>729</v>
      </c>
      <c r="E709" s="2" t="str">
        <f>F709&amp;(VLOOKUP(G709,编号表!$E$1:$G$8,2,0))&amp;H709&amp;"_"&amp;I709&amp;"_"&amp;J709</f>
        <v>10N3_3_11</v>
      </c>
      <c r="F709" s="2">
        <v>10</v>
      </c>
      <c r="G709" s="2" t="s">
        <v>37</v>
      </c>
      <c r="H709" s="2">
        <v>3</v>
      </c>
      <c r="I709" s="2">
        <v>3</v>
      </c>
      <c r="J709" s="2">
        <f>COUNTIFS($F$13:F709,F709,$I$13:I709,I709)</f>
        <v>11</v>
      </c>
      <c r="O709" s="8">
        <v>1010201</v>
      </c>
      <c r="P709" s="8">
        <v>1010301</v>
      </c>
      <c r="Q709" s="8">
        <v>1010401</v>
      </c>
      <c r="R709" s="8">
        <v>1010501</v>
      </c>
      <c r="S709" s="8">
        <v>1010601</v>
      </c>
    </row>
    <row r="710" spans="1:19">
      <c r="A710" s="14" t="s">
        <v>14</v>
      </c>
      <c r="B710" s="8">
        <f t="shared" si="14"/>
        <v>70104312</v>
      </c>
      <c r="C710" s="2" t="s">
        <v>730</v>
      </c>
      <c r="E710" s="2" t="str">
        <f>F710&amp;(VLOOKUP(G710,编号表!$E$1:$G$8,2,0))&amp;H710&amp;"_"&amp;I710&amp;"_"&amp;J710</f>
        <v>10N4_3_12</v>
      </c>
      <c r="F710" s="2">
        <v>10</v>
      </c>
      <c r="G710" s="2" t="s">
        <v>37</v>
      </c>
      <c r="H710" s="2">
        <v>4</v>
      </c>
      <c r="I710" s="2">
        <v>3</v>
      </c>
      <c r="J710" s="2">
        <f>COUNTIFS($F$13:F710,F710,$I$13:I710,I710)</f>
        <v>12</v>
      </c>
      <c r="O710" s="8">
        <v>1010201</v>
      </c>
      <c r="P710" s="8">
        <v>1010301</v>
      </c>
      <c r="Q710" s="8">
        <v>1010401</v>
      </c>
      <c r="R710" s="8">
        <v>1010501</v>
      </c>
      <c r="S710" s="8">
        <v>1010601</v>
      </c>
    </row>
    <row r="711" spans="1:19">
      <c r="A711" s="14" t="s">
        <v>14</v>
      </c>
      <c r="B711" s="8">
        <f t="shared" ref="B711:B771" si="15">70000000+F711*10000+H711*1000+I711*100+J711</f>
        <v>70102313</v>
      </c>
      <c r="C711" s="2" t="s">
        <v>731</v>
      </c>
      <c r="E711" s="2" t="str">
        <f>F711&amp;(VLOOKUP(G711,编号表!$E$1:$G$8,2,0))&amp;H711&amp;"_"&amp;I711&amp;"_"&amp;J711</f>
        <v>10N2_3_13</v>
      </c>
      <c r="F711" s="2">
        <v>10</v>
      </c>
      <c r="G711" s="2" t="s">
        <v>37</v>
      </c>
      <c r="H711" s="2">
        <v>2</v>
      </c>
      <c r="I711" s="2">
        <v>3</v>
      </c>
      <c r="J711" s="2">
        <f>COUNTIFS($F$13:F711,F711,$I$13:I711,I711)</f>
        <v>13</v>
      </c>
      <c r="O711" s="8">
        <v>1010201</v>
      </c>
      <c r="P711" s="8">
        <v>1010301</v>
      </c>
      <c r="Q711" s="8">
        <v>1010401</v>
      </c>
      <c r="R711" s="8">
        <v>1010501</v>
      </c>
      <c r="S711" s="8">
        <v>1010601</v>
      </c>
    </row>
    <row r="712" spans="1:19">
      <c r="A712" s="14" t="s">
        <v>14</v>
      </c>
      <c r="B712" s="8">
        <f t="shared" si="15"/>
        <v>70102314</v>
      </c>
      <c r="C712" s="2" t="s">
        <v>732</v>
      </c>
      <c r="E712" s="2" t="str">
        <f>F712&amp;(VLOOKUP(G712,编号表!$E$1:$G$8,2,0))&amp;H712&amp;"_"&amp;I712&amp;"_"&amp;J712</f>
        <v>10N2_3_14</v>
      </c>
      <c r="F712" s="2">
        <v>10</v>
      </c>
      <c r="G712" s="2" t="s">
        <v>37</v>
      </c>
      <c r="H712" s="2">
        <v>2</v>
      </c>
      <c r="I712" s="2">
        <v>3</v>
      </c>
      <c r="J712" s="2">
        <f>COUNTIFS($F$13:F712,F712,$I$13:I712,I712)</f>
        <v>14</v>
      </c>
      <c r="O712" s="8">
        <v>1010201</v>
      </c>
      <c r="P712" s="8">
        <v>1010301</v>
      </c>
      <c r="Q712" s="8">
        <v>1010401</v>
      </c>
      <c r="R712" s="8">
        <v>1010501</v>
      </c>
      <c r="S712" s="8">
        <v>1010601</v>
      </c>
    </row>
    <row r="713" spans="1:19">
      <c r="A713" s="14" t="s">
        <v>14</v>
      </c>
      <c r="B713" s="8">
        <f t="shared" si="15"/>
        <v>70103401</v>
      </c>
      <c r="C713" s="2" t="s">
        <v>733</v>
      </c>
      <c r="E713" s="2" t="str">
        <f>F713&amp;(VLOOKUP(G713,编号表!$E$1:$G$8,2,0))&amp;H713&amp;"_"&amp;I713&amp;"_"&amp;J713</f>
        <v>10N3_4_1</v>
      </c>
      <c r="F713" s="2">
        <v>10</v>
      </c>
      <c r="G713" s="2" t="s">
        <v>37</v>
      </c>
      <c r="H713" s="2">
        <v>3</v>
      </c>
      <c r="I713" s="2">
        <v>4</v>
      </c>
      <c r="J713" s="2">
        <f>COUNTIFS($F$13:F713,F713,$I$13:I713,I713)</f>
        <v>1</v>
      </c>
      <c r="O713" s="8">
        <v>1010201</v>
      </c>
      <c r="P713" s="8">
        <v>1010301</v>
      </c>
      <c r="Q713" s="8">
        <v>1010401</v>
      </c>
      <c r="R713" s="8">
        <v>1010501</v>
      </c>
      <c r="S713" s="8">
        <v>1010601</v>
      </c>
    </row>
    <row r="714" spans="1:19">
      <c r="A714" s="14" t="s">
        <v>14</v>
      </c>
      <c r="B714" s="8">
        <f t="shared" si="15"/>
        <v>70103402</v>
      </c>
      <c r="C714" s="2" t="s">
        <v>734</v>
      </c>
      <c r="E714" s="2" t="str">
        <f>F714&amp;(VLOOKUP(G714,编号表!$E$1:$G$8,2,0))&amp;H714&amp;"_"&amp;I714&amp;"_"&amp;J714</f>
        <v>10N3_4_2</v>
      </c>
      <c r="F714" s="2">
        <v>10</v>
      </c>
      <c r="G714" s="2" t="s">
        <v>37</v>
      </c>
      <c r="H714" s="2">
        <v>3</v>
      </c>
      <c r="I714" s="2">
        <v>4</v>
      </c>
      <c r="J714" s="2">
        <f>COUNTIFS($F$13:F714,F714,$I$13:I714,I714)</f>
        <v>2</v>
      </c>
      <c r="O714" s="8">
        <v>1010201</v>
      </c>
      <c r="P714" s="8">
        <v>1010301</v>
      </c>
      <c r="Q714" s="8">
        <v>1010401</v>
      </c>
      <c r="R714" s="8">
        <v>1010501</v>
      </c>
      <c r="S714" s="8">
        <v>1010601</v>
      </c>
    </row>
    <row r="715" spans="1:19">
      <c r="A715" s="14" t="s">
        <v>14</v>
      </c>
      <c r="B715" s="8">
        <f t="shared" si="15"/>
        <v>70103403</v>
      </c>
      <c r="C715" s="2" t="s">
        <v>735</v>
      </c>
      <c r="E715" s="2" t="str">
        <f>F715&amp;(VLOOKUP(G715,编号表!$E$1:$G$8,2,0))&amp;H715&amp;"_"&amp;I715&amp;"_"&amp;J715</f>
        <v>10N3_4_3</v>
      </c>
      <c r="F715" s="2">
        <v>10</v>
      </c>
      <c r="G715" s="2" t="s">
        <v>37</v>
      </c>
      <c r="H715" s="2">
        <v>3</v>
      </c>
      <c r="I715" s="2">
        <v>4</v>
      </c>
      <c r="J715" s="2">
        <f>COUNTIFS($F$13:F715,F715,$I$13:I715,I715)</f>
        <v>3</v>
      </c>
      <c r="O715" s="8">
        <v>1010201</v>
      </c>
      <c r="P715" s="8">
        <v>1010301</v>
      </c>
      <c r="Q715" s="8">
        <v>1010401</v>
      </c>
      <c r="R715" s="8">
        <v>1010501</v>
      </c>
      <c r="S715" s="8">
        <v>1010601</v>
      </c>
    </row>
    <row r="716" spans="1:19">
      <c r="A716" s="14" t="s">
        <v>14</v>
      </c>
      <c r="B716" s="8">
        <f t="shared" si="15"/>
        <v>70103404</v>
      </c>
      <c r="C716" s="2" t="s">
        <v>736</v>
      </c>
      <c r="E716" s="2" t="str">
        <f>F716&amp;(VLOOKUP(G716,编号表!$E$1:$G$8,2,0))&amp;H716&amp;"_"&amp;I716&amp;"_"&amp;J716</f>
        <v>10N3_4_4</v>
      </c>
      <c r="F716" s="2">
        <v>10</v>
      </c>
      <c r="G716" s="2" t="s">
        <v>37</v>
      </c>
      <c r="H716" s="2">
        <v>3</v>
      </c>
      <c r="I716" s="2">
        <v>4</v>
      </c>
      <c r="J716" s="2">
        <f>COUNTIFS($F$13:F716,F716,$I$13:I716,I716)</f>
        <v>4</v>
      </c>
      <c r="O716" s="8">
        <v>1010201</v>
      </c>
      <c r="P716" s="8">
        <v>1010301</v>
      </c>
      <c r="Q716" s="8">
        <v>1010401</v>
      </c>
      <c r="R716" s="8">
        <v>1010501</v>
      </c>
      <c r="S716" s="8">
        <v>1010601</v>
      </c>
    </row>
    <row r="717" spans="1:19">
      <c r="A717" s="14" t="s">
        <v>14</v>
      </c>
      <c r="B717" s="8">
        <f t="shared" si="15"/>
        <v>70103405</v>
      </c>
      <c r="C717" s="2" t="s">
        <v>737</v>
      </c>
      <c r="E717" s="2" t="str">
        <f>F717&amp;(VLOOKUP(G717,编号表!$E$1:$G$8,2,0))&amp;H717&amp;"_"&amp;I717&amp;"_"&amp;J717</f>
        <v>10N3_4_5</v>
      </c>
      <c r="F717" s="2">
        <v>10</v>
      </c>
      <c r="G717" s="2" t="s">
        <v>37</v>
      </c>
      <c r="H717" s="2">
        <v>3</v>
      </c>
      <c r="I717" s="2">
        <v>4</v>
      </c>
      <c r="J717" s="2">
        <f>COUNTIFS($F$13:F717,F717,$I$13:I717,I717)</f>
        <v>5</v>
      </c>
      <c r="O717" s="8">
        <v>1010201</v>
      </c>
      <c r="P717" s="8">
        <v>1010301</v>
      </c>
      <c r="Q717" s="8">
        <v>1010401</v>
      </c>
      <c r="R717" s="8">
        <v>1010501</v>
      </c>
      <c r="S717" s="8">
        <v>1010601</v>
      </c>
    </row>
    <row r="718" spans="1:19">
      <c r="A718" s="14" t="s">
        <v>14</v>
      </c>
      <c r="B718" s="8">
        <f t="shared" si="15"/>
        <v>70102406</v>
      </c>
      <c r="C718" s="2" t="s">
        <v>738</v>
      </c>
      <c r="E718" s="2" t="str">
        <f>F718&amp;(VLOOKUP(G718,编号表!$E$1:$G$8,2,0))&amp;H718&amp;"_"&amp;I718&amp;"_"&amp;J718</f>
        <v>10N2_4_6</v>
      </c>
      <c r="F718" s="2">
        <v>10</v>
      </c>
      <c r="G718" s="2" t="s">
        <v>37</v>
      </c>
      <c r="H718" s="2">
        <v>2</v>
      </c>
      <c r="I718" s="2">
        <v>4</v>
      </c>
      <c r="J718" s="2">
        <f>COUNTIFS($F$13:F718,F718,$I$13:I718,I718)</f>
        <v>6</v>
      </c>
      <c r="O718" s="8">
        <v>1010201</v>
      </c>
      <c r="P718" s="8">
        <v>1010301</v>
      </c>
      <c r="Q718" s="8">
        <v>1010401</v>
      </c>
      <c r="R718" s="8">
        <v>1010501</v>
      </c>
      <c r="S718" s="8">
        <v>1010601</v>
      </c>
    </row>
    <row r="719" spans="1:19">
      <c r="A719" s="14" t="s">
        <v>14</v>
      </c>
      <c r="B719" s="8">
        <f t="shared" si="15"/>
        <v>70103407</v>
      </c>
      <c r="C719" s="2" t="s">
        <v>739</v>
      </c>
      <c r="E719" s="2" t="str">
        <f>F719&amp;(VLOOKUP(G719,编号表!$E$1:$G$8,2,0))&amp;H719&amp;"_"&amp;I719&amp;"_"&amp;J719</f>
        <v>10N3_4_7</v>
      </c>
      <c r="F719" s="2">
        <v>10</v>
      </c>
      <c r="G719" s="2" t="s">
        <v>37</v>
      </c>
      <c r="H719" s="2">
        <v>3</v>
      </c>
      <c r="I719" s="2">
        <v>4</v>
      </c>
      <c r="J719" s="2">
        <f>COUNTIFS($F$13:F719,F719,$I$13:I719,I719)</f>
        <v>7</v>
      </c>
      <c r="O719" s="8">
        <v>1010201</v>
      </c>
      <c r="P719" s="8">
        <v>1010301</v>
      </c>
      <c r="Q719" s="8">
        <v>1010401</v>
      </c>
      <c r="R719" s="8">
        <v>1010501</v>
      </c>
      <c r="S719" s="8">
        <v>1010601</v>
      </c>
    </row>
    <row r="720" spans="1:19">
      <c r="A720" s="14" t="s">
        <v>14</v>
      </c>
      <c r="B720" s="8">
        <f t="shared" si="15"/>
        <v>70103408</v>
      </c>
      <c r="C720" s="2" t="s">
        <v>740</v>
      </c>
      <c r="E720" s="2" t="str">
        <f>F720&amp;(VLOOKUP(G720,编号表!$E$1:$G$8,2,0))&amp;H720&amp;"_"&amp;I720&amp;"_"&amp;J720</f>
        <v>10N3_4_8</v>
      </c>
      <c r="F720" s="2">
        <v>10</v>
      </c>
      <c r="G720" s="2" t="s">
        <v>37</v>
      </c>
      <c r="H720" s="2">
        <v>3</v>
      </c>
      <c r="I720" s="2">
        <v>4</v>
      </c>
      <c r="J720" s="2">
        <f>COUNTIFS($F$13:F720,F720,$I$13:I720,I720)</f>
        <v>8</v>
      </c>
      <c r="O720" s="8">
        <v>1010201</v>
      </c>
      <c r="P720" s="8">
        <v>1010301</v>
      </c>
      <c r="Q720" s="8">
        <v>1010401</v>
      </c>
      <c r="R720" s="8">
        <v>1010501</v>
      </c>
      <c r="S720" s="8">
        <v>1010601</v>
      </c>
    </row>
    <row r="721" spans="1:21">
      <c r="A721" s="14" t="s">
        <v>14</v>
      </c>
      <c r="B721" s="8">
        <f t="shared" si="15"/>
        <v>70101409</v>
      </c>
      <c r="C721" s="2" t="s">
        <v>741</v>
      </c>
      <c r="E721" s="2" t="str">
        <f>F721&amp;(VLOOKUP(G721,编号表!$E$1:$G$8,2,0))&amp;H721&amp;"_"&amp;I721&amp;"_"&amp;J721</f>
        <v>10N1_4_9</v>
      </c>
      <c r="F721" s="2">
        <v>10</v>
      </c>
      <c r="G721" s="2" t="s">
        <v>37</v>
      </c>
      <c r="H721" s="2">
        <v>1</v>
      </c>
      <c r="I721" s="2">
        <v>4</v>
      </c>
      <c r="J721" s="2">
        <f>COUNTIFS($F$13:F721,F721,$I$13:I721,I721)</f>
        <v>9</v>
      </c>
      <c r="O721" s="8">
        <v>1010201</v>
      </c>
      <c r="P721" s="8">
        <v>1010301</v>
      </c>
      <c r="Q721" s="8">
        <v>1010401</v>
      </c>
      <c r="R721" s="8">
        <v>1010501</v>
      </c>
      <c r="S721" s="8">
        <v>1010601</v>
      </c>
    </row>
    <row r="722" spans="1:21">
      <c r="A722" s="14" t="s">
        <v>14</v>
      </c>
      <c r="B722" s="8">
        <f t="shared" si="15"/>
        <v>70102410</v>
      </c>
      <c r="C722" s="2" t="s">
        <v>742</v>
      </c>
      <c r="E722" s="2" t="str">
        <f>F722&amp;(VLOOKUP(G722,编号表!$E$1:$G$8,2,0))&amp;H722&amp;"_"&amp;I722&amp;"_"&amp;J722</f>
        <v>10N2_4_10</v>
      </c>
      <c r="F722" s="2">
        <v>10</v>
      </c>
      <c r="G722" s="2" t="s">
        <v>37</v>
      </c>
      <c r="H722" s="2">
        <v>2</v>
      </c>
      <c r="I722" s="2">
        <v>4</v>
      </c>
      <c r="J722" s="2">
        <f>COUNTIFS($F$13:F722,F722,$I$13:I722,I722)</f>
        <v>10</v>
      </c>
      <c r="O722" s="8">
        <v>1010201</v>
      </c>
      <c r="P722" s="8">
        <v>1010301</v>
      </c>
      <c r="Q722" s="8">
        <v>1010401</v>
      </c>
      <c r="R722" s="8">
        <v>1010501</v>
      </c>
      <c r="S722" s="8">
        <v>1010601</v>
      </c>
    </row>
    <row r="723" spans="1:21">
      <c r="A723" s="14" t="s">
        <v>14</v>
      </c>
      <c r="B723" s="8">
        <f t="shared" si="15"/>
        <v>70102411</v>
      </c>
      <c r="C723" s="2" t="s">
        <v>743</v>
      </c>
      <c r="E723" s="2" t="str">
        <f>F723&amp;(VLOOKUP(G723,编号表!$E$1:$G$8,2,0))&amp;H723&amp;"_"&amp;I723&amp;"_"&amp;J723</f>
        <v>10N2_4_11</v>
      </c>
      <c r="F723" s="2">
        <v>10</v>
      </c>
      <c r="G723" s="2" t="s">
        <v>37</v>
      </c>
      <c r="H723" s="2">
        <v>2</v>
      </c>
      <c r="I723" s="2">
        <v>4</v>
      </c>
      <c r="J723" s="2">
        <f>COUNTIFS($F$13:F723,F723,$I$13:I723,I723)</f>
        <v>11</v>
      </c>
      <c r="O723" s="8">
        <v>1010201</v>
      </c>
      <c r="P723" s="8">
        <v>1010301</v>
      </c>
      <c r="Q723" s="8">
        <v>1010401</v>
      </c>
      <c r="R723" s="8">
        <v>1010501</v>
      </c>
      <c r="S723" s="8">
        <v>1010601</v>
      </c>
    </row>
    <row r="724" spans="1:21">
      <c r="A724" s="14" t="s">
        <v>14</v>
      </c>
      <c r="B724" s="8">
        <f t="shared" si="15"/>
        <v>70102412</v>
      </c>
      <c r="C724" s="2" t="s">
        <v>744</v>
      </c>
      <c r="E724" s="2" t="str">
        <f>F724&amp;(VLOOKUP(G724,编号表!$E$1:$G$8,2,0))&amp;H724&amp;"_"&amp;I724&amp;"_"&amp;J724</f>
        <v>10N2_4_12</v>
      </c>
      <c r="F724" s="2">
        <v>10</v>
      </c>
      <c r="G724" s="2" t="s">
        <v>37</v>
      </c>
      <c r="H724" s="2">
        <v>2</v>
      </c>
      <c r="I724" s="2">
        <v>4</v>
      </c>
      <c r="J724" s="2">
        <f>COUNTIFS($F$13:F724,F724,$I$13:I724,I724)</f>
        <v>12</v>
      </c>
      <c r="N724" s="20"/>
      <c r="O724" s="8">
        <v>1010201</v>
      </c>
      <c r="P724" s="8">
        <v>1010301</v>
      </c>
      <c r="Q724" s="8">
        <v>1010401</v>
      </c>
      <c r="R724" s="8">
        <v>1010501</v>
      </c>
      <c r="S724" s="8">
        <v>1010601</v>
      </c>
      <c r="U724" s="19"/>
    </row>
    <row r="725" spans="1:21">
      <c r="A725" s="14" t="s">
        <v>14</v>
      </c>
      <c r="B725" s="8">
        <f t="shared" si="15"/>
        <v>70103501</v>
      </c>
      <c r="C725" s="2" t="s">
        <v>745</v>
      </c>
      <c r="E725" s="2" t="str">
        <f>F725&amp;(VLOOKUP(G725,编号表!$E$1:$G$8,2,0))&amp;H725&amp;"_"&amp;I725&amp;"_"&amp;J725</f>
        <v>10N3_5_1</v>
      </c>
      <c r="F725" s="2">
        <v>10</v>
      </c>
      <c r="G725" s="2" t="s">
        <v>37</v>
      </c>
      <c r="H725" s="2">
        <v>3</v>
      </c>
      <c r="I725" s="2">
        <v>5</v>
      </c>
      <c r="J725" s="2">
        <f>COUNTIFS($F$13:F725,F725,$I$13:I725,I725)</f>
        <v>1</v>
      </c>
      <c r="N725" s="20"/>
      <c r="O725" s="8">
        <v>1010201</v>
      </c>
      <c r="P725" s="8">
        <v>1010301</v>
      </c>
      <c r="Q725" s="8">
        <v>1010401</v>
      </c>
      <c r="R725" s="8">
        <v>1010501</v>
      </c>
      <c r="S725" s="8">
        <v>1010601</v>
      </c>
      <c r="U725" s="19"/>
    </row>
    <row r="726" spans="1:21">
      <c r="A726" s="14" t="s">
        <v>14</v>
      </c>
      <c r="B726" s="8">
        <f t="shared" si="15"/>
        <v>70102502</v>
      </c>
      <c r="C726" s="2" t="s">
        <v>746</v>
      </c>
      <c r="E726" s="2" t="str">
        <f>F726&amp;(VLOOKUP(G726,编号表!$E$1:$G$8,2,0))&amp;H726&amp;"_"&amp;I726&amp;"_"&amp;J726</f>
        <v>10N2_5_2</v>
      </c>
      <c r="F726" s="2">
        <v>10</v>
      </c>
      <c r="G726" s="2" t="s">
        <v>37</v>
      </c>
      <c r="H726" s="2">
        <v>2</v>
      </c>
      <c r="I726" s="2">
        <v>5</v>
      </c>
      <c r="J726" s="2">
        <f>COUNTIFS($F$13:F726,F726,$I$13:I726,I726)</f>
        <v>2</v>
      </c>
      <c r="N726" s="20"/>
      <c r="O726" s="8">
        <v>1010201</v>
      </c>
      <c r="P726" s="8">
        <v>1010301</v>
      </c>
      <c r="Q726" s="8">
        <v>1010401</v>
      </c>
      <c r="R726" s="8">
        <v>1010501</v>
      </c>
      <c r="S726" s="8">
        <v>1010601</v>
      </c>
      <c r="U726" s="19"/>
    </row>
    <row r="727" spans="1:21">
      <c r="A727" s="14" t="s">
        <v>14</v>
      </c>
      <c r="B727" s="8">
        <f t="shared" si="15"/>
        <v>70102503</v>
      </c>
      <c r="C727" s="2" t="s">
        <v>747</v>
      </c>
      <c r="E727" s="2" t="str">
        <f>F727&amp;(VLOOKUP(G727,编号表!$E$1:$G$8,2,0))&amp;H727&amp;"_"&amp;I727&amp;"_"&amp;J727</f>
        <v>10N2_5_3</v>
      </c>
      <c r="F727" s="2">
        <v>10</v>
      </c>
      <c r="G727" s="2" t="s">
        <v>37</v>
      </c>
      <c r="H727" s="2">
        <v>2</v>
      </c>
      <c r="I727" s="2">
        <v>5</v>
      </c>
      <c r="J727" s="2">
        <f>COUNTIFS($F$13:F727,F727,$I$13:I727,I727)</f>
        <v>3</v>
      </c>
      <c r="N727" s="20"/>
      <c r="O727" s="8">
        <v>1010201</v>
      </c>
      <c r="P727" s="8">
        <v>1010301</v>
      </c>
      <c r="Q727" s="8">
        <v>1010401</v>
      </c>
      <c r="R727" s="8">
        <v>1010501</v>
      </c>
      <c r="S727" s="8">
        <v>1010601</v>
      </c>
      <c r="U727" s="19"/>
    </row>
    <row r="728" spans="1:21">
      <c r="A728" s="14" t="s">
        <v>14</v>
      </c>
      <c r="B728" s="8">
        <f t="shared" si="15"/>
        <v>70102504</v>
      </c>
      <c r="C728" s="2" t="s">
        <v>748</v>
      </c>
      <c r="E728" s="2" t="str">
        <f>F728&amp;(VLOOKUP(G728,编号表!$E$1:$G$8,2,0))&amp;H728&amp;"_"&amp;I728&amp;"_"&amp;J728</f>
        <v>10N2_5_4</v>
      </c>
      <c r="F728" s="2">
        <v>10</v>
      </c>
      <c r="G728" s="2" t="s">
        <v>37</v>
      </c>
      <c r="H728" s="2">
        <v>2</v>
      </c>
      <c r="I728" s="2">
        <v>5</v>
      </c>
      <c r="J728" s="2">
        <f>COUNTIFS($F$13:F728,F728,$I$13:I728,I728)</f>
        <v>4</v>
      </c>
      <c r="N728" s="20"/>
      <c r="O728" s="8">
        <v>1010201</v>
      </c>
      <c r="P728" s="8">
        <v>1010301</v>
      </c>
      <c r="Q728" s="8">
        <v>1010401</v>
      </c>
      <c r="R728" s="8">
        <v>1010501</v>
      </c>
      <c r="S728" s="8">
        <v>1010601</v>
      </c>
      <c r="U728" s="19"/>
    </row>
    <row r="729" spans="1:21">
      <c r="A729" s="14" t="s">
        <v>14</v>
      </c>
      <c r="B729" s="8">
        <f t="shared" si="15"/>
        <v>70100001</v>
      </c>
      <c r="C729" s="18" t="s">
        <v>749</v>
      </c>
      <c r="E729" s="2" t="str">
        <f>F729&amp;(VLOOKUP(G729,编号表!$E$1:$G$8,2,0))&amp;H729&amp;"_"&amp;I729&amp;"_"&amp;J729</f>
        <v>10J0_0_1</v>
      </c>
      <c r="F729" s="2">
        <v>10</v>
      </c>
      <c r="G729" s="2" t="s">
        <v>86</v>
      </c>
      <c r="H729" s="2">
        <v>0</v>
      </c>
      <c r="I729" s="2">
        <v>0</v>
      </c>
      <c r="J729" s="2">
        <f>COUNTIFS($F$13:F729,F729,$I$13:I729,I729)</f>
        <v>1</v>
      </c>
      <c r="K729" s="2">
        <v>1</v>
      </c>
      <c r="N729" s="20"/>
      <c r="U729" s="20"/>
    </row>
    <row r="730" spans="1:21">
      <c r="A730" s="14" t="s">
        <v>14</v>
      </c>
      <c r="B730" s="8">
        <f t="shared" si="15"/>
        <v>70114101</v>
      </c>
      <c r="C730" s="2" t="s">
        <v>750</v>
      </c>
      <c r="E730" s="2" t="str">
        <f>F730&amp;(VLOOKUP(G730,编号表!$E$1:$G$8,2,0))&amp;H730&amp;"_"&amp;I730&amp;"_"&amp;J730</f>
        <v>11N4_1_1</v>
      </c>
      <c r="F730" s="2">
        <v>11</v>
      </c>
      <c r="G730" s="2" t="s">
        <v>37</v>
      </c>
      <c r="H730" s="2">
        <v>4</v>
      </c>
      <c r="I730" s="2">
        <v>1</v>
      </c>
      <c r="J730" s="2">
        <f>COUNTIFS($F$13:F730,F730,$I$13:I730,I730)</f>
        <v>1</v>
      </c>
      <c r="N730" s="20"/>
      <c r="O730" s="8">
        <v>1011301</v>
      </c>
      <c r="P730" s="8">
        <v>1011401</v>
      </c>
      <c r="Q730" s="8">
        <v>1011501</v>
      </c>
      <c r="R730" s="8">
        <v>1011601</v>
      </c>
      <c r="S730" s="8">
        <v>1011701</v>
      </c>
      <c r="T730" s="8">
        <v>1011001</v>
      </c>
    </row>
    <row r="731" spans="1:21">
      <c r="A731" s="14" t="s">
        <v>14</v>
      </c>
      <c r="B731" s="8">
        <f t="shared" si="15"/>
        <v>70114102</v>
      </c>
      <c r="C731" s="2" t="s">
        <v>751</v>
      </c>
      <c r="E731" s="2" t="str">
        <f>F731&amp;(VLOOKUP(G731,编号表!$E$1:$G$8,2,0))&amp;H731&amp;"_"&amp;I731&amp;"_"&amp;J731</f>
        <v>11N4_1_2</v>
      </c>
      <c r="F731" s="2">
        <v>11</v>
      </c>
      <c r="G731" s="2" t="s">
        <v>37</v>
      </c>
      <c r="H731" s="2">
        <v>4</v>
      </c>
      <c r="I731" s="2">
        <v>1</v>
      </c>
      <c r="J731" s="2">
        <f>COUNTIFS($F$13:F731,F731,$I$13:I731,I731)</f>
        <v>2</v>
      </c>
      <c r="O731" s="8">
        <v>1011301</v>
      </c>
      <c r="P731" s="8">
        <v>1011401</v>
      </c>
      <c r="Q731" s="8">
        <v>1011501</v>
      </c>
      <c r="R731" s="8">
        <v>1011601</v>
      </c>
      <c r="S731" s="8">
        <v>1011701</v>
      </c>
      <c r="T731" s="8">
        <v>1011002</v>
      </c>
    </row>
    <row r="732" spans="1:21">
      <c r="A732" s="14" t="s">
        <v>14</v>
      </c>
      <c r="B732" s="8">
        <f t="shared" si="15"/>
        <v>70114201</v>
      </c>
      <c r="C732" s="2" t="s">
        <v>752</v>
      </c>
      <c r="E732" s="2" t="str">
        <f>F732&amp;(VLOOKUP(G732,编号表!$E$1:$G$8,2,0))&amp;H732&amp;"_"&amp;I732&amp;"_"&amp;J732</f>
        <v>11N4_2_1</v>
      </c>
      <c r="F732" s="2">
        <v>11</v>
      </c>
      <c r="G732" s="2" t="s">
        <v>37</v>
      </c>
      <c r="H732" s="2">
        <v>4</v>
      </c>
      <c r="I732" s="2">
        <v>2</v>
      </c>
      <c r="J732" s="2">
        <f>COUNTIFS($F$13:F732,F732,$I$13:I732,I732)</f>
        <v>1</v>
      </c>
      <c r="O732" s="8">
        <v>1011301</v>
      </c>
      <c r="P732" s="8">
        <v>1011401</v>
      </c>
      <c r="Q732" s="8">
        <v>1011501</v>
      </c>
      <c r="R732" s="8">
        <v>1011601</v>
      </c>
      <c r="S732" s="8">
        <v>1011701</v>
      </c>
      <c r="T732" s="8">
        <v>1011101</v>
      </c>
    </row>
    <row r="733" spans="1:21">
      <c r="A733" s="14" t="s">
        <v>14</v>
      </c>
      <c r="B733" s="8">
        <f t="shared" si="15"/>
        <v>70114202</v>
      </c>
      <c r="C733" s="2" t="s">
        <v>753</v>
      </c>
      <c r="E733" s="2" t="str">
        <f>F733&amp;(VLOOKUP(G733,编号表!$E$1:$G$8,2,0))&amp;H733&amp;"_"&amp;I733&amp;"_"&amp;J733</f>
        <v>11N4_2_2</v>
      </c>
      <c r="F733" s="2">
        <v>11</v>
      </c>
      <c r="G733" s="2" t="s">
        <v>37</v>
      </c>
      <c r="H733" s="2">
        <v>4</v>
      </c>
      <c r="I733" s="2">
        <v>2</v>
      </c>
      <c r="J733" s="2">
        <f>COUNTIFS($F$13:F733,F733,$I$13:I733,I733)</f>
        <v>2</v>
      </c>
      <c r="N733" s="20"/>
      <c r="O733" s="8">
        <v>1011301</v>
      </c>
      <c r="P733" s="8">
        <v>1011401</v>
      </c>
      <c r="Q733" s="8">
        <v>1011501</v>
      </c>
      <c r="R733" s="8">
        <v>1011601</v>
      </c>
      <c r="S733" s="8">
        <v>1011701</v>
      </c>
      <c r="T733" s="8">
        <v>1011102</v>
      </c>
    </row>
    <row r="734" spans="1:21">
      <c r="A734" s="14" t="s">
        <v>14</v>
      </c>
      <c r="B734" s="8">
        <f t="shared" si="15"/>
        <v>70114203</v>
      </c>
      <c r="C734" s="2" t="s">
        <v>754</v>
      </c>
      <c r="E734" s="2" t="str">
        <f>F734&amp;(VLOOKUP(G734,编号表!$E$1:$G$8,2,0))&amp;H734&amp;"_"&amp;I734&amp;"_"&amp;J734</f>
        <v>11N4_2_3</v>
      </c>
      <c r="F734" s="2">
        <v>11</v>
      </c>
      <c r="G734" s="2" t="s">
        <v>37</v>
      </c>
      <c r="H734" s="2">
        <v>4</v>
      </c>
      <c r="I734" s="2">
        <v>2</v>
      </c>
      <c r="J734" s="2">
        <f>COUNTIFS($F$13:F734,F734,$I$13:I734,I734)</f>
        <v>3</v>
      </c>
      <c r="N734" s="20"/>
      <c r="O734" s="8">
        <v>1011301</v>
      </c>
      <c r="P734" s="8">
        <v>1011401</v>
      </c>
      <c r="Q734" s="8">
        <v>1011501</v>
      </c>
      <c r="R734" s="8">
        <v>1011601</v>
      </c>
      <c r="S734" s="8">
        <v>1011701</v>
      </c>
      <c r="T734" s="8">
        <v>1011103</v>
      </c>
    </row>
    <row r="735" spans="1:21">
      <c r="A735" s="14" t="s">
        <v>14</v>
      </c>
      <c r="B735" s="8">
        <f t="shared" si="15"/>
        <v>70114204</v>
      </c>
      <c r="C735" s="2" t="s">
        <v>755</v>
      </c>
      <c r="E735" s="2" t="str">
        <f>F735&amp;(VLOOKUP(G735,编号表!$E$1:$G$8,2,0))&amp;H735&amp;"_"&amp;I735&amp;"_"&amp;J735</f>
        <v>11N4_2_4</v>
      </c>
      <c r="F735" s="2">
        <v>11</v>
      </c>
      <c r="G735" s="2" t="s">
        <v>37</v>
      </c>
      <c r="H735" s="2">
        <v>4</v>
      </c>
      <c r="I735" s="2">
        <v>2</v>
      </c>
      <c r="J735" s="2">
        <f>COUNTIFS($F$13:F735,F735,$I$13:I735,I735)</f>
        <v>4</v>
      </c>
      <c r="N735" s="20"/>
      <c r="O735" s="8">
        <v>1011301</v>
      </c>
      <c r="P735" s="8">
        <v>1011401</v>
      </c>
      <c r="Q735" s="8">
        <v>1011501</v>
      </c>
      <c r="R735" s="8">
        <v>1011601</v>
      </c>
      <c r="S735" s="8">
        <v>1011701</v>
      </c>
    </row>
    <row r="736" spans="1:21">
      <c r="A736" s="14" t="s">
        <v>14</v>
      </c>
      <c r="B736" s="8">
        <f t="shared" si="15"/>
        <v>70113205</v>
      </c>
      <c r="C736" s="2" t="s">
        <v>756</v>
      </c>
      <c r="E736" s="2" t="str">
        <f>F736&amp;(VLOOKUP(G736,编号表!$E$1:$G$8,2,0))&amp;H736&amp;"_"&amp;I736&amp;"_"&amp;J736</f>
        <v>11N3_2_5</v>
      </c>
      <c r="F736" s="2">
        <v>11</v>
      </c>
      <c r="G736" s="2" t="s">
        <v>37</v>
      </c>
      <c r="H736" s="2">
        <v>3</v>
      </c>
      <c r="I736" s="2">
        <v>2</v>
      </c>
      <c r="J736" s="2">
        <f>COUNTIFS($F$13:F736,F736,$I$13:I736,I736)</f>
        <v>5</v>
      </c>
      <c r="N736" s="20"/>
      <c r="O736" s="8">
        <v>1011301</v>
      </c>
      <c r="P736" s="8">
        <v>1011401</v>
      </c>
      <c r="Q736" s="8">
        <v>1011501</v>
      </c>
      <c r="R736" s="8">
        <v>1011601</v>
      </c>
      <c r="S736" s="8">
        <v>1011701</v>
      </c>
    </row>
    <row r="737" spans="1:20">
      <c r="A737" s="14" t="s">
        <v>14</v>
      </c>
      <c r="B737" s="8">
        <f t="shared" si="15"/>
        <v>70114206</v>
      </c>
      <c r="C737" s="2" t="s">
        <v>757</v>
      </c>
      <c r="E737" s="2" t="str">
        <f>F737&amp;(VLOOKUP(G737,编号表!$E$1:$G$8,2,0))&amp;H737&amp;"_"&amp;I737&amp;"_"&amp;J737</f>
        <v>11N4_2_6</v>
      </c>
      <c r="F737" s="2">
        <v>11</v>
      </c>
      <c r="G737" s="2" t="s">
        <v>37</v>
      </c>
      <c r="H737" s="2">
        <v>4</v>
      </c>
      <c r="I737" s="2">
        <v>2</v>
      </c>
      <c r="J737" s="2">
        <f>COUNTIFS($F$13:F737,F737,$I$13:I737,I737)</f>
        <v>6</v>
      </c>
      <c r="N737" s="20"/>
      <c r="O737" s="8">
        <v>1011201</v>
      </c>
      <c r="P737" s="8">
        <v>1011301</v>
      </c>
      <c r="Q737" s="8">
        <v>1011401</v>
      </c>
      <c r="R737" s="8">
        <v>1011501</v>
      </c>
      <c r="S737" s="8">
        <v>1011601</v>
      </c>
      <c r="T737" s="8">
        <v>1011701</v>
      </c>
    </row>
    <row r="738" spans="1:20">
      <c r="A738" s="14" t="s">
        <v>14</v>
      </c>
      <c r="B738" s="8">
        <f t="shared" si="15"/>
        <v>70114207</v>
      </c>
      <c r="C738" s="2" t="s">
        <v>758</v>
      </c>
      <c r="E738" s="2" t="str">
        <f>F738&amp;(VLOOKUP(G738,编号表!$E$1:$G$8,2,0))&amp;H738&amp;"_"&amp;I738&amp;"_"&amp;J738</f>
        <v>11N4_2_7</v>
      </c>
      <c r="F738" s="2">
        <v>11</v>
      </c>
      <c r="G738" s="2" t="s">
        <v>37</v>
      </c>
      <c r="H738" s="2">
        <v>4</v>
      </c>
      <c r="I738" s="2">
        <v>2</v>
      </c>
      <c r="J738" s="2">
        <f>COUNTIFS($F$13:F738,F738,$I$13:I738,I738)</f>
        <v>7</v>
      </c>
      <c r="N738" s="20"/>
      <c r="O738" s="8">
        <v>1011201</v>
      </c>
      <c r="P738" s="8">
        <v>1011301</v>
      </c>
      <c r="Q738" s="8">
        <v>1011401</v>
      </c>
      <c r="R738" s="8">
        <v>1011501</v>
      </c>
      <c r="S738" s="8">
        <v>1011601</v>
      </c>
      <c r="T738" s="8">
        <v>1011701</v>
      </c>
    </row>
    <row r="739" spans="1:20">
      <c r="A739" s="14" t="s">
        <v>14</v>
      </c>
      <c r="B739" s="8">
        <f t="shared" si="15"/>
        <v>70113208</v>
      </c>
      <c r="C739" s="2" t="s">
        <v>759</v>
      </c>
      <c r="E739" s="2" t="str">
        <f>F739&amp;(VLOOKUP(G739,编号表!$E$1:$G$8,2,0))&amp;H739&amp;"_"&amp;I739&amp;"_"&amp;J739</f>
        <v>11N3_2_8</v>
      </c>
      <c r="F739" s="2">
        <v>11</v>
      </c>
      <c r="G739" s="2" t="s">
        <v>37</v>
      </c>
      <c r="H739" s="2">
        <v>3</v>
      </c>
      <c r="I739" s="2">
        <v>2</v>
      </c>
      <c r="J739" s="2">
        <f>COUNTIFS($F$13:F739,F739,$I$13:I739,I739)</f>
        <v>8</v>
      </c>
      <c r="O739" s="8">
        <v>1011201</v>
      </c>
      <c r="P739" s="8">
        <v>1011301</v>
      </c>
      <c r="Q739" s="8">
        <v>1011401</v>
      </c>
      <c r="R739" s="8">
        <v>1011501</v>
      </c>
      <c r="S739" s="8">
        <v>1011601</v>
      </c>
      <c r="T739" s="8">
        <v>1011701</v>
      </c>
    </row>
    <row r="740" spans="1:20">
      <c r="A740" s="14" t="s">
        <v>14</v>
      </c>
      <c r="B740" s="8">
        <f t="shared" si="15"/>
        <v>70113209</v>
      </c>
      <c r="C740" s="2" t="s">
        <v>760</v>
      </c>
      <c r="E740" s="2" t="str">
        <f>F740&amp;(VLOOKUP(G740,编号表!$E$1:$G$8,2,0))&amp;H740&amp;"_"&amp;I740&amp;"_"&amp;J740</f>
        <v>11N3_2_9</v>
      </c>
      <c r="F740" s="2">
        <v>11</v>
      </c>
      <c r="G740" s="2" t="s">
        <v>37</v>
      </c>
      <c r="H740" s="2">
        <v>3</v>
      </c>
      <c r="I740" s="2">
        <v>2</v>
      </c>
      <c r="J740" s="2">
        <f>COUNTIFS($F$13:F740,F740,$I$13:I740,I740)</f>
        <v>9</v>
      </c>
      <c r="O740" s="8">
        <v>1011201</v>
      </c>
      <c r="P740" s="8">
        <v>1011301</v>
      </c>
      <c r="Q740" s="8">
        <v>1011401</v>
      </c>
      <c r="R740" s="8">
        <v>1011501</v>
      </c>
      <c r="S740" s="8">
        <v>1011601</v>
      </c>
      <c r="T740" s="8">
        <v>1011701</v>
      </c>
    </row>
    <row r="741" spans="1:20">
      <c r="A741" s="14" t="s">
        <v>14</v>
      </c>
      <c r="B741" s="8">
        <f t="shared" si="15"/>
        <v>70113210</v>
      </c>
      <c r="C741" s="2" t="s">
        <v>761</v>
      </c>
      <c r="E741" s="2" t="str">
        <f>F741&amp;(VLOOKUP(G741,编号表!$E$1:$G$8,2,0))&amp;H741&amp;"_"&amp;I741&amp;"_"&amp;J741</f>
        <v>11N3_2_10</v>
      </c>
      <c r="F741" s="2">
        <v>11</v>
      </c>
      <c r="G741" s="2" t="s">
        <v>37</v>
      </c>
      <c r="H741" s="2">
        <v>3</v>
      </c>
      <c r="I741" s="2">
        <v>2</v>
      </c>
      <c r="J741" s="2">
        <f>COUNTIFS($F$13:F741,F741,$I$13:I741,I741)</f>
        <v>10</v>
      </c>
      <c r="O741" s="8">
        <v>1011201</v>
      </c>
      <c r="P741" s="8">
        <v>1011401</v>
      </c>
      <c r="Q741" s="8">
        <v>1011501</v>
      </c>
      <c r="R741" s="8">
        <v>1011601</v>
      </c>
      <c r="S741" s="8">
        <v>1011701</v>
      </c>
    </row>
    <row r="742" spans="1:20">
      <c r="A742" s="14" t="s">
        <v>14</v>
      </c>
      <c r="B742" s="8">
        <f t="shared" si="15"/>
        <v>70113211</v>
      </c>
      <c r="C742" s="2" t="s">
        <v>762</v>
      </c>
      <c r="E742" s="2" t="str">
        <f>F742&amp;(VLOOKUP(G742,编号表!$E$1:$G$8,2,0))&amp;H742&amp;"_"&amp;I742&amp;"_"&amp;J742</f>
        <v>11N3_2_11</v>
      </c>
      <c r="F742" s="2">
        <v>11</v>
      </c>
      <c r="G742" s="2" t="s">
        <v>37</v>
      </c>
      <c r="H742" s="2">
        <v>3</v>
      </c>
      <c r="I742" s="2">
        <v>2</v>
      </c>
      <c r="J742" s="2">
        <f>COUNTIFS($F$13:F742,F742,$I$13:I742,I742)</f>
        <v>11</v>
      </c>
      <c r="O742" s="8">
        <v>1011201</v>
      </c>
      <c r="P742" s="8">
        <v>1011401</v>
      </c>
      <c r="Q742" s="8">
        <v>1011501</v>
      </c>
      <c r="R742" s="8">
        <v>1011601</v>
      </c>
      <c r="S742" s="8">
        <v>1011701</v>
      </c>
    </row>
    <row r="743" spans="1:20">
      <c r="A743" s="14" t="s">
        <v>14</v>
      </c>
      <c r="B743" s="8">
        <f t="shared" si="15"/>
        <v>70114301</v>
      </c>
      <c r="C743" s="2" t="s">
        <v>763</v>
      </c>
      <c r="E743" s="2" t="str">
        <f>F743&amp;(VLOOKUP(G743,编号表!$E$1:$G$8,2,0))&amp;H743&amp;"_"&amp;I743&amp;"_"&amp;J743</f>
        <v>11N4_3_1</v>
      </c>
      <c r="F743" s="2">
        <v>11</v>
      </c>
      <c r="G743" s="2" t="s">
        <v>37</v>
      </c>
      <c r="H743" s="2">
        <v>4</v>
      </c>
      <c r="I743" s="2">
        <v>3</v>
      </c>
      <c r="J743" s="2">
        <f>COUNTIFS($F$13:F743,F743,$I$13:I743,I743)</f>
        <v>1</v>
      </c>
      <c r="O743" s="8">
        <v>1011201</v>
      </c>
      <c r="P743" s="8">
        <v>1011401</v>
      </c>
      <c r="Q743" s="8">
        <v>1011501</v>
      </c>
      <c r="R743" s="8">
        <v>1011601</v>
      </c>
      <c r="S743" s="8">
        <v>1011701</v>
      </c>
    </row>
    <row r="744" spans="1:20">
      <c r="A744" s="14" t="s">
        <v>14</v>
      </c>
      <c r="B744" s="8">
        <f t="shared" si="15"/>
        <v>70114302</v>
      </c>
      <c r="C744" s="2" t="s">
        <v>764</v>
      </c>
      <c r="E744" s="2" t="str">
        <f>F744&amp;(VLOOKUP(G744,编号表!$E$1:$G$8,2,0))&amp;H744&amp;"_"&amp;I744&amp;"_"&amp;J744</f>
        <v>11N4_3_2</v>
      </c>
      <c r="F744" s="2">
        <v>11</v>
      </c>
      <c r="G744" s="2" t="s">
        <v>37</v>
      </c>
      <c r="H744" s="2">
        <v>4</v>
      </c>
      <c r="I744" s="2">
        <v>3</v>
      </c>
      <c r="J744" s="2">
        <f>COUNTIFS($F$13:F744,F744,$I$13:I744,I744)</f>
        <v>2</v>
      </c>
      <c r="O744" s="8">
        <v>1011201</v>
      </c>
      <c r="P744" s="8">
        <v>1011401</v>
      </c>
      <c r="Q744" s="8">
        <v>1011501</v>
      </c>
      <c r="R744" s="8">
        <v>1011601</v>
      </c>
      <c r="S744" s="8">
        <v>1011701</v>
      </c>
    </row>
    <row r="745" spans="1:20">
      <c r="A745" s="14" t="s">
        <v>14</v>
      </c>
      <c r="B745" s="8">
        <f t="shared" si="15"/>
        <v>70114303</v>
      </c>
      <c r="C745" s="2" t="s">
        <v>765</v>
      </c>
      <c r="E745" s="2" t="str">
        <f>F745&amp;(VLOOKUP(G745,编号表!$E$1:$G$8,2,0))&amp;H745&amp;"_"&amp;I745&amp;"_"&amp;J745</f>
        <v>11N4_3_3</v>
      </c>
      <c r="F745" s="2">
        <v>11</v>
      </c>
      <c r="G745" s="2" t="s">
        <v>37</v>
      </c>
      <c r="H745" s="2">
        <v>4</v>
      </c>
      <c r="I745" s="2">
        <v>3</v>
      </c>
      <c r="J745" s="2">
        <f>COUNTIFS($F$13:F745,F745,$I$13:I745,I745)</f>
        <v>3</v>
      </c>
      <c r="O745" s="8">
        <v>1011201</v>
      </c>
      <c r="P745" s="8">
        <v>1011401</v>
      </c>
      <c r="Q745" s="8">
        <v>1011501</v>
      </c>
      <c r="R745" s="8">
        <v>1011601</v>
      </c>
      <c r="S745" s="8">
        <v>1011701</v>
      </c>
    </row>
    <row r="746" spans="1:20">
      <c r="A746" s="14" t="s">
        <v>14</v>
      </c>
      <c r="B746" s="8">
        <f t="shared" si="15"/>
        <v>70113304</v>
      </c>
      <c r="C746" s="2" t="s">
        <v>766</v>
      </c>
      <c r="E746" s="2" t="str">
        <f>F746&amp;(VLOOKUP(G746,编号表!$E$1:$G$8,2,0))&amp;H746&amp;"_"&amp;I746&amp;"_"&amp;J746</f>
        <v>11N3_3_4</v>
      </c>
      <c r="F746" s="2">
        <v>11</v>
      </c>
      <c r="G746" s="2" t="s">
        <v>37</v>
      </c>
      <c r="H746" s="2">
        <v>3</v>
      </c>
      <c r="I746" s="2">
        <v>3</v>
      </c>
      <c r="J746" s="2">
        <f>COUNTIFS($F$13:F746,F746,$I$13:I746,I746)</f>
        <v>4</v>
      </c>
      <c r="O746" s="8">
        <v>1011201</v>
      </c>
      <c r="P746" s="8">
        <v>1011401</v>
      </c>
      <c r="Q746" s="8">
        <v>1011501</v>
      </c>
      <c r="R746" s="8">
        <v>1011601</v>
      </c>
      <c r="S746" s="8">
        <v>1011701</v>
      </c>
    </row>
    <row r="747" spans="1:20">
      <c r="A747" s="14" t="s">
        <v>14</v>
      </c>
      <c r="B747" s="8">
        <f t="shared" si="15"/>
        <v>70113305</v>
      </c>
      <c r="C747" s="2" t="s">
        <v>767</v>
      </c>
      <c r="E747" s="2" t="str">
        <f>F747&amp;(VLOOKUP(G747,编号表!$E$1:$G$8,2,0))&amp;H747&amp;"_"&amp;I747&amp;"_"&amp;J747</f>
        <v>11N3_3_5</v>
      </c>
      <c r="F747" s="2">
        <v>11</v>
      </c>
      <c r="G747" s="2" t="s">
        <v>37</v>
      </c>
      <c r="H747" s="2">
        <v>3</v>
      </c>
      <c r="I747" s="2">
        <v>3</v>
      </c>
      <c r="J747" s="2">
        <f>COUNTIFS($F$13:F747,F747,$I$13:I747,I747)</f>
        <v>5</v>
      </c>
      <c r="O747" s="8">
        <v>1011201</v>
      </c>
      <c r="P747" s="8">
        <v>1011401</v>
      </c>
      <c r="Q747" s="8">
        <v>1011501</v>
      </c>
      <c r="R747" s="8">
        <v>1011601</v>
      </c>
      <c r="S747" s="8">
        <v>1011701</v>
      </c>
    </row>
    <row r="748" spans="1:20">
      <c r="A748" s="14" t="s">
        <v>14</v>
      </c>
      <c r="B748" s="8">
        <f t="shared" si="15"/>
        <v>70111306</v>
      </c>
      <c r="C748" s="15" t="s">
        <v>768</v>
      </c>
      <c r="E748" s="2" t="str">
        <f>F748&amp;(VLOOKUP(G748,编号表!$E$1:$G$8,2,0))&amp;H748&amp;"_"&amp;I748&amp;"_"&amp;J748</f>
        <v>11T1_3_6</v>
      </c>
      <c r="F748" s="2">
        <v>11</v>
      </c>
      <c r="G748" s="2" t="s">
        <v>53</v>
      </c>
      <c r="H748" s="2">
        <v>1</v>
      </c>
      <c r="I748" s="2">
        <v>3</v>
      </c>
      <c r="J748" s="2">
        <f>COUNTIFS($F$13:F748,F748,$I$13:I748,I748)</f>
        <v>6</v>
      </c>
      <c r="L748" s="2">
        <v>1</v>
      </c>
    </row>
    <row r="749" spans="1:20">
      <c r="A749" s="14" t="s">
        <v>14</v>
      </c>
      <c r="B749" s="8">
        <f t="shared" si="15"/>
        <v>70113307</v>
      </c>
      <c r="C749" s="2" t="s">
        <v>769</v>
      </c>
      <c r="E749" s="2" t="str">
        <f>F749&amp;(VLOOKUP(G749,编号表!$E$1:$G$8,2,0))&amp;H749&amp;"_"&amp;I749&amp;"_"&amp;J749</f>
        <v>11N3_3_7</v>
      </c>
      <c r="F749" s="2">
        <v>11</v>
      </c>
      <c r="G749" s="2" t="s">
        <v>37</v>
      </c>
      <c r="H749" s="2">
        <v>3</v>
      </c>
      <c r="I749" s="2">
        <v>3</v>
      </c>
      <c r="J749" s="2">
        <f>COUNTIFS($F$13:F749,F749,$I$13:I749,I749)</f>
        <v>7</v>
      </c>
      <c r="O749" s="8">
        <v>1011201</v>
      </c>
      <c r="P749" s="8">
        <v>1011301</v>
      </c>
      <c r="Q749" s="8">
        <v>1011401</v>
      </c>
      <c r="R749" s="8">
        <v>1011501</v>
      </c>
      <c r="S749" s="8">
        <v>1011601</v>
      </c>
      <c r="T749" s="8">
        <v>1011701</v>
      </c>
    </row>
    <row r="750" spans="1:20">
      <c r="A750" s="14" t="s">
        <v>14</v>
      </c>
      <c r="B750" s="8">
        <f t="shared" si="15"/>
        <v>70113308</v>
      </c>
      <c r="C750" s="2" t="s">
        <v>770</v>
      </c>
      <c r="E750" s="2" t="str">
        <f>F750&amp;(VLOOKUP(G750,编号表!$E$1:$G$8,2,0))&amp;H750&amp;"_"&amp;I750&amp;"_"&amp;J750</f>
        <v>11N3_3_8</v>
      </c>
      <c r="F750" s="2">
        <v>11</v>
      </c>
      <c r="G750" s="2" t="s">
        <v>37</v>
      </c>
      <c r="H750" s="2">
        <v>3</v>
      </c>
      <c r="I750" s="2">
        <v>3</v>
      </c>
      <c r="J750" s="2">
        <f>COUNTIFS($F$13:F750,F750,$I$13:I750,I750)</f>
        <v>8</v>
      </c>
      <c r="O750" s="8">
        <v>1011201</v>
      </c>
      <c r="P750" s="8">
        <v>1011301</v>
      </c>
      <c r="Q750" s="8">
        <v>1011401</v>
      </c>
      <c r="R750" s="8">
        <v>1011501</v>
      </c>
      <c r="S750" s="8">
        <v>1011601</v>
      </c>
      <c r="T750" s="8">
        <v>1011701</v>
      </c>
    </row>
    <row r="751" spans="1:20">
      <c r="A751" s="14" t="s">
        <v>14</v>
      </c>
      <c r="B751" s="8">
        <f t="shared" si="15"/>
        <v>70114309</v>
      </c>
      <c r="C751" s="2" t="s">
        <v>771</v>
      </c>
      <c r="E751" s="2" t="str">
        <f>F751&amp;(VLOOKUP(G751,编号表!$E$1:$G$8,2,0))&amp;H751&amp;"_"&amp;I751&amp;"_"&amp;J751</f>
        <v>11N4_3_9</v>
      </c>
      <c r="F751" s="2">
        <v>11</v>
      </c>
      <c r="G751" s="2" t="s">
        <v>37</v>
      </c>
      <c r="H751" s="2">
        <v>4</v>
      </c>
      <c r="I751" s="2">
        <v>3</v>
      </c>
      <c r="J751" s="2">
        <f>COUNTIFS($F$13:F751,F751,$I$13:I751,I751)</f>
        <v>9</v>
      </c>
      <c r="O751" s="8">
        <v>1011201</v>
      </c>
      <c r="P751" s="8">
        <v>1011301</v>
      </c>
      <c r="Q751" s="8">
        <v>1011501</v>
      </c>
      <c r="R751" s="8">
        <v>1011601</v>
      </c>
      <c r="S751" s="8">
        <v>1011701</v>
      </c>
    </row>
    <row r="752" spans="1:20">
      <c r="A752" s="14" t="s">
        <v>14</v>
      </c>
      <c r="B752" s="8">
        <f t="shared" si="15"/>
        <v>70114310</v>
      </c>
      <c r="C752" s="2" t="s">
        <v>772</v>
      </c>
      <c r="E752" s="2" t="str">
        <f>F752&amp;(VLOOKUP(G752,编号表!$E$1:$G$8,2,0))&amp;H752&amp;"_"&amp;I752&amp;"_"&amp;J752</f>
        <v>11N4_3_10</v>
      </c>
      <c r="F752" s="2">
        <v>11</v>
      </c>
      <c r="G752" s="2" t="s">
        <v>37</v>
      </c>
      <c r="H752" s="2">
        <v>4</v>
      </c>
      <c r="I752" s="2">
        <v>3</v>
      </c>
      <c r="J752" s="2">
        <f>COUNTIFS($F$13:F752,F752,$I$13:I752,I752)</f>
        <v>10</v>
      </c>
      <c r="O752" s="8">
        <v>1011201</v>
      </c>
      <c r="P752" s="8">
        <v>1011301</v>
      </c>
      <c r="Q752" s="8">
        <v>1011501</v>
      </c>
      <c r="R752" s="8">
        <v>1011601</v>
      </c>
      <c r="S752" s="8">
        <v>1011701</v>
      </c>
    </row>
    <row r="753" spans="1:20">
      <c r="A753" s="14" t="s">
        <v>14</v>
      </c>
      <c r="B753" s="8">
        <f t="shared" si="15"/>
        <v>70114311</v>
      </c>
      <c r="C753" s="2" t="s">
        <v>773</v>
      </c>
      <c r="E753" s="2" t="str">
        <f>F753&amp;(VLOOKUP(G753,编号表!$E$1:$G$8,2,0))&amp;H753&amp;"_"&amp;I753&amp;"_"&amp;J753</f>
        <v>11N4_3_11</v>
      </c>
      <c r="F753" s="2">
        <v>11</v>
      </c>
      <c r="G753" s="2" t="s">
        <v>37</v>
      </c>
      <c r="H753" s="2">
        <v>4</v>
      </c>
      <c r="I753" s="2">
        <v>3</v>
      </c>
      <c r="J753" s="2">
        <f>COUNTIFS($F$13:F753,F753,$I$13:I753,I753)</f>
        <v>11</v>
      </c>
      <c r="O753" s="8">
        <v>1011201</v>
      </c>
      <c r="P753" s="8">
        <v>1011301</v>
      </c>
      <c r="Q753" s="8">
        <v>1011501</v>
      </c>
      <c r="R753" s="8">
        <v>1011601</v>
      </c>
      <c r="S753" s="8">
        <v>1011701</v>
      </c>
    </row>
    <row r="754" spans="1:20">
      <c r="A754" s="14" t="s">
        <v>14</v>
      </c>
      <c r="B754" s="8">
        <f t="shared" si="15"/>
        <v>70114401</v>
      </c>
      <c r="C754" s="2" t="s">
        <v>774</v>
      </c>
      <c r="E754" s="2" t="str">
        <f>F754&amp;(VLOOKUP(G754,编号表!$E$1:$G$8,2,0))&amp;H754&amp;"_"&amp;I754&amp;"_"&amp;J754</f>
        <v>11N4_4_1</v>
      </c>
      <c r="F754" s="2">
        <v>11</v>
      </c>
      <c r="G754" s="2" t="s">
        <v>37</v>
      </c>
      <c r="H754" s="2">
        <v>4</v>
      </c>
      <c r="I754" s="2">
        <v>4</v>
      </c>
      <c r="J754" s="2">
        <f>COUNTIFS($F$13:F754,F754,$I$13:I754,I754)</f>
        <v>1</v>
      </c>
      <c r="O754" s="8">
        <v>1011201</v>
      </c>
      <c r="P754" s="8">
        <v>1011301</v>
      </c>
      <c r="Q754" s="8">
        <v>1011501</v>
      </c>
      <c r="R754" s="8">
        <v>1011601</v>
      </c>
      <c r="S754" s="8">
        <v>1011701</v>
      </c>
    </row>
    <row r="755" spans="1:20">
      <c r="A755" s="14" t="s">
        <v>14</v>
      </c>
      <c r="B755" s="8">
        <f t="shared" si="15"/>
        <v>70114402</v>
      </c>
      <c r="C755" s="2" t="s">
        <v>775</v>
      </c>
      <c r="E755" s="2" t="str">
        <f>F755&amp;(VLOOKUP(G755,编号表!$E$1:$G$8,2,0))&amp;H755&amp;"_"&amp;I755&amp;"_"&amp;J755</f>
        <v>11N4_4_2</v>
      </c>
      <c r="F755" s="2">
        <v>11</v>
      </c>
      <c r="G755" s="2" t="s">
        <v>37</v>
      </c>
      <c r="H755" s="2">
        <v>4</v>
      </c>
      <c r="I755" s="2">
        <v>4</v>
      </c>
      <c r="J755" s="2">
        <f>COUNTIFS($F$13:F755,F755,$I$13:I755,I755)</f>
        <v>2</v>
      </c>
      <c r="O755" s="8">
        <v>1011201</v>
      </c>
      <c r="P755" s="8">
        <v>1011301</v>
      </c>
      <c r="Q755" s="8">
        <v>1011501</v>
      </c>
      <c r="R755" s="8">
        <v>1011601</v>
      </c>
      <c r="S755" s="8">
        <v>1011701</v>
      </c>
    </row>
    <row r="756" spans="1:20">
      <c r="A756" s="14" t="s">
        <v>14</v>
      </c>
      <c r="B756" s="8">
        <f t="shared" si="15"/>
        <v>70114403</v>
      </c>
      <c r="C756" s="2" t="s">
        <v>776</v>
      </c>
      <c r="E756" s="2" t="str">
        <f>F756&amp;(VLOOKUP(G756,编号表!$E$1:$G$8,2,0))&amp;H756&amp;"_"&amp;I756&amp;"_"&amp;J756</f>
        <v>11N4_4_3</v>
      </c>
      <c r="F756" s="2">
        <v>11</v>
      </c>
      <c r="G756" s="2" t="s">
        <v>37</v>
      </c>
      <c r="H756" s="2">
        <v>4</v>
      </c>
      <c r="I756" s="2">
        <v>4</v>
      </c>
      <c r="J756" s="2">
        <f>COUNTIFS($F$13:F756,F756,$I$13:I756,I756)</f>
        <v>3</v>
      </c>
      <c r="O756" s="8">
        <v>1011201</v>
      </c>
      <c r="P756" s="8">
        <v>1011301</v>
      </c>
      <c r="Q756" s="8">
        <v>1011501</v>
      </c>
      <c r="R756" s="8">
        <v>1011601</v>
      </c>
      <c r="S756" s="8">
        <v>1011701</v>
      </c>
    </row>
    <row r="757" spans="1:20">
      <c r="A757" s="14" t="s">
        <v>14</v>
      </c>
      <c r="B757" s="8">
        <f t="shared" si="15"/>
        <v>70114404</v>
      </c>
      <c r="C757" s="2" t="s">
        <v>777</v>
      </c>
      <c r="E757" s="2" t="str">
        <f>F757&amp;(VLOOKUP(G757,编号表!$E$1:$G$8,2,0))&amp;H757&amp;"_"&amp;I757&amp;"_"&amp;J757</f>
        <v>11N4_4_4</v>
      </c>
      <c r="F757" s="2">
        <v>11</v>
      </c>
      <c r="G757" s="2" t="s">
        <v>37</v>
      </c>
      <c r="H757" s="2">
        <v>4</v>
      </c>
      <c r="I757" s="2">
        <v>4</v>
      </c>
      <c r="J757" s="2">
        <f>COUNTIFS($F$13:F757,F757,$I$13:I757,I757)</f>
        <v>4</v>
      </c>
      <c r="O757" s="8">
        <v>1011201</v>
      </c>
      <c r="P757" s="8">
        <v>1011301</v>
      </c>
      <c r="Q757" s="8">
        <v>1011501</v>
      </c>
      <c r="R757" s="8">
        <v>1011601</v>
      </c>
      <c r="S757" s="8">
        <v>1011701</v>
      </c>
    </row>
    <row r="758" spans="1:20">
      <c r="A758" s="14" t="s">
        <v>14</v>
      </c>
      <c r="B758" s="8">
        <f t="shared" si="15"/>
        <v>70114405</v>
      </c>
      <c r="C758" s="2" t="s">
        <v>778</v>
      </c>
      <c r="E758" s="2" t="str">
        <f>F758&amp;(VLOOKUP(G758,编号表!$E$1:$G$8,2,0))&amp;H758&amp;"_"&amp;I758&amp;"_"&amp;J758</f>
        <v>11N4_4_5</v>
      </c>
      <c r="F758" s="2">
        <v>11</v>
      </c>
      <c r="G758" s="2" t="s">
        <v>37</v>
      </c>
      <c r="H758" s="2">
        <v>4</v>
      </c>
      <c r="I758" s="2">
        <v>4</v>
      </c>
      <c r="J758" s="2">
        <f>COUNTIFS($F$13:F758,F758,$I$13:I758,I758)</f>
        <v>5</v>
      </c>
      <c r="O758" s="8">
        <v>1011201</v>
      </c>
      <c r="P758" s="8">
        <v>1011301</v>
      </c>
      <c r="Q758" s="8">
        <v>1011401</v>
      </c>
      <c r="R758" s="8">
        <v>1011501</v>
      </c>
      <c r="S758" s="8">
        <v>1011601</v>
      </c>
      <c r="T758" s="8">
        <v>1011701</v>
      </c>
    </row>
    <row r="759" spans="1:20">
      <c r="A759" s="14" t="s">
        <v>14</v>
      </c>
      <c r="B759" s="8">
        <f t="shared" si="15"/>
        <v>70113406</v>
      </c>
      <c r="C759" s="2" t="s">
        <v>779</v>
      </c>
      <c r="E759" s="2" t="str">
        <f>F759&amp;(VLOOKUP(G759,编号表!$E$1:$G$8,2,0))&amp;H759&amp;"_"&amp;I759&amp;"_"&amp;J759</f>
        <v>11N3_4_6</v>
      </c>
      <c r="F759" s="2">
        <v>11</v>
      </c>
      <c r="G759" s="2" t="s">
        <v>37</v>
      </c>
      <c r="H759" s="2">
        <v>3</v>
      </c>
      <c r="I759" s="2">
        <v>4</v>
      </c>
      <c r="J759" s="2">
        <f>COUNTIFS($F$13:F759,F759,$I$13:I759,I759)</f>
        <v>6</v>
      </c>
      <c r="O759" s="8">
        <v>1011201</v>
      </c>
      <c r="P759" s="8">
        <v>1011301</v>
      </c>
      <c r="Q759" s="8">
        <v>1011401</v>
      </c>
      <c r="R759" s="8">
        <v>1011501</v>
      </c>
      <c r="S759" s="8">
        <v>1011601</v>
      </c>
      <c r="T759" s="8">
        <v>1011701</v>
      </c>
    </row>
    <row r="760" spans="1:20">
      <c r="A760" s="14" t="s">
        <v>14</v>
      </c>
      <c r="B760" s="8">
        <f t="shared" si="15"/>
        <v>70113407</v>
      </c>
      <c r="C760" s="16" t="s">
        <v>90</v>
      </c>
      <c r="D760" s="2" t="s">
        <v>780</v>
      </c>
      <c r="E760" s="2" t="str">
        <f>F760&amp;(VLOOKUP(G760,编号表!$E$1:$G$8,2,0))&amp;H760&amp;"_"&amp;I760&amp;"_"&amp;J760</f>
        <v>11T3_4_7</v>
      </c>
      <c r="F760" s="2">
        <v>11</v>
      </c>
      <c r="G760" s="2" t="s">
        <v>53</v>
      </c>
      <c r="H760" s="2">
        <v>3</v>
      </c>
      <c r="I760" s="2">
        <v>4</v>
      </c>
      <c r="J760" s="2">
        <f>COUNTIFS($F$13:F760,F760,$I$13:I760,I760)</f>
        <v>7</v>
      </c>
    </row>
    <row r="761" spans="1:20">
      <c r="A761" s="14" t="s">
        <v>14</v>
      </c>
      <c r="B761" s="8">
        <f t="shared" si="15"/>
        <v>70113408</v>
      </c>
      <c r="C761" s="2" t="s">
        <v>781</v>
      </c>
      <c r="E761" s="2" t="str">
        <f>F761&amp;(VLOOKUP(G761,编号表!$E$1:$G$8,2,0))&amp;H761&amp;"_"&amp;I761&amp;"_"&amp;J761</f>
        <v>11N3_4_8</v>
      </c>
      <c r="F761" s="2">
        <v>11</v>
      </c>
      <c r="G761" s="2" t="s">
        <v>37</v>
      </c>
      <c r="H761" s="2">
        <v>3</v>
      </c>
      <c r="I761" s="2">
        <v>4</v>
      </c>
      <c r="J761" s="2">
        <f>COUNTIFS($F$13:F761,F761,$I$13:I761,I761)</f>
        <v>8</v>
      </c>
      <c r="O761" s="8">
        <v>1011201</v>
      </c>
      <c r="P761" s="8">
        <v>1011301</v>
      </c>
      <c r="Q761" s="8">
        <v>1011401</v>
      </c>
      <c r="R761" s="8">
        <v>1011501</v>
      </c>
      <c r="S761" s="8">
        <v>1011601</v>
      </c>
      <c r="T761" s="8">
        <v>1011701</v>
      </c>
    </row>
    <row r="762" spans="1:20">
      <c r="A762" s="14" t="s">
        <v>14</v>
      </c>
      <c r="B762" s="8">
        <f t="shared" si="15"/>
        <v>70114409</v>
      </c>
      <c r="C762" s="2" t="s">
        <v>782</v>
      </c>
      <c r="E762" s="2" t="str">
        <f>F762&amp;(VLOOKUP(G762,编号表!$E$1:$G$8,2,0))&amp;H762&amp;"_"&amp;I762&amp;"_"&amp;J762</f>
        <v>11N4_4_9</v>
      </c>
      <c r="F762" s="2">
        <v>11</v>
      </c>
      <c r="G762" s="2" t="s">
        <v>37</v>
      </c>
      <c r="H762" s="2">
        <v>4</v>
      </c>
      <c r="I762" s="2">
        <v>4</v>
      </c>
      <c r="J762" s="2">
        <f>COUNTIFS($F$13:F762,F762,$I$13:I762,I762)</f>
        <v>9</v>
      </c>
      <c r="O762" s="8">
        <v>1011201</v>
      </c>
      <c r="P762" s="8">
        <v>1011301</v>
      </c>
      <c r="Q762" s="8">
        <v>1011401</v>
      </c>
      <c r="R762" s="8">
        <v>1011501</v>
      </c>
      <c r="S762" s="8">
        <v>1011601</v>
      </c>
      <c r="T762" s="8">
        <v>1011701</v>
      </c>
    </row>
    <row r="763" spans="1:20">
      <c r="A763" s="14" t="s">
        <v>14</v>
      </c>
      <c r="B763" s="8">
        <f t="shared" si="15"/>
        <v>70113410</v>
      </c>
      <c r="C763" s="2" t="s">
        <v>783</v>
      </c>
      <c r="E763" s="2" t="str">
        <f>F763&amp;(VLOOKUP(G763,编号表!$E$1:$G$8,2,0))&amp;H763&amp;"_"&amp;I763&amp;"_"&amp;J763</f>
        <v>11N3_4_10</v>
      </c>
      <c r="F763" s="2">
        <v>11</v>
      </c>
      <c r="G763" s="2" t="s">
        <v>37</v>
      </c>
      <c r="H763" s="2">
        <v>3</v>
      </c>
      <c r="I763" s="2">
        <v>4</v>
      </c>
      <c r="J763" s="2">
        <f>COUNTIFS($F$13:F763,F763,$I$13:I763,I763)</f>
        <v>10</v>
      </c>
      <c r="O763" s="8">
        <v>1011201</v>
      </c>
      <c r="P763" s="8">
        <v>1011301</v>
      </c>
      <c r="Q763" s="8">
        <v>1011401</v>
      </c>
      <c r="R763" s="8">
        <v>1011601</v>
      </c>
      <c r="S763" s="8">
        <v>1011701</v>
      </c>
    </row>
    <row r="764" spans="1:20">
      <c r="A764" s="14" t="s">
        <v>14</v>
      </c>
      <c r="B764" s="8">
        <f t="shared" si="15"/>
        <v>70114411</v>
      </c>
      <c r="C764" s="2" t="s">
        <v>784</v>
      </c>
      <c r="E764" s="2" t="str">
        <f>F764&amp;(VLOOKUP(G764,编号表!$E$1:$G$8,2,0))&amp;H764&amp;"_"&amp;I764&amp;"_"&amp;J764</f>
        <v>11N4_4_11</v>
      </c>
      <c r="F764" s="2">
        <v>11</v>
      </c>
      <c r="G764" s="2" t="s">
        <v>37</v>
      </c>
      <c r="H764" s="2">
        <v>4</v>
      </c>
      <c r="I764" s="2">
        <v>4</v>
      </c>
      <c r="J764" s="2">
        <f>COUNTIFS($F$13:F764,F764,$I$13:I764,I764)</f>
        <v>11</v>
      </c>
      <c r="O764" s="8">
        <v>1011201</v>
      </c>
      <c r="P764" s="8">
        <v>1011301</v>
      </c>
      <c r="Q764" s="8">
        <v>1011401</v>
      </c>
      <c r="R764" s="8">
        <v>1011601</v>
      </c>
      <c r="S764" s="8">
        <v>1011701</v>
      </c>
    </row>
    <row r="765" spans="1:20">
      <c r="A765" s="14" t="s">
        <v>14</v>
      </c>
      <c r="B765" s="8">
        <f t="shared" si="15"/>
        <v>70113412</v>
      </c>
      <c r="C765" s="2" t="s">
        <v>785</v>
      </c>
      <c r="E765" s="2" t="str">
        <f>F765&amp;(VLOOKUP(G765,编号表!$E$1:$G$8,2,0))&amp;H765&amp;"_"&amp;I765&amp;"_"&amp;J765</f>
        <v>11N3_4_12</v>
      </c>
      <c r="F765" s="2">
        <v>11</v>
      </c>
      <c r="G765" s="2" t="s">
        <v>37</v>
      </c>
      <c r="H765" s="2">
        <v>3</v>
      </c>
      <c r="I765" s="2">
        <v>4</v>
      </c>
      <c r="J765" s="2">
        <f>COUNTIFS($F$13:F765,F765,$I$13:I765,I765)</f>
        <v>12</v>
      </c>
      <c r="O765" s="8">
        <v>1011201</v>
      </c>
      <c r="P765" s="8">
        <v>1011301</v>
      </c>
      <c r="Q765" s="8">
        <v>1011401</v>
      </c>
      <c r="R765" s="8">
        <v>1011601</v>
      </c>
      <c r="S765" s="8">
        <v>1011701</v>
      </c>
    </row>
    <row r="766" spans="1:20">
      <c r="A766" s="14" t="s">
        <v>14</v>
      </c>
      <c r="B766" s="8">
        <f t="shared" si="15"/>
        <v>70113413</v>
      </c>
      <c r="C766" s="2" t="s">
        <v>786</v>
      </c>
      <c r="E766" s="2" t="str">
        <f>F766&amp;(VLOOKUP(G766,编号表!$E$1:$G$8,2,0))&amp;H766&amp;"_"&amp;I766&amp;"_"&amp;J766</f>
        <v>11N3_4_13</v>
      </c>
      <c r="F766" s="2">
        <v>11</v>
      </c>
      <c r="G766" s="2" t="s">
        <v>37</v>
      </c>
      <c r="H766" s="2">
        <v>3</v>
      </c>
      <c r="I766" s="2">
        <v>4</v>
      </c>
      <c r="J766" s="2">
        <f>COUNTIFS($F$13:F766,F766,$I$13:I766,I766)</f>
        <v>13</v>
      </c>
      <c r="O766" s="8">
        <v>1011201</v>
      </c>
      <c r="P766" s="8">
        <v>1011301</v>
      </c>
      <c r="Q766" s="8">
        <v>1011401</v>
      </c>
      <c r="R766" s="8">
        <v>1011601</v>
      </c>
      <c r="S766" s="8">
        <v>1011701</v>
      </c>
    </row>
    <row r="767" spans="1:20">
      <c r="A767" s="14" t="s">
        <v>14</v>
      </c>
      <c r="B767" s="8">
        <f t="shared" si="15"/>
        <v>70114501</v>
      </c>
      <c r="C767" s="2" t="s">
        <v>787</v>
      </c>
      <c r="E767" s="2" t="str">
        <f>F767&amp;(VLOOKUP(G767,编号表!$E$1:$G$8,2,0))&amp;H767&amp;"_"&amp;I767&amp;"_"&amp;J767</f>
        <v>11N4_5_1</v>
      </c>
      <c r="F767" s="2">
        <v>11</v>
      </c>
      <c r="G767" s="2" t="s">
        <v>37</v>
      </c>
      <c r="H767" s="2">
        <v>4</v>
      </c>
      <c r="I767" s="2">
        <v>5</v>
      </c>
      <c r="J767" s="2">
        <f>COUNTIFS($F$13:F767,F767,$I$13:I767,I767)</f>
        <v>1</v>
      </c>
      <c r="O767" s="8">
        <v>1011201</v>
      </c>
      <c r="P767" s="8">
        <v>1011301</v>
      </c>
      <c r="Q767" s="8">
        <v>1011401</v>
      </c>
      <c r="R767" s="8">
        <v>1011601</v>
      </c>
      <c r="S767" s="8">
        <v>1011701</v>
      </c>
    </row>
    <row r="768" spans="1:20">
      <c r="A768" s="14" t="s">
        <v>14</v>
      </c>
      <c r="B768" s="8">
        <f t="shared" si="15"/>
        <v>70114502</v>
      </c>
      <c r="C768" s="2" t="s">
        <v>788</v>
      </c>
      <c r="E768" s="2" t="str">
        <f>F768&amp;(VLOOKUP(G768,编号表!$E$1:$G$8,2,0))&amp;H768&amp;"_"&amp;I768&amp;"_"&amp;J768</f>
        <v>11N4_5_2</v>
      </c>
      <c r="F768" s="2">
        <v>11</v>
      </c>
      <c r="G768" s="2" t="s">
        <v>37</v>
      </c>
      <c r="H768" s="2">
        <v>4</v>
      </c>
      <c r="I768" s="2">
        <v>5</v>
      </c>
      <c r="J768" s="2">
        <f>COUNTIFS($F$13:F768,F768,$I$13:I768,I768)</f>
        <v>2</v>
      </c>
      <c r="O768" s="8">
        <v>1011201</v>
      </c>
      <c r="P768" s="8">
        <v>1011301</v>
      </c>
      <c r="Q768" s="8">
        <v>1011401</v>
      </c>
      <c r="R768" s="8">
        <v>1011601</v>
      </c>
      <c r="S768" s="8">
        <v>1011701</v>
      </c>
    </row>
    <row r="769" spans="1:20">
      <c r="A769" s="14" t="s">
        <v>14</v>
      </c>
      <c r="B769" s="8">
        <f t="shared" si="15"/>
        <v>70114503</v>
      </c>
      <c r="C769" s="2" t="s">
        <v>789</v>
      </c>
      <c r="E769" s="2" t="str">
        <f>F769&amp;(VLOOKUP(G769,编号表!$E$1:$G$8,2,0))&amp;H769&amp;"_"&amp;I769&amp;"_"&amp;J769</f>
        <v>11N4_5_3</v>
      </c>
      <c r="F769" s="2">
        <v>11</v>
      </c>
      <c r="G769" s="2" t="s">
        <v>37</v>
      </c>
      <c r="H769" s="2">
        <v>4</v>
      </c>
      <c r="I769" s="2">
        <v>5</v>
      </c>
      <c r="J769" s="2">
        <f>COUNTIFS($F$13:F769,F769,$I$13:I769,I769)</f>
        <v>3</v>
      </c>
      <c r="O769" s="8">
        <v>1011201</v>
      </c>
      <c r="P769" s="8">
        <v>1011301</v>
      </c>
      <c r="Q769" s="8">
        <v>1011401</v>
      </c>
      <c r="R769" s="8">
        <v>1011601</v>
      </c>
      <c r="S769" s="8">
        <v>1011701</v>
      </c>
    </row>
    <row r="770" spans="1:20">
      <c r="A770" s="14" t="s">
        <v>14</v>
      </c>
      <c r="B770" s="8">
        <f t="shared" si="15"/>
        <v>70114504</v>
      </c>
      <c r="C770" s="2" t="s">
        <v>790</v>
      </c>
      <c r="E770" s="2" t="str">
        <f>F770&amp;(VLOOKUP(G770,编号表!$E$1:$G$8,2,0))&amp;H770&amp;"_"&amp;I770&amp;"_"&amp;J770</f>
        <v>11N4_5_4</v>
      </c>
      <c r="F770" s="2">
        <v>11</v>
      </c>
      <c r="G770" s="2" t="s">
        <v>37</v>
      </c>
      <c r="H770" s="2">
        <v>4</v>
      </c>
      <c r="I770" s="2">
        <v>5</v>
      </c>
      <c r="J770" s="2">
        <f>COUNTIFS($F$13:F770,F770,$I$13:I770,I770)</f>
        <v>4</v>
      </c>
      <c r="O770" s="8">
        <v>1011201</v>
      </c>
      <c r="P770" s="8">
        <v>1011301</v>
      </c>
      <c r="Q770" s="8">
        <v>1011401</v>
      </c>
      <c r="R770" s="8">
        <v>1011501</v>
      </c>
      <c r="S770" s="8">
        <v>1011601</v>
      </c>
      <c r="T770" s="8">
        <v>1011701</v>
      </c>
    </row>
    <row r="771" spans="1:20">
      <c r="A771" s="14" t="s">
        <v>14</v>
      </c>
      <c r="B771" s="8">
        <f t="shared" si="15"/>
        <v>70114505</v>
      </c>
      <c r="C771" s="2" t="s">
        <v>791</v>
      </c>
      <c r="E771" s="2" t="str">
        <f>F771&amp;(VLOOKUP(G771,编号表!$E$1:$G$8,2,0))&amp;H771&amp;"_"&amp;I771&amp;"_"&amp;J771</f>
        <v>11N4_5_5</v>
      </c>
      <c r="F771" s="2">
        <v>11</v>
      </c>
      <c r="G771" s="2" t="s">
        <v>37</v>
      </c>
      <c r="H771" s="2">
        <v>4</v>
      </c>
      <c r="I771" s="2">
        <v>5</v>
      </c>
      <c r="J771" s="2">
        <f>COUNTIFS($F$13:F771,F771,$I$13:I771,I771)</f>
        <v>5</v>
      </c>
      <c r="O771" s="8">
        <v>1011201</v>
      </c>
      <c r="P771" s="8">
        <v>1011301</v>
      </c>
      <c r="Q771" s="8">
        <v>1011401</v>
      </c>
      <c r="R771" s="8">
        <v>1011501</v>
      </c>
      <c r="S771" s="8">
        <v>1011601</v>
      </c>
      <c r="T771" s="8">
        <v>1011701</v>
      </c>
    </row>
    <row r="772" spans="1:20">
      <c r="A772" s="14" t="s">
        <v>14</v>
      </c>
      <c r="B772" s="8">
        <f t="shared" ref="B772:B835" si="16">70000000+F772*10000+H772*1000+I772*100+J772</f>
        <v>70114506</v>
      </c>
      <c r="C772" s="2" t="s">
        <v>792</v>
      </c>
      <c r="E772" s="2" t="str">
        <f>F772&amp;(VLOOKUP(G772,编号表!$E$1:$G$8,2,0))&amp;H772&amp;"_"&amp;I772&amp;"_"&amp;J772</f>
        <v>11N4_5_6</v>
      </c>
      <c r="F772" s="2">
        <v>11</v>
      </c>
      <c r="G772" s="2" t="s">
        <v>37</v>
      </c>
      <c r="H772" s="2">
        <v>4</v>
      </c>
      <c r="I772" s="2">
        <v>5</v>
      </c>
      <c r="J772" s="2">
        <f>COUNTIFS($F$13:F772,F772,$I$13:I772,I772)</f>
        <v>6</v>
      </c>
      <c r="O772" s="8">
        <v>1011201</v>
      </c>
      <c r="P772" s="8">
        <v>1011301</v>
      </c>
      <c r="Q772" s="8">
        <v>1011401</v>
      </c>
      <c r="R772" s="8">
        <v>1011501</v>
      </c>
      <c r="S772" s="8">
        <v>1011601</v>
      </c>
      <c r="T772" s="8">
        <v>1011701</v>
      </c>
    </row>
    <row r="773" spans="1:20">
      <c r="A773" s="14" t="s">
        <v>14</v>
      </c>
      <c r="B773" s="8">
        <f t="shared" si="16"/>
        <v>70114507</v>
      </c>
      <c r="C773" s="2" t="s">
        <v>793</v>
      </c>
      <c r="E773" s="2" t="str">
        <f>F773&amp;(VLOOKUP(G773,编号表!$E$1:$G$8,2,0))&amp;H773&amp;"_"&amp;I773&amp;"_"&amp;J773</f>
        <v>11N4_5_7</v>
      </c>
      <c r="F773" s="2">
        <v>11</v>
      </c>
      <c r="G773" s="2" t="s">
        <v>37</v>
      </c>
      <c r="H773" s="2">
        <v>4</v>
      </c>
      <c r="I773" s="2">
        <v>5</v>
      </c>
      <c r="J773" s="2">
        <f>COUNTIFS($F$13:F773,F773,$I$13:I773,I773)</f>
        <v>7</v>
      </c>
      <c r="N773" s="20"/>
      <c r="O773" s="8">
        <v>1011201</v>
      </c>
      <c r="P773" s="8">
        <v>1011301</v>
      </c>
      <c r="Q773" s="8">
        <v>1011401</v>
      </c>
      <c r="R773" s="8">
        <v>1011501</v>
      </c>
      <c r="S773" s="8">
        <v>1011601</v>
      </c>
      <c r="T773" s="8">
        <v>1011701</v>
      </c>
    </row>
    <row r="774" spans="1:20">
      <c r="A774" s="14" t="s">
        <v>14</v>
      </c>
      <c r="B774" s="8">
        <f t="shared" si="16"/>
        <v>70113508</v>
      </c>
      <c r="C774" s="2" t="s">
        <v>794</v>
      </c>
      <c r="E774" s="2" t="str">
        <f>F774&amp;(VLOOKUP(G774,编号表!$E$1:$G$8,2,0))&amp;H774&amp;"_"&amp;I774&amp;"_"&amp;J774</f>
        <v>11N3_5_8</v>
      </c>
      <c r="F774" s="2">
        <v>11</v>
      </c>
      <c r="G774" s="2" t="s">
        <v>37</v>
      </c>
      <c r="H774" s="2">
        <v>3</v>
      </c>
      <c r="I774" s="2">
        <v>5</v>
      </c>
      <c r="J774" s="2">
        <f>COUNTIFS($F$13:F774,F774,$I$13:I774,I774)</f>
        <v>8</v>
      </c>
      <c r="O774" s="8">
        <v>1011201</v>
      </c>
      <c r="P774" s="8">
        <v>1011301</v>
      </c>
      <c r="Q774" s="8">
        <v>1011401</v>
      </c>
      <c r="R774" s="8">
        <v>1011501</v>
      </c>
      <c r="S774" s="8">
        <v>1011701</v>
      </c>
    </row>
    <row r="775" spans="1:20">
      <c r="A775" s="14" t="s">
        <v>14</v>
      </c>
      <c r="B775" s="8">
        <f t="shared" si="16"/>
        <v>70113601</v>
      </c>
      <c r="C775" s="2" t="s">
        <v>795</v>
      </c>
      <c r="E775" s="2" t="str">
        <f>F775&amp;(VLOOKUP(G775,编号表!$E$1:$G$8,2,0))&amp;H775&amp;"_"&amp;I775&amp;"_"&amp;J775</f>
        <v>11N3_6_1</v>
      </c>
      <c r="F775" s="2">
        <v>11</v>
      </c>
      <c r="G775" s="2" t="s">
        <v>37</v>
      </c>
      <c r="H775" s="2">
        <v>3</v>
      </c>
      <c r="I775" s="2">
        <v>6</v>
      </c>
      <c r="J775" s="2">
        <f>COUNTIFS($F$13:F775,F775,$I$13:I775,I775)</f>
        <v>1</v>
      </c>
      <c r="O775" s="8">
        <v>1011201</v>
      </c>
      <c r="P775" s="8">
        <v>1011301</v>
      </c>
      <c r="Q775" s="8">
        <v>1011401</v>
      </c>
      <c r="R775" s="8">
        <v>1011501</v>
      </c>
      <c r="S775" s="8">
        <v>1011701</v>
      </c>
    </row>
    <row r="776" spans="1:20">
      <c r="A776" s="14" t="s">
        <v>14</v>
      </c>
      <c r="B776" s="8">
        <f t="shared" si="16"/>
        <v>70113602</v>
      </c>
      <c r="C776" s="2" t="s">
        <v>796</v>
      </c>
      <c r="E776" s="2" t="str">
        <f>F776&amp;(VLOOKUP(G776,编号表!$E$1:$G$8,2,0))&amp;H776&amp;"_"&amp;I776&amp;"_"&amp;J776</f>
        <v>11N3_6_2</v>
      </c>
      <c r="F776" s="2">
        <v>11</v>
      </c>
      <c r="G776" s="2" t="s">
        <v>37</v>
      </c>
      <c r="H776" s="2">
        <v>3</v>
      </c>
      <c r="I776" s="2">
        <v>6</v>
      </c>
      <c r="J776" s="2">
        <f>COUNTIFS($F$13:F776,F776,$I$13:I776,I776)</f>
        <v>2</v>
      </c>
      <c r="O776" s="8">
        <v>1011201</v>
      </c>
      <c r="P776" s="8">
        <v>1011301</v>
      </c>
      <c r="Q776" s="8">
        <v>1011401</v>
      </c>
      <c r="R776" s="8">
        <v>1011501</v>
      </c>
      <c r="S776" s="8">
        <v>1011701</v>
      </c>
    </row>
    <row r="777" spans="1:20">
      <c r="A777" s="14" t="s">
        <v>14</v>
      </c>
      <c r="B777" s="8">
        <f t="shared" si="16"/>
        <v>70113603</v>
      </c>
      <c r="C777" s="2" t="s">
        <v>797</v>
      </c>
      <c r="E777" s="2" t="str">
        <f>F777&amp;(VLOOKUP(G777,编号表!$E$1:$G$8,2,0))&amp;H777&amp;"_"&amp;I777&amp;"_"&amp;J777</f>
        <v>11N3_6_3</v>
      </c>
      <c r="F777" s="2">
        <v>11</v>
      </c>
      <c r="G777" s="2" t="s">
        <v>37</v>
      </c>
      <c r="H777" s="2">
        <v>3</v>
      </c>
      <c r="I777" s="2">
        <v>6</v>
      </c>
      <c r="J777" s="2">
        <f>COUNTIFS($F$13:F777,F777,$I$13:I777,I777)</f>
        <v>3</v>
      </c>
      <c r="O777" s="8">
        <v>1011201</v>
      </c>
      <c r="P777" s="8">
        <v>1011301</v>
      </c>
      <c r="Q777" s="8">
        <v>1011401</v>
      </c>
      <c r="R777" s="8">
        <v>1011501</v>
      </c>
      <c r="S777" s="8">
        <v>1011701</v>
      </c>
    </row>
    <row r="778" spans="1:20">
      <c r="A778" s="14" t="s">
        <v>14</v>
      </c>
      <c r="B778" s="8">
        <f t="shared" si="16"/>
        <v>70113604</v>
      </c>
      <c r="C778" s="2" t="s">
        <v>798</v>
      </c>
      <c r="E778" s="2" t="str">
        <f>F778&amp;(VLOOKUP(G778,编号表!$E$1:$G$8,2,0))&amp;H778&amp;"_"&amp;I778&amp;"_"&amp;J778</f>
        <v>11N3_6_4</v>
      </c>
      <c r="F778" s="2">
        <v>11</v>
      </c>
      <c r="G778" s="2" t="s">
        <v>37</v>
      </c>
      <c r="H778" s="2">
        <v>3</v>
      </c>
      <c r="I778" s="2">
        <v>6</v>
      </c>
      <c r="J778" s="2">
        <f>COUNTIFS($F$13:F778,F778,$I$13:I778,I778)</f>
        <v>4</v>
      </c>
      <c r="O778" s="8">
        <v>1011201</v>
      </c>
      <c r="P778" s="8">
        <v>1011301</v>
      </c>
      <c r="Q778" s="8">
        <v>1011401</v>
      </c>
      <c r="R778" s="8">
        <v>1011501</v>
      </c>
      <c r="S778" s="8">
        <v>1011701</v>
      </c>
    </row>
    <row r="779" spans="1:20">
      <c r="A779" s="14" t="s">
        <v>14</v>
      </c>
      <c r="B779" s="8">
        <f t="shared" si="16"/>
        <v>70113605</v>
      </c>
      <c r="C779" s="2" t="s">
        <v>799</v>
      </c>
      <c r="E779" s="2" t="str">
        <f>F779&amp;(VLOOKUP(G779,编号表!$E$1:$G$8,2,0))&amp;H779&amp;"_"&amp;I779&amp;"_"&amp;J779</f>
        <v>11N3_6_5</v>
      </c>
      <c r="F779" s="2">
        <v>11</v>
      </c>
      <c r="G779" s="2" t="s">
        <v>37</v>
      </c>
      <c r="H779" s="2">
        <v>3</v>
      </c>
      <c r="I779" s="2">
        <v>6</v>
      </c>
      <c r="J779" s="2">
        <f>COUNTIFS($F$13:F779,F779,$I$13:I779,I779)</f>
        <v>5</v>
      </c>
      <c r="O779" s="8">
        <v>1011201</v>
      </c>
      <c r="P779" s="8">
        <v>1011301</v>
      </c>
      <c r="Q779" s="8">
        <v>1011401</v>
      </c>
      <c r="R779" s="8">
        <v>1011501</v>
      </c>
    </row>
    <row r="780" spans="1:20">
      <c r="A780" s="14" t="s">
        <v>14</v>
      </c>
      <c r="B780" s="8">
        <f t="shared" si="16"/>
        <v>70114606</v>
      </c>
      <c r="C780" s="2" t="s">
        <v>800</v>
      </c>
      <c r="E780" s="2" t="str">
        <f>F780&amp;(VLOOKUP(G780,编号表!$E$1:$G$8,2,0))&amp;H780&amp;"_"&amp;I780&amp;"_"&amp;J780</f>
        <v>11N4_6_6</v>
      </c>
      <c r="F780" s="2">
        <v>11</v>
      </c>
      <c r="G780" s="2" t="s">
        <v>37</v>
      </c>
      <c r="H780" s="2">
        <v>4</v>
      </c>
      <c r="I780" s="2">
        <v>6</v>
      </c>
      <c r="J780" s="2">
        <f>COUNTIFS($F$13:F780,F780,$I$13:I780,I780)</f>
        <v>6</v>
      </c>
      <c r="O780" s="8">
        <v>1011201</v>
      </c>
      <c r="P780" s="8">
        <v>1011301</v>
      </c>
      <c r="Q780" s="8">
        <v>1011401</v>
      </c>
      <c r="R780" s="8">
        <v>1011501</v>
      </c>
    </row>
    <row r="781" spans="1:20">
      <c r="A781" s="14" t="s">
        <v>14</v>
      </c>
      <c r="B781" s="8">
        <f t="shared" si="16"/>
        <v>70114607</v>
      </c>
      <c r="C781" s="2" t="s">
        <v>801</v>
      </c>
      <c r="E781" s="2" t="str">
        <f>F781&amp;(VLOOKUP(G781,编号表!$E$1:$G$8,2,0))&amp;H781&amp;"_"&amp;I781&amp;"_"&amp;J781</f>
        <v>11N4_6_7</v>
      </c>
      <c r="F781" s="2">
        <v>11</v>
      </c>
      <c r="G781" s="2" t="s">
        <v>37</v>
      </c>
      <c r="H781" s="2">
        <v>4</v>
      </c>
      <c r="I781" s="2">
        <v>6</v>
      </c>
      <c r="J781" s="2">
        <f>COUNTIFS($F$13:F781,F781,$I$13:I781,I781)</f>
        <v>7</v>
      </c>
      <c r="O781" s="8">
        <v>1011201</v>
      </c>
      <c r="P781" s="8">
        <v>1011301</v>
      </c>
      <c r="Q781" s="8">
        <v>1011401</v>
      </c>
      <c r="R781" s="8">
        <v>1011501</v>
      </c>
      <c r="S781" s="8">
        <v>1011601</v>
      </c>
    </row>
    <row r="782" spans="1:20">
      <c r="A782" s="14" t="s">
        <v>14</v>
      </c>
      <c r="B782" s="8">
        <f t="shared" si="16"/>
        <v>70113608</v>
      </c>
      <c r="C782" s="2" t="s">
        <v>802</v>
      </c>
      <c r="E782" s="2" t="str">
        <f>F782&amp;(VLOOKUP(G782,编号表!$E$1:$G$8,2,0))&amp;H782&amp;"_"&amp;I782&amp;"_"&amp;J782</f>
        <v>11N3_6_8</v>
      </c>
      <c r="F782" s="2">
        <v>11</v>
      </c>
      <c r="G782" s="2" t="s">
        <v>37</v>
      </c>
      <c r="H782" s="2">
        <v>3</v>
      </c>
      <c r="I782" s="2">
        <v>6</v>
      </c>
      <c r="J782" s="2">
        <f>COUNTIFS($F$13:F782,F782,$I$13:I782,I782)</f>
        <v>8</v>
      </c>
      <c r="O782" s="8">
        <v>1011201</v>
      </c>
      <c r="P782" s="8">
        <v>1011301</v>
      </c>
      <c r="Q782" s="8">
        <v>1011401</v>
      </c>
      <c r="R782" s="8">
        <v>1011501</v>
      </c>
      <c r="S782" s="8">
        <v>1011601</v>
      </c>
    </row>
    <row r="783" spans="1:20">
      <c r="A783" s="14" t="s">
        <v>14</v>
      </c>
      <c r="B783" s="8">
        <f t="shared" si="16"/>
        <v>70113609</v>
      </c>
      <c r="C783" s="2" t="s">
        <v>803</v>
      </c>
      <c r="E783" s="2" t="str">
        <f>F783&amp;(VLOOKUP(G783,编号表!$E$1:$G$8,2,0))&amp;H783&amp;"_"&amp;I783&amp;"_"&amp;J783</f>
        <v>11N3_6_9</v>
      </c>
      <c r="F783" s="2">
        <v>11</v>
      </c>
      <c r="G783" s="2" t="s">
        <v>37</v>
      </c>
      <c r="H783" s="2">
        <v>3</v>
      </c>
      <c r="I783" s="2">
        <v>6</v>
      </c>
      <c r="J783" s="2">
        <f>COUNTIFS($F$13:F783,F783,$I$13:I783,I783)</f>
        <v>9</v>
      </c>
      <c r="O783" s="8">
        <v>1011201</v>
      </c>
      <c r="P783" s="8">
        <v>1011301</v>
      </c>
      <c r="Q783" s="8">
        <v>1011401</v>
      </c>
      <c r="R783" s="8">
        <v>1011501</v>
      </c>
      <c r="S783" s="8">
        <v>1011601</v>
      </c>
    </row>
    <row r="784" spans="1:20">
      <c r="A784" s="14" t="s">
        <v>14</v>
      </c>
      <c r="B784" s="8">
        <f t="shared" si="16"/>
        <v>70113610</v>
      </c>
      <c r="C784" s="2" t="s">
        <v>804</v>
      </c>
      <c r="E784" s="2" t="str">
        <f>F784&amp;(VLOOKUP(G784,编号表!$E$1:$G$8,2,0))&amp;H784&amp;"_"&amp;I784&amp;"_"&amp;J784</f>
        <v>11N3_6_10</v>
      </c>
      <c r="F784" s="2">
        <v>11</v>
      </c>
      <c r="G784" s="2" t="s">
        <v>37</v>
      </c>
      <c r="H784" s="2">
        <v>3</v>
      </c>
      <c r="I784" s="2">
        <v>6</v>
      </c>
      <c r="J784" s="2">
        <f>COUNTIFS($F$13:F784,F784,$I$13:I784,I784)</f>
        <v>10</v>
      </c>
      <c r="O784" s="8">
        <v>1011201</v>
      </c>
      <c r="P784" s="8">
        <v>1011301</v>
      </c>
      <c r="Q784" s="8">
        <v>1011401</v>
      </c>
      <c r="R784" s="8">
        <v>1011501</v>
      </c>
      <c r="S784" s="8">
        <v>1011601</v>
      </c>
    </row>
    <row r="785" spans="1:20">
      <c r="A785" s="14" t="s">
        <v>14</v>
      </c>
      <c r="B785" s="8">
        <f t="shared" si="16"/>
        <v>70113611</v>
      </c>
      <c r="C785" s="2" t="s">
        <v>805</v>
      </c>
      <c r="E785" s="2" t="str">
        <f>F785&amp;(VLOOKUP(G785,编号表!$E$1:$G$8,2,0))&amp;H785&amp;"_"&amp;I785&amp;"_"&amp;J785</f>
        <v>11N3_6_11</v>
      </c>
      <c r="F785" s="2">
        <v>11</v>
      </c>
      <c r="G785" s="2" t="s">
        <v>37</v>
      </c>
      <c r="H785" s="2">
        <v>3</v>
      </c>
      <c r="I785" s="2">
        <v>6</v>
      </c>
      <c r="J785" s="2">
        <f>COUNTIFS($F$13:F785,F785,$I$13:I785,I785)</f>
        <v>11</v>
      </c>
      <c r="O785" s="8">
        <v>1011201</v>
      </c>
      <c r="P785" s="8">
        <v>1011301</v>
      </c>
      <c r="Q785" s="8">
        <v>1011401</v>
      </c>
      <c r="R785" s="8">
        <v>1011501</v>
      </c>
      <c r="S785" s="8">
        <v>1011601</v>
      </c>
    </row>
    <row r="786" spans="1:20">
      <c r="A786" s="14" t="s">
        <v>14</v>
      </c>
      <c r="B786" s="8">
        <f t="shared" si="16"/>
        <v>70113612</v>
      </c>
      <c r="C786" s="2" t="s">
        <v>806</v>
      </c>
      <c r="E786" s="2" t="str">
        <f>F786&amp;(VLOOKUP(G786,编号表!$E$1:$G$8,2,0))&amp;H786&amp;"_"&amp;I786&amp;"_"&amp;J786</f>
        <v>11N3_6_12</v>
      </c>
      <c r="F786" s="2">
        <v>11</v>
      </c>
      <c r="G786" s="2" t="s">
        <v>37</v>
      </c>
      <c r="H786" s="2">
        <v>3</v>
      </c>
      <c r="I786" s="2">
        <v>6</v>
      </c>
      <c r="J786" s="2">
        <f>COUNTIFS($F$13:F786,F786,$I$13:I786,I786)</f>
        <v>12</v>
      </c>
      <c r="O786" s="8">
        <v>1011201</v>
      </c>
      <c r="P786" s="8">
        <v>1011301</v>
      </c>
      <c r="Q786" s="8">
        <v>1011401</v>
      </c>
      <c r="R786" s="8">
        <v>1011501</v>
      </c>
      <c r="S786" s="8">
        <v>1011601</v>
      </c>
    </row>
    <row r="787" spans="1:20">
      <c r="A787" s="14" t="s">
        <v>14</v>
      </c>
      <c r="B787" s="8">
        <f t="shared" si="16"/>
        <v>70110001</v>
      </c>
      <c r="C787" s="18" t="s">
        <v>807</v>
      </c>
      <c r="E787" s="2" t="str">
        <f>F787&amp;(VLOOKUP(G787,编号表!$E$1:$G$8,2,0))&amp;H787&amp;"_"&amp;I787&amp;"_"&amp;J787</f>
        <v>11J0_0_1</v>
      </c>
      <c r="F787" s="2">
        <v>11</v>
      </c>
      <c r="G787" s="2" t="s">
        <v>86</v>
      </c>
      <c r="H787" s="2">
        <v>0</v>
      </c>
      <c r="I787" s="2">
        <v>0</v>
      </c>
      <c r="J787" s="2">
        <f>COUNTIFS($F$13:F787,F787,$I$13:I787,I787)</f>
        <v>1</v>
      </c>
      <c r="K787" s="2">
        <v>1</v>
      </c>
    </row>
    <row r="788" spans="1:20">
      <c r="A788" s="14" t="s">
        <v>14</v>
      </c>
      <c r="B788" s="8">
        <f t="shared" si="16"/>
        <v>70123101</v>
      </c>
      <c r="C788" s="2" t="s">
        <v>808</v>
      </c>
      <c r="E788" s="2" t="str">
        <f>F788&amp;(VLOOKUP(G788,编号表!$E$1:$G$8,2,0))&amp;H788&amp;"_"&amp;I788&amp;"_"&amp;J788</f>
        <v>12N3_1_1</v>
      </c>
      <c r="F788" s="2">
        <v>12</v>
      </c>
      <c r="G788" s="2" t="s">
        <v>37</v>
      </c>
      <c r="H788" s="2">
        <v>3</v>
      </c>
      <c r="I788" s="2">
        <v>1</v>
      </c>
      <c r="J788" s="2">
        <f>COUNTIFS($F$13:F788,F788,$I$13:I788,I788)</f>
        <v>1</v>
      </c>
      <c r="O788" s="8">
        <v>1012201</v>
      </c>
      <c r="P788" s="8">
        <v>1012301</v>
      </c>
      <c r="Q788" s="8">
        <v>1012401</v>
      </c>
      <c r="R788" s="8">
        <v>1012501</v>
      </c>
      <c r="S788" s="8">
        <v>1012601</v>
      </c>
      <c r="T788" s="8">
        <v>1012001</v>
      </c>
    </row>
    <row r="789" spans="1:20">
      <c r="A789" s="14" t="s">
        <v>14</v>
      </c>
      <c r="B789" s="8">
        <f t="shared" si="16"/>
        <v>70123102</v>
      </c>
      <c r="C789" s="2" t="s">
        <v>809</v>
      </c>
      <c r="E789" s="2" t="str">
        <f>F789&amp;(VLOOKUP(G789,编号表!$E$1:$G$8,2,0))&amp;H789&amp;"_"&amp;I789&amp;"_"&amp;J789</f>
        <v>12N3_1_2</v>
      </c>
      <c r="F789" s="2">
        <v>12</v>
      </c>
      <c r="G789" s="2" t="s">
        <v>37</v>
      </c>
      <c r="H789" s="2">
        <v>3</v>
      </c>
      <c r="I789" s="2">
        <v>1</v>
      </c>
      <c r="J789" s="2">
        <f>COUNTIFS($F$13:F789,F789,$I$13:I789,I789)</f>
        <v>2</v>
      </c>
      <c r="O789" s="8">
        <v>1012201</v>
      </c>
      <c r="P789" s="8">
        <v>1012301</v>
      </c>
      <c r="Q789" s="8">
        <v>1012401</v>
      </c>
      <c r="R789" s="8">
        <v>1012501</v>
      </c>
      <c r="S789" s="8">
        <v>1012601</v>
      </c>
      <c r="T789" s="8">
        <v>1012101</v>
      </c>
    </row>
    <row r="790" spans="1:20">
      <c r="A790" s="14" t="s">
        <v>14</v>
      </c>
      <c r="B790" s="8">
        <f t="shared" si="16"/>
        <v>70123103</v>
      </c>
      <c r="C790" s="2" t="s">
        <v>810</v>
      </c>
      <c r="E790" s="2" t="str">
        <f>F790&amp;(VLOOKUP(G790,编号表!$E$1:$G$8,2,0))&amp;H790&amp;"_"&amp;I790&amp;"_"&amp;J790</f>
        <v>12N3_1_3</v>
      </c>
      <c r="F790" s="2">
        <v>12</v>
      </c>
      <c r="G790" s="2" t="s">
        <v>37</v>
      </c>
      <c r="H790" s="2">
        <v>3</v>
      </c>
      <c r="I790" s="2">
        <v>1</v>
      </c>
      <c r="J790" s="2">
        <f>COUNTIFS($F$13:F790,F790,$I$13:I790,I790)</f>
        <v>3</v>
      </c>
      <c r="O790" s="8">
        <v>1012201</v>
      </c>
      <c r="P790" s="8">
        <v>1012301</v>
      </c>
      <c r="Q790" s="8">
        <v>1012401</v>
      </c>
      <c r="R790" s="8">
        <v>1012501</v>
      </c>
      <c r="S790" s="8">
        <v>1012601</v>
      </c>
    </row>
    <row r="791" spans="1:20">
      <c r="A791" s="14" t="s">
        <v>14</v>
      </c>
      <c r="B791" s="8">
        <f t="shared" si="16"/>
        <v>70123104</v>
      </c>
      <c r="C791" s="2" t="s">
        <v>811</v>
      </c>
      <c r="E791" s="2" t="str">
        <f>F791&amp;(VLOOKUP(G791,编号表!$E$1:$G$8,2,0))&amp;H791&amp;"_"&amp;I791&amp;"_"&amp;J791</f>
        <v>12N3_1_4</v>
      </c>
      <c r="F791" s="2">
        <v>12</v>
      </c>
      <c r="G791" s="2" t="s">
        <v>37</v>
      </c>
      <c r="H791" s="2">
        <v>3</v>
      </c>
      <c r="I791" s="2">
        <v>1</v>
      </c>
      <c r="J791" s="2">
        <f>COUNTIFS($F$13:F791,F791,$I$13:I791,I791)</f>
        <v>4</v>
      </c>
      <c r="O791" s="8">
        <v>1012201</v>
      </c>
      <c r="P791" s="8">
        <v>1012301</v>
      </c>
      <c r="Q791" s="8">
        <v>1012401</v>
      </c>
      <c r="R791" s="8">
        <v>1012501</v>
      </c>
      <c r="S791" s="8">
        <v>1012601</v>
      </c>
      <c r="T791" s="20"/>
    </row>
    <row r="792" spans="1:20">
      <c r="A792" s="14" t="s">
        <v>14</v>
      </c>
      <c r="B792" s="8">
        <f t="shared" si="16"/>
        <v>70123105</v>
      </c>
      <c r="C792" s="2" t="s">
        <v>812</v>
      </c>
      <c r="E792" s="2" t="str">
        <f>F792&amp;(VLOOKUP(G792,编号表!$E$1:$G$8,2,0))&amp;H792&amp;"_"&amp;I792&amp;"_"&amp;J792</f>
        <v>12N3_1_5</v>
      </c>
      <c r="F792" s="2">
        <v>12</v>
      </c>
      <c r="G792" s="2" t="s">
        <v>37</v>
      </c>
      <c r="H792" s="2">
        <v>3</v>
      </c>
      <c r="I792" s="2">
        <v>1</v>
      </c>
      <c r="J792" s="2">
        <f>COUNTIFS($F$13:F792,F792,$I$13:I792,I792)</f>
        <v>5</v>
      </c>
      <c r="O792" s="8">
        <v>1012201</v>
      </c>
      <c r="P792" s="8">
        <v>1012301</v>
      </c>
      <c r="Q792" s="8">
        <v>1012401</v>
      </c>
      <c r="R792" s="8">
        <v>1012501</v>
      </c>
      <c r="S792" s="8">
        <v>1012601</v>
      </c>
      <c r="T792" s="20"/>
    </row>
    <row r="793" spans="1:20">
      <c r="A793" s="14" t="s">
        <v>14</v>
      </c>
      <c r="B793" s="8">
        <f t="shared" si="16"/>
        <v>70123106</v>
      </c>
      <c r="C793" s="2" t="s">
        <v>813</v>
      </c>
      <c r="E793" s="2" t="str">
        <f>F793&amp;(VLOOKUP(G793,编号表!$E$1:$G$8,2,0))&amp;H793&amp;"_"&amp;I793&amp;"_"&amp;J793</f>
        <v>12N3_1_6</v>
      </c>
      <c r="F793" s="2">
        <v>12</v>
      </c>
      <c r="G793" s="2" t="s">
        <v>37</v>
      </c>
      <c r="H793" s="2">
        <v>3</v>
      </c>
      <c r="I793" s="2">
        <v>1</v>
      </c>
      <c r="J793" s="2">
        <f>COUNTIFS($F$13:F793,F793,$I$13:I793,I793)</f>
        <v>6</v>
      </c>
      <c r="O793" s="8">
        <v>1012201</v>
      </c>
      <c r="P793" s="8">
        <v>1012301</v>
      </c>
      <c r="Q793" s="8">
        <v>1012401</v>
      </c>
      <c r="R793" s="8">
        <v>1012501</v>
      </c>
      <c r="S793" s="8">
        <v>1012601</v>
      </c>
      <c r="T793" s="20"/>
    </row>
    <row r="794" spans="1:20">
      <c r="A794" s="14" t="s">
        <v>14</v>
      </c>
      <c r="B794" s="8">
        <f t="shared" si="16"/>
        <v>70123107</v>
      </c>
      <c r="C794" s="2" t="s">
        <v>814</v>
      </c>
      <c r="E794" s="2" t="str">
        <f>F794&amp;(VLOOKUP(G794,编号表!$E$1:$G$8,2,0))&amp;H794&amp;"_"&amp;I794&amp;"_"&amp;J794</f>
        <v>12N3_1_7</v>
      </c>
      <c r="F794" s="2">
        <v>12</v>
      </c>
      <c r="G794" s="2" t="s">
        <v>37</v>
      </c>
      <c r="H794" s="2">
        <v>3</v>
      </c>
      <c r="I794" s="2">
        <v>1</v>
      </c>
      <c r="J794" s="2">
        <f>COUNTIFS($F$13:F794,F794,$I$13:I794,I794)</f>
        <v>7</v>
      </c>
      <c r="O794" s="8">
        <v>1012201</v>
      </c>
      <c r="P794" s="8">
        <v>1012301</v>
      </c>
      <c r="Q794" s="8">
        <v>1012401</v>
      </c>
      <c r="R794" s="8">
        <v>1012501</v>
      </c>
      <c r="S794" s="8">
        <v>1012601</v>
      </c>
      <c r="T794" s="20"/>
    </row>
    <row r="795" spans="1:20">
      <c r="A795" s="14" t="s">
        <v>14</v>
      </c>
      <c r="B795" s="8">
        <f t="shared" si="16"/>
        <v>70123108</v>
      </c>
      <c r="C795" s="2" t="s">
        <v>815</v>
      </c>
      <c r="E795" s="2" t="str">
        <f>F795&amp;(VLOOKUP(G795,编号表!$E$1:$G$8,2,0))&amp;H795&amp;"_"&amp;I795&amp;"_"&amp;J795</f>
        <v>12N3_1_8</v>
      </c>
      <c r="F795" s="2">
        <v>12</v>
      </c>
      <c r="G795" s="2" t="s">
        <v>37</v>
      </c>
      <c r="H795" s="2">
        <v>3</v>
      </c>
      <c r="I795" s="2">
        <v>1</v>
      </c>
      <c r="J795" s="2">
        <f>COUNTIFS($F$13:F795,F795,$I$13:I795,I795)</f>
        <v>8</v>
      </c>
      <c r="N795" s="20"/>
      <c r="O795" s="8">
        <v>1012201</v>
      </c>
      <c r="P795" s="8">
        <v>1012301</v>
      </c>
      <c r="Q795" s="8">
        <v>1012401</v>
      </c>
      <c r="R795" s="8">
        <v>1012501</v>
      </c>
      <c r="S795" s="8">
        <v>1012601</v>
      </c>
      <c r="T795" s="20"/>
    </row>
    <row r="796" spans="1:20">
      <c r="A796" s="14" t="s">
        <v>14</v>
      </c>
      <c r="B796" s="8">
        <f t="shared" si="16"/>
        <v>70123109</v>
      </c>
      <c r="C796" s="2" t="s">
        <v>816</v>
      </c>
      <c r="E796" s="2" t="str">
        <f>F796&amp;(VLOOKUP(G796,编号表!$E$1:$G$8,2,0))&amp;H796&amp;"_"&amp;I796&amp;"_"&amp;J796</f>
        <v>12N3_1_9</v>
      </c>
      <c r="F796" s="2">
        <v>12</v>
      </c>
      <c r="G796" s="2" t="s">
        <v>37</v>
      </c>
      <c r="H796" s="2">
        <v>3</v>
      </c>
      <c r="I796" s="2">
        <v>1</v>
      </c>
      <c r="J796" s="2">
        <f>COUNTIFS($F$13:F796,F796,$I$13:I796,I796)</f>
        <v>9</v>
      </c>
      <c r="N796" s="20"/>
      <c r="O796" s="8">
        <v>1012201</v>
      </c>
      <c r="P796" s="8">
        <v>1012301</v>
      </c>
      <c r="Q796" s="8">
        <v>1012401</v>
      </c>
      <c r="R796" s="8">
        <v>1012501</v>
      </c>
      <c r="S796" s="8">
        <v>1012601</v>
      </c>
    </row>
    <row r="797" spans="1:20">
      <c r="A797" s="14" t="s">
        <v>14</v>
      </c>
      <c r="B797" s="8">
        <f t="shared" si="16"/>
        <v>70122110</v>
      </c>
      <c r="C797" s="2" t="s">
        <v>817</v>
      </c>
      <c r="E797" s="2" t="str">
        <f>F797&amp;(VLOOKUP(G797,编号表!$E$1:$G$8,2,0))&amp;H797&amp;"_"&amp;I797&amp;"_"&amp;J797</f>
        <v>12N2_1_10</v>
      </c>
      <c r="F797" s="2">
        <v>12</v>
      </c>
      <c r="G797" s="2" t="s">
        <v>37</v>
      </c>
      <c r="H797" s="2">
        <v>2</v>
      </c>
      <c r="I797" s="2">
        <v>1</v>
      </c>
      <c r="J797" s="2">
        <f>COUNTIFS($F$13:F797,F797,$I$13:I797,I797)</f>
        <v>10</v>
      </c>
      <c r="N797" s="20"/>
      <c r="O797" s="8">
        <v>1012201</v>
      </c>
      <c r="P797" s="8">
        <v>1012301</v>
      </c>
      <c r="Q797" s="8">
        <v>1012401</v>
      </c>
      <c r="R797" s="8">
        <v>1012501</v>
      </c>
      <c r="S797" s="8">
        <v>1012601</v>
      </c>
    </row>
    <row r="798" spans="1:20">
      <c r="A798" s="14" t="s">
        <v>14</v>
      </c>
      <c r="B798" s="8">
        <f t="shared" si="16"/>
        <v>70123111</v>
      </c>
      <c r="C798" s="2" t="s">
        <v>818</v>
      </c>
      <c r="E798" s="2" t="str">
        <f>F798&amp;(VLOOKUP(G798,编号表!$E$1:$G$8,2,0))&amp;H798&amp;"_"&amp;I798&amp;"_"&amp;J798</f>
        <v>12N3_1_11</v>
      </c>
      <c r="F798" s="2">
        <v>12</v>
      </c>
      <c r="G798" s="2" t="s">
        <v>37</v>
      </c>
      <c r="H798" s="2">
        <v>3</v>
      </c>
      <c r="I798" s="2">
        <v>1</v>
      </c>
      <c r="J798" s="2">
        <f>COUNTIFS($F$13:F798,F798,$I$13:I798,I798)</f>
        <v>11</v>
      </c>
      <c r="N798" s="20"/>
      <c r="O798" s="8">
        <v>1012201</v>
      </c>
      <c r="P798" s="8">
        <v>1012301</v>
      </c>
      <c r="Q798" s="8">
        <v>1012401</v>
      </c>
      <c r="R798" s="8">
        <v>1012501</v>
      </c>
      <c r="S798" s="8">
        <v>1012601</v>
      </c>
    </row>
    <row r="799" spans="1:20">
      <c r="A799" s="14" t="s">
        <v>14</v>
      </c>
      <c r="B799" s="8">
        <f t="shared" si="16"/>
        <v>70124201</v>
      </c>
      <c r="C799" s="2" t="s">
        <v>819</v>
      </c>
      <c r="E799" s="2" t="str">
        <f>F799&amp;(VLOOKUP(G799,编号表!$E$1:$G$8,2,0))&amp;H799&amp;"_"&amp;I799&amp;"_"&amp;J799</f>
        <v>12N4_2_1</v>
      </c>
      <c r="F799" s="2">
        <v>12</v>
      </c>
      <c r="G799" s="2" t="s">
        <v>37</v>
      </c>
      <c r="H799" s="2">
        <v>4</v>
      </c>
      <c r="I799" s="2">
        <v>2</v>
      </c>
      <c r="J799" s="2">
        <f>COUNTIFS($F$13:F799,F799,$I$13:I799,I799)</f>
        <v>1</v>
      </c>
      <c r="N799" s="20"/>
      <c r="O799" s="8">
        <v>1012201</v>
      </c>
      <c r="P799" s="8">
        <v>1012301</v>
      </c>
      <c r="Q799" s="8">
        <v>1012401</v>
      </c>
      <c r="R799" s="8">
        <v>1012501</v>
      </c>
      <c r="S799" s="8">
        <v>1012601</v>
      </c>
    </row>
    <row r="800" spans="1:20">
      <c r="A800" s="14" t="s">
        <v>14</v>
      </c>
      <c r="B800" s="8">
        <f t="shared" si="16"/>
        <v>70124202</v>
      </c>
      <c r="C800" s="2" t="s">
        <v>820</v>
      </c>
      <c r="E800" s="2" t="str">
        <f>F800&amp;(VLOOKUP(G800,编号表!$E$1:$G$8,2,0))&amp;H800&amp;"_"&amp;I800&amp;"_"&amp;J800</f>
        <v>12N4_2_2</v>
      </c>
      <c r="F800" s="2">
        <v>12</v>
      </c>
      <c r="G800" s="2" t="s">
        <v>37</v>
      </c>
      <c r="H800" s="2">
        <v>4</v>
      </c>
      <c r="I800" s="2">
        <v>2</v>
      </c>
      <c r="J800" s="2">
        <f>COUNTIFS($F$13:F800,F800,$I$13:I800,I800)</f>
        <v>2</v>
      </c>
      <c r="N800" s="20"/>
      <c r="O800" s="8">
        <v>1012201</v>
      </c>
      <c r="P800" s="8">
        <v>1012301</v>
      </c>
      <c r="Q800" s="8">
        <v>1012401</v>
      </c>
      <c r="R800" s="8">
        <v>1012501</v>
      </c>
      <c r="S800" s="8">
        <v>1012601</v>
      </c>
    </row>
    <row r="801" spans="1:19">
      <c r="A801" s="14" t="s">
        <v>14</v>
      </c>
      <c r="B801" s="8">
        <f t="shared" si="16"/>
        <v>70124203</v>
      </c>
      <c r="C801" s="2" t="s">
        <v>821</v>
      </c>
      <c r="E801" s="2" t="str">
        <f>F801&amp;(VLOOKUP(G801,编号表!$E$1:$G$8,2,0))&amp;H801&amp;"_"&amp;I801&amp;"_"&amp;J801</f>
        <v>12N4_2_3</v>
      </c>
      <c r="F801" s="2">
        <v>12</v>
      </c>
      <c r="G801" s="2" t="s">
        <v>37</v>
      </c>
      <c r="H801" s="2">
        <v>4</v>
      </c>
      <c r="I801" s="2">
        <v>2</v>
      </c>
      <c r="J801" s="2">
        <f>COUNTIFS($F$13:F801,F801,$I$13:I801,I801)</f>
        <v>3</v>
      </c>
      <c r="N801" s="20"/>
      <c r="O801" s="8">
        <v>1012201</v>
      </c>
      <c r="P801" s="8">
        <v>1012301</v>
      </c>
      <c r="Q801" s="8">
        <v>1012401</v>
      </c>
      <c r="R801" s="8">
        <v>1012501</v>
      </c>
      <c r="S801" s="8">
        <v>1012601</v>
      </c>
    </row>
    <row r="802" spans="1:19">
      <c r="A802" s="14" t="s">
        <v>14</v>
      </c>
      <c r="B802" s="8">
        <f t="shared" si="16"/>
        <v>70124204</v>
      </c>
      <c r="C802" s="2" t="s">
        <v>822</v>
      </c>
      <c r="E802" s="2" t="str">
        <f>F802&amp;(VLOOKUP(G802,编号表!$E$1:$G$8,2,0))&amp;H802&amp;"_"&amp;I802&amp;"_"&amp;J802</f>
        <v>12N4_2_4</v>
      </c>
      <c r="F802" s="2">
        <v>12</v>
      </c>
      <c r="G802" s="2" t="s">
        <v>37</v>
      </c>
      <c r="H802" s="2">
        <v>4</v>
      </c>
      <c r="I802" s="2">
        <v>2</v>
      </c>
      <c r="J802" s="2">
        <f>COUNTIFS($F$13:F802,F802,$I$13:I802,I802)</f>
        <v>4</v>
      </c>
      <c r="N802" s="20"/>
      <c r="O802" s="8">
        <v>1012201</v>
      </c>
      <c r="P802" s="8">
        <v>1012301</v>
      </c>
      <c r="Q802" s="8">
        <v>1012401</v>
      </c>
      <c r="R802" s="8">
        <v>1012501</v>
      </c>
      <c r="S802" s="8">
        <v>1012601</v>
      </c>
    </row>
    <row r="803" spans="1:19">
      <c r="A803" s="14" t="s">
        <v>14</v>
      </c>
      <c r="B803" s="8">
        <f t="shared" si="16"/>
        <v>70123205</v>
      </c>
      <c r="C803" s="2" t="s">
        <v>823</v>
      </c>
      <c r="E803" s="2" t="str">
        <f>F803&amp;(VLOOKUP(G803,编号表!$E$1:$G$8,2,0))&amp;H803&amp;"_"&amp;I803&amp;"_"&amp;J803</f>
        <v>12N3_2_5</v>
      </c>
      <c r="F803" s="2">
        <v>12</v>
      </c>
      <c r="G803" s="2" t="s">
        <v>37</v>
      </c>
      <c r="H803" s="2">
        <v>3</v>
      </c>
      <c r="I803" s="2">
        <v>2</v>
      </c>
      <c r="J803" s="2">
        <f>COUNTIFS($F$13:F803,F803,$I$13:I803,I803)</f>
        <v>5</v>
      </c>
      <c r="N803" s="20"/>
      <c r="O803" s="8">
        <v>1012201</v>
      </c>
      <c r="P803" s="8">
        <v>1012301</v>
      </c>
      <c r="Q803" s="8">
        <v>1012401</v>
      </c>
      <c r="R803" s="8">
        <v>1012501</v>
      </c>
      <c r="S803" s="8">
        <v>1012601</v>
      </c>
    </row>
    <row r="804" spans="1:19">
      <c r="A804" s="14" t="s">
        <v>14</v>
      </c>
      <c r="B804" s="8">
        <f t="shared" si="16"/>
        <v>70123206</v>
      </c>
      <c r="C804" s="2" t="s">
        <v>824</v>
      </c>
      <c r="E804" s="2" t="str">
        <f>F804&amp;(VLOOKUP(G804,编号表!$E$1:$G$8,2,0))&amp;H804&amp;"_"&amp;I804&amp;"_"&amp;J804</f>
        <v>12N3_2_6</v>
      </c>
      <c r="F804" s="2">
        <v>12</v>
      </c>
      <c r="G804" s="2" t="s">
        <v>37</v>
      </c>
      <c r="H804" s="2">
        <v>3</v>
      </c>
      <c r="I804" s="2">
        <v>2</v>
      </c>
      <c r="J804" s="2">
        <f>COUNTIFS($F$13:F804,F804,$I$13:I804,I804)</f>
        <v>6</v>
      </c>
      <c r="N804" s="20"/>
      <c r="O804" s="8">
        <v>1012201</v>
      </c>
      <c r="P804" s="8">
        <v>1012301</v>
      </c>
      <c r="Q804" s="8">
        <v>1012401</v>
      </c>
      <c r="R804" s="8">
        <v>1012501</v>
      </c>
      <c r="S804" s="8">
        <v>1012601</v>
      </c>
    </row>
    <row r="805" spans="1:19">
      <c r="A805" s="14" t="s">
        <v>14</v>
      </c>
      <c r="B805" s="8">
        <f t="shared" si="16"/>
        <v>70122207</v>
      </c>
      <c r="C805" s="2" t="s">
        <v>825</v>
      </c>
      <c r="E805" s="2" t="str">
        <f>F805&amp;(VLOOKUP(G805,编号表!$E$1:$G$8,2,0))&amp;H805&amp;"_"&amp;I805&amp;"_"&amp;J805</f>
        <v>12N2_2_7</v>
      </c>
      <c r="F805" s="2">
        <v>12</v>
      </c>
      <c r="G805" s="2" t="s">
        <v>37</v>
      </c>
      <c r="H805" s="2">
        <v>2</v>
      </c>
      <c r="I805" s="2">
        <v>2</v>
      </c>
      <c r="J805" s="2">
        <f>COUNTIFS($F$13:F805,F805,$I$13:I805,I805)</f>
        <v>7</v>
      </c>
      <c r="O805" s="8">
        <v>1012201</v>
      </c>
      <c r="P805" s="8">
        <v>1012301</v>
      </c>
      <c r="Q805" s="8">
        <v>1012401</v>
      </c>
      <c r="R805" s="8">
        <v>1012501</v>
      </c>
      <c r="S805" s="8">
        <v>1012601</v>
      </c>
    </row>
    <row r="806" spans="1:19">
      <c r="A806" s="14" t="s">
        <v>14</v>
      </c>
      <c r="B806" s="8">
        <f t="shared" si="16"/>
        <v>70124301</v>
      </c>
      <c r="C806" s="2" t="s">
        <v>826</v>
      </c>
      <c r="E806" s="2" t="str">
        <f>F806&amp;(VLOOKUP(G806,编号表!$E$1:$G$8,2,0))&amp;H806&amp;"_"&amp;I806&amp;"_"&amp;J806</f>
        <v>12N4_3_1</v>
      </c>
      <c r="F806" s="2">
        <v>12</v>
      </c>
      <c r="G806" s="2" t="s">
        <v>37</v>
      </c>
      <c r="H806" s="2">
        <v>4</v>
      </c>
      <c r="I806" s="2">
        <v>3</v>
      </c>
      <c r="J806" s="2">
        <f>COUNTIFS($F$13:F806,F806,$I$13:I806,I806)</f>
        <v>1</v>
      </c>
      <c r="O806" s="8">
        <v>1012201</v>
      </c>
      <c r="P806" s="8">
        <v>1012301</v>
      </c>
      <c r="Q806" s="8">
        <v>1012401</v>
      </c>
      <c r="R806" s="8">
        <v>1012501</v>
      </c>
      <c r="S806" s="8">
        <v>1012601</v>
      </c>
    </row>
    <row r="807" spans="1:19">
      <c r="A807" s="14" t="s">
        <v>14</v>
      </c>
      <c r="B807" s="8">
        <f t="shared" si="16"/>
        <v>70124302</v>
      </c>
      <c r="C807" s="2" t="s">
        <v>827</v>
      </c>
      <c r="E807" s="2" t="str">
        <f>F807&amp;(VLOOKUP(G807,编号表!$E$1:$G$8,2,0))&amp;H807&amp;"_"&amp;I807&amp;"_"&amp;J807</f>
        <v>12N4_3_2</v>
      </c>
      <c r="F807" s="2">
        <v>12</v>
      </c>
      <c r="G807" s="2" t="s">
        <v>37</v>
      </c>
      <c r="H807" s="2">
        <v>4</v>
      </c>
      <c r="I807" s="2">
        <v>3</v>
      </c>
      <c r="J807" s="2">
        <f>COUNTIFS($F$13:F807,F807,$I$13:I807,I807)</f>
        <v>2</v>
      </c>
      <c r="O807" s="8">
        <v>1012201</v>
      </c>
      <c r="P807" s="8">
        <v>1012301</v>
      </c>
      <c r="Q807" s="8">
        <v>1012401</v>
      </c>
      <c r="R807" s="8">
        <v>1012501</v>
      </c>
      <c r="S807" s="8">
        <v>1012601</v>
      </c>
    </row>
    <row r="808" spans="1:19">
      <c r="A808" s="14" t="s">
        <v>14</v>
      </c>
      <c r="B808" s="8">
        <f t="shared" si="16"/>
        <v>70124303</v>
      </c>
      <c r="C808" s="2" t="s">
        <v>828</v>
      </c>
      <c r="E808" s="2" t="str">
        <f>F808&amp;(VLOOKUP(G808,编号表!$E$1:$G$8,2,0))&amp;H808&amp;"_"&amp;I808&amp;"_"&amp;J808</f>
        <v>12N4_3_3</v>
      </c>
      <c r="F808" s="2">
        <v>12</v>
      </c>
      <c r="G808" s="2" t="s">
        <v>37</v>
      </c>
      <c r="H808" s="2">
        <v>4</v>
      </c>
      <c r="I808" s="2">
        <v>3</v>
      </c>
      <c r="J808" s="2">
        <f>COUNTIFS($F$13:F808,F808,$I$13:I808,I808)</f>
        <v>3</v>
      </c>
      <c r="O808" s="8">
        <v>1012201</v>
      </c>
      <c r="P808" s="8">
        <v>1012301</v>
      </c>
      <c r="Q808" s="8">
        <v>1012401</v>
      </c>
      <c r="R808" s="8">
        <v>1012501</v>
      </c>
      <c r="S808" s="8">
        <v>1012601</v>
      </c>
    </row>
    <row r="809" spans="1:19">
      <c r="A809" s="14" t="s">
        <v>14</v>
      </c>
      <c r="B809" s="8">
        <f t="shared" si="16"/>
        <v>70123304</v>
      </c>
      <c r="C809" s="2" t="s">
        <v>829</v>
      </c>
      <c r="E809" s="2" t="str">
        <f>F809&amp;(VLOOKUP(G809,编号表!$E$1:$G$8,2,0))&amp;H809&amp;"_"&amp;I809&amp;"_"&amp;J809</f>
        <v>12N3_3_4</v>
      </c>
      <c r="F809" s="2">
        <v>12</v>
      </c>
      <c r="G809" s="2" t="s">
        <v>37</v>
      </c>
      <c r="H809" s="2">
        <v>3</v>
      </c>
      <c r="I809" s="2">
        <v>3</v>
      </c>
      <c r="J809" s="2">
        <f>COUNTIFS($F$13:F809,F809,$I$13:I809,I809)</f>
        <v>4</v>
      </c>
      <c r="O809" s="8">
        <v>1012201</v>
      </c>
      <c r="P809" s="8">
        <v>1012301</v>
      </c>
      <c r="Q809" s="8">
        <v>1012401</v>
      </c>
      <c r="R809" s="8">
        <v>1012501</v>
      </c>
      <c r="S809" s="8">
        <v>1012601</v>
      </c>
    </row>
    <row r="810" spans="1:19">
      <c r="A810" s="14" t="s">
        <v>14</v>
      </c>
      <c r="B810" s="8">
        <f t="shared" si="16"/>
        <v>70124305</v>
      </c>
      <c r="C810" s="2" t="s">
        <v>830</v>
      </c>
      <c r="E810" s="2" t="str">
        <f>F810&amp;(VLOOKUP(G810,编号表!$E$1:$G$8,2,0))&amp;H810&amp;"_"&amp;I810&amp;"_"&amp;J810</f>
        <v>12N4_3_5</v>
      </c>
      <c r="F810" s="2">
        <v>12</v>
      </c>
      <c r="G810" s="2" t="s">
        <v>37</v>
      </c>
      <c r="H810" s="2">
        <v>4</v>
      </c>
      <c r="I810" s="2">
        <v>3</v>
      </c>
      <c r="J810" s="2">
        <f>COUNTIFS($F$13:F810,F810,$I$13:I810,I810)</f>
        <v>5</v>
      </c>
      <c r="O810" s="8">
        <v>1012201</v>
      </c>
      <c r="P810" s="8">
        <v>1012301</v>
      </c>
      <c r="Q810" s="8">
        <v>1012401</v>
      </c>
      <c r="R810" s="8">
        <v>1012501</v>
      </c>
      <c r="S810" s="8">
        <v>1012601</v>
      </c>
    </row>
    <row r="811" spans="1:19">
      <c r="A811" s="14" t="s">
        <v>14</v>
      </c>
      <c r="B811" s="8">
        <f t="shared" si="16"/>
        <v>70124401</v>
      </c>
      <c r="C811" s="2" t="s">
        <v>831</v>
      </c>
      <c r="E811" s="2" t="str">
        <f>F811&amp;(VLOOKUP(G811,编号表!$E$1:$G$8,2,0))&amp;H811&amp;"_"&amp;I811&amp;"_"&amp;J811</f>
        <v>12N4_4_1</v>
      </c>
      <c r="F811" s="2">
        <v>12</v>
      </c>
      <c r="G811" s="2" t="s">
        <v>37</v>
      </c>
      <c r="H811" s="2">
        <v>4</v>
      </c>
      <c r="I811" s="2">
        <v>4</v>
      </c>
      <c r="J811" s="2">
        <f>COUNTIFS($F$13:F811,F811,$I$13:I811,I811)</f>
        <v>1</v>
      </c>
      <c r="O811" s="8">
        <v>1012201</v>
      </c>
      <c r="P811" s="8">
        <v>1012301</v>
      </c>
      <c r="Q811" s="8">
        <v>1012401</v>
      </c>
      <c r="R811" s="8">
        <v>1012501</v>
      </c>
      <c r="S811" s="8">
        <v>1012601</v>
      </c>
    </row>
    <row r="812" spans="1:19">
      <c r="A812" s="14" t="s">
        <v>14</v>
      </c>
      <c r="B812" s="8">
        <f t="shared" si="16"/>
        <v>70121402</v>
      </c>
      <c r="C812" s="15" t="s">
        <v>832</v>
      </c>
      <c r="E812" s="2" t="str">
        <f>F812&amp;(VLOOKUP(G812,编号表!$E$1:$G$8,2,0))&amp;H812&amp;"_"&amp;I812&amp;"_"&amp;J812</f>
        <v>12T1_4_2</v>
      </c>
      <c r="F812" s="2">
        <v>12</v>
      </c>
      <c r="G812" s="2" t="s">
        <v>53</v>
      </c>
      <c r="H812" s="2">
        <v>1</v>
      </c>
      <c r="I812" s="2">
        <v>4</v>
      </c>
      <c r="J812" s="2">
        <f>COUNTIFS($F$13:F812,F812,$I$13:I812,I812)</f>
        <v>2</v>
      </c>
    </row>
    <row r="813" spans="1:19">
      <c r="A813" s="14" t="s">
        <v>14</v>
      </c>
      <c r="B813" s="8">
        <f t="shared" si="16"/>
        <v>70123403</v>
      </c>
      <c r="C813" s="16" t="s">
        <v>833</v>
      </c>
      <c r="D813" s="2" t="s">
        <v>834</v>
      </c>
      <c r="E813" s="2" t="str">
        <f>F813&amp;(VLOOKUP(G813,编号表!$E$1:$G$8,2,0))&amp;H813&amp;"_"&amp;I813&amp;"_"&amp;J813</f>
        <v>12T3_4_3</v>
      </c>
      <c r="F813" s="2">
        <v>12</v>
      </c>
      <c r="G813" s="2" t="s">
        <v>53</v>
      </c>
      <c r="H813" s="2">
        <v>3</v>
      </c>
      <c r="I813" s="2">
        <v>4</v>
      </c>
      <c r="J813" s="2">
        <f>COUNTIFS($F$13:F813,F813,$I$13:I813,I813)</f>
        <v>3</v>
      </c>
      <c r="M813" s="2">
        <v>126</v>
      </c>
    </row>
    <row r="814" spans="1:19">
      <c r="A814" s="14" t="s">
        <v>14</v>
      </c>
      <c r="B814" s="8">
        <f t="shared" si="16"/>
        <v>70124404</v>
      </c>
      <c r="C814" s="2" t="s">
        <v>835</v>
      </c>
      <c r="E814" s="2" t="str">
        <f>F814&amp;(VLOOKUP(G814,编号表!$E$1:$G$8,2,0))&amp;H814&amp;"_"&amp;I814&amp;"_"&amp;J814</f>
        <v>12N4_4_4</v>
      </c>
      <c r="F814" s="2">
        <v>12</v>
      </c>
      <c r="G814" s="2" t="s">
        <v>37</v>
      </c>
      <c r="H814" s="2">
        <v>4</v>
      </c>
      <c r="I814" s="2">
        <v>4</v>
      </c>
      <c r="J814" s="2">
        <f>COUNTIFS($F$13:F814,F814,$I$13:I814,I814)</f>
        <v>4</v>
      </c>
      <c r="O814" s="8">
        <v>1012201</v>
      </c>
      <c r="P814" s="8">
        <v>1012301</v>
      </c>
      <c r="Q814" s="8">
        <v>1012401</v>
      </c>
      <c r="R814" s="8">
        <v>1012501</v>
      </c>
      <c r="S814" s="8">
        <v>1012601</v>
      </c>
    </row>
    <row r="815" spans="1:19">
      <c r="A815" s="14" t="s">
        <v>14</v>
      </c>
      <c r="B815" s="8">
        <f t="shared" si="16"/>
        <v>70124405</v>
      </c>
      <c r="C815" s="2" t="s">
        <v>836</v>
      </c>
      <c r="E815" s="2" t="str">
        <f>F815&amp;(VLOOKUP(G815,编号表!$E$1:$G$8,2,0))&amp;H815&amp;"_"&amp;I815&amp;"_"&amp;J815</f>
        <v>12N4_4_5</v>
      </c>
      <c r="F815" s="2">
        <v>12</v>
      </c>
      <c r="G815" s="2" t="s">
        <v>37</v>
      </c>
      <c r="H815" s="2">
        <v>4</v>
      </c>
      <c r="I815" s="2">
        <v>4</v>
      </c>
      <c r="J815" s="2">
        <f>COUNTIFS($F$13:F815,F815,$I$13:I815,I815)</f>
        <v>5</v>
      </c>
      <c r="O815" s="8">
        <v>1012201</v>
      </c>
      <c r="P815" s="8">
        <v>1012301</v>
      </c>
      <c r="Q815" s="8">
        <v>1012401</v>
      </c>
      <c r="R815" s="8">
        <v>1012501</v>
      </c>
      <c r="S815" s="8">
        <v>1012601</v>
      </c>
    </row>
    <row r="816" spans="1:19">
      <c r="A816" s="14" t="s">
        <v>14</v>
      </c>
      <c r="B816" s="8">
        <f t="shared" si="16"/>
        <v>70124406</v>
      </c>
      <c r="C816" s="2" t="s">
        <v>837</v>
      </c>
      <c r="E816" s="2" t="str">
        <f>F816&amp;(VLOOKUP(G816,编号表!$E$1:$G$8,2,0))&amp;H816&amp;"_"&amp;I816&amp;"_"&amp;J816</f>
        <v>12N4_4_6</v>
      </c>
      <c r="F816" s="2">
        <v>12</v>
      </c>
      <c r="G816" s="2" t="s">
        <v>37</v>
      </c>
      <c r="H816" s="2">
        <v>4</v>
      </c>
      <c r="I816" s="2">
        <v>4</v>
      </c>
      <c r="J816" s="2">
        <f>COUNTIFS($F$13:F816,F816,$I$13:I816,I816)</f>
        <v>6</v>
      </c>
      <c r="O816" s="8">
        <v>1012201</v>
      </c>
      <c r="P816" s="8">
        <v>1012301</v>
      </c>
      <c r="Q816" s="8">
        <v>1012401</v>
      </c>
      <c r="R816" s="8">
        <v>1012501</v>
      </c>
      <c r="S816" s="8">
        <v>1012601</v>
      </c>
    </row>
    <row r="817" spans="1:19">
      <c r="A817" s="14" t="s">
        <v>14</v>
      </c>
      <c r="B817" s="8">
        <f t="shared" si="16"/>
        <v>70124407</v>
      </c>
      <c r="C817" s="2" t="s">
        <v>838</v>
      </c>
      <c r="E817" s="2" t="str">
        <f>F817&amp;(VLOOKUP(G817,编号表!$E$1:$G$8,2,0))&amp;H817&amp;"_"&amp;I817&amp;"_"&amp;J817</f>
        <v>12N4_4_7</v>
      </c>
      <c r="F817" s="2">
        <v>12</v>
      </c>
      <c r="G817" s="2" t="s">
        <v>37</v>
      </c>
      <c r="H817" s="2">
        <v>4</v>
      </c>
      <c r="I817" s="2">
        <v>4</v>
      </c>
      <c r="J817" s="2">
        <f>COUNTIFS($F$13:F817,F817,$I$13:I817,I817)</f>
        <v>7</v>
      </c>
      <c r="O817" s="8">
        <v>1012201</v>
      </c>
      <c r="P817" s="8">
        <v>1012301</v>
      </c>
      <c r="Q817" s="8">
        <v>1012401</v>
      </c>
      <c r="R817" s="8">
        <v>1012501</v>
      </c>
      <c r="S817" s="8">
        <v>1012601</v>
      </c>
    </row>
    <row r="818" spans="1:19">
      <c r="A818" s="14" t="s">
        <v>14</v>
      </c>
      <c r="B818" s="8">
        <f t="shared" si="16"/>
        <v>70124408</v>
      </c>
      <c r="C818" s="2" t="s">
        <v>839</v>
      </c>
      <c r="E818" s="2" t="str">
        <f>F818&amp;(VLOOKUP(G818,编号表!$E$1:$G$8,2,0))&amp;H818&amp;"_"&amp;I818&amp;"_"&amp;J818</f>
        <v>12N4_4_8</v>
      </c>
      <c r="F818" s="2">
        <v>12</v>
      </c>
      <c r="G818" s="2" t="s">
        <v>37</v>
      </c>
      <c r="H818" s="2">
        <v>4</v>
      </c>
      <c r="I818" s="2">
        <v>4</v>
      </c>
      <c r="J818" s="2">
        <f>COUNTIFS($F$13:F818,F818,$I$13:I818,I818)</f>
        <v>8</v>
      </c>
      <c r="O818" s="8">
        <v>1012201</v>
      </c>
      <c r="P818" s="8">
        <v>1012301</v>
      </c>
      <c r="Q818" s="8">
        <v>1012401</v>
      </c>
      <c r="R818" s="8">
        <v>1012501</v>
      </c>
      <c r="S818" s="8">
        <v>1012601</v>
      </c>
    </row>
    <row r="819" spans="1:19">
      <c r="A819" s="14" t="s">
        <v>14</v>
      </c>
      <c r="B819" s="8">
        <f t="shared" si="16"/>
        <v>70123409</v>
      </c>
      <c r="C819" s="2" t="s">
        <v>840</v>
      </c>
      <c r="E819" s="2" t="str">
        <f>F819&amp;(VLOOKUP(G819,编号表!$E$1:$G$8,2,0))&amp;H819&amp;"_"&amp;I819&amp;"_"&amp;J819</f>
        <v>12N3_4_9</v>
      </c>
      <c r="F819" s="2">
        <v>12</v>
      </c>
      <c r="G819" s="2" t="s">
        <v>37</v>
      </c>
      <c r="H819" s="2">
        <v>3</v>
      </c>
      <c r="I819" s="2">
        <v>4</v>
      </c>
      <c r="J819" s="2">
        <f>COUNTIFS($F$13:F819,F819,$I$13:I819,I819)</f>
        <v>9</v>
      </c>
      <c r="O819" s="8">
        <v>1012201</v>
      </c>
      <c r="P819" s="8">
        <v>1012301</v>
      </c>
      <c r="Q819" s="8">
        <v>1012401</v>
      </c>
      <c r="R819" s="8">
        <v>1012501</v>
      </c>
      <c r="S819" s="8">
        <v>1012601</v>
      </c>
    </row>
    <row r="820" spans="1:19">
      <c r="A820" s="14" t="s">
        <v>14</v>
      </c>
      <c r="B820" s="8">
        <f t="shared" si="16"/>
        <v>70123410</v>
      </c>
      <c r="C820" s="2" t="s">
        <v>841</v>
      </c>
      <c r="E820" s="2" t="str">
        <f>F820&amp;(VLOOKUP(G820,编号表!$E$1:$G$8,2,0))&amp;H820&amp;"_"&amp;I820&amp;"_"&amp;J820</f>
        <v>12N3_4_10</v>
      </c>
      <c r="F820" s="2">
        <v>12</v>
      </c>
      <c r="G820" s="2" t="s">
        <v>37</v>
      </c>
      <c r="H820" s="2">
        <v>3</v>
      </c>
      <c r="I820" s="2">
        <v>4</v>
      </c>
      <c r="J820" s="2">
        <f>COUNTIFS($F$13:F820,F820,$I$13:I820,I820)</f>
        <v>10</v>
      </c>
      <c r="O820" s="8">
        <v>1012201</v>
      </c>
      <c r="P820" s="8">
        <v>1012301</v>
      </c>
      <c r="Q820" s="8">
        <v>1012401</v>
      </c>
      <c r="R820" s="8">
        <v>1012501</v>
      </c>
      <c r="S820" s="8">
        <v>1012601</v>
      </c>
    </row>
    <row r="821" spans="1:19">
      <c r="A821" s="14" t="s">
        <v>14</v>
      </c>
      <c r="B821" s="8">
        <f t="shared" si="16"/>
        <v>70123411</v>
      </c>
      <c r="C821" s="2" t="s">
        <v>842</v>
      </c>
      <c r="E821" s="2" t="str">
        <f>F821&amp;(VLOOKUP(G821,编号表!$E$1:$G$8,2,0))&amp;H821&amp;"_"&amp;I821&amp;"_"&amp;J821</f>
        <v>12N3_4_11</v>
      </c>
      <c r="F821" s="2">
        <v>12</v>
      </c>
      <c r="G821" s="2" t="s">
        <v>37</v>
      </c>
      <c r="H821" s="2">
        <v>3</v>
      </c>
      <c r="I821" s="2">
        <v>4</v>
      </c>
      <c r="J821" s="2">
        <f>COUNTIFS($F$13:F821,F821,$I$13:I821,I821)</f>
        <v>11</v>
      </c>
      <c r="O821" s="8">
        <v>1012201</v>
      </c>
      <c r="P821" s="8">
        <v>1012301</v>
      </c>
      <c r="Q821" s="8">
        <v>1012401</v>
      </c>
      <c r="R821" s="8">
        <v>1012501</v>
      </c>
      <c r="S821" s="8">
        <v>1012601</v>
      </c>
    </row>
    <row r="822" spans="1:19">
      <c r="A822" s="14" t="s">
        <v>14</v>
      </c>
      <c r="B822" s="8">
        <f t="shared" si="16"/>
        <v>70124501</v>
      </c>
      <c r="C822" s="2" t="s">
        <v>843</v>
      </c>
      <c r="E822" s="2" t="str">
        <f>F822&amp;(VLOOKUP(G822,编号表!$E$1:$G$8,2,0))&amp;H822&amp;"_"&amp;I822&amp;"_"&amp;J822</f>
        <v>12N4_5_1</v>
      </c>
      <c r="F822" s="2">
        <v>12</v>
      </c>
      <c r="G822" s="2" t="s">
        <v>37</v>
      </c>
      <c r="H822" s="2">
        <v>4</v>
      </c>
      <c r="I822" s="2">
        <v>5</v>
      </c>
      <c r="J822" s="2">
        <f>COUNTIFS($F$13:F822,F822,$I$13:I822,I822)</f>
        <v>1</v>
      </c>
      <c r="O822" s="8">
        <v>1012201</v>
      </c>
      <c r="P822" s="8">
        <v>1012301</v>
      </c>
      <c r="Q822" s="8">
        <v>1012401</v>
      </c>
      <c r="R822" s="8">
        <v>1012501</v>
      </c>
      <c r="S822" s="8">
        <v>1012601</v>
      </c>
    </row>
    <row r="823" spans="1:19">
      <c r="A823" s="14" t="s">
        <v>14</v>
      </c>
      <c r="B823" s="8">
        <f t="shared" si="16"/>
        <v>70124502</v>
      </c>
      <c r="C823" s="2" t="s">
        <v>844</v>
      </c>
      <c r="E823" s="2" t="str">
        <f>F823&amp;(VLOOKUP(G823,编号表!$E$1:$G$8,2,0))&amp;H823&amp;"_"&amp;I823&amp;"_"&amp;J823</f>
        <v>12N4_5_2</v>
      </c>
      <c r="F823" s="2">
        <v>12</v>
      </c>
      <c r="G823" s="2" t="s">
        <v>37</v>
      </c>
      <c r="H823" s="2">
        <v>4</v>
      </c>
      <c r="I823" s="2">
        <v>5</v>
      </c>
      <c r="J823" s="2">
        <f>COUNTIFS($F$13:F823,F823,$I$13:I823,I823)</f>
        <v>2</v>
      </c>
      <c r="O823" s="8">
        <v>1012201</v>
      </c>
      <c r="P823" s="8">
        <v>1012301</v>
      </c>
      <c r="Q823" s="8">
        <v>1012401</v>
      </c>
      <c r="R823" s="8">
        <v>1012501</v>
      </c>
      <c r="S823" s="8">
        <v>1012601</v>
      </c>
    </row>
    <row r="824" spans="1:19">
      <c r="A824" s="14" t="s">
        <v>14</v>
      </c>
      <c r="B824" s="8">
        <f t="shared" si="16"/>
        <v>70123503</v>
      </c>
      <c r="C824" s="2" t="s">
        <v>845</v>
      </c>
      <c r="E824" s="2" t="str">
        <f>F824&amp;(VLOOKUP(G824,编号表!$E$1:$G$8,2,0))&amp;H824&amp;"_"&amp;I824&amp;"_"&amp;J824</f>
        <v>12N3_5_3</v>
      </c>
      <c r="F824" s="2">
        <v>12</v>
      </c>
      <c r="G824" s="2" t="s">
        <v>37</v>
      </c>
      <c r="H824" s="2">
        <v>3</v>
      </c>
      <c r="I824" s="2">
        <v>5</v>
      </c>
      <c r="J824" s="2">
        <f>COUNTIFS($F$13:F824,F824,$I$13:I824,I824)</f>
        <v>3</v>
      </c>
      <c r="O824" s="8">
        <v>1012201</v>
      </c>
      <c r="P824" s="8">
        <v>1012301</v>
      </c>
      <c r="Q824" s="8">
        <v>1012401</v>
      </c>
      <c r="R824" s="8">
        <v>1012501</v>
      </c>
      <c r="S824" s="8">
        <v>1012601</v>
      </c>
    </row>
    <row r="825" spans="1:19">
      <c r="A825" s="14" t="s">
        <v>14</v>
      </c>
      <c r="B825" s="8">
        <f t="shared" si="16"/>
        <v>70123504</v>
      </c>
      <c r="C825" s="2" t="s">
        <v>846</v>
      </c>
      <c r="E825" s="2" t="str">
        <f>F825&amp;(VLOOKUP(G825,编号表!$E$1:$G$8,2,0))&amp;H825&amp;"_"&amp;I825&amp;"_"&amp;J825</f>
        <v>12N3_5_4</v>
      </c>
      <c r="F825" s="2">
        <v>12</v>
      </c>
      <c r="G825" s="2" t="s">
        <v>37</v>
      </c>
      <c r="H825" s="2">
        <v>3</v>
      </c>
      <c r="I825" s="2">
        <v>5</v>
      </c>
      <c r="J825" s="2">
        <f>COUNTIFS($F$13:F825,F825,$I$13:I825,I825)</f>
        <v>4</v>
      </c>
      <c r="O825" s="8">
        <v>1012201</v>
      </c>
      <c r="P825" s="8">
        <v>1012301</v>
      </c>
      <c r="Q825" s="8">
        <v>1012401</v>
      </c>
      <c r="R825" s="8">
        <v>1012501</v>
      </c>
      <c r="S825" s="8">
        <v>1012601</v>
      </c>
    </row>
    <row r="826" spans="1:19">
      <c r="A826" s="14" t="s">
        <v>14</v>
      </c>
      <c r="B826" s="8">
        <f t="shared" si="16"/>
        <v>70124505</v>
      </c>
      <c r="C826" s="2" t="s">
        <v>847</v>
      </c>
      <c r="E826" s="2" t="str">
        <f>F826&amp;(VLOOKUP(G826,编号表!$E$1:$G$8,2,0))&amp;H826&amp;"_"&amp;I826&amp;"_"&amp;J826</f>
        <v>12N4_5_5</v>
      </c>
      <c r="F826" s="2">
        <v>12</v>
      </c>
      <c r="G826" s="2" t="s">
        <v>37</v>
      </c>
      <c r="H826" s="2">
        <v>4</v>
      </c>
      <c r="I826" s="2">
        <v>5</v>
      </c>
      <c r="J826" s="2">
        <f>COUNTIFS($F$13:F826,F826,$I$13:I826,I826)</f>
        <v>5</v>
      </c>
      <c r="O826" s="8">
        <v>1012201</v>
      </c>
      <c r="P826" s="8">
        <v>1012301</v>
      </c>
      <c r="Q826" s="8">
        <v>1012401</v>
      </c>
      <c r="R826" s="8">
        <v>1012501</v>
      </c>
      <c r="S826" s="8">
        <v>1012601</v>
      </c>
    </row>
    <row r="827" spans="1:19">
      <c r="A827" s="14" t="s">
        <v>14</v>
      </c>
      <c r="B827" s="8">
        <f t="shared" si="16"/>
        <v>70122506</v>
      </c>
      <c r="C827" s="2" t="s">
        <v>848</v>
      </c>
      <c r="E827" s="2" t="str">
        <f>F827&amp;(VLOOKUP(G827,编号表!$E$1:$G$8,2,0))&amp;H827&amp;"_"&amp;I827&amp;"_"&amp;J827</f>
        <v>12N2_5_6</v>
      </c>
      <c r="F827" s="2">
        <v>12</v>
      </c>
      <c r="G827" s="2" t="s">
        <v>37</v>
      </c>
      <c r="H827" s="2">
        <v>2</v>
      </c>
      <c r="I827" s="2">
        <v>5</v>
      </c>
      <c r="J827" s="2">
        <f>COUNTIFS($F$13:F827,F827,$I$13:I827,I827)</f>
        <v>6</v>
      </c>
      <c r="O827" s="8">
        <v>1012201</v>
      </c>
      <c r="P827" s="8">
        <v>1012301</v>
      </c>
      <c r="Q827" s="8">
        <v>1012401</v>
      </c>
      <c r="R827" s="8">
        <v>1012501</v>
      </c>
      <c r="S827" s="8">
        <v>1012601</v>
      </c>
    </row>
    <row r="828" spans="1:19">
      <c r="A828" s="14" t="s">
        <v>14</v>
      </c>
      <c r="B828" s="8">
        <f t="shared" si="16"/>
        <v>70122507</v>
      </c>
      <c r="C828" s="2" t="s">
        <v>849</v>
      </c>
      <c r="E828" s="2" t="str">
        <f>F828&amp;(VLOOKUP(G828,编号表!$E$1:$G$8,2,0))&amp;H828&amp;"_"&amp;I828&amp;"_"&amp;J828</f>
        <v>12N2_5_7</v>
      </c>
      <c r="F828" s="2">
        <v>12</v>
      </c>
      <c r="G828" s="2" t="s">
        <v>37</v>
      </c>
      <c r="H828" s="2">
        <v>2</v>
      </c>
      <c r="I828" s="2">
        <v>5</v>
      </c>
      <c r="J828" s="2">
        <f>COUNTIFS($F$13:F828,F828,$I$13:I828,I828)</f>
        <v>7</v>
      </c>
      <c r="O828" s="8">
        <v>1012201</v>
      </c>
      <c r="P828" s="8">
        <v>1012301</v>
      </c>
      <c r="Q828" s="8">
        <v>1012401</v>
      </c>
      <c r="R828" s="8">
        <v>1012501</v>
      </c>
      <c r="S828" s="8">
        <v>1012601</v>
      </c>
    </row>
    <row r="829" spans="1:19">
      <c r="A829" s="14" t="s">
        <v>14</v>
      </c>
      <c r="B829" s="8">
        <f t="shared" si="16"/>
        <v>70124508</v>
      </c>
      <c r="C829" s="2" t="s">
        <v>850</v>
      </c>
      <c r="E829" s="2" t="str">
        <f>F829&amp;(VLOOKUP(G829,编号表!$E$1:$G$8,2,0))&amp;H829&amp;"_"&amp;I829&amp;"_"&amp;J829</f>
        <v>12N4_5_8</v>
      </c>
      <c r="F829" s="2">
        <v>12</v>
      </c>
      <c r="G829" s="2" t="s">
        <v>37</v>
      </c>
      <c r="H829" s="2">
        <v>4</v>
      </c>
      <c r="I829" s="2">
        <v>5</v>
      </c>
      <c r="J829" s="2">
        <f>COUNTIFS($F$13:F829,F829,$I$13:I829,I829)</f>
        <v>8</v>
      </c>
      <c r="O829" s="8">
        <v>1012201</v>
      </c>
      <c r="P829" s="8">
        <v>1012301</v>
      </c>
      <c r="Q829" s="8">
        <v>1012401</v>
      </c>
      <c r="R829" s="8">
        <v>1012501</v>
      </c>
      <c r="S829" s="8">
        <v>1012601</v>
      </c>
    </row>
    <row r="830" spans="1:19">
      <c r="A830" s="14" t="s">
        <v>14</v>
      </c>
      <c r="B830" s="8">
        <f t="shared" si="16"/>
        <v>70123509</v>
      </c>
      <c r="C830" s="2" t="s">
        <v>851</v>
      </c>
      <c r="E830" s="2" t="str">
        <f>F830&amp;(VLOOKUP(G830,编号表!$E$1:$G$8,2,0))&amp;H830&amp;"_"&amp;I830&amp;"_"&amp;J830</f>
        <v>12N3_5_9</v>
      </c>
      <c r="F830" s="2">
        <v>12</v>
      </c>
      <c r="G830" s="2" t="s">
        <v>37</v>
      </c>
      <c r="H830" s="2">
        <v>3</v>
      </c>
      <c r="I830" s="2">
        <v>5</v>
      </c>
      <c r="J830" s="2">
        <f>COUNTIFS($F$13:F830,F830,$I$13:I830,I830)</f>
        <v>9</v>
      </c>
      <c r="O830" s="8">
        <v>1012201</v>
      </c>
      <c r="P830" s="8">
        <v>1012301</v>
      </c>
      <c r="Q830" s="8">
        <v>1012401</v>
      </c>
      <c r="R830" s="8">
        <v>1012501</v>
      </c>
      <c r="S830" s="8">
        <v>1012601</v>
      </c>
    </row>
    <row r="831" spans="1:19">
      <c r="A831" s="14" t="s">
        <v>14</v>
      </c>
      <c r="B831" s="8">
        <f t="shared" si="16"/>
        <v>70124601</v>
      </c>
      <c r="C831" s="2" t="s">
        <v>852</v>
      </c>
      <c r="E831" s="2" t="str">
        <f>F831&amp;(VLOOKUP(G831,编号表!$E$1:$G$8,2,0))&amp;H831&amp;"_"&amp;I831&amp;"_"&amp;J831</f>
        <v>12N4_6_1</v>
      </c>
      <c r="F831" s="2">
        <v>12</v>
      </c>
      <c r="G831" s="2" t="s">
        <v>37</v>
      </c>
      <c r="H831" s="2">
        <v>4</v>
      </c>
      <c r="I831" s="2">
        <v>6</v>
      </c>
      <c r="J831" s="2">
        <f>COUNTIFS($F$13:F831,F831,$I$13:I831,I831)</f>
        <v>1</v>
      </c>
      <c r="O831" s="8">
        <v>1012201</v>
      </c>
      <c r="P831" s="8">
        <v>1012301</v>
      </c>
      <c r="Q831" s="8">
        <v>1012401</v>
      </c>
      <c r="R831" s="8">
        <v>1012501</v>
      </c>
      <c r="S831" s="8">
        <v>1012601</v>
      </c>
    </row>
    <row r="832" spans="1:19">
      <c r="A832" s="14" t="s">
        <v>14</v>
      </c>
      <c r="B832" s="8">
        <f t="shared" si="16"/>
        <v>70123602</v>
      </c>
      <c r="C832" s="2" t="s">
        <v>853</v>
      </c>
      <c r="E832" s="2" t="str">
        <f>F832&amp;(VLOOKUP(G832,编号表!$E$1:$G$8,2,0))&amp;H832&amp;"_"&amp;I832&amp;"_"&amp;J832</f>
        <v>12N3_6_2</v>
      </c>
      <c r="F832" s="2">
        <v>12</v>
      </c>
      <c r="G832" s="2" t="s">
        <v>37</v>
      </c>
      <c r="H832" s="2">
        <v>3</v>
      </c>
      <c r="I832" s="2">
        <v>6</v>
      </c>
      <c r="J832" s="2">
        <f>COUNTIFS($F$13:F832,F832,$I$13:I832,I832)</f>
        <v>2</v>
      </c>
      <c r="O832" s="8">
        <v>1012201</v>
      </c>
      <c r="P832" s="8">
        <v>1012301</v>
      </c>
      <c r="Q832" s="8">
        <v>1012401</v>
      </c>
      <c r="R832" s="8">
        <v>1012501</v>
      </c>
      <c r="S832" s="8">
        <v>1012601</v>
      </c>
    </row>
    <row r="833" spans="1:20">
      <c r="A833" s="14" t="s">
        <v>14</v>
      </c>
      <c r="B833" s="8">
        <f t="shared" si="16"/>
        <v>70123603</v>
      </c>
      <c r="C833" s="2" t="s">
        <v>854</v>
      </c>
      <c r="E833" s="2" t="str">
        <f>F833&amp;(VLOOKUP(G833,编号表!$E$1:$G$8,2,0))&amp;H833&amp;"_"&amp;I833&amp;"_"&amp;J833</f>
        <v>12N3_6_3</v>
      </c>
      <c r="F833" s="2">
        <v>12</v>
      </c>
      <c r="G833" s="2" t="s">
        <v>37</v>
      </c>
      <c r="H833" s="2">
        <v>3</v>
      </c>
      <c r="I833" s="2">
        <v>6</v>
      </c>
      <c r="J833" s="2">
        <f>COUNTIFS($F$13:F833,F833,$I$13:I833,I833)</f>
        <v>3</v>
      </c>
      <c r="O833" s="8">
        <v>1012201</v>
      </c>
      <c r="P833" s="8">
        <v>1012301</v>
      </c>
      <c r="Q833" s="8">
        <v>1012401</v>
      </c>
      <c r="R833" s="8">
        <v>1012501</v>
      </c>
      <c r="S833" s="8">
        <v>1012601</v>
      </c>
    </row>
    <row r="834" spans="1:20">
      <c r="A834" s="14" t="s">
        <v>14</v>
      </c>
      <c r="B834" s="8">
        <f t="shared" si="16"/>
        <v>70123604</v>
      </c>
      <c r="C834" s="2" t="s">
        <v>855</v>
      </c>
      <c r="E834" s="2" t="str">
        <f>F834&amp;(VLOOKUP(G834,编号表!$E$1:$G$8,2,0))&amp;H834&amp;"_"&amp;I834&amp;"_"&amp;J834</f>
        <v>12N3_6_4</v>
      </c>
      <c r="F834" s="2">
        <v>12</v>
      </c>
      <c r="G834" s="2" t="s">
        <v>37</v>
      </c>
      <c r="H834" s="2">
        <v>3</v>
      </c>
      <c r="I834" s="2">
        <v>6</v>
      </c>
      <c r="J834" s="2">
        <f>COUNTIFS($F$13:F834,F834,$I$13:I834,I834)</f>
        <v>4</v>
      </c>
      <c r="O834" s="8">
        <v>1012201</v>
      </c>
      <c r="P834" s="8">
        <v>1012301</v>
      </c>
      <c r="Q834" s="8">
        <v>1012401</v>
      </c>
      <c r="R834" s="8">
        <v>1012501</v>
      </c>
      <c r="S834" s="8">
        <v>1012601</v>
      </c>
    </row>
    <row r="835" spans="1:20">
      <c r="A835" s="14" t="s">
        <v>14</v>
      </c>
      <c r="B835" s="8">
        <f t="shared" si="16"/>
        <v>70123605</v>
      </c>
      <c r="C835" s="2" t="s">
        <v>856</v>
      </c>
      <c r="E835" s="2" t="str">
        <f>F835&amp;(VLOOKUP(G835,编号表!$E$1:$G$8,2,0))&amp;H835&amp;"_"&amp;I835&amp;"_"&amp;J835</f>
        <v>12N3_6_5</v>
      </c>
      <c r="F835" s="2">
        <v>12</v>
      </c>
      <c r="G835" s="2" t="s">
        <v>37</v>
      </c>
      <c r="H835" s="2">
        <v>3</v>
      </c>
      <c r="I835" s="2">
        <v>6</v>
      </c>
      <c r="J835" s="2">
        <f>COUNTIFS($F$13:F835,F835,$I$13:I835,I835)</f>
        <v>5</v>
      </c>
      <c r="O835" s="8">
        <v>1012201</v>
      </c>
      <c r="P835" s="8">
        <v>1012301</v>
      </c>
      <c r="Q835" s="8">
        <v>1012401</v>
      </c>
      <c r="R835" s="8">
        <v>1012501</v>
      </c>
      <c r="S835" s="8">
        <v>1012601</v>
      </c>
    </row>
    <row r="836" spans="1:20">
      <c r="A836" s="14" t="s">
        <v>14</v>
      </c>
      <c r="B836" s="8">
        <f t="shared" ref="B836:B899" si="17">70000000+F836*10000+H836*1000+I836*100+J836</f>
        <v>70123606</v>
      </c>
      <c r="C836" s="2" t="s">
        <v>857</v>
      </c>
      <c r="E836" s="2" t="str">
        <f>F836&amp;(VLOOKUP(G836,编号表!$E$1:$G$8,2,0))&amp;H836&amp;"_"&amp;I836&amp;"_"&amp;J836</f>
        <v>12N3_6_6</v>
      </c>
      <c r="F836" s="2">
        <v>12</v>
      </c>
      <c r="G836" s="2" t="s">
        <v>37</v>
      </c>
      <c r="H836" s="2">
        <v>3</v>
      </c>
      <c r="I836" s="2">
        <v>6</v>
      </c>
      <c r="J836" s="2">
        <f>COUNTIFS($F$13:F836,F836,$I$13:I836,I836)</f>
        <v>6</v>
      </c>
      <c r="O836" s="8">
        <v>1012201</v>
      </c>
      <c r="P836" s="8">
        <v>1012301</v>
      </c>
      <c r="Q836" s="8">
        <v>1012401</v>
      </c>
      <c r="R836" s="8">
        <v>1012501</v>
      </c>
      <c r="S836" s="8">
        <v>1012601</v>
      </c>
    </row>
    <row r="837" spans="1:20">
      <c r="A837" s="14" t="s">
        <v>14</v>
      </c>
      <c r="B837" s="8">
        <f t="shared" si="17"/>
        <v>70123607</v>
      </c>
      <c r="C837" s="2" t="s">
        <v>858</v>
      </c>
      <c r="E837" s="2" t="str">
        <f>F837&amp;(VLOOKUP(G837,编号表!$E$1:$G$8,2,0))&amp;H837&amp;"_"&amp;I837&amp;"_"&amp;J837</f>
        <v>12N3_6_7</v>
      </c>
      <c r="F837" s="2">
        <v>12</v>
      </c>
      <c r="G837" s="2" t="s">
        <v>37</v>
      </c>
      <c r="H837" s="2">
        <v>3</v>
      </c>
      <c r="I837" s="2">
        <v>6</v>
      </c>
      <c r="J837" s="2">
        <f>COUNTIFS($F$13:F837,F837,$I$13:I837,I837)</f>
        <v>7</v>
      </c>
      <c r="O837" s="8">
        <v>1012201</v>
      </c>
      <c r="P837" s="8">
        <v>1012301</v>
      </c>
      <c r="Q837" s="8">
        <v>1012401</v>
      </c>
      <c r="R837" s="8">
        <v>1012501</v>
      </c>
      <c r="S837" s="8">
        <v>1012601</v>
      </c>
    </row>
    <row r="838" spans="1:20">
      <c r="A838" s="14" t="s">
        <v>14</v>
      </c>
      <c r="B838" s="8">
        <f t="shared" si="17"/>
        <v>70123608</v>
      </c>
      <c r="C838" s="2" t="s">
        <v>859</v>
      </c>
      <c r="E838" s="2" t="str">
        <f>F838&amp;(VLOOKUP(G838,编号表!$E$1:$G$8,2,0))&amp;H838&amp;"_"&amp;I838&amp;"_"&amp;J838</f>
        <v>12N3_6_8</v>
      </c>
      <c r="F838" s="2">
        <v>12</v>
      </c>
      <c r="G838" s="2" t="s">
        <v>37</v>
      </c>
      <c r="H838" s="2">
        <v>3</v>
      </c>
      <c r="I838" s="2">
        <v>6</v>
      </c>
      <c r="J838" s="2">
        <f>COUNTIFS($F$13:F838,F838,$I$13:I838,I838)</f>
        <v>8</v>
      </c>
      <c r="O838" s="8">
        <v>1012201</v>
      </c>
      <c r="P838" s="8">
        <v>1012301</v>
      </c>
      <c r="Q838" s="8">
        <v>1012401</v>
      </c>
      <c r="R838" s="8">
        <v>1012501</v>
      </c>
      <c r="S838" s="8">
        <v>1012601</v>
      </c>
    </row>
    <row r="839" spans="1:20">
      <c r="A839" s="14" t="s">
        <v>14</v>
      </c>
      <c r="B839" s="8">
        <f t="shared" si="17"/>
        <v>70123609</v>
      </c>
      <c r="C839" s="2" t="s">
        <v>860</v>
      </c>
      <c r="E839" s="2" t="str">
        <f>F839&amp;(VLOOKUP(G839,编号表!$E$1:$G$8,2,0))&amp;H839&amp;"_"&amp;I839&amp;"_"&amp;J839</f>
        <v>12N3_6_9</v>
      </c>
      <c r="F839" s="2">
        <v>12</v>
      </c>
      <c r="G839" s="2" t="s">
        <v>37</v>
      </c>
      <c r="H839" s="2">
        <v>3</v>
      </c>
      <c r="I839" s="2">
        <v>6</v>
      </c>
      <c r="J839" s="2">
        <f>COUNTIFS($F$13:F839,F839,$I$13:I839,I839)</f>
        <v>9</v>
      </c>
      <c r="O839" s="8">
        <v>1012201</v>
      </c>
      <c r="P839" s="8">
        <v>1012301</v>
      </c>
      <c r="Q839" s="8">
        <v>1012401</v>
      </c>
      <c r="R839" s="8">
        <v>1012501</v>
      </c>
      <c r="S839" s="8">
        <v>1012601</v>
      </c>
    </row>
    <row r="840" spans="1:20">
      <c r="A840" s="14" t="s">
        <v>14</v>
      </c>
      <c r="B840" s="8">
        <f t="shared" si="17"/>
        <v>70123610</v>
      </c>
      <c r="C840" s="2" t="s">
        <v>861</v>
      </c>
      <c r="E840" s="2" t="str">
        <f>F840&amp;(VLOOKUP(G840,编号表!$E$1:$G$8,2,0))&amp;H840&amp;"_"&amp;I840&amp;"_"&amp;J840</f>
        <v>12N3_6_10</v>
      </c>
      <c r="F840" s="2">
        <v>12</v>
      </c>
      <c r="G840" s="2" t="s">
        <v>37</v>
      </c>
      <c r="H840" s="2">
        <v>3</v>
      </c>
      <c r="I840" s="2">
        <v>6</v>
      </c>
      <c r="J840" s="2">
        <f>COUNTIFS($F$13:F840,F840,$I$13:I840,I840)</f>
        <v>10</v>
      </c>
      <c r="O840" s="8">
        <v>1012201</v>
      </c>
      <c r="P840" s="8">
        <v>1012301</v>
      </c>
      <c r="Q840" s="8">
        <v>1012401</v>
      </c>
      <c r="R840" s="8">
        <v>1012501</v>
      </c>
      <c r="S840" s="8">
        <v>1012601</v>
      </c>
    </row>
    <row r="841" spans="1:20">
      <c r="A841" s="14" t="s">
        <v>14</v>
      </c>
      <c r="B841" s="8">
        <f t="shared" si="17"/>
        <v>70122611</v>
      </c>
      <c r="C841" s="2" t="s">
        <v>862</v>
      </c>
      <c r="E841" s="2" t="str">
        <f>F841&amp;(VLOOKUP(G841,编号表!$E$1:$G$8,2,0))&amp;H841&amp;"_"&amp;I841&amp;"_"&amp;J841</f>
        <v>12N2_6_11</v>
      </c>
      <c r="F841" s="2">
        <v>12</v>
      </c>
      <c r="G841" s="2" t="s">
        <v>37</v>
      </c>
      <c r="H841" s="2">
        <v>2</v>
      </c>
      <c r="I841" s="2">
        <v>6</v>
      </c>
      <c r="J841" s="2">
        <f>COUNTIFS($F$13:F841,F841,$I$13:I841,I841)</f>
        <v>11</v>
      </c>
      <c r="O841" s="8">
        <v>1012201</v>
      </c>
      <c r="P841" s="8">
        <v>1012301</v>
      </c>
      <c r="Q841" s="8">
        <v>1012401</v>
      </c>
      <c r="R841" s="8">
        <v>1012501</v>
      </c>
      <c r="S841" s="8">
        <v>1012601</v>
      </c>
      <c r="T841" s="19"/>
    </row>
    <row r="842" spans="1:20">
      <c r="A842" s="14" t="s">
        <v>14</v>
      </c>
      <c r="B842" s="8">
        <f t="shared" si="17"/>
        <v>70123612</v>
      </c>
      <c r="C842" s="16" t="s">
        <v>54</v>
      </c>
      <c r="D842" s="2" t="s">
        <v>95</v>
      </c>
      <c r="E842" s="2" t="str">
        <f>F842&amp;(VLOOKUP(G842,编号表!$E$1:$G$8,2,0))&amp;H842&amp;"_"&amp;I842&amp;"_"&amp;J842</f>
        <v>12T3_6_12</v>
      </c>
      <c r="F842" s="2">
        <v>12</v>
      </c>
      <c r="G842" s="2" t="s">
        <v>53</v>
      </c>
      <c r="H842" s="2">
        <v>3</v>
      </c>
      <c r="I842" s="2">
        <v>6</v>
      </c>
      <c r="J842" s="2">
        <f>COUNTIFS($F$13:F842,F842,$I$13:I842,I842)</f>
        <v>12</v>
      </c>
      <c r="M842" s="2">
        <v>125</v>
      </c>
      <c r="T842" s="19"/>
    </row>
    <row r="843" spans="1:20">
      <c r="A843" s="14" t="s">
        <v>14</v>
      </c>
      <c r="B843" s="8">
        <f t="shared" si="17"/>
        <v>70121613</v>
      </c>
      <c r="C843" s="15" t="s">
        <v>94</v>
      </c>
      <c r="E843" s="2" t="str">
        <f>F843&amp;(VLOOKUP(G843,编号表!$E$1:$G$8,2,0))&amp;H843&amp;"_"&amp;I843&amp;"_"&amp;J843</f>
        <v>12T1_6_13</v>
      </c>
      <c r="F843" s="2">
        <v>12</v>
      </c>
      <c r="G843" s="2" t="s">
        <v>53</v>
      </c>
      <c r="H843" s="2">
        <v>1</v>
      </c>
      <c r="I843" s="2">
        <v>6</v>
      </c>
      <c r="J843" s="2">
        <f>COUNTIFS($F$13:F843,F843,$I$13:I843,I843)</f>
        <v>13</v>
      </c>
      <c r="L843" s="2">
        <v>1</v>
      </c>
      <c r="T843" s="20"/>
    </row>
    <row r="844" spans="1:20">
      <c r="A844" s="14" t="s">
        <v>14</v>
      </c>
      <c r="B844" s="8">
        <f t="shared" si="17"/>
        <v>70122614</v>
      </c>
      <c r="C844" s="2" t="s">
        <v>863</v>
      </c>
      <c r="E844" s="2" t="str">
        <f>F844&amp;(VLOOKUP(G844,编号表!$E$1:$G$8,2,0))&amp;H844&amp;"_"&amp;I844&amp;"_"&amp;J844</f>
        <v>12N2_6_14</v>
      </c>
      <c r="F844" s="2">
        <v>12</v>
      </c>
      <c r="G844" s="2" t="s">
        <v>37</v>
      </c>
      <c r="H844" s="2">
        <v>2</v>
      </c>
      <c r="I844" s="2">
        <v>6</v>
      </c>
      <c r="J844" s="2">
        <f>COUNTIFS($F$13:F844,F844,$I$13:I844,I844)</f>
        <v>14</v>
      </c>
      <c r="O844" s="8">
        <v>1012201</v>
      </c>
      <c r="P844" s="8">
        <v>1012301</v>
      </c>
      <c r="Q844" s="8">
        <v>1012401</v>
      </c>
      <c r="R844" s="8">
        <v>1012501</v>
      </c>
      <c r="S844" s="8">
        <v>1012601</v>
      </c>
    </row>
    <row r="845" spans="1:20">
      <c r="A845" s="14" t="s">
        <v>14</v>
      </c>
      <c r="B845" s="8">
        <f t="shared" si="17"/>
        <v>70123615</v>
      </c>
      <c r="C845" s="2" t="s">
        <v>864</v>
      </c>
      <c r="E845" s="2" t="str">
        <f>F845&amp;(VLOOKUP(G845,编号表!$E$1:$G$8,2,0))&amp;H845&amp;"_"&amp;I845&amp;"_"&amp;J845</f>
        <v>12N3_6_15</v>
      </c>
      <c r="F845" s="2">
        <v>12</v>
      </c>
      <c r="G845" s="2" t="s">
        <v>37</v>
      </c>
      <c r="H845" s="2">
        <v>3</v>
      </c>
      <c r="I845" s="2">
        <v>6</v>
      </c>
      <c r="J845" s="2">
        <f>COUNTIFS($F$13:F845,F845,$I$13:I845,I845)</f>
        <v>15</v>
      </c>
      <c r="O845" s="8">
        <v>1012201</v>
      </c>
      <c r="P845" s="8">
        <v>1012301</v>
      </c>
      <c r="Q845" s="8">
        <v>1012401</v>
      </c>
      <c r="R845" s="8">
        <v>1012501</v>
      </c>
      <c r="S845" s="8">
        <v>1012601</v>
      </c>
    </row>
    <row r="846" spans="1:20">
      <c r="A846" s="14" t="s">
        <v>14</v>
      </c>
      <c r="B846" s="8">
        <f t="shared" si="17"/>
        <v>70123616</v>
      </c>
      <c r="C846" s="2" t="s">
        <v>865</v>
      </c>
      <c r="E846" s="2" t="str">
        <f>F846&amp;(VLOOKUP(G846,编号表!$E$1:$G$8,2,0))&amp;H846&amp;"_"&amp;I846&amp;"_"&amp;J846</f>
        <v>12N3_6_16</v>
      </c>
      <c r="F846" s="2">
        <v>12</v>
      </c>
      <c r="G846" s="2" t="s">
        <v>37</v>
      </c>
      <c r="H846" s="2">
        <v>3</v>
      </c>
      <c r="I846" s="2">
        <v>6</v>
      </c>
      <c r="J846" s="2">
        <f>COUNTIFS($F$13:F846,F846,$I$13:I846,I846)</f>
        <v>16</v>
      </c>
      <c r="O846" s="8">
        <v>1012201</v>
      </c>
      <c r="P846" s="8">
        <v>1012301</v>
      </c>
      <c r="Q846" s="8">
        <v>1012401</v>
      </c>
      <c r="R846" s="8">
        <v>1012501</v>
      </c>
      <c r="S846" s="8">
        <v>1012601</v>
      </c>
    </row>
    <row r="847" spans="1:20">
      <c r="A847" s="14" t="s">
        <v>14</v>
      </c>
      <c r="B847" s="8">
        <f t="shared" si="17"/>
        <v>70123617</v>
      </c>
      <c r="C847" s="2" t="s">
        <v>866</v>
      </c>
      <c r="E847" s="2" t="str">
        <f>F847&amp;(VLOOKUP(G847,编号表!$E$1:$G$8,2,0))&amp;H847&amp;"_"&amp;I847&amp;"_"&amp;J847</f>
        <v>12N3_6_17</v>
      </c>
      <c r="F847" s="2">
        <v>12</v>
      </c>
      <c r="G847" s="2" t="s">
        <v>37</v>
      </c>
      <c r="H847" s="2">
        <v>3</v>
      </c>
      <c r="I847" s="2">
        <v>6</v>
      </c>
      <c r="J847" s="2">
        <f>COUNTIFS($F$13:F847,F847,$I$13:I847,I847)</f>
        <v>17</v>
      </c>
      <c r="O847" s="8">
        <v>1012201</v>
      </c>
      <c r="P847" s="8">
        <v>1012301</v>
      </c>
      <c r="Q847" s="8">
        <v>1012401</v>
      </c>
      <c r="R847" s="8">
        <v>1012501</v>
      </c>
      <c r="S847" s="8">
        <v>1012601</v>
      </c>
    </row>
    <row r="848" spans="1:20">
      <c r="A848" s="14" t="s">
        <v>14</v>
      </c>
      <c r="B848" s="8">
        <f t="shared" si="17"/>
        <v>70123618</v>
      </c>
      <c r="C848" s="2" t="s">
        <v>867</v>
      </c>
      <c r="E848" s="2" t="str">
        <f>F848&amp;(VLOOKUP(G848,编号表!$E$1:$G$8,2,0))&amp;H848&amp;"_"&amp;I848&amp;"_"&amp;J848</f>
        <v>12N3_6_18</v>
      </c>
      <c r="F848" s="2">
        <v>12</v>
      </c>
      <c r="G848" s="2" t="s">
        <v>37</v>
      </c>
      <c r="H848" s="2">
        <v>3</v>
      </c>
      <c r="I848" s="2">
        <v>6</v>
      </c>
      <c r="J848" s="2">
        <f>COUNTIFS($F$13:F848,F848,$I$13:I848,I848)</f>
        <v>18</v>
      </c>
      <c r="O848" s="8">
        <v>1012201</v>
      </c>
      <c r="P848" s="8">
        <v>1012301</v>
      </c>
      <c r="Q848" s="8">
        <v>1012401</v>
      </c>
      <c r="R848" s="8">
        <v>1012501</v>
      </c>
      <c r="S848" s="8">
        <v>1012601</v>
      </c>
    </row>
    <row r="849" spans="1:20">
      <c r="A849" s="14" t="s">
        <v>14</v>
      </c>
      <c r="B849" s="8">
        <f t="shared" si="17"/>
        <v>70120001</v>
      </c>
      <c r="C849" s="18" t="s">
        <v>868</v>
      </c>
      <c r="E849" s="2" t="str">
        <f>F849&amp;(VLOOKUP(G849,编号表!$E$1:$G$8,2,0))&amp;H849&amp;"_"&amp;I849&amp;"_"&amp;J849</f>
        <v>12J0_0_1</v>
      </c>
      <c r="F849" s="2">
        <v>12</v>
      </c>
      <c r="G849" s="2" t="s">
        <v>86</v>
      </c>
      <c r="H849" s="2">
        <v>0</v>
      </c>
      <c r="I849" s="2">
        <v>0</v>
      </c>
      <c r="J849" s="2">
        <f>COUNTIFS($F$13:F849,F849,$I$13:I849,I849)</f>
        <v>1</v>
      </c>
      <c r="K849" s="2">
        <v>1</v>
      </c>
    </row>
    <row r="850" spans="1:20">
      <c r="A850" s="14" t="s">
        <v>14</v>
      </c>
      <c r="B850" s="8">
        <f t="shared" si="17"/>
        <v>70134101</v>
      </c>
      <c r="C850" s="2" t="s">
        <v>869</v>
      </c>
      <c r="E850" s="2" t="str">
        <f>F850&amp;(VLOOKUP(G850,编号表!$E$1:$G$8,2,0))&amp;H850&amp;"_"&amp;I850&amp;"_"&amp;J850</f>
        <v>13N4_1_1</v>
      </c>
      <c r="F850" s="2">
        <v>13</v>
      </c>
      <c r="G850" s="2" t="s">
        <v>37</v>
      </c>
      <c r="H850" s="2">
        <v>4</v>
      </c>
      <c r="I850" s="2">
        <v>1</v>
      </c>
      <c r="J850" s="2">
        <f>COUNTIFS($F$13:F850,F850,$I$13:I850,I850)</f>
        <v>1</v>
      </c>
      <c r="O850" s="8">
        <v>1013201</v>
      </c>
      <c r="P850" s="8">
        <v>1013301</v>
      </c>
      <c r="Q850" s="8">
        <v>1013401</v>
      </c>
      <c r="R850" s="8">
        <v>1013501</v>
      </c>
      <c r="S850" s="8">
        <v>1013601</v>
      </c>
      <c r="T850" s="8">
        <v>1013001</v>
      </c>
    </row>
    <row r="851" spans="1:20">
      <c r="A851" s="14" t="s">
        <v>14</v>
      </c>
      <c r="B851" s="8">
        <f t="shared" si="17"/>
        <v>70134102</v>
      </c>
      <c r="C851" s="2" t="s">
        <v>870</v>
      </c>
      <c r="E851" s="2" t="str">
        <f>F851&amp;(VLOOKUP(G851,编号表!$E$1:$G$8,2,0))&amp;H851&amp;"_"&amp;I851&amp;"_"&amp;J851</f>
        <v>13N4_1_2</v>
      </c>
      <c r="F851" s="2">
        <v>13</v>
      </c>
      <c r="G851" s="2" t="s">
        <v>37</v>
      </c>
      <c r="H851" s="2">
        <v>4</v>
      </c>
      <c r="I851" s="2">
        <v>1</v>
      </c>
      <c r="J851" s="2">
        <f>COUNTIFS($F$13:F851,F851,$I$13:I851,I851)</f>
        <v>2</v>
      </c>
      <c r="O851" s="8">
        <v>1013201</v>
      </c>
      <c r="P851" s="8">
        <v>1013301</v>
      </c>
      <c r="Q851" s="8">
        <v>1013401</v>
      </c>
      <c r="R851" s="8">
        <v>1013501</v>
      </c>
      <c r="S851" s="8">
        <v>1013601</v>
      </c>
      <c r="T851" s="8">
        <v>1013101</v>
      </c>
    </row>
    <row r="852" spans="1:20">
      <c r="A852" s="14" t="s">
        <v>14</v>
      </c>
      <c r="B852" s="8">
        <f t="shared" si="17"/>
        <v>70134103</v>
      </c>
      <c r="C852" s="2" t="s">
        <v>871</v>
      </c>
      <c r="E852" s="2" t="str">
        <f>F852&amp;(VLOOKUP(G852,编号表!$E$1:$G$8,2,0))&amp;H852&amp;"_"&amp;I852&amp;"_"&amp;J852</f>
        <v>13N4_1_3</v>
      </c>
      <c r="F852" s="2">
        <v>13</v>
      </c>
      <c r="G852" s="2" t="s">
        <v>37</v>
      </c>
      <c r="H852" s="2">
        <v>4</v>
      </c>
      <c r="I852" s="2">
        <v>1</v>
      </c>
      <c r="J852" s="2">
        <f>COUNTIFS($F$13:F852,F852,$I$13:I852,I852)</f>
        <v>3</v>
      </c>
      <c r="O852" s="8">
        <v>1013201</v>
      </c>
      <c r="P852" s="8">
        <v>1013301</v>
      </c>
      <c r="Q852" s="8">
        <v>1013401</v>
      </c>
      <c r="R852" s="8">
        <v>1013501</v>
      </c>
      <c r="S852" s="8">
        <v>1013601</v>
      </c>
    </row>
    <row r="853" spans="1:20">
      <c r="A853" s="14" t="s">
        <v>14</v>
      </c>
      <c r="B853" s="8">
        <f t="shared" si="17"/>
        <v>70134104</v>
      </c>
      <c r="C853" s="2" t="s">
        <v>872</v>
      </c>
      <c r="E853" s="2" t="str">
        <f>F853&amp;(VLOOKUP(G853,编号表!$E$1:$G$8,2,0))&amp;H853&amp;"_"&amp;I853&amp;"_"&amp;J853</f>
        <v>13N4_1_4</v>
      </c>
      <c r="F853" s="2">
        <v>13</v>
      </c>
      <c r="G853" s="2" t="s">
        <v>37</v>
      </c>
      <c r="H853" s="2">
        <v>4</v>
      </c>
      <c r="I853" s="2">
        <v>1</v>
      </c>
      <c r="J853" s="2">
        <f>COUNTIFS($F$13:F853,F853,$I$13:I853,I853)</f>
        <v>4</v>
      </c>
      <c r="O853" s="8">
        <v>1013201</v>
      </c>
      <c r="P853" s="8">
        <v>1013301</v>
      </c>
      <c r="Q853" s="8">
        <v>1013401</v>
      </c>
      <c r="R853" s="8">
        <v>1013501</v>
      </c>
      <c r="S853" s="8">
        <v>1013601</v>
      </c>
    </row>
    <row r="854" spans="1:20">
      <c r="A854" s="14" t="s">
        <v>14</v>
      </c>
      <c r="B854" s="8">
        <f t="shared" si="17"/>
        <v>70134105</v>
      </c>
      <c r="C854" s="2" t="s">
        <v>873</v>
      </c>
      <c r="E854" s="2" t="str">
        <f>F854&amp;(VLOOKUP(G854,编号表!$E$1:$G$8,2,0))&amp;H854&amp;"_"&amp;I854&amp;"_"&amp;J854</f>
        <v>13N4_1_5</v>
      </c>
      <c r="F854" s="2">
        <v>13</v>
      </c>
      <c r="G854" s="2" t="s">
        <v>37</v>
      </c>
      <c r="H854" s="2">
        <v>4</v>
      </c>
      <c r="I854" s="2">
        <v>1</v>
      </c>
      <c r="J854" s="2">
        <f>COUNTIFS($F$13:F854,F854,$I$13:I854,I854)</f>
        <v>5</v>
      </c>
      <c r="O854" s="8">
        <v>1013201</v>
      </c>
      <c r="P854" s="8">
        <v>1013301</v>
      </c>
      <c r="Q854" s="8">
        <v>1013401</v>
      </c>
      <c r="R854" s="8">
        <v>1013501</v>
      </c>
      <c r="S854" s="8">
        <v>1013601</v>
      </c>
    </row>
    <row r="855" spans="1:20">
      <c r="A855" s="14" t="s">
        <v>14</v>
      </c>
      <c r="B855" s="8">
        <f t="shared" si="17"/>
        <v>70134106</v>
      </c>
      <c r="C855" s="2" t="s">
        <v>874</v>
      </c>
      <c r="E855" s="2" t="str">
        <f>F855&amp;(VLOOKUP(G855,编号表!$E$1:$G$8,2,0))&amp;H855&amp;"_"&amp;I855&amp;"_"&amp;J855</f>
        <v>13N4_1_6</v>
      </c>
      <c r="F855" s="2">
        <v>13</v>
      </c>
      <c r="G855" s="2" t="s">
        <v>37</v>
      </c>
      <c r="H855" s="2">
        <v>4</v>
      </c>
      <c r="I855" s="2">
        <v>1</v>
      </c>
      <c r="J855" s="2">
        <f>COUNTIFS($F$13:F855,F855,$I$13:I855,I855)</f>
        <v>6</v>
      </c>
      <c r="O855" s="8">
        <v>1013201</v>
      </c>
      <c r="P855" s="8">
        <v>1013301</v>
      </c>
      <c r="Q855" s="8">
        <v>1013401</v>
      </c>
      <c r="R855" s="8">
        <v>1013501</v>
      </c>
      <c r="S855" s="8">
        <v>1013601</v>
      </c>
    </row>
    <row r="856" spans="1:20">
      <c r="A856" s="14" t="s">
        <v>14</v>
      </c>
      <c r="B856" s="8">
        <f t="shared" si="17"/>
        <v>70132107</v>
      </c>
      <c r="C856" s="2" t="s">
        <v>875</v>
      </c>
      <c r="E856" s="2" t="str">
        <f>F856&amp;(VLOOKUP(G856,编号表!$E$1:$G$8,2,0))&amp;H856&amp;"_"&amp;I856&amp;"_"&amp;J856</f>
        <v>13N2_1_7</v>
      </c>
      <c r="F856" s="2">
        <v>13</v>
      </c>
      <c r="G856" s="2" t="s">
        <v>37</v>
      </c>
      <c r="H856" s="2">
        <v>2</v>
      </c>
      <c r="I856" s="2">
        <v>1</v>
      </c>
      <c r="J856" s="2">
        <f>COUNTIFS($F$13:F856,F856,$I$13:I856,I856)</f>
        <v>7</v>
      </c>
      <c r="O856" s="8">
        <v>1013201</v>
      </c>
      <c r="P856" s="8">
        <v>1013301</v>
      </c>
      <c r="Q856" s="8">
        <v>1013401</v>
      </c>
      <c r="R856" s="8">
        <v>1013501</v>
      </c>
      <c r="S856" s="8">
        <v>1013601</v>
      </c>
    </row>
    <row r="857" spans="1:20">
      <c r="A857" s="14" t="s">
        <v>14</v>
      </c>
      <c r="B857" s="8">
        <f t="shared" si="17"/>
        <v>70134108</v>
      </c>
      <c r="C857" s="2" t="s">
        <v>876</v>
      </c>
      <c r="E857" s="2" t="str">
        <f>F857&amp;(VLOOKUP(G857,编号表!$E$1:$G$8,2,0))&amp;H857&amp;"_"&amp;I857&amp;"_"&amp;J857</f>
        <v>13N4_1_8</v>
      </c>
      <c r="F857" s="2">
        <v>13</v>
      </c>
      <c r="G857" s="2" t="s">
        <v>37</v>
      </c>
      <c r="H857" s="2">
        <v>4</v>
      </c>
      <c r="I857" s="2">
        <v>1</v>
      </c>
      <c r="J857" s="2">
        <f>COUNTIFS($F$13:F857,F857,$I$13:I857,I857)</f>
        <v>8</v>
      </c>
      <c r="O857" s="8">
        <v>1013201</v>
      </c>
      <c r="P857" s="8">
        <v>1013301</v>
      </c>
      <c r="Q857" s="8">
        <v>1013401</v>
      </c>
      <c r="R857" s="8">
        <v>1013501</v>
      </c>
      <c r="S857" s="8">
        <v>1013601</v>
      </c>
    </row>
    <row r="858" spans="1:20">
      <c r="A858" s="14" t="s">
        <v>14</v>
      </c>
      <c r="B858" s="8">
        <f t="shared" si="17"/>
        <v>70134109</v>
      </c>
      <c r="C858" s="2" t="s">
        <v>877</v>
      </c>
      <c r="E858" s="2" t="str">
        <f>F858&amp;(VLOOKUP(G858,编号表!$E$1:$G$8,2,0))&amp;H858&amp;"_"&amp;I858&amp;"_"&amp;J858</f>
        <v>13N4_1_9</v>
      </c>
      <c r="F858" s="2">
        <v>13</v>
      </c>
      <c r="G858" s="2" t="s">
        <v>37</v>
      </c>
      <c r="H858" s="2">
        <v>4</v>
      </c>
      <c r="I858" s="2">
        <v>1</v>
      </c>
      <c r="J858" s="2">
        <f>COUNTIFS($F$13:F858,F858,$I$13:I858,I858)</f>
        <v>9</v>
      </c>
      <c r="O858" s="8">
        <v>1013201</v>
      </c>
      <c r="P858" s="8">
        <v>1013301</v>
      </c>
      <c r="Q858" s="8">
        <v>1013401</v>
      </c>
      <c r="R858" s="8">
        <v>1013501</v>
      </c>
      <c r="S858" s="8">
        <v>1013601</v>
      </c>
    </row>
    <row r="859" spans="1:20">
      <c r="A859" s="14" t="s">
        <v>14</v>
      </c>
      <c r="B859" s="8">
        <f t="shared" si="17"/>
        <v>70134110</v>
      </c>
      <c r="C859" s="2" t="s">
        <v>878</v>
      </c>
      <c r="E859" s="2" t="str">
        <f>F859&amp;(VLOOKUP(G859,编号表!$E$1:$G$8,2,0))&amp;H859&amp;"_"&amp;I859&amp;"_"&amp;J859</f>
        <v>13N4_1_10</v>
      </c>
      <c r="F859" s="2">
        <v>13</v>
      </c>
      <c r="G859" s="2" t="s">
        <v>37</v>
      </c>
      <c r="H859" s="2">
        <v>4</v>
      </c>
      <c r="I859" s="2">
        <v>1</v>
      </c>
      <c r="J859" s="2">
        <f>COUNTIFS($F$13:F859,F859,$I$13:I859,I859)</f>
        <v>10</v>
      </c>
      <c r="O859" s="8">
        <v>1013201</v>
      </c>
      <c r="P859" s="8">
        <v>1013301</v>
      </c>
      <c r="Q859" s="8">
        <v>1013401</v>
      </c>
      <c r="R859" s="8">
        <v>1013501</v>
      </c>
      <c r="S859" s="8">
        <v>1013601</v>
      </c>
    </row>
    <row r="860" spans="1:20">
      <c r="A860" s="14" t="s">
        <v>14</v>
      </c>
      <c r="B860" s="8">
        <f t="shared" si="17"/>
        <v>70134111</v>
      </c>
      <c r="C860" s="2" t="s">
        <v>879</v>
      </c>
      <c r="E860" s="2" t="str">
        <f>F860&amp;(VLOOKUP(G860,编号表!$E$1:$G$8,2,0))&amp;H860&amp;"_"&amp;I860&amp;"_"&amp;J860</f>
        <v>13N4_1_11</v>
      </c>
      <c r="F860" s="2">
        <v>13</v>
      </c>
      <c r="G860" s="2" t="s">
        <v>37</v>
      </c>
      <c r="H860" s="2">
        <v>4</v>
      </c>
      <c r="I860" s="2">
        <v>1</v>
      </c>
      <c r="J860" s="2">
        <f>COUNTIFS($F$13:F860,F860,$I$13:I860,I860)</f>
        <v>11</v>
      </c>
      <c r="O860" s="8">
        <v>1013201</v>
      </c>
      <c r="P860" s="8">
        <v>1013301</v>
      </c>
      <c r="Q860" s="8">
        <v>1013401</v>
      </c>
      <c r="R860" s="8">
        <v>1013501</v>
      </c>
      <c r="S860" s="8">
        <v>1013601</v>
      </c>
    </row>
    <row r="861" spans="1:20">
      <c r="A861" s="14" t="s">
        <v>14</v>
      </c>
      <c r="B861" s="8">
        <f t="shared" si="17"/>
        <v>70134201</v>
      </c>
      <c r="C861" s="2" t="s">
        <v>880</v>
      </c>
      <c r="E861" s="2" t="str">
        <f>F861&amp;(VLOOKUP(G861,编号表!$E$1:$G$8,2,0))&amp;H861&amp;"_"&amp;I861&amp;"_"&amp;J861</f>
        <v>13N4_2_1</v>
      </c>
      <c r="F861" s="2">
        <v>13</v>
      </c>
      <c r="G861" s="2" t="s">
        <v>37</v>
      </c>
      <c r="H861" s="2">
        <v>4</v>
      </c>
      <c r="I861" s="2">
        <v>2</v>
      </c>
      <c r="J861" s="2">
        <f>COUNTIFS($F$13:F861,F861,$I$13:I861,I861)</f>
        <v>1</v>
      </c>
      <c r="O861" s="8">
        <v>1013201</v>
      </c>
      <c r="P861" s="8">
        <v>1013301</v>
      </c>
      <c r="Q861" s="8">
        <v>1013401</v>
      </c>
      <c r="R861" s="8">
        <v>1013501</v>
      </c>
      <c r="S861" s="8">
        <v>1013601</v>
      </c>
    </row>
    <row r="862" spans="1:20">
      <c r="A862" s="14" t="s">
        <v>14</v>
      </c>
      <c r="B862" s="8">
        <f t="shared" si="17"/>
        <v>70133202</v>
      </c>
      <c r="C862" s="2" t="s">
        <v>881</v>
      </c>
      <c r="E862" s="2" t="str">
        <f>F862&amp;(VLOOKUP(G862,编号表!$E$1:$G$8,2,0))&amp;H862&amp;"_"&amp;I862&amp;"_"&amp;J862</f>
        <v>13N3_2_2</v>
      </c>
      <c r="F862" s="2">
        <v>13</v>
      </c>
      <c r="G862" s="2" t="s">
        <v>37</v>
      </c>
      <c r="H862" s="2">
        <v>3</v>
      </c>
      <c r="I862" s="2">
        <v>2</v>
      </c>
      <c r="J862" s="2">
        <f>COUNTIFS($F$13:F862,F862,$I$13:I862,I862)</f>
        <v>2</v>
      </c>
      <c r="O862" s="8">
        <v>1013201</v>
      </c>
      <c r="P862" s="8">
        <v>1013301</v>
      </c>
      <c r="Q862" s="8">
        <v>1013401</v>
      </c>
      <c r="R862" s="8">
        <v>1013501</v>
      </c>
      <c r="S862" s="8">
        <v>1013601</v>
      </c>
    </row>
    <row r="863" spans="1:20">
      <c r="A863" s="14" t="s">
        <v>14</v>
      </c>
      <c r="B863" s="8">
        <f t="shared" si="17"/>
        <v>70133203</v>
      </c>
      <c r="C863" s="2" t="s">
        <v>882</v>
      </c>
      <c r="E863" s="2" t="str">
        <f>F863&amp;(VLOOKUP(G863,编号表!$E$1:$G$8,2,0))&amp;H863&amp;"_"&amp;I863&amp;"_"&amp;J863</f>
        <v>13N3_2_3</v>
      </c>
      <c r="F863" s="2">
        <v>13</v>
      </c>
      <c r="G863" s="2" t="s">
        <v>37</v>
      </c>
      <c r="H863" s="2">
        <v>3</v>
      </c>
      <c r="I863" s="2">
        <v>2</v>
      </c>
      <c r="J863" s="2">
        <f>COUNTIFS($F$13:F863,F863,$I$13:I863,I863)</f>
        <v>3</v>
      </c>
      <c r="O863" s="8">
        <v>1013201</v>
      </c>
      <c r="P863" s="8">
        <v>1013301</v>
      </c>
      <c r="Q863" s="8">
        <v>1013401</v>
      </c>
      <c r="R863" s="8">
        <v>1013501</v>
      </c>
      <c r="S863" s="8">
        <v>1013601</v>
      </c>
    </row>
    <row r="864" spans="1:20">
      <c r="A864" s="14" t="s">
        <v>14</v>
      </c>
      <c r="B864" s="8">
        <f t="shared" si="17"/>
        <v>70133204</v>
      </c>
      <c r="C864" s="2" t="s">
        <v>883</v>
      </c>
      <c r="E864" s="2" t="str">
        <f>F864&amp;(VLOOKUP(G864,编号表!$E$1:$G$8,2,0))&amp;H864&amp;"_"&amp;I864&amp;"_"&amp;J864</f>
        <v>13N3_2_4</v>
      </c>
      <c r="F864" s="2">
        <v>13</v>
      </c>
      <c r="G864" s="2" t="s">
        <v>37</v>
      </c>
      <c r="H864" s="2">
        <v>3</v>
      </c>
      <c r="I864" s="2">
        <v>2</v>
      </c>
      <c r="J864" s="2">
        <f>COUNTIFS($F$13:F864,F864,$I$13:I864,I864)</f>
        <v>4</v>
      </c>
      <c r="O864" s="8">
        <v>1013201</v>
      </c>
      <c r="P864" s="8">
        <v>1013301</v>
      </c>
      <c r="Q864" s="8">
        <v>1013401</v>
      </c>
      <c r="R864" s="8">
        <v>1013501</v>
      </c>
      <c r="S864" s="8">
        <v>1013601</v>
      </c>
    </row>
    <row r="865" spans="1:19">
      <c r="A865" s="14" t="s">
        <v>14</v>
      </c>
      <c r="B865" s="8">
        <f t="shared" si="17"/>
        <v>70135301</v>
      </c>
      <c r="C865" s="2" t="s">
        <v>884</v>
      </c>
      <c r="E865" s="2" t="str">
        <f>F865&amp;(VLOOKUP(G865,编号表!$E$1:$G$8,2,0))&amp;H865&amp;"_"&amp;I865&amp;"_"&amp;J865</f>
        <v>13N5_3_1</v>
      </c>
      <c r="F865" s="2">
        <v>13</v>
      </c>
      <c r="G865" s="2" t="s">
        <v>37</v>
      </c>
      <c r="H865" s="2">
        <v>5</v>
      </c>
      <c r="I865" s="2">
        <v>3</v>
      </c>
      <c r="J865" s="2">
        <f>COUNTIFS($F$13:F865,F865,$I$13:I865,I865)</f>
        <v>1</v>
      </c>
      <c r="O865" s="8">
        <v>1013201</v>
      </c>
      <c r="P865" s="8">
        <v>1013301</v>
      </c>
      <c r="Q865" s="8">
        <v>1013401</v>
      </c>
      <c r="R865" s="8">
        <v>1013501</v>
      </c>
      <c r="S865" s="8">
        <v>1013601</v>
      </c>
    </row>
    <row r="866" spans="1:19">
      <c r="A866" s="14" t="s">
        <v>14</v>
      </c>
      <c r="B866" s="8">
        <f t="shared" si="17"/>
        <v>70134302</v>
      </c>
      <c r="C866" s="2" t="s">
        <v>885</v>
      </c>
      <c r="E866" s="2" t="str">
        <f>F866&amp;(VLOOKUP(G866,编号表!$E$1:$G$8,2,0))&amp;H866&amp;"_"&amp;I866&amp;"_"&amp;J866</f>
        <v>13N4_3_2</v>
      </c>
      <c r="F866" s="2">
        <v>13</v>
      </c>
      <c r="G866" s="2" t="s">
        <v>37</v>
      </c>
      <c r="H866" s="2">
        <v>4</v>
      </c>
      <c r="I866" s="2">
        <v>3</v>
      </c>
      <c r="J866" s="2">
        <f>COUNTIFS($F$13:F866,F866,$I$13:I866,I866)</f>
        <v>2</v>
      </c>
      <c r="O866" s="8">
        <v>1013201</v>
      </c>
      <c r="P866" s="8">
        <v>1013301</v>
      </c>
      <c r="Q866" s="8">
        <v>1013401</v>
      </c>
      <c r="R866" s="8">
        <v>1013501</v>
      </c>
      <c r="S866" s="8">
        <v>1013601</v>
      </c>
    </row>
    <row r="867" spans="1:19">
      <c r="A867" s="14" t="s">
        <v>14</v>
      </c>
      <c r="B867" s="8">
        <f t="shared" si="17"/>
        <v>70134303</v>
      </c>
      <c r="C867" s="2" t="s">
        <v>886</v>
      </c>
      <c r="E867" s="2" t="str">
        <f>F867&amp;(VLOOKUP(G867,编号表!$E$1:$G$8,2,0))&amp;H867&amp;"_"&amp;I867&amp;"_"&amp;J867</f>
        <v>13N4_3_3</v>
      </c>
      <c r="F867" s="2">
        <v>13</v>
      </c>
      <c r="G867" s="2" t="s">
        <v>37</v>
      </c>
      <c r="H867" s="2">
        <v>4</v>
      </c>
      <c r="I867" s="2">
        <v>3</v>
      </c>
      <c r="J867" s="2">
        <f>COUNTIFS($F$13:F867,F867,$I$13:I867,I867)</f>
        <v>3</v>
      </c>
      <c r="O867" s="8">
        <v>1013201</v>
      </c>
      <c r="P867" s="8">
        <v>1013301</v>
      </c>
      <c r="Q867" s="8">
        <v>1013401</v>
      </c>
      <c r="R867" s="8">
        <v>1013501</v>
      </c>
      <c r="S867" s="8">
        <v>1013601</v>
      </c>
    </row>
    <row r="868" spans="1:19">
      <c r="A868" s="14" t="s">
        <v>14</v>
      </c>
      <c r="B868" s="8">
        <f t="shared" si="17"/>
        <v>70134304</v>
      </c>
      <c r="C868" s="2" t="s">
        <v>887</v>
      </c>
      <c r="E868" s="2" t="str">
        <f>F868&amp;(VLOOKUP(G868,编号表!$E$1:$G$8,2,0))&amp;H868&amp;"_"&amp;I868&amp;"_"&amp;J868</f>
        <v>13N4_3_4</v>
      </c>
      <c r="F868" s="2">
        <v>13</v>
      </c>
      <c r="G868" s="2" t="s">
        <v>37</v>
      </c>
      <c r="H868" s="2">
        <v>4</v>
      </c>
      <c r="I868" s="2">
        <v>3</v>
      </c>
      <c r="J868" s="2">
        <f>COUNTIFS($F$13:F868,F868,$I$13:I868,I868)</f>
        <v>4</v>
      </c>
      <c r="O868" s="8">
        <v>1013201</v>
      </c>
      <c r="P868" s="8">
        <v>1013301</v>
      </c>
      <c r="Q868" s="8">
        <v>1013401</v>
      </c>
      <c r="R868" s="8">
        <v>1013501</v>
      </c>
      <c r="S868" s="8">
        <v>1013601</v>
      </c>
    </row>
    <row r="869" spans="1:19">
      <c r="A869" s="14" t="s">
        <v>14</v>
      </c>
      <c r="B869" s="8">
        <f t="shared" si="17"/>
        <v>70134305</v>
      </c>
      <c r="C869" s="2" t="s">
        <v>888</v>
      </c>
      <c r="E869" s="2" t="str">
        <f>F869&amp;(VLOOKUP(G869,编号表!$E$1:$G$8,2,0))&amp;H869&amp;"_"&amp;I869&amp;"_"&amp;J869</f>
        <v>13N4_3_5</v>
      </c>
      <c r="F869" s="2">
        <v>13</v>
      </c>
      <c r="G869" s="2" t="s">
        <v>37</v>
      </c>
      <c r="H869" s="2">
        <v>4</v>
      </c>
      <c r="I869" s="2">
        <v>3</v>
      </c>
      <c r="J869" s="2">
        <f>COUNTIFS($F$13:F869,F869,$I$13:I869,I869)</f>
        <v>5</v>
      </c>
      <c r="O869" s="8">
        <v>1013201</v>
      </c>
      <c r="P869" s="8">
        <v>1013301</v>
      </c>
      <c r="Q869" s="8">
        <v>1013401</v>
      </c>
      <c r="R869" s="8">
        <v>1013501</v>
      </c>
      <c r="S869" s="8">
        <v>1013601</v>
      </c>
    </row>
    <row r="870" spans="1:19">
      <c r="A870" s="14" t="s">
        <v>14</v>
      </c>
      <c r="B870" s="8">
        <f t="shared" si="17"/>
        <v>70131306</v>
      </c>
      <c r="C870" s="15" t="s">
        <v>889</v>
      </c>
      <c r="E870" s="2" t="str">
        <f>F870&amp;(VLOOKUP(G870,编号表!$E$1:$G$8,2,0))&amp;H870&amp;"_"&amp;I870&amp;"_"&amp;J870</f>
        <v>13T1_3_6</v>
      </c>
      <c r="F870" s="2">
        <v>13</v>
      </c>
      <c r="G870" s="2" t="s">
        <v>53</v>
      </c>
      <c r="H870" s="2">
        <v>1</v>
      </c>
      <c r="I870" s="2">
        <v>3</v>
      </c>
      <c r="J870" s="2">
        <f>COUNTIFS($F$13:F870,F870,$I$13:I870,I870)</f>
        <v>6</v>
      </c>
    </row>
    <row r="871" spans="1:19">
      <c r="A871" s="14" t="s">
        <v>14</v>
      </c>
      <c r="B871" s="8">
        <f t="shared" si="17"/>
        <v>70133307</v>
      </c>
      <c r="C871" s="16" t="s">
        <v>890</v>
      </c>
      <c r="D871" s="2" t="s">
        <v>891</v>
      </c>
      <c r="E871" s="2" t="str">
        <f>F871&amp;(VLOOKUP(G871,编号表!$E$1:$G$8,2,0))&amp;H871&amp;"_"&amp;I871&amp;"_"&amp;J871</f>
        <v>13T3_3_7</v>
      </c>
      <c r="F871" s="2">
        <v>13</v>
      </c>
      <c r="G871" s="2" t="s">
        <v>53</v>
      </c>
      <c r="H871" s="2">
        <v>3</v>
      </c>
      <c r="I871" s="2">
        <v>3</v>
      </c>
      <c r="J871" s="2">
        <f>COUNTIFS($F$13:F871,F871,$I$13:I871,I871)</f>
        <v>7</v>
      </c>
      <c r="M871" s="2">
        <v>128</v>
      </c>
    </row>
    <row r="872" spans="1:19">
      <c r="A872" s="14" t="s">
        <v>14</v>
      </c>
      <c r="B872" s="8">
        <f t="shared" si="17"/>
        <v>70134308</v>
      </c>
      <c r="C872" s="2" t="s">
        <v>892</v>
      </c>
      <c r="E872" s="2" t="str">
        <f>F872&amp;(VLOOKUP(G872,编号表!$E$1:$G$8,2,0))&amp;H872&amp;"_"&amp;I872&amp;"_"&amp;J872</f>
        <v>13N4_3_8</v>
      </c>
      <c r="F872" s="2">
        <v>13</v>
      </c>
      <c r="G872" s="2" t="s">
        <v>37</v>
      </c>
      <c r="H872" s="2">
        <v>4</v>
      </c>
      <c r="I872" s="2">
        <v>3</v>
      </c>
      <c r="J872" s="2">
        <f>COUNTIFS($F$13:F872,F872,$I$13:I872,I872)</f>
        <v>8</v>
      </c>
      <c r="O872" s="8">
        <v>1013201</v>
      </c>
      <c r="P872" s="8">
        <v>1013301</v>
      </c>
      <c r="Q872" s="8">
        <v>1013401</v>
      </c>
      <c r="R872" s="8">
        <v>1013501</v>
      </c>
      <c r="S872" s="8">
        <v>1013601</v>
      </c>
    </row>
    <row r="873" spans="1:19">
      <c r="A873" s="14" t="s">
        <v>14</v>
      </c>
      <c r="B873" s="8">
        <f t="shared" si="17"/>
        <v>70133309</v>
      </c>
      <c r="C873" s="2" t="s">
        <v>893</v>
      </c>
      <c r="E873" s="2" t="str">
        <f>F873&amp;(VLOOKUP(G873,编号表!$E$1:$G$8,2,0))&amp;H873&amp;"_"&amp;I873&amp;"_"&amp;J873</f>
        <v>13N3_3_9</v>
      </c>
      <c r="F873" s="2">
        <v>13</v>
      </c>
      <c r="G873" s="2" t="s">
        <v>37</v>
      </c>
      <c r="H873" s="2">
        <v>3</v>
      </c>
      <c r="I873" s="2">
        <v>3</v>
      </c>
      <c r="J873" s="2">
        <f>COUNTIFS($F$13:F873,F873,$I$13:I873,I873)</f>
        <v>9</v>
      </c>
      <c r="O873" s="8">
        <v>1013201</v>
      </c>
      <c r="P873" s="8">
        <v>1013301</v>
      </c>
      <c r="Q873" s="8">
        <v>1013401</v>
      </c>
      <c r="R873" s="8">
        <v>1013501</v>
      </c>
      <c r="S873" s="8">
        <v>1013601</v>
      </c>
    </row>
    <row r="874" spans="1:19">
      <c r="A874" s="14" t="s">
        <v>14</v>
      </c>
      <c r="B874" s="8">
        <f t="shared" si="17"/>
        <v>70134310</v>
      </c>
      <c r="C874" s="2" t="s">
        <v>894</v>
      </c>
      <c r="E874" s="2" t="str">
        <f>F874&amp;(VLOOKUP(G874,编号表!$E$1:$G$8,2,0))&amp;H874&amp;"_"&amp;I874&amp;"_"&amp;J874</f>
        <v>13N4_3_10</v>
      </c>
      <c r="F874" s="2">
        <v>13</v>
      </c>
      <c r="G874" s="2" t="s">
        <v>37</v>
      </c>
      <c r="H874" s="2">
        <v>4</v>
      </c>
      <c r="I874" s="2">
        <v>3</v>
      </c>
      <c r="J874" s="2">
        <f>COUNTIFS($F$13:F874,F874,$I$13:I874,I874)</f>
        <v>10</v>
      </c>
      <c r="O874" s="8">
        <v>1013201</v>
      </c>
      <c r="P874" s="8">
        <v>1013301</v>
      </c>
      <c r="Q874" s="8">
        <v>1013401</v>
      </c>
      <c r="R874" s="8">
        <v>1013501</v>
      </c>
      <c r="S874" s="8">
        <v>1013601</v>
      </c>
    </row>
    <row r="875" spans="1:19">
      <c r="A875" s="14" t="s">
        <v>14</v>
      </c>
      <c r="B875" s="8">
        <f t="shared" si="17"/>
        <v>70134401</v>
      </c>
      <c r="C875" s="2" t="s">
        <v>895</v>
      </c>
      <c r="E875" s="2" t="str">
        <f>F875&amp;(VLOOKUP(G875,编号表!$E$1:$G$8,2,0))&amp;H875&amp;"_"&amp;I875&amp;"_"&amp;J875</f>
        <v>13N4_4_1</v>
      </c>
      <c r="F875" s="2">
        <v>13</v>
      </c>
      <c r="G875" s="2" t="s">
        <v>37</v>
      </c>
      <c r="H875" s="2">
        <v>4</v>
      </c>
      <c r="I875" s="2">
        <v>4</v>
      </c>
      <c r="J875" s="2">
        <f>COUNTIFS($F$13:F875,F875,$I$13:I875,I875)</f>
        <v>1</v>
      </c>
      <c r="O875" s="8">
        <v>1013201</v>
      </c>
      <c r="P875" s="8">
        <v>1013301</v>
      </c>
      <c r="Q875" s="8">
        <v>1013401</v>
      </c>
      <c r="R875" s="8">
        <v>1013501</v>
      </c>
      <c r="S875" s="8">
        <v>1013601</v>
      </c>
    </row>
    <row r="876" spans="1:19">
      <c r="A876" s="14" t="s">
        <v>14</v>
      </c>
      <c r="B876" s="8">
        <f t="shared" si="17"/>
        <v>70132402</v>
      </c>
      <c r="C876" s="2" t="s">
        <v>896</v>
      </c>
      <c r="E876" s="2" t="str">
        <f>F876&amp;(VLOOKUP(G876,编号表!$E$1:$G$8,2,0))&amp;H876&amp;"_"&amp;I876&amp;"_"&amp;J876</f>
        <v>13N2_4_2</v>
      </c>
      <c r="F876" s="2">
        <v>13</v>
      </c>
      <c r="G876" s="2" t="s">
        <v>37</v>
      </c>
      <c r="H876" s="2">
        <v>2</v>
      </c>
      <c r="I876" s="2">
        <v>4</v>
      </c>
      <c r="J876" s="2">
        <f>COUNTIFS($F$13:F876,F876,$I$13:I876,I876)</f>
        <v>2</v>
      </c>
      <c r="O876" s="8">
        <v>1013201</v>
      </c>
      <c r="P876" s="8">
        <v>1013301</v>
      </c>
      <c r="Q876" s="8">
        <v>1013401</v>
      </c>
      <c r="R876" s="8">
        <v>1013501</v>
      </c>
      <c r="S876" s="8">
        <v>1013601</v>
      </c>
    </row>
    <row r="877" spans="1:19">
      <c r="A877" s="14" t="s">
        <v>14</v>
      </c>
      <c r="B877" s="8">
        <f t="shared" si="17"/>
        <v>70133403</v>
      </c>
      <c r="C877" s="2" t="s">
        <v>897</v>
      </c>
      <c r="E877" s="2" t="str">
        <f>F877&amp;(VLOOKUP(G877,编号表!$E$1:$G$8,2,0))&amp;H877&amp;"_"&amp;I877&amp;"_"&amp;J877</f>
        <v>13N3_4_3</v>
      </c>
      <c r="F877" s="2">
        <v>13</v>
      </c>
      <c r="G877" s="2" t="s">
        <v>37</v>
      </c>
      <c r="H877" s="2">
        <v>3</v>
      </c>
      <c r="I877" s="2">
        <v>4</v>
      </c>
      <c r="J877" s="2">
        <f>COUNTIFS($F$13:F877,F877,$I$13:I877,I877)</f>
        <v>3</v>
      </c>
      <c r="O877" s="8">
        <v>1013201</v>
      </c>
      <c r="P877" s="8">
        <v>1013301</v>
      </c>
      <c r="Q877" s="8">
        <v>1013401</v>
      </c>
      <c r="R877" s="8">
        <v>1013501</v>
      </c>
      <c r="S877" s="8">
        <v>1013601</v>
      </c>
    </row>
    <row r="878" spans="1:19">
      <c r="A878" s="14" t="s">
        <v>14</v>
      </c>
      <c r="B878" s="8">
        <f t="shared" si="17"/>
        <v>70133404</v>
      </c>
      <c r="C878" s="2" t="s">
        <v>898</v>
      </c>
      <c r="E878" s="2" t="str">
        <f>F878&amp;(VLOOKUP(G878,编号表!$E$1:$G$8,2,0))&amp;H878&amp;"_"&amp;I878&amp;"_"&amp;J878</f>
        <v>13N3_4_4</v>
      </c>
      <c r="F878" s="2">
        <v>13</v>
      </c>
      <c r="G878" s="2" t="s">
        <v>37</v>
      </c>
      <c r="H878" s="2">
        <v>3</v>
      </c>
      <c r="I878" s="2">
        <v>4</v>
      </c>
      <c r="J878" s="2">
        <f>COUNTIFS($F$13:F878,F878,$I$13:I878,I878)</f>
        <v>4</v>
      </c>
      <c r="O878" s="8">
        <v>1013201</v>
      </c>
      <c r="P878" s="8">
        <v>1013301</v>
      </c>
      <c r="Q878" s="8">
        <v>1013401</v>
      </c>
      <c r="R878" s="8">
        <v>1013501</v>
      </c>
      <c r="S878" s="8">
        <v>1013601</v>
      </c>
    </row>
    <row r="879" spans="1:19">
      <c r="A879" s="14" t="s">
        <v>14</v>
      </c>
      <c r="B879" s="8">
        <f t="shared" si="17"/>
        <v>70135405</v>
      </c>
      <c r="C879" s="2" t="s">
        <v>899</v>
      </c>
      <c r="E879" s="2" t="str">
        <f>F879&amp;(VLOOKUP(G879,编号表!$E$1:$G$8,2,0))&amp;H879&amp;"_"&amp;I879&amp;"_"&amp;J879</f>
        <v>13N5_4_5</v>
      </c>
      <c r="F879" s="2">
        <v>13</v>
      </c>
      <c r="G879" s="2" t="s">
        <v>37</v>
      </c>
      <c r="H879" s="2">
        <v>5</v>
      </c>
      <c r="I879" s="2">
        <v>4</v>
      </c>
      <c r="J879" s="2">
        <f>COUNTIFS($F$13:F879,F879,$I$13:I879,I879)</f>
        <v>5</v>
      </c>
      <c r="O879" s="8">
        <v>1013201</v>
      </c>
      <c r="P879" s="8">
        <v>1013301</v>
      </c>
      <c r="Q879" s="8">
        <v>1013401</v>
      </c>
      <c r="R879" s="8">
        <v>1013501</v>
      </c>
      <c r="S879" s="8">
        <v>1013601</v>
      </c>
    </row>
    <row r="880" spans="1:19">
      <c r="A880" s="14" t="s">
        <v>14</v>
      </c>
      <c r="B880" s="8">
        <f t="shared" si="17"/>
        <v>70133501</v>
      </c>
      <c r="C880" s="2" t="s">
        <v>900</v>
      </c>
      <c r="E880" s="2" t="str">
        <f>F880&amp;(VLOOKUP(G880,编号表!$E$1:$G$8,2,0))&amp;H880&amp;"_"&amp;I880&amp;"_"&amp;J880</f>
        <v>13N3_5_1</v>
      </c>
      <c r="F880" s="2">
        <v>13</v>
      </c>
      <c r="G880" s="2" t="s">
        <v>37</v>
      </c>
      <c r="H880" s="2">
        <v>3</v>
      </c>
      <c r="I880" s="2">
        <v>5</v>
      </c>
      <c r="J880" s="2">
        <f>COUNTIFS($F$13:F880,F880,$I$13:I880,I880)</f>
        <v>1</v>
      </c>
      <c r="O880" s="8">
        <v>1013201</v>
      </c>
      <c r="P880" s="8">
        <v>1013301</v>
      </c>
      <c r="Q880" s="8">
        <v>1013401</v>
      </c>
      <c r="R880" s="8">
        <v>1013501</v>
      </c>
      <c r="S880" s="8">
        <v>1013601</v>
      </c>
    </row>
    <row r="881" spans="1:19">
      <c r="A881" s="14" t="s">
        <v>14</v>
      </c>
      <c r="B881" s="8">
        <f t="shared" si="17"/>
        <v>70133502</v>
      </c>
      <c r="C881" s="2" t="s">
        <v>901</v>
      </c>
      <c r="E881" s="2" t="str">
        <f>F881&amp;(VLOOKUP(G881,编号表!$E$1:$G$8,2,0))&amp;H881&amp;"_"&amp;I881&amp;"_"&amp;J881</f>
        <v>13N3_5_2</v>
      </c>
      <c r="F881" s="2">
        <v>13</v>
      </c>
      <c r="G881" s="2" t="s">
        <v>37</v>
      </c>
      <c r="H881" s="2">
        <v>3</v>
      </c>
      <c r="I881" s="2">
        <v>5</v>
      </c>
      <c r="J881" s="2">
        <f>COUNTIFS($F$13:F881,F881,$I$13:I881,I881)</f>
        <v>2</v>
      </c>
      <c r="O881" s="8">
        <v>1013201</v>
      </c>
      <c r="P881" s="8">
        <v>1013301</v>
      </c>
      <c r="Q881" s="8">
        <v>1013401</v>
      </c>
      <c r="R881" s="8">
        <v>1013501</v>
      </c>
      <c r="S881" s="8">
        <v>1013601</v>
      </c>
    </row>
    <row r="882" spans="1:19">
      <c r="A882" s="14" t="s">
        <v>14</v>
      </c>
      <c r="B882" s="8">
        <f t="shared" si="17"/>
        <v>70133503</v>
      </c>
      <c r="C882" s="2" t="s">
        <v>902</v>
      </c>
      <c r="E882" s="2" t="str">
        <f>F882&amp;(VLOOKUP(G882,编号表!$E$1:$G$8,2,0))&amp;H882&amp;"_"&amp;I882&amp;"_"&amp;J882</f>
        <v>13N3_5_3</v>
      </c>
      <c r="F882" s="2">
        <v>13</v>
      </c>
      <c r="G882" s="2" t="s">
        <v>37</v>
      </c>
      <c r="H882" s="2">
        <v>3</v>
      </c>
      <c r="I882" s="2">
        <v>5</v>
      </c>
      <c r="J882" s="2">
        <f>COUNTIFS($F$13:F882,F882,$I$13:I882,I882)</f>
        <v>3</v>
      </c>
      <c r="O882" s="8">
        <v>1013201</v>
      </c>
      <c r="P882" s="8">
        <v>1013301</v>
      </c>
      <c r="Q882" s="8">
        <v>1013401</v>
      </c>
      <c r="R882" s="8">
        <v>1013501</v>
      </c>
      <c r="S882" s="8">
        <v>1013601</v>
      </c>
    </row>
    <row r="883" spans="1:19">
      <c r="A883" s="14" t="s">
        <v>14</v>
      </c>
      <c r="B883" s="8">
        <f t="shared" si="17"/>
        <v>70135504</v>
      </c>
      <c r="C883" s="2" t="s">
        <v>903</v>
      </c>
      <c r="E883" s="2" t="str">
        <f>F883&amp;(VLOOKUP(G883,编号表!$E$1:$G$8,2,0))&amp;H883&amp;"_"&amp;I883&amp;"_"&amp;J883</f>
        <v>13N5_5_4</v>
      </c>
      <c r="F883" s="2">
        <v>13</v>
      </c>
      <c r="G883" s="2" t="s">
        <v>37</v>
      </c>
      <c r="H883" s="2">
        <v>5</v>
      </c>
      <c r="I883" s="2">
        <v>5</v>
      </c>
      <c r="J883" s="2">
        <f>COUNTIFS($F$13:F883,F883,$I$13:I883,I883)</f>
        <v>4</v>
      </c>
      <c r="O883" s="8">
        <v>1013201</v>
      </c>
      <c r="P883" s="8">
        <v>1013301</v>
      </c>
      <c r="Q883" s="8">
        <v>1013401</v>
      </c>
      <c r="R883" s="8">
        <v>1013501</v>
      </c>
      <c r="S883" s="8">
        <v>1013601</v>
      </c>
    </row>
    <row r="884" spans="1:19">
      <c r="A884" s="14" t="s">
        <v>14</v>
      </c>
      <c r="B884" s="8">
        <f t="shared" si="17"/>
        <v>70134505</v>
      </c>
      <c r="C884" s="2" t="s">
        <v>904</v>
      </c>
      <c r="E884" s="2" t="str">
        <f>F884&amp;(VLOOKUP(G884,编号表!$E$1:$G$8,2,0))&amp;H884&amp;"_"&amp;I884&amp;"_"&amp;J884</f>
        <v>13N4_5_5</v>
      </c>
      <c r="F884" s="2">
        <v>13</v>
      </c>
      <c r="G884" s="2" t="s">
        <v>37</v>
      </c>
      <c r="H884" s="2">
        <v>4</v>
      </c>
      <c r="I884" s="2">
        <v>5</v>
      </c>
      <c r="J884" s="2">
        <f>COUNTIFS($F$13:F884,F884,$I$13:I884,I884)</f>
        <v>5</v>
      </c>
      <c r="O884" s="8">
        <v>1013201</v>
      </c>
      <c r="P884" s="8">
        <v>1013301</v>
      </c>
      <c r="Q884" s="8">
        <v>1013401</v>
      </c>
      <c r="R884" s="8">
        <v>1013501</v>
      </c>
      <c r="S884" s="8">
        <v>1013601</v>
      </c>
    </row>
    <row r="885" spans="1:19">
      <c r="A885" s="14" t="s">
        <v>14</v>
      </c>
      <c r="B885" s="8">
        <f t="shared" si="17"/>
        <v>70134506</v>
      </c>
      <c r="C885" s="2" t="s">
        <v>905</v>
      </c>
      <c r="E885" s="2" t="str">
        <f>F885&amp;(VLOOKUP(G885,编号表!$E$1:$G$8,2,0))&amp;H885&amp;"_"&amp;I885&amp;"_"&amp;J885</f>
        <v>13N4_5_6</v>
      </c>
      <c r="F885" s="2">
        <v>13</v>
      </c>
      <c r="G885" s="2" t="s">
        <v>37</v>
      </c>
      <c r="H885" s="2">
        <v>4</v>
      </c>
      <c r="I885" s="2">
        <v>5</v>
      </c>
      <c r="J885" s="2">
        <f>COUNTIFS($F$13:F885,F885,$I$13:I885,I885)</f>
        <v>6</v>
      </c>
      <c r="O885" s="8">
        <v>1013201</v>
      </c>
      <c r="P885" s="8">
        <v>1013301</v>
      </c>
      <c r="Q885" s="8">
        <v>1013401</v>
      </c>
      <c r="R885" s="8">
        <v>1013501</v>
      </c>
      <c r="S885" s="8">
        <v>1013601</v>
      </c>
    </row>
    <row r="886" spans="1:19">
      <c r="A886" s="14" t="s">
        <v>14</v>
      </c>
      <c r="B886" s="8">
        <f t="shared" si="17"/>
        <v>70134507</v>
      </c>
      <c r="C886" s="2" t="s">
        <v>906</v>
      </c>
      <c r="E886" s="2" t="str">
        <f>F886&amp;(VLOOKUP(G886,编号表!$E$1:$G$8,2,0))&amp;H886&amp;"_"&amp;I886&amp;"_"&amp;J886</f>
        <v>13N4_5_7</v>
      </c>
      <c r="F886" s="2">
        <v>13</v>
      </c>
      <c r="G886" s="2" t="s">
        <v>37</v>
      </c>
      <c r="H886" s="2">
        <v>4</v>
      </c>
      <c r="I886" s="2">
        <v>5</v>
      </c>
      <c r="J886" s="2">
        <f>COUNTIFS($F$13:F886,F886,$I$13:I886,I886)</f>
        <v>7</v>
      </c>
      <c r="O886" s="8">
        <v>1013201</v>
      </c>
      <c r="P886" s="8">
        <v>1013301</v>
      </c>
      <c r="Q886" s="8">
        <v>1013401</v>
      </c>
      <c r="R886" s="8">
        <v>1013501</v>
      </c>
      <c r="S886" s="8">
        <v>1013601</v>
      </c>
    </row>
    <row r="887" spans="1:19">
      <c r="A887" s="14" t="s">
        <v>14</v>
      </c>
      <c r="B887" s="8">
        <f t="shared" si="17"/>
        <v>70134508</v>
      </c>
      <c r="C887" s="2" t="s">
        <v>907</v>
      </c>
      <c r="E887" s="2" t="str">
        <f>F887&amp;(VLOOKUP(G887,编号表!$E$1:$G$8,2,0))&amp;H887&amp;"_"&amp;I887&amp;"_"&amp;J887</f>
        <v>13N4_5_8</v>
      </c>
      <c r="F887" s="2">
        <v>13</v>
      </c>
      <c r="G887" s="2" t="s">
        <v>37</v>
      </c>
      <c r="H887" s="2">
        <v>4</v>
      </c>
      <c r="I887" s="2">
        <v>5</v>
      </c>
      <c r="J887" s="2">
        <f>COUNTIFS($F$13:F887,F887,$I$13:I887,I887)</f>
        <v>8</v>
      </c>
      <c r="O887" s="8">
        <v>1013201</v>
      </c>
      <c r="P887" s="8">
        <v>1013301</v>
      </c>
      <c r="Q887" s="8">
        <v>1013401</v>
      </c>
      <c r="R887" s="8">
        <v>1013501</v>
      </c>
      <c r="S887" s="8">
        <v>1013601</v>
      </c>
    </row>
    <row r="888" spans="1:19">
      <c r="A888" s="14" t="s">
        <v>14</v>
      </c>
      <c r="B888" s="8">
        <f t="shared" si="17"/>
        <v>70134509</v>
      </c>
      <c r="C888" s="2" t="s">
        <v>908</v>
      </c>
      <c r="E888" s="2" t="str">
        <f>F888&amp;(VLOOKUP(G888,编号表!$E$1:$G$8,2,0))&amp;H888&amp;"_"&amp;I888&amp;"_"&amp;J888</f>
        <v>13N4_5_9</v>
      </c>
      <c r="F888" s="2">
        <v>13</v>
      </c>
      <c r="G888" s="2" t="s">
        <v>37</v>
      </c>
      <c r="H888" s="2">
        <v>4</v>
      </c>
      <c r="I888" s="2">
        <v>5</v>
      </c>
      <c r="J888" s="2">
        <f>COUNTIFS($F$13:F888,F888,$I$13:I888,I888)</f>
        <v>9</v>
      </c>
      <c r="O888" s="8">
        <v>1013201</v>
      </c>
      <c r="P888" s="8">
        <v>1013301</v>
      </c>
      <c r="Q888" s="8">
        <v>1013401</v>
      </c>
      <c r="R888" s="8">
        <v>1013501</v>
      </c>
      <c r="S888" s="8">
        <v>1013601</v>
      </c>
    </row>
    <row r="889" spans="1:19">
      <c r="A889" s="14" t="s">
        <v>14</v>
      </c>
      <c r="B889" s="8">
        <f t="shared" si="17"/>
        <v>70134510</v>
      </c>
      <c r="C889" s="2" t="s">
        <v>909</v>
      </c>
      <c r="E889" s="2" t="str">
        <f>F889&amp;(VLOOKUP(G889,编号表!$E$1:$G$8,2,0))&amp;H889&amp;"_"&amp;I889&amp;"_"&amp;J889</f>
        <v>13N4_5_10</v>
      </c>
      <c r="F889" s="2">
        <v>13</v>
      </c>
      <c r="G889" s="2" t="s">
        <v>37</v>
      </c>
      <c r="H889" s="2">
        <v>4</v>
      </c>
      <c r="I889" s="2">
        <v>5</v>
      </c>
      <c r="J889" s="2">
        <f>COUNTIFS($F$13:F889,F889,$I$13:I889,I889)</f>
        <v>10</v>
      </c>
      <c r="O889" s="8">
        <v>1013201</v>
      </c>
      <c r="P889" s="8">
        <v>1013301</v>
      </c>
      <c r="Q889" s="8">
        <v>1013401</v>
      </c>
      <c r="R889" s="8">
        <v>1013501</v>
      </c>
      <c r="S889" s="8">
        <v>1013601</v>
      </c>
    </row>
    <row r="890" spans="1:19">
      <c r="A890" s="14" t="s">
        <v>14</v>
      </c>
      <c r="B890" s="8">
        <f t="shared" si="17"/>
        <v>70132601</v>
      </c>
      <c r="C890" s="2" t="s">
        <v>910</v>
      </c>
      <c r="E890" s="2" t="str">
        <f>F890&amp;(VLOOKUP(G890,编号表!$E$1:$G$8,2,0))&amp;H890&amp;"_"&amp;I890&amp;"_"&amp;J890</f>
        <v>13N2_6_1</v>
      </c>
      <c r="F890" s="2">
        <v>13</v>
      </c>
      <c r="G890" s="2" t="s">
        <v>37</v>
      </c>
      <c r="H890" s="2">
        <v>2</v>
      </c>
      <c r="I890" s="2">
        <v>6</v>
      </c>
      <c r="J890" s="2">
        <f>COUNTIFS($F$13:F890,F890,$I$13:I890,I890)</f>
        <v>1</v>
      </c>
      <c r="O890" s="8">
        <v>1013201</v>
      </c>
      <c r="P890" s="8">
        <v>1013301</v>
      </c>
      <c r="Q890" s="8">
        <v>1013401</v>
      </c>
      <c r="R890" s="8">
        <v>1013501</v>
      </c>
      <c r="S890" s="8">
        <v>1013601</v>
      </c>
    </row>
    <row r="891" spans="1:19">
      <c r="A891" s="14" t="s">
        <v>14</v>
      </c>
      <c r="B891" s="8">
        <f t="shared" si="17"/>
        <v>70133602</v>
      </c>
      <c r="C891" s="16" t="s">
        <v>93</v>
      </c>
      <c r="D891" s="2" t="s">
        <v>832</v>
      </c>
      <c r="E891" s="2" t="str">
        <f>F891&amp;(VLOOKUP(G891,编号表!$E$1:$G$8,2,0))&amp;H891&amp;"_"&amp;I891&amp;"_"&amp;J891</f>
        <v>13T3_6_2</v>
      </c>
      <c r="F891" s="2">
        <v>13</v>
      </c>
      <c r="G891" s="2" t="s">
        <v>53</v>
      </c>
      <c r="H891" s="2">
        <v>3</v>
      </c>
      <c r="I891" s="2">
        <v>6</v>
      </c>
      <c r="J891" s="2">
        <f>COUNTIFS($F$13:F891,F891,$I$13:I891,I891)</f>
        <v>2</v>
      </c>
      <c r="M891" s="2">
        <v>127</v>
      </c>
    </row>
    <row r="892" spans="1:19">
      <c r="A892" s="14" t="s">
        <v>14</v>
      </c>
      <c r="B892" s="8">
        <f t="shared" si="17"/>
        <v>70131603</v>
      </c>
      <c r="C892" s="15" t="s">
        <v>834</v>
      </c>
      <c r="E892" s="2" t="str">
        <f>F892&amp;(VLOOKUP(G892,编号表!$E$1:$G$8,2,0))&amp;H892&amp;"_"&amp;I892&amp;"_"&amp;J892</f>
        <v>13T1_6_3</v>
      </c>
      <c r="F892" s="2">
        <v>13</v>
      </c>
      <c r="G892" s="2" t="s">
        <v>53</v>
      </c>
      <c r="H892" s="2">
        <v>1</v>
      </c>
      <c r="I892" s="2">
        <v>6</v>
      </c>
      <c r="J892" s="2">
        <f>COUNTIFS($F$13:F892,F892,$I$13:I892,I892)</f>
        <v>3</v>
      </c>
      <c r="L892" s="2">
        <v>1</v>
      </c>
    </row>
    <row r="893" spans="1:19">
      <c r="A893" s="14" t="s">
        <v>14</v>
      </c>
      <c r="B893" s="8">
        <f t="shared" si="17"/>
        <v>70132604</v>
      </c>
      <c r="C893" s="2" t="s">
        <v>911</v>
      </c>
      <c r="E893" s="2" t="str">
        <f>F893&amp;(VLOOKUP(G893,编号表!$E$1:$G$8,2,0))&amp;H893&amp;"_"&amp;I893&amp;"_"&amp;J893</f>
        <v>13N2_6_4</v>
      </c>
      <c r="F893" s="2">
        <v>13</v>
      </c>
      <c r="G893" s="2" t="s">
        <v>37</v>
      </c>
      <c r="H893" s="2">
        <v>2</v>
      </c>
      <c r="I893" s="2">
        <v>6</v>
      </c>
      <c r="J893" s="2">
        <f>COUNTIFS($F$13:F893,F893,$I$13:I893,I893)</f>
        <v>4</v>
      </c>
      <c r="O893" s="8">
        <v>1013201</v>
      </c>
      <c r="P893" s="8">
        <v>1013301</v>
      </c>
      <c r="Q893" s="8">
        <v>1013401</v>
      </c>
      <c r="R893" s="8">
        <v>1013501</v>
      </c>
      <c r="S893" s="8">
        <v>1013601</v>
      </c>
    </row>
    <row r="894" spans="1:19">
      <c r="A894" s="14" t="s">
        <v>14</v>
      </c>
      <c r="B894" s="8">
        <f t="shared" si="17"/>
        <v>70134605</v>
      </c>
      <c r="C894" s="2" t="s">
        <v>912</v>
      </c>
      <c r="E894" s="2" t="str">
        <f>F894&amp;(VLOOKUP(G894,编号表!$E$1:$G$8,2,0))&amp;H894&amp;"_"&amp;I894&amp;"_"&amp;J894</f>
        <v>13N4_6_5</v>
      </c>
      <c r="F894" s="2">
        <v>13</v>
      </c>
      <c r="G894" s="2" t="s">
        <v>37</v>
      </c>
      <c r="H894" s="2">
        <v>4</v>
      </c>
      <c r="I894" s="2">
        <v>6</v>
      </c>
      <c r="J894" s="2">
        <f>COUNTIFS($F$13:F894,F894,$I$13:I894,I894)</f>
        <v>5</v>
      </c>
      <c r="O894" s="8">
        <v>1013201</v>
      </c>
      <c r="P894" s="8">
        <v>1013301</v>
      </c>
      <c r="Q894" s="8">
        <v>1013401</v>
      </c>
      <c r="R894" s="8">
        <v>1013501</v>
      </c>
      <c r="S894" s="8">
        <v>1013601</v>
      </c>
    </row>
    <row r="895" spans="1:19">
      <c r="A895" s="14" t="s">
        <v>14</v>
      </c>
      <c r="B895" s="8">
        <f t="shared" si="17"/>
        <v>70134606</v>
      </c>
      <c r="C895" s="2" t="s">
        <v>913</v>
      </c>
      <c r="E895" s="2" t="str">
        <f>F895&amp;(VLOOKUP(G895,编号表!$E$1:$G$8,2,0))&amp;H895&amp;"_"&amp;I895&amp;"_"&amp;J895</f>
        <v>13N4_6_6</v>
      </c>
      <c r="F895" s="2">
        <v>13</v>
      </c>
      <c r="G895" s="2" t="s">
        <v>37</v>
      </c>
      <c r="H895" s="2">
        <v>4</v>
      </c>
      <c r="I895" s="2">
        <v>6</v>
      </c>
      <c r="J895" s="2">
        <f>COUNTIFS($F$13:F895,F895,$I$13:I895,I895)</f>
        <v>6</v>
      </c>
      <c r="O895" s="8">
        <v>1013201</v>
      </c>
      <c r="P895" s="8">
        <v>1013301</v>
      </c>
      <c r="Q895" s="8">
        <v>1013401</v>
      </c>
      <c r="R895" s="8">
        <v>1013501</v>
      </c>
      <c r="S895" s="8">
        <v>1013601</v>
      </c>
    </row>
    <row r="896" spans="1:19">
      <c r="A896" s="14" t="s">
        <v>14</v>
      </c>
      <c r="B896" s="8">
        <f t="shared" si="17"/>
        <v>70134607</v>
      </c>
      <c r="C896" s="2" t="s">
        <v>914</v>
      </c>
      <c r="E896" s="2" t="str">
        <f>F896&amp;(VLOOKUP(G896,编号表!$E$1:$G$8,2,0))&amp;H896&amp;"_"&amp;I896&amp;"_"&amp;J896</f>
        <v>13N4_6_7</v>
      </c>
      <c r="F896" s="2">
        <v>13</v>
      </c>
      <c r="G896" s="2" t="s">
        <v>37</v>
      </c>
      <c r="H896" s="2">
        <v>4</v>
      </c>
      <c r="I896" s="2">
        <v>6</v>
      </c>
      <c r="J896" s="2">
        <f>COUNTIFS($F$13:F896,F896,$I$13:I896,I896)</f>
        <v>7</v>
      </c>
      <c r="O896" s="8">
        <v>1013201</v>
      </c>
      <c r="P896" s="8">
        <v>1013301</v>
      </c>
      <c r="Q896" s="8">
        <v>1013401</v>
      </c>
      <c r="R896" s="8">
        <v>1013501</v>
      </c>
      <c r="S896" s="8">
        <v>1013601</v>
      </c>
    </row>
    <row r="897" spans="1:20">
      <c r="A897" s="14" t="s">
        <v>14</v>
      </c>
      <c r="B897" s="8">
        <f t="shared" si="17"/>
        <v>70134608</v>
      </c>
      <c r="C897" s="2" t="s">
        <v>915</v>
      </c>
      <c r="E897" s="2" t="str">
        <f>F897&amp;(VLOOKUP(G897,编号表!$E$1:$G$8,2,0))&amp;H897&amp;"_"&amp;I897&amp;"_"&amp;J897</f>
        <v>13N4_6_8</v>
      </c>
      <c r="F897" s="2">
        <v>13</v>
      </c>
      <c r="G897" s="2" t="s">
        <v>37</v>
      </c>
      <c r="H897" s="2">
        <v>4</v>
      </c>
      <c r="I897" s="2">
        <v>6</v>
      </c>
      <c r="J897" s="2">
        <f>COUNTIFS($F$13:F897,F897,$I$13:I897,I897)</f>
        <v>8</v>
      </c>
      <c r="O897" s="8">
        <v>1013201</v>
      </c>
      <c r="P897" s="8">
        <v>1013301</v>
      </c>
      <c r="Q897" s="8">
        <v>1013401</v>
      </c>
      <c r="R897" s="8">
        <v>1013501</v>
      </c>
      <c r="S897" s="8">
        <v>1013601</v>
      </c>
    </row>
    <row r="898" spans="1:20">
      <c r="A898" s="14" t="s">
        <v>14</v>
      </c>
      <c r="B898" s="8">
        <f t="shared" si="17"/>
        <v>70134609</v>
      </c>
      <c r="C898" s="2" t="s">
        <v>916</v>
      </c>
      <c r="E898" s="2" t="str">
        <f>F898&amp;(VLOOKUP(G898,编号表!$E$1:$G$8,2,0))&amp;H898&amp;"_"&amp;I898&amp;"_"&amp;J898</f>
        <v>13N4_6_9</v>
      </c>
      <c r="F898" s="2">
        <v>13</v>
      </c>
      <c r="G898" s="2" t="s">
        <v>37</v>
      </c>
      <c r="H898" s="2">
        <v>4</v>
      </c>
      <c r="I898" s="2">
        <v>6</v>
      </c>
      <c r="J898" s="2">
        <f>COUNTIFS($F$13:F898,F898,$I$13:I898,I898)</f>
        <v>9</v>
      </c>
      <c r="O898" s="8">
        <v>1013201</v>
      </c>
      <c r="P898" s="8">
        <v>1013301</v>
      </c>
      <c r="Q898" s="8">
        <v>1013401</v>
      </c>
      <c r="R898" s="8">
        <v>1013501</v>
      </c>
      <c r="S898" s="8">
        <v>1013601</v>
      </c>
    </row>
    <row r="899" spans="1:20">
      <c r="A899" s="14" t="s">
        <v>14</v>
      </c>
      <c r="B899" s="8">
        <f t="shared" si="17"/>
        <v>70134610</v>
      </c>
      <c r="C899" s="2" t="s">
        <v>917</v>
      </c>
      <c r="E899" s="2" t="str">
        <f>F899&amp;(VLOOKUP(G899,编号表!$E$1:$G$8,2,0))&amp;H899&amp;"_"&amp;I899&amp;"_"&amp;J899</f>
        <v>13N4_6_10</v>
      </c>
      <c r="F899" s="2">
        <v>13</v>
      </c>
      <c r="G899" s="2" t="s">
        <v>37</v>
      </c>
      <c r="H899" s="2">
        <v>4</v>
      </c>
      <c r="I899" s="2">
        <v>6</v>
      </c>
      <c r="J899" s="2">
        <f>COUNTIFS($F$13:F899,F899,$I$13:I899,I899)</f>
        <v>10</v>
      </c>
      <c r="O899" s="8">
        <v>1013201</v>
      </c>
      <c r="P899" s="8">
        <v>1013301</v>
      </c>
      <c r="Q899" s="8">
        <v>1013401</v>
      </c>
      <c r="R899" s="8">
        <v>1013501</v>
      </c>
      <c r="S899" s="8">
        <v>1013601</v>
      </c>
    </row>
    <row r="900" spans="1:20">
      <c r="A900" s="14" t="s">
        <v>14</v>
      </c>
      <c r="B900" s="8">
        <f t="shared" ref="B900:B963" si="18">70000000+F900*10000+H900*1000+I900*100+J900</f>
        <v>70134611</v>
      </c>
      <c r="C900" s="2" t="s">
        <v>918</v>
      </c>
      <c r="E900" s="2" t="str">
        <f>F900&amp;(VLOOKUP(G900,编号表!$E$1:$G$8,2,0))&amp;H900&amp;"_"&amp;I900&amp;"_"&amp;J900</f>
        <v>13N4_6_11</v>
      </c>
      <c r="F900" s="2">
        <v>13</v>
      </c>
      <c r="G900" s="2" t="s">
        <v>37</v>
      </c>
      <c r="H900" s="2">
        <v>4</v>
      </c>
      <c r="I900" s="2">
        <v>6</v>
      </c>
      <c r="J900" s="2">
        <f>COUNTIFS($F$13:F900,F900,$I$13:I900,I900)</f>
        <v>11</v>
      </c>
      <c r="O900" s="8">
        <v>1013201</v>
      </c>
      <c r="P900" s="8">
        <v>1013301</v>
      </c>
      <c r="Q900" s="8">
        <v>1013401</v>
      </c>
      <c r="R900" s="8">
        <v>1013501</v>
      </c>
      <c r="S900" s="8">
        <v>1013601</v>
      </c>
    </row>
    <row r="901" spans="1:20">
      <c r="A901" s="14" t="s">
        <v>14</v>
      </c>
      <c r="B901" s="8">
        <f t="shared" si="18"/>
        <v>70134612</v>
      </c>
      <c r="C901" s="2" t="s">
        <v>919</v>
      </c>
      <c r="E901" s="2" t="str">
        <f>F901&amp;(VLOOKUP(G901,编号表!$E$1:$G$8,2,0))&amp;H901&amp;"_"&amp;I901&amp;"_"&amp;J901</f>
        <v>13N4_6_12</v>
      </c>
      <c r="F901" s="2">
        <v>13</v>
      </c>
      <c r="G901" s="2" t="s">
        <v>37</v>
      </c>
      <c r="H901" s="2">
        <v>4</v>
      </c>
      <c r="I901" s="2">
        <v>6</v>
      </c>
      <c r="J901" s="2">
        <f>COUNTIFS($F$13:F901,F901,$I$13:I901,I901)</f>
        <v>12</v>
      </c>
      <c r="O901" s="8">
        <v>1013201</v>
      </c>
      <c r="P901" s="8">
        <v>1013301</v>
      </c>
      <c r="Q901" s="8">
        <v>1013401</v>
      </c>
      <c r="R901" s="8">
        <v>1013501</v>
      </c>
      <c r="S901" s="8">
        <v>1013601</v>
      </c>
    </row>
    <row r="902" spans="1:20">
      <c r="A902" s="14" t="s">
        <v>14</v>
      </c>
      <c r="B902" s="8">
        <f t="shared" si="18"/>
        <v>70133613</v>
      </c>
      <c r="C902" s="2" t="s">
        <v>920</v>
      </c>
      <c r="E902" s="2" t="str">
        <f>F902&amp;(VLOOKUP(G902,编号表!$E$1:$G$8,2,0))&amp;H902&amp;"_"&amp;I902&amp;"_"&amp;J902</f>
        <v>13N3_6_13</v>
      </c>
      <c r="F902" s="2">
        <v>13</v>
      </c>
      <c r="G902" s="2" t="s">
        <v>37</v>
      </c>
      <c r="H902" s="2">
        <v>3</v>
      </c>
      <c r="I902" s="2">
        <v>6</v>
      </c>
      <c r="J902" s="2">
        <f>COUNTIFS($F$13:F902,F902,$I$13:I902,I902)</f>
        <v>13</v>
      </c>
      <c r="O902" s="8">
        <v>1013201</v>
      </c>
      <c r="P902" s="8">
        <v>1013301</v>
      </c>
      <c r="Q902" s="8">
        <v>1013401</v>
      </c>
      <c r="R902" s="8">
        <v>1013501</v>
      </c>
      <c r="S902" s="8">
        <v>1013601</v>
      </c>
    </row>
    <row r="903" spans="1:20">
      <c r="A903" s="14" t="s">
        <v>14</v>
      </c>
      <c r="B903" s="8">
        <f t="shared" si="18"/>
        <v>70135614</v>
      </c>
      <c r="C903" s="2" t="s">
        <v>921</v>
      </c>
      <c r="E903" s="2" t="str">
        <f>F903&amp;(VLOOKUP(G903,编号表!$E$1:$G$8,2,0))&amp;H903&amp;"_"&amp;I903&amp;"_"&amp;J903</f>
        <v>13N5_6_14</v>
      </c>
      <c r="F903" s="2">
        <v>13</v>
      </c>
      <c r="G903" s="2" t="s">
        <v>37</v>
      </c>
      <c r="H903" s="2">
        <v>5</v>
      </c>
      <c r="I903" s="2">
        <v>6</v>
      </c>
      <c r="J903" s="2">
        <f>COUNTIFS($F$13:F903,F903,$I$13:I903,I903)</f>
        <v>14</v>
      </c>
      <c r="O903" s="8">
        <v>1013201</v>
      </c>
      <c r="P903" s="8">
        <v>1013301</v>
      </c>
      <c r="Q903" s="8">
        <v>1013401</v>
      </c>
      <c r="R903" s="8">
        <v>1013501</v>
      </c>
      <c r="S903" s="8">
        <v>1013601</v>
      </c>
    </row>
    <row r="904" spans="1:20">
      <c r="A904" s="14" t="s">
        <v>14</v>
      </c>
      <c r="B904" s="8">
        <f t="shared" si="18"/>
        <v>70130001</v>
      </c>
      <c r="C904" s="18" t="s">
        <v>922</v>
      </c>
      <c r="E904" s="2" t="str">
        <f>F904&amp;(VLOOKUP(G904,编号表!$E$1:$G$8,2,0))&amp;H904&amp;"_"&amp;I904&amp;"_"&amp;J904</f>
        <v>13J0_0_1</v>
      </c>
      <c r="F904" s="2">
        <v>13</v>
      </c>
      <c r="G904" s="2" t="s">
        <v>86</v>
      </c>
      <c r="H904" s="2">
        <v>0</v>
      </c>
      <c r="I904" s="2">
        <v>0</v>
      </c>
      <c r="J904" s="2">
        <f>COUNTIFS($F$13:F904,F904,$I$13:I904,I904)</f>
        <v>1</v>
      </c>
      <c r="K904" s="2">
        <v>1</v>
      </c>
    </row>
    <row r="905" spans="1:20">
      <c r="A905" s="14" t="s">
        <v>14</v>
      </c>
      <c r="B905" s="8">
        <f t="shared" si="18"/>
        <v>70143101</v>
      </c>
      <c r="C905" s="2" t="s">
        <v>923</v>
      </c>
      <c r="E905" s="2" t="str">
        <f>F905&amp;(VLOOKUP(G905,编号表!$E$1:$G$8,2,0))&amp;H905&amp;"_"&amp;I905&amp;"_"&amp;J905</f>
        <v>14N3_1_1</v>
      </c>
      <c r="F905" s="2">
        <v>14</v>
      </c>
      <c r="G905" s="2" t="s">
        <v>37</v>
      </c>
      <c r="H905" s="2">
        <v>3</v>
      </c>
      <c r="I905" s="2">
        <v>1</v>
      </c>
      <c r="J905" s="2">
        <f>COUNTIFS($F$13:F905,F905,$I$13:I905,I905)</f>
        <v>1</v>
      </c>
      <c r="O905" s="8">
        <v>1014201</v>
      </c>
      <c r="P905" s="8">
        <v>1014301</v>
      </c>
      <c r="Q905" s="8">
        <v>1014401</v>
      </c>
      <c r="R905" s="8">
        <v>1014501</v>
      </c>
      <c r="S905" s="8">
        <v>1014601</v>
      </c>
      <c r="T905" s="8">
        <v>1014001</v>
      </c>
    </row>
    <row r="906" spans="1:20">
      <c r="A906" s="14" t="s">
        <v>14</v>
      </c>
      <c r="B906" s="8">
        <f t="shared" si="18"/>
        <v>70143102</v>
      </c>
      <c r="C906" s="2" t="s">
        <v>924</v>
      </c>
      <c r="E906" s="2" t="str">
        <f>F906&amp;(VLOOKUP(G906,编号表!$E$1:$G$8,2,0))&amp;H906&amp;"_"&amp;I906&amp;"_"&amp;J906</f>
        <v>14N3_1_2</v>
      </c>
      <c r="F906" s="2">
        <v>14</v>
      </c>
      <c r="G906" s="2" t="s">
        <v>37</v>
      </c>
      <c r="H906" s="2">
        <v>3</v>
      </c>
      <c r="I906" s="2">
        <v>1</v>
      </c>
      <c r="J906" s="2">
        <f>COUNTIFS($F$13:F906,F906,$I$13:I906,I906)</f>
        <v>2</v>
      </c>
      <c r="O906" s="8">
        <v>1014201</v>
      </c>
      <c r="P906" s="8">
        <v>1014301</v>
      </c>
      <c r="Q906" s="8">
        <v>1014401</v>
      </c>
      <c r="R906" s="8">
        <v>1014501</v>
      </c>
      <c r="S906" s="8">
        <v>1014601</v>
      </c>
      <c r="T906" s="8">
        <v>1014101</v>
      </c>
    </row>
    <row r="907" spans="1:20">
      <c r="A907" s="14" t="s">
        <v>14</v>
      </c>
      <c r="B907" s="8">
        <f t="shared" si="18"/>
        <v>70143103</v>
      </c>
      <c r="C907" s="2" t="s">
        <v>925</v>
      </c>
      <c r="E907" s="2" t="str">
        <f>F907&amp;(VLOOKUP(G907,编号表!$E$1:$G$8,2,0))&amp;H907&amp;"_"&amp;I907&amp;"_"&amp;J907</f>
        <v>14N3_1_3</v>
      </c>
      <c r="F907" s="2">
        <v>14</v>
      </c>
      <c r="G907" s="2" t="s">
        <v>37</v>
      </c>
      <c r="H907" s="2">
        <v>3</v>
      </c>
      <c r="I907" s="2">
        <v>1</v>
      </c>
      <c r="J907" s="2">
        <f>COUNTIFS($F$13:F907,F907,$I$13:I907,I907)</f>
        <v>3</v>
      </c>
      <c r="O907" s="8">
        <v>1014201</v>
      </c>
      <c r="P907" s="8">
        <v>1014301</v>
      </c>
      <c r="Q907" s="8">
        <v>1014401</v>
      </c>
      <c r="R907" s="8">
        <v>1014501</v>
      </c>
      <c r="S907" s="8">
        <v>1014601</v>
      </c>
    </row>
    <row r="908" spans="1:20">
      <c r="A908" s="14" t="s">
        <v>14</v>
      </c>
      <c r="B908" s="8">
        <f t="shared" si="18"/>
        <v>70141104</v>
      </c>
      <c r="C908" s="2" t="s">
        <v>926</v>
      </c>
      <c r="E908" s="2" t="str">
        <f>F908&amp;(VLOOKUP(G908,编号表!$E$1:$G$8,2,0))&amp;H908&amp;"_"&amp;I908&amp;"_"&amp;J908</f>
        <v>14N1_1_4</v>
      </c>
      <c r="F908" s="2">
        <v>14</v>
      </c>
      <c r="G908" s="2" t="s">
        <v>37</v>
      </c>
      <c r="H908" s="2">
        <v>1</v>
      </c>
      <c r="I908" s="2">
        <v>1</v>
      </c>
      <c r="J908" s="2">
        <f>COUNTIFS($F$13:F908,F908,$I$13:I908,I908)</f>
        <v>4</v>
      </c>
      <c r="O908" s="8">
        <v>1014201</v>
      </c>
      <c r="P908" s="8">
        <v>1014301</v>
      </c>
      <c r="Q908" s="8">
        <v>1014401</v>
      </c>
      <c r="R908" s="8">
        <v>1014501</v>
      </c>
      <c r="S908" s="8">
        <v>1014601</v>
      </c>
    </row>
    <row r="909" spans="1:20">
      <c r="A909" s="14" t="s">
        <v>14</v>
      </c>
      <c r="B909" s="8">
        <f t="shared" si="18"/>
        <v>70143105</v>
      </c>
      <c r="C909" s="16" t="s">
        <v>833</v>
      </c>
      <c r="D909" s="2" t="s">
        <v>889</v>
      </c>
      <c r="E909" s="2" t="str">
        <f>F909&amp;(VLOOKUP(G909,编号表!$E$1:$G$8,2,0))&amp;H909&amp;"_"&amp;I909&amp;"_"&amp;J909</f>
        <v>14T3_1_5</v>
      </c>
      <c r="F909" s="2">
        <v>14</v>
      </c>
      <c r="G909" s="2" t="s">
        <v>53</v>
      </c>
      <c r="H909" s="2">
        <v>3</v>
      </c>
      <c r="I909" s="2">
        <v>1</v>
      </c>
      <c r="J909" s="2">
        <f>COUNTIFS($F$13:F909,F909,$I$13:I909,I909)</f>
        <v>5</v>
      </c>
      <c r="M909" s="2">
        <v>129</v>
      </c>
    </row>
    <row r="910" spans="1:20">
      <c r="A910" s="14" t="s">
        <v>14</v>
      </c>
      <c r="B910" s="8">
        <f t="shared" si="18"/>
        <v>70141106</v>
      </c>
      <c r="C910" s="15" t="s">
        <v>891</v>
      </c>
      <c r="E910" s="2" t="str">
        <f>F910&amp;(VLOOKUP(G910,编号表!$E$1:$G$8,2,0))&amp;H910&amp;"_"&amp;I910&amp;"_"&amp;J910</f>
        <v>14T1_1_6</v>
      </c>
      <c r="F910" s="2">
        <v>14</v>
      </c>
      <c r="G910" s="2" t="s">
        <v>53</v>
      </c>
      <c r="H910" s="2">
        <v>1</v>
      </c>
      <c r="I910" s="2">
        <v>1</v>
      </c>
      <c r="J910" s="2">
        <f>COUNTIFS($F$13:F910,F910,$I$13:I910,I910)</f>
        <v>6</v>
      </c>
      <c r="L910" s="2">
        <v>1</v>
      </c>
    </row>
    <row r="911" spans="1:20">
      <c r="A911" s="14" t="s">
        <v>14</v>
      </c>
      <c r="B911" s="8">
        <f t="shared" si="18"/>
        <v>70141107</v>
      </c>
      <c r="C911" s="2" t="s">
        <v>927</v>
      </c>
      <c r="E911" s="2" t="str">
        <f>F911&amp;(VLOOKUP(G911,编号表!$E$1:$G$8,2,0))&amp;H911&amp;"_"&amp;I911&amp;"_"&amp;J911</f>
        <v>14N1_1_7</v>
      </c>
      <c r="F911" s="2">
        <v>14</v>
      </c>
      <c r="G911" s="2" t="s">
        <v>37</v>
      </c>
      <c r="H911" s="2">
        <v>1</v>
      </c>
      <c r="I911" s="2">
        <v>1</v>
      </c>
      <c r="J911" s="2">
        <f>COUNTIFS($F$13:F911,F911,$I$13:I911,I911)</f>
        <v>7</v>
      </c>
      <c r="O911" s="8">
        <v>1014201</v>
      </c>
      <c r="P911" s="8">
        <v>1014301</v>
      </c>
      <c r="Q911" s="8">
        <v>1014401</v>
      </c>
      <c r="R911" s="8">
        <v>1014501</v>
      </c>
      <c r="S911" s="8">
        <v>1014601</v>
      </c>
    </row>
    <row r="912" spans="1:20">
      <c r="A912" s="14" t="s">
        <v>14</v>
      </c>
      <c r="B912" s="8">
        <f t="shared" si="18"/>
        <v>70143108</v>
      </c>
      <c r="C912" s="2" t="s">
        <v>928</v>
      </c>
      <c r="E912" s="2" t="str">
        <f>F912&amp;(VLOOKUP(G912,编号表!$E$1:$G$8,2,0))&amp;H912&amp;"_"&amp;I912&amp;"_"&amp;J912</f>
        <v>14N3_1_8</v>
      </c>
      <c r="F912" s="2">
        <v>14</v>
      </c>
      <c r="G912" s="2" t="s">
        <v>37</v>
      </c>
      <c r="H912" s="2">
        <v>3</v>
      </c>
      <c r="I912" s="2">
        <v>1</v>
      </c>
      <c r="J912" s="2">
        <f>COUNTIFS($F$13:F912,F912,$I$13:I912,I912)</f>
        <v>8</v>
      </c>
      <c r="O912" s="8">
        <v>1014201</v>
      </c>
      <c r="P912" s="8">
        <v>1014301</v>
      </c>
      <c r="Q912" s="8">
        <v>1014401</v>
      </c>
      <c r="R912" s="8">
        <v>1014501</v>
      </c>
      <c r="S912" s="8">
        <v>1014601</v>
      </c>
    </row>
    <row r="913" spans="1:19">
      <c r="A913" s="14" t="s">
        <v>14</v>
      </c>
      <c r="B913" s="8">
        <f t="shared" si="18"/>
        <v>70143109</v>
      </c>
      <c r="C913" s="2" t="s">
        <v>929</v>
      </c>
      <c r="E913" s="2" t="str">
        <f>F913&amp;(VLOOKUP(G913,编号表!$E$1:$G$8,2,0))&amp;H913&amp;"_"&amp;I913&amp;"_"&amp;J913</f>
        <v>14N3_1_9</v>
      </c>
      <c r="F913" s="2">
        <v>14</v>
      </c>
      <c r="G913" s="2" t="s">
        <v>37</v>
      </c>
      <c r="H913" s="2">
        <v>3</v>
      </c>
      <c r="I913" s="2">
        <v>1</v>
      </c>
      <c r="J913" s="2">
        <f>COUNTIFS($F$13:F913,F913,$I$13:I913,I913)</f>
        <v>9</v>
      </c>
      <c r="O913" s="8">
        <v>1014201</v>
      </c>
      <c r="P913" s="8">
        <v>1014301</v>
      </c>
      <c r="Q913" s="8">
        <v>1014401</v>
      </c>
      <c r="R913" s="8">
        <v>1014501</v>
      </c>
      <c r="S913" s="8">
        <v>1014601</v>
      </c>
    </row>
    <row r="914" spans="1:19">
      <c r="A914" s="14" t="s">
        <v>14</v>
      </c>
      <c r="B914" s="8">
        <f t="shared" si="18"/>
        <v>70143110</v>
      </c>
      <c r="C914" s="2" t="s">
        <v>930</v>
      </c>
      <c r="E914" s="2" t="str">
        <f>F914&amp;(VLOOKUP(G914,编号表!$E$1:$G$8,2,0))&amp;H914&amp;"_"&amp;I914&amp;"_"&amp;J914</f>
        <v>14N3_1_10</v>
      </c>
      <c r="F914" s="2">
        <v>14</v>
      </c>
      <c r="G914" s="2" t="s">
        <v>37</v>
      </c>
      <c r="H914" s="2">
        <v>3</v>
      </c>
      <c r="I914" s="2">
        <v>1</v>
      </c>
      <c r="J914" s="2">
        <f>COUNTIFS($F$13:F914,F914,$I$13:I914,I914)</f>
        <v>10</v>
      </c>
      <c r="O914" s="8">
        <v>1014201</v>
      </c>
      <c r="P914" s="8">
        <v>1014301</v>
      </c>
      <c r="Q914" s="8">
        <v>1014401</v>
      </c>
      <c r="R914" s="8">
        <v>1014501</v>
      </c>
      <c r="S914" s="8">
        <v>1014601</v>
      </c>
    </row>
    <row r="915" spans="1:19">
      <c r="A915" s="14" t="s">
        <v>14</v>
      </c>
      <c r="B915" s="8">
        <f t="shared" si="18"/>
        <v>70144201</v>
      </c>
      <c r="C915" s="2" t="s">
        <v>931</v>
      </c>
      <c r="E915" s="2" t="str">
        <f>F915&amp;(VLOOKUP(G915,编号表!$E$1:$G$8,2,0))&amp;H915&amp;"_"&amp;I915&amp;"_"&amp;J915</f>
        <v>14N4_2_1</v>
      </c>
      <c r="F915" s="2">
        <v>14</v>
      </c>
      <c r="G915" s="2" t="s">
        <v>37</v>
      </c>
      <c r="H915" s="2">
        <v>4</v>
      </c>
      <c r="I915" s="2">
        <v>2</v>
      </c>
      <c r="J915" s="2">
        <f>COUNTIFS($F$13:F915,F915,$I$13:I915,I915)</f>
        <v>1</v>
      </c>
      <c r="O915" s="8">
        <v>1014201</v>
      </c>
      <c r="P915" s="8">
        <v>1014301</v>
      </c>
      <c r="Q915" s="8">
        <v>1014401</v>
      </c>
      <c r="R915" s="8">
        <v>1014501</v>
      </c>
      <c r="S915" s="8">
        <v>1014601</v>
      </c>
    </row>
    <row r="916" spans="1:19">
      <c r="A916" s="14" t="s">
        <v>14</v>
      </c>
      <c r="B916" s="8">
        <f t="shared" si="18"/>
        <v>70144202</v>
      </c>
      <c r="C916" s="2" t="s">
        <v>932</v>
      </c>
      <c r="E916" s="2" t="str">
        <f>F916&amp;(VLOOKUP(G916,编号表!$E$1:$G$8,2,0))&amp;H916&amp;"_"&amp;I916&amp;"_"&amp;J916</f>
        <v>14N4_2_2</v>
      </c>
      <c r="F916" s="2">
        <v>14</v>
      </c>
      <c r="G916" s="2" t="s">
        <v>37</v>
      </c>
      <c r="H916" s="2">
        <v>4</v>
      </c>
      <c r="I916" s="2">
        <v>2</v>
      </c>
      <c r="J916" s="2">
        <f>COUNTIFS($F$13:F916,F916,$I$13:I916,I916)</f>
        <v>2</v>
      </c>
      <c r="O916" s="8">
        <v>1014201</v>
      </c>
      <c r="P916" s="8">
        <v>1014301</v>
      </c>
      <c r="Q916" s="8">
        <v>1014401</v>
      </c>
      <c r="R916" s="8">
        <v>1014501</v>
      </c>
      <c r="S916" s="8">
        <v>1014601</v>
      </c>
    </row>
    <row r="917" spans="1:19">
      <c r="A917" s="14" t="s">
        <v>14</v>
      </c>
      <c r="B917" s="8">
        <f t="shared" si="18"/>
        <v>70148301</v>
      </c>
      <c r="C917" s="2" t="s">
        <v>933</v>
      </c>
      <c r="E917" s="2" t="str">
        <f>F917&amp;(VLOOKUP(G917,编号表!$E$1:$G$8,2,0))&amp;H917&amp;"_"&amp;I917&amp;"_"&amp;J917</f>
        <v>14N8_3_1</v>
      </c>
      <c r="F917" s="2">
        <v>14</v>
      </c>
      <c r="G917" s="2" t="s">
        <v>37</v>
      </c>
      <c r="H917" s="2">
        <v>8</v>
      </c>
      <c r="I917" s="2">
        <v>3</v>
      </c>
      <c r="J917" s="2">
        <f>COUNTIFS($F$13:F917,F917,$I$13:I917,I917)</f>
        <v>1</v>
      </c>
      <c r="O917" s="8">
        <v>1014201</v>
      </c>
      <c r="P917" s="8">
        <v>1014301</v>
      </c>
      <c r="Q917" s="8">
        <v>1014401</v>
      </c>
      <c r="R917" s="8">
        <v>1014501</v>
      </c>
      <c r="S917" s="8">
        <v>1014601</v>
      </c>
    </row>
    <row r="918" spans="1:19">
      <c r="A918" s="14" t="s">
        <v>14</v>
      </c>
      <c r="B918" s="8">
        <f t="shared" si="18"/>
        <v>70148302</v>
      </c>
      <c r="C918" s="2" t="s">
        <v>934</v>
      </c>
      <c r="E918" s="2" t="str">
        <f>F918&amp;(VLOOKUP(G918,编号表!$E$1:$G$8,2,0))&amp;H918&amp;"_"&amp;I918&amp;"_"&amp;J918</f>
        <v>14N8_3_2</v>
      </c>
      <c r="F918" s="2">
        <v>14</v>
      </c>
      <c r="G918" s="2" t="s">
        <v>37</v>
      </c>
      <c r="H918" s="2">
        <v>8</v>
      </c>
      <c r="I918" s="2">
        <v>3</v>
      </c>
      <c r="J918" s="2">
        <f>COUNTIFS($F$13:F918,F918,$I$13:I918,I918)</f>
        <v>2</v>
      </c>
      <c r="O918" s="8">
        <v>1014201</v>
      </c>
      <c r="P918" s="8">
        <v>1014301</v>
      </c>
      <c r="Q918" s="8">
        <v>1014401</v>
      </c>
      <c r="R918" s="8">
        <v>1014501</v>
      </c>
      <c r="S918" s="8">
        <v>1014601</v>
      </c>
    </row>
    <row r="919" spans="1:19">
      <c r="A919" s="14" t="s">
        <v>14</v>
      </c>
      <c r="B919" s="8">
        <f t="shared" si="18"/>
        <v>70148303</v>
      </c>
      <c r="C919" s="2" t="s">
        <v>935</v>
      </c>
      <c r="E919" s="2" t="str">
        <f>F919&amp;(VLOOKUP(G919,编号表!$E$1:$G$8,2,0))&amp;H919&amp;"_"&amp;I919&amp;"_"&amp;J919</f>
        <v>14N8_3_3</v>
      </c>
      <c r="F919" s="2">
        <v>14</v>
      </c>
      <c r="G919" s="2" t="s">
        <v>37</v>
      </c>
      <c r="H919" s="2">
        <v>8</v>
      </c>
      <c r="I919" s="2">
        <v>3</v>
      </c>
      <c r="J919" s="2">
        <f>COUNTIFS($F$13:F919,F919,$I$13:I919,I919)</f>
        <v>3</v>
      </c>
      <c r="O919" s="8">
        <v>1014201</v>
      </c>
      <c r="P919" s="8">
        <v>1014301</v>
      </c>
      <c r="Q919" s="8">
        <v>1014401</v>
      </c>
      <c r="R919" s="8">
        <v>1014501</v>
      </c>
      <c r="S919" s="8">
        <v>1014601</v>
      </c>
    </row>
    <row r="920" spans="1:19">
      <c r="A920" s="14" t="s">
        <v>14</v>
      </c>
      <c r="B920" s="8">
        <f t="shared" si="18"/>
        <v>70148304</v>
      </c>
      <c r="C920" s="2" t="s">
        <v>936</v>
      </c>
      <c r="E920" s="2" t="str">
        <f>F920&amp;(VLOOKUP(G920,编号表!$E$1:$G$8,2,0))&amp;H920&amp;"_"&amp;I920&amp;"_"&amp;J920</f>
        <v>14N8_3_4</v>
      </c>
      <c r="F920" s="2">
        <v>14</v>
      </c>
      <c r="G920" s="2" t="s">
        <v>37</v>
      </c>
      <c r="H920" s="2">
        <v>8</v>
      </c>
      <c r="I920" s="2">
        <v>3</v>
      </c>
      <c r="J920" s="2">
        <f>COUNTIFS($F$13:F920,F920,$I$13:I920,I920)</f>
        <v>4</v>
      </c>
      <c r="O920" s="8">
        <v>1014201</v>
      </c>
      <c r="P920" s="8">
        <v>1014301</v>
      </c>
      <c r="Q920" s="8">
        <v>1014401</v>
      </c>
      <c r="R920" s="8">
        <v>1014501</v>
      </c>
      <c r="S920" s="8">
        <v>1014601</v>
      </c>
    </row>
    <row r="921" spans="1:19">
      <c r="A921" s="14" t="s">
        <v>14</v>
      </c>
      <c r="B921" s="8">
        <f t="shared" si="18"/>
        <v>70148305</v>
      </c>
      <c r="C921" s="2" t="s">
        <v>937</v>
      </c>
      <c r="E921" s="2" t="str">
        <f>F921&amp;(VLOOKUP(G921,编号表!$E$1:$G$8,2,0))&amp;H921&amp;"_"&amp;I921&amp;"_"&amp;J921</f>
        <v>14N8_3_5</v>
      </c>
      <c r="F921" s="2">
        <v>14</v>
      </c>
      <c r="G921" s="2" t="s">
        <v>37</v>
      </c>
      <c r="H921" s="2">
        <v>8</v>
      </c>
      <c r="I921" s="2">
        <v>3</v>
      </c>
      <c r="J921" s="2">
        <f>COUNTIFS($F$13:F921,F921,$I$13:I921,I921)</f>
        <v>5</v>
      </c>
      <c r="O921" s="8">
        <v>1014201</v>
      </c>
      <c r="P921" s="8">
        <v>1014301</v>
      </c>
      <c r="Q921" s="8">
        <v>1014401</v>
      </c>
      <c r="R921" s="8">
        <v>1014501</v>
      </c>
      <c r="S921" s="8">
        <v>1014601</v>
      </c>
    </row>
    <row r="922" spans="1:19">
      <c r="A922" s="14" t="s">
        <v>14</v>
      </c>
      <c r="B922" s="8">
        <f t="shared" si="18"/>
        <v>70148306</v>
      </c>
      <c r="C922" s="2" t="s">
        <v>938</v>
      </c>
      <c r="E922" s="2" t="str">
        <f>F922&amp;(VLOOKUP(G922,编号表!$E$1:$G$8,2,0))&amp;H922&amp;"_"&amp;I922&amp;"_"&amp;J922</f>
        <v>14N8_3_6</v>
      </c>
      <c r="F922" s="2">
        <v>14</v>
      </c>
      <c r="G922" s="2" t="s">
        <v>37</v>
      </c>
      <c r="H922" s="2">
        <v>8</v>
      </c>
      <c r="I922" s="2">
        <v>3</v>
      </c>
      <c r="J922" s="2">
        <f>COUNTIFS($F$13:F922,F922,$I$13:I922,I922)</f>
        <v>6</v>
      </c>
      <c r="O922" s="8">
        <v>1014201</v>
      </c>
      <c r="P922" s="8">
        <v>1014301</v>
      </c>
      <c r="Q922" s="8">
        <v>1014401</v>
      </c>
      <c r="R922" s="8">
        <v>1014501</v>
      </c>
      <c r="S922" s="8">
        <v>1014601</v>
      </c>
    </row>
    <row r="923" spans="1:19">
      <c r="A923" s="14" t="s">
        <v>14</v>
      </c>
      <c r="B923" s="8">
        <f t="shared" si="18"/>
        <v>70148307</v>
      </c>
      <c r="C923" s="2" t="s">
        <v>939</v>
      </c>
      <c r="E923" s="2" t="str">
        <f>F923&amp;(VLOOKUP(G923,编号表!$E$1:$G$8,2,0))&amp;H923&amp;"_"&amp;I923&amp;"_"&amp;J923</f>
        <v>14N8_3_7</v>
      </c>
      <c r="F923" s="2">
        <v>14</v>
      </c>
      <c r="G923" s="2" t="s">
        <v>37</v>
      </c>
      <c r="H923" s="2">
        <v>8</v>
      </c>
      <c r="I923" s="2">
        <v>3</v>
      </c>
      <c r="J923" s="2">
        <f>COUNTIFS($F$13:F923,F923,$I$13:I923,I923)</f>
        <v>7</v>
      </c>
      <c r="O923" s="8">
        <v>1014201</v>
      </c>
      <c r="P923" s="8">
        <v>1014301</v>
      </c>
      <c r="Q923" s="8">
        <v>1014401</v>
      </c>
      <c r="R923" s="8">
        <v>1014501</v>
      </c>
      <c r="S923" s="8">
        <v>1014601</v>
      </c>
    </row>
    <row r="924" spans="1:19">
      <c r="A924" s="14" t="s">
        <v>14</v>
      </c>
      <c r="B924" s="8">
        <f t="shared" si="18"/>
        <v>70148401</v>
      </c>
      <c r="C924" s="2" t="s">
        <v>940</v>
      </c>
      <c r="E924" s="2" t="str">
        <f>F924&amp;(VLOOKUP(G924,编号表!$E$1:$G$8,2,0))&amp;H924&amp;"_"&amp;I924&amp;"_"&amp;J924</f>
        <v>14N8_4_1</v>
      </c>
      <c r="F924" s="2">
        <v>14</v>
      </c>
      <c r="G924" s="2" t="s">
        <v>37</v>
      </c>
      <c r="H924" s="2">
        <v>8</v>
      </c>
      <c r="I924" s="2">
        <v>4</v>
      </c>
      <c r="J924" s="2">
        <f>COUNTIFS($F$13:F924,F924,$I$13:I924,I924)</f>
        <v>1</v>
      </c>
      <c r="O924" s="8">
        <v>1014201</v>
      </c>
      <c r="P924" s="8">
        <v>1014301</v>
      </c>
      <c r="Q924" s="8">
        <v>1014401</v>
      </c>
      <c r="R924" s="8">
        <v>1014501</v>
      </c>
      <c r="S924" s="8">
        <v>1014601</v>
      </c>
    </row>
    <row r="925" spans="1:19">
      <c r="A925" s="14" t="s">
        <v>14</v>
      </c>
      <c r="B925" s="8">
        <f t="shared" si="18"/>
        <v>70148402</v>
      </c>
      <c r="C925" s="2" t="s">
        <v>941</v>
      </c>
      <c r="E925" s="2" t="str">
        <f>F925&amp;(VLOOKUP(G925,编号表!$E$1:$G$8,2,0))&amp;H925&amp;"_"&amp;I925&amp;"_"&amp;J925</f>
        <v>14N8_4_2</v>
      </c>
      <c r="F925" s="2">
        <v>14</v>
      </c>
      <c r="G925" s="2" t="s">
        <v>37</v>
      </c>
      <c r="H925" s="2">
        <v>8</v>
      </c>
      <c r="I925" s="2">
        <v>4</v>
      </c>
      <c r="J925" s="2">
        <f>COUNTIFS($F$13:F925,F925,$I$13:I925,I925)</f>
        <v>2</v>
      </c>
      <c r="O925" s="8">
        <v>1014201</v>
      </c>
      <c r="P925" s="8">
        <v>1014301</v>
      </c>
      <c r="Q925" s="8">
        <v>1014401</v>
      </c>
      <c r="R925" s="8">
        <v>1014501</v>
      </c>
      <c r="S925" s="8">
        <v>1014601</v>
      </c>
    </row>
    <row r="926" spans="1:19">
      <c r="A926" s="14" t="s">
        <v>14</v>
      </c>
      <c r="B926" s="8">
        <f t="shared" si="18"/>
        <v>70148403</v>
      </c>
      <c r="C926" s="2" t="s">
        <v>942</v>
      </c>
      <c r="E926" s="2" t="str">
        <f>F926&amp;(VLOOKUP(G926,编号表!$E$1:$G$8,2,0))&amp;H926&amp;"_"&amp;I926&amp;"_"&amp;J926</f>
        <v>14N8_4_3</v>
      </c>
      <c r="F926" s="2">
        <v>14</v>
      </c>
      <c r="G926" s="2" t="s">
        <v>37</v>
      </c>
      <c r="H926" s="2">
        <v>8</v>
      </c>
      <c r="I926" s="2">
        <v>4</v>
      </c>
      <c r="J926" s="2">
        <f>COUNTIFS($F$13:F926,F926,$I$13:I926,I926)</f>
        <v>3</v>
      </c>
      <c r="O926" s="8">
        <v>1014201</v>
      </c>
      <c r="P926" s="8">
        <v>1014301</v>
      </c>
      <c r="Q926" s="8">
        <v>1014401</v>
      </c>
      <c r="R926" s="8">
        <v>1014501</v>
      </c>
      <c r="S926" s="8">
        <v>1014601</v>
      </c>
    </row>
    <row r="927" spans="1:19">
      <c r="A927" s="14" t="s">
        <v>14</v>
      </c>
      <c r="B927" s="8">
        <f t="shared" si="18"/>
        <v>70148404</v>
      </c>
      <c r="C927" s="2" t="s">
        <v>943</v>
      </c>
      <c r="E927" s="2" t="str">
        <f>F927&amp;(VLOOKUP(G927,编号表!$E$1:$G$8,2,0))&amp;H927&amp;"_"&amp;I927&amp;"_"&amp;J927</f>
        <v>14N8_4_4</v>
      </c>
      <c r="F927" s="2">
        <v>14</v>
      </c>
      <c r="G927" s="2" t="s">
        <v>37</v>
      </c>
      <c r="H927" s="2">
        <v>8</v>
      </c>
      <c r="I927" s="2">
        <v>4</v>
      </c>
      <c r="J927" s="2">
        <f>COUNTIFS($F$13:F927,F927,$I$13:I927,I927)</f>
        <v>4</v>
      </c>
      <c r="O927" s="8">
        <v>1014201</v>
      </c>
      <c r="P927" s="8">
        <v>1014301</v>
      </c>
      <c r="Q927" s="8">
        <v>1014401</v>
      </c>
      <c r="R927" s="8">
        <v>1014501</v>
      </c>
      <c r="S927" s="8">
        <v>1014601</v>
      </c>
    </row>
    <row r="928" spans="1:19">
      <c r="A928" s="14" t="s">
        <v>14</v>
      </c>
      <c r="B928" s="8">
        <f t="shared" si="18"/>
        <v>70148405</v>
      </c>
      <c r="C928" s="2" t="s">
        <v>944</v>
      </c>
      <c r="E928" s="2" t="str">
        <f>F928&amp;(VLOOKUP(G928,编号表!$E$1:$G$8,2,0))&amp;H928&amp;"_"&amp;I928&amp;"_"&amp;J928</f>
        <v>14N8_4_5</v>
      </c>
      <c r="F928" s="2">
        <v>14</v>
      </c>
      <c r="G928" s="2" t="s">
        <v>37</v>
      </c>
      <c r="H928" s="2">
        <v>8</v>
      </c>
      <c r="I928" s="2">
        <v>4</v>
      </c>
      <c r="J928" s="2">
        <f>COUNTIFS($F$13:F928,F928,$I$13:I928,I928)</f>
        <v>5</v>
      </c>
      <c r="O928" s="8">
        <v>1014201</v>
      </c>
      <c r="P928" s="8">
        <v>1014301</v>
      </c>
      <c r="Q928" s="8">
        <v>1014401</v>
      </c>
      <c r="R928" s="8">
        <v>1014501</v>
      </c>
      <c r="S928" s="8">
        <v>1014601</v>
      </c>
    </row>
    <row r="929" spans="1:19">
      <c r="A929" s="14" t="s">
        <v>14</v>
      </c>
      <c r="B929" s="8">
        <f t="shared" si="18"/>
        <v>70148406</v>
      </c>
      <c r="C929" s="2" t="s">
        <v>945</v>
      </c>
      <c r="E929" s="2" t="str">
        <f>F929&amp;(VLOOKUP(G929,编号表!$E$1:$G$8,2,0))&amp;H929&amp;"_"&amp;I929&amp;"_"&amp;J929</f>
        <v>14N8_4_6</v>
      </c>
      <c r="F929" s="2">
        <v>14</v>
      </c>
      <c r="G929" s="2" t="s">
        <v>37</v>
      </c>
      <c r="H929" s="2">
        <v>8</v>
      </c>
      <c r="I929" s="2">
        <v>4</v>
      </c>
      <c r="J929" s="2">
        <f>COUNTIFS($F$13:F929,F929,$I$13:I929,I929)</f>
        <v>6</v>
      </c>
      <c r="O929" s="8">
        <v>1014201</v>
      </c>
      <c r="P929" s="8">
        <v>1014301</v>
      </c>
      <c r="Q929" s="8">
        <v>1014401</v>
      </c>
      <c r="R929" s="8">
        <v>1014501</v>
      </c>
      <c r="S929" s="8">
        <v>1014601</v>
      </c>
    </row>
    <row r="930" spans="1:19">
      <c r="A930" s="14" t="s">
        <v>14</v>
      </c>
      <c r="B930" s="8">
        <f t="shared" si="18"/>
        <v>70148407</v>
      </c>
      <c r="C930" s="2" t="s">
        <v>946</v>
      </c>
      <c r="E930" s="2" t="str">
        <f>F930&amp;(VLOOKUP(G930,编号表!$E$1:$G$8,2,0))&amp;H930&amp;"_"&amp;I930&amp;"_"&amp;J930</f>
        <v>14N8_4_7</v>
      </c>
      <c r="F930" s="2">
        <v>14</v>
      </c>
      <c r="G930" s="2" t="s">
        <v>37</v>
      </c>
      <c r="H930" s="2">
        <v>8</v>
      </c>
      <c r="I930" s="2">
        <v>4</v>
      </c>
      <c r="J930" s="2">
        <f>COUNTIFS($F$13:F930,F930,$I$13:I930,I930)</f>
        <v>7</v>
      </c>
      <c r="O930" s="8">
        <v>1014201</v>
      </c>
      <c r="P930" s="8">
        <v>1014301</v>
      </c>
      <c r="Q930" s="8">
        <v>1014401</v>
      </c>
      <c r="R930" s="8">
        <v>1014501</v>
      </c>
      <c r="S930" s="8">
        <v>1014601</v>
      </c>
    </row>
    <row r="931" spans="1:19">
      <c r="A931" s="14" t="s">
        <v>14</v>
      </c>
      <c r="B931" s="8">
        <f t="shared" si="18"/>
        <v>70144501</v>
      </c>
      <c r="C931" s="2" t="s">
        <v>947</v>
      </c>
      <c r="E931" s="2" t="str">
        <f>F931&amp;(VLOOKUP(G931,编号表!$E$1:$G$8,2,0))&amp;H931&amp;"_"&amp;I931&amp;"_"&amp;J931</f>
        <v>14N4_5_1</v>
      </c>
      <c r="F931" s="2">
        <v>14</v>
      </c>
      <c r="G931" s="2" t="s">
        <v>37</v>
      </c>
      <c r="H931" s="2">
        <v>4</v>
      </c>
      <c r="I931" s="2">
        <v>5</v>
      </c>
      <c r="J931" s="2">
        <f>COUNTIFS($F$13:F931,F931,$I$13:I931,I931)</f>
        <v>1</v>
      </c>
      <c r="O931" s="8">
        <v>1014201</v>
      </c>
      <c r="P931" s="8">
        <v>1014301</v>
      </c>
      <c r="Q931" s="8">
        <v>1014401</v>
      </c>
      <c r="R931" s="8">
        <v>1014501</v>
      </c>
      <c r="S931" s="8">
        <v>1014601</v>
      </c>
    </row>
    <row r="932" spans="1:19">
      <c r="A932" s="14" t="s">
        <v>14</v>
      </c>
      <c r="B932" s="8">
        <f t="shared" si="18"/>
        <v>70144502</v>
      </c>
      <c r="C932" s="2" t="s">
        <v>948</v>
      </c>
      <c r="E932" s="2" t="str">
        <f>F932&amp;(VLOOKUP(G932,编号表!$E$1:$G$8,2,0))&amp;H932&amp;"_"&amp;I932&amp;"_"&amp;J932</f>
        <v>14N4_5_2</v>
      </c>
      <c r="F932" s="2">
        <v>14</v>
      </c>
      <c r="G932" s="2" t="s">
        <v>37</v>
      </c>
      <c r="H932" s="2">
        <v>4</v>
      </c>
      <c r="I932" s="2">
        <v>5</v>
      </c>
      <c r="J932" s="2">
        <f>COUNTIFS($F$13:F932,F932,$I$13:I932,I932)</f>
        <v>2</v>
      </c>
      <c r="O932" s="8">
        <v>1014201</v>
      </c>
      <c r="P932" s="8">
        <v>1014301</v>
      </c>
      <c r="Q932" s="8">
        <v>1014401</v>
      </c>
      <c r="R932" s="8">
        <v>1014501</v>
      </c>
      <c r="S932" s="8">
        <v>1014601</v>
      </c>
    </row>
    <row r="933" spans="1:19">
      <c r="A933" s="14" t="s">
        <v>14</v>
      </c>
      <c r="B933" s="8">
        <f t="shared" si="18"/>
        <v>70143601</v>
      </c>
      <c r="C933" s="2" t="s">
        <v>949</v>
      </c>
      <c r="E933" s="2" t="str">
        <f>F933&amp;(VLOOKUP(G933,编号表!$E$1:$G$8,2,0))&amp;H933&amp;"_"&amp;I933&amp;"_"&amp;J933</f>
        <v>14N3_6_1</v>
      </c>
      <c r="F933" s="2">
        <v>14</v>
      </c>
      <c r="G933" s="2" t="s">
        <v>37</v>
      </c>
      <c r="H933" s="2">
        <v>3</v>
      </c>
      <c r="I933" s="2">
        <v>6</v>
      </c>
      <c r="J933" s="2">
        <f>COUNTIFS($F$13:F933,F933,$I$13:I933,I933)</f>
        <v>1</v>
      </c>
      <c r="O933" s="8">
        <v>1014201</v>
      </c>
      <c r="P933" s="8">
        <v>1014301</v>
      </c>
      <c r="Q933" s="8">
        <v>1014401</v>
      </c>
      <c r="R933" s="8">
        <v>1014501</v>
      </c>
      <c r="S933" s="8">
        <v>1014601</v>
      </c>
    </row>
    <row r="934" spans="1:19">
      <c r="A934" s="14" t="s">
        <v>14</v>
      </c>
      <c r="B934" s="8">
        <f t="shared" si="18"/>
        <v>70143602</v>
      </c>
      <c r="C934" s="2" t="s">
        <v>950</v>
      </c>
      <c r="E934" s="2" t="str">
        <f>F934&amp;(VLOOKUP(G934,编号表!$E$1:$G$8,2,0))&amp;H934&amp;"_"&amp;I934&amp;"_"&amp;J934</f>
        <v>14N3_6_2</v>
      </c>
      <c r="F934" s="2">
        <v>14</v>
      </c>
      <c r="G934" s="2" t="s">
        <v>37</v>
      </c>
      <c r="H934" s="2">
        <v>3</v>
      </c>
      <c r="I934" s="2">
        <v>6</v>
      </c>
      <c r="J934" s="2">
        <f>COUNTIFS($F$13:F934,F934,$I$13:I934,I934)</f>
        <v>2</v>
      </c>
      <c r="O934" s="8">
        <v>1014201</v>
      </c>
      <c r="P934" s="8">
        <v>1014301</v>
      </c>
      <c r="Q934" s="8">
        <v>1014401</v>
      </c>
      <c r="R934" s="8">
        <v>1014501</v>
      </c>
      <c r="S934" s="8">
        <v>1014601</v>
      </c>
    </row>
    <row r="935" spans="1:19">
      <c r="A935" s="14" t="s">
        <v>14</v>
      </c>
      <c r="B935" s="8">
        <f t="shared" si="18"/>
        <v>70143603</v>
      </c>
      <c r="C935" s="2" t="s">
        <v>951</v>
      </c>
      <c r="E935" s="2" t="str">
        <f>F935&amp;(VLOOKUP(G935,编号表!$E$1:$G$8,2,0))&amp;H935&amp;"_"&amp;I935&amp;"_"&amp;J935</f>
        <v>14N3_6_3</v>
      </c>
      <c r="F935" s="2">
        <v>14</v>
      </c>
      <c r="G935" s="2" t="s">
        <v>37</v>
      </c>
      <c r="H935" s="2">
        <v>3</v>
      </c>
      <c r="I935" s="2">
        <v>6</v>
      </c>
      <c r="J935" s="2">
        <f>COUNTIFS($F$13:F935,F935,$I$13:I935,I935)</f>
        <v>3</v>
      </c>
      <c r="O935" s="8">
        <v>1014201</v>
      </c>
      <c r="P935" s="8">
        <v>1014301</v>
      </c>
      <c r="Q935" s="8">
        <v>1014401</v>
      </c>
      <c r="R935" s="8">
        <v>1014501</v>
      </c>
      <c r="S935" s="8">
        <v>1014601</v>
      </c>
    </row>
    <row r="936" spans="1:19">
      <c r="A936" s="14" t="s">
        <v>14</v>
      </c>
      <c r="B936" s="8">
        <f t="shared" si="18"/>
        <v>70143604</v>
      </c>
      <c r="C936" s="2" t="s">
        <v>952</v>
      </c>
      <c r="E936" s="2" t="str">
        <f>F936&amp;(VLOOKUP(G936,编号表!$E$1:$G$8,2,0))&amp;H936&amp;"_"&amp;I936&amp;"_"&amp;J936</f>
        <v>14N3_6_4</v>
      </c>
      <c r="F936" s="2">
        <v>14</v>
      </c>
      <c r="G936" s="2" t="s">
        <v>37</v>
      </c>
      <c r="H936" s="2">
        <v>3</v>
      </c>
      <c r="I936" s="2">
        <v>6</v>
      </c>
      <c r="J936" s="2">
        <f>COUNTIFS($F$13:F936,F936,$I$13:I936,I936)</f>
        <v>4</v>
      </c>
      <c r="O936" s="8">
        <v>1014201</v>
      </c>
      <c r="P936" s="8">
        <v>1014301</v>
      </c>
      <c r="Q936" s="8">
        <v>1014401</v>
      </c>
      <c r="R936" s="8">
        <v>1014501</v>
      </c>
      <c r="S936" s="8">
        <v>1014601</v>
      </c>
    </row>
    <row r="937" spans="1:19">
      <c r="A937" s="14" t="s">
        <v>14</v>
      </c>
      <c r="B937" s="8">
        <f t="shared" si="18"/>
        <v>70143605</v>
      </c>
      <c r="C937" s="2" t="s">
        <v>953</v>
      </c>
      <c r="E937" s="2" t="str">
        <f>F937&amp;(VLOOKUP(G937,编号表!$E$1:$G$8,2,0))&amp;H937&amp;"_"&amp;I937&amp;"_"&amp;J937</f>
        <v>14N3_6_5</v>
      </c>
      <c r="F937" s="2">
        <v>14</v>
      </c>
      <c r="G937" s="2" t="s">
        <v>37</v>
      </c>
      <c r="H937" s="2">
        <v>3</v>
      </c>
      <c r="I937" s="2">
        <v>6</v>
      </c>
      <c r="J937" s="2">
        <f>COUNTIFS($F$13:F937,F937,$I$13:I937,I937)</f>
        <v>5</v>
      </c>
      <c r="O937" s="8">
        <v>1014201</v>
      </c>
      <c r="P937" s="8">
        <v>1014301</v>
      </c>
      <c r="Q937" s="8">
        <v>1014401</v>
      </c>
      <c r="R937" s="8">
        <v>1014501</v>
      </c>
      <c r="S937" s="8">
        <v>1014601</v>
      </c>
    </row>
    <row r="938" spans="1:19">
      <c r="A938" s="14" t="s">
        <v>14</v>
      </c>
      <c r="B938" s="8">
        <f t="shared" si="18"/>
        <v>70143606</v>
      </c>
      <c r="C938" s="2" t="s">
        <v>954</v>
      </c>
      <c r="E938" s="2" t="str">
        <f>F938&amp;(VLOOKUP(G938,编号表!$E$1:$G$8,2,0))&amp;H938&amp;"_"&amp;I938&amp;"_"&amp;J938</f>
        <v>14N3_6_6</v>
      </c>
      <c r="F938" s="2">
        <v>14</v>
      </c>
      <c r="G938" s="2" t="s">
        <v>37</v>
      </c>
      <c r="H938" s="2">
        <v>3</v>
      </c>
      <c r="I938" s="2">
        <v>6</v>
      </c>
      <c r="J938" s="2">
        <f>COUNTIFS($F$13:F938,F938,$I$13:I938,I938)</f>
        <v>6</v>
      </c>
      <c r="O938" s="8">
        <v>1014201</v>
      </c>
      <c r="P938" s="8">
        <v>1014301</v>
      </c>
      <c r="Q938" s="8">
        <v>1014401</v>
      </c>
      <c r="R938" s="8">
        <v>1014501</v>
      </c>
      <c r="S938" s="8">
        <v>1014601</v>
      </c>
    </row>
    <row r="939" spans="1:19">
      <c r="A939" s="14" t="s">
        <v>14</v>
      </c>
      <c r="B939" s="8">
        <f t="shared" si="18"/>
        <v>70143607</v>
      </c>
      <c r="C939" s="2" t="s">
        <v>955</v>
      </c>
      <c r="E939" s="2" t="str">
        <f>F939&amp;(VLOOKUP(G939,编号表!$E$1:$G$8,2,0))&amp;H939&amp;"_"&amp;I939&amp;"_"&amp;J939</f>
        <v>14N3_6_7</v>
      </c>
      <c r="F939" s="2">
        <v>14</v>
      </c>
      <c r="G939" s="2" t="s">
        <v>37</v>
      </c>
      <c r="H939" s="2">
        <v>3</v>
      </c>
      <c r="I939" s="2">
        <v>6</v>
      </c>
      <c r="J939" s="2">
        <f>COUNTIFS($F$13:F939,F939,$I$13:I939,I939)</f>
        <v>7</v>
      </c>
      <c r="O939" s="8">
        <v>1014201</v>
      </c>
      <c r="P939" s="8">
        <v>1014301</v>
      </c>
      <c r="Q939" s="8">
        <v>1014401</v>
      </c>
      <c r="R939" s="8">
        <v>1014501</v>
      </c>
      <c r="S939" s="8">
        <v>1014601</v>
      </c>
    </row>
    <row r="940" spans="1:19">
      <c r="A940" s="14" t="s">
        <v>14</v>
      </c>
      <c r="B940" s="8">
        <f t="shared" si="18"/>
        <v>70143608</v>
      </c>
      <c r="C940" s="2" t="s">
        <v>956</v>
      </c>
      <c r="E940" s="2" t="str">
        <f>F940&amp;(VLOOKUP(G940,编号表!$E$1:$G$8,2,0))&amp;H940&amp;"_"&amp;I940&amp;"_"&amp;J940</f>
        <v>14N3_6_8</v>
      </c>
      <c r="F940" s="2">
        <v>14</v>
      </c>
      <c r="G940" s="2" t="s">
        <v>37</v>
      </c>
      <c r="H940" s="2">
        <v>3</v>
      </c>
      <c r="I940" s="2">
        <v>6</v>
      </c>
      <c r="J940" s="2">
        <f>COUNTIFS($F$13:F940,F940,$I$13:I940,I940)</f>
        <v>8</v>
      </c>
      <c r="O940" s="8">
        <v>1014201</v>
      </c>
      <c r="P940" s="8">
        <v>1014301</v>
      </c>
      <c r="Q940" s="8">
        <v>1014401</v>
      </c>
      <c r="R940" s="8">
        <v>1014501</v>
      </c>
      <c r="S940" s="8">
        <v>1014601</v>
      </c>
    </row>
    <row r="941" spans="1:19">
      <c r="A941" s="14" t="s">
        <v>14</v>
      </c>
      <c r="B941" s="8">
        <f t="shared" si="18"/>
        <v>70140001</v>
      </c>
      <c r="C941" s="18" t="s">
        <v>957</v>
      </c>
      <c r="E941" s="2" t="str">
        <f>F941&amp;(VLOOKUP(G941,编号表!$E$1:$G$8,2,0))&amp;H941&amp;"_"&amp;I941&amp;"_"&amp;J941</f>
        <v>14J0_0_1</v>
      </c>
      <c r="F941" s="2">
        <v>14</v>
      </c>
      <c r="G941" s="2" t="s">
        <v>86</v>
      </c>
      <c r="H941" s="2">
        <v>0</v>
      </c>
      <c r="I941" s="2">
        <v>0</v>
      </c>
      <c r="J941" s="2">
        <f>COUNTIFS($F$13:F941,F941,$I$13:I941,I941)</f>
        <v>1</v>
      </c>
      <c r="K941" s="2">
        <v>1</v>
      </c>
    </row>
    <row r="942" spans="1:19">
      <c r="A942" s="14" t="s">
        <v>14</v>
      </c>
      <c r="B942" s="8">
        <f t="shared" si="18"/>
        <v>70151101</v>
      </c>
      <c r="C942" s="2" t="s">
        <v>958</v>
      </c>
      <c r="E942" s="2" t="str">
        <f>F942&amp;(VLOOKUP(G942,编号表!$E$1:$G$8,2,0))&amp;H942&amp;"_"&amp;I942&amp;"_"&amp;J942</f>
        <v>15N1_1_1</v>
      </c>
      <c r="F942" s="2">
        <v>15</v>
      </c>
      <c r="G942" s="2" t="s">
        <v>37</v>
      </c>
      <c r="H942" s="2">
        <v>1</v>
      </c>
      <c r="I942" s="2">
        <v>1</v>
      </c>
      <c r="J942" s="2">
        <f>COUNTIFS($F$13:F942,F942,$I$13:I942,I942)</f>
        <v>1</v>
      </c>
      <c r="O942" s="8">
        <v>1015201</v>
      </c>
      <c r="P942" s="8">
        <v>1015301</v>
      </c>
      <c r="Q942" s="8">
        <v>1015401</v>
      </c>
      <c r="R942" s="8">
        <v>1015501</v>
      </c>
      <c r="S942" s="8">
        <v>1014001</v>
      </c>
    </row>
    <row r="943" spans="1:19">
      <c r="A943" s="14" t="s">
        <v>14</v>
      </c>
      <c r="B943" s="8">
        <f t="shared" si="18"/>
        <v>70151102</v>
      </c>
      <c r="C943" s="2" t="s">
        <v>959</v>
      </c>
      <c r="E943" s="2" t="str">
        <f>F943&amp;(VLOOKUP(G943,编号表!$E$1:$G$8,2,0))&amp;H943&amp;"_"&amp;I943&amp;"_"&amp;J943</f>
        <v>15N1_1_2</v>
      </c>
      <c r="F943" s="2">
        <v>15</v>
      </c>
      <c r="G943" s="2" t="s">
        <v>37</v>
      </c>
      <c r="H943" s="2">
        <v>1</v>
      </c>
      <c r="I943" s="2">
        <v>1</v>
      </c>
      <c r="J943" s="2">
        <f>COUNTIFS($F$13:F943,F943,$I$13:I943,I943)</f>
        <v>2</v>
      </c>
      <c r="O943" s="8">
        <v>1015201</v>
      </c>
      <c r="P943" s="8">
        <v>1015301</v>
      </c>
      <c r="Q943" s="8">
        <v>1015401</v>
      </c>
      <c r="R943" s="8">
        <v>1015501</v>
      </c>
      <c r="S943" s="8">
        <v>1015101</v>
      </c>
    </row>
    <row r="944" spans="1:19">
      <c r="A944" s="14" t="s">
        <v>14</v>
      </c>
      <c r="B944" s="8">
        <f t="shared" si="18"/>
        <v>70152103</v>
      </c>
      <c r="C944" s="2" t="s">
        <v>960</v>
      </c>
      <c r="E944" s="2" t="str">
        <f>F944&amp;(VLOOKUP(G944,编号表!$E$1:$G$8,2,0))&amp;H944&amp;"_"&amp;I944&amp;"_"&amp;J944</f>
        <v>15N2_1_3</v>
      </c>
      <c r="F944" s="2">
        <v>15</v>
      </c>
      <c r="G944" s="2" t="s">
        <v>37</v>
      </c>
      <c r="H944" s="2">
        <v>2</v>
      </c>
      <c r="I944" s="2">
        <v>1</v>
      </c>
      <c r="J944" s="2">
        <f>COUNTIFS($F$13:F944,F944,$I$13:I944,I944)</f>
        <v>3</v>
      </c>
      <c r="O944" s="8">
        <v>1015201</v>
      </c>
      <c r="P944" s="8">
        <v>1015301</v>
      </c>
      <c r="Q944" s="8">
        <v>1015401</v>
      </c>
      <c r="R944" s="8">
        <v>1015501</v>
      </c>
    </row>
    <row r="945" spans="1:18">
      <c r="A945" s="14" t="s">
        <v>14</v>
      </c>
      <c r="B945" s="8">
        <f t="shared" si="18"/>
        <v>70152104</v>
      </c>
      <c r="C945" s="2" t="s">
        <v>961</v>
      </c>
      <c r="E945" s="2" t="str">
        <f>F945&amp;(VLOOKUP(G945,编号表!$E$1:$G$8,2,0))&amp;H945&amp;"_"&amp;I945&amp;"_"&amp;J945</f>
        <v>15N2_1_4</v>
      </c>
      <c r="F945" s="2">
        <v>15</v>
      </c>
      <c r="G945" s="2" t="s">
        <v>37</v>
      </c>
      <c r="H945" s="2">
        <v>2</v>
      </c>
      <c r="I945" s="2">
        <v>1</v>
      </c>
      <c r="J945" s="2">
        <f>COUNTIFS($F$13:F945,F945,$I$13:I945,I945)</f>
        <v>4</v>
      </c>
      <c r="O945" s="8">
        <v>1015201</v>
      </c>
      <c r="P945" s="8">
        <v>1015301</v>
      </c>
      <c r="Q945" s="8">
        <v>1015401</v>
      </c>
      <c r="R945" s="8">
        <v>1015501</v>
      </c>
    </row>
    <row r="946" spans="1:18">
      <c r="A946" s="14" t="s">
        <v>14</v>
      </c>
      <c r="B946" s="8">
        <f t="shared" si="18"/>
        <v>70152105</v>
      </c>
      <c r="C946" s="2" t="s">
        <v>962</v>
      </c>
      <c r="E946" s="2" t="str">
        <f>F946&amp;(VLOOKUP(G946,编号表!$E$1:$G$8,2,0))&amp;H946&amp;"_"&amp;I946&amp;"_"&amp;J946</f>
        <v>15N2_1_5</v>
      </c>
      <c r="F946" s="2">
        <v>15</v>
      </c>
      <c r="G946" s="2" t="s">
        <v>37</v>
      </c>
      <c r="H946" s="2">
        <v>2</v>
      </c>
      <c r="I946" s="2">
        <v>1</v>
      </c>
      <c r="J946" s="2">
        <f>COUNTIFS($F$13:F946,F946,$I$13:I946,I946)</f>
        <v>5</v>
      </c>
      <c r="O946" s="8">
        <v>1015201</v>
      </c>
      <c r="P946" s="8">
        <v>1015301</v>
      </c>
      <c r="Q946" s="8">
        <v>1015401</v>
      </c>
      <c r="R946" s="8">
        <v>1015501</v>
      </c>
    </row>
    <row r="947" spans="1:18">
      <c r="A947" s="14" t="s">
        <v>14</v>
      </c>
      <c r="B947" s="8">
        <f t="shared" si="18"/>
        <v>70153201</v>
      </c>
      <c r="C947" s="2" t="s">
        <v>963</v>
      </c>
      <c r="E947" s="2" t="str">
        <f>F947&amp;(VLOOKUP(G947,编号表!$E$1:$G$8,2,0))&amp;H947&amp;"_"&amp;I947&amp;"_"&amp;J947</f>
        <v>15N3_2_1</v>
      </c>
      <c r="F947" s="2">
        <v>15</v>
      </c>
      <c r="G947" s="2" t="s">
        <v>37</v>
      </c>
      <c r="H947" s="2">
        <v>3</v>
      </c>
      <c r="I947" s="2">
        <v>2</v>
      </c>
      <c r="J947" s="2">
        <f>COUNTIFS($F$13:F947,F947,$I$13:I947,I947)</f>
        <v>1</v>
      </c>
      <c r="O947" s="8">
        <v>1015201</v>
      </c>
      <c r="P947" s="8">
        <v>1015301</v>
      </c>
      <c r="Q947" s="8">
        <v>1015401</v>
      </c>
      <c r="R947" s="8">
        <v>1015501</v>
      </c>
    </row>
    <row r="948" spans="1:18">
      <c r="A948" s="14" t="s">
        <v>14</v>
      </c>
      <c r="B948" s="8">
        <f t="shared" si="18"/>
        <v>70152202</v>
      </c>
      <c r="C948" s="2" t="s">
        <v>964</v>
      </c>
      <c r="E948" s="2" t="str">
        <f>F948&amp;(VLOOKUP(G948,编号表!$E$1:$G$8,2,0))&amp;H948&amp;"_"&amp;I948&amp;"_"&amp;J948</f>
        <v>15N2_2_2</v>
      </c>
      <c r="F948" s="2">
        <v>15</v>
      </c>
      <c r="G948" s="2" t="s">
        <v>37</v>
      </c>
      <c r="H948" s="2">
        <v>2</v>
      </c>
      <c r="I948" s="2">
        <v>2</v>
      </c>
      <c r="J948" s="2">
        <f>COUNTIFS($F$13:F948,F948,$I$13:I948,I948)</f>
        <v>2</v>
      </c>
      <c r="O948" s="8">
        <v>1015201</v>
      </c>
      <c r="P948" s="8">
        <v>1015301</v>
      </c>
      <c r="Q948" s="8">
        <v>1015401</v>
      </c>
      <c r="R948" s="8">
        <v>1015501</v>
      </c>
    </row>
    <row r="949" spans="1:18">
      <c r="A949" s="14" t="s">
        <v>14</v>
      </c>
      <c r="B949" s="8">
        <f t="shared" si="18"/>
        <v>70152203</v>
      </c>
      <c r="C949" s="2" t="s">
        <v>965</v>
      </c>
      <c r="E949" s="2" t="str">
        <f>F949&amp;(VLOOKUP(G949,编号表!$E$1:$G$8,2,0))&amp;H949&amp;"_"&amp;I949&amp;"_"&amp;J949</f>
        <v>15N2_2_3</v>
      </c>
      <c r="F949" s="2">
        <v>15</v>
      </c>
      <c r="G949" s="2" t="s">
        <v>37</v>
      </c>
      <c r="H949" s="2">
        <v>2</v>
      </c>
      <c r="I949" s="2">
        <v>2</v>
      </c>
      <c r="J949" s="2">
        <f>COUNTIFS($F$13:F949,F949,$I$13:I949,I949)</f>
        <v>3</v>
      </c>
      <c r="O949" s="8">
        <v>1015201</v>
      </c>
      <c r="P949" s="8">
        <v>1015301</v>
      </c>
      <c r="Q949" s="8">
        <v>1015401</v>
      </c>
      <c r="R949" s="8">
        <v>1015501</v>
      </c>
    </row>
    <row r="950" spans="1:18">
      <c r="A950" s="14" t="s">
        <v>14</v>
      </c>
      <c r="B950" s="8">
        <f t="shared" si="18"/>
        <v>70152204</v>
      </c>
      <c r="C950" s="2" t="s">
        <v>966</v>
      </c>
      <c r="E950" s="2" t="str">
        <f>F950&amp;(VLOOKUP(G950,编号表!$E$1:$G$8,2,0))&amp;H950&amp;"_"&amp;I950&amp;"_"&amp;J950</f>
        <v>15N2_2_4</v>
      </c>
      <c r="F950" s="2">
        <v>15</v>
      </c>
      <c r="G950" s="2" t="s">
        <v>37</v>
      </c>
      <c r="H950" s="2">
        <v>2</v>
      </c>
      <c r="I950" s="2">
        <v>2</v>
      </c>
      <c r="J950" s="2">
        <f>COUNTIFS($F$13:F950,F950,$I$13:I950,I950)</f>
        <v>4</v>
      </c>
      <c r="O950" s="8">
        <v>1015201</v>
      </c>
      <c r="P950" s="8">
        <v>1015301</v>
      </c>
      <c r="Q950" s="8">
        <v>1015401</v>
      </c>
      <c r="R950" s="8">
        <v>1015501</v>
      </c>
    </row>
    <row r="951" spans="1:18">
      <c r="A951" s="14" t="s">
        <v>14</v>
      </c>
      <c r="B951" s="8">
        <f t="shared" si="18"/>
        <v>70153205</v>
      </c>
      <c r="C951" s="16" t="s">
        <v>54</v>
      </c>
      <c r="D951" s="2" t="s">
        <v>967</v>
      </c>
      <c r="E951" s="2" t="str">
        <f>F951&amp;(VLOOKUP(G951,编号表!$E$1:$G$8,2,0))&amp;H951&amp;"_"&amp;I951&amp;"_"&amp;J951</f>
        <v>15T3_2_5</v>
      </c>
      <c r="F951" s="2">
        <v>15</v>
      </c>
      <c r="G951" s="2" t="s">
        <v>53</v>
      </c>
      <c r="H951" s="2">
        <v>3</v>
      </c>
      <c r="I951" s="2">
        <v>2</v>
      </c>
      <c r="J951" s="2">
        <f>COUNTIFS($F$13:F951,F951,$I$13:I951,I951)</f>
        <v>5</v>
      </c>
    </row>
    <row r="952" spans="1:18">
      <c r="A952" s="14" t="s">
        <v>14</v>
      </c>
      <c r="B952" s="8">
        <f t="shared" si="18"/>
        <v>70151206</v>
      </c>
      <c r="C952" s="15" t="s">
        <v>968</v>
      </c>
      <c r="E952" s="2" t="str">
        <f>F952&amp;(VLOOKUP(G952,编号表!$E$1:$G$8,2,0))&amp;H952&amp;"_"&amp;I952&amp;"_"&amp;J952</f>
        <v>15T1_2_6</v>
      </c>
      <c r="F952" s="2">
        <v>15</v>
      </c>
      <c r="G952" s="2" t="s">
        <v>53</v>
      </c>
      <c r="H952" s="2">
        <v>1</v>
      </c>
      <c r="I952" s="2">
        <v>2</v>
      </c>
      <c r="J952" s="2">
        <f>COUNTIFS($F$13:F952,F952,$I$13:I952,I952)</f>
        <v>6</v>
      </c>
      <c r="L952" s="2">
        <v>1</v>
      </c>
    </row>
    <row r="953" spans="1:18">
      <c r="A953" s="14" t="s">
        <v>14</v>
      </c>
      <c r="B953" s="8">
        <f t="shared" si="18"/>
        <v>70154207</v>
      </c>
      <c r="C953" s="2" t="s">
        <v>969</v>
      </c>
      <c r="E953" s="2" t="str">
        <f>F953&amp;(VLOOKUP(G953,编号表!$E$1:$G$8,2,0))&amp;H953&amp;"_"&amp;I953&amp;"_"&amp;J953</f>
        <v>15N4_2_7</v>
      </c>
      <c r="F953" s="2">
        <v>15</v>
      </c>
      <c r="G953" s="2" t="s">
        <v>37</v>
      </c>
      <c r="H953" s="2">
        <v>4</v>
      </c>
      <c r="I953" s="2">
        <v>2</v>
      </c>
      <c r="J953" s="2">
        <f>COUNTIFS($F$13:F953,F953,$I$13:I953,I953)</f>
        <v>7</v>
      </c>
      <c r="O953" s="8">
        <v>1015201</v>
      </c>
      <c r="P953" s="8">
        <v>1015301</v>
      </c>
      <c r="Q953" s="8">
        <v>1015401</v>
      </c>
      <c r="R953" s="8">
        <v>1015501</v>
      </c>
    </row>
    <row r="954" spans="1:18">
      <c r="A954" s="14" t="s">
        <v>14</v>
      </c>
      <c r="B954" s="8">
        <f t="shared" si="18"/>
        <v>70154208</v>
      </c>
      <c r="C954" s="2" t="s">
        <v>970</v>
      </c>
      <c r="E954" s="2" t="str">
        <f>F954&amp;(VLOOKUP(G954,编号表!$E$1:$G$8,2,0))&amp;H954&amp;"_"&amp;I954&amp;"_"&amp;J954</f>
        <v>15N4_2_8</v>
      </c>
      <c r="F954" s="2">
        <v>15</v>
      </c>
      <c r="G954" s="2" t="s">
        <v>37</v>
      </c>
      <c r="H954" s="2">
        <v>4</v>
      </c>
      <c r="I954" s="2">
        <v>2</v>
      </c>
      <c r="J954" s="2">
        <f>COUNTIFS($F$13:F954,F954,$I$13:I954,I954)</f>
        <v>8</v>
      </c>
      <c r="O954" s="8">
        <v>1015201</v>
      </c>
      <c r="P954" s="8">
        <v>1015301</v>
      </c>
      <c r="Q954" s="8">
        <v>1015401</v>
      </c>
      <c r="R954" s="8">
        <v>1015501</v>
      </c>
    </row>
    <row r="955" spans="1:18">
      <c r="A955" s="14" t="s">
        <v>14</v>
      </c>
      <c r="B955" s="8">
        <f t="shared" si="18"/>
        <v>70154209</v>
      </c>
      <c r="C955" s="2" t="s">
        <v>971</v>
      </c>
      <c r="E955" s="2" t="str">
        <f>F955&amp;(VLOOKUP(G955,编号表!$E$1:$G$8,2,0))&amp;H955&amp;"_"&amp;I955&amp;"_"&amp;J955</f>
        <v>15N4_2_9</v>
      </c>
      <c r="F955" s="2">
        <v>15</v>
      </c>
      <c r="G955" s="2" t="s">
        <v>37</v>
      </c>
      <c r="H955" s="2">
        <v>4</v>
      </c>
      <c r="I955" s="2">
        <v>2</v>
      </c>
      <c r="J955" s="2">
        <f>COUNTIFS($F$13:F955,F955,$I$13:I955,I955)</f>
        <v>9</v>
      </c>
      <c r="O955" s="8">
        <v>1015201</v>
      </c>
      <c r="P955" s="8">
        <v>1015301</v>
      </c>
      <c r="Q955" s="8">
        <v>1015401</v>
      </c>
      <c r="R955" s="8">
        <v>1015501</v>
      </c>
    </row>
    <row r="956" spans="1:18">
      <c r="A956" s="14" t="s">
        <v>14</v>
      </c>
      <c r="B956" s="8">
        <f t="shared" si="18"/>
        <v>70154210</v>
      </c>
      <c r="C956" s="2" t="s">
        <v>972</v>
      </c>
      <c r="E956" s="2" t="str">
        <f>F956&amp;(VLOOKUP(G956,编号表!$E$1:$G$8,2,0))&amp;H956&amp;"_"&amp;I956&amp;"_"&amp;J956</f>
        <v>15N4_2_10</v>
      </c>
      <c r="F956" s="2">
        <v>15</v>
      </c>
      <c r="G956" s="2" t="s">
        <v>37</v>
      </c>
      <c r="H956" s="2">
        <v>4</v>
      </c>
      <c r="I956" s="2">
        <v>2</v>
      </c>
      <c r="J956" s="2">
        <f>COUNTIFS($F$13:F956,F956,$I$13:I956,I956)</f>
        <v>10</v>
      </c>
      <c r="O956" s="8">
        <v>1015201</v>
      </c>
      <c r="P956" s="8">
        <v>1015301</v>
      </c>
      <c r="Q956" s="8">
        <v>1015401</v>
      </c>
      <c r="R956" s="8">
        <v>1015501</v>
      </c>
    </row>
    <row r="957" spans="1:18">
      <c r="A957" s="14" t="s">
        <v>14</v>
      </c>
      <c r="B957" s="8">
        <f t="shared" si="18"/>
        <v>70153211</v>
      </c>
      <c r="C957" s="2" t="s">
        <v>973</v>
      </c>
      <c r="E957" s="2" t="str">
        <f>F957&amp;(VLOOKUP(G957,编号表!$E$1:$G$8,2,0))&amp;H957&amp;"_"&amp;I957&amp;"_"&amp;J957</f>
        <v>15N3_2_11</v>
      </c>
      <c r="F957" s="2">
        <v>15</v>
      </c>
      <c r="G957" s="2" t="s">
        <v>37</v>
      </c>
      <c r="H957" s="2">
        <v>3</v>
      </c>
      <c r="I957" s="2">
        <v>2</v>
      </c>
      <c r="J957" s="2">
        <f>COUNTIFS($F$13:F957,F957,$I$13:I957,I957)</f>
        <v>11</v>
      </c>
      <c r="O957" s="8">
        <v>1015201</v>
      </c>
      <c r="P957" s="8">
        <v>1015301</v>
      </c>
      <c r="Q957" s="8">
        <v>1015401</v>
      </c>
      <c r="R957" s="8">
        <v>1015501</v>
      </c>
    </row>
    <row r="958" spans="1:18">
      <c r="A958" s="14" t="s">
        <v>14</v>
      </c>
      <c r="B958" s="8">
        <f t="shared" si="18"/>
        <v>70153301</v>
      </c>
      <c r="C958" s="2" t="s">
        <v>974</v>
      </c>
      <c r="E958" s="2" t="str">
        <f>F958&amp;(VLOOKUP(G958,编号表!$E$1:$G$8,2,0))&amp;H958&amp;"_"&amp;I958&amp;"_"&amp;J958</f>
        <v>15N3_3_1</v>
      </c>
      <c r="F958" s="2">
        <v>15</v>
      </c>
      <c r="G958" s="2" t="s">
        <v>37</v>
      </c>
      <c r="H958" s="2">
        <v>3</v>
      </c>
      <c r="I958" s="2">
        <v>3</v>
      </c>
      <c r="J958" s="2">
        <f>COUNTIFS($F$13:F958,F958,$I$13:I958,I958)</f>
        <v>1</v>
      </c>
      <c r="O958" s="8">
        <v>1015201</v>
      </c>
      <c r="P958" s="8">
        <v>1015301</v>
      </c>
      <c r="Q958" s="8">
        <v>1015401</v>
      </c>
      <c r="R958" s="8">
        <v>1015501</v>
      </c>
    </row>
    <row r="959" spans="1:18">
      <c r="A959" s="14" t="s">
        <v>14</v>
      </c>
      <c r="B959" s="8">
        <f t="shared" si="18"/>
        <v>70153302</v>
      </c>
      <c r="C959" s="2" t="s">
        <v>975</v>
      </c>
      <c r="E959" s="2" t="str">
        <f>F959&amp;(VLOOKUP(G959,编号表!$E$1:$G$8,2,0))&amp;H959&amp;"_"&amp;I959&amp;"_"&amp;J959</f>
        <v>15N3_3_2</v>
      </c>
      <c r="F959" s="2">
        <v>15</v>
      </c>
      <c r="G959" s="2" t="s">
        <v>37</v>
      </c>
      <c r="H959" s="2">
        <v>3</v>
      </c>
      <c r="I959" s="2">
        <v>3</v>
      </c>
      <c r="J959" s="2">
        <f>COUNTIFS($F$13:F959,F959,$I$13:I959,I959)</f>
        <v>2</v>
      </c>
      <c r="O959" s="8">
        <v>1015201</v>
      </c>
      <c r="P959" s="8">
        <v>1015301</v>
      </c>
      <c r="Q959" s="8">
        <v>1015401</v>
      </c>
      <c r="R959" s="8">
        <v>1015501</v>
      </c>
    </row>
    <row r="960" spans="1:18">
      <c r="A960" s="14" t="s">
        <v>14</v>
      </c>
      <c r="B960" s="8">
        <f t="shared" si="18"/>
        <v>70152303</v>
      </c>
      <c r="C960" s="2" t="s">
        <v>976</v>
      </c>
      <c r="E960" s="2" t="str">
        <f>F960&amp;(VLOOKUP(G960,编号表!$E$1:$G$8,2,0))&amp;H960&amp;"_"&amp;I960&amp;"_"&amp;J960</f>
        <v>15N2_3_3</v>
      </c>
      <c r="F960" s="2">
        <v>15</v>
      </c>
      <c r="G960" s="2" t="s">
        <v>37</v>
      </c>
      <c r="H960" s="2">
        <v>2</v>
      </c>
      <c r="I960" s="2">
        <v>3</v>
      </c>
      <c r="J960" s="2">
        <f>COUNTIFS($F$13:F960,F960,$I$13:I960,I960)</f>
        <v>3</v>
      </c>
      <c r="O960" s="8">
        <v>1015201</v>
      </c>
      <c r="P960" s="8">
        <v>1015301</v>
      </c>
      <c r="Q960" s="8">
        <v>1015401</v>
      </c>
      <c r="R960" s="8">
        <v>1015501</v>
      </c>
    </row>
    <row r="961" spans="1:18">
      <c r="A961" s="14" t="s">
        <v>14</v>
      </c>
      <c r="B961" s="8">
        <f t="shared" si="18"/>
        <v>70153304</v>
      </c>
      <c r="C961" s="2" t="s">
        <v>977</v>
      </c>
      <c r="E961" s="2" t="str">
        <f>F961&amp;(VLOOKUP(G961,编号表!$E$1:$G$8,2,0))&amp;H961&amp;"_"&amp;I961&amp;"_"&amp;J961</f>
        <v>15N3_3_4</v>
      </c>
      <c r="F961" s="2">
        <v>15</v>
      </c>
      <c r="G961" s="2" t="s">
        <v>37</v>
      </c>
      <c r="H961" s="2">
        <v>3</v>
      </c>
      <c r="I961" s="2">
        <v>3</v>
      </c>
      <c r="J961" s="2">
        <f>COUNTIFS($F$13:F961,F961,$I$13:I961,I961)</f>
        <v>4</v>
      </c>
      <c r="O961" s="8">
        <v>1015201</v>
      </c>
      <c r="P961" s="8">
        <v>1015301</v>
      </c>
      <c r="Q961" s="8">
        <v>1015401</v>
      </c>
      <c r="R961" s="8">
        <v>1015501</v>
      </c>
    </row>
    <row r="962" spans="1:18">
      <c r="A962" s="14" t="s">
        <v>14</v>
      </c>
      <c r="B962" s="8">
        <f t="shared" si="18"/>
        <v>70154305</v>
      </c>
      <c r="C962" s="2" t="s">
        <v>978</v>
      </c>
      <c r="E962" s="2" t="str">
        <f>F962&amp;(VLOOKUP(G962,编号表!$E$1:$G$8,2,0))&amp;H962&amp;"_"&amp;I962&amp;"_"&amp;J962</f>
        <v>15N4_3_5</v>
      </c>
      <c r="F962" s="2">
        <v>15</v>
      </c>
      <c r="G962" s="2" t="s">
        <v>37</v>
      </c>
      <c r="H962" s="2">
        <v>4</v>
      </c>
      <c r="I962" s="2">
        <v>3</v>
      </c>
      <c r="J962" s="2">
        <f>COUNTIFS($F$13:F962,F962,$I$13:I962,I962)</f>
        <v>5</v>
      </c>
      <c r="O962" s="8">
        <v>1015201</v>
      </c>
      <c r="P962" s="8">
        <v>1015301</v>
      </c>
      <c r="Q962" s="8">
        <v>1015401</v>
      </c>
      <c r="R962" s="8">
        <v>1015501</v>
      </c>
    </row>
    <row r="963" spans="1:18">
      <c r="A963" s="14" t="s">
        <v>14</v>
      </c>
      <c r="B963" s="8">
        <f t="shared" si="18"/>
        <v>70154306</v>
      </c>
      <c r="C963" s="2" t="s">
        <v>979</v>
      </c>
      <c r="E963" s="2" t="str">
        <f>F963&amp;(VLOOKUP(G963,编号表!$E$1:$G$8,2,0))&amp;H963&amp;"_"&amp;I963&amp;"_"&amp;J963</f>
        <v>15N4_3_6</v>
      </c>
      <c r="F963" s="2">
        <v>15</v>
      </c>
      <c r="G963" s="2" t="s">
        <v>37</v>
      </c>
      <c r="H963" s="2">
        <v>4</v>
      </c>
      <c r="I963" s="2">
        <v>3</v>
      </c>
      <c r="J963" s="2">
        <f>COUNTIFS($F$13:F963,F963,$I$13:I963,I963)</f>
        <v>6</v>
      </c>
      <c r="O963" s="8">
        <v>1015201</v>
      </c>
      <c r="P963" s="8">
        <v>1015301</v>
      </c>
      <c r="Q963" s="8">
        <v>1015401</v>
      </c>
      <c r="R963" s="8">
        <v>1015501</v>
      </c>
    </row>
    <row r="964" spans="1:18">
      <c r="A964" s="14" t="s">
        <v>14</v>
      </c>
      <c r="B964" s="8">
        <f t="shared" ref="B964:B1027" si="19">70000000+F964*10000+H964*1000+I964*100+J964</f>
        <v>70154307</v>
      </c>
      <c r="C964" s="2" t="s">
        <v>980</v>
      </c>
      <c r="E964" s="2" t="str">
        <f>F964&amp;(VLOOKUP(G964,编号表!$E$1:$G$8,2,0))&amp;H964&amp;"_"&amp;I964&amp;"_"&amp;J964</f>
        <v>15N4_3_7</v>
      </c>
      <c r="F964" s="2">
        <v>15</v>
      </c>
      <c r="G964" s="2" t="s">
        <v>37</v>
      </c>
      <c r="H964" s="2">
        <v>4</v>
      </c>
      <c r="I964" s="2">
        <v>3</v>
      </c>
      <c r="J964" s="2">
        <f>COUNTIFS($F$13:F964,F964,$I$13:I964,I964)</f>
        <v>7</v>
      </c>
      <c r="O964" s="8">
        <v>1015201</v>
      </c>
      <c r="P964" s="8">
        <v>1015301</v>
      </c>
      <c r="Q964" s="8">
        <v>1015401</v>
      </c>
      <c r="R964" s="8">
        <v>1015501</v>
      </c>
    </row>
    <row r="965" spans="1:18">
      <c r="A965" s="14" t="s">
        <v>14</v>
      </c>
      <c r="B965" s="8">
        <f t="shared" si="19"/>
        <v>70154308</v>
      </c>
      <c r="C965" s="2" t="s">
        <v>981</v>
      </c>
      <c r="E965" s="2" t="str">
        <f>F965&amp;(VLOOKUP(G965,编号表!$E$1:$G$8,2,0))&amp;H965&amp;"_"&amp;I965&amp;"_"&amp;J965</f>
        <v>15N4_3_8</v>
      </c>
      <c r="F965" s="2">
        <v>15</v>
      </c>
      <c r="G965" s="2" t="s">
        <v>37</v>
      </c>
      <c r="H965" s="2">
        <v>4</v>
      </c>
      <c r="I965" s="2">
        <v>3</v>
      </c>
      <c r="J965" s="2">
        <f>COUNTIFS($F$13:F965,F965,$I$13:I965,I965)</f>
        <v>8</v>
      </c>
      <c r="O965" s="8">
        <v>1015201</v>
      </c>
      <c r="P965" s="8">
        <v>1015301</v>
      </c>
      <c r="Q965" s="8">
        <v>1015401</v>
      </c>
      <c r="R965" s="8">
        <v>1015501</v>
      </c>
    </row>
    <row r="966" spans="1:18">
      <c r="A966" s="14" t="s">
        <v>14</v>
      </c>
      <c r="B966" s="8">
        <f t="shared" si="19"/>
        <v>70152309</v>
      </c>
      <c r="C966" s="2" t="s">
        <v>982</v>
      </c>
      <c r="E966" s="2" t="str">
        <f>F966&amp;(VLOOKUP(G966,编号表!$E$1:$G$8,2,0))&amp;H966&amp;"_"&amp;I966&amp;"_"&amp;J966</f>
        <v>15N2_3_9</v>
      </c>
      <c r="F966" s="2">
        <v>15</v>
      </c>
      <c r="G966" s="2" t="s">
        <v>37</v>
      </c>
      <c r="H966" s="2">
        <v>2</v>
      </c>
      <c r="I966" s="2">
        <v>3</v>
      </c>
      <c r="J966" s="2">
        <f>COUNTIFS($F$13:F966,F966,$I$13:I966,I966)</f>
        <v>9</v>
      </c>
      <c r="O966" s="8">
        <v>1015201</v>
      </c>
      <c r="P966" s="8">
        <v>1015301</v>
      </c>
      <c r="Q966" s="8">
        <v>1015401</v>
      </c>
      <c r="R966" s="8">
        <v>1015501</v>
      </c>
    </row>
    <row r="967" spans="1:18">
      <c r="A967" s="14" t="s">
        <v>14</v>
      </c>
      <c r="B967" s="8">
        <f t="shared" si="19"/>
        <v>70153310</v>
      </c>
      <c r="C967" s="2" t="s">
        <v>983</v>
      </c>
      <c r="E967" s="2" t="str">
        <f>F967&amp;(VLOOKUP(G967,编号表!$E$1:$G$8,2,0))&amp;H967&amp;"_"&amp;I967&amp;"_"&amp;J967</f>
        <v>15N3_3_10</v>
      </c>
      <c r="F967" s="2">
        <v>15</v>
      </c>
      <c r="G967" s="2" t="s">
        <v>37</v>
      </c>
      <c r="H967" s="2">
        <v>3</v>
      </c>
      <c r="I967" s="2">
        <v>3</v>
      </c>
      <c r="J967" s="2">
        <f>COUNTIFS($F$13:F967,F967,$I$13:I967,I967)</f>
        <v>10</v>
      </c>
      <c r="O967" s="8">
        <v>1015201</v>
      </c>
      <c r="P967" s="8">
        <v>1015301</v>
      </c>
      <c r="Q967" s="8">
        <v>1015401</v>
      </c>
      <c r="R967" s="8">
        <v>1015501</v>
      </c>
    </row>
    <row r="968" spans="1:18">
      <c r="A968" s="14" t="s">
        <v>14</v>
      </c>
      <c r="B968" s="8">
        <f t="shared" si="19"/>
        <v>70153401</v>
      </c>
      <c r="C968" s="2" t="s">
        <v>984</v>
      </c>
      <c r="E968" s="2" t="str">
        <f>F968&amp;(VLOOKUP(G968,编号表!$E$1:$G$8,2,0))&amp;H968&amp;"_"&amp;I968&amp;"_"&amp;J968</f>
        <v>15N3_4_1</v>
      </c>
      <c r="F968" s="2">
        <v>15</v>
      </c>
      <c r="G968" s="2" t="s">
        <v>37</v>
      </c>
      <c r="H968" s="2">
        <v>3</v>
      </c>
      <c r="I968" s="2">
        <v>4</v>
      </c>
      <c r="J968" s="2">
        <f>COUNTIFS($F$13:F968,F968,$I$13:I968,I968)</f>
        <v>1</v>
      </c>
      <c r="O968" s="8">
        <v>1015201</v>
      </c>
      <c r="P968" s="8">
        <v>1015301</v>
      </c>
      <c r="Q968" s="8">
        <v>1015401</v>
      </c>
      <c r="R968" s="8">
        <v>1015501</v>
      </c>
    </row>
    <row r="969" spans="1:18">
      <c r="A969" s="14" t="s">
        <v>14</v>
      </c>
      <c r="B969" s="8">
        <f t="shared" si="19"/>
        <v>70153402</v>
      </c>
      <c r="C969" s="2" t="s">
        <v>985</v>
      </c>
      <c r="E969" s="2" t="str">
        <f>F969&amp;(VLOOKUP(G969,编号表!$E$1:$G$8,2,0))&amp;H969&amp;"_"&amp;I969&amp;"_"&amp;J969</f>
        <v>15N3_4_2</v>
      </c>
      <c r="F969" s="2">
        <v>15</v>
      </c>
      <c r="G969" s="2" t="s">
        <v>37</v>
      </c>
      <c r="H969" s="2">
        <v>3</v>
      </c>
      <c r="I969" s="2">
        <v>4</v>
      </c>
      <c r="J969" s="2">
        <f>COUNTIFS($F$13:F969,F969,$I$13:I969,I969)</f>
        <v>2</v>
      </c>
      <c r="O969" s="8">
        <v>1015201</v>
      </c>
      <c r="P969" s="8">
        <v>1015301</v>
      </c>
      <c r="Q969" s="8">
        <v>1015401</v>
      </c>
      <c r="R969" s="8">
        <v>1015501</v>
      </c>
    </row>
    <row r="970" spans="1:18">
      <c r="A970" s="14" t="s">
        <v>14</v>
      </c>
      <c r="B970" s="8">
        <f t="shared" si="19"/>
        <v>70153403</v>
      </c>
      <c r="C970" s="2" t="s">
        <v>986</v>
      </c>
      <c r="E970" s="2" t="str">
        <f>F970&amp;(VLOOKUP(G970,编号表!$E$1:$G$8,2,0))&amp;H970&amp;"_"&amp;I970&amp;"_"&amp;J970</f>
        <v>15N3_4_3</v>
      </c>
      <c r="F970" s="2">
        <v>15</v>
      </c>
      <c r="G970" s="2" t="s">
        <v>37</v>
      </c>
      <c r="H970" s="2">
        <v>3</v>
      </c>
      <c r="I970" s="2">
        <v>4</v>
      </c>
      <c r="J970" s="2">
        <f>COUNTIFS($F$13:F970,F970,$I$13:I970,I970)</f>
        <v>3</v>
      </c>
      <c r="O970" s="8">
        <v>1015201</v>
      </c>
      <c r="P970" s="8">
        <v>1015301</v>
      </c>
      <c r="Q970" s="8">
        <v>1015401</v>
      </c>
      <c r="R970" s="8">
        <v>1015501</v>
      </c>
    </row>
    <row r="971" spans="1:18">
      <c r="A971" s="14" t="s">
        <v>14</v>
      </c>
      <c r="B971" s="8">
        <f t="shared" si="19"/>
        <v>70153404</v>
      </c>
      <c r="C971" s="2" t="s">
        <v>987</v>
      </c>
      <c r="E971" s="2" t="str">
        <f>F971&amp;(VLOOKUP(G971,编号表!$E$1:$G$8,2,0))&amp;H971&amp;"_"&amp;I971&amp;"_"&amp;J971</f>
        <v>15N3_4_4</v>
      </c>
      <c r="F971" s="2">
        <v>15</v>
      </c>
      <c r="G971" s="2" t="s">
        <v>37</v>
      </c>
      <c r="H971" s="2">
        <v>3</v>
      </c>
      <c r="I971" s="2">
        <v>4</v>
      </c>
      <c r="J971" s="2">
        <f>COUNTIFS($F$13:F971,F971,$I$13:I971,I971)</f>
        <v>4</v>
      </c>
      <c r="O971" s="8">
        <v>1015201</v>
      </c>
      <c r="P971" s="8">
        <v>1015301</v>
      </c>
      <c r="Q971" s="8">
        <v>1015401</v>
      </c>
      <c r="R971" s="8">
        <v>1015501</v>
      </c>
    </row>
    <row r="972" spans="1:18">
      <c r="A972" s="14" t="s">
        <v>14</v>
      </c>
      <c r="B972" s="8">
        <f t="shared" si="19"/>
        <v>70152405</v>
      </c>
      <c r="C972" s="2" t="s">
        <v>988</v>
      </c>
      <c r="E972" s="2" t="str">
        <f>F972&amp;(VLOOKUP(G972,编号表!$E$1:$G$8,2,0))&amp;H972&amp;"_"&amp;I972&amp;"_"&amp;J972</f>
        <v>15N2_4_5</v>
      </c>
      <c r="F972" s="2">
        <v>15</v>
      </c>
      <c r="G972" s="2" t="s">
        <v>37</v>
      </c>
      <c r="H972" s="2">
        <v>2</v>
      </c>
      <c r="I972" s="2">
        <v>4</v>
      </c>
      <c r="J972" s="2">
        <f>COUNTIFS($F$13:F972,F972,$I$13:I972,I972)</f>
        <v>5</v>
      </c>
      <c r="O972" s="8">
        <v>1015201</v>
      </c>
      <c r="P972" s="8">
        <v>1015301</v>
      </c>
      <c r="Q972" s="8">
        <v>1015401</v>
      </c>
      <c r="R972" s="8">
        <v>1015501</v>
      </c>
    </row>
    <row r="973" spans="1:18">
      <c r="A973" s="14" t="s">
        <v>14</v>
      </c>
      <c r="B973" s="8">
        <f t="shared" si="19"/>
        <v>70151406</v>
      </c>
      <c r="C973" s="2" t="s">
        <v>989</v>
      </c>
      <c r="E973" s="2" t="str">
        <f>F973&amp;(VLOOKUP(G973,编号表!$E$1:$G$8,2,0))&amp;H973&amp;"_"&amp;I973&amp;"_"&amp;J973</f>
        <v>15N1_4_6</v>
      </c>
      <c r="F973" s="2">
        <v>15</v>
      </c>
      <c r="G973" s="2" t="s">
        <v>37</v>
      </c>
      <c r="H973" s="2">
        <v>1</v>
      </c>
      <c r="I973" s="2">
        <v>4</v>
      </c>
      <c r="J973" s="2">
        <f>COUNTIFS($F$13:F973,F973,$I$13:I973,I973)</f>
        <v>6</v>
      </c>
      <c r="O973" s="8">
        <v>1015201</v>
      </c>
      <c r="P973" s="8">
        <v>1015301</v>
      </c>
      <c r="Q973" s="8">
        <v>1015401</v>
      </c>
      <c r="R973" s="8">
        <v>1015501</v>
      </c>
    </row>
    <row r="974" spans="1:18">
      <c r="A974" s="14" t="s">
        <v>14</v>
      </c>
      <c r="B974" s="8">
        <f t="shared" si="19"/>
        <v>70152407</v>
      </c>
      <c r="C974" s="2" t="s">
        <v>990</v>
      </c>
      <c r="E974" s="2" t="str">
        <f>F974&amp;(VLOOKUP(G974,编号表!$E$1:$G$8,2,0))&amp;H974&amp;"_"&amp;I974&amp;"_"&amp;J974</f>
        <v>15N2_4_7</v>
      </c>
      <c r="F974" s="2">
        <v>15</v>
      </c>
      <c r="G974" s="2" t="s">
        <v>37</v>
      </c>
      <c r="H974" s="2">
        <v>2</v>
      </c>
      <c r="I974" s="2">
        <v>4</v>
      </c>
      <c r="J974" s="2">
        <f>COUNTIFS($F$13:F974,F974,$I$13:I974,I974)</f>
        <v>7</v>
      </c>
      <c r="O974" s="8">
        <v>1015201</v>
      </c>
      <c r="P974" s="8">
        <v>1015301</v>
      </c>
      <c r="Q974" s="8">
        <v>1015401</v>
      </c>
      <c r="R974" s="8">
        <v>1015501</v>
      </c>
    </row>
    <row r="975" spans="1:18">
      <c r="A975" s="14" t="s">
        <v>14</v>
      </c>
      <c r="B975" s="8">
        <f t="shared" si="19"/>
        <v>70152408</v>
      </c>
      <c r="C975" s="2" t="s">
        <v>991</v>
      </c>
      <c r="E975" s="2" t="str">
        <f>F975&amp;(VLOOKUP(G975,编号表!$E$1:$G$8,2,0))&amp;H975&amp;"_"&amp;I975&amp;"_"&amp;J975</f>
        <v>15N2_4_8</v>
      </c>
      <c r="F975" s="2">
        <v>15</v>
      </c>
      <c r="G975" s="2" t="s">
        <v>37</v>
      </c>
      <c r="H975" s="2">
        <v>2</v>
      </c>
      <c r="I975" s="2">
        <v>4</v>
      </c>
      <c r="J975" s="2">
        <f>COUNTIFS($F$13:F975,F975,$I$13:I975,I975)</f>
        <v>8</v>
      </c>
      <c r="O975" s="8">
        <v>1015201</v>
      </c>
      <c r="P975" s="8">
        <v>1015301</v>
      </c>
      <c r="Q975" s="8">
        <v>1015401</v>
      </c>
      <c r="R975" s="8">
        <v>1015501</v>
      </c>
    </row>
    <row r="976" spans="1:18">
      <c r="A976" s="14" t="s">
        <v>14</v>
      </c>
      <c r="B976" s="8">
        <f t="shared" si="19"/>
        <v>70152409</v>
      </c>
      <c r="C976" s="2" t="s">
        <v>992</v>
      </c>
      <c r="E976" s="2" t="str">
        <f>F976&amp;(VLOOKUP(G976,编号表!$E$1:$G$8,2,0))&amp;H976&amp;"_"&amp;I976&amp;"_"&amp;J976</f>
        <v>15N2_4_9</v>
      </c>
      <c r="F976" s="2">
        <v>15</v>
      </c>
      <c r="G976" s="2" t="s">
        <v>37</v>
      </c>
      <c r="H976" s="2">
        <v>2</v>
      </c>
      <c r="I976" s="2">
        <v>4</v>
      </c>
      <c r="J976" s="2">
        <f>COUNTIFS($F$13:F976,F976,$I$13:I976,I976)</f>
        <v>9</v>
      </c>
      <c r="O976" s="8">
        <v>1015201</v>
      </c>
      <c r="P976" s="8">
        <v>1015301</v>
      </c>
      <c r="Q976" s="8">
        <v>1015401</v>
      </c>
      <c r="R976" s="8">
        <v>1015501</v>
      </c>
    </row>
    <row r="977" spans="1:18">
      <c r="A977" s="14" t="s">
        <v>14</v>
      </c>
      <c r="B977" s="8">
        <f t="shared" si="19"/>
        <v>70153410</v>
      </c>
      <c r="C977" s="2" t="s">
        <v>993</v>
      </c>
      <c r="E977" s="2" t="str">
        <f>F977&amp;(VLOOKUP(G977,编号表!$E$1:$G$8,2,0))&amp;H977&amp;"_"&amp;I977&amp;"_"&amp;J977</f>
        <v>15N3_4_10</v>
      </c>
      <c r="F977" s="2">
        <v>15</v>
      </c>
      <c r="G977" s="2" t="s">
        <v>37</v>
      </c>
      <c r="H977" s="2">
        <v>3</v>
      </c>
      <c r="I977" s="2">
        <v>4</v>
      </c>
      <c r="J977" s="2">
        <f>COUNTIFS($F$13:F977,F977,$I$13:I977,I977)</f>
        <v>10</v>
      </c>
      <c r="O977" s="8">
        <v>1015201</v>
      </c>
      <c r="P977" s="8">
        <v>1015301</v>
      </c>
      <c r="Q977" s="8">
        <v>1015401</v>
      </c>
      <c r="R977" s="8">
        <v>1015501</v>
      </c>
    </row>
    <row r="978" spans="1:18">
      <c r="A978" s="14" t="s">
        <v>14</v>
      </c>
      <c r="B978" s="8">
        <f t="shared" si="19"/>
        <v>70152411</v>
      </c>
      <c r="C978" s="2" t="s">
        <v>994</v>
      </c>
      <c r="E978" s="2" t="str">
        <f>F978&amp;(VLOOKUP(G978,编号表!$E$1:$G$8,2,0))&amp;H978&amp;"_"&amp;I978&amp;"_"&amp;J978</f>
        <v>15N2_4_11</v>
      </c>
      <c r="F978" s="2">
        <v>15</v>
      </c>
      <c r="G978" s="2" t="s">
        <v>37</v>
      </c>
      <c r="H978" s="2">
        <v>2</v>
      </c>
      <c r="I978" s="2">
        <v>4</v>
      </c>
      <c r="J978" s="2">
        <f>COUNTIFS($F$13:F978,F978,$I$13:I978,I978)</f>
        <v>11</v>
      </c>
      <c r="O978" s="8">
        <v>1015201</v>
      </c>
      <c r="P978" s="8">
        <v>1015301</v>
      </c>
      <c r="Q978" s="8">
        <v>1015401</v>
      </c>
      <c r="R978" s="8">
        <v>1015501</v>
      </c>
    </row>
    <row r="979" spans="1:18">
      <c r="A979" s="14" t="s">
        <v>14</v>
      </c>
      <c r="B979" s="8">
        <f t="shared" si="19"/>
        <v>70153501</v>
      </c>
      <c r="C979" s="2" t="s">
        <v>995</v>
      </c>
      <c r="E979" s="2" t="str">
        <f>F979&amp;(VLOOKUP(G979,编号表!$E$1:$G$8,2,0))&amp;H979&amp;"_"&amp;I979&amp;"_"&amp;J979</f>
        <v>15N3_5_1</v>
      </c>
      <c r="F979" s="2">
        <v>15</v>
      </c>
      <c r="G979" s="2" t="s">
        <v>37</v>
      </c>
      <c r="H979" s="2">
        <v>3</v>
      </c>
      <c r="I979" s="2">
        <v>5</v>
      </c>
      <c r="J979" s="2">
        <f>COUNTIFS($F$13:F979,F979,$I$13:I979,I979)</f>
        <v>1</v>
      </c>
      <c r="O979" s="8">
        <v>1015201</v>
      </c>
      <c r="P979" s="8">
        <v>1015301</v>
      </c>
      <c r="Q979" s="8">
        <v>1015401</v>
      </c>
      <c r="R979" s="8">
        <v>1015501</v>
      </c>
    </row>
    <row r="980" spans="1:18">
      <c r="A980" s="14" t="s">
        <v>14</v>
      </c>
      <c r="B980" s="8">
        <f t="shared" si="19"/>
        <v>70153502</v>
      </c>
      <c r="C980" s="2" t="s">
        <v>996</v>
      </c>
      <c r="E980" s="2" t="str">
        <f>F980&amp;(VLOOKUP(G980,编号表!$E$1:$G$8,2,0))&amp;H980&amp;"_"&amp;I980&amp;"_"&amp;J980</f>
        <v>15N3_5_2</v>
      </c>
      <c r="F980" s="2">
        <v>15</v>
      </c>
      <c r="G980" s="2" t="s">
        <v>37</v>
      </c>
      <c r="H980" s="2">
        <v>3</v>
      </c>
      <c r="I980" s="2">
        <v>5</v>
      </c>
      <c r="J980" s="2">
        <f>COUNTIFS($F$13:F980,F980,$I$13:I980,I980)</f>
        <v>2</v>
      </c>
      <c r="O980" s="8">
        <v>1015201</v>
      </c>
      <c r="P980" s="8">
        <v>1015301</v>
      </c>
      <c r="Q980" s="8">
        <v>1015401</v>
      </c>
      <c r="R980" s="8">
        <v>1015501</v>
      </c>
    </row>
    <row r="981" spans="1:18">
      <c r="A981" s="14" t="s">
        <v>14</v>
      </c>
      <c r="B981" s="8">
        <f t="shared" si="19"/>
        <v>70153503</v>
      </c>
      <c r="C981" s="2" t="s">
        <v>997</v>
      </c>
      <c r="E981" s="2" t="str">
        <f>F981&amp;(VLOOKUP(G981,编号表!$E$1:$G$8,2,0))&amp;H981&amp;"_"&amp;I981&amp;"_"&amp;J981</f>
        <v>15N3_5_3</v>
      </c>
      <c r="F981" s="2">
        <v>15</v>
      </c>
      <c r="G981" s="2" t="s">
        <v>37</v>
      </c>
      <c r="H981" s="2">
        <v>3</v>
      </c>
      <c r="I981" s="2">
        <v>5</v>
      </c>
      <c r="J981" s="2">
        <f>COUNTIFS($F$13:F981,F981,$I$13:I981,I981)</f>
        <v>3</v>
      </c>
      <c r="O981" s="8">
        <v>1015201</v>
      </c>
      <c r="P981" s="8">
        <v>1015301</v>
      </c>
      <c r="Q981" s="8">
        <v>1015401</v>
      </c>
      <c r="R981" s="8">
        <v>1015501</v>
      </c>
    </row>
    <row r="982" spans="1:18">
      <c r="A982" s="14" t="s">
        <v>14</v>
      </c>
      <c r="B982" s="8">
        <f t="shared" si="19"/>
        <v>70154504</v>
      </c>
      <c r="C982" s="2" t="s">
        <v>998</v>
      </c>
      <c r="E982" s="2" t="str">
        <f>F982&amp;(VLOOKUP(G982,编号表!$E$1:$G$8,2,0))&amp;H982&amp;"_"&amp;I982&amp;"_"&amp;J982</f>
        <v>15N4_5_4</v>
      </c>
      <c r="F982" s="2">
        <v>15</v>
      </c>
      <c r="G982" s="2" t="s">
        <v>37</v>
      </c>
      <c r="H982" s="2">
        <v>4</v>
      </c>
      <c r="I982" s="2">
        <v>5</v>
      </c>
      <c r="J982" s="2">
        <f>COUNTIFS($F$13:F982,F982,$I$13:I982,I982)</f>
        <v>4</v>
      </c>
      <c r="O982" s="8">
        <v>1015201</v>
      </c>
      <c r="P982" s="8">
        <v>1015301</v>
      </c>
      <c r="Q982" s="8">
        <v>1015401</v>
      </c>
      <c r="R982" s="8">
        <v>1015501</v>
      </c>
    </row>
    <row r="983" spans="1:18">
      <c r="A983" s="14" t="s">
        <v>14</v>
      </c>
      <c r="B983" s="8">
        <f t="shared" si="19"/>
        <v>70153505</v>
      </c>
      <c r="C983" s="2" t="s">
        <v>999</v>
      </c>
      <c r="E983" s="2" t="str">
        <f>F983&amp;(VLOOKUP(G983,编号表!$E$1:$G$8,2,0))&amp;H983&amp;"_"&amp;I983&amp;"_"&amp;J983</f>
        <v>15N3_5_5</v>
      </c>
      <c r="F983" s="2">
        <v>15</v>
      </c>
      <c r="G983" s="2" t="s">
        <v>37</v>
      </c>
      <c r="H983" s="2">
        <v>3</v>
      </c>
      <c r="I983" s="2">
        <v>5</v>
      </c>
      <c r="J983" s="2">
        <f>COUNTIFS($F$13:F983,F983,$I$13:I983,I983)</f>
        <v>5</v>
      </c>
      <c r="O983" s="8">
        <v>1015201</v>
      </c>
      <c r="P983" s="8">
        <v>1015301</v>
      </c>
      <c r="Q983" s="8">
        <v>1015401</v>
      </c>
      <c r="R983" s="8">
        <v>1015501</v>
      </c>
    </row>
    <row r="984" spans="1:18">
      <c r="A984" s="14" t="s">
        <v>14</v>
      </c>
      <c r="B984" s="8">
        <f t="shared" si="19"/>
        <v>70153601</v>
      </c>
      <c r="C984" s="2" t="s">
        <v>1000</v>
      </c>
      <c r="E984" s="2" t="str">
        <f>F984&amp;(VLOOKUP(G984,编号表!$E$1:$G$8,2,0))&amp;H984&amp;"_"&amp;I984&amp;"_"&amp;J984</f>
        <v>15N3_6_1</v>
      </c>
      <c r="F984" s="2">
        <v>15</v>
      </c>
      <c r="G984" s="2" t="s">
        <v>37</v>
      </c>
      <c r="H984" s="2">
        <v>3</v>
      </c>
      <c r="I984" s="2">
        <v>6</v>
      </c>
      <c r="J984" s="2">
        <f>COUNTIFS($F$13:F984,F984,$I$13:I984,I984)</f>
        <v>1</v>
      </c>
      <c r="O984" s="8">
        <v>1015201</v>
      </c>
      <c r="P984" s="8">
        <v>1015301</v>
      </c>
      <c r="Q984" s="8">
        <v>1015401</v>
      </c>
      <c r="R984" s="8">
        <v>1015501</v>
      </c>
    </row>
    <row r="985" spans="1:18">
      <c r="A985" s="14" t="s">
        <v>14</v>
      </c>
      <c r="B985" s="8">
        <f t="shared" si="19"/>
        <v>70153602</v>
      </c>
      <c r="C985" s="2" t="s">
        <v>1001</v>
      </c>
      <c r="E985" s="2" t="str">
        <f>F985&amp;(VLOOKUP(G985,编号表!$E$1:$G$8,2,0))&amp;H985&amp;"_"&amp;I985&amp;"_"&amp;J985</f>
        <v>15N3_6_2</v>
      </c>
      <c r="F985" s="2">
        <v>15</v>
      </c>
      <c r="G985" s="2" t="s">
        <v>37</v>
      </c>
      <c r="H985" s="2">
        <v>3</v>
      </c>
      <c r="I985" s="2">
        <v>6</v>
      </c>
      <c r="J985" s="2">
        <f>COUNTIFS($F$13:F985,F985,$I$13:I985,I985)</f>
        <v>2</v>
      </c>
      <c r="O985" s="8">
        <v>1015201</v>
      </c>
      <c r="P985" s="8">
        <v>1015301</v>
      </c>
      <c r="Q985" s="8">
        <v>1015401</v>
      </c>
      <c r="R985" s="8">
        <v>1015501</v>
      </c>
    </row>
    <row r="986" spans="1:18">
      <c r="A986" s="14" t="s">
        <v>14</v>
      </c>
      <c r="B986" s="8">
        <f t="shared" si="19"/>
        <v>70152603</v>
      </c>
      <c r="C986" s="2" t="s">
        <v>1002</v>
      </c>
      <c r="E986" s="2" t="str">
        <f>F986&amp;(VLOOKUP(G986,编号表!$E$1:$G$8,2,0))&amp;H986&amp;"_"&amp;I986&amp;"_"&amp;J986</f>
        <v>15N2_6_3</v>
      </c>
      <c r="F986" s="2">
        <v>15</v>
      </c>
      <c r="G986" s="2" t="s">
        <v>37</v>
      </c>
      <c r="H986" s="2">
        <v>2</v>
      </c>
      <c r="I986" s="2">
        <v>6</v>
      </c>
      <c r="J986" s="2">
        <f>COUNTIFS($F$13:F986,F986,$I$13:I986,I986)</f>
        <v>3</v>
      </c>
      <c r="O986" s="8">
        <v>1015201</v>
      </c>
      <c r="P986" s="8">
        <v>1015301</v>
      </c>
      <c r="Q986" s="8">
        <v>1015401</v>
      </c>
      <c r="R986" s="8">
        <v>1015501</v>
      </c>
    </row>
    <row r="987" spans="1:18">
      <c r="A987" s="14" t="s">
        <v>14</v>
      </c>
      <c r="B987" s="8">
        <f t="shared" si="19"/>
        <v>70152604</v>
      </c>
      <c r="C987" s="2" t="s">
        <v>1003</v>
      </c>
      <c r="E987" s="2" t="str">
        <f>F987&amp;(VLOOKUP(G987,编号表!$E$1:$G$8,2,0))&amp;H987&amp;"_"&amp;I987&amp;"_"&amp;J987</f>
        <v>15N2_6_4</v>
      </c>
      <c r="F987" s="2">
        <v>15</v>
      </c>
      <c r="G987" s="2" t="s">
        <v>37</v>
      </c>
      <c r="H987" s="2">
        <v>2</v>
      </c>
      <c r="I987" s="2">
        <v>6</v>
      </c>
      <c r="J987" s="2">
        <f>COUNTIFS($F$13:F987,F987,$I$13:I987,I987)</f>
        <v>4</v>
      </c>
      <c r="O987" s="8">
        <v>1015201</v>
      </c>
      <c r="P987" s="8">
        <v>1015301</v>
      </c>
      <c r="Q987" s="8">
        <v>1015401</v>
      </c>
      <c r="R987" s="8">
        <v>1015501</v>
      </c>
    </row>
    <row r="988" spans="1:18">
      <c r="A988" s="14" t="s">
        <v>14</v>
      </c>
      <c r="B988" s="8">
        <f t="shared" si="19"/>
        <v>70152605</v>
      </c>
      <c r="C988" s="2" t="s">
        <v>1004</v>
      </c>
      <c r="E988" s="2" t="str">
        <f>F988&amp;(VLOOKUP(G988,编号表!$E$1:$G$8,2,0))&amp;H988&amp;"_"&amp;I988&amp;"_"&amp;J988</f>
        <v>15N2_6_5</v>
      </c>
      <c r="F988" s="2">
        <v>15</v>
      </c>
      <c r="G988" s="2" t="s">
        <v>37</v>
      </c>
      <c r="H988" s="2">
        <v>2</v>
      </c>
      <c r="I988" s="2">
        <v>6</v>
      </c>
      <c r="J988" s="2">
        <f>COUNTIFS($F$13:F988,F988,$I$13:I988,I988)</f>
        <v>5</v>
      </c>
      <c r="O988" s="8">
        <v>1015201</v>
      </c>
      <c r="P988" s="8">
        <v>1015301</v>
      </c>
      <c r="Q988" s="8">
        <v>1015401</v>
      </c>
      <c r="R988" s="8">
        <v>1015501</v>
      </c>
    </row>
    <row r="989" spans="1:18">
      <c r="A989" s="14" t="s">
        <v>14</v>
      </c>
      <c r="B989" s="8">
        <f t="shared" si="19"/>
        <v>70152606</v>
      </c>
      <c r="C989" s="2" t="s">
        <v>1005</v>
      </c>
      <c r="E989" s="2" t="str">
        <f>F989&amp;(VLOOKUP(G989,编号表!$E$1:$G$8,2,0))&amp;H989&amp;"_"&amp;I989&amp;"_"&amp;J989</f>
        <v>15N2_6_6</v>
      </c>
      <c r="F989" s="2">
        <v>15</v>
      </c>
      <c r="G989" s="2" t="s">
        <v>37</v>
      </c>
      <c r="H989" s="2">
        <v>2</v>
      </c>
      <c r="I989" s="2">
        <v>6</v>
      </c>
      <c r="J989" s="2">
        <f>COUNTIFS($F$13:F989,F989,$I$13:I989,I989)</f>
        <v>6</v>
      </c>
      <c r="O989" s="8">
        <v>1015201</v>
      </c>
      <c r="P989" s="8">
        <v>1015301</v>
      </c>
      <c r="Q989" s="8">
        <v>1015401</v>
      </c>
      <c r="R989" s="8">
        <v>1015501</v>
      </c>
    </row>
    <row r="990" spans="1:18">
      <c r="A990" s="14" t="s">
        <v>14</v>
      </c>
      <c r="B990" s="8">
        <f t="shared" si="19"/>
        <v>70152607</v>
      </c>
      <c r="C990" s="2" t="s">
        <v>1006</v>
      </c>
      <c r="E990" s="2" t="str">
        <f>F990&amp;(VLOOKUP(G990,编号表!$E$1:$G$8,2,0))&amp;H990&amp;"_"&amp;I990&amp;"_"&amp;J990</f>
        <v>15N2_6_7</v>
      </c>
      <c r="F990" s="2">
        <v>15</v>
      </c>
      <c r="G990" s="2" t="s">
        <v>37</v>
      </c>
      <c r="H990" s="2">
        <v>2</v>
      </c>
      <c r="I990" s="2">
        <v>6</v>
      </c>
      <c r="J990" s="2">
        <f>COUNTIFS($F$13:F990,F990,$I$13:I990,I990)</f>
        <v>7</v>
      </c>
      <c r="O990" s="8">
        <v>1015201</v>
      </c>
      <c r="P990" s="8">
        <v>1015301</v>
      </c>
      <c r="Q990" s="8">
        <v>1015401</v>
      </c>
      <c r="R990" s="8">
        <v>1015501</v>
      </c>
    </row>
    <row r="991" spans="1:18">
      <c r="A991" s="14" t="s">
        <v>14</v>
      </c>
      <c r="B991" s="8">
        <f t="shared" si="19"/>
        <v>70153608</v>
      </c>
      <c r="C991" s="2" t="s">
        <v>1007</v>
      </c>
      <c r="E991" s="2" t="str">
        <f>F991&amp;(VLOOKUP(G991,编号表!$E$1:$G$8,2,0))&amp;H991&amp;"_"&amp;I991&amp;"_"&amp;J991</f>
        <v>15N3_6_8</v>
      </c>
      <c r="F991" s="2">
        <v>15</v>
      </c>
      <c r="G991" s="2" t="s">
        <v>37</v>
      </c>
      <c r="H991" s="2">
        <v>3</v>
      </c>
      <c r="I991" s="2">
        <v>6</v>
      </c>
      <c r="J991" s="2">
        <f>COUNTIFS($F$13:F991,F991,$I$13:I991,I991)</f>
        <v>8</v>
      </c>
      <c r="O991" s="8">
        <v>1015201</v>
      </c>
      <c r="P991" s="8">
        <v>1015301</v>
      </c>
      <c r="Q991" s="8">
        <v>1015401</v>
      </c>
      <c r="R991" s="8">
        <v>1015501</v>
      </c>
    </row>
    <row r="992" spans="1:18">
      <c r="A992" s="14" t="s">
        <v>14</v>
      </c>
      <c r="B992" s="8">
        <f t="shared" si="19"/>
        <v>70152609</v>
      </c>
      <c r="C992" s="2" t="s">
        <v>1008</v>
      </c>
      <c r="E992" s="2" t="str">
        <f>F992&amp;(VLOOKUP(G992,编号表!$E$1:$G$8,2,0))&amp;H992&amp;"_"&amp;I992&amp;"_"&amp;J992</f>
        <v>15N2_6_9</v>
      </c>
      <c r="F992" s="2">
        <v>15</v>
      </c>
      <c r="G992" s="2" t="s">
        <v>37</v>
      </c>
      <c r="H992" s="2">
        <v>2</v>
      </c>
      <c r="I992" s="2">
        <v>6</v>
      </c>
      <c r="J992" s="2">
        <f>COUNTIFS($F$13:F992,F992,$I$13:I992,I992)</f>
        <v>9</v>
      </c>
      <c r="O992" s="8">
        <v>1015201</v>
      </c>
      <c r="P992" s="8">
        <v>1015301</v>
      </c>
      <c r="Q992" s="8">
        <v>1015401</v>
      </c>
      <c r="R992" s="8">
        <v>1015501</v>
      </c>
    </row>
    <row r="993" spans="1:18">
      <c r="A993" s="14" t="s">
        <v>14</v>
      </c>
      <c r="B993" s="8">
        <f t="shared" si="19"/>
        <v>70153701</v>
      </c>
      <c r="C993" s="2" t="s">
        <v>1009</v>
      </c>
      <c r="E993" s="2" t="str">
        <f>F993&amp;(VLOOKUP(G993,编号表!$E$1:$G$8,2,0))&amp;H993&amp;"_"&amp;I993&amp;"_"&amp;J993</f>
        <v>15N3_7_1</v>
      </c>
      <c r="F993" s="2">
        <v>15</v>
      </c>
      <c r="G993" s="2" t="s">
        <v>37</v>
      </c>
      <c r="H993" s="2">
        <v>3</v>
      </c>
      <c r="I993" s="2">
        <v>7</v>
      </c>
      <c r="J993" s="2">
        <f>COUNTIFS($F$13:F993,F993,$I$13:I993,I993)</f>
        <v>1</v>
      </c>
      <c r="O993" s="8">
        <v>1015201</v>
      </c>
      <c r="P993" s="8">
        <v>1015301</v>
      </c>
      <c r="Q993" s="8">
        <v>1015401</v>
      </c>
      <c r="R993" s="8">
        <v>1015501</v>
      </c>
    </row>
    <row r="994" spans="1:18">
      <c r="A994" s="14" t="s">
        <v>14</v>
      </c>
      <c r="B994" s="8">
        <f t="shared" si="19"/>
        <v>70153702</v>
      </c>
      <c r="C994" s="2" t="s">
        <v>1010</v>
      </c>
      <c r="E994" s="2" t="str">
        <f>F994&amp;(VLOOKUP(G994,编号表!$E$1:$G$8,2,0))&amp;H994&amp;"_"&amp;I994&amp;"_"&amp;J994</f>
        <v>15N3_7_2</v>
      </c>
      <c r="F994" s="2">
        <v>15</v>
      </c>
      <c r="G994" s="2" t="s">
        <v>37</v>
      </c>
      <c r="H994" s="2">
        <v>3</v>
      </c>
      <c r="I994" s="2">
        <v>7</v>
      </c>
      <c r="J994" s="2">
        <f>COUNTIFS($F$13:F994,F994,$I$13:I994,I994)</f>
        <v>2</v>
      </c>
      <c r="O994" s="8">
        <v>1015201</v>
      </c>
      <c r="P994" s="8">
        <v>1015301</v>
      </c>
      <c r="Q994" s="8">
        <v>1015401</v>
      </c>
      <c r="R994" s="8">
        <v>1015501</v>
      </c>
    </row>
    <row r="995" spans="1:18">
      <c r="A995" s="14" t="s">
        <v>14</v>
      </c>
      <c r="B995" s="8">
        <f t="shared" si="19"/>
        <v>70152703</v>
      </c>
      <c r="C995" s="2" t="s">
        <v>1011</v>
      </c>
      <c r="E995" s="2" t="str">
        <f>F995&amp;(VLOOKUP(G995,编号表!$E$1:$G$8,2,0))&amp;H995&amp;"_"&amp;I995&amp;"_"&amp;J995</f>
        <v>15N2_7_3</v>
      </c>
      <c r="F995" s="2">
        <v>15</v>
      </c>
      <c r="G995" s="2" t="s">
        <v>37</v>
      </c>
      <c r="H995" s="2">
        <v>2</v>
      </c>
      <c r="I995" s="2">
        <v>7</v>
      </c>
      <c r="J995" s="2">
        <f>COUNTIFS($F$13:F995,F995,$I$13:I995,I995)</f>
        <v>3</v>
      </c>
      <c r="O995" s="8">
        <v>1015201</v>
      </c>
      <c r="P995" s="8">
        <v>1015301</v>
      </c>
      <c r="Q995" s="8">
        <v>1015401</v>
      </c>
      <c r="R995" s="8">
        <v>1015501</v>
      </c>
    </row>
    <row r="996" spans="1:18">
      <c r="A996" s="14" t="s">
        <v>14</v>
      </c>
      <c r="B996" s="8">
        <f t="shared" si="19"/>
        <v>70154704</v>
      </c>
      <c r="C996" s="2" t="s">
        <v>1012</v>
      </c>
      <c r="E996" s="2" t="str">
        <f>F996&amp;(VLOOKUP(G996,编号表!$E$1:$G$8,2,0))&amp;H996&amp;"_"&amp;I996&amp;"_"&amp;J996</f>
        <v>15N4_7_4</v>
      </c>
      <c r="F996" s="2">
        <v>15</v>
      </c>
      <c r="G996" s="2" t="s">
        <v>37</v>
      </c>
      <c r="H996" s="2">
        <v>4</v>
      </c>
      <c r="I996" s="2">
        <v>7</v>
      </c>
      <c r="J996" s="2">
        <f>COUNTIFS($F$13:F996,F996,$I$13:I996,I996)</f>
        <v>4</v>
      </c>
      <c r="O996" s="8">
        <v>1015201</v>
      </c>
      <c r="P996" s="8">
        <v>1015301</v>
      </c>
      <c r="Q996" s="8">
        <v>1015401</v>
      </c>
      <c r="R996" s="8">
        <v>1015501</v>
      </c>
    </row>
    <row r="997" spans="1:18">
      <c r="A997" s="14" t="s">
        <v>14</v>
      </c>
      <c r="B997" s="8">
        <f t="shared" si="19"/>
        <v>70154705</v>
      </c>
      <c r="C997" s="2" t="s">
        <v>1013</v>
      </c>
      <c r="E997" s="2" t="str">
        <f>F997&amp;(VLOOKUP(G997,编号表!$E$1:$G$8,2,0))&amp;H997&amp;"_"&amp;I997&amp;"_"&amp;J997</f>
        <v>15N4_7_5</v>
      </c>
      <c r="F997" s="2">
        <v>15</v>
      </c>
      <c r="G997" s="2" t="s">
        <v>37</v>
      </c>
      <c r="H997" s="2">
        <v>4</v>
      </c>
      <c r="I997" s="2">
        <v>7</v>
      </c>
      <c r="J997" s="2">
        <f>COUNTIFS($F$13:F997,F997,$I$13:I997,I997)</f>
        <v>5</v>
      </c>
      <c r="O997" s="8">
        <v>1015201</v>
      </c>
      <c r="P997" s="8">
        <v>1015301</v>
      </c>
      <c r="Q997" s="8">
        <v>1015401</v>
      </c>
      <c r="R997" s="8">
        <v>1015501</v>
      </c>
    </row>
    <row r="998" spans="1:18">
      <c r="A998" s="14" t="s">
        <v>14</v>
      </c>
      <c r="B998" s="8">
        <f t="shared" si="19"/>
        <v>70154706</v>
      </c>
      <c r="C998" s="2" t="s">
        <v>1014</v>
      </c>
      <c r="E998" s="2" t="str">
        <f>F998&amp;(VLOOKUP(G998,编号表!$E$1:$G$8,2,0))&amp;H998&amp;"_"&amp;I998&amp;"_"&amp;J998</f>
        <v>15N4_7_6</v>
      </c>
      <c r="F998" s="2">
        <v>15</v>
      </c>
      <c r="G998" s="2" t="s">
        <v>37</v>
      </c>
      <c r="H998" s="2">
        <v>4</v>
      </c>
      <c r="I998" s="2">
        <v>7</v>
      </c>
      <c r="J998" s="2">
        <f>COUNTIFS($F$13:F998,F998,$I$13:I998,I998)</f>
        <v>6</v>
      </c>
      <c r="O998" s="8">
        <v>1015201</v>
      </c>
      <c r="P998" s="8">
        <v>1015301</v>
      </c>
      <c r="Q998" s="8">
        <v>1015401</v>
      </c>
      <c r="R998" s="8">
        <v>1015501</v>
      </c>
    </row>
    <row r="999" spans="1:18">
      <c r="A999" s="14" t="s">
        <v>14</v>
      </c>
      <c r="B999" s="8">
        <f t="shared" si="19"/>
        <v>70154707</v>
      </c>
      <c r="C999" s="2" t="s">
        <v>1015</v>
      </c>
      <c r="E999" s="2" t="str">
        <f>F999&amp;(VLOOKUP(G999,编号表!$E$1:$G$8,2,0))&amp;H999&amp;"_"&amp;I999&amp;"_"&amp;J999</f>
        <v>15N4_7_7</v>
      </c>
      <c r="F999" s="2">
        <v>15</v>
      </c>
      <c r="G999" s="2" t="s">
        <v>37</v>
      </c>
      <c r="H999" s="2">
        <v>4</v>
      </c>
      <c r="I999" s="2">
        <v>7</v>
      </c>
      <c r="J999" s="2">
        <f>COUNTIFS($F$13:F999,F999,$I$13:I999,I999)</f>
        <v>7</v>
      </c>
      <c r="O999" s="8">
        <v>1015201</v>
      </c>
      <c r="P999" s="8">
        <v>1015301</v>
      </c>
      <c r="Q999" s="8">
        <v>1015401</v>
      </c>
      <c r="R999" s="8">
        <v>1015501</v>
      </c>
    </row>
    <row r="1000" spans="1:18">
      <c r="A1000" s="14" t="s">
        <v>14</v>
      </c>
      <c r="B1000" s="8">
        <f t="shared" si="19"/>
        <v>70154708</v>
      </c>
      <c r="C1000" s="2" t="s">
        <v>1016</v>
      </c>
      <c r="E1000" s="2" t="str">
        <f>F1000&amp;(VLOOKUP(G1000,编号表!$E$1:$G$8,2,0))&amp;H1000&amp;"_"&amp;I1000&amp;"_"&amp;J1000</f>
        <v>15N4_7_8</v>
      </c>
      <c r="F1000" s="2">
        <v>15</v>
      </c>
      <c r="G1000" s="2" t="s">
        <v>37</v>
      </c>
      <c r="H1000" s="2">
        <v>4</v>
      </c>
      <c r="I1000" s="2">
        <v>7</v>
      </c>
      <c r="J1000" s="2">
        <f>COUNTIFS($F$13:F1000,F1000,$I$13:I1000,I1000)</f>
        <v>8</v>
      </c>
      <c r="O1000" s="8">
        <v>1015201</v>
      </c>
      <c r="P1000" s="8">
        <v>1015301</v>
      </c>
      <c r="Q1000" s="8">
        <v>1015401</v>
      </c>
      <c r="R1000" s="8">
        <v>1015501</v>
      </c>
    </row>
    <row r="1001" spans="1:18">
      <c r="A1001" s="14" t="s">
        <v>14</v>
      </c>
      <c r="B1001" s="8">
        <f t="shared" si="19"/>
        <v>70154709</v>
      </c>
      <c r="C1001" s="2" t="s">
        <v>1017</v>
      </c>
      <c r="E1001" s="2" t="str">
        <f>F1001&amp;(VLOOKUP(G1001,编号表!$E$1:$G$8,2,0))&amp;H1001&amp;"_"&amp;I1001&amp;"_"&amp;J1001</f>
        <v>15N4_7_9</v>
      </c>
      <c r="F1001" s="2">
        <v>15</v>
      </c>
      <c r="G1001" s="2" t="s">
        <v>37</v>
      </c>
      <c r="H1001" s="2">
        <v>4</v>
      </c>
      <c r="I1001" s="2">
        <v>7</v>
      </c>
      <c r="J1001" s="2">
        <f>COUNTIFS($F$13:F1001,F1001,$I$13:I1001,I1001)</f>
        <v>9</v>
      </c>
      <c r="O1001" s="8">
        <v>1015201</v>
      </c>
      <c r="P1001" s="8">
        <v>1015301</v>
      </c>
      <c r="Q1001" s="8">
        <v>1015401</v>
      </c>
      <c r="R1001" s="8">
        <v>1015501</v>
      </c>
    </row>
    <row r="1002" spans="1:18">
      <c r="A1002" s="14" t="s">
        <v>14</v>
      </c>
      <c r="B1002" s="8">
        <f t="shared" si="19"/>
        <v>70154710</v>
      </c>
      <c r="C1002" s="2" t="s">
        <v>1018</v>
      </c>
      <c r="E1002" s="2" t="str">
        <f>F1002&amp;(VLOOKUP(G1002,编号表!$E$1:$G$8,2,0))&amp;H1002&amp;"_"&amp;I1002&amp;"_"&amp;J1002</f>
        <v>15N4_7_10</v>
      </c>
      <c r="F1002" s="2">
        <v>15</v>
      </c>
      <c r="G1002" s="2" t="s">
        <v>37</v>
      </c>
      <c r="H1002" s="2">
        <v>4</v>
      </c>
      <c r="I1002" s="2">
        <v>7</v>
      </c>
      <c r="J1002" s="2">
        <f>COUNTIFS($F$13:F1002,F1002,$I$13:I1002,I1002)</f>
        <v>10</v>
      </c>
      <c r="O1002" s="8">
        <v>1015201</v>
      </c>
      <c r="P1002" s="8">
        <v>1015301</v>
      </c>
      <c r="Q1002" s="8">
        <v>1015401</v>
      </c>
      <c r="R1002" s="8">
        <v>1015501</v>
      </c>
    </row>
    <row r="1003" spans="1:18">
      <c r="A1003" s="14" t="s">
        <v>14</v>
      </c>
      <c r="B1003" s="8">
        <f t="shared" si="19"/>
        <v>70153711</v>
      </c>
      <c r="C1003" s="2" t="s">
        <v>1019</v>
      </c>
      <c r="E1003" s="2" t="str">
        <f>F1003&amp;(VLOOKUP(G1003,编号表!$E$1:$G$8,2,0))&amp;H1003&amp;"_"&amp;I1003&amp;"_"&amp;J1003</f>
        <v>15N3_7_11</v>
      </c>
      <c r="F1003" s="2">
        <v>15</v>
      </c>
      <c r="G1003" s="2" t="s">
        <v>37</v>
      </c>
      <c r="H1003" s="2">
        <v>3</v>
      </c>
      <c r="I1003" s="2">
        <v>7</v>
      </c>
      <c r="J1003" s="2">
        <f>COUNTIFS($F$13:F1003,F1003,$I$13:I1003,I1003)</f>
        <v>11</v>
      </c>
      <c r="O1003" s="8">
        <v>1015201</v>
      </c>
      <c r="P1003" s="8">
        <v>1015301</v>
      </c>
      <c r="Q1003" s="8">
        <v>1015401</v>
      </c>
      <c r="R1003" s="8">
        <v>1015501</v>
      </c>
    </row>
    <row r="1004" spans="1:18">
      <c r="A1004" s="14" t="s">
        <v>14</v>
      </c>
      <c r="B1004" s="8">
        <f t="shared" si="19"/>
        <v>70152801</v>
      </c>
      <c r="C1004" s="2" t="s">
        <v>1020</v>
      </c>
      <c r="E1004" s="2" t="str">
        <f>F1004&amp;(VLOOKUP(G1004,编号表!$E$1:$G$8,2,0))&amp;H1004&amp;"_"&amp;I1004&amp;"_"&amp;J1004</f>
        <v>15N2_8_1</v>
      </c>
      <c r="F1004" s="2">
        <v>15</v>
      </c>
      <c r="G1004" s="2" t="s">
        <v>37</v>
      </c>
      <c r="H1004" s="2">
        <v>2</v>
      </c>
      <c r="I1004" s="2">
        <v>8</v>
      </c>
      <c r="J1004" s="2">
        <f>COUNTIFS($F$13:F1004,F1004,$I$13:I1004,I1004)</f>
        <v>1</v>
      </c>
      <c r="O1004" s="8">
        <v>1015201</v>
      </c>
      <c r="P1004" s="8">
        <v>1015301</v>
      </c>
      <c r="Q1004" s="8">
        <v>1015401</v>
      </c>
      <c r="R1004" s="8">
        <v>1015501</v>
      </c>
    </row>
    <row r="1005" spans="1:18">
      <c r="A1005" s="14" t="s">
        <v>14</v>
      </c>
      <c r="B1005" s="8">
        <f t="shared" si="19"/>
        <v>70152802</v>
      </c>
      <c r="C1005" s="2" t="s">
        <v>1021</v>
      </c>
      <c r="E1005" s="2" t="str">
        <f>F1005&amp;(VLOOKUP(G1005,编号表!$E$1:$G$8,2,0))&amp;H1005&amp;"_"&amp;I1005&amp;"_"&amp;J1005</f>
        <v>15N2_8_2</v>
      </c>
      <c r="F1005" s="2">
        <v>15</v>
      </c>
      <c r="G1005" s="2" t="s">
        <v>37</v>
      </c>
      <c r="H1005" s="2">
        <v>2</v>
      </c>
      <c r="I1005" s="2">
        <v>8</v>
      </c>
      <c r="J1005" s="2">
        <f>COUNTIFS($F$13:F1005,F1005,$I$13:I1005,I1005)</f>
        <v>2</v>
      </c>
      <c r="O1005" s="8">
        <v>1015201</v>
      </c>
      <c r="P1005" s="8">
        <v>1015301</v>
      </c>
      <c r="Q1005" s="8">
        <v>1015401</v>
      </c>
      <c r="R1005" s="8">
        <v>1015501</v>
      </c>
    </row>
    <row r="1006" spans="1:18">
      <c r="A1006" s="14" t="s">
        <v>14</v>
      </c>
      <c r="B1006" s="8">
        <f t="shared" si="19"/>
        <v>70154803</v>
      </c>
      <c r="C1006" s="2" t="s">
        <v>1022</v>
      </c>
      <c r="E1006" s="2" t="str">
        <f>F1006&amp;(VLOOKUP(G1006,编号表!$E$1:$G$8,2,0))&amp;H1006&amp;"_"&amp;I1006&amp;"_"&amp;J1006</f>
        <v>15N4_8_3</v>
      </c>
      <c r="F1006" s="2">
        <v>15</v>
      </c>
      <c r="G1006" s="2" t="s">
        <v>37</v>
      </c>
      <c r="H1006" s="2">
        <v>4</v>
      </c>
      <c r="I1006" s="2">
        <v>8</v>
      </c>
      <c r="J1006" s="2">
        <f>COUNTIFS($F$13:F1006,F1006,$I$13:I1006,I1006)</f>
        <v>3</v>
      </c>
      <c r="O1006" s="8">
        <v>1015201</v>
      </c>
      <c r="P1006" s="8">
        <v>1015301</v>
      </c>
      <c r="Q1006" s="8">
        <v>1015401</v>
      </c>
      <c r="R1006" s="8">
        <v>1015501</v>
      </c>
    </row>
    <row r="1007" spans="1:18">
      <c r="A1007" s="14" t="s">
        <v>14</v>
      </c>
      <c r="B1007" s="8">
        <f t="shared" si="19"/>
        <v>70154804</v>
      </c>
      <c r="C1007" s="2" t="s">
        <v>1023</v>
      </c>
      <c r="E1007" s="2" t="str">
        <f>F1007&amp;(VLOOKUP(G1007,编号表!$E$1:$G$8,2,0))&amp;H1007&amp;"_"&amp;I1007&amp;"_"&amp;J1007</f>
        <v>15N4_8_4</v>
      </c>
      <c r="F1007" s="2">
        <v>15</v>
      </c>
      <c r="G1007" s="2" t="s">
        <v>37</v>
      </c>
      <c r="H1007" s="2">
        <v>4</v>
      </c>
      <c r="I1007" s="2">
        <v>8</v>
      </c>
      <c r="J1007" s="2">
        <f>COUNTIFS($F$13:F1007,F1007,$I$13:I1007,I1007)</f>
        <v>4</v>
      </c>
      <c r="O1007" s="8">
        <v>1015201</v>
      </c>
      <c r="P1007" s="8">
        <v>1015301</v>
      </c>
      <c r="Q1007" s="8">
        <v>1015401</v>
      </c>
      <c r="R1007" s="8">
        <v>1015501</v>
      </c>
    </row>
    <row r="1008" spans="1:18">
      <c r="A1008" s="14" t="s">
        <v>14</v>
      </c>
      <c r="B1008" s="8">
        <f t="shared" si="19"/>
        <v>70154805</v>
      </c>
      <c r="C1008" s="2" t="s">
        <v>1024</v>
      </c>
      <c r="E1008" s="2" t="str">
        <f>F1008&amp;(VLOOKUP(G1008,编号表!$E$1:$G$8,2,0))&amp;H1008&amp;"_"&amp;I1008&amp;"_"&amp;J1008</f>
        <v>15N4_8_5</v>
      </c>
      <c r="F1008" s="2">
        <v>15</v>
      </c>
      <c r="G1008" s="2" t="s">
        <v>37</v>
      </c>
      <c r="H1008" s="2">
        <v>4</v>
      </c>
      <c r="I1008" s="2">
        <v>8</v>
      </c>
      <c r="J1008" s="2">
        <f>COUNTIFS($F$13:F1008,F1008,$I$13:I1008,I1008)</f>
        <v>5</v>
      </c>
      <c r="O1008" s="8">
        <v>1015201</v>
      </c>
      <c r="P1008" s="8">
        <v>1015301</v>
      </c>
      <c r="Q1008" s="8">
        <v>1015401</v>
      </c>
      <c r="R1008" s="8">
        <v>1015501</v>
      </c>
    </row>
    <row r="1009" spans="1:18">
      <c r="A1009" s="14" t="s">
        <v>14</v>
      </c>
      <c r="B1009" s="8">
        <f t="shared" si="19"/>
        <v>70154806</v>
      </c>
      <c r="C1009" s="2" t="s">
        <v>1025</v>
      </c>
      <c r="E1009" s="2" t="str">
        <f>F1009&amp;(VLOOKUP(G1009,编号表!$E$1:$G$8,2,0))&amp;H1009&amp;"_"&amp;I1009&amp;"_"&amp;J1009</f>
        <v>15N4_8_6</v>
      </c>
      <c r="F1009" s="2">
        <v>15</v>
      </c>
      <c r="G1009" s="2" t="s">
        <v>37</v>
      </c>
      <c r="H1009" s="2">
        <v>4</v>
      </c>
      <c r="I1009" s="2">
        <v>8</v>
      </c>
      <c r="J1009" s="2">
        <f>COUNTIFS($F$13:F1009,F1009,$I$13:I1009,I1009)</f>
        <v>6</v>
      </c>
      <c r="O1009" s="8">
        <v>1015201</v>
      </c>
      <c r="P1009" s="8">
        <v>1015301</v>
      </c>
      <c r="Q1009" s="8">
        <v>1015401</v>
      </c>
      <c r="R1009" s="8">
        <v>1015501</v>
      </c>
    </row>
    <row r="1010" spans="1:18">
      <c r="A1010" s="14" t="s">
        <v>14</v>
      </c>
      <c r="B1010" s="8">
        <f t="shared" si="19"/>
        <v>70151807</v>
      </c>
      <c r="C1010" s="15" t="s">
        <v>1026</v>
      </c>
      <c r="E1010" s="2" t="str">
        <f>F1010&amp;(VLOOKUP(G1010,编号表!$E$1:$G$8,2,0))&amp;H1010&amp;"_"&amp;I1010&amp;"_"&amp;J1010</f>
        <v>15T1_8_7</v>
      </c>
      <c r="F1010" s="2">
        <v>15</v>
      </c>
      <c r="G1010" s="2" t="s">
        <v>53</v>
      </c>
      <c r="H1010" s="2">
        <v>1</v>
      </c>
      <c r="I1010" s="2">
        <v>8</v>
      </c>
      <c r="J1010" s="2">
        <f>COUNTIFS($F$13:F1010,F1010,$I$13:I1010,I1010)</f>
        <v>7</v>
      </c>
    </row>
    <row r="1011" spans="1:18">
      <c r="A1011" s="14" t="s">
        <v>14</v>
      </c>
      <c r="B1011" s="8">
        <f t="shared" si="19"/>
        <v>70153808</v>
      </c>
      <c r="C1011" s="16" t="s">
        <v>1027</v>
      </c>
      <c r="D1011" s="2" t="s">
        <v>1028</v>
      </c>
      <c r="E1011" s="2" t="str">
        <f>F1011&amp;(VLOOKUP(G1011,编号表!$E$1:$G$8,2,0))&amp;H1011&amp;"_"&amp;I1011&amp;"_"&amp;J1011</f>
        <v>15T3_8_8</v>
      </c>
      <c r="F1011" s="2">
        <v>15</v>
      </c>
      <c r="G1011" s="2" t="s">
        <v>53</v>
      </c>
      <c r="H1011" s="2">
        <v>3</v>
      </c>
      <c r="I1011" s="2">
        <v>8</v>
      </c>
      <c r="J1011" s="2">
        <f>COUNTIFS($F$13:F1011,F1011,$I$13:I1011,I1011)</f>
        <v>8</v>
      </c>
      <c r="M1011" s="2">
        <v>132</v>
      </c>
    </row>
    <row r="1012" spans="1:18">
      <c r="A1012" s="14" t="s">
        <v>14</v>
      </c>
      <c r="B1012" s="8">
        <f t="shared" si="19"/>
        <v>70153809</v>
      </c>
      <c r="C1012" s="2" t="s">
        <v>1029</v>
      </c>
      <c r="E1012" s="2" t="str">
        <f>F1012&amp;(VLOOKUP(G1012,编号表!$E$1:$G$8,2,0))&amp;H1012&amp;"_"&amp;I1012&amp;"_"&amp;J1012</f>
        <v>15N3_8_9</v>
      </c>
      <c r="F1012" s="2">
        <v>15</v>
      </c>
      <c r="G1012" s="2" t="s">
        <v>37</v>
      </c>
      <c r="H1012" s="2">
        <v>3</v>
      </c>
      <c r="I1012" s="2">
        <v>8</v>
      </c>
      <c r="J1012" s="2">
        <f>COUNTIFS($F$13:F1012,F1012,$I$13:I1012,I1012)</f>
        <v>9</v>
      </c>
      <c r="O1012" s="8">
        <v>1015201</v>
      </c>
      <c r="P1012" s="8">
        <v>1015301</v>
      </c>
      <c r="Q1012" s="8">
        <v>1015401</v>
      </c>
      <c r="R1012" s="8">
        <v>1015501</v>
      </c>
    </row>
    <row r="1013" spans="1:18">
      <c r="A1013" s="14" t="s">
        <v>14</v>
      </c>
      <c r="B1013" s="8">
        <f t="shared" si="19"/>
        <v>70153901</v>
      </c>
      <c r="C1013" s="2" t="s">
        <v>1030</v>
      </c>
      <c r="E1013" s="2" t="str">
        <f>F1013&amp;(VLOOKUP(G1013,编号表!$E$1:$G$8,2,0))&amp;H1013&amp;"_"&amp;I1013&amp;"_"&amp;J1013</f>
        <v>15N3_9_1</v>
      </c>
      <c r="F1013" s="2">
        <v>15</v>
      </c>
      <c r="G1013" s="2" t="s">
        <v>37</v>
      </c>
      <c r="H1013" s="2">
        <v>3</v>
      </c>
      <c r="I1013" s="2">
        <v>9</v>
      </c>
      <c r="J1013" s="2">
        <f>COUNTIFS($F$13:F1013,F1013,$I$13:I1013,I1013)</f>
        <v>1</v>
      </c>
      <c r="O1013" s="8">
        <v>1015201</v>
      </c>
      <c r="P1013" s="8">
        <v>1015301</v>
      </c>
      <c r="Q1013" s="8">
        <v>1015401</v>
      </c>
      <c r="R1013" s="8">
        <v>1015501</v>
      </c>
    </row>
    <row r="1014" spans="1:18">
      <c r="A1014" s="14" t="s">
        <v>14</v>
      </c>
      <c r="B1014" s="8">
        <f t="shared" si="19"/>
        <v>70153902</v>
      </c>
      <c r="C1014" s="2" t="s">
        <v>1031</v>
      </c>
      <c r="E1014" s="2" t="str">
        <f>F1014&amp;(VLOOKUP(G1014,编号表!$E$1:$G$8,2,0))&amp;H1014&amp;"_"&amp;I1014&amp;"_"&amp;J1014</f>
        <v>15N3_9_2</v>
      </c>
      <c r="F1014" s="2">
        <v>15</v>
      </c>
      <c r="G1014" s="2" t="s">
        <v>37</v>
      </c>
      <c r="H1014" s="2">
        <v>3</v>
      </c>
      <c r="I1014" s="2">
        <v>9</v>
      </c>
      <c r="J1014" s="2">
        <f>COUNTIFS($F$13:F1014,F1014,$I$13:I1014,I1014)</f>
        <v>2</v>
      </c>
      <c r="O1014" s="8">
        <v>1015201</v>
      </c>
      <c r="P1014" s="8">
        <v>1015301</v>
      </c>
      <c r="Q1014" s="8">
        <v>1015401</v>
      </c>
      <c r="R1014" s="8">
        <v>1015501</v>
      </c>
    </row>
    <row r="1015" spans="1:18">
      <c r="A1015" s="14" t="s">
        <v>14</v>
      </c>
      <c r="B1015" s="8">
        <f t="shared" si="19"/>
        <v>70153903</v>
      </c>
      <c r="C1015" s="2" t="s">
        <v>1032</v>
      </c>
      <c r="E1015" s="2" t="str">
        <f>F1015&amp;(VLOOKUP(G1015,编号表!$E$1:$G$8,2,0))&amp;H1015&amp;"_"&amp;I1015&amp;"_"&amp;J1015</f>
        <v>15N3_9_3</v>
      </c>
      <c r="F1015" s="2">
        <v>15</v>
      </c>
      <c r="G1015" s="2" t="s">
        <v>37</v>
      </c>
      <c r="H1015" s="2">
        <v>3</v>
      </c>
      <c r="I1015" s="2">
        <v>9</v>
      </c>
      <c r="J1015" s="2">
        <f>COUNTIFS($F$13:F1015,F1015,$I$13:I1015,I1015)</f>
        <v>3</v>
      </c>
      <c r="O1015" s="8">
        <v>1015201</v>
      </c>
      <c r="P1015" s="8">
        <v>1015301</v>
      </c>
      <c r="Q1015" s="8">
        <v>1015401</v>
      </c>
      <c r="R1015" s="8">
        <v>1015501</v>
      </c>
    </row>
    <row r="1016" spans="1:18">
      <c r="A1016" s="14" t="s">
        <v>14</v>
      </c>
      <c r="B1016" s="8">
        <f t="shared" si="19"/>
        <v>70152904</v>
      </c>
      <c r="C1016" s="2" t="s">
        <v>1033</v>
      </c>
      <c r="E1016" s="2" t="str">
        <f>F1016&amp;(VLOOKUP(G1016,编号表!$E$1:$G$8,2,0))&amp;H1016&amp;"_"&amp;I1016&amp;"_"&amp;J1016</f>
        <v>15N2_9_4</v>
      </c>
      <c r="F1016" s="2">
        <v>15</v>
      </c>
      <c r="G1016" s="2" t="s">
        <v>37</v>
      </c>
      <c r="H1016" s="2">
        <v>2</v>
      </c>
      <c r="I1016" s="2">
        <v>9</v>
      </c>
      <c r="J1016" s="2">
        <f>COUNTIFS($F$13:F1016,F1016,$I$13:I1016,I1016)</f>
        <v>4</v>
      </c>
      <c r="O1016" s="8">
        <v>1015201</v>
      </c>
      <c r="P1016" s="8">
        <v>1015301</v>
      </c>
      <c r="Q1016" s="8">
        <v>1015401</v>
      </c>
      <c r="R1016" s="8">
        <v>1015501</v>
      </c>
    </row>
    <row r="1017" spans="1:18">
      <c r="A1017" s="14" t="s">
        <v>14</v>
      </c>
      <c r="B1017" s="8">
        <f t="shared" si="19"/>
        <v>70152905</v>
      </c>
      <c r="C1017" s="2" t="s">
        <v>1034</v>
      </c>
      <c r="E1017" s="2" t="str">
        <f>F1017&amp;(VLOOKUP(G1017,编号表!$E$1:$G$8,2,0))&amp;H1017&amp;"_"&amp;I1017&amp;"_"&amp;J1017</f>
        <v>15N2_9_5</v>
      </c>
      <c r="F1017" s="2">
        <v>15</v>
      </c>
      <c r="G1017" s="2" t="s">
        <v>37</v>
      </c>
      <c r="H1017" s="2">
        <v>2</v>
      </c>
      <c r="I1017" s="2">
        <v>9</v>
      </c>
      <c r="J1017" s="2">
        <f>COUNTIFS($F$13:F1017,F1017,$I$13:I1017,I1017)</f>
        <v>5</v>
      </c>
      <c r="O1017" s="8">
        <v>1015201</v>
      </c>
      <c r="P1017" s="8">
        <v>1015301</v>
      </c>
      <c r="Q1017" s="8">
        <v>1015401</v>
      </c>
      <c r="R1017" s="8">
        <v>1015501</v>
      </c>
    </row>
    <row r="1018" spans="1:18">
      <c r="A1018" s="14" t="s">
        <v>14</v>
      </c>
      <c r="B1018" s="8">
        <f t="shared" si="19"/>
        <v>70152906</v>
      </c>
      <c r="C1018" s="2" t="s">
        <v>1035</v>
      </c>
      <c r="E1018" s="2" t="str">
        <f>F1018&amp;(VLOOKUP(G1018,编号表!$E$1:$G$8,2,0))&amp;H1018&amp;"_"&amp;I1018&amp;"_"&amp;J1018</f>
        <v>15N2_9_6</v>
      </c>
      <c r="F1018" s="2">
        <v>15</v>
      </c>
      <c r="G1018" s="2" t="s">
        <v>37</v>
      </c>
      <c r="H1018" s="2">
        <v>2</v>
      </c>
      <c r="I1018" s="2">
        <v>9</v>
      </c>
      <c r="J1018" s="2">
        <f>COUNTIFS($F$13:F1018,F1018,$I$13:I1018,I1018)</f>
        <v>6</v>
      </c>
      <c r="O1018" s="8">
        <v>1015201</v>
      </c>
      <c r="P1018" s="8">
        <v>1015301</v>
      </c>
      <c r="Q1018" s="8">
        <v>1015401</v>
      </c>
      <c r="R1018" s="8">
        <v>1015501</v>
      </c>
    </row>
    <row r="1019" spans="1:18">
      <c r="A1019" s="14" t="s">
        <v>14</v>
      </c>
      <c r="B1019" s="8">
        <f t="shared" si="19"/>
        <v>70152907</v>
      </c>
      <c r="C1019" s="2" t="s">
        <v>1036</v>
      </c>
      <c r="E1019" s="2" t="str">
        <f>F1019&amp;(VLOOKUP(G1019,编号表!$E$1:$G$8,2,0))&amp;H1019&amp;"_"&amp;I1019&amp;"_"&amp;J1019</f>
        <v>15N2_9_7</v>
      </c>
      <c r="F1019" s="2">
        <v>15</v>
      </c>
      <c r="G1019" s="2" t="s">
        <v>37</v>
      </c>
      <c r="H1019" s="2">
        <v>2</v>
      </c>
      <c r="I1019" s="2">
        <v>9</v>
      </c>
      <c r="J1019" s="2">
        <f>COUNTIFS($F$13:F1019,F1019,$I$13:I1019,I1019)</f>
        <v>7</v>
      </c>
      <c r="O1019" s="8">
        <v>1015201</v>
      </c>
      <c r="P1019" s="8">
        <v>1015301</v>
      </c>
      <c r="Q1019" s="8">
        <v>1015401</v>
      </c>
      <c r="R1019" s="8">
        <v>1015501</v>
      </c>
    </row>
    <row r="1020" spans="1:18">
      <c r="A1020" s="14" t="s">
        <v>14</v>
      </c>
      <c r="B1020" s="8">
        <f t="shared" si="19"/>
        <v>70152908</v>
      </c>
      <c r="C1020" s="2" t="s">
        <v>1037</v>
      </c>
      <c r="E1020" s="2" t="str">
        <f>F1020&amp;(VLOOKUP(G1020,编号表!$E$1:$G$8,2,0))&amp;H1020&amp;"_"&amp;I1020&amp;"_"&amp;J1020</f>
        <v>15N2_9_8</v>
      </c>
      <c r="F1020" s="2">
        <v>15</v>
      </c>
      <c r="G1020" s="2" t="s">
        <v>37</v>
      </c>
      <c r="H1020" s="2">
        <v>2</v>
      </c>
      <c r="I1020" s="2">
        <v>9</v>
      </c>
      <c r="J1020" s="2">
        <f>COUNTIFS($F$13:F1020,F1020,$I$13:I1020,I1020)</f>
        <v>8</v>
      </c>
      <c r="O1020" s="8">
        <v>1015201</v>
      </c>
      <c r="P1020" s="8">
        <v>1015301</v>
      </c>
      <c r="Q1020" s="8">
        <v>1015401</v>
      </c>
      <c r="R1020" s="8">
        <v>1015501</v>
      </c>
    </row>
    <row r="1021" spans="1:18">
      <c r="A1021" s="14" t="s">
        <v>14</v>
      </c>
      <c r="B1021" s="8">
        <f t="shared" si="19"/>
        <v>70152909</v>
      </c>
      <c r="C1021" s="2" t="s">
        <v>1038</v>
      </c>
      <c r="E1021" s="2" t="str">
        <f>F1021&amp;(VLOOKUP(G1021,编号表!$E$1:$G$8,2,0))&amp;H1021&amp;"_"&amp;I1021&amp;"_"&amp;J1021</f>
        <v>15N2_9_9</v>
      </c>
      <c r="F1021" s="2">
        <v>15</v>
      </c>
      <c r="G1021" s="2" t="s">
        <v>37</v>
      </c>
      <c r="H1021" s="2">
        <v>2</v>
      </c>
      <c r="I1021" s="2">
        <v>9</v>
      </c>
      <c r="J1021" s="2">
        <f>COUNTIFS($F$13:F1021,F1021,$I$13:I1021,I1021)</f>
        <v>9</v>
      </c>
      <c r="O1021" s="8">
        <v>1015201</v>
      </c>
      <c r="P1021" s="8">
        <v>1015301</v>
      </c>
      <c r="Q1021" s="8">
        <v>1015401</v>
      </c>
      <c r="R1021" s="8">
        <v>1015501</v>
      </c>
    </row>
    <row r="1022" spans="1:18">
      <c r="A1022" s="14" t="s">
        <v>14</v>
      </c>
      <c r="B1022" s="8">
        <f t="shared" si="19"/>
        <v>70153910</v>
      </c>
      <c r="C1022" s="2" t="s">
        <v>1039</v>
      </c>
      <c r="E1022" s="2" t="str">
        <f>F1022&amp;(VLOOKUP(G1022,编号表!$E$1:$G$8,2,0))&amp;H1022&amp;"_"&amp;I1022&amp;"_"&amp;J1022</f>
        <v>15N3_9_10</v>
      </c>
      <c r="F1022" s="2">
        <v>15</v>
      </c>
      <c r="G1022" s="2" t="s">
        <v>37</v>
      </c>
      <c r="H1022" s="2">
        <v>3</v>
      </c>
      <c r="I1022" s="2">
        <v>9</v>
      </c>
      <c r="J1022" s="2">
        <f>COUNTIFS($F$13:F1022,F1022,$I$13:I1022,I1022)</f>
        <v>10</v>
      </c>
      <c r="O1022" s="8">
        <v>1015201</v>
      </c>
      <c r="P1022" s="8">
        <v>1015301</v>
      </c>
      <c r="Q1022" s="8">
        <v>1015401</v>
      </c>
      <c r="R1022" s="8">
        <v>1015501</v>
      </c>
    </row>
    <row r="1023" spans="1:18">
      <c r="A1023" s="14" t="s">
        <v>14</v>
      </c>
      <c r="B1023" s="8">
        <f t="shared" si="19"/>
        <v>70150001</v>
      </c>
      <c r="C1023" s="18" t="s">
        <v>1040</v>
      </c>
      <c r="E1023" s="2" t="str">
        <f>F1023&amp;(VLOOKUP(G1023,编号表!$E$1:$G$8,2,0))&amp;H1023&amp;"_"&amp;I1023&amp;"_"&amp;J1023</f>
        <v>15J0_0_1</v>
      </c>
      <c r="F1023" s="2">
        <v>15</v>
      </c>
      <c r="G1023" s="2" t="s">
        <v>86</v>
      </c>
      <c r="H1023" s="2">
        <v>0</v>
      </c>
      <c r="I1023" s="2">
        <v>0</v>
      </c>
      <c r="J1023" s="2">
        <f>COUNTIFS($F$13:F1023,F1023,$I$13:I1023,I1023)</f>
        <v>1</v>
      </c>
      <c r="K1023" s="2">
        <v>1</v>
      </c>
    </row>
    <row r="1024" spans="1:18">
      <c r="A1024" s="14" t="s">
        <v>14</v>
      </c>
      <c r="B1024" s="8">
        <f t="shared" si="19"/>
        <v>70163001</v>
      </c>
      <c r="C1024" s="16" t="s">
        <v>1041</v>
      </c>
      <c r="D1024" s="2" t="s">
        <v>1042</v>
      </c>
      <c r="E1024" s="2" t="str">
        <f>F1024&amp;(VLOOKUP(G1024,编号表!$E$1:$G$8,2,0))&amp;H1024&amp;"_"&amp;I1024&amp;"_"&amp;J1024</f>
        <v>16T3_0_1</v>
      </c>
      <c r="F1024" s="2">
        <v>16</v>
      </c>
      <c r="G1024" s="2" t="s">
        <v>53</v>
      </c>
      <c r="H1024" s="2">
        <v>3</v>
      </c>
      <c r="I1024" s="2">
        <v>0</v>
      </c>
      <c r="J1024" s="2">
        <f>COUNTIFS($F$13:F1024,F1024,$I$13:I1024,I1024)</f>
        <v>1</v>
      </c>
      <c r="M1024" s="2">
        <v>133</v>
      </c>
    </row>
    <row r="1025" spans="1:21">
      <c r="A1025" s="14" t="s">
        <v>14</v>
      </c>
      <c r="B1025" s="8">
        <f t="shared" si="19"/>
        <v>70161002</v>
      </c>
      <c r="C1025" s="15" t="s">
        <v>1043</v>
      </c>
      <c r="E1025" s="2" t="str">
        <f>F1025&amp;(VLOOKUP(G1025,编号表!$E$1:$G$8,2,0))&amp;H1025&amp;"_"&amp;I1025&amp;"_"&amp;J1025</f>
        <v>16T1_0_2</v>
      </c>
      <c r="F1025" s="2">
        <v>16</v>
      </c>
      <c r="G1025" s="2" t="s">
        <v>53</v>
      </c>
      <c r="H1025" s="2">
        <v>1</v>
      </c>
      <c r="I1025" s="2">
        <v>0</v>
      </c>
      <c r="J1025" s="2">
        <f>COUNTIFS($F$13:F1025,F1025,$I$13:I1025,I1025)</f>
        <v>2</v>
      </c>
      <c r="L1025" s="2">
        <v>1</v>
      </c>
    </row>
    <row r="1026" spans="1:21">
      <c r="A1026" s="14" t="s">
        <v>14</v>
      </c>
      <c r="B1026" s="8">
        <f t="shared" si="19"/>
        <v>70163003</v>
      </c>
      <c r="C1026" s="16" t="s">
        <v>1027</v>
      </c>
      <c r="D1026" s="2" t="s">
        <v>1044</v>
      </c>
      <c r="E1026" s="2" t="str">
        <f>F1026&amp;(VLOOKUP(G1026,编号表!$E$1:$G$8,2,0))&amp;H1026&amp;"_"&amp;I1026&amp;"_"&amp;J1026</f>
        <v>16T3_0_3</v>
      </c>
      <c r="F1026" s="2">
        <v>16</v>
      </c>
      <c r="G1026" s="2" t="s">
        <v>53</v>
      </c>
      <c r="H1026" s="2">
        <v>3</v>
      </c>
      <c r="I1026" s="2">
        <v>0</v>
      </c>
      <c r="J1026" s="2">
        <f>COUNTIFS($F$13:F1026,F1026,$I$13:I1026,I1026)</f>
        <v>3</v>
      </c>
      <c r="M1026" s="2">
        <v>134</v>
      </c>
    </row>
    <row r="1027" spans="1:21">
      <c r="A1027" s="14" t="s">
        <v>14</v>
      </c>
      <c r="B1027" s="8">
        <f t="shared" si="19"/>
        <v>70161004</v>
      </c>
      <c r="C1027" s="15" t="s">
        <v>1045</v>
      </c>
      <c r="E1027" s="2" t="str">
        <f>F1027&amp;(VLOOKUP(G1027,编号表!$E$1:$G$8,2,0))&amp;H1027&amp;"_"&amp;I1027&amp;"_"&amp;J1027</f>
        <v>16T1_0_4</v>
      </c>
      <c r="F1027" s="2">
        <v>16</v>
      </c>
      <c r="G1027" s="2" t="s">
        <v>53</v>
      </c>
      <c r="H1027" s="2">
        <v>1</v>
      </c>
      <c r="I1027" s="2">
        <v>0</v>
      </c>
      <c r="J1027" s="2">
        <f>COUNTIFS($F$13:F1027,F1027,$I$13:I1027,I1027)</f>
        <v>4</v>
      </c>
    </row>
    <row r="1028" spans="1:21">
      <c r="A1028" s="14" t="s">
        <v>14</v>
      </c>
      <c r="B1028" s="8">
        <f t="shared" ref="B1028:B1091" si="20">70000000+F1028*10000+H1028*1000+I1028*100+J1028</f>
        <v>70163005</v>
      </c>
      <c r="C1028" s="16" t="s">
        <v>1027</v>
      </c>
      <c r="D1028" s="2" t="s">
        <v>1046</v>
      </c>
      <c r="E1028" s="2" t="str">
        <f>F1028&amp;(VLOOKUP(G1028,编号表!$E$1:$G$8,2,0))&amp;H1028&amp;"_"&amp;I1028&amp;"_"&amp;J1028</f>
        <v>16T3_0_5</v>
      </c>
      <c r="F1028" s="2">
        <v>16</v>
      </c>
      <c r="G1028" s="2" t="s">
        <v>53</v>
      </c>
      <c r="H1028" s="2">
        <v>3</v>
      </c>
      <c r="I1028" s="2">
        <v>0</v>
      </c>
      <c r="J1028" s="2">
        <f>COUNTIFS($F$13:F1028,F1028,$I$13:I1028,I1028)</f>
        <v>5</v>
      </c>
      <c r="M1028" s="2">
        <v>134</v>
      </c>
    </row>
    <row r="1029" spans="1:21">
      <c r="A1029" s="14" t="s">
        <v>14</v>
      </c>
      <c r="B1029" s="8">
        <f t="shared" si="20"/>
        <v>70161006</v>
      </c>
      <c r="C1029" s="15" t="s">
        <v>1047</v>
      </c>
      <c r="E1029" s="2" t="str">
        <f>F1029&amp;(VLOOKUP(G1029,编号表!$E$1:$G$8,2,0))&amp;H1029&amp;"_"&amp;I1029&amp;"_"&amp;J1029</f>
        <v>16T1_0_6</v>
      </c>
      <c r="F1029" s="2">
        <v>16</v>
      </c>
      <c r="G1029" s="2" t="s">
        <v>53</v>
      </c>
      <c r="H1029" s="2">
        <v>1</v>
      </c>
      <c r="I1029" s="2">
        <v>0</v>
      </c>
      <c r="J1029" s="2">
        <f>COUNTIFS($F$13:F1029,F1029,$I$13:I1029,I1029)</f>
        <v>6</v>
      </c>
    </row>
    <row r="1030" spans="1:21">
      <c r="A1030" s="14" t="s">
        <v>14</v>
      </c>
      <c r="B1030" s="8">
        <f t="shared" si="20"/>
        <v>70163007</v>
      </c>
      <c r="C1030" s="16" t="s">
        <v>1027</v>
      </c>
      <c r="D1030" s="2" t="s">
        <v>1048</v>
      </c>
      <c r="E1030" s="2" t="str">
        <f>F1030&amp;(VLOOKUP(G1030,编号表!$E$1:$G$8,2,0))&amp;H1030&amp;"_"&amp;I1030&amp;"_"&amp;J1030</f>
        <v>16T3_0_7</v>
      </c>
      <c r="F1030" s="2">
        <v>16</v>
      </c>
      <c r="G1030" s="2" t="s">
        <v>53</v>
      </c>
      <c r="H1030" s="2">
        <v>3</v>
      </c>
      <c r="I1030" s="2">
        <v>0</v>
      </c>
      <c r="J1030" s="2">
        <f>COUNTIFS($F$13:F1030,F1030,$I$13:I1030,I1030)</f>
        <v>7</v>
      </c>
      <c r="M1030" s="2">
        <v>134</v>
      </c>
    </row>
    <row r="1031" spans="1:21">
      <c r="A1031" s="14" t="s">
        <v>14</v>
      </c>
      <c r="B1031" s="8">
        <f t="shared" si="20"/>
        <v>70161008</v>
      </c>
      <c r="C1031" s="15" t="s">
        <v>1049</v>
      </c>
      <c r="E1031" s="2" t="str">
        <f>F1031&amp;(VLOOKUP(G1031,编号表!$E$1:$G$8,2,0))&amp;H1031&amp;"_"&amp;I1031&amp;"_"&amp;J1031</f>
        <v>16T1_0_8</v>
      </c>
      <c r="F1031" s="2">
        <v>16</v>
      </c>
      <c r="G1031" s="2" t="s">
        <v>53</v>
      </c>
      <c r="H1031" s="2">
        <v>1</v>
      </c>
      <c r="I1031" s="2">
        <v>0</v>
      </c>
      <c r="J1031" s="2">
        <f>COUNTIFS($F$13:F1031,F1031,$I$13:I1031,I1031)</f>
        <v>8</v>
      </c>
    </row>
    <row r="1032" spans="1:21">
      <c r="A1032" s="14" t="s">
        <v>14</v>
      </c>
      <c r="B1032" s="8">
        <f t="shared" si="20"/>
        <v>70162101</v>
      </c>
      <c r="C1032" s="2" t="s">
        <v>1050</v>
      </c>
      <c r="E1032" s="2" t="str">
        <f>F1032&amp;(VLOOKUP(G1032,编号表!$E$1:$G$8,2,0))&amp;H1032&amp;"_"&amp;I1032&amp;"_"&amp;J1032</f>
        <v>16N2_1_1</v>
      </c>
      <c r="F1032" s="2">
        <v>16</v>
      </c>
      <c r="G1032" s="2" t="s">
        <v>37</v>
      </c>
      <c r="H1032" s="2">
        <v>2</v>
      </c>
      <c r="I1032" s="2">
        <v>1</v>
      </c>
      <c r="J1032" s="2">
        <f>COUNTIFS($F$13:F1032,F1032,$I$13:I1032,I1032)</f>
        <v>1</v>
      </c>
      <c r="O1032" s="8">
        <v>1016201</v>
      </c>
      <c r="P1032" s="8">
        <v>1016301</v>
      </c>
      <c r="Q1032" s="8">
        <v>1016401</v>
      </c>
      <c r="R1032" s="8">
        <v>1016501</v>
      </c>
      <c r="S1032" s="8">
        <v>1016601</v>
      </c>
      <c r="T1032" s="8">
        <v>1016701</v>
      </c>
      <c r="U1032" s="8">
        <v>1016001</v>
      </c>
    </row>
    <row r="1033" spans="1:21">
      <c r="A1033" s="14" t="s">
        <v>14</v>
      </c>
      <c r="B1033" s="8">
        <f t="shared" si="20"/>
        <v>70163102</v>
      </c>
      <c r="C1033" s="2" t="s">
        <v>1051</v>
      </c>
      <c r="E1033" s="2" t="str">
        <f>F1033&amp;(VLOOKUP(G1033,编号表!$E$1:$G$8,2,0))&amp;H1033&amp;"_"&amp;I1033&amp;"_"&amp;J1033</f>
        <v>16N3_1_2</v>
      </c>
      <c r="F1033" s="2">
        <v>16</v>
      </c>
      <c r="G1033" s="2" t="s">
        <v>37</v>
      </c>
      <c r="H1033" s="2">
        <v>3</v>
      </c>
      <c r="I1033" s="2">
        <v>1</v>
      </c>
      <c r="J1033" s="2">
        <f>COUNTIFS($F$13:F1033,F1033,$I$13:I1033,I1033)</f>
        <v>2</v>
      </c>
      <c r="O1033" s="8">
        <v>1016201</v>
      </c>
      <c r="P1033" s="8">
        <v>1016301</v>
      </c>
      <c r="Q1033" s="8">
        <v>1016401</v>
      </c>
      <c r="R1033" s="8">
        <v>1016501</v>
      </c>
      <c r="S1033" s="8">
        <v>1016601</v>
      </c>
      <c r="T1033" s="8">
        <v>1016701</v>
      </c>
      <c r="U1033" s="8">
        <v>1016101</v>
      </c>
    </row>
    <row r="1034" spans="1:21">
      <c r="A1034" s="14" t="s">
        <v>14</v>
      </c>
      <c r="B1034" s="8">
        <f t="shared" si="20"/>
        <v>70163103</v>
      </c>
      <c r="C1034" s="2" t="s">
        <v>1052</v>
      </c>
      <c r="E1034" s="2" t="str">
        <f>F1034&amp;(VLOOKUP(G1034,编号表!$E$1:$G$8,2,0))&amp;H1034&amp;"_"&amp;I1034&amp;"_"&amp;J1034</f>
        <v>16N3_1_3</v>
      </c>
      <c r="F1034" s="2">
        <v>16</v>
      </c>
      <c r="G1034" s="2" t="s">
        <v>37</v>
      </c>
      <c r="H1034" s="2">
        <v>3</v>
      </c>
      <c r="I1034" s="2">
        <v>1</v>
      </c>
      <c r="J1034" s="2">
        <f>COUNTIFS($F$13:F1034,F1034,$I$13:I1034,I1034)</f>
        <v>3</v>
      </c>
      <c r="O1034" s="8">
        <v>1016201</v>
      </c>
      <c r="P1034" s="8">
        <v>1016301</v>
      </c>
      <c r="Q1034" s="8">
        <v>1016401</v>
      </c>
      <c r="R1034" s="8">
        <v>1016501</v>
      </c>
      <c r="S1034" s="8">
        <v>1016601</v>
      </c>
      <c r="T1034" s="8">
        <v>1016701</v>
      </c>
      <c r="U1034" s="8">
        <v>1015101</v>
      </c>
    </row>
    <row r="1035" spans="1:21">
      <c r="A1035" s="14" t="s">
        <v>14</v>
      </c>
      <c r="B1035" s="8">
        <f t="shared" si="20"/>
        <v>70162104</v>
      </c>
      <c r="C1035" s="2" t="s">
        <v>1053</v>
      </c>
      <c r="E1035" s="2" t="str">
        <f>F1035&amp;(VLOOKUP(G1035,编号表!$E$1:$G$8,2,0))&amp;H1035&amp;"_"&amp;I1035&amp;"_"&amp;J1035</f>
        <v>16N2_1_4</v>
      </c>
      <c r="F1035" s="2">
        <v>16</v>
      </c>
      <c r="G1035" s="2" t="s">
        <v>37</v>
      </c>
      <c r="H1035" s="2">
        <v>2</v>
      </c>
      <c r="I1035" s="2">
        <v>1</v>
      </c>
      <c r="J1035" s="2">
        <f>COUNTIFS($F$13:F1035,F1035,$I$13:I1035,I1035)</f>
        <v>4</v>
      </c>
      <c r="O1035" s="8">
        <v>1016201</v>
      </c>
      <c r="P1035" s="8">
        <v>1016301</v>
      </c>
      <c r="Q1035" s="8">
        <v>1016401</v>
      </c>
      <c r="R1035" s="8">
        <v>1016501</v>
      </c>
      <c r="S1035" s="8">
        <v>1016601</v>
      </c>
      <c r="T1035" s="8">
        <v>1016701</v>
      </c>
    </row>
    <row r="1036" spans="1:21">
      <c r="A1036" s="14" t="s">
        <v>14</v>
      </c>
      <c r="B1036" s="8">
        <f t="shared" si="20"/>
        <v>70163201</v>
      </c>
      <c r="C1036" s="2" t="s">
        <v>1054</v>
      </c>
      <c r="E1036" s="2" t="str">
        <f>F1036&amp;(VLOOKUP(G1036,编号表!$E$1:$G$8,2,0))&amp;H1036&amp;"_"&amp;I1036&amp;"_"&amp;J1036</f>
        <v>16N3_2_1</v>
      </c>
      <c r="F1036" s="2">
        <v>16</v>
      </c>
      <c r="G1036" s="2" t="s">
        <v>37</v>
      </c>
      <c r="H1036" s="2">
        <v>3</v>
      </c>
      <c r="I1036" s="2">
        <v>2</v>
      </c>
      <c r="J1036" s="2">
        <f>COUNTIFS($F$13:F1036,F1036,$I$13:I1036,I1036)</f>
        <v>1</v>
      </c>
      <c r="O1036" s="8">
        <v>1016201</v>
      </c>
      <c r="P1036" s="8">
        <v>1016301</v>
      </c>
      <c r="Q1036" s="8">
        <v>1016401</v>
      </c>
      <c r="R1036" s="8">
        <v>1016501</v>
      </c>
      <c r="S1036" s="8">
        <v>1016601</v>
      </c>
      <c r="T1036" s="8">
        <v>1016701</v>
      </c>
    </row>
    <row r="1037" spans="1:21">
      <c r="A1037" s="14" t="s">
        <v>14</v>
      </c>
      <c r="B1037" s="8">
        <f t="shared" si="20"/>
        <v>70162202</v>
      </c>
      <c r="C1037" s="2" t="s">
        <v>1055</v>
      </c>
      <c r="E1037" s="2" t="str">
        <f>F1037&amp;(VLOOKUP(G1037,编号表!$E$1:$G$8,2,0))&amp;H1037&amp;"_"&amp;I1037&amp;"_"&amp;J1037</f>
        <v>16N2_2_2</v>
      </c>
      <c r="F1037" s="2">
        <v>16</v>
      </c>
      <c r="G1037" s="2" t="s">
        <v>37</v>
      </c>
      <c r="H1037" s="2">
        <v>2</v>
      </c>
      <c r="I1037" s="2">
        <v>2</v>
      </c>
      <c r="J1037" s="2">
        <f>COUNTIFS($F$13:F1037,F1037,$I$13:I1037,I1037)</f>
        <v>2</v>
      </c>
      <c r="O1037" s="8">
        <v>1016201</v>
      </c>
      <c r="P1037" s="8">
        <v>1016301</v>
      </c>
      <c r="Q1037" s="8">
        <v>1016401</v>
      </c>
      <c r="R1037" s="8">
        <v>1016501</v>
      </c>
      <c r="S1037" s="8">
        <v>1016601</v>
      </c>
      <c r="T1037" s="8">
        <v>1016701</v>
      </c>
    </row>
    <row r="1038" spans="1:21">
      <c r="A1038" s="14" t="s">
        <v>14</v>
      </c>
      <c r="B1038" s="8">
        <f t="shared" si="20"/>
        <v>70161203</v>
      </c>
      <c r="C1038" s="2" t="s">
        <v>1056</v>
      </c>
      <c r="E1038" s="2" t="str">
        <f>F1038&amp;(VLOOKUP(G1038,编号表!$E$1:$G$8,2,0))&amp;H1038&amp;"_"&amp;I1038&amp;"_"&amp;J1038</f>
        <v>16N1_2_3</v>
      </c>
      <c r="F1038" s="2">
        <v>16</v>
      </c>
      <c r="G1038" s="2" t="s">
        <v>37</v>
      </c>
      <c r="H1038" s="2">
        <v>1</v>
      </c>
      <c r="I1038" s="2">
        <v>2</v>
      </c>
      <c r="J1038" s="2">
        <f>COUNTIFS($F$13:F1038,F1038,$I$13:I1038,I1038)</f>
        <v>3</v>
      </c>
      <c r="O1038" s="8">
        <v>1016201</v>
      </c>
      <c r="P1038" s="8">
        <v>1016301</v>
      </c>
      <c r="Q1038" s="8">
        <v>1016401</v>
      </c>
      <c r="R1038" s="8">
        <v>1016501</v>
      </c>
      <c r="S1038" s="8">
        <v>1016601</v>
      </c>
      <c r="T1038" s="8">
        <v>1016701</v>
      </c>
    </row>
    <row r="1039" spans="1:21">
      <c r="A1039" s="14" t="s">
        <v>14</v>
      </c>
      <c r="B1039" s="8">
        <f t="shared" si="20"/>
        <v>70163204</v>
      </c>
      <c r="C1039" s="2" t="s">
        <v>1057</v>
      </c>
      <c r="E1039" s="2" t="str">
        <f>F1039&amp;(VLOOKUP(G1039,编号表!$E$1:$G$8,2,0))&amp;H1039&amp;"_"&amp;I1039&amp;"_"&amp;J1039</f>
        <v>16N3_2_4</v>
      </c>
      <c r="F1039" s="2">
        <v>16</v>
      </c>
      <c r="G1039" s="2" t="s">
        <v>37</v>
      </c>
      <c r="H1039" s="2">
        <v>3</v>
      </c>
      <c r="I1039" s="2">
        <v>2</v>
      </c>
      <c r="J1039" s="2">
        <f>COUNTIFS($F$13:F1039,F1039,$I$13:I1039,I1039)</f>
        <v>4</v>
      </c>
      <c r="O1039" s="8">
        <v>1016201</v>
      </c>
      <c r="P1039" s="8">
        <v>1016301</v>
      </c>
      <c r="Q1039" s="8">
        <v>1016401</v>
      </c>
      <c r="R1039" s="8">
        <v>1016501</v>
      </c>
      <c r="S1039" s="8">
        <v>1016601</v>
      </c>
      <c r="T1039" s="8">
        <v>1016701</v>
      </c>
    </row>
    <row r="1040" spans="1:21">
      <c r="A1040" s="14" t="s">
        <v>14</v>
      </c>
      <c r="B1040" s="8">
        <f t="shared" si="20"/>
        <v>70161301</v>
      </c>
      <c r="C1040" s="2" t="s">
        <v>1058</v>
      </c>
      <c r="E1040" s="2" t="str">
        <f>F1040&amp;(VLOOKUP(G1040,编号表!$E$1:$G$8,2,0))&amp;H1040&amp;"_"&amp;I1040&amp;"_"&amp;J1040</f>
        <v>16N1_3_1</v>
      </c>
      <c r="F1040" s="2">
        <v>16</v>
      </c>
      <c r="G1040" s="2" t="s">
        <v>37</v>
      </c>
      <c r="H1040" s="2">
        <v>1</v>
      </c>
      <c r="I1040" s="2">
        <v>3</v>
      </c>
      <c r="J1040" s="2">
        <f>COUNTIFS($F$13:F1040,F1040,$I$13:I1040,I1040)</f>
        <v>1</v>
      </c>
      <c r="O1040" s="8">
        <v>1016201</v>
      </c>
      <c r="P1040" s="8">
        <v>1016301</v>
      </c>
      <c r="Q1040" s="8">
        <v>1016401</v>
      </c>
      <c r="R1040" s="8">
        <v>1016501</v>
      </c>
      <c r="S1040" s="8">
        <v>1016601</v>
      </c>
      <c r="T1040" s="8">
        <v>1016701</v>
      </c>
    </row>
    <row r="1041" spans="1:22">
      <c r="A1041" s="14" t="s">
        <v>14</v>
      </c>
      <c r="B1041" s="8">
        <f t="shared" si="20"/>
        <v>70161302</v>
      </c>
      <c r="C1041" s="2" t="s">
        <v>1059</v>
      </c>
      <c r="E1041" s="2" t="str">
        <f>F1041&amp;(VLOOKUP(G1041,编号表!$E$1:$G$8,2,0))&amp;H1041&amp;"_"&amp;I1041&amp;"_"&amp;J1041</f>
        <v>16N1_3_2</v>
      </c>
      <c r="F1041" s="2">
        <v>16</v>
      </c>
      <c r="G1041" s="2" t="s">
        <v>37</v>
      </c>
      <c r="H1041" s="2">
        <v>1</v>
      </c>
      <c r="I1041" s="2">
        <v>3</v>
      </c>
      <c r="J1041" s="2">
        <f>COUNTIFS($F$13:F1041,F1041,$I$13:I1041,I1041)</f>
        <v>2</v>
      </c>
      <c r="O1041" s="8">
        <v>1016201</v>
      </c>
      <c r="P1041" s="8">
        <v>1016301</v>
      </c>
      <c r="Q1041" s="8">
        <v>1016401</v>
      </c>
      <c r="R1041" s="8">
        <v>1016501</v>
      </c>
      <c r="S1041" s="8">
        <v>1016601</v>
      </c>
      <c r="T1041" s="8">
        <v>1016701</v>
      </c>
    </row>
    <row r="1042" spans="1:22">
      <c r="A1042" s="14" t="s">
        <v>14</v>
      </c>
      <c r="B1042" s="8">
        <f t="shared" si="20"/>
        <v>70163401</v>
      </c>
      <c r="C1042" s="2" t="s">
        <v>1060</v>
      </c>
      <c r="E1042" s="2" t="str">
        <f>F1042&amp;(VLOOKUP(G1042,编号表!$E$1:$G$8,2,0))&amp;H1042&amp;"_"&amp;I1042&amp;"_"&amp;J1042</f>
        <v>16N3_4_1</v>
      </c>
      <c r="F1042" s="2">
        <v>16</v>
      </c>
      <c r="G1042" s="2" t="s">
        <v>37</v>
      </c>
      <c r="H1042" s="2">
        <v>3</v>
      </c>
      <c r="I1042" s="2">
        <v>4</v>
      </c>
      <c r="J1042" s="2">
        <f>COUNTIFS($F$13:F1042,F1042,$I$13:I1042,I1042)</f>
        <v>1</v>
      </c>
      <c r="O1042" s="8">
        <v>1016201</v>
      </c>
      <c r="P1042" s="8">
        <v>1016301</v>
      </c>
      <c r="Q1042" s="8">
        <v>1016401</v>
      </c>
      <c r="R1042" s="8">
        <v>1016501</v>
      </c>
      <c r="S1042" s="8">
        <v>1016601</v>
      </c>
      <c r="T1042" s="8">
        <v>1016701</v>
      </c>
    </row>
    <row r="1043" spans="1:22">
      <c r="A1043" s="14" t="s">
        <v>14</v>
      </c>
      <c r="B1043" s="8">
        <f t="shared" si="20"/>
        <v>70162402</v>
      </c>
      <c r="C1043" s="2" t="s">
        <v>1061</v>
      </c>
      <c r="E1043" s="2" t="str">
        <f>F1043&amp;(VLOOKUP(G1043,编号表!$E$1:$G$8,2,0))&amp;H1043&amp;"_"&amp;I1043&amp;"_"&amp;J1043</f>
        <v>16N2_4_2</v>
      </c>
      <c r="F1043" s="2">
        <v>16</v>
      </c>
      <c r="G1043" s="2" t="s">
        <v>37</v>
      </c>
      <c r="H1043" s="2">
        <v>2</v>
      </c>
      <c r="I1043" s="2">
        <v>4</v>
      </c>
      <c r="J1043" s="2">
        <f>COUNTIFS($F$13:F1043,F1043,$I$13:I1043,I1043)</f>
        <v>2</v>
      </c>
      <c r="O1043" s="8">
        <v>1016201</v>
      </c>
      <c r="P1043" s="8">
        <v>1016301</v>
      </c>
      <c r="Q1043" s="8">
        <v>1016401</v>
      </c>
      <c r="R1043" s="8">
        <v>1016501</v>
      </c>
      <c r="S1043" s="8">
        <v>1016601</v>
      </c>
      <c r="T1043" s="8">
        <v>1016701</v>
      </c>
    </row>
    <row r="1044" spans="1:22">
      <c r="A1044" s="14" t="s">
        <v>14</v>
      </c>
      <c r="B1044" s="8">
        <f t="shared" si="20"/>
        <v>70161403</v>
      </c>
      <c r="C1044" s="2" t="s">
        <v>1062</v>
      </c>
      <c r="E1044" s="2" t="str">
        <f>F1044&amp;(VLOOKUP(G1044,编号表!$E$1:$G$8,2,0))&amp;H1044&amp;"_"&amp;I1044&amp;"_"&amp;J1044</f>
        <v>16N1_4_3</v>
      </c>
      <c r="F1044" s="2">
        <v>16</v>
      </c>
      <c r="G1044" s="2" t="s">
        <v>37</v>
      </c>
      <c r="H1044" s="2">
        <v>1</v>
      </c>
      <c r="I1044" s="2">
        <v>4</v>
      </c>
      <c r="J1044" s="2">
        <f>COUNTIFS($F$13:F1044,F1044,$I$13:I1044,I1044)</f>
        <v>3</v>
      </c>
      <c r="O1044" s="8">
        <v>1016201</v>
      </c>
      <c r="P1044" s="8">
        <v>1016301</v>
      </c>
      <c r="Q1044" s="8">
        <v>1016401</v>
      </c>
      <c r="R1044" s="8">
        <v>1016501</v>
      </c>
      <c r="S1044" s="8">
        <v>1016601</v>
      </c>
      <c r="T1044" s="8">
        <v>1016701</v>
      </c>
    </row>
    <row r="1045" spans="1:22">
      <c r="A1045" s="14" t="s">
        <v>14</v>
      </c>
      <c r="B1045" s="8">
        <f t="shared" si="20"/>
        <v>70162404</v>
      </c>
      <c r="C1045" s="2" t="s">
        <v>1063</v>
      </c>
      <c r="E1045" s="2" t="str">
        <f>F1045&amp;(VLOOKUP(G1045,编号表!$E$1:$G$8,2,0))&amp;H1045&amp;"_"&amp;I1045&amp;"_"&amp;J1045</f>
        <v>16N2_4_4</v>
      </c>
      <c r="F1045" s="2">
        <v>16</v>
      </c>
      <c r="G1045" s="2" t="s">
        <v>37</v>
      </c>
      <c r="H1045" s="2">
        <v>2</v>
      </c>
      <c r="I1045" s="2">
        <v>4</v>
      </c>
      <c r="J1045" s="2">
        <f>COUNTIFS($F$13:F1045,F1045,$I$13:I1045,I1045)</f>
        <v>4</v>
      </c>
      <c r="O1045" s="8">
        <v>1016201</v>
      </c>
      <c r="P1045" s="8">
        <v>1016301</v>
      </c>
      <c r="Q1045" s="8">
        <v>1016401</v>
      </c>
      <c r="R1045" s="8">
        <v>1016501</v>
      </c>
      <c r="S1045" s="8">
        <v>1016601</v>
      </c>
      <c r="T1045" s="8">
        <v>1016701</v>
      </c>
    </row>
    <row r="1046" spans="1:22">
      <c r="A1046" s="14" t="s">
        <v>14</v>
      </c>
      <c r="B1046" s="8">
        <f t="shared" si="20"/>
        <v>70163405</v>
      </c>
      <c r="C1046" s="2" t="s">
        <v>1064</v>
      </c>
      <c r="E1046" s="2" t="str">
        <f>F1046&amp;(VLOOKUP(G1046,编号表!$E$1:$G$8,2,0))&amp;H1046&amp;"_"&amp;I1046&amp;"_"&amp;J1046</f>
        <v>16N3_4_5</v>
      </c>
      <c r="F1046" s="2">
        <v>16</v>
      </c>
      <c r="G1046" s="2" t="s">
        <v>37</v>
      </c>
      <c r="H1046" s="2">
        <v>3</v>
      </c>
      <c r="I1046" s="2">
        <v>4</v>
      </c>
      <c r="J1046" s="2">
        <f>COUNTIFS($F$13:F1046,F1046,$I$13:I1046,I1046)</f>
        <v>5</v>
      </c>
      <c r="O1046" s="8">
        <v>1016201</v>
      </c>
      <c r="P1046" s="8">
        <v>1016301</v>
      </c>
      <c r="Q1046" s="8">
        <v>1016401</v>
      </c>
      <c r="R1046" s="8">
        <v>1016501</v>
      </c>
      <c r="S1046" s="8">
        <v>1016601</v>
      </c>
      <c r="T1046" s="8">
        <v>1016701</v>
      </c>
    </row>
    <row r="1047" spans="1:22">
      <c r="A1047" s="14" t="s">
        <v>14</v>
      </c>
      <c r="B1047" s="8">
        <f t="shared" si="20"/>
        <v>70163501</v>
      </c>
      <c r="C1047" s="2" t="s">
        <v>1065</v>
      </c>
      <c r="E1047" s="2" t="str">
        <f>F1047&amp;(VLOOKUP(G1047,编号表!$E$1:$G$8,2,0))&amp;H1047&amp;"_"&amp;I1047&amp;"_"&amp;J1047</f>
        <v>16N3_5_1</v>
      </c>
      <c r="F1047" s="2">
        <v>16</v>
      </c>
      <c r="G1047" s="2" t="s">
        <v>37</v>
      </c>
      <c r="H1047" s="2">
        <v>3</v>
      </c>
      <c r="I1047" s="2">
        <v>5</v>
      </c>
      <c r="J1047" s="2">
        <f>COUNTIFS($F$13:F1047,F1047,$I$13:I1047,I1047)</f>
        <v>1</v>
      </c>
      <c r="O1047" s="8">
        <v>1016201</v>
      </c>
      <c r="P1047" s="8">
        <v>1016301</v>
      </c>
      <c r="Q1047" s="8">
        <v>1016401</v>
      </c>
      <c r="R1047" s="8">
        <v>1016501</v>
      </c>
      <c r="S1047" s="8">
        <v>1016601</v>
      </c>
      <c r="T1047" s="8">
        <v>1016701</v>
      </c>
    </row>
    <row r="1048" spans="1:22">
      <c r="A1048" s="14" t="s">
        <v>14</v>
      </c>
      <c r="B1048" s="8">
        <f t="shared" si="20"/>
        <v>70163502</v>
      </c>
      <c r="C1048" s="2" t="s">
        <v>1066</v>
      </c>
      <c r="E1048" s="2" t="str">
        <f>F1048&amp;(VLOOKUP(G1048,编号表!$E$1:$G$8,2,0))&amp;H1048&amp;"_"&amp;I1048&amp;"_"&amp;J1048</f>
        <v>16N3_5_2</v>
      </c>
      <c r="F1048" s="2">
        <v>16</v>
      </c>
      <c r="G1048" s="2" t="s">
        <v>37</v>
      </c>
      <c r="H1048" s="2">
        <v>3</v>
      </c>
      <c r="I1048" s="2">
        <v>5</v>
      </c>
      <c r="J1048" s="2">
        <f>COUNTIFS($F$13:F1048,F1048,$I$13:I1048,I1048)</f>
        <v>2</v>
      </c>
      <c r="O1048" s="8">
        <v>1016201</v>
      </c>
      <c r="P1048" s="8">
        <v>1016301</v>
      </c>
      <c r="Q1048" s="8">
        <v>1016401</v>
      </c>
      <c r="R1048" s="8">
        <v>1016501</v>
      </c>
      <c r="S1048" s="8">
        <v>1016601</v>
      </c>
      <c r="T1048" s="8">
        <v>1016701</v>
      </c>
    </row>
    <row r="1049" spans="1:22">
      <c r="A1049" s="14" t="s">
        <v>14</v>
      </c>
      <c r="B1049" s="8">
        <f t="shared" si="20"/>
        <v>70163503</v>
      </c>
      <c r="C1049" s="2" t="s">
        <v>1067</v>
      </c>
      <c r="E1049" s="2" t="str">
        <f>F1049&amp;(VLOOKUP(G1049,编号表!$E$1:$G$8,2,0))&amp;H1049&amp;"_"&amp;I1049&amp;"_"&amp;J1049</f>
        <v>16N3_5_3</v>
      </c>
      <c r="F1049" s="2">
        <v>16</v>
      </c>
      <c r="G1049" s="2" t="s">
        <v>37</v>
      </c>
      <c r="H1049" s="2">
        <v>3</v>
      </c>
      <c r="I1049" s="2">
        <v>5</v>
      </c>
      <c r="J1049" s="2">
        <f>COUNTIFS($F$13:F1049,F1049,$I$13:I1049,I1049)</f>
        <v>3</v>
      </c>
      <c r="O1049" s="8">
        <v>1016201</v>
      </c>
      <c r="P1049" s="8">
        <v>1016301</v>
      </c>
      <c r="Q1049" s="8">
        <v>1016401</v>
      </c>
      <c r="R1049" s="8">
        <v>1016501</v>
      </c>
      <c r="S1049" s="8">
        <v>1016601</v>
      </c>
      <c r="T1049" s="8">
        <v>1016701</v>
      </c>
    </row>
    <row r="1050" spans="1:22">
      <c r="A1050" s="14" t="s">
        <v>14</v>
      </c>
      <c r="B1050" s="8">
        <f t="shared" si="20"/>
        <v>70163504</v>
      </c>
      <c r="C1050" s="2" t="s">
        <v>1068</v>
      </c>
      <c r="E1050" s="2" t="str">
        <f>F1050&amp;(VLOOKUP(G1050,编号表!$E$1:$G$8,2,0))&amp;H1050&amp;"_"&amp;I1050&amp;"_"&amp;J1050</f>
        <v>16N3_5_4</v>
      </c>
      <c r="F1050" s="2">
        <v>16</v>
      </c>
      <c r="G1050" s="2" t="s">
        <v>37</v>
      </c>
      <c r="H1050" s="2">
        <v>3</v>
      </c>
      <c r="I1050" s="2">
        <v>5</v>
      </c>
      <c r="J1050" s="2">
        <f>COUNTIFS($F$13:F1050,F1050,$I$13:I1050,I1050)</f>
        <v>4</v>
      </c>
      <c r="O1050" s="8">
        <v>1016201</v>
      </c>
      <c r="P1050" s="8">
        <v>1016301</v>
      </c>
      <c r="Q1050" s="8">
        <v>1016401</v>
      </c>
      <c r="R1050" s="8">
        <v>1016501</v>
      </c>
      <c r="S1050" s="8">
        <v>1016601</v>
      </c>
      <c r="T1050" s="8">
        <v>1016701</v>
      </c>
    </row>
    <row r="1051" spans="1:22">
      <c r="A1051" s="14" t="s">
        <v>14</v>
      </c>
      <c r="B1051" s="8">
        <f t="shared" si="20"/>
        <v>70160009</v>
      </c>
      <c r="C1051" s="18" t="s">
        <v>1069</v>
      </c>
      <c r="E1051" s="2" t="str">
        <f>F1051&amp;(VLOOKUP(G1051,编号表!$E$1:$G$8,2,0))&amp;H1051&amp;"_"&amp;I1051&amp;"_"&amp;J1051</f>
        <v>16J0_0_9</v>
      </c>
      <c r="F1051" s="2">
        <v>16</v>
      </c>
      <c r="G1051" s="2" t="s">
        <v>86</v>
      </c>
      <c r="H1051" s="2">
        <v>0</v>
      </c>
      <c r="I1051" s="2">
        <v>0</v>
      </c>
      <c r="J1051" s="2">
        <f>COUNTIFS($F$13:F1051,F1051,$I$13:I1051,I1051)</f>
        <v>9</v>
      </c>
      <c r="K1051" s="2">
        <v>1</v>
      </c>
    </row>
    <row r="1052" spans="1:22">
      <c r="A1052" s="14" t="s">
        <v>14</v>
      </c>
      <c r="B1052" s="8">
        <f t="shared" si="20"/>
        <v>70173101</v>
      </c>
      <c r="C1052" s="16" t="s">
        <v>1027</v>
      </c>
      <c r="D1052" s="2" t="s">
        <v>1045</v>
      </c>
      <c r="E1052" s="2" t="str">
        <f>F1052&amp;(VLOOKUP(G1052,编号表!$E$1:$G$8,2,0))&amp;H1052&amp;"_"&amp;I1052&amp;"_"&amp;J1052</f>
        <v>17T3_1_1</v>
      </c>
      <c r="F1052" s="2">
        <v>17</v>
      </c>
      <c r="G1052" s="2" t="s">
        <v>53</v>
      </c>
      <c r="H1052" s="2">
        <v>3</v>
      </c>
      <c r="I1052" s="2">
        <v>1</v>
      </c>
      <c r="J1052" s="2">
        <f>COUNTIFS($F$13:F1052,F1052,$I$13:I1052,I1052)</f>
        <v>1</v>
      </c>
      <c r="M1052" s="2">
        <v>135</v>
      </c>
    </row>
    <row r="1053" spans="1:22">
      <c r="A1053" s="14" t="s">
        <v>14</v>
      </c>
      <c r="B1053" s="8">
        <f t="shared" si="20"/>
        <v>70173102</v>
      </c>
      <c r="C1053" s="2" t="s">
        <v>1070</v>
      </c>
      <c r="E1053" s="2" t="str">
        <f>F1053&amp;(VLOOKUP(G1053,编号表!$E$1:$G$8,2,0))&amp;H1053&amp;"_"&amp;I1053&amp;"_"&amp;J1053</f>
        <v>17N3_1_2</v>
      </c>
      <c r="F1053" s="2">
        <v>17</v>
      </c>
      <c r="G1053" s="2" t="s">
        <v>37</v>
      </c>
      <c r="H1053" s="2">
        <v>3</v>
      </c>
      <c r="I1053" s="2">
        <v>1</v>
      </c>
      <c r="J1053" s="2">
        <f>COUNTIFS($F$13:F1053,F1053,$I$13:I1053,I1053)</f>
        <v>2</v>
      </c>
      <c r="O1053" s="8">
        <v>1017201</v>
      </c>
      <c r="P1053" s="8">
        <v>1017301</v>
      </c>
      <c r="Q1053" s="8">
        <v>1017401</v>
      </c>
      <c r="R1053" s="8">
        <v>1017501</v>
      </c>
      <c r="S1053" s="8">
        <v>1017601</v>
      </c>
      <c r="T1053" s="8">
        <v>1017701</v>
      </c>
      <c r="U1053" s="8">
        <v>1017801</v>
      </c>
      <c r="V1053" s="8">
        <v>1017001</v>
      </c>
    </row>
    <row r="1054" spans="1:22">
      <c r="A1054" s="14" t="s">
        <v>14</v>
      </c>
      <c r="B1054" s="8">
        <f t="shared" si="20"/>
        <v>70173103</v>
      </c>
      <c r="C1054" s="2" t="s">
        <v>1071</v>
      </c>
      <c r="E1054" s="2" t="str">
        <f>F1054&amp;(VLOOKUP(G1054,编号表!$E$1:$G$8,2,0))&amp;H1054&amp;"_"&amp;I1054&amp;"_"&amp;J1054</f>
        <v>17N3_1_3</v>
      </c>
      <c r="F1054" s="2">
        <v>17</v>
      </c>
      <c r="G1054" s="2" t="s">
        <v>37</v>
      </c>
      <c r="H1054" s="2">
        <v>3</v>
      </c>
      <c r="I1054" s="2">
        <v>1</v>
      </c>
      <c r="J1054" s="2">
        <f>COUNTIFS($F$13:F1054,F1054,$I$13:I1054,I1054)</f>
        <v>3</v>
      </c>
      <c r="O1054" s="8">
        <v>1017201</v>
      </c>
      <c r="P1054" s="8">
        <v>1017301</v>
      </c>
      <c r="Q1054" s="8">
        <v>1017401</v>
      </c>
      <c r="R1054" s="8">
        <v>1017501</v>
      </c>
      <c r="S1054" s="8">
        <v>1017601</v>
      </c>
      <c r="T1054" s="8">
        <v>1017701</v>
      </c>
      <c r="U1054" s="8">
        <v>1017801</v>
      </c>
      <c r="V1054" s="8">
        <v>1017101</v>
      </c>
    </row>
    <row r="1055" spans="1:22">
      <c r="A1055" s="14" t="s">
        <v>14</v>
      </c>
      <c r="B1055" s="8">
        <f t="shared" si="20"/>
        <v>70171104</v>
      </c>
      <c r="C1055" s="15" t="s">
        <v>1072</v>
      </c>
      <c r="E1055" s="2" t="str">
        <f>F1055&amp;(VLOOKUP(G1055,编号表!$E$1:$G$8,2,0))&amp;H1055&amp;"_"&amp;I1055&amp;"_"&amp;J1055</f>
        <v>17T1_1_4</v>
      </c>
      <c r="F1055" s="2">
        <v>17</v>
      </c>
      <c r="G1055" s="2" t="s">
        <v>53</v>
      </c>
      <c r="H1055" s="2">
        <v>1</v>
      </c>
      <c r="I1055" s="2">
        <v>1</v>
      </c>
      <c r="J1055" s="2">
        <f>COUNTIFS($F$13:F1055,F1055,$I$13:I1055,I1055)</f>
        <v>4</v>
      </c>
      <c r="L1055" s="2">
        <v>1</v>
      </c>
    </row>
    <row r="1056" spans="1:22">
      <c r="A1056" s="14" t="s">
        <v>14</v>
      </c>
      <c r="B1056" s="8">
        <f t="shared" si="20"/>
        <v>70173105</v>
      </c>
      <c r="C1056" s="2" t="s">
        <v>1073</v>
      </c>
      <c r="E1056" s="2" t="str">
        <f>F1056&amp;(VLOOKUP(G1056,编号表!$E$1:$G$8,2,0))&amp;H1056&amp;"_"&amp;I1056&amp;"_"&amp;J1056</f>
        <v>17N3_1_5</v>
      </c>
      <c r="F1056" s="2">
        <v>17</v>
      </c>
      <c r="G1056" s="2" t="s">
        <v>37</v>
      </c>
      <c r="H1056" s="2">
        <v>3</v>
      </c>
      <c r="I1056" s="2">
        <v>1</v>
      </c>
      <c r="J1056" s="2">
        <f>COUNTIFS($F$13:F1056,F1056,$I$13:I1056,I1056)</f>
        <v>5</v>
      </c>
      <c r="O1056" s="8">
        <v>1017201</v>
      </c>
      <c r="P1056" s="8">
        <v>1017301</v>
      </c>
      <c r="Q1056" s="8">
        <v>1017401</v>
      </c>
      <c r="R1056" s="8">
        <v>1017501</v>
      </c>
      <c r="S1056" s="8">
        <v>1017601</v>
      </c>
      <c r="T1056" s="8">
        <v>1017701</v>
      </c>
      <c r="U1056" s="8">
        <v>1017801</v>
      </c>
      <c r="V1056" s="8">
        <v>1016101</v>
      </c>
    </row>
    <row r="1057" spans="1:21">
      <c r="A1057" s="14" t="s">
        <v>14</v>
      </c>
      <c r="B1057" s="8">
        <f t="shared" si="20"/>
        <v>70172106</v>
      </c>
      <c r="C1057" s="2" t="s">
        <v>1074</v>
      </c>
      <c r="E1057" s="2" t="str">
        <f>F1057&amp;(VLOOKUP(G1057,编号表!$E$1:$G$8,2,0))&amp;H1057&amp;"_"&amp;I1057&amp;"_"&amp;J1057</f>
        <v>17N2_1_6</v>
      </c>
      <c r="F1057" s="2">
        <v>17</v>
      </c>
      <c r="G1057" s="2" t="s">
        <v>37</v>
      </c>
      <c r="H1057" s="2">
        <v>2</v>
      </c>
      <c r="I1057" s="2">
        <v>1</v>
      </c>
      <c r="J1057" s="2">
        <f>COUNTIFS($F$13:F1057,F1057,$I$13:I1057,I1057)</f>
        <v>6</v>
      </c>
      <c r="O1057" s="8">
        <v>1017201</v>
      </c>
      <c r="P1057" s="8">
        <v>1017301</v>
      </c>
      <c r="Q1057" s="8">
        <v>1017401</v>
      </c>
      <c r="R1057" s="8">
        <v>1017501</v>
      </c>
      <c r="S1057" s="8">
        <v>1017601</v>
      </c>
      <c r="T1057" s="8">
        <v>1017701</v>
      </c>
      <c r="U1057" s="8">
        <v>1017801</v>
      </c>
    </row>
    <row r="1058" spans="1:21">
      <c r="A1058" s="14" t="s">
        <v>14</v>
      </c>
      <c r="B1058" s="8">
        <f t="shared" si="20"/>
        <v>70173201</v>
      </c>
      <c r="C1058" s="2" t="s">
        <v>1075</v>
      </c>
      <c r="E1058" s="2" t="str">
        <f>F1058&amp;(VLOOKUP(G1058,编号表!$E$1:$G$8,2,0))&amp;H1058&amp;"_"&amp;I1058&amp;"_"&amp;J1058</f>
        <v>17N3_2_1</v>
      </c>
      <c r="F1058" s="2">
        <v>17</v>
      </c>
      <c r="G1058" s="2" t="s">
        <v>37</v>
      </c>
      <c r="H1058" s="2">
        <v>3</v>
      </c>
      <c r="I1058" s="2">
        <v>2</v>
      </c>
      <c r="J1058" s="2">
        <f>COUNTIFS($F$13:F1058,F1058,$I$13:I1058,I1058)</f>
        <v>1</v>
      </c>
      <c r="O1058" s="8">
        <v>1017201</v>
      </c>
      <c r="P1058" s="8">
        <v>1017301</v>
      </c>
      <c r="Q1058" s="8">
        <v>1017401</v>
      </c>
      <c r="R1058" s="8">
        <v>1017501</v>
      </c>
      <c r="S1058" s="8">
        <v>1017601</v>
      </c>
      <c r="T1058" s="8">
        <v>1017701</v>
      </c>
      <c r="U1058" s="8">
        <v>1017801</v>
      </c>
    </row>
    <row r="1059" spans="1:21">
      <c r="A1059" s="14" t="s">
        <v>14</v>
      </c>
      <c r="B1059" s="8">
        <f t="shared" si="20"/>
        <v>70173202</v>
      </c>
      <c r="C1059" s="2" t="s">
        <v>1076</v>
      </c>
      <c r="E1059" s="2" t="str">
        <f>F1059&amp;(VLOOKUP(G1059,编号表!$E$1:$G$8,2,0))&amp;H1059&amp;"_"&amp;I1059&amp;"_"&amp;J1059</f>
        <v>17N3_2_2</v>
      </c>
      <c r="F1059" s="2">
        <v>17</v>
      </c>
      <c r="G1059" s="2" t="s">
        <v>37</v>
      </c>
      <c r="H1059" s="2">
        <v>3</v>
      </c>
      <c r="I1059" s="2">
        <v>2</v>
      </c>
      <c r="J1059" s="2">
        <f>COUNTIFS($F$13:F1059,F1059,$I$13:I1059,I1059)</f>
        <v>2</v>
      </c>
      <c r="O1059" s="8">
        <v>1017201</v>
      </c>
      <c r="P1059" s="8">
        <v>1017301</v>
      </c>
      <c r="Q1059" s="8">
        <v>1017401</v>
      </c>
      <c r="R1059" s="8">
        <v>1017501</v>
      </c>
      <c r="S1059" s="8">
        <v>1017601</v>
      </c>
      <c r="T1059" s="8">
        <v>1017701</v>
      </c>
      <c r="U1059" s="8">
        <v>1017801</v>
      </c>
    </row>
    <row r="1060" spans="1:21">
      <c r="A1060" s="14" t="s">
        <v>14</v>
      </c>
      <c r="B1060" s="8">
        <f t="shared" si="20"/>
        <v>70173203</v>
      </c>
      <c r="C1060" s="2" t="s">
        <v>1077</v>
      </c>
      <c r="E1060" s="2" t="str">
        <f>F1060&amp;(VLOOKUP(G1060,编号表!$E$1:$G$8,2,0))&amp;H1060&amp;"_"&amp;I1060&amp;"_"&amp;J1060</f>
        <v>17N3_2_3</v>
      </c>
      <c r="F1060" s="2">
        <v>17</v>
      </c>
      <c r="G1060" s="2" t="s">
        <v>37</v>
      </c>
      <c r="H1060" s="2">
        <v>3</v>
      </c>
      <c r="I1060" s="2">
        <v>2</v>
      </c>
      <c r="J1060" s="2">
        <f>COUNTIFS($F$13:F1060,F1060,$I$13:I1060,I1060)</f>
        <v>3</v>
      </c>
      <c r="O1060" s="8">
        <v>1017201</v>
      </c>
      <c r="P1060" s="8">
        <v>1017301</v>
      </c>
      <c r="Q1060" s="8">
        <v>1017401</v>
      </c>
      <c r="R1060" s="8">
        <v>1017501</v>
      </c>
      <c r="S1060" s="8">
        <v>1017601</v>
      </c>
      <c r="T1060" s="8">
        <v>1017701</v>
      </c>
      <c r="U1060" s="8">
        <v>1017801</v>
      </c>
    </row>
    <row r="1061" spans="1:21">
      <c r="A1061" s="14" t="s">
        <v>14</v>
      </c>
      <c r="B1061" s="8">
        <f t="shared" si="20"/>
        <v>70173204</v>
      </c>
      <c r="C1061" s="2" t="s">
        <v>1078</v>
      </c>
      <c r="E1061" s="2" t="str">
        <f>F1061&amp;(VLOOKUP(G1061,编号表!$E$1:$G$8,2,0))&amp;H1061&amp;"_"&amp;I1061&amp;"_"&amp;J1061</f>
        <v>17N3_2_4</v>
      </c>
      <c r="F1061" s="2">
        <v>17</v>
      </c>
      <c r="G1061" s="2" t="s">
        <v>37</v>
      </c>
      <c r="H1061" s="2">
        <v>3</v>
      </c>
      <c r="I1061" s="2">
        <v>2</v>
      </c>
      <c r="J1061" s="2">
        <f>COUNTIFS($F$13:F1061,F1061,$I$13:I1061,I1061)</f>
        <v>4</v>
      </c>
      <c r="O1061" s="8">
        <v>1017201</v>
      </c>
      <c r="P1061" s="8">
        <v>1017301</v>
      </c>
      <c r="Q1061" s="8">
        <v>1017401</v>
      </c>
      <c r="R1061" s="8">
        <v>1017501</v>
      </c>
      <c r="S1061" s="8">
        <v>1017601</v>
      </c>
      <c r="T1061" s="8">
        <v>1017701</v>
      </c>
      <c r="U1061" s="8">
        <v>1017801</v>
      </c>
    </row>
    <row r="1062" spans="1:21">
      <c r="A1062" s="14" t="s">
        <v>14</v>
      </c>
      <c r="B1062" s="8">
        <f t="shared" si="20"/>
        <v>70172205</v>
      </c>
      <c r="C1062" s="2" t="s">
        <v>1079</v>
      </c>
      <c r="E1062" s="2" t="str">
        <f>F1062&amp;(VLOOKUP(G1062,编号表!$E$1:$G$8,2,0))&amp;H1062&amp;"_"&amp;I1062&amp;"_"&amp;J1062</f>
        <v>17N2_2_5</v>
      </c>
      <c r="F1062" s="2">
        <v>17</v>
      </c>
      <c r="G1062" s="2" t="s">
        <v>37</v>
      </c>
      <c r="H1062" s="2">
        <v>2</v>
      </c>
      <c r="I1062" s="2">
        <v>2</v>
      </c>
      <c r="J1062" s="2">
        <f>COUNTIFS($F$13:F1062,F1062,$I$13:I1062,I1062)</f>
        <v>5</v>
      </c>
      <c r="O1062" s="8">
        <v>1017201</v>
      </c>
      <c r="P1062" s="8">
        <v>1017301</v>
      </c>
      <c r="Q1062" s="8">
        <v>1017401</v>
      </c>
      <c r="R1062" s="8">
        <v>1017501</v>
      </c>
      <c r="S1062" s="8">
        <v>1017601</v>
      </c>
      <c r="T1062" s="8">
        <v>1017701</v>
      </c>
      <c r="U1062" s="8">
        <v>1017801</v>
      </c>
    </row>
    <row r="1063" spans="1:21">
      <c r="A1063" s="14" t="s">
        <v>14</v>
      </c>
      <c r="B1063" s="8">
        <f t="shared" si="20"/>
        <v>70173301</v>
      </c>
      <c r="C1063" s="2" t="s">
        <v>1080</v>
      </c>
      <c r="E1063" s="2" t="str">
        <f>F1063&amp;(VLOOKUP(G1063,编号表!$E$1:$G$8,2,0))&amp;H1063&amp;"_"&amp;I1063&amp;"_"&amp;J1063</f>
        <v>17N3_3_1</v>
      </c>
      <c r="F1063" s="2">
        <v>17</v>
      </c>
      <c r="G1063" s="2" t="s">
        <v>37</v>
      </c>
      <c r="H1063" s="2">
        <v>3</v>
      </c>
      <c r="I1063" s="2">
        <v>3</v>
      </c>
      <c r="J1063" s="2">
        <f>COUNTIFS($F$13:F1063,F1063,$I$13:I1063,I1063)</f>
        <v>1</v>
      </c>
      <c r="O1063" s="8">
        <v>1017201</v>
      </c>
      <c r="P1063" s="8">
        <v>1017301</v>
      </c>
      <c r="Q1063" s="8">
        <v>1017401</v>
      </c>
      <c r="R1063" s="8">
        <v>1017501</v>
      </c>
      <c r="S1063" s="8">
        <v>1017601</v>
      </c>
      <c r="T1063" s="8">
        <v>1017701</v>
      </c>
      <c r="U1063" s="8">
        <v>1017801</v>
      </c>
    </row>
    <row r="1064" spans="1:21">
      <c r="A1064" s="14" t="s">
        <v>14</v>
      </c>
      <c r="B1064" s="8">
        <f t="shared" si="20"/>
        <v>70173302</v>
      </c>
      <c r="C1064" s="2" t="s">
        <v>1081</v>
      </c>
      <c r="E1064" s="2" t="str">
        <f>F1064&amp;(VLOOKUP(G1064,编号表!$E$1:$G$8,2,0))&amp;H1064&amp;"_"&amp;I1064&amp;"_"&amp;J1064</f>
        <v>17N3_3_2</v>
      </c>
      <c r="F1064" s="2">
        <v>17</v>
      </c>
      <c r="G1064" s="2" t="s">
        <v>37</v>
      </c>
      <c r="H1064" s="2">
        <v>3</v>
      </c>
      <c r="I1064" s="2">
        <v>3</v>
      </c>
      <c r="J1064" s="2">
        <f>COUNTIFS($F$13:F1064,F1064,$I$13:I1064,I1064)</f>
        <v>2</v>
      </c>
      <c r="O1064" s="8">
        <v>1017201</v>
      </c>
      <c r="P1064" s="8">
        <v>1017301</v>
      </c>
      <c r="Q1064" s="8">
        <v>1017401</v>
      </c>
      <c r="R1064" s="8">
        <v>1017501</v>
      </c>
      <c r="S1064" s="8">
        <v>1017601</v>
      </c>
      <c r="T1064" s="8">
        <v>1017701</v>
      </c>
      <c r="U1064" s="8">
        <v>1017801</v>
      </c>
    </row>
    <row r="1065" spans="1:21">
      <c r="A1065" s="14" t="s">
        <v>14</v>
      </c>
      <c r="B1065" s="8">
        <f t="shared" si="20"/>
        <v>70173303</v>
      </c>
      <c r="C1065" s="2" t="s">
        <v>1082</v>
      </c>
      <c r="E1065" s="2" t="str">
        <f>F1065&amp;(VLOOKUP(G1065,编号表!$E$1:$G$8,2,0))&amp;H1065&amp;"_"&amp;I1065&amp;"_"&amp;J1065</f>
        <v>17N3_3_3</v>
      </c>
      <c r="F1065" s="2">
        <v>17</v>
      </c>
      <c r="G1065" s="2" t="s">
        <v>37</v>
      </c>
      <c r="H1065" s="2">
        <v>3</v>
      </c>
      <c r="I1065" s="2">
        <v>3</v>
      </c>
      <c r="J1065" s="2">
        <f>COUNTIFS($F$13:F1065,F1065,$I$13:I1065,I1065)</f>
        <v>3</v>
      </c>
      <c r="O1065" s="8">
        <v>1017201</v>
      </c>
      <c r="P1065" s="8">
        <v>1017301</v>
      </c>
      <c r="Q1065" s="8">
        <v>1017401</v>
      </c>
      <c r="R1065" s="8">
        <v>1017501</v>
      </c>
      <c r="S1065" s="8">
        <v>1017601</v>
      </c>
      <c r="T1065" s="8">
        <v>1017701</v>
      </c>
      <c r="U1065" s="8">
        <v>1017801</v>
      </c>
    </row>
    <row r="1066" spans="1:21">
      <c r="A1066" s="14" t="s">
        <v>14</v>
      </c>
      <c r="B1066" s="8">
        <f t="shared" si="20"/>
        <v>70172304</v>
      </c>
      <c r="C1066" s="2" t="s">
        <v>1083</v>
      </c>
      <c r="E1066" s="2" t="str">
        <f>F1066&amp;(VLOOKUP(G1066,编号表!$E$1:$G$8,2,0))&amp;H1066&amp;"_"&amp;I1066&amp;"_"&amp;J1066</f>
        <v>17N2_3_4</v>
      </c>
      <c r="F1066" s="2">
        <v>17</v>
      </c>
      <c r="G1066" s="2" t="s">
        <v>37</v>
      </c>
      <c r="H1066" s="2">
        <v>2</v>
      </c>
      <c r="I1066" s="2">
        <v>3</v>
      </c>
      <c r="J1066" s="2">
        <f>COUNTIFS($F$13:F1066,F1066,$I$13:I1066,I1066)</f>
        <v>4</v>
      </c>
      <c r="O1066" s="8">
        <v>1017201</v>
      </c>
      <c r="P1066" s="8">
        <v>1017301</v>
      </c>
      <c r="Q1066" s="8">
        <v>1017401</v>
      </c>
      <c r="R1066" s="8">
        <v>1017501</v>
      </c>
      <c r="S1066" s="8">
        <v>1017601</v>
      </c>
      <c r="T1066" s="8">
        <v>1017701</v>
      </c>
      <c r="U1066" s="8">
        <v>1017801</v>
      </c>
    </row>
    <row r="1067" spans="1:21">
      <c r="A1067" s="14" t="s">
        <v>14</v>
      </c>
      <c r="B1067" s="8">
        <f t="shared" si="20"/>
        <v>70173401</v>
      </c>
      <c r="C1067" s="2" t="s">
        <v>1084</v>
      </c>
      <c r="E1067" s="2" t="str">
        <f>F1067&amp;(VLOOKUP(G1067,编号表!$E$1:$G$8,2,0))&amp;H1067&amp;"_"&amp;I1067&amp;"_"&amp;J1067</f>
        <v>17N3_4_1</v>
      </c>
      <c r="F1067" s="2">
        <v>17</v>
      </c>
      <c r="G1067" s="2" t="s">
        <v>37</v>
      </c>
      <c r="H1067" s="2">
        <v>3</v>
      </c>
      <c r="I1067" s="2">
        <v>4</v>
      </c>
      <c r="J1067" s="2">
        <f>COUNTIFS($F$13:F1067,F1067,$I$13:I1067,I1067)</f>
        <v>1</v>
      </c>
      <c r="O1067" s="8">
        <v>1017201</v>
      </c>
      <c r="P1067" s="8">
        <v>1017301</v>
      </c>
      <c r="Q1067" s="8">
        <v>1017401</v>
      </c>
      <c r="R1067" s="8">
        <v>1017501</v>
      </c>
      <c r="S1067" s="8">
        <v>1017601</v>
      </c>
      <c r="T1067" s="8">
        <v>1017701</v>
      </c>
      <c r="U1067" s="8">
        <v>1017801</v>
      </c>
    </row>
    <row r="1068" spans="1:21">
      <c r="A1068" s="14" t="s">
        <v>14</v>
      </c>
      <c r="B1068" s="8">
        <f t="shared" si="20"/>
        <v>70172402</v>
      </c>
      <c r="C1068" s="2" t="s">
        <v>1085</v>
      </c>
      <c r="E1068" s="2" t="str">
        <f>F1068&amp;(VLOOKUP(G1068,编号表!$E$1:$G$8,2,0))&amp;H1068&amp;"_"&amp;I1068&amp;"_"&amp;J1068</f>
        <v>17N2_4_2</v>
      </c>
      <c r="F1068" s="2">
        <v>17</v>
      </c>
      <c r="G1068" s="2" t="s">
        <v>37</v>
      </c>
      <c r="H1068" s="2">
        <v>2</v>
      </c>
      <c r="I1068" s="2">
        <v>4</v>
      </c>
      <c r="J1068" s="2">
        <f>COUNTIFS($F$13:F1068,F1068,$I$13:I1068,I1068)</f>
        <v>2</v>
      </c>
      <c r="O1068" s="8">
        <v>1017201</v>
      </c>
      <c r="P1068" s="8">
        <v>1017301</v>
      </c>
      <c r="Q1068" s="8">
        <v>1017401</v>
      </c>
      <c r="R1068" s="8">
        <v>1017501</v>
      </c>
      <c r="S1068" s="8">
        <v>1017601</v>
      </c>
      <c r="T1068" s="8">
        <v>1017701</v>
      </c>
      <c r="U1068" s="8">
        <v>1017801</v>
      </c>
    </row>
    <row r="1069" spans="1:21">
      <c r="A1069" s="14" t="s">
        <v>14</v>
      </c>
      <c r="B1069" s="8">
        <f t="shared" si="20"/>
        <v>70173403</v>
      </c>
      <c r="C1069" s="16" t="s">
        <v>1086</v>
      </c>
      <c r="D1069" s="2" t="s">
        <v>1087</v>
      </c>
      <c r="E1069" s="2" t="str">
        <f>F1069&amp;(VLOOKUP(G1069,编号表!$E$1:$G$8,2,0))&amp;H1069&amp;"_"&amp;I1069&amp;"_"&amp;J1069</f>
        <v>17T3_4_3</v>
      </c>
      <c r="F1069" s="2">
        <v>17</v>
      </c>
      <c r="G1069" s="2" t="s">
        <v>53</v>
      </c>
      <c r="H1069" s="2">
        <v>3</v>
      </c>
      <c r="I1069" s="2">
        <v>4</v>
      </c>
      <c r="J1069" s="2">
        <f>COUNTIFS($F$13:F1069,F1069,$I$13:I1069,I1069)</f>
        <v>3</v>
      </c>
      <c r="M1069" s="2">
        <v>136</v>
      </c>
    </row>
    <row r="1070" spans="1:21">
      <c r="A1070" s="14" t="s">
        <v>14</v>
      </c>
      <c r="B1070" s="8">
        <f t="shared" si="20"/>
        <v>70171404</v>
      </c>
      <c r="C1070" s="15" t="s">
        <v>1088</v>
      </c>
      <c r="E1070" s="2" t="str">
        <f>F1070&amp;(VLOOKUP(G1070,编号表!$E$1:$G$8,2,0))&amp;H1070&amp;"_"&amp;I1070&amp;"_"&amp;J1070</f>
        <v>17T1_4_4</v>
      </c>
      <c r="F1070" s="2">
        <v>17</v>
      </c>
      <c r="G1070" s="2" t="s">
        <v>53</v>
      </c>
      <c r="H1070" s="2">
        <v>1</v>
      </c>
      <c r="I1070" s="2">
        <v>4</v>
      </c>
      <c r="J1070" s="2">
        <f>COUNTIFS($F$13:F1070,F1070,$I$13:I1070,I1070)</f>
        <v>4</v>
      </c>
    </row>
    <row r="1071" spans="1:21">
      <c r="A1071" s="14" t="s">
        <v>14</v>
      </c>
      <c r="B1071" s="8">
        <f t="shared" si="20"/>
        <v>70173405</v>
      </c>
      <c r="C1071" s="2" t="s">
        <v>1089</v>
      </c>
      <c r="E1071" s="2" t="str">
        <f>F1071&amp;(VLOOKUP(G1071,编号表!$E$1:$G$8,2,0))&amp;H1071&amp;"_"&amp;I1071&amp;"_"&amp;J1071</f>
        <v>17N3_4_5</v>
      </c>
      <c r="F1071" s="2">
        <v>17</v>
      </c>
      <c r="G1071" s="2" t="s">
        <v>37</v>
      </c>
      <c r="H1071" s="2">
        <v>3</v>
      </c>
      <c r="I1071" s="2">
        <v>4</v>
      </c>
      <c r="J1071" s="2">
        <f>COUNTIFS($F$13:F1071,F1071,$I$13:I1071,I1071)</f>
        <v>5</v>
      </c>
      <c r="O1071" s="8">
        <v>1017201</v>
      </c>
      <c r="P1071" s="8">
        <v>1017301</v>
      </c>
      <c r="Q1071" s="8">
        <v>1017401</v>
      </c>
      <c r="R1071" s="8">
        <v>1017501</v>
      </c>
      <c r="S1071" s="8">
        <v>1017601</v>
      </c>
      <c r="T1071" s="8">
        <v>1017701</v>
      </c>
      <c r="U1071" s="8">
        <v>1017801</v>
      </c>
    </row>
    <row r="1072" spans="1:21">
      <c r="A1072" s="14" t="s">
        <v>14</v>
      </c>
      <c r="B1072" s="8">
        <f t="shared" si="20"/>
        <v>70172406</v>
      </c>
      <c r="C1072" s="2" t="s">
        <v>1090</v>
      </c>
      <c r="E1072" s="2" t="str">
        <f>F1072&amp;(VLOOKUP(G1072,编号表!$E$1:$G$8,2,0))&amp;H1072&amp;"_"&amp;I1072&amp;"_"&amp;J1072</f>
        <v>17N2_4_6</v>
      </c>
      <c r="F1072" s="2">
        <v>17</v>
      </c>
      <c r="G1072" s="2" t="s">
        <v>37</v>
      </c>
      <c r="H1072" s="2">
        <v>2</v>
      </c>
      <c r="I1072" s="2">
        <v>4</v>
      </c>
      <c r="J1072" s="2">
        <f>COUNTIFS($F$13:F1072,F1072,$I$13:I1072,I1072)</f>
        <v>6</v>
      </c>
      <c r="O1072" s="8">
        <v>1017201</v>
      </c>
      <c r="P1072" s="8">
        <v>1017301</v>
      </c>
      <c r="Q1072" s="8">
        <v>1017401</v>
      </c>
      <c r="R1072" s="8">
        <v>1017501</v>
      </c>
      <c r="S1072" s="8">
        <v>1017601</v>
      </c>
      <c r="T1072" s="8">
        <v>1017701</v>
      </c>
      <c r="U1072" s="8">
        <v>1017801</v>
      </c>
    </row>
    <row r="1073" spans="1:21">
      <c r="A1073" s="14" t="s">
        <v>14</v>
      </c>
      <c r="B1073" s="8">
        <f t="shared" si="20"/>
        <v>70173501</v>
      </c>
      <c r="C1073" s="2" t="s">
        <v>1091</v>
      </c>
      <c r="E1073" s="2" t="str">
        <f>F1073&amp;(VLOOKUP(G1073,编号表!$E$1:$G$8,2,0))&amp;H1073&amp;"_"&amp;I1073&amp;"_"&amp;J1073</f>
        <v>17N3_5_1</v>
      </c>
      <c r="F1073" s="2">
        <v>17</v>
      </c>
      <c r="G1073" s="2" t="s">
        <v>37</v>
      </c>
      <c r="H1073" s="2">
        <v>3</v>
      </c>
      <c r="I1073" s="2">
        <v>5</v>
      </c>
      <c r="J1073" s="2">
        <f>COUNTIFS($F$13:F1073,F1073,$I$13:I1073,I1073)</f>
        <v>1</v>
      </c>
      <c r="O1073" s="8">
        <v>1017201</v>
      </c>
      <c r="P1073" s="8">
        <v>1017301</v>
      </c>
      <c r="Q1073" s="8">
        <v>1017401</v>
      </c>
      <c r="R1073" s="8">
        <v>1017501</v>
      </c>
      <c r="S1073" s="8">
        <v>1017601</v>
      </c>
      <c r="T1073" s="8">
        <v>1017701</v>
      </c>
      <c r="U1073" s="8">
        <v>1017801</v>
      </c>
    </row>
    <row r="1074" spans="1:21">
      <c r="A1074" s="14" t="s">
        <v>14</v>
      </c>
      <c r="B1074" s="8">
        <f t="shared" si="20"/>
        <v>70173502</v>
      </c>
      <c r="C1074" s="2" t="s">
        <v>1092</v>
      </c>
      <c r="E1074" s="2" t="str">
        <f>F1074&amp;(VLOOKUP(G1074,编号表!$E$1:$G$8,2,0))&amp;H1074&amp;"_"&amp;I1074&amp;"_"&amp;J1074</f>
        <v>17N3_5_2</v>
      </c>
      <c r="F1074" s="2">
        <v>17</v>
      </c>
      <c r="G1074" s="2" t="s">
        <v>37</v>
      </c>
      <c r="H1074" s="2">
        <v>3</v>
      </c>
      <c r="I1074" s="2">
        <v>5</v>
      </c>
      <c r="J1074" s="2">
        <f>COUNTIFS($F$13:F1074,F1074,$I$13:I1074,I1074)</f>
        <v>2</v>
      </c>
      <c r="O1074" s="8">
        <v>1017201</v>
      </c>
      <c r="P1074" s="8">
        <v>1017301</v>
      </c>
      <c r="Q1074" s="8">
        <v>1017401</v>
      </c>
      <c r="R1074" s="8">
        <v>1017501</v>
      </c>
      <c r="S1074" s="8">
        <v>1017601</v>
      </c>
      <c r="T1074" s="8">
        <v>1017701</v>
      </c>
      <c r="U1074" s="8">
        <v>1017801</v>
      </c>
    </row>
    <row r="1075" spans="1:21">
      <c r="A1075" s="14" t="s">
        <v>14</v>
      </c>
      <c r="B1075" s="8">
        <f t="shared" si="20"/>
        <v>70173503</v>
      </c>
      <c r="C1075" s="2" t="s">
        <v>1093</v>
      </c>
      <c r="E1075" s="2" t="str">
        <f>F1075&amp;(VLOOKUP(G1075,编号表!$E$1:$G$8,2,0))&amp;H1075&amp;"_"&amp;I1075&amp;"_"&amp;J1075</f>
        <v>17N3_5_3</v>
      </c>
      <c r="F1075" s="2">
        <v>17</v>
      </c>
      <c r="G1075" s="2" t="s">
        <v>37</v>
      </c>
      <c r="H1075" s="2">
        <v>3</v>
      </c>
      <c r="I1075" s="2">
        <v>5</v>
      </c>
      <c r="J1075" s="2">
        <f>COUNTIFS($F$13:F1075,F1075,$I$13:I1075,I1075)</f>
        <v>3</v>
      </c>
      <c r="O1075" s="8">
        <v>1017201</v>
      </c>
      <c r="P1075" s="8">
        <v>1017301</v>
      </c>
      <c r="Q1075" s="8">
        <v>1017401</v>
      </c>
      <c r="R1075" s="8">
        <v>1017501</v>
      </c>
      <c r="S1075" s="8">
        <v>1017601</v>
      </c>
      <c r="T1075" s="8">
        <v>1017701</v>
      </c>
      <c r="U1075" s="8">
        <v>1017801</v>
      </c>
    </row>
    <row r="1076" spans="1:21">
      <c r="A1076" s="14" t="s">
        <v>14</v>
      </c>
      <c r="B1076" s="8">
        <f t="shared" si="20"/>
        <v>70173504</v>
      </c>
      <c r="C1076" s="2" t="s">
        <v>1094</v>
      </c>
      <c r="E1076" s="2" t="str">
        <f>F1076&amp;(VLOOKUP(G1076,编号表!$E$1:$G$8,2,0))&amp;H1076&amp;"_"&amp;I1076&amp;"_"&amp;J1076</f>
        <v>17N3_5_4</v>
      </c>
      <c r="F1076" s="2">
        <v>17</v>
      </c>
      <c r="G1076" s="2" t="s">
        <v>37</v>
      </c>
      <c r="H1076" s="2">
        <v>3</v>
      </c>
      <c r="I1076" s="2">
        <v>5</v>
      </c>
      <c r="J1076" s="2">
        <f>COUNTIFS($F$13:F1076,F1076,$I$13:I1076,I1076)</f>
        <v>4</v>
      </c>
      <c r="O1076" s="8">
        <v>1017201</v>
      </c>
      <c r="P1076" s="8">
        <v>1017301</v>
      </c>
      <c r="Q1076" s="8">
        <v>1017401</v>
      </c>
      <c r="R1076" s="8">
        <v>1017501</v>
      </c>
      <c r="S1076" s="8">
        <v>1017601</v>
      </c>
      <c r="T1076" s="8">
        <v>1017701</v>
      </c>
      <c r="U1076" s="8">
        <v>1017801</v>
      </c>
    </row>
    <row r="1077" spans="1:21">
      <c r="A1077" s="14" t="s">
        <v>14</v>
      </c>
      <c r="B1077" s="8">
        <f t="shared" si="20"/>
        <v>70172505</v>
      </c>
      <c r="C1077" s="2" t="s">
        <v>1095</v>
      </c>
      <c r="E1077" s="2" t="str">
        <f>F1077&amp;(VLOOKUP(G1077,编号表!$E$1:$G$8,2,0))&amp;H1077&amp;"_"&amp;I1077&amp;"_"&amp;J1077</f>
        <v>17N2_5_5</v>
      </c>
      <c r="F1077" s="2">
        <v>17</v>
      </c>
      <c r="G1077" s="2" t="s">
        <v>37</v>
      </c>
      <c r="H1077" s="2">
        <v>2</v>
      </c>
      <c r="I1077" s="2">
        <v>5</v>
      </c>
      <c r="J1077" s="2">
        <f>COUNTIFS($F$13:F1077,F1077,$I$13:I1077,I1077)</f>
        <v>5</v>
      </c>
      <c r="O1077" s="8">
        <v>1017201</v>
      </c>
      <c r="P1077" s="8">
        <v>1017301</v>
      </c>
      <c r="Q1077" s="8">
        <v>1017401</v>
      </c>
      <c r="R1077" s="8">
        <v>1017501</v>
      </c>
      <c r="S1077" s="8">
        <v>1017601</v>
      </c>
      <c r="T1077" s="8">
        <v>1017701</v>
      </c>
      <c r="U1077" s="8">
        <v>1017801</v>
      </c>
    </row>
    <row r="1078" spans="1:21">
      <c r="A1078" s="14" t="s">
        <v>14</v>
      </c>
      <c r="B1078" s="8">
        <f t="shared" si="20"/>
        <v>70170001</v>
      </c>
      <c r="C1078" s="18" t="s">
        <v>1096</v>
      </c>
      <c r="E1078" s="2" t="str">
        <f>F1078&amp;(VLOOKUP(G1078,编号表!$E$1:$G$8,2,0))&amp;H1078&amp;"_"&amp;I1078&amp;"_"&amp;J1078</f>
        <v>17J0_0_1</v>
      </c>
      <c r="F1078" s="2">
        <v>17</v>
      </c>
      <c r="G1078" s="2" t="s">
        <v>86</v>
      </c>
      <c r="H1078" s="2">
        <v>0</v>
      </c>
      <c r="I1078" s="2">
        <v>0</v>
      </c>
      <c r="J1078" s="2">
        <f>COUNTIFS($F$13:F1078,F1078,$I$13:I1078,I1078)</f>
        <v>1</v>
      </c>
      <c r="K1078" s="2">
        <v>1</v>
      </c>
    </row>
    <row r="1079" spans="1:21">
      <c r="A1079" s="14" t="s">
        <v>14</v>
      </c>
      <c r="B1079" s="8">
        <f t="shared" si="20"/>
        <v>70184101</v>
      </c>
      <c r="C1079" s="2" t="s">
        <v>1097</v>
      </c>
      <c r="E1079" s="2" t="str">
        <f>F1079&amp;(VLOOKUP(G1079,编号表!$E$1:$G$8,2,0))&amp;H1079&amp;"_"&amp;I1079&amp;"_"&amp;J1079</f>
        <v>18N4_1_1</v>
      </c>
      <c r="F1079" s="2">
        <v>18</v>
      </c>
      <c r="G1079" s="2" t="s">
        <v>37</v>
      </c>
      <c r="H1079" s="2">
        <v>4</v>
      </c>
      <c r="I1079" s="2">
        <v>1</v>
      </c>
      <c r="J1079" s="2">
        <f>COUNTIFS($F$13:F1079,F1079,$I$13:I1079,I1079)</f>
        <v>1</v>
      </c>
      <c r="O1079" s="8">
        <v>1018201</v>
      </c>
      <c r="P1079" s="8">
        <f t="shared" ref="P1079:P1099" si="21">O1079+100</f>
        <v>1018301</v>
      </c>
      <c r="Q1079" s="8">
        <f t="shared" ref="Q1079:Q1099" si="22">P1079+100</f>
        <v>1018401</v>
      </c>
      <c r="R1079" s="8">
        <f t="shared" ref="R1079:R1099" si="23">Q1079+100</f>
        <v>1018501</v>
      </c>
      <c r="S1079" s="8">
        <v>1018001</v>
      </c>
    </row>
    <row r="1080" spans="1:21">
      <c r="A1080" s="14" t="s">
        <v>14</v>
      </c>
      <c r="B1080" s="8">
        <f t="shared" si="20"/>
        <v>70184102</v>
      </c>
      <c r="C1080" s="2" t="s">
        <v>1098</v>
      </c>
      <c r="E1080" s="2" t="str">
        <f>F1080&amp;(VLOOKUP(G1080,编号表!$E$1:$G$8,2,0))&amp;H1080&amp;"_"&amp;I1080&amp;"_"&amp;J1080</f>
        <v>18N4_1_2</v>
      </c>
      <c r="F1080" s="2">
        <v>18</v>
      </c>
      <c r="G1080" s="2" t="s">
        <v>37</v>
      </c>
      <c r="H1080" s="2">
        <v>4</v>
      </c>
      <c r="I1080" s="2">
        <v>1</v>
      </c>
      <c r="J1080" s="2">
        <f>COUNTIFS($F$13:F1080,F1080,$I$13:I1080,I1080)</f>
        <v>2</v>
      </c>
      <c r="O1080" s="8">
        <v>1018201</v>
      </c>
      <c r="P1080" s="8">
        <f t="shared" si="21"/>
        <v>1018301</v>
      </c>
      <c r="Q1080" s="8">
        <f t="shared" si="22"/>
        <v>1018401</v>
      </c>
      <c r="R1080" s="8">
        <f t="shared" si="23"/>
        <v>1018501</v>
      </c>
      <c r="S1080" s="8">
        <v>1018101</v>
      </c>
    </row>
    <row r="1081" spans="1:21">
      <c r="A1081" s="14" t="s">
        <v>14</v>
      </c>
      <c r="B1081" s="8">
        <f t="shared" si="20"/>
        <v>70182103</v>
      </c>
      <c r="C1081" s="2" t="s">
        <v>1099</v>
      </c>
      <c r="E1081" s="2" t="str">
        <f>F1081&amp;(VLOOKUP(G1081,编号表!$E$1:$G$8,2,0))&amp;H1081&amp;"_"&amp;I1081&amp;"_"&amp;J1081</f>
        <v>18N2_1_3</v>
      </c>
      <c r="F1081" s="2">
        <v>18</v>
      </c>
      <c r="G1081" s="2" t="s">
        <v>37</v>
      </c>
      <c r="H1081" s="2">
        <v>2</v>
      </c>
      <c r="I1081" s="2">
        <v>1</v>
      </c>
      <c r="J1081" s="2">
        <f>COUNTIFS($F$13:F1081,F1081,$I$13:I1081,I1081)</f>
        <v>3</v>
      </c>
      <c r="O1081" s="8">
        <v>1018201</v>
      </c>
      <c r="P1081" s="8">
        <f t="shared" si="21"/>
        <v>1018301</v>
      </c>
      <c r="Q1081" s="8">
        <f t="shared" si="22"/>
        <v>1018401</v>
      </c>
      <c r="R1081" s="8">
        <f t="shared" si="23"/>
        <v>1018501</v>
      </c>
    </row>
    <row r="1082" spans="1:21">
      <c r="A1082" s="14" t="s">
        <v>14</v>
      </c>
      <c r="B1082" s="8">
        <f t="shared" si="20"/>
        <v>70182104</v>
      </c>
      <c r="C1082" s="2" t="s">
        <v>1100</v>
      </c>
      <c r="E1082" s="2" t="str">
        <f>F1082&amp;(VLOOKUP(G1082,编号表!$E$1:$G$8,2,0))&amp;H1082&amp;"_"&amp;I1082&amp;"_"&amp;J1082</f>
        <v>18N2_1_4</v>
      </c>
      <c r="F1082" s="2">
        <v>18</v>
      </c>
      <c r="G1082" s="2" t="s">
        <v>37</v>
      </c>
      <c r="H1082" s="2">
        <v>2</v>
      </c>
      <c r="I1082" s="2">
        <v>1</v>
      </c>
      <c r="J1082" s="2">
        <f>COUNTIFS($F$13:F1082,F1082,$I$13:I1082,I1082)</f>
        <v>4</v>
      </c>
      <c r="O1082" s="8">
        <v>1018201</v>
      </c>
      <c r="P1082" s="8">
        <f t="shared" si="21"/>
        <v>1018301</v>
      </c>
      <c r="Q1082" s="8">
        <f t="shared" si="22"/>
        <v>1018401</v>
      </c>
      <c r="R1082" s="8">
        <f t="shared" si="23"/>
        <v>1018501</v>
      </c>
    </row>
    <row r="1083" spans="1:21">
      <c r="A1083" s="14" t="s">
        <v>14</v>
      </c>
      <c r="B1083" s="8">
        <f t="shared" si="20"/>
        <v>70184105</v>
      </c>
      <c r="C1083" s="2" t="s">
        <v>1101</v>
      </c>
      <c r="E1083" s="2" t="str">
        <f>F1083&amp;(VLOOKUP(G1083,编号表!$E$1:$G$8,2,0))&amp;H1083&amp;"_"&amp;I1083&amp;"_"&amp;J1083</f>
        <v>18N4_1_5</v>
      </c>
      <c r="F1083" s="2">
        <v>18</v>
      </c>
      <c r="G1083" s="2" t="s">
        <v>37</v>
      </c>
      <c r="H1083" s="2">
        <v>4</v>
      </c>
      <c r="I1083" s="2">
        <v>1</v>
      </c>
      <c r="J1083" s="2">
        <f>COUNTIFS($F$13:F1083,F1083,$I$13:I1083,I1083)</f>
        <v>5</v>
      </c>
      <c r="O1083" s="8">
        <v>1018201</v>
      </c>
      <c r="P1083" s="8">
        <f t="shared" si="21"/>
        <v>1018301</v>
      </c>
      <c r="Q1083" s="8">
        <f t="shared" si="22"/>
        <v>1018401</v>
      </c>
      <c r="R1083" s="8">
        <f t="shared" si="23"/>
        <v>1018501</v>
      </c>
    </row>
    <row r="1084" spans="1:21">
      <c r="A1084" s="14" t="s">
        <v>14</v>
      </c>
      <c r="B1084" s="8">
        <f t="shared" si="20"/>
        <v>70184106</v>
      </c>
      <c r="C1084" s="2" t="s">
        <v>1102</v>
      </c>
      <c r="E1084" s="2" t="str">
        <f>F1084&amp;(VLOOKUP(G1084,编号表!$E$1:$G$8,2,0))&amp;H1084&amp;"_"&amp;I1084&amp;"_"&amp;J1084</f>
        <v>18N4_1_6</v>
      </c>
      <c r="F1084" s="2">
        <v>18</v>
      </c>
      <c r="G1084" s="2" t="s">
        <v>37</v>
      </c>
      <c r="H1084" s="2">
        <v>4</v>
      </c>
      <c r="I1084" s="2">
        <v>1</v>
      </c>
      <c r="J1084" s="2">
        <f>COUNTIFS($F$13:F1084,F1084,$I$13:I1084,I1084)</f>
        <v>6</v>
      </c>
      <c r="O1084" s="8">
        <v>1018201</v>
      </c>
      <c r="P1084" s="8">
        <f t="shared" si="21"/>
        <v>1018301</v>
      </c>
      <c r="Q1084" s="8">
        <f t="shared" si="22"/>
        <v>1018401</v>
      </c>
      <c r="R1084" s="8">
        <f t="shared" si="23"/>
        <v>1018501</v>
      </c>
    </row>
    <row r="1085" spans="1:21">
      <c r="A1085" s="14" t="s">
        <v>14</v>
      </c>
      <c r="B1085" s="8">
        <f t="shared" si="20"/>
        <v>70184201</v>
      </c>
      <c r="C1085" s="2" t="s">
        <v>1103</v>
      </c>
      <c r="E1085" s="2" t="str">
        <f>F1085&amp;(VLOOKUP(G1085,编号表!$E$1:$G$8,2,0))&amp;H1085&amp;"_"&amp;I1085&amp;"_"&amp;J1085</f>
        <v>18N4_2_1</v>
      </c>
      <c r="F1085" s="2">
        <v>18</v>
      </c>
      <c r="G1085" s="2" t="s">
        <v>37</v>
      </c>
      <c r="H1085" s="2">
        <v>4</v>
      </c>
      <c r="I1085" s="2">
        <v>2</v>
      </c>
      <c r="J1085" s="2">
        <f>COUNTIFS($F$13:F1085,F1085,$I$13:I1085,I1085)</f>
        <v>1</v>
      </c>
      <c r="O1085" s="8">
        <v>1018201</v>
      </c>
      <c r="P1085" s="8">
        <f t="shared" si="21"/>
        <v>1018301</v>
      </c>
      <c r="Q1085" s="8">
        <f t="shared" si="22"/>
        <v>1018401</v>
      </c>
      <c r="R1085" s="8">
        <f t="shared" si="23"/>
        <v>1018501</v>
      </c>
    </row>
    <row r="1086" spans="1:21">
      <c r="A1086" s="14" t="s">
        <v>14</v>
      </c>
      <c r="B1086" s="8">
        <f t="shared" si="20"/>
        <v>70182202</v>
      </c>
      <c r="C1086" s="2" t="s">
        <v>1104</v>
      </c>
      <c r="E1086" s="2" t="str">
        <f>F1086&amp;(VLOOKUP(G1086,编号表!$E$1:$G$8,2,0))&amp;H1086&amp;"_"&amp;I1086&amp;"_"&amp;J1086</f>
        <v>18N2_2_2</v>
      </c>
      <c r="F1086" s="2">
        <v>18</v>
      </c>
      <c r="G1086" s="2" t="s">
        <v>37</v>
      </c>
      <c r="H1086" s="2">
        <v>2</v>
      </c>
      <c r="I1086" s="2">
        <v>2</v>
      </c>
      <c r="J1086" s="2">
        <f>COUNTIFS($F$13:F1086,F1086,$I$13:I1086,I1086)</f>
        <v>2</v>
      </c>
      <c r="O1086" s="8">
        <v>1018201</v>
      </c>
      <c r="P1086" s="8">
        <f t="shared" si="21"/>
        <v>1018301</v>
      </c>
      <c r="Q1086" s="8">
        <f t="shared" si="22"/>
        <v>1018401</v>
      </c>
      <c r="R1086" s="8">
        <f t="shared" si="23"/>
        <v>1018501</v>
      </c>
    </row>
    <row r="1087" spans="1:21">
      <c r="A1087" s="14" t="s">
        <v>14</v>
      </c>
      <c r="B1087" s="8">
        <f t="shared" si="20"/>
        <v>70184203</v>
      </c>
      <c r="C1087" s="2" t="s">
        <v>1105</v>
      </c>
      <c r="E1087" s="2" t="str">
        <f>F1087&amp;(VLOOKUP(G1087,编号表!$E$1:$G$8,2,0))&amp;H1087&amp;"_"&amp;I1087&amp;"_"&amp;J1087</f>
        <v>18N4_2_3</v>
      </c>
      <c r="F1087" s="2">
        <v>18</v>
      </c>
      <c r="G1087" s="2" t="s">
        <v>37</v>
      </c>
      <c r="H1087" s="2">
        <v>4</v>
      </c>
      <c r="I1087" s="2">
        <v>2</v>
      </c>
      <c r="J1087" s="2">
        <f>COUNTIFS($F$13:F1087,F1087,$I$13:I1087,I1087)</f>
        <v>3</v>
      </c>
      <c r="O1087" s="8">
        <v>1018201</v>
      </c>
      <c r="P1087" s="8">
        <f t="shared" si="21"/>
        <v>1018301</v>
      </c>
      <c r="Q1087" s="8">
        <f t="shared" si="22"/>
        <v>1018401</v>
      </c>
      <c r="R1087" s="8">
        <f t="shared" si="23"/>
        <v>1018501</v>
      </c>
    </row>
    <row r="1088" spans="1:21">
      <c r="A1088" s="14" t="s">
        <v>14</v>
      </c>
      <c r="B1088" s="8">
        <f t="shared" si="20"/>
        <v>70184204</v>
      </c>
      <c r="C1088" s="2" t="s">
        <v>1106</v>
      </c>
      <c r="E1088" s="2" t="str">
        <f>F1088&amp;(VLOOKUP(G1088,编号表!$E$1:$G$8,2,0))&amp;H1088&amp;"_"&amp;I1088&amp;"_"&amp;J1088</f>
        <v>18N4_2_4</v>
      </c>
      <c r="F1088" s="2">
        <v>18</v>
      </c>
      <c r="G1088" s="2" t="s">
        <v>37</v>
      </c>
      <c r="H1088" s="2">
        <v>4</v>
      </c>
      <c r="I1088" s="2">
        <v>2</v>
      </c>
      <c r="J1088" s="2">
        <f>COUNTIFS($F$13:F1088,F1088,$I$13:I1088,I1088)</f>
        <v>4</v>
      </c>
      <c r="O1088" s="8">
        <v>1018201</v>
      </c>
      <c r="P1088" s="8">
        <f t="shared" si="21"/>
        <v>1018301</v>
      </c>
      <c r="Q1088" s="8">
        <f t="shared" si="22"/>
        <v>1018401</v>
      </c>
      <c r="R1088" s="8">
        <f t="shared" si="23"/>
        <v>1018501</v>
      </c>
    </row>
    <row r="1089" spans="1:18">
      <c r="A1089" s="14" t="s">
        <v>14</v>
      </c>
      <c r="B1089" s="8">
        <f t="shared" si="20"/>
        <v>70184205</v>
      </c>
      <c r="C1089" s="2" t="s">
        <v>1107</v>
      </c>
      <c r="E1089" s="2" t="str">
        <f>F1089&amp;(VLOOKUP(G1089,编号表!$E$1:$G$8,2,0))&amp;H1089&amp;"_"&amp;I1089&amp;"_"&amp;J1089</f>
        <v>18N4_2_5</v>
      </c>
      <c r="F1089" s="2">
        <v>18</v>
      </c>
      <c r="G1089" s="2" t="s">
        <v>37</v>
      </c>
      <c r="H1089" s="2">
        <v>4</v>
      </c>
      <c r="I1089" s="2">
        <v>2</v>
      </c>
      <c r="J1089" s="2">
        <f>COUNTIFS($F$13:F1089,F1089,$I$13:I1089,I1089)</f>
        <v>5</v>
      </c>
      <c r="O1089" s="8">
        <v>1018201</v>
      </c>
      <c r="P1089" s="8">
        <f t="shared" si="21"/>
        <v>1018301</v>
      </c>
      <c r="Q1089" s="8">
        <f t="shared" si="22"/>
        <v>1018401</v>
      </c>
      <c r="R1089" s="8">
        <f t="shared" si="23"/>
        <v>1018501</v>
      </c>
    </row>
    <row r="1090" spans="1:18">
      <c r="A1090" s="14" t="s">
        <v>14</v>
      </c>
      <c r="B1090" s="8">
        <f t="shared" si="20"/>
        <v>70185206</v>
      </c>
      <c r="C1090" s="2" t="s">
        <v>1108</v>
      </c>
      <c r="E1090" s="2" t="str">
        <f>F1090&amp;(VLOOKUP(G1090,编号表!$E$1:$G$8,2,0))&amp;H1090&amp;"_"&amp;I1090&amp;"_"&amp;J1090</f>
        <v>18N5_2_6</v>
      </c>
      <c r="F1090" s="2">
        <v>18</v>
      </c>
      <c r="G1090" s="2" t="s">
        <v>37</v>
      </c>
      <c r="H1090" s="2">
        <v>5</v>
      </c>
      <c r="I1090" s="2">
        <v>2</v>
      </c>
      <c r="J1090" s="2">
        <f>COUNTIFS($F$13:F1090,F1090,$I$13:I1090,I1090)</f>
        <v>6</v>
      </c>
      <c r="O1090" s="8">
        <v>1018201</v>
      </c>
      <c r="P1090" s="8">
        <f t="shared" si="21"/>
        <v>1018301</v>
      </c>
      <c r="Q1090" s="8">
        <f t="shared" si="22"/>
        <v>1018401</v>
      </c>
      <c r="R1090" s="8">
        <f t="shared" si="23"/>
        <v>1018501</v>
      </c>
    </row>
    <row r="1091" spans="1:18">
      <c r="A1091" s="14" t="s">
        <v>14</v>
      </c>
      <c r="B1091" s="8">
        <f t="shared" si="20"/>
        <v>70185207</v>
      </c>
      <c r="C1091" s="2" t="s">
        <v>1109</v>
      </c>
      <c r="E1091" s="2" t="str">
        <f>F1091&amp;(VLOOKUP(G1091,编号表!$E$1:$G$8,2,0))&amp;H1091&amp;"_"&amp;I1091&amp;"_"&amp;J1091</f>
        <v>18N5_2_7</v>
      </c>
      <c r="F1091" s="2">
        <v>18</v>
      </c>
      <c r="G1091" s="2" t="s">
        <v>37</v>
      </c>
      <c r="H1091" s="2">
        <v>5</v>
      </c>
      <c r="I1091" s="2">
        <v>2</v>
      </c>
      <c r="J1091" s="2">
        <f>COUNTIFS($F$13:F1091,F1091,$I$13:I1091,I1091)</f>
        <v>7</v>
      </c>
      <c r="O1091" s="8">
        <v>1018201</v>
      </c>
      <c r="P1091" s="8">
        <f t="shared" si="21"/>
        <v>1018301</v>
      </c>
      <c r="Q1091" s="8">
        <f t="shared" si="22"/>
        <v>1018401</v>
      </c>
      <c r="R1091" s="8">
        <f t="shared" si="23"/>
        <v>1018501</v>
      </c>
    </row>
    <row r="1092" spans="1:18">
      <c r="A1092" s="14" t="s">
        <v>14</v>
      </c>
      <c r="B1092" s="8">
        <f t="shared" ref="B1092:B1099" si="24">70000000+F1092*10000+H1092*1000+I1092*100+J1092</f>
        <v>70184208</v>
      </c>
      <c r="C1092" s="2" t="s">
        <v>1110</v>
      </c>
      <c r="E1092" s="2" t="str">
        <f>F1092&amp;(VLOOKUP(G1092,编号表!$E$1:$G$8,2,0))&amp;H1092&amp;"_"&amp;I1092&amp;"_"&amp;J1092</f>
        <v>18N4_2_8</v>
      </c>
      <c r="F1092" s="2">
        <v>18</v>
      </c>
      <c r="G1092" s="2" t="s">
        <v>37</v>
      </c>
      <c r="H1092" s="2">
        <v>4</v>
      </c>
      <c r="I1092" s="2">
        <v>2</v>
      </c>
      <c r="J1092" s="2">
        <f>COUNTIFS($F$13:F1092,F1092,$I$13:I1092,I1092)</f>
        <v>8</v>
      </c>
      <c r="O1092" s="8">
        <v>1018201</v>
      </c>
      <c r="P1092" s="8">
        <f t="shared" si="21"/>
        <v>1018301</v>
      </c>
      <c r="Q1092" s="8">
        <f t="shared" si="22"/>
        <v>1018401</v>
      </c>
      <c r="R1092" s="8">
        <f t="shared" si="23"/>
        <v>1018501</v>
      </c>
    </row>
    <row r="1093" spans="1:18">
      <c r="A1093" s="14" t="s">
        <v>14</v>
      </c>
      <c r="B1093" s="8">
        <f t="shared" si="24"/>
        <v>70184209</v>
      </c>
      <c r="C1093" s="2" t="s">
        <v>1111</v>
      </c>
      <c r="E1093" s="2" t="str">
        <f>F1093&amp;(VLOOKUP(G1093,编号表!$E$1:$G$8,2,0))&amp;H1093&amp;"_"&amp;I1093&amp;"_"&amp;J1093</f>
        <v>18N4_2_9</v>
      </c>
      <c r="F1093" s="2">
        <v>18</v>
      </c>
      <c r="G1093" s="2" t="s">
        <v>37</v>
      </c>
      <c r="H1093" s="2">
        <v>4</v>
      </c>
      <c r="I1093" s="2">
        <v>2</v>
      </c>
      <c r="J1093" s="2">
        <f>COUNTIFS($F$13:F1093,F1093,$I$13:I1093,I1093)</f>
        <v>9</v>
      </c>
      <c r="O1093" s="8">
        <v>1018201</v>
      </c>
      <c r="P1093" s="8">
        <f t="shared" si="21"/>
        <v>1018301</v>
      </c>
      <c r="Q1093" s="8">
        <f t="shared" si="22"/>
        <v>1018401</v>
      </c>
      <c r="R1093" s="8">
        <f t="shared" si="23"/>
        <v>1018501</v>
      </c>
    </row>
    <row r="1094" spans="1:18">
      <c r="A1094" s="14" t="s">
        <v>14</v>
      </c>
      <c r="B1094" s="8">
        <f t="shared" si="24"/>
        <v>70184210</v>
      </c>
      <c r="C1094" s="2" t="s">
        <v>1112</v>
      </c>
      <c r="E1094" s="2" t="str">
        <f>F1094&amp;(VLOOKUP(G1094,编号表!$E$1:$G$8,2,0))&amp;H1094&amp;"_"&amp;I1094&amp;"_"&amp;J1094</f>
        <v>18N4_2_10</v>
      </c>
      <c r="F1094" s="2">
        <v>18</v>
      </c>
      <c r="G1094" s="2" t="s">
        <v>37</v>
      </c>
      <c r="H1094" s="2">
        <v>4</v>
      </c>
      <c r="I1094" s="2">
        <v>2</v>
      </c>
      <c r="J1094" s="2">
        <f>COUNTIFS($F$13:F1094,F1094,$I$13:I1094,I1094)</f>
        <v>10</v>
      </c>
      <c r="O1094" s="8">
        <v>1018201</v>
      </c>
      <c r="P1094" s="8">
        <f t="shared" si="21"/>
        <v>1018301</v>
      </c>
      <c r="Q1094" s="8">
        <f t="shared" si="22"/>
        <v>1018401</v>
      </c>
      <c r="R1094" s="8">
        <f t="shared" si="23"/>
        <v>1018501</v>
      </c>
    </row>
    <row r="1095" spans="1:18">
      <c r="A1095" s="14" t="s">
        <v>14</v>
      </c>
      <c r="B1095" s="8">
        <f t="shared" si="24"/>
        <v>70184211</v>
      </c>
      <c r="C1095" s="2" t="s">
        <v>1113</v>
      </c>
      <c r="E1095" s="2" t="str">
        <f>F1095&amp;(VLOOKUP(G1095,编号表!$E$1:$G$8,2,0))&amp;H1095&amp;"_"&amp;I1095&amp;"_"&amp;J1095</f>
        <v>18N4_2_11</v>
      </c>
      <c r="F1095" s="2">
        <v>18</v>
      </c>
      <c r="G1095" s="2" t="s">
        <v>37</v>
      </c>
      <c r="H1095" s="2">
        <v>4</v>
      </c>
      <c r="I1095" s="2">
        <v>2</v>
      </c>
      <c r="J1095" s="2">
        <f>COUNTIFS($F$13:F1095,F1095,$I$13:I1095,I1095)</f>
        <v>11</v>
      </c>
      <c r="O1095" s="8">
        <v>1018201</v>
      </c>
      <c r="P1095" s="8">
        <f t="shared" si="21"/>
        <v>1018301</v>
      </c>
      <c r="Q1095" s="8">
        <f t="shared" si="22"/>
        <v>1018401</v>
      </c>
      <c r="R1095" s="8">
        <f t="shared" si="23"/>
        <v>1018501</v>
      </c>
    </row>
    <row r="1096" spans="1:18">
      <c r="A1096" s="14" t="s">
        <v>14</v>
      </c>
      <c r="B1096" s="8">
        <f t="shared" si="24"/>
        <v>70181212</v>
      </c>
      <c r="C1096" s="2" t="s">
        <v>1114</v>
      </c>
      <c r="E1096" s="2" t="str">
        <f>F1096&amp;(VLOOKUP(G1096,编号表!$E$1:$G$8,2,0))&amp;H1096&amp;"_"&amp;I1096&amp;"_"&amp;J1096</f>
        <v>18N1_2_12</v>
      </c>
      <c r="F1096" s="2">
        <v>18</v>
      </c>
      <c r="G1096" s="2" t="s">
        <v>37</v>
      </c>
      <c r="H1096" s="2">
        <v>1</v>
      </c>
      <c r="I1096" s="2">
        <v>2</v>
      </c>
      <c r="J1096" s="2">
        <f>COUNTIFS($F$13:F1096,F1096,$I$13:I1096,I1096)</f>
        <v>12</v>
      </c>
      <c r="O1096" s="8">
        <v>1018201</v>
      </c>
      <c r="P1096" s="8">
        <f t="shared" si="21"/>
        <v>1018301</v>
      </c>
      <c r="Q1096" s="8">
        <f t="shared" si="22"/>
        <v>1018401</v>
      </c>
      <c r="R1096" s="8">
        <f t="shared" si="23"/>
        <v>1018501</v>
      </c>
    </row>
    <row r="1097" spans="1:18">
      <c r="A1097" s="14" t="s">
        <v>14</v>
      </c>
      <c r="B1097" s="8">
        <f t="shared" si="24"/>
        <v>70184213</v>
      </c>
      <c r="C1097" s="2" t="s">
        <v>1115</v>
      </c>
      <c r="E1097" s="2" t="str">
        <f>F1097&amp;(VLOOKUP(G1097,编号表!$E$1:$G$8,2,0))&amp;H1097&amp;"_"&amp;I1097&amp;"_"&amp;J1097</f>
        <v>18N4_2_13</v>
      </c>
      <c r="F1097" s="2">
        <v>18</v>
      </c>
      <c r="G1097" s="2" t="s">
        <v>37</v>
      </c>
      <c r="H1097" s="2">
        <v>4</v>
      </c>
      <c r="I1097" s="2">
        <v>2</v>
      </c>
      <c r="J1097" s="2">
        <f>COUNTIFS($F$13:F1097,F1097,$I$13:I1097,I1097)</f>
        <v>13</v>
      </c>
      <c r="O1097" s="8">
        <v>1018201</v>
      </c>
      <c r="P1097" s="8">
        <f t="shared" si="21"/>
        <v>1018301</v>
      </c>
      <c r="Q1097" s="8">
        <f t="shared" si="22"/>
        <v>1018401</v>
      </c>
      <c r="R1097" s="8">
        <f t="shared" si="23"/>
        <v>1018501</v>
      </c>
    </row>
    <row r="1098" spans="1:18">
      <c r="A1098" s="14" t="s">
        <v>14</v>
      </c>
      <c r="B1098" s="8">
        <f t="shared" si="24"/>
        <v>70184301</v>
      </c>
      <c r="C1098" s="2" t="s">
        <v>1116</v>
      </c>
      <c r="E1098" s="2" t="str">
        <f>F1098&amp;(VLOOKUP(G1098,编号表!$E$1:$G$8,2,0))&amp;H1098&amp;"_"&amp;I1098&amp;"_"&amp;J1098</f>
        <v>18N4_3_1</v>
      </c>
      <c r="F1098" s="2">
        <v>18</v>
      </c>
      <c r="G1098" s="2" t="s">
        <v>37</v>
      </c>
      <c r="H1098" s="2">
        <v>4</v>
      </c>
      <c r="I1098" s="2">
        <v>3</v>
      </c>
      <c r="J1098" s="2">
        <f>COUNTIFS($F$13:F1098,F1098,$I$13:I1098,I1098)</f>
        <v>1</v>
      </c>
      <c r="O1098" s="8">
        <v>1018201</v>
      </c>
      <c r="P1098" s="8">
        <f t="shared" si="21"/>
        <v>1018301</v>
      </c>
      <c r="Q1098" s="8">
        <f t="shared" si="22"/>
        <v>1018401</v>
      </c>
      <c r="R1098" s="8">
        <f t="shared" si="23"/>
        <v>1018501</v>
      </c>
    </row>
    <row r="1099" spans="1:18">
      <c r="A1099" s="14" t="s">
        <v>14</v>
      </c>
      <c r="B1099" s="8">
        <f t="shared" si="24"/>
        <v>70181302</v>
      </c>
      <c r="C1099" s="2" t="s">
        <v>1117</v>
      </c>
      <c r="E1099" s="2" t="str">
        <f>F1099&amp;(VLOOKUP(G1099,编号表!$E$1:$G$8,2,0))&amp;H1099&amp;"_"&amp;I1099&amp;"_"&amp;J1099</f>
        <v>18N1_3_2</v>
      </c>
      <c r="F1099" s="2">
        <v>18</v>
      </c>
      <c r="G1099" s="2" t="s">
        <v>37</v>
      </c>
      <c r="H1099" s="2">
        <v>1</v>
      </c>
      <c r="I1099" s="2">
        <v>3</v>
      </c>
      <c r="J1099" s="2">
        <f>COUNTIFS($F$13:F1099,F1099,$I$13:I1099,I1099)</f>
        <v>2</v>
      </c>
      <c r="O1099" s="8">
        <v>1018201</v>
      </c>
      <c r="P1099" s="8">
        <f t="shared" si="21"/>
        <v>1018301</v>
      </c>
      <c r="Q1099" s="8">
        <f t="shared" si="22"/>
        <v>1018401</v>
      </c>
      <c r="R1099" s="8">
        <f t="shared" si="23"/>
        <v>1018501</v>
      </c>
    </row>
    <row r="1100" spans="1:18">
      <c r="A1100" s="14" t="s">
        <v>14</v>
      </c>
      <c r="B1100" s="8">
        <f t="shared" ref="B1100:B1157" si="25">70000000+F1100*10000+H1100*1000+I1100*100+J1100</f>
        <v>70183303</v>
      </c>
      <c r="C1100" s="16" t="s">
        <v>1027</v>
      </c>
      <c r="D1100" s="2" t="s">
        <v>1088</v>
      </c>
      <c r="E1100" s="2" t="str">
        <f>F1100&amp;(VLOOKUP(G1100,编号表!$E$1:$G$8,2,0))&amp;H1100&amp;"_"&amp;I1100&amp;"_"&amp;J1100</f>
        <v>18T3_3_3</v>
      </c>
      <c r="F1100" s="2">
        <v>18</v>
      </c>
      <c r="G1100" s="2" t="s">
        <v>53</v>
      </c>
      <c r="H1100" s="2">
        <v>3</v>
      </c>
      <c r="I1100" s="2">
        <v>3</v>
      </c>
      <c r="J1100" s="2">
        <f>COUNTIFS($F$13:F1100,F1100,$I$13:I1100,I1100)</f>
        <v>3</v>
      </c>
      <c r="M1100" s="2">
        <v>137</v>
      </c>
    </row>
    <row r="1101" spans="1:18">
      <c r="A1101" s="14" t="s">
        <v>14</v>
      </c>
      <c r="B1101" s="8">
        <f t="shared" si="25"/>
        <v>70181304</v>
      </c>
      <c r="C1101" s="15" t="s">
        <v>1087</v>
      </c>
      <c r="E1101" s="2" t="str">
        <f>F1101&amp;(VLOOKUP(G1101,编号表!$E$1:$G$8,2,0))&amp;H1101&amp;"_"&amp;I1101&amp;"_"&amp;J1101</f>
        <v>18T1_3_4</v>
      </c>
      <c r="F1101" s="2">
        <v>18</v>
      </c>
      <c r="G1101" s="2" t="s">
        <v>53</v>
      </c>
      <c r="H1101" s="2">
        <v>1</v>
      </c>
      <c r="I1101" s="2">
        <v>3</v>
      </c>
      <c r="J1101" s="2">
        <f>COUNTIFS($F$13:F1101,F1101,$I$13:I1101,I1101)</f>
        <v>4</v>
      </c>
      <c r="L1101" s="2">
        <v>1</v>
      </c>
    </row>
    <row r="1102" spans="1:18">
      <c r="A1102" s="14" t="s">
        <v>14</v>
      </c>
      <c r="B1102" s="8">
        <f t="shared" si="25"/>
        <v>70181305</v>
      </c>
      <c r="C1102" s="2" t="s">
        <v>1118</v>
      </c>
      <c r="E1102" s="2" t="str">
        <f>F1102&amp;(VLOOKUP(G1102,编号表!$E$1:$G$8,2,0))&amp;H1102&amp;"_"&amp;I1102&amp;"_"&amp;J1102</f>
        <v>18N1_3_5</v>
      </c>
      <c r="F1102" s="2">
        <v>18</v>
      </c>
      <c r="G1102" s="2" t="s">
        <v>37</v>
      </c>
      <c r="H1102" s="2">
        <v>1</v>
      </c>
      <c r="I1102" s="2">
        <v>3</v>
      </c>
      <c r="J1102" s="2">
        <f>COUNTIFS($F$13:F1102,F1102,$I$13:I1102,I1102)</f>
        <v>5</v>
      </c>
      <c r="O1102" s="8">
        <v>1018201</v>
      </c>
      <c r="P1102" s="8">
        <f t="shared" ref="P1102:P1110" si="26">O1102+100</f>
        <v>1018301</v>
      </c>
      <c r="Q1102" s="8">
        <f t="shared" ref="Q1102:Q1110" si="27">P1102+100</f>
        <v>1018401</v>
      </c>
      <c r="R1102" s="8">
        <f t="shared" ref="R1102:R1110" si="28">Q1102+100</f>
        <v>1018501</v>
      </c>
    </row>
    <row r="1103" spans="1:18">
      <c r="A1103" s="14" t="s">
        <v>14</v>
      </c>
      <c r="B1103" s="8">
        <f t="shared" si="25"/>
        <v>70184306</v>
      </c>
      <c r="C1103" s="2" t="s">
        <v>1119</v>
      </c>
      <c r="E1103" s="2" t="str">
        <f>F1103&amp;(VLOOKUP(G1103,编号表!$E$1:$G$8,2,0))&amp;H1103&amp;"_"&amp;I1103&amp;"_"&amp;J1103</f>
        <v>18N4_3_6</v>
      </c>
      <c r="F1103" s="2">
        <v>18</v>
      </c>
      <c r="G1103" s="2" t="s">
        <v>37</v>
      </c>
      <c r="H1103" s="2">
        <v>4</v>
      </c>
      <c r="I1103" s="2">
        <v>3</v>
      </c>
      <c r="J1103" s="2">
        <f>COUNTIFS($F$13:F1103,F1103,$I$13:I1103,I1103)</f>
        <v>6</v>
      </c>
      <c r="O1103" s="8">
        <v>1018201</v>
      </c>
      <c r="P1103" s="8">
        <f t="shared" si="26"/>
        <v>1018301</v>
      </c>
      <c r="Q1103" s="8">
        <f t="shared" si="27"/>
        <v>1018401</v>
      </c>
      <c r="R1103" s="8">
        <f t="shared" si="28"/>
        <v>1018501</v>
      </c>
    </row>
    <row r="1104" spans="1:18">
      <c r="A1104" s="14" t="s">
        <v>14</v>
      </c>
      <c r="B1104" s="8">
        <f t="shared" si="25"/>
        <v>70184307</v>
      </c>
      <c r="C1104" s="2" t="s">
        <v>1120</v>
      </c>
      <c r="E1104" s="2" t="str">
        <f>F1104&amp;(VLOOKUP(G1104,编号表!$E$1:$G$8,2,0))&amp;H1104&amp;"_"&amp;I1104&amp;"_"&amp;J1104</f>
        <v>18N4_3_7</v>
      </c>
      <c r="F1104" s="2">
        <v>18</v>
      </c>
      <c r="G1104" s="2" t="s">
        <v>37</v>
      </c>
      <c r="H1104" s="2">
        <v>4</v>
      </c>
      <c r="I1104" s="2">
        <v>3</v>
      </c>
      <c r="J1104" s="2">
        <f>COUNTIFS($F$13:F1104,F1104,$I$13:I1104,I1104)</f>
        <v>7</v>
      </c>
      <c r="O1104" s="8">
        <v>1018201</v>
      </c>
      <c r="P1104" s="8">
        <f t="shared" si="26"/>
        <v>1018301</v>
      </c>
      <c r="Q1104" s="8">
        <f t="shared" si="27"/>
        <v>1018401</v>
      </c>
      <c r="R1104" s="8">
        <f t="shared" si="28"/>
        <v>1018501</v>
      </c>
    </row>
    <row r="1105" spans="1:18">
      <c r="A1105" s="14" t="s">
        <v>14</v>
      </c>
      <c r="B1105" s="8">
        <f t="shared" si="25"/>
        <v>70184308</v>
      </c>
      <c r="C1105" s="2" t="s">
        <v>1121</v>
      </c>
      <c r="E1105" s="2" t="str">
        <f>F1105&amp;(VLOOKUP(G1105,编号表!$E$1:$G$8,2,0))&amp;H1105&amp;"_"&amp;I1105&amp;"_"&amp;J1105</f>
        <v>18N4_3_8</v>
      </c>
      <c r="F1105" s="2">
        <v>18</v>
      </c>
      <c r="G1105" s="2" t="s">
        <v>37</v>
      </c>
      <c r="H1105" s="2">
        <v>4</v>
      </c>
      <c r="I1105" s="2">
        <v>3</v>
      </c>
      <c r="J1105" s="2">
        <f>COUNTIFS($F$13:F1105,F1105,$I$13:I1105,I1105)</f>
        <v>8</v>
      </c>
      <c r="O1105" s="8">
        <v>1018201</v>
      </c>
      <c r="P1105" s="8">
        <f t="shared" si="26"/>
        <v>1018301</v>
      </c>
      <c r="Q1105" s="8">
        <f t="shared" si="27"/>
        <v>1018401</v>
      </c>
      <c r="R1105" s="8">
        <f t="shared" si="28"/>
        <v>1018501</v>
      </c>
    </row>
    <row r="1106" spans="1:18">
      <c r="A1106" s="14" t="s">
        <v>14</v>
      </c>
      <c r="B1106" s="8">
        <f t="shared" si="25"/>
        <v>70184309</v>
      </c>
      <c r="C1106" s="2" t="s">
        <v>1122</v>
      </c>
      <c r="E1106" s="2" t="str">
        <f>F1106&amp;(VLOOKUP(G1106,编号表!$E$1:$G$8,2,0))&amp;H1106&amp;"_"&amp;I1106&amp;"_"&amp;J1106</f>
        <v>18N4_3_9</v>
      </c>
      <c r="F1106" s="2">
        <v>18</v>
      </c>
      <c r="G1106" s="2" t="s">
        <v>37</v>
      </c>
      <c r="H1106" s="2">
        <v>4</v>
      </c>
      <c r="I1106" s="2">
        <v>3</v>
      </c>
      <c r="J1106" s="2">
        <f>COUNTIFS($F$13:F1106,F1106,$I$13:I1106,I1106)</f>
        <v>9</v>
      </c>
      <c r="O1106" s="8">
        <v>1018201</v>
      </c>
      <c r="P1106" s="8">
        <f t="shared" si="26"/>
        <v>1018301</v>
      </c>
      <c r="Q1106" s="8">
        <f t="shared" si="27"/>
        <v>1018401</v>
      </c>
      <c r="R1106" s="8">
        <f t="shared" si="28"/>
        <v>1018501</v>
      </c>
    </row>
    <row r="1107" spans="1:18">
      <c r="A1107" s="14" t="s">
        <v>14</v>
      </c>
      <c r="B1107" s="8">
        <f t="shared" si="25"/>
        <v>70184310</v>
      </c>
      <c r="C1107" s="2" t="s">
        <v>1123</v>
      </c>
      <c r="E1107" s="2" t="str">
        <f>F1107&amp;(VLOOKUP(G1107,编号表!$E$1:$G$8,2,0))&amp;H1107&amp;"_"&amp;I1107&amp;"_"&amp;J1107</f>
        <v>18N4_3_10</v>
      </c>
      <c r="F1107" s="2">
        <v>18</v>
      </c>
      <c r="G1107" s="2" t="s">
        <v>37</v>
      </c>
      <c r="H1107" s="2">
        <v>4</v>
      </c>
      <c r="I1107" s="2">
        <v>3</v>
      </c>
      <c r="J1107" s="2">
        <f>COUNTIFS($F$13:F1107,F1107,$I$13:I1107,I1107)</f>
        <v>10</v>
      </c>
      <c r="O1107" s="8">
        <v>1018201</v>
      </c>
      <c r="P1107" s="8">
        <f t="shared" si="26"/>
        <v>1018301</v>
      </c>
      <c r="Q1107" s="8">
        <f t="shared" si="27"/>
        <v>1018401</v>
      </c>
      <c r="R1107" s="8">
        <f t="shared" si="28"/>
        <v>1018501</v>
      </c>
    </row>
    <row r="1108" spans="1:18">
      <c r="A1108" s="14" t="s">
        <v>14</v>
      </c>
      <c r="B1108" s="8">
        <f t="shared" si="25"/>
        <v>70184311</v>
      </c>
      <c r="C1108" s="2" t="s">
        <v>1124</v>
      </c>
      <c r="E1108" s="2" t="str">
        <f>F1108&amp;(VLOOKUP(G1108,编号表!$E$1:$G$8,2,0))&amp;H1108&amp;"_"&amp;I1108&amp;"_"&amp;J1108</f>
        <v>18N4_3_11</v>
      </c>
      <c r="F1108" s="2">
        <v>18</v>
      </c>
      <c r="G1108" s="2" t="s">
        <v>37</v>
      </c>
      <c r="H1108" s="2">
        <v>4</v>
      </c>
      <c r="I1108" s="2">
        <v>3</v>
      </c>
      <c r="J1108" s="2">
        <f>COUNTIFS($F$13:F1108,F1108,$I$13:I1108,I1108)</f>
        <v>11</v>
      </c>
      <c r="O1108" s="8">
        <v>1018201</v>
      </c>
      <c r="P1108" s="8">
        <f t="shared" si="26"/>
        <v>1018301</v>
      </c>
      <c r="Q1108" s="8">
        <f t="shared" si="27"/>
        <v>1018401</v>
      </c>
      <c r="R1108" s="8">
        <f t="shared" si="28"/>
        <v>1018501</v>
      </c>
    </row>
    <row r="1109" spans="1:18">
      <c r="A1109" s="14" t="s">
        <v>14</v>
      </c>
      <c r="B1109" s="8">
        <f t="shared" si="25"/>
        <v>70184312</v>
      </c>
      <c r="C1109" s="2" t="s">
        <v>1125</v>
      </c>
      <c r="E1109" s="2" t="str">
        <f>F1109&amp;(VLOOKUP(G1109,编号表!$E$1:$G$8,2,0))&amp;H1109&amp;"_"&amp;I1109&amp;"_"&amp;J1109</f>
        <v>18N4_3_12</v>
      </c>
      <c r="F1109" s="2">
        <v>18</v>
      </c>
      <c r="G1109" s="2" t="s">
        <v>37</v>
      </c>
      <c r="H1109" s="2">
        <v>4</v>
      </c>
      <c r="I1109" s="2">
        <v>3</v>
      </c>
      <c r="J1109" s="2">
        <f>COUNTIFS($F$13:F1109,F1109,$I$13:I1109,I1109)</f>
        <v>12</v>
      </c>
      <c r="O1109" s="8">
        <v>1018201</v>
      </c>
      <c r="P1109" s="8">
        <f t="shared" si="26"/>
        <v>1018301</v>
      </c>
      <c r="Q1109" s="8">
        <f t="shared" si="27"/>
        <v>1018401</v>
      </c>
      <c r="R1109" s="8">
        <f t="shared" si="28"/>
        <v>1018501</v>
      </c>
    </row>
    <row r="1110" spans="1:18">
      <c r="A1110" s="14" t="s">
        <v>14</v>
      </c>
      <c r="B1110" s="8">
        <f t="shared" si="25"/>
        <v>70182313</v>
      </c>
      <c r="C1110" s="2" t="s">
        <v>1126</v>
      </c>
      <c r="E1110" s="2" t="str">
        <f>F1110&amp;(VLOOKUP(G1110,编号表!$E$1:$G$8,2,0))&amp;H1110&amp;"_"&amp;I1110&amp;"_"&amp;J1110</f>
        <v>18N2_3_13</v>
      </c>
      <c r="F1110" s="2">
        <v>18</v>
      </c>
      <c r="G1110" s="2" t="s">
        <v>37</v>
      </c>
      <c r="H1110" s="2">
        <v>2</v>
      </c>
      <c r="I1110" s="2">
        <v>3</v>
      </c>
      <c r="J1110" s="2">
        <f>COUNTIFS($F$13:F1110,F1110,$I$13:I1110,I1110)</f>
        <v>13</v>
      </c>
      <c r="O1110" s="8">
        <v>1018201</v>
      </c>
      <c r="P1110" s="8">
        <f t="shared" si="26"/>
        <v>1018301</v>
      </c>
      <c r="Q1110" s="8">
        <f t="shared" si="27"/>
        <v>1018401</v>
      </c>
      <c r="R1110" s="8">
        <f t="shared" si="28"/>
        <v>1018501</v>
      </c>
    </row>
    <row r="1111" spans="1:18">
      <c r="A1111" s="14" t="s">
        <v>14</v>
      </c>
      <c r="B1111" s="8">
        <f t="shared" si="25"/>
        <v>70181314</v>
      </c>
      <c r="C1111" s="15" t="s">
        <v>1127</v>
      </c>
      <c r="E1111" s="2" t="str">
        <f>F1111&amp;(VLOOKUP(G1111,编号表!$E$1:$G$8,2,0))&amp;H1111&amp;"_"&amp;I1111&amp;"_"&amp;J1111</f>
        <v>18T1_3_14</v>
      </c>
      <c r="F1111" s="2">
        <v>18</v>
      </c>
      <c r="G1111" s="2" t="s">
        <v>53</v>
      </c>
      <c r="H1111" s="2">
        <v>1</v>
      </c>
      <c r="I1111" s="2">
        <v>3</v>
      </c>
      <c r="J1111" s="2">
        <f>COUNTIFS($F$13:F1111,F1111,$I$13:I1111,I1111)</f>
        <v>14</v>
      </c>
    </row>
    <row r="1112" spans="1:18">
      <c r="A1112" s="14" t="s">
        <v>14</v>
      </c>
      <c r="B1112" s="8">
        <f t="shared" si="25"/>
        <v>70183315</v>
      </c>
      <c r="C1112" s="16" t="s">
        <v>1128</v>
      </c>
      <c r="D1112" s="2" t="s">
        <v>1129</v>
      </c>
      <c r="E1112" s="2" t="str">
        <f>F1112&amp;(VLOOKUP(G1112,编号表!$E$1:$G$8,2,0))&amp;H1112&amp;"_"&amp;I1112&amp;"_"&amp;J1112</f>
        <v>18T3_3_15</v>
      </c>
      <c r="F1112" s="2">
        <v>18</v>
      </c>
      <c r="G1112" s="2" t="s">
        <v>53</v>
      </c>
      <c r="H1112" s="2">
        <v>3</v>
      </c>
      <c r="I1112" s="2">
        <v>3</v>
      </c>
      <c r="J1112" s="2">
        <f>COUNTIFS($F$13:F1112,F1112,$I$13:I1112,I1112)</f>
        <v>15</v>
      </c>
      <c r="M1112" s="2">
        <v>138</v>
      </c>
    </row>
    <row r="1113" spans="1:18">
      <c r="A1113" s="14" t="s">
        <v>14</v>
      </c>
      <c r="B1113" s="8">
        <f t="shared" si="25"/>
        <v>70184401</v>
      </c>
      <c r="C1113" s="2" t="s">
        <v>1130</v>
      </c>
      <c r="E1113" s="2" t="str">
        <f>F1113&amp;(VLOOKUP(G1113,编号表!$E$1:$G$8,2,0))&amp;H1113&amp;"_"&amp;I1113&amp;"_"&amp;J1113</f>
        <v>18N4_4_1</v>
      </c>
      <c r="F1113" s="2">
        <v>18</v>
      </c>
      <c r="G1113" s="2" t="s">
        <v>37</v>
      </c>
      <c r="H1113" s="2">
        <v>4</v>
      </c>
      <c r="I1113" s="2">
        <v>4</v>
      </c>
      <c r="J1113" s="2">
        <f>COUNTIFS($F$13:F1113,F1113,$I$13:I1113,I1113)</f>
        <v>1</v>
      </c>
      <c r="O1113" s="8">
        <v>1018201</v>
      </c>
      <c r="P1113" s="8">
        <f t="shared" ref="P1113:P1144" si="29">O1113+100</f>
        <v>1018301</v>
      </c>
      <c r="Q1113" s="8">
        <f t="shared" ref="Q1113:Q1144" si="30">P1113+100</f>
        <v>1018401</v>
      </c>
      <c r="R1113" s="8">
        <f t="shared" ref="R1113:R1144" si="31">Q1113+100</f>
        <v>1018501</v>
      </c>
    </row>
    <row r="1114" spans="1:18">
      <c r="A1114" s="14" t="s">
        <v>14</v>
      </c>
      <c r="B1114" s="8">
        <f t="shared" si="25"/>
        <v>70183402</v>
      </c>
      <c r="C1114" s="2" t="s">
        <v>1131</v>
      </c>
      <c r="E1114" s="2" t="str">
        <f>F1114&amp;(VLOOKUP(G1114,编号表!$E$1:$G$8,2,0))&amp;H1114&amp;"_"&amp;I1114&amp;"_"&amp;J1114</f>
        <v>18N3_4_2</v>
      </c>
      <c r="F1114" s="2">
        <v>18</v>
      </c>
      <c r="G1114" s="2" t="s">
        <v>37</v>
      </c>
      <c r="H1114" s="2">
        <v>3</v>
      </c>
      <c r="I1114" s="2">
        <v>4</v>
      </c>
      <c r="J1114" s="2">
        <f>COUNTIFS($F$13:F1114,F1114,$I$13:I1114,I1114)</f>
        <v>2</v>
      </c>
      <c r="O1114" s="8">
        <v>1018201</v>
      </c>
      <c r="P1114" s="8">
        <f t="shared" si="29"/>
        <v>1018301</v>
      </c>
      <c r="Q1114" s="8">
        <f t="shared" si="30"/>
        <v>1018401</v>
      </c>
      <c r="R1114" s="8">
        <f t="shared" si="31"/>
        <v>1018501</v>
      </c>
    </row>
    <row r="1115" spans="1:18">
      <c r="A1115" s="14" t="s">
        <v>14</v>
      </c>
      <c r="B1115" s="8">
        <f t="shared" si="25"/>
        <v>70184403</v>
      </c>
      <c r="C1115" s="2" t="s">
        <v>1132</v>
      </c>
      <c r="E1115" s="2" t="str">
        <f>F1115&amp;(VLOOKUP(G1115,编号表!$E$1:$G$8,2,0))&amp;H1115&amp;"_"&amp;I1115&amp;"_"&amp;J1115</f>
        <v>18N4_4_3</v>
      </c>
      <c r="F1115" s="2">
        <v>18</v>
      </c>
      <c r="G1115" s="2" t="s">
        <v>37</v>
      </c>
      <c r="H1115" s="2">
        <v>4</v>
      </c>
      <c r="I1115" s="2">
        <v>4</v>
      </c>
      <c r="J1115" s="2">
        <f>COUNTIFS($F$13:F1115,F1115,$I$13:I1115,I1115)</f>
        <v>3</v>
      </c>
      <c r="O1115" s="8">
        <v>1018201</v>
      </c>
      <c r="P1115" s="8">
        <f t="shared" si="29"/>
        <v>1018301</v>
      </c>
      <c r="Q1115" s="8">
        <f t="shared" si="30"/>
        <v>1018401</v>
      </c>
      <c r="R1115" s="8">
        <f t="shared" si="31"/>
        <v>1018501</v>
      </c>
    </row>
    <row r="1116" spans="1:18">
      <c r="A1116" s="14" t="s">
        <v>14</v>
      </c>
      <c r="B1116" s="8">
        <f t="shared" si="25"/>
        <v>70184404</v>
      </c>
      <c r="C1116" s="2" t="s">
        <v>1133</v>
      </c>
      <c r="E1116" s="2" t="str">
        <f>F1116&amp;(VLOOKUP(G1116,编号表!$E$1:$G$8,2,0))&amp;H1116&amp;"_"&amp;I1116&amp;"_"&amp;J1116</f>
        <v>18N4_4_4</v>
      </c>
      <c r="F1116" s="2">
        <v>18</v>
      </c>
      <c r="G1116" s="2" t="s">
        <v>37</v>
      </c>
      <c r="H1116" s="2">
        <v>4</v>
      </c>
      <c r="I1116" s="2">
        <v>4</v>
      </c>
      <c r="J1116" s="2">
        <f>COUNTIFS($F$13:F1116,F1116,$I$13:I1116,I1116)</f>
        <v>4</v>
      </c>
      <c r="O1116" s="8">
        <v>1018201</v>
      </c>
      <c r="P1116" s="8">
        <f t="shared" si="29"/>
        <v>1018301</v>
      </c>
      <c r="Q1116" s="8">
        <f t="shared" si="30"/>
        <v>1018401</v>
      </c>
      <c r="R1116" s="8">
        <f t="shared" si="31"/>
        <v>1018501</v>
      </c>
    </row>
    <row r="1117" spans="1:18">
      <c r="A1117" s="14" t="s">
        <v>14</v>
      </c>
      <c r="B1117" s="8">
        <f t="shared" si="25"/>
        <v>70184405</v>
      </c>
      <c r="C1117" s="2" t="s">
        <v>1134</v>
      </c>
      <c r="E1117" s="2" t="str">
        <f>F1117&amp;(VLOOKUP(G1117,编号表!$E$1:$G$8,2,0))&amp;H1117&amp;"_"&amp;I1117&amp;"_"&amp;J1117</f>
        <v>18N4_4_5</v>
      </c>
      <c r="F1117" s="2">
        <v>18</v>
      </c>
      <c r="G1117" s="2" t="s">
        <v>37</v>
      </c>
      <c r="H1117" s="2">
        <v>4</v>
      </c>
      <c r="I1117" s="2">
        <v>4</v>
      </c>
      <c r="J1117" s="2">
        <f>COUNTIFS($F$13:F1117,F1117,$I$13:I1117,I1117)</f>
        <v>5</v>
      </c>
      <c r="O1117" s="8">
        <v>1018201</v>
      </c>
      <c r="P1117" s="8">
        <f t="shared" si="29"/>
        <v>1018301</v>
      </c>
      <c r="Q1117" s="8">
        <f t="shared" si="30"/>
        <v>1018401</v>
      </c>
      <c r="R1117" s="8">
        <f t="shared" si="31"/>
        <v>1018501</v>
      </c>
    </row>
    <row r="1118" spans="1:18">
      <c r="A1118" s="14" t="s">
        <v>14</v>
      </c>
      <c r="B1118" s="8">
        <f t="shared" si="25"/>
        <v>70184406</v>
      </c>
      <c r="C1118" s="2" t="s">
        <v>1135</v>
      </c>
      <c r="E1118" s="2" t="str">
        <f>F1118&amp;(VLOOKUP(G1118,编号表!$E$1:$G$8,2,0))&amp;H1118&amp;"_"&amp;I1118&amp;"_"&amp;J1118</f>
        <v>18N4_4_6</v>
      </c>
      <c r="F1118" s="2">
        <v>18</v>
      </c>
      <c r="G1118" s="2" t="s">
        <v>37</v>
      </c>
      <c r="H1118" s="2">
        <v>4</v>
      </c>
      <c r="I1118" s="2">
        <v>4</v>
      </c>
      <c r="J1118" s="2">
        <f>COUNTIFS($F$13:F1118,F1118,$I$13:I1118,I1118)</f>
        <v>6</v>
      </c>
      <c r="O1118" s="8">
        <v>1018201</v>
      </c>
      <c r="P1118" s="8">
        <f t="shared" si="29"/>
        <v>1018301</v>
      </c>
      <c r="Q1118" s="8">
        <f t="shared" si="30"/>
        <v>1018401</v>
      </c>
      <c r="R1118" s="8">
        <f t="shared" si="31"/>
        <v>1018501</v>
      </c>
    </row>
    <row r="1119" spans="1:18">
      <c r="A1119" s="14" t="s">
        <v>14</v>
      </c>
      <c r="B1119" s="8">
        <f t="shared" si="25"/>
        <v>70184407</v>
      </c>
      <c r="C1119" s="2" t="s">
        <v>1136</v>
      </c>
      <c r="E1119" s="2" t="str">
        <f>F1119&amp;(VLOOKUP(G1119,编号表!$E$1:$G$8,2,0))&amp;H1119&amp;"_"&amp;I1119&amp;"_"&amp;J1119</f>
        <v>18N4_4_7</v>
      </c>
      <c r="F1119" s="2">
        <v>18</v>
      </c>
      <c r="G1119" s="2" t="s">
        <v>37</v>
      </c>
      <c r="H1119" s="2">
        <v>4</v>
      </c>
      <c r="I1119" s="2">
        <v>4</v>
      </c>
      <c r="J1119" s="2">
        <f>COUNTIFS($F$13:F1119,F1119,$I$13:I1119,I1119)</f>
        <v>7</v>
      </c>
      <c r="O1119" s="8">
        <v>1018201</v>
      </c>
      <c r="P1119" s="8">
        <f t="shared" si="29"/>
        <v>1018301</v>
      </c>
      <c r="Q1119" s="8">
        <f t="shared" si="30"/>
        <v>1018401</v>
      </c>
      <c r="R1119" s="8">
        <f t="shared" si="31"/>
        <v>1018501</v>
      </c>
    </row>
    <row r="1120" spans="1:18">
      <c r="A1120" s="14" t="s">
        <v>14</v>
      </c>
      <c r="B1120" s="8">
        <f t="shared" si="25"/>
        <v>70184408</v>
      </c>
      <c r="C1120" s="2" t="s">
        <v>1137</v>
      </c>
      <c r="E1120" s="2" t="str">
        <f>F1120&amp;(VLOOKUP(G1120,编号表!$E$1:$G$8,2,0))&amp;H1120&amp;"_"&amp;I1120&amp;"_"&amp;J1120</f>
        <v>18N4_4_8</v>
      </c>
      <c r="F1120" s="2">
        <v>18</v>
      </c>
      <c r="G1120" s="2" t="s">
        <v>37</v>
      </c>
      <c r="H1120" s="2">
        <v>4</v>
      </c>
      <c r="I1120" s="2">
        <v>4</v>
      </c>
      <c r="J1120" s="2">
        <f>COUNTIFS($F$13:F1120,F1120,$I$13:I1120,I1120)</f>
        <v>8</v>
      </c>
      <c r="O1120" s="8">
        <v>1018201</v>
      </c>
      <c r="P1120" s="8">
        <f t="shared" si="29"/>
        <v>1018301</v>
      </c>
      <c r="Q1120" s="8">
        <f t="shared" si="30"/>
        <v>1018401</v>
      </c>
      <c r="R1120" s="8">
        <f t="shared" si="31"/>
        <v>1018501</v>
      </c>
    </row>
    <row r="1121" spans="1:18">
      <c r="A1121" s="14" t="s">
        <v>14</v>
      </c>
      <c r="B1121" s="8">
        <f t="shared" si="25"/>
        <v>70184409</v>
      </c>
      <c r="C1121" s="2" t="s">
        <v>1138</v>
      </c>
      <c r="E1121" s="2" t="str">
        <f>F1121&amp;(VLOOKUP(G1121,编号表!$E$1:$G$8,2,0))&amp;H1121&amp;"_"&amp;I1121&amp;"_"&amp;J1121</f>
        <v>18N4_4_9</v>
      </c>
      <c r="F1121" s="2">
        <v>18</v>
      </c>
      <c r="G1121" s="2" t="s">
        <v>37</v>
      </c>
      <c r="H1121" s="2">
        <v>4</v>
      </c>
      <c r="I1121" s="2">
        <v>4</v>
      </c>
      <c r="J1121" s="2">
        <f>COUNTIFS($F$13:F1121,F1121,$I$13:I1121,I1121)</f>
        <v>9</v>
      </c>
      <c r="O1121" s="8">
        <v>1018201</v>
      </c>
      <c r="P1121" s="8">
        <f t="shared" si="29"/>
        <v>1018301</v>
      </c>
      <c r="Q1121" s="8">
        <f t="shared" si="30"/>
        <v>1018401</v>
      </c>
      <c r="R1121" s="8">
        <f t="shared" si="31"/>
        <v>1018501</v>
      </c>
    </row>
    <row r="1122" spans="1:18">
      <c r="A1122" s="14" t="s">
        <v>14</v>
      </c>
      <c r="B1122" s="8">
        <f t="shared" si="25"/>
        <v>70183410</v>
      </c>
      <c r="C1122" s="2" t="s">
        <v>1139</v>
      </c>
      <c r="E1122" s="2" t="str">
        <f>F1122&amp;(VLOOKUP(G1122,编号表!$E$1:$G$8,2,0))&amp;H1122&amp;"_"&amp;I1122&amp;"_"&amp;J1122</f>
        <v>18N3_4_10</v>
      </c>
      <c r="F1122" s="2">
        <v>18</v>
      </c>
      <c r="G1122" s="2" t="s">
        <v>37</v>
      </c>
      <c r="H1122" s="2">
        <v>3</v>
      </c>
      <c r="I1122" s="2">
        <v>4</v>
      </c>
      <c r="J1122" s="2">
        <f>COUNTIFS($F$13:F1122,F1122,$I$13:I1122,I1122)</f>
        <v>10</v>
      </c>
      <c r="O1122" s="8">
        <v>1018201</v>
      </c>
      <c r="P1122" s="8">
        <f t="shared" si="29"/>
        <v>1018301</v>
      </c>
      <c r="Q1122" s="8">
        <f t="shared" si="30"/>
        <v>1018401</v>
      </c>
      <c r="R1122" s="8">
        <f t="shared" si="31"/>
        <v>1018501</v>
      </c>
    </row>
    <row r="1123" spans="1:18">
      <c r="A1123" s="14" t="s">
        <v>14</v>
      </c>
      <c r="B1123" s="8">
        <f t="shared" si="25"/>
        <v>70182411</v>
      </c>
      <c r="C1123" s="2" t="s">
        <v>1140</v>
      </c>
      <c r="E1123" s="2" t="str">
        <f>F1123&amp;(VLOOKUP(G1123,编号表!$E$1:$G$8,2,0))&amp;H1123&amp;"_"&amp;I1123&amp;"_"&amp;J1123</f>
        <v>18N2_4_11</v>
      </c>
      <c r="F1123" s="2">
        <v>18</v>
      </c>
      <c r="G1123" s="2" t="s">
        <v>37</v>
      </c>
      <c r="H1123" s="2">
        <v>2</v>
      </c>
      <c r="I1123" s="2">
        <v>4</v>
      </c>
      <c r="J1123" s="2">
        <f>COUNTIFS($F$13:F1123,F1123,$I$13:I1123,I1123)</f>
        <v>11</v>
      </c>
      <c r="O1123" s="8">
        <v>1018201</v>
      </c>
      <c r="P1123" s="8">
        <f t="shared" si="29"/>
        <v>1018301</v>
      </c>
      <c r="Q1123" s="8">
        <f t="shared" si="30"/>
        <v>1018401</v>
      </c>
      <c r="R1123" s="8">
        <f t="shared" si="31"/>
        <v>1018501</v>
      </c>
    </row>
    <row r="1124" spans="1:18">
      <c r="A1124" s="14" t="s">
        <v>14</v>
      </c>
      <c r="B1124" s="8">
        <f t="shared" si="25"/>
        <v>70184501</v>
      </c>
      <c r="C1124" s="2" t="s">
        <v>1141</v>
      </c>
      <c r="E1124" s="2" t="str">
        <f>F1124&amp;(VLOOKUP(G1124,编号表!$E$1:$G$8,2,0))&amp;H1124&amp;"_"&amp;I1124&amp;"_"&amp;J1124</f>
        <v>18N4_5_1</v>
      </c>
      <c r="F1124" s="2">
        <v>18</v>
      </c>
      <c r="G1124" s="2" t="s">
        <v>37</v>
      </c>
      <c r="H1124" s="2">
        <v>4</v>
      </c>
      <c r="I1124" s="2">
        <v>5</v>
      </c>
      <c r="J1124" s="2">
        <f>COUNTIFS($F$13:F1124,F1124,$I$13:I1124,I1124)</f>
        <v>1</v>
      </c>
      <c r="O1124" s="8">
        <v>1018201</v>
      </c>
      <c r="P1124" s="8">
        <f t="shared" si="29"/>
        <v>1018301</v>
      </c>
      <c r="Q1124" s="8">
        <f t="shared" si="30"/>
        <v>1018401</v>
      </c>
      <c r="R1124" s="8">
        <f t="shared" si="31"/>
        <v>1018501</v>
      </c>
    </row>
    <row r="1125" spans="1:18">
      <c r="A1125" s="14" t="s">
        <v>14</v>
      </c>
      <c r="B1125" s="8">
        <f t="shared" si="25"/>
        <v>70181502</v>
      </c>
      <c r="C1125" s="2" t="s">
        <v>1142</v>
      </c>
      <c r="E1125" s="2" t="str">
        <f>F1125&amp;(VLOOKUP(G1125,编号表!$E$1:$G$8,2,0))&amp;H1125&amp;"_"&amp;I1125&amp;"_"&amp;J1125</f>
        <v>18N1_5_2</v>
      </c>
      <c r="F1125" s="2">
        <v>18</v>
      </c>
      <c r="G1125" s="2" t="s">
        <v>37</v>
      </c>
      <c r="H1125" s="2">
        <v>1</v>
      </c>
      <c r="I1125" s="2">
        <v>5</v>
      </c>
      <c r="J1125" s="2">
        <f>COUNTIFS($F$13:F1125,F1125,$I$13:I1125,I1125)</f>
        <v>2</v>
      </c>
      <c r="O1125" s="8">
        <v>1018201</v>
      </c>
      <c r="P1125" s="8">
        <f t="shared" si="29"/>
        <v>1018301</v>
      </c>
      <c r="Q1125" s="8">
        <f t="shared" si="30"/>
        <v>1018401</v>
      </c>
      <c r="R1125" s="8">
        <f t="shared" si="31"/>
        <v>1018501</v>
      </c>
    </row>
    <row r="1126" spans="1:18">
      <c r="A1126" s="14" t="s">
        <v>14</v>
      </c>
      <c r="B1126" s="8">
        <f t="shared" si="25"/>
        <v>70184503</v>
      </c>
      <c r="C1126" s="2" t="s">
        <v>1143</v>
      </c>
      <c r="E1126" s="2" t="str">
        <f>F1126&amp;(VLOOKUP(G1126,编号表!$E$1:$G$8,2,0))&amp;H1126&amp;"_"&amp;I1126&amp;"_"&amp;J1126</f>
        <v>18N4_5_3</v>
      </c>
      <c r="F1126" s="2">
        <v>18</v>
      </c>
      <c r="G1126" s="2" t="s">
        <v>37</v>
      </c>
      <c r="H1126" s="2">
        <v>4</v>
      </c>
      <c r="I1126" s="2">
        <v>5</v>
      </c>
      <c r="J1126" s="2">
        <f>COUNTIFS($F$13:F1126,F1126,$I$13:I1126,I1126)</f>
        <v>3</v>
      </c>
      <c r="O1126" s="8">
        <v>1018201</v>
      </c>
      <c r="P1126" s="8">
        <f t="shared" si="29"/>
        <v>1018301</v>
      </c>
      <c r="Q1126" s="8">
        <f t="shared" si="30"/>
        <v>1018401</v>
      </c>
      <c r="R1126" s="8">
        <f t="shared" si="31"/>
        <v>1018501</v>
      </c>
    </row>
    <row r="1127" spans="1:18">
      <c r="A1127" s="14" t="s">
        <v>14</v>
      </c>
      <c r="B1127" s="8">
        <f t="shared" si="25"/>
        <v>70184504</v>
      </c>
      <c r="C1127" s="2" t="s">
        <v>1144</v>
      </c>
      <c r="E1127" s="2" t="str">
        <f>F1127&amp;(VLOOKUP(G1127,编号表!$E$1:$G$8,2,0))&amp;H1127&amp;"_"&amp;I1127&amp;"_"&amp;J1127</f>
        <v>18N4_5_4</v>
      </c>
      <c r="F1127" s="2">
        <v>18</v>
      </c>
      <c r="G1127" s="2" t="s">
        <v>37</v>
      </c>
      <c r="H1127" s="2">
        <v>4</v>
      </c>
      <c r="I1127" s="2">
        <v>5</v>
      </c>
      <c r="J1127" s="2">
        <f>COUNTIFS($F$13:F1127,F1127,$I$13:I1127,I1127)</f>
        <v>4</v>
      </c>
      <c r="O1127" s="8">
        <v>1018201</v>
      </c>
      <c r="P1127" s="8">
        <f t="shared" si="29"/>
        <v>1018301</v>
      </c>
      <c r="Q1127" s="8">
        <f t="shared" si="30"/>
        <v>1018401</v>
      </c>
      <c r="R1127" s="8">
        <f t="shared" si="31"/>
        <v>1018501</v>
      </c>
    </row>
    <row r="1128" spans="1:18">
      <c r="A1128" s="14" t="s">
        <v>14</v>
      </c>
      <c r="B1128" s="8">
        <f t="shared" si="25"/>
        <v>70184505</v>
      </c>
      <c r="C1128" s="2" t="s">
        <v>1145</v>
      </c>
      <c r="E1128" s="2" t="str">
        <f>F1128&amp;(VLOOKUP(G1128,编号表!$E$1:$G$8,2,0))&amp;H1128&amp;"_"&amp;I1128&amp;"_"&amp;J1128</f>
        <v>18N4_5_5</v>
      </c>
      <c r="F1128" s="2">
        <v>18</v>
      </c>
      <c r="G1128" s="2" t="s">
        <v>37</v>
      </c>
      <c r="H1128" s="2">
        <v>4</v>
      </c>
      <c r="I1128" s="2">
        <v>5</v>
      </c>
      <c r="J1128" s="2">
        <f>COUNTIFS($F$13:F1128,F1128,$I$13:I1128,I1128)</f>
        <v>5</v>
      </c>
      <c r="O1128" s="8">
        <v>1018201</v>
      </c>
      <c r="P1128" s="8">
        <f t="shared" si="29"/>
        <v>1018301</v>
      </c>
      <c r="Q1128" s="8">
        <f t="shared" si="30"/>
        <v>1018401</v>
      </c>
      <c r="R1128" s="8">
        <f t="shared" si="31"/>
        <v>1018501</v>
      </c>
    </row>
    <row r="1129" spans="1:18">
      <c r="A1129" s="14" t="s">
        <v>14</v>
      </c>
      <c r="B1129" s="8">
        <f t="shared" si="25"/>
        <v>70184506</v>
      </c>
      <c r="C1129" s="2" t="s">
        <v>1146</v>
      </c>
      <c r="E1129" s="2" t="str">
        <f>F1129&amp;(VLOOKUP(G1129,编号表!$E$1:$G$8,2,0))&amp;H1129&amp;"_"&amp;I1129&amp;"_"&amp;J1129</f>
        <v>18N4_5_6</v>
      </c>
      <c r="F1129" s="2">
        <v>18</v>
      </c>
      <c r="G1129" s="2" t="s">
        <v>37</v>
      </c>
      <c r="H1129" s="2">
        <v>4</v>
      </c>
      <c r="I1129" s="2">
        <v>5</v>
      </c>
      <c r="J1129" s="2">
        <f>COUNTIFS($F$13:F1129,F1129,$I$13:I1129,I1129)</f>
        <v>6</v>
      </c>
      <c r="O1129" s="8">
        <v>1018201</v>
      </c>
      <c r="P1129" s="8">
        <f t="shared" si="29"/>
        <v>1018301</v>
      </c>
      <c r="Q1129" s="8">
        <f t="shared" si="30"/>
        <v>1018401</v>
      </c>
      <c r="R1129" s="8">
        <f t="shared" si="31"/>
        <v>1018501</v>
      </c>
    </row>
    <row r="1130" spans="1:18">
      <c r="A1130" s="14" t="s">
        <v>14</v>
      </c>
      <c r="B1130" s="8">
        <f t="shared" si="25"/>
        <v>70184507</v>
      </c>
      <c r="C1130" s="2" t="s">
        <v>1147</v>
      </c>
      <c r="E1130" s="2" t="str">
        <f>F1130&amp;(VLOOKUP(G1130,编号表!$E$1:$G$8,2,0))&amp;H1130&amp;"_"&amp;I1130&amp;"_"&amp;J1130</f>
        <v>18N4_5_7</v>
      </c>
      <c r="F1130" s="2">
        <v>18</v>
      </c>
      <c r="G1130" s="2" t="s">
        <v>37</v>
      </c>
      <c r="H1130" s="2">
        <v>4</v>
      </c>
      <c r="I1130" s="2">
        <v>5</v>
      </c>
      <c r="J1130" s="2">
        <f>COUNTIFS($F$13:F1130,F1130,$I$13:I1130,I1130)</f>
        <v>7</v>
      </c>
      <c r="O1130" s="8">
        <v>1018201</v>
      </c>
      <c r="P1130" s="8">
        <f t="shared" si="29"/>
        <v>1018301</v>
      </c>
      <c r="Q1130" s="8">
        <f t="shared" si="30"/>
        <v>1018401</v>
      </c>
      <c r="R1130" s="8">
        <f t="shared" si="31"/>
        <v>1018501</v>
      </c>
    </row>
    <row r="1131" spans="1:18">
      <c r="A1131" s="14" t="s">
        <v>14</v>
      </c>
      <c r="B1131" s="8">
        <f t="shared" si="25"/>
        <v>70184508</v>
      </c>
      <c r="C1131" s="2" t="s">
        <v>1148</v>
      </c>
      <c r="E1131" s="2" t="str">
        <f>F1131&amp;(VLOOKUP(G1131,编号表!$E$1:$G$8,2,0))&amp;H1131&amp;"_"&amp;I1131&amp;"_"&amp;J1131</f>
        <v>18N4_5_8</v>
      </c>
      <c r="F1131" s="2">
        <v>18</v>
      </c>
      <c r="G1131" s="2" t="s">
        <v>37</v>
      </c>
      <c r="H1131" s="2">
        <v>4</v>
      </c>
      <c r="I1131" s="2">
        <v>5</v>
      </c>
      <c r="J1131" s="2">
        <f>COUNTIFS($F$13:F1131,F1131,$I$13:I1131,I1131)</f>
        <v>8</v>
      </c>
      <c r="O1131" s="8">
        <v>1018201</v>
      </c>
      <c r="P1131" s="8">
        <f t="shared" si="29"/>
        <v>1018301</v>
      </c>
      <c r="Q1131" s="8">
        <f t="shared" si="30"/>
        <v>1018401</v>
      </c>
      <c r="R1131" s="8">
        <f t="shared" si="31"/>
        <v>1018501</v>
      </c>
    </row>
    <row r="1132" spans="1:18">
      <c r="A1132" s="14" t="s">
        <v>14</v>
      </c>
      <c r="B1132" s="8">
        <f t="shared" si="25"/>
        <v>70184509</v>
      </c>
      <c r="C1132" s="2" t="s">
        <v>1149</v>
      </c>
      <c r="E1132" s="2" t="str">
        <f>F1132&amp;(VLOOKUP(G1132,编号表!$E$1:$G$8,2,0))&amp;H1132&amp;"_"&amp;I1132&amp;"_"&amp;J1132</f>
        <v>18N4_5_9</v>
      </c>
      <c r="F1132" s="2">
        <v>18</v>
      </c>
      <c r="G1132" s="2" t="s">
        <v>37</v>
      </c>
      <c r="H1132" s="2">
        <v>4</v>
      </c>
      <c r="I1132" s="2">
        <v>5</v>
      </c>
      <c r="J1132" s="2">
        <f>COUNTIFS($F$13:F1132,F1132,$I$13:I1132,I1132)</f>
        <v>9</v>
      </c>
      <c r="O1132" s="8">
        <v>1018201</v>
      </c>
      <c r="P1132" s="8">
        <f t="shared" si="29"/>
        <v>1018301</v>
      </c>
      <c r="Q1132" s="8">
        <f t="shared" si="30"/>
        <v>1018401</v>
      </c>
      <c r="R1132" s="8">
        <f t="shared" si="31"/>
        <v>1018501</v>
      </c>
    </row>
    <row r="1133" spans="1:18">
      <c r="A1133" s="14" t="s">
        <v>14</v>
      </c>
      <c r="B1133" s="8">
        <f t="shared" si="25"/>
        <v>70184510</v>
      </c>
      <c r="C1133" s="2" t="s">
        <v>1150</v>
      </c>
      <c r="E1133" s="2" t="str">
        <f>F1133&amp;(VLOOKUP(G1133,编号表!$E$1:$G$8,2,0))&amp;H1133&amp;"_"&amp;I1133&amp;"_"&amp;J1133</f>
        <v>18N4_5_10</v>
      </c>
      <c r="F1133" s="2">
        <v>18</v>
      </c>
      <c r="G1133" s="2" t="s">
        <v>37</v>
      </c>
      <c r="H1133" s="2">
        <v>4</v>
      </c>
      <c r="I1133" s="2">
        <v>5</v>
      </c>
      <c r="J1133" s="2">
        <f>COUNTIFS($F$13:F1133,F1133,$I$13:I1133,I1133)</f>
        <v>10</v>
      </c>
      <c r="O1133" s="8">
        <v>1018201</v>
      </c>
      <c r="P1133" s="8">
        <f t="shared" si="29"/>
        <v>1018301</v>
      </c>
      <c r="Q1133" s="8">
        <f t="shared" si="30"/>
        <v>1018401</v>
      </c>
      <c r="R1133" s="8">
        <f t="shared" si="31"/>
        <v>1018501</v>
      </c>
    </row>
    <row r="1134" spans="1:18">
      <c r="A1134" s="14" t="s">
        <v>14</v>
      </c>
      <c r="B1134" s="8">
        <f t="shared" si="25"/>
        <v>70183511</v>
      </c>
      <c r="C1134" s="2" t="s">
        <v>1151</v>
      </c>
      <c r="E1134" s="2" t="str">
        <f>F1134&amp;(VLOOKUP(G1134,编号表!$E$1:$G$8,2,0))&amp;H1134&amp;"_"&amp;I1134&amp;"_"&amp;J1134</f>
        <v>18N3_5_11</v>
      </c>
      <c r="F1134" s="2">
        <v>18</v>
      </c>
      <c r="G1134" s="2" t="s">
        <v>37</v>
      </c>
      <c r="H1134" s="2">
        <v>3</v>
      </c>
      <c r="I1134" s="2">
        <v>5</v>
      </c>
      <c r="J1134" s="2">
        <f>COUNTIFS($F$13:F1134,F1134,$I$13:I1134,I1134)</f>
        <v>11</v>
      </c>
      <c r="O1134" s="8">
        <v>1018201</v>
      </c>
      <c r="P1134" s="8">
        <f t="shared" si="29"/>
        <v>1018301</v>
      </c>
      <c r="Q1134" s="8">
        <f t="shared" si="30"/>
        <v>1018401</v>
      </c>
      <c r="R1134" s="8">
        <f t="shared" si="31"/>
        <v>1018501</v>
      </c>
    </row>
    <row r="1135" spans="1:18">
      <c r="A1135" s="14" t="s">
        <v>14</v>
      </c>
      <c r="B1135" s="8">
        <f t="shared" si="25"/>
        <v>70181512</v>
      </c>
      <c r="C1135" s="2" t="s">
        <v>1152</v>
      </c>
      <c r="E1135" s="2" t="str">
        <f>F1135&amp;(VLOOKUP(G1135,编号表!$E$1:$G$8,2,0))&amp;H1135&amp;"_"&amp;I1135&amp;"_"&amp;J1135</f>
        <v>18N1_5_12</v>
      </c>
      <c r="F1135" s="2">
        <v>18</v>
      </c>
      <c r="G1135" s="2" t="s">
        <v>37</v>
      </c>
      <c r="H1135" s="2">
        <v>1</v>
      </c>
      <c r="I1135" s="2">
        <v>5</v>
      </c>
      <c r="J1135" s="2">
        <f>COUNTIFS($F$13:F1135,F1135,$I$13:I1135,I1135)</f>
        <v>12</v>
      </c>
      <c r="O1135" s="8">
        <v>1018201</v>
      </c>
      <c r="P1135" s="8">
        <f t="shared" si="29"/>
        <v>1018301</v>
      </c>
      <c r="Q1135" s="8">
        <f t="shared" si="30"/>
        <v>1018401</v>
      </c>
      <c r="R1135" s="8">
        <f t="shared" si="31"/>
        <v>1018501</v>
      </c>
    </row>
    <row r="1136" spans="1:18">
      <c r="A1136" s="14" t="s">
        <v>14</v>
      </c>
      <c r="B1136" s="8">
        <f t="shared" si="25"/>
        <v>70184513</v>
      </c>
      <c r="C1136" s="2" t="s">
        <v>1153</v>
      </c>
      <c r="E1136" s="2" t="str">
        <f>F1136&amp;(VLOOKUP(G1136,编号表!$E$1:$G$8,2,0))&amp;H1136&amp;"_"&amp;I1136&amp;"_"&amp;J1136</f>
        <v>18N4_5_13</v>
      </c>
      <c r="F1136" s="2">
        <v>18</v>
      </c>
      <c r="G1136" s="2" t="s">
        <v>37</v>
      </c>
      <c r="H1136" s="2">
        <v>4</v>
      </c>
      <c r="I1136" s="2">
        <v>5</v>
      </c>
      <c r="J1136" s="2">
        <f>COUNTIFS($F$13:F1136,F1136,$I$13:I1136,I1136)</f>
        <v>13</v>
      </c>
      <c r="O1136" s="8">
        <v>1018201</v>
      </c>
      <c r="P1136" s="8">
        <f t="shared" si="29"/>
        <v>1018301</v>
      </c>
      <c r="Q1136" s="8">
        <f t="shared" si="30"/>
        <v>1018401</v>
      </c>
      <c r="R1136" s="8">
        <f t="shared" si="31"/>
        <v>1018501</v>
      </c>
    </row>
    <row r="1137" spans="1:18">
      <c r="A1137" s="14" t="s">
        <v>14</v>
      </c>
      <c r="B1137" s="8">
        <f t="shared" si="25"/>
        <v>70184601</v>
      </c>
      <c r="C1137" s="2" t="s">
        <v>1154</v>
      </c>
      <c r="E1137" s="2" t="str">
        <f>F1137&amp;(VLOOKUP(G1137,编号表!$E$1:$G$8,2,0))&amp;H1137&amp;"_"&amp;I1137&amp;"_"&amp;J1137</f>
        <v>18N4_6_1</v>
      </c>
      <c r="F1137" s="2">
        <v>18</v>
      </c>
      <c r="G1137" s="2" t="s">
        <v>37</v>
      </c>
      <c r="H1137" s="2">
        <v>4</v>
      </c>
      <c r="I1137" s="2">
        <v>6</v>
      </c>
      <c r="J1137" s="2">
        <f>COUNTIFS($F$13:F1137,F1137,$I$13:I1137,I1137)</f>
        <v>1</v>
      </c>
      <c r="O1137" s="8">
        <v>1018201</v>
      </c>
      <c r="P1137" s="8">
        <f t="shared" si="29"/>
        <v>1018301</v>
      </c>
      <c r="Q1137" s="8">
        <f t="shared" si="30"/>
        <v>1018401</v>
      </c>
      <c r="R1137" s="8">
        <f t="shared" si="31"/>
        <v>1018501</v>
      </c>
    </row>
    <row r="1138" spans="1:18">
      <c r="A1138" s="14" t="s">
        <v>14</v>
      </c>
      <c r="B1138" s="8">
        <f t="shared" si="25"/>
        <v>70183602</v>
      </c>
      <c r="C1138" s="2" t="s">
        <v>1155</v>
      </c>
      <c r="E1138" s="2" t="str">
        <f>F1138&amp;(VLOOKUP(G1138,编号表!$E$1:$G$8,2,0))&amp;H1138&amp;"_"&amp;I1138&amp;"_"&amp;J1138</f>
        <v>18N3_6_2</v>
      </c>
      <c r="F1138" s="2">
        <v>18</v>
      </c>
      <c r="G1138" s="2" t="s">
        <v>37</v>
      </c>
      <c r="H1138" s="2">
        <v>3</v>
      </c>
      <c r="I1138" s="2">
        <v>6</v>
      </c>
      <c r="J1138" s="2">
        <f>COUNTIFS($F$13:F1138,F1138,$I$13:I1138,I1138)</f>
        <v>2</v>
      </c>
      <c r="O1138" s="8">
        <v>1018201</v>
      </c>
      <c r="P1138" s="8">
        <f t="shared" si="29"/>
        <v>1018301</v>
      </c>
      <c r="Q1138" s="8">
        <f t="shared" si="30"/>
        <v>1018401</v>
      </c>
      <c r="R1138" s="8">
        <f t="shared" si="31"/>
        <v>1018501</v>
      </c>
    </row>
    <row r="1139" spans="1:18">
      <c r="A1139" s="14" t="s">
        <v>14</v>
      </c>
      <c r="B1139" s="8">
        <f t="shared" si="25"/>
        <v>70181603</v>
      </c>
      <c r="C1139" s="2" t="s">
        <v>1156</v>
      </c>
      <c r="E1139" s="2" t="str">
        <f>F1139&amp;(VLOOKUP(G1139,编号表!$E$1:$G$8,2,0))&amp;H1139&amp;"_"&amp;I1139&amp;"_"&amp;J1139</f>
        <v>18N1_6_3</v>
      </c>
      <c r="F1139" s="2">
        <v>18</v>
      </c>
      <c r="G1139" s="2" t="s">
        <v>37</v>
      </c>
      <c r="H1139" s="2">
        <v>1</v>
      </c>
      <c r="I1139" s="2">
        <v>6</v>
      </c>
      <c r="J1139" s="2">
        <f>COUNTIFS($F$13:F1139,F1139,$I$13:I1139,I1139)</f>
        <v>3</v>
      </c>
      <c r="O1139" s="8">
        <v>1018201</v>
      </c>
      <c r="P1139" s="8">
        <f t="shared" si="29"/>
        <v>1018301</v>
      </c>
      <c r="Q1139" s="8">
        <f t="shared" si="30"/>
        <v>1018401</v>
      </c>
      <c r="R1139" s="8">
        <f t="shared" si="31"/>
        <v>1018501</v>
      </c>
    </row>
    <row r="1140" spans="1:18">
      <c r="A1140" s="14" t="s">
        <v>14</v>
      </c>
      <c r="B1140" s="8">
        <f t="shared" si="25"/>
        <v>70184604</v>
      </c>
      <c r="C1140" s="2" t="s">
        <v>1157</v>
      </c>
      <c r="E1140" s="2" t="str">
        <f>F1140&amp;(VLOOKUP(G1140,编号表!$E$1:$G$8,2,0))&amp;H1140&amp;"_"&amp;I1140&amp;"_"&amp;J1140</f>
        <v>18N4_6_4</v>
      </c>
      <c r="F1140" s="2">
        <v>18</v>
      </c>
      <c r="G1140" s="2" t="s">
        <v>37</v>
      </c>
      <c r="H1140" s="2">
        <v>4</v>
      </c>
      <c r="I1140" s="2">
        <v>6</v>
      </c>
      <c r="J1140" s="2">
        <f>COUNTIFS($F$13:F1140,F1140,$I$13:I1140,I1140)</f>
        <v>4</v>
      </c>
      <c r="O1140" s="8">
        <v>1018201</v>
      </c>
      <c r="P1140" s="8">
        <f t="shared" si="29"/>
        <v>1018301</v>
      </c>
      <c r="Q1140" s="8">
        <f t="shared" si="30"/>
        <v>1018401</v>
      </c>
      <c r="R1140" s="8">
        <f t="shared" si="31"/>
        <v>1018501</v>
      </c>
    </row>
    <row r="1141" spans="1:18">
      <c r="A1141" s="14" t="s">
        <v>14</v>
      </c>
      <c r="B1141" s="8">
        <f t="shared" si="25"/>
        <v>70184605</v>
      </c>
      <c r="C1141" s="2" t="s">
        <v>1158</v>
      </c>
      <c r="E1141" s="2" t="str">
        <f>F1141&amp;(VLOOKUP(G1141,编号表!$E$1:$G$8,2,0))&amp;H1141&amp;"_"&amp;I1141&amp;"_"&amp;J1141</f>
        <v>18N4_6_5</v>
      </c>
      <c r="F1141" s="2">
        <v>18</v>
      </c>
      <c r="G1141" s="2" t="s">
        <v>37</v>
      </c>
      <c r="H1141" s="2">
        <v>4</v>
      </c>
      <c r="I1141" s="2">
        <v>6</v>
      </c>
      <c r="J1141" s="2">
        <f>COUNTIFS($F$13:F1141,F1141,$I$13:I1141,I1141)</f>
        <v>5</v>
      </c>
      <c r="O1141" s="8">
        <v>1018201</v>
      </c>
      <c r="P1141" s="8">
        <f t="shared" si="29"/>
        <v>1018301</v>
      </c>
      <c r="Q1141" s="8">
        <f t="shared" si="30"/>
        <v>1018401</v>
      </c>
      <c r="R1141" s="8">
        <f t="shared" si="31"/>
        <v>1018501</v>
      </c>
    </row>
    <row r="1142" spans="1:18">
      <c r="A1142" s="14" t="s">
        <v>14</v>
      </c>
      <c r="B1142" s="8">
        <f t="shared" si="25"/>
        <v>70182606</v>
      </c>
      <c r="C1142" s="2" t="s">
        <v>1159</v>
      </c>
      <c r="E1142" s="2" t="str">
        <f>F1142&amp;(VLOOKUP(G1142,编号表!$E$1:$G$8,2,0))&amp;H1142&amp;"_"&amp;I1142&amp;"_"&amp;J1142</f>
        <v>18N2_6_6</v>
      </c>
      <c r="F1142" s="2">
        <v>18</v>
      </c>
      <c r="G1142" s="2" t="s">
        <v>37</v>
      </c>
      <c r="H1142" s="2">
        <v>2</v>
      </c>
      <c r="I1142" s="2">
        <v>6</v>
      </c>
      <c r="J1142" s="2">
        <f>COUNTIFS($F$13:F1142,F1142,$I$13:I1142,I1142)</f>
        <v>6</v>
      </c>
      <c r="O1142" s="8">
        <v>1018201</v>
      </c>
      <c r="P1142" s="8">
        <f t="shared" si="29"/>
        <v>1018301</v>
      </c>
      <c r="Q1142" s="8">
        <f t="shared" si="30"/>
        <v>1018401</v>
      </c>
      <c r="R1142" s="8">
        <f t="shared" si="31"/>
        <v>1018501</v>
      </c>
    </row>
    <row r="1143" spans="1:18">
      <c r="A1143" s="14" t="s">
        <v>14</v>
      </c>
      <c r="B1143" s="8">
        <f t="shared" si="25"/>
        <v>70184607</v>
      </c>
      <c r="C1143" s="2" t="s">
        <v>1160</v>
      </c>
      <c r="E1143" s="2" t="str">
        <f>F1143&amp;(VLOOKUP(G1143,编号表!$E$1:$G$8,2,0))&amp;H1143&amp;"_"&amp;I1143&amp;"_"&amp;J1143</f>
        <v>18N4_6_7</v>
      </c>
      <c r="F1143" s="2">
        <v>18</v>
      </c>
      <c r="G1143" s="2" t="s">
        <v>37</v>
      </c>
      <c r="H1143" s="2">
        <v>4</v>
      </c>
      <c r="I1143" s="2">
        <v>6</v>
      </c>
      <c r="J1143" s="2">
        <f>COUNTIFS($F$13:F1143,F1143,$I$13:I1143,I1143)</f>
        <v>7</v>
      </c>
      <c r="O1143" s="8">
        <v>1018201</v>
      </c>
      <c r="P1143" s="8">
        <f t="shared" si="29"/>
        <v>1018301</v>
      </c>
      <c r="Q1143" s="8">
        <f t="shared" si="30"/>
        <v>1018401</v>
      </c>
      <c r="R1143" s="8">
        <f t="shared" si="31"/>
        <v>1018501</v>
      </c>
    </row>
    <row r="1144" spans="1:18">
      <c r="A1144" s="14" t="s">
        <v>14</v>
      </c>
      <c r="B1144" s="8">
        <f t="shared" si="25"/>
        <v>70181608</v>
      </c>
      <c r="C1144" s="2" t="s">
        <v>1161</v>
      </c>
      <c r="E1144" s="2" t="str">
        <f>F1144&amp;(VLOOKUP(G1144,编号表!$E$1:$G$8,2,0))&amp;H1144&amp;"_"&amp;I1144&amp;"_"&amp;J1144</f>
        <v>18N1_6_8</v>
      </c>
      <c r="F1144" s="2">
        <v>18</v>
      </c>
      <c r="G1144" s="2" t="s">
        <v>37</v>
      </c>
      <c r="H1144" s="2">
        <v>1</v>
      </c>
      <c r="I1144" s="2">
        <v>6</v>
      </c>
      <c r="J1144" s="2">
        <f>COUNTIFS($F$13:F1144,F1144,$I$13:I1144,I1144)</f>
        <v>8</v>
      </c>
      <c r="O1144" s="8">
        <v>1018201</v>
      </c>
      <c r="P1144" s="8">
        <f t="shared" si="29"/>
        <v>1018301</v>
      </c>
      <c r="Q1144" s="8">
        <f t="shared" si="30"/>
        <v>1018401</v>
      </c>
      <c r="R1144" s="8">
        <f t="shared" si="31"/>
        <v>1018501</v>
      </c>
    </row>
    <row r="1145" spans="1:18">
      <c r="A1145" s="14" t="s">
        <v>14</v>
      </c>
      <c r="B1145" s="8">
        <f t="shared" si="25"/>
        <v>70180001</v>
      </c>
      <c r="C1145" s="18" t="s">
        <v>1162</v>
      </c>
      <c r="E1145" s="2" t="str">
        <f>F1145&amp;(VLOOKUP(G1145,编号表!$E$1:$G$8,2,0))&amp;H1145&amp;"_"&amp;I1145&amp;"_"&amp;J1145</f>
        <v>18J0_0_1</v>
      </c>
      <c r="F1145" s="2">
        <v>18</v>
      </c>
      <c r="G1145" s="2" t="s">
        <v>86</v>
      </c>
      <c r="H1145" s="2">
        <v>0</v>
      </c>
      <c r="I1145" s="2">
        <v>0</v>
      </c>
      <c r="J1145" s="2">
        <f>COUNTIFS($F$13:F1145,F1145,$I$13:I1145,I1145)</f>
        <v>1</v>
      </c>
      <c r="K1145" s="2">
        <v>1</v>
      </c>
    </row>
    <row r="1146" spans="1:18">
      <c r="A1146" s="14" t="s">
        <v>14</v>
      </c>
      <c r="B1146" s="8">
        <f t="shared" si="25"/>
        <v>70196101</v>
      </c>
      <c r="C1146" s="2" t="s">
        <v>1163</v>
      </c>
      <c r="E1146" s="2" t="str">
        <f>F1146&amp;(VLOOKUP(G1146,编号表!$E$1:$G$8,2,0))&amp;H1146&amp;"_"&amp;I1146&amp;"_"&amp;J1146</f>
        <v>19N6_1_1</v>
      </c>
      <c r="F1146" s="2">
        <v>19</v>
      </c>
      <c r="G1146" s="2" t="s">
        <v>37</v>
      </c>
      <c r="H1146" s="2">
        <v>6</v>
      </c>
      <c r="I1146" s="2">
        <v>1</v>
      </c>
      <c r="J1146" s="2">
        <f>COUNTIFS($F$13:F1146,F1146,$I$13:I1146,I1146)</f>
        <v>1</v>
      </c>
      <c r="O1146" s="8">
        <v>1019201</v>
      </c>
      <c r="P1146" s="8">
        <f t="shared" ref="P1146:P1163" si="32">O1146+100</f>
        <v>1019301</v>
      </c>
      <c r="Q1146" s="8">
        <v>1019301</v>
      </c>
      <c r="R1146" s="8">
        <v>1019001</v>
      </c>
    </row>
    <row r="1147" spans="1:18">
      <c r="A1147" s="14" t="s">
        <v>14</v>
      </c>
      <c r="B1147" s="8">
        <f t="shared" si="25"/>
        <v>70195102</v>
      </c>
      <c r="C1147" s="2" t="s">
        <v>1164</v>
      </c>
      <c r="E1147" s="2" t="str">
        <f>F1147&amp;(VLOOKUP(G1147,编号表!$E$1:$G$8,2,0))&amp;H1147&amp;"_"&amp;I1147&amp;"_"&amp;J1147</f>
        <v>19N5_1_2</v>
      </c>
      <c r="F1147" s="2">
        <v>19</v>
      </c>
      <c r="G1147" s="2" t="s">
        <v>37</v>
      </c>
      <c r="H1147" s="2">
        <v>5</v>
      </c>
      <c r="I1147" s="2">
        <v>1</v>
      </c>
      <c r="J1147" s="2">
        <f>COUNTIFS($F$13:F1147,F1147,$I$13:I1147,I1147)</f>
        <v>2</v>
      </c>
      <c r="O1147" s="8">
        <v>1019201</v>
      </c>
      <c r="P1147" s="8">
        <f t="shared" si="32"/>
        <v>1019301</v>
      </c>
      <c r="Q1147" s="8">
        <v>1019301</v>
      </c>
      <c r="R1147" s="8">
        <v>1019101</v>
      </c>
    </row>
    <row r="1148" spans="1:18">
      <c r="A1148" s="14" t="s">
        <v>14</v>
      </c>
      <c r="B1148" s="8">
        <f t="shared" si="25"/>
        <v>70196103</v>
      </c>
      <c r="C1148" s="2" t="s">
        <v>1165</v>
      </c>
      <c r="E1148" s="2" t="str">
        <f>F1148&amp;(VLOOKUP(G1148,编号表!$E$1:$G$8,2,0))&amp;H1148&amp;"_"&amp;I1148&amp;"_"&amp;J1148</f>
        <v>19N6_1_3</v>
      </c>
      <c r="F1148" s="2">
        <v>19</v>
      </c>
      <c r="G1148" s="2" t="s">
        <v>37</v>
      </c>
      <c r="H1148" s="2">
        <v>6</v>
      </c>
      <c r="I1148" s="2">
        <v>1</v>
      </c>
      <c r="J1148" s="2">
        <f>COUNTIFS($F$13:F1148,F1148,$I$13:I1148,I1148)</f>
        <v>3</v>
      </c>
      <c r="O1148" s="8">
        <v>1019201</v>
      </c>
      <c r="P1148" s="8">
        <f t="shared" si="32"/>
        <v>1019301</v>
      </c>
      <c r="Q1148" s="8">
        <v>1019301</v>
      </c>
    </row>
    <row r="1149" spans="1:18">
      <c r="A1149" s="14" t="s">
        <v>14</v>
      </c>
      <c r="B1149" s="8">
        <f t="shared" si="25"/>
        <v>70196104</v>
      </c>
      <c r="C1149" s="2" t="s">
        <v>1166</v>
      </c>
      <c r="E1149" s="2" t="str">
        <f>F1149&amp;(VLOOKUP(G1149,编号表!$E$1:$G$8,2,0))&amp;H1149&amp;"_"&amp;I1149&amp;"_"&amp;J1149</f>
        <v>19N6_1_4</v>
      </c>
      <c r="F1149" s="2">
        <v>19</v>
      </c>
      <c r="G1149" s="2" t="s">
        <v>37</v>
      </c>
      <c r="H1149" s="2">
        <v>6</v>
      </c>
      <c r="I1149" s="2">
        <v>1</v>
      </c>
      <c r="J1149" s="2">
        <f>COUNTIFS($F$13:F1149,F1149,$I$13:I1149,I1149)</f>
        <v>4</v>
      </c>
      <c r="O1149" s="8">
        <v>1019201</v>
      </c>
      <c r="P1149" s="8">
        <f t="shared" si="32"/>
        <v>1019301</v>
      </c>
      <c r="Q1149" s="8">
        <v>1019301</v>
      </c>
    </row>
    <row r="1150" spans="1:18">
      <c r="A1150" s="14" t="s">
        <v>14</v>
      </c>
      <c r="B1150" s="8">
        <f t="shared" si="25"/>
        <v>70193105</v>
      </c>
      <c r="C1150" s="2" t="s">
        <v>1167</v>
      </c>
      <c r="E1150" s="2" t="str">
        <f>F1150&amp;(VLOOKUP(G1150,编号表!$E$1:$G$8,2,0))&amp;H1150&amp;"_"&amp;I1150&amp;"_"&amp;J1150</f>
        <v>19N3_1_5</v>
      </c>
      <c r="F1150" s="2">
        <v>19</v>
      </c>
      <c r="G1150" s="2" t="s">
        <v>37</v>
      </c>
      <c r="H1150" s="2">
        <v>3</v>
      </c>
      <c r="I1150" s="2">
        <v>1</v>
      </c>
      <c r="J1150" s="2">
        <f>COUNTIFS($F$13:F1150,F1150,$I$13:I1150,I1150)</f>
        <v>5</v>
      </c>
      <c r="O1150" s="8">
        <v>1019201</v>
      </c>
      <c r="P1150" s="8">
        <f t="shared" si="32"/>
        <v>1019301</v>
      </c>
      <c r="Q1150" s="8">
        <v>1019301</v>
      </c>
    </row>
    <row r="1151" spans="1:18">
      <c r="A1151" s="14" t="s">
        <v>14</v>
      </c>
      <c r="B1151" s="8">
        <f t="shared" si="25"/>
        <v>70195201</v>
      </c>
      <c r="C1151" s="2" t="s">
        <v>1168</v>
      </c>
      <c r="E1151" s="2" t="str">
        <f>F1151&amp;(VLOOKUP(G1151,编号表!$E$1:$G$8,2,0))&amp;H1151&amp;"_"&amp;I1151&amp;"_"&amp;J1151</f>
        <v>19N5_2_1</v>
      </c>
      <c r="F1151" s="2">
        <v>19</v>
      </c>
      <c r="G1151" s="2" t="s">
        <v>37</v>
      </c>
      <c r="H1151" s="2">
        <v>5</v>
      </c>
      <c r="I1151" s="2">
        <v>2</v>
      </c>
      <c r="J1151" s="2">
        <f>COUNTIFS($F$13:F1151,F1151,$I$13:I1151,I1151)</f>
        <v>1</v>
      </c>
      <c r="O1151" s="8">
        <v>1019201</v>
      </c>
      <c r="P1151" s="8">
        <f t="shared" si="32"/>
        <v>1019301</v>
      </c>
      <c r="Q1151" s="8">
        <v>1019301</v>
      </c>
    </row>
    <row r="1152" spans="1:18">
      <c r="A1152" s="14" t="s">
        <v>14</v>
      </c>
      <c r="B1152" s="8">
        <f t="shared" si="25"/>
        <v>70195202</v>
      </c>
      <c r="C1152" s="2" t="s">
        <v>1169</v>
      </c>
      <c r="E1152" s="2" t="str">
        <f>F1152&amp;(VLOOKUP(G1152,编号表!$E$1:$G$8,2,0))&amp;H1152&amp;"_"&amp;I1152&amp;"_"&amp;J1152</f>
        <v>19N5_2_2</v>
      </c>
      <c r="F1152" s="2">
        <v>19</v>
      </c>
      <c r="G1152" s="2" t="s">
        <v>37</v>
      </c>
      <c r="H1152" s="2">
        <v>5</v>
      </c>
      <c r="I1152" s="2">
        <v>2</v>
      </c>
      <c r="J1152" s="2">
        <f>COUNTIFS($F$13:F1152,F1152,$I$13:I1152,I1152)</f>
        <v>2</v>
      </c>
      <c r="O1152" s="8">
        <v>1019201</v>
      </c>
      <c r="P1152" s="8">
        <f t="shared" si="32"/>
        <v>1019301</v>
      </c>
      <c r="Q1152" s="8">
        <v>1019301</v>
      </c>
    </row>
    <row r="1153" spans="1:17">
      <c r="A1153" s="14" t="s">
        <v>14</v>
      </c>
      <c r="B1153" s="8">
        <f t="shared" si="25"/>
        <v>70195203</v>
      </c>
      <c r="C1153" s="2" t="s">
        <v>1170</v>
      </c>
      <c r="E1153" s="2" t="str">
        <f>F1153&amp;(VLOOKUP(G1153,编号表!$E$1:$G$8,2,0))&amp;H1153&amp;"_"&amp;I1153&amp;"_"&amp;J1153</f>
        <v>19N5_2_3</v>
      </c>
      <c r="F1153" s="2">
        <v>19</v>
      </c>
      <c r="G1153" s="2" t="s">
        <v>37</v>
      </c>
      <c r="H1153" s="2">
        <v>5</v>
      </c>
      <c r="I1153" s="2">
        <v>2</v>
      </c>
      <c r="J1153" s="2">
        <f>COUNTIFS($F$13:F1153,F1153,$I$13:I1153,I1153)</f>
        <v>3</v>
      </c>
      <c r="O1153" s="8">
        <v>1019201</v>
      </c>
      <c r="P1153" s="8">
        <f t="shared" si="32"/>
        <v>1019301</v>
      </c>
      <c r="Q1153" s="8">
        <v>1019301</v>
      </c>
    </row>
    <row r="1154" spans="1:17">
      <c r="A1154" s="14" t="s">
        <v>14</v>
      </c>
      <c r="B1154" s="8">
        <f t="shared" si="25"/>
        <v>70193204</v>
      </c>
      <c r="C1154" s="2" t="s">
        <v>1171</v>
      </c>
      <c r="E1154" s="2" t="str">
        <f>F1154&amp;(VLOOKUP(G1154,编号表!$E$1:$G$8,2,0))&amp;H1154&amp;"_"&amp;I1154&amp;"_"&amp;J1154</f>
        <v>19N3_2_4</v>
      </c>
      <c r="F1154" s="2">
        <v>19</v>
      </c>
      <c r="G1154" s="2" t="s">
        <v>37</v>
      </c>
      <c r="H1154" s="2">
        <v>3</v>
      </c>
      <c r="I1154" s="2">
        <v>2</v>
      </c>
      <c r="J1154" s="2">
        <f>COUNTIFS($F$13:F1154,F1154,$I$13:I1154,I1154)</f>
        <v>4</v>
      </c>
      <c r="O1154" s="8">
        <v>1019201</v>
      </c>
      <c r="P1154" s="8">
        <f t="shared" si="32"/>
        <v>1019301</v>
      </c>
      <c r="Q1154" s="8">
        <v>1019301</v>
      </c>
    </row>
    <row r="1155" spans="1:17">
      <c r="A1155" s="14" t="s">
        <v>14</v>
      </c>
      <c r="B1155" s="8">
        <f t="shared" si="25"/>
        <v>70192205</v>
      </c>
      <c r="C1155" s="2" t="s">
        <v>1172</v>
      </c>
      <c r="E1155" s="2" t="str">
        <f>F1155&amp;(VLOOKUP(G1155,编号表!$E$1:$G$8,2,0))&amp;H1155&amp;"_"&amp;I1155&amp;"_"&amp;J1155</f>
        <v>19N2_2_5</v>
      </c>
      <c r="F1155" s="2">
        <v>19</v>
      </c>
      <c r="G1155" s="2" t="s">
        <v>37</v>
      </c>
      <c r="H1155" s="2">
        <v>2</v>
      </c>
      <c r="I1155" s="2">
        <v>2</v>
      </c>
      <c r="J1155" s="2">
        <f>COUNTIFS($F$13:F1155,F1155,$I$13:I1155,I1155)</f>
        <v>5</v>
      </c>
      <c r="O1155" s="8">
        <v>1019201</v>
      </c>
      <c r="P1155" s="8">
        <f t="shared" si="32"/>
        <v>1019301</v>
      </c>
      <c r="Q1155" s="8">
        <v>1019301</v>
      </c>
    </row>
    <row r="1156" spans="1:17">
      <c r="A1156" s="14" t="s">
        <v>14</v>
      </c>
      <c r="B1156" s="8">
        <f t="shared" si="25"/>
        <v>70193206</v>
      </c>
      <c r="C1156" s="2" t="s">
        <v>1173</v>
      </c>
      <c r="E1156" s="2" t="str">
        <f>F1156&amp;(VLOOKUP(G1156,编号表!$E$1:$G$8,2,0))&amp;H1156&amp;"_"&amp;I1156&amp;"_"&amp;J1156</f>
        <v>19N3_2_6</v>
      </c>
      <c r="F1156" s="2">
        <v>19</v>
      </c>
      <c r="G1156" s="2" t="s">
        <v>37</v>
      </c>
      <c r="H1156" s="2">
        <v>3</v>
      </c>
      <c r="I1156" s="2">
        <v>2</v>
      </c>
      <c r="J1156" s="2">
        <f>COUNTIFS($F$13:F1156,F1156,$I$13:I1156,I1156)</f>
        <v>6</v>
      </c>
      <c r="O1156" s="8">
        <v>1019201</v>
      </c>
      <c r="P1156" s="8">
        <f t="shared" si="32"/>
        <v>1019301</v>
      </c>
      <c r="Q1156" s="8">
        <v>1019301</v>
      </c>
    </row>
    <row r="1157" spans="1:17">
      <c r="A1157" s="14" t="s">
        <v>14</v>
      </c>
      <c r="B1157" s="8">
        <f t="shared" si="25"/>
        <v>70194207</v>
      </c>
      <c r="C1157" s="2" t="s">
        <v>1174</v>
      </c>
      <c r="E1157" s="2" t="str">
        <f>F1157&amp;(VLOOKUP(G1157,编号表!$E$1:$G$8,2,0))&amp;H1157&amp;"_"&amp;I1157&amp;"_"&amp;J1157</f>
        <v>19N4_2_7</v>
      </c>
      <c r="F1157" s="2">
        <v>19</v>
      </c>
      <c r="G1157" s="2" t="s">
        <v>37</v>
      </c>
      <c r="H1157" s="2">
        <v>4</v>
      </c>
      <c r="I1157" s="2">
        <v>2</v>
      </c>
      <c r="J1157" s="2">
        <f>COUNTIFS($F$13:F1157,F1157,$I$13:I1157,I1157)</f>
        <v>7</v>
      </c>
      <c r="O1157" s="8">
        <v>1019201</v>
      </c>
      <c r="P1157" s="8">
        <f t="shared" si="32"/>
        <v>1019301</v>
      </c>
      <c r="Q1157" s="8">
        <v>1019301</v>
      </c>
    </row>
    <row r="1158" spans="1:17">
      <c r="A1158" s="14" t="s">
        <v>14</v>
      </c>
      <c r="B1158" s="8">
        <f t="shared" ref="B1158:B1221" si="33">70000000+F1158*10000+H1158*1000+I1158*100+J1158</f>
        <v>70195208</v>
      </c>
      <c r="C1158" s="2" t="s">
        <v>1175</v>
      </c>
      <c r="E1158" s="2" t="str">
        <f>F1158&amp;(VLOOKUP(G1158,编号表!$E$1:$G$8,2,0))&amp;H1158&amp;"_"&amp;I1158&amp;"_"&amp;J1158</f>
        <v>19N5_2_8</v>
      </c>
      <c r="F1158" s="2">
        <v>19</v>
      </c>
      <c r="G1158" s="2" t="s">
        <v>37</v>
      </c>
      <c r="H1158" s="2">
        <v>5</v>
      </c>
      <c r="I1158" s="2">
        <v>2</v>
      </c>
      <c r="J1158" s="2">
        <f>COUNTIFS($F$13:F1158,F1158,$I$13:I1158,I1158)</f>
        <v>8</v>
      </c>
      <c r="O1158" s="8">
        <v>1019201</v>
      </c>
      <c r="P1158" s="8">
        <f t="shared" si="32"/>
        <v>1019301</v>
      </c>
      <c r="Q1158" s="8">
        <v>1019301</v>
      </c>
    </row>
    <row r="1159" spans="1:17">
      <c r="A1159" s="14" t="s">
        <v>14</v>
      </c>
      <c r="B1159" s="8">
        <f t="shared" si="33"/>
        <v>70195209</v>
      </c>
      <c r="C1159" s="2" t="s">
        <v>1176</v>
      </c>
      <c r="E1159" s="2" t="str">
        <f>F1159&amp;(VLOOKUP(G1159,编号表!$E$1:$G$8,2,0))&amp;H1159&amp;"_"&amp;I1159&amp;"_"&amp;J1159</f>
        <v>19N5_2_9</v>
      </c>
      <c r="F1159" s="2">
        <v>19</v>
      </c>
      <c r="G1159" s="2" t="s">
        <v>37</v>
      </c>
      <c r="H1159" s="2">
        <v>5</v>
      </c>
      <c r="I1159" s="2">
        <v>2</v>
      </c>
      <c r="J1159" s="2">
        <f>COUNTIFS($F$13:F1159,F1159,$I$13:I1159,I1159)</f>
        <v>9</v>
      </c>
      <c r="O1159" s="8">
        <v>1019201</v>
      </c>
      <c r="P1159" s="8">
        <f t="shared" si="32"/>
        <v>1019301</v>
      </c>
      <c r="Q1159" s="8">
        <v>1019301</v>
      </c>
    </row>
    <row r="1160" spans="1:17">
      <c r="A1160" s="14" t="s">
        <v>14</v>
      </c>
      <c r="B1160" s="8">
        <f t="shared" si="33"/>
        <v>70195301</v>
      </c>
      <c r="C1160" s="2" t="s">
        <v>1177</v>
      </c>
      <c r="E1160" s="2" t="str">
        <f>F1160&amp;(VLOOKUP(G1160,编号表!$E$1:$G$8,2,0))&amp;H1160&amp;"_"&amp;I1160&amp;"_"&amp;J1160</f>
        <v>19N5_3_1</v>
      </c>
      <c r="F1160" s="2">
        <v>19</v>
      </c>
      <c r="G1160" s="2" t="s">
        <v>37</v>
      </c>
      <c r="H1160" s="2">
        <v>5</v>
      </c>
      <c r="I1160" s="2">
        <v>3</v>
      </c>
      <c r="J1160" s="2">
        <f>COUNTIFS($F$13:F1160,F1160,$I$13:I1160,I1160)</f>
        <v>1</v>
      </c>
      <c r="O1160" s="8">
        <v>1019201</v>
      </c>
      <c r="P1160" s="8">
        <f t="shared" si="32"/>
        <v>1019301</v>
      </c>
      <c r="Q1160" s="8">
        <v>1019301</v>
      </c>
    </row>
    <row r="1161" spans="1:17">
      <c r="A1161" s="14" t="s">
        <v>14</v>
      </c>
      <c r="B1161" s="8">
        <f t="shared" si="33"/>
        <v>70195302</v>
      </c>
      <c r="C1161" s="2" t="s">
        <v>1178</v>
      </c>
      <c r="E1161" s="2" t="str">
        <f>F1161&amp;(VLOOKUP(G1161,编号表!$E$1:$G$8,2,0))&amp;H1161&amp;"_"&amp;I1161&amp;"_"&amp;J1161</f>
        <v>19N5_3_2</v>
      </c>
      <c r="F1161" s="2">
        <v>19</v>
      </c>
      <c r="G1161" s="2" t="s">
        <v>37</v>
      </c>
      <c r="H1161" s="2">
        <v>5</v>
      </c>
      <c r="I1161" s="2">
        <v>3</v>
      </c>
      <c r="J1161" s="2">
        <f>COUNTIFS($F$13:F1161,F1161,$I$13:I1161,I1161)</f>
        <v>2</v>
      </c>
      <c r="O1161" s="8">
        <v>1019201</v>
      </c>
      <c r="P1161" s="8">
        <f t="shared" si="32"/>
        <v>1019301</v>
      </c>
      <c r="Q1161" s="8">
        <v>1019301</v>
      </c>
    </row>
    <row r="1162" spans="1:17">
      <c r="A1162" s="14" t="s">
        <v>14</v>
      </c>
      <c r="B1162" s="8">
        <f t="shared" si="33"/>
        <v>70195303</v>
      </c>
      <c r="C1162" s="2" t="s">
        <v>1179</v>
      </c>
      <c r="E1162" s="2" t="str">
        <f>F1162&amp;(VLOOKUP(G1162,编号表!$E$1:$G$8,2,0))&amp;H1162&amp;"_"&amp;I1162&amp;"_"&amp;J1162</f>
        <v>19N5_3_3</v>
      </c>
      <c r="F1162" s="2">
        <v>19</v>
      </c>
      <c r="G1162" s="2" t="s">
        <v>37</v>
      </c>
      <c r="H1162" s="2">
        <v>5</v>
      </c>
      <c r="I1162" s="2">
        <v>3</v>
      </c>
      <c r="J1162" s="2">
        <f>COUNTIFS($F$13:F1162,F1162,$I$13:I1162,I1162)</f>
        <v>3</v>
      </c>
      <c r="O1162" s="8">
        <v>1019201</v>
      </c>
      <c r="P1162" s="8">
        <f t="shared" si="32"/>
        <v>1019301</v>
      </c>
      <c r="Q1162" s="8">
        <v>1019301</v>
      </c>
    </row>
    <row r="1163" spans="1:17">
      <c r="A1163" s="14" t="s">
        <v>14</v>
      </c>
      <c r="B1163" s="8">
        <f t="shared" si="33"/>
        <v>70193304</v>
      </c>
      <c r="C1163" s="2" t="s">
        <v>1180</v>
      </c>
      <c r="E1163" s="2" t="str">
        <f>F1163&amp;(VLOOKUP(G1163,编号表!$E$1:$G$8,2,0))&amp;H1163&amp;"_"&amp;I1163&amp;"_"&amp;J1163</f>
        <v>19N3_3_4</v>
      </c>
      <c r="F1163" s="2">
        <v>19</v>
      </c>
      <c r="G1163" s="2" t="s">
        <v>37</v>
      </c>
      <c r="H1163" s="2">
        <v>3</v>
      </c>
      <c r="I1163" s="2">
        <v>3</v>
      </c>
      <c r="J1163" s="2">
        <f>COUNTIFS($F$13:F1163,F1163,$I$13:I1163,I1163)</f>
        <v>4</v>
      </c>
      <c r="O1163" s="8">
        <v>1019201</v>
      </c>
      <c r="P1163" s="8">
        <f t="shared" si="32"/>
        <v>1019301</v>
      </c>
      <c r="Q1163" s="8">
        <v>1019301</v>
      </c>
    </row>
    <row r="1164" spans="1:17">
      <c r="A1164" s="14" t="s">
        <v>14</v>
      </c>
      <c r="B1164" s="8">
        <f t="shared" si="33"/>
        <v>70193305</v>
      </c>
      <c r="C1164" s="16" t="s">
        <v>1181</v>
      </c>
      <c r="D1164" s="2" t="s">
        <v>1182</v>
      </c>
      <c r="E1164" s="2" t="str">
        <f>F1164&amp;(VLOOKUP(G1164,编号表!$E$1:$G$8,2,0))&amp;H1164&amp;"_"&amp;I1164&amp;"_"&amp;J1164</f>
        <v>19T3_3_5</v>
      </c>
      <c r="F1164" s="2">
        <v>19</v>
      </c>
      <c r="G1164" s="2" t="s">
        <v>53</v>
      </c>
      <c r="H1164" s="2">
        <v>3</v>
      </c>
      <c r="I1164" s="2">
        <v>3</v>
      </c>
      <c r="J1164" s="2">
        <f>COUNTIFS($F$13:F1164,F1164,$I$13:I1164,I1164)</f>
        <v>5</v>
      </c>
      <c r="M1164" s="2">
        <v>139</v>
      </c>
    </row>
    <row r="1165" spans="1:17">
      <c r="A1165" s="14" t="s">
        <v>14</v>
      </c>
      <c r="B1165" s="8">
        <f t="shared" si="33"/>
        <v>70191306</v>
      </c>
      <c r="C1165" s="15" t="s">
        <v>1183</v>
      </c>
      <c r="E1165" s="2" t="str">
        <f>F1165&amp;(VLOOKUP(G1165,编号表!$E$1:$G$8,2,0))&amp;H1165&amp;"_"&amp;I1165&amp;"_"&amp;J1165</f>
        <v>19T1_3_6</v>
      </c>
      <c r="F1165" s="2">
        <v>19</v>
      </c>
      <c r="G1165" s="2" t="s">
        <v>53</v>
      </c>
      <c r="H1165" s="2">
        <v>1</v>
      </c>
      <c r="I1165" s="2">
        <v>3</v>
      </c>
      <c r="J1165" s="2">
        <f>COUNTIFS($F$13:F1165,F1165,$I$13:I1165,I1165)</f>
        <v>6</v>
      </c>
    </row>
    <row r="1166" spans="1:17">
      <c r="A1166" s="14" t="s">
        <v>14</v>
      </c>
      <c r="B1166" s="8">
        <f t="shared" si="33"/>
        <v>70194307</v>
      </c>
      <c r="C1166" s="2" t="s">
        <v>1184</v>
      </c>
      <c r="E1166" s="2" t="str">
        <f>F1166&amp;(VLOOKUP(G1166,编号表!$E$1:$G$8,2,0))&amp;H1166&amp;"_"&amp;I1166&amp;"_"&amp;J1166</f>
        <v>19N4_3_7</v>
      </c>
      <c r="F1166" s="2">
        <v>19</v>
      </c>
      <c r="G1166" s="2" t="s">
        <v>37</v>
      </c>
      <c r="H1166" s="2">
        <v>4</v>
      </c>
      <c r="I1166" s="2">
        <v>3</v>
      </c>
      <c r="J1166" s="2">
        <f>COUNTIFS($F$13:F1166,F1166,$I$13:I1166,I1166)</f>
        <v>7</v>
      </c>
      <c r="O1166" s="8">
        <v>1019201</v>
      </c>
      <c r="P1166" s="8">
        <f t="shared" ref="P1166:P1169" si="34">O1166+100</f>
        <v>1019301</v>
      </c>
      <c r="Q1166" s="8">
        <v>1019301</v>
      </c>
    </row>
    <row r="1167" spans="1:17">
      <c r="A1167" s="14" t="s">
        <v>14</v>
      </c>
      <c r="B1167" s="8">
        <f t="shared" si="33"/>
        <v>70195308</v>
      </c>
      <c r="C1167" s="2" t="s">
        <v>1185</v>
      </c>
      <c r="E1167" s="2" t="str">
        <f>F1167&amp;(VLOOKUP(G1167,编号表!$E$1:$G$8,2,0))&amp;H1167&amp;"_"&amp;I1167&amp;"_"&amp;J1167</f>
        <v>19N5_3_8</v>
      </c>
      <c r="F1167" s="2">
        <v>19</v>
      </c>
      <c r="G1167" s="2" t="s">
        <v>37</v>
      </c>
      <c r="H1167" s="2">
        <v>5</v>
      </c>
      <c r="I1167" s="2">
        <v>3</v>
      </c>
      <c r="J1167" s="2">
        <f>COUNTIFS($F$13:F1167,F1167,$I$13:I1167,I1167)</f>
        <v>8</v>
      </c>
      <c r="O1167" s="8">
        <v>1019201</v>
      </c>
      <c r="P1167" s="8">
        <f t="shared" si="34"/>
        <v>1019301</v>
      </c>
      <c r="Q1167" s="8">
        <v>1019301</v>
      </c>
    </row>
    <row r="1168" spans="1:17">
      <c r="A1168" s="14" t="s">
        <v>14</v>
      </c>
      <c r="B1168" s="8">
        <f t="shared" si="33"/>
        <v>70195309</v>
      </c>
      <c r="C1168" s="2" t="s">
        <v>1186</v>
      </c>
      <c r="E1168" s="2" t="str">
        <f>F1168&amp;(VLOOKUP(G1168,编号表!$E$1:$G$8,2,0))&amp;H1168&amp;"_"&amp;I1168&amp;"_"&amp;J1168</f>
        <v>19N5_3_9</v>
      </c>
      <c r="F1168" s="2">
        <v>19</v>
      </c>
      <c r="G1168" s="2" t="s">
        <v>37</v>
      </c>
      <c r="H1168" s="2">
        <v>5</v>
      </c>
      <c r="I1168" s="2">
        <v>3</v>
      </c>
      <c r="J1168" s="2">
        <f>COUNTIFS($F$13:F1168,F1168,$I$13:I1168,I1168)</f>
        <v>9</v>
      </c>
      <c r="O1168" s="8">
        <v>1019201</v>
      </c>
      <c r="P1168" s="8">
        <f t="shared" si="34"/>
        <v>1019301</v>
      </c>
      <c r="Q1168" s="8">
        <v>1019301</v>
      </c>
    </row>
    <row r="1169" spans="1:17">
      <c r="A1169" s="14" t="s">
        <v>14</v>
      </c>
      <c r="B1169" s="8">
        <f t="shared" si="33"/>
        <v>70195310</v>
      </c>
      <c r="C1169" s="2" t="s">
        <v>1187</v>
      </c>
      <c r="E1169" s="2" t="str">
        <f>F1169&amp;(VLOOKUP(G1169,编号表!$E$1:$G$8,2,0))&amp;H1169&amp;"_"&amp;I1169&amp;"_"&amp;J1169</f>
        <v>19N5_3_10</v>
      </c>
      <c r="F1169" s="2">
        <v>19</v>
      </c>
      <c r="G1169" s="2" t="s">
        <v>37</v>
      </c>
      <c r="H1169" s="2">
        <v>5</v>
      </c>
      <c r="I1169" s="2">
        <v>3</v>
      </c>
      <c r="J1169" s="2">
        <f>COUNTIFS($F$13:F1169,F1169,$I$13:I1169,I1169)</f>
        <v>10</v>
      </c>
      <c r="O1169" s="8">
        <v>1019201</v>
      </c>
      <c r="P1169" s="8">
        <f t="shared" si="34"/>
        <v>1019301</v>
      </c>
      <c r="Q1169" s="8">
        <v>1019301</v>
      </c>
    </row>
    <row r="1170" spans="1:17">
      <c r="A1170" s="14" t="s">
        <v>14</v>
      </c>
      <c r="B1170" s="8">
        <f t="shared" si="33"/>
        <v>70191311</v>
      </c>
      <c r="C1170" s="15" t="s">
        <v>1129</v>
      </c>
      <c r="E1170" s="2" t="str">
        <f>F1170&amp;(VLOOKUP(G1170,编号表!$E$1:$G$8,2,0))&amp;H1170&amp;"_"&amp;I1170&amp;"_"&amp;J1170</f>
        <v>19T1_3_11</v>
      </c>
      <c r="F1170" s="2">
        <v>19</v>
      </c>
      <c r="G1170" s="2" t="s">
        <v>53</v>
      </c>
      <c r="H1170" s="2">
        <v>1</v>
      </c>
      <c r="I1170" s="2">
        <v>3</v>
      </c>
      <c r="J1170" s="2">
        <f>COUNTIFS($F$13:F1170,F1170,$I$13:I1170,I1170)</f>
        <v>11</v>
      </c>
      <c r="L1170" s="2">
        <v>1</v>
      </c>
    </row>
    <row r="1171" spans="1:17">
      <c r="A1171" s="14" t="s">
        <v>14</v>
      </c>
      <c r="B1171" s="8">
        <f t="shared" si="33"/>
        <v>70193312</v>
      </c>
      <c r="C1171" s="16" t="s">
        <v>1086</v>
      </c>
      <c r="D1171" s="2" t="s">
        <v>1127</v>
      </c>
      <c r="E1171" s="2" t="str">
        <f>F1171&amp;(VLOOKUP(G1171,编号表!$E$1:$G$8,2,0))&amp;H1171&amp;"_"&amp;I1171&amp;"_"&amp;J1171</f>
        <v>19T3_3_12</v>
      </c>
      <c r="F1171" s="2">
        <v>19</v>
      </c>
      <c r="G1171" s="2" t="s">
        <v>53</v>
      </c>
      <c r="H1171" s="2">
        <v>3</v>
      </c>
      <c r="I1171" s="2">
        <v>3</v>
      </c>
      <c r="J1171" s="2">
        <f>COUNTIFS($F$13:F1171,F1171,$I$13:I1171,I1171)</f>
        <v>12</v>
      </c>
    </row>
    <row r="1172" spans="1:17">
      <c r="A1172" s="14" t="s">
        <v>14</v>
      </c>
      <c r="B1172" s="8">
        <f t="shared" si="33"/>
        <v>70194401</v>
      </c>
      <c r="C1172" s="2" t="s">
        <v>1188</v>
      </c>
      <c r="E1172" s="2" t="str">
        <f>F1172&amp;(VLOOKUP(G1172,编号表!$E$1:$G$8,2,0))&amp;H1172&amp;"_"&amp;I1172&amp;"_"&amp;J1172</f>
        <v>19N4_4_1</v>
      </c>
      <c r="F1172" s="2">
        <v>19</v>
      </c>
      <c r="G1172" s="2" t="s">
        <v>37</v>
      </c>
      <c r="H1172" s="2">
        <v>4</v>
      </c>
      <c r="I1172" s="2">
        <v>4</v>
      </c>
      <c r="J1172" s="2">
        <f>COUNTIFS($F$13:F1172,F1172,$I$13:I1172,I1172)</f>
        <v>1</v>
      </c>
      <c r="O1172" s="8">
        <v>1019201</v>
      </c>
      <c r="P1172" s="8">
        <f t="shared" ref="P1172:P1178" si="35">O1172+100</f>
        <v>1019301</v>
      </c>
      <c r="Q1172" s="8">
        <v>1019301</v>
      </c>
    </row>
    <row r="1173" spans="1:17">
      <c r="A1173" s="14" t="s">
        <v>14</v>
      </c>
      <c r="B1173" s="8">
        <f t="shared" si="33"/>
        <v>70194402</v>
      </c>
      <c r="C1173" s="2" t="s">
        <v>1189</v>
      </c>
      <c r="E1173" s="2" t="str">
        <f>F1173&amp;(VLOOKUP(G1173,编号表!$E$1:$G$8,2,0))&amp;H1173&amp;"_"&amp;I1173&amp;"_"&amp;J1173</f>
        <v>19N4_4_2</v>
      </c>
      <c r="F1173" s="2">
        <v>19</v>
      </c>
      <c r="G1173" s="2" t="s">
        <v>37</v>
      </c>
      <c r="H1173" s="2">
        <v>4</v>
      </c>
      <c r="I1173" s="2">
        <v>4</v>
      </c>
      <c r="J1173" s="2">
        <f>COUNTIFS($F$13:F1173,F1173,$I$13:I1173,I1173)</f>
        <v>2</v>
      </c>
      <c r="O1173" s="8">
        <v>1019201</v>
      </c>
      <c r="P1173" s="8">
        <f t="shared" si="35"/>
        <v>1019301</v>
      </c>
      <c r="Q1173" s="8">
        <v>1019301</v>
      </c>
    </row>
    <row r="1174" spans="1:17">
      <c r="A1174" s="14" t="s">
        <v>14</v>
      </c>
      <c r="B1174" s="8">
        <f t="shared" si="33"/>
        <v>70194403</v>
      </c>
      <c r="C1174" s="2" t="s">
        <v>1190</v>
      </c>
      <c r="E1174" s="2" t="str">
        <f>F1174&amp;(VLOOKUP(G1174,编号表!$E$1:$G$8,2,0))&amp;H1174&amp;"_"&amp;I1174&amp;"_"&amp;J1174</f>
        <v>19N4_4_3</v>
      </c>
      <c r="F1174" s="2">
        <v>19</v>
      </c>
      <c r="G1174" s="2" t="s">
        <v>37</v>
      </c>
      <c r="H1174" s="2">
        <v>4</v>
      </c>
      <c r="I1174" s="2">
        <v>4</v>
      </c>
      <c r="J1174" s="2">
        <f>COUNTIFS($F$13:F1174,F1174,$I$13:I1174,I1174)</f>
        <v>3</v>
      </c>
      <c r="O1174" s="8">
        <v>1019201</v>
      </c>
      <c r="P1174" s="8">
        <f t="shared" si="35"/>
        <v>1019301</v>
      </c>
      <c r="Q1174" s="8">
        <v>1019301</v>
      </c>
    </row>
    <row r="1175" spans="1:17">
      <c r="A1175" s="14" t="s">
        <v>14</v>
      </c>
      <c r="B1175" s="8">
        <f t="shared" si="33"/>
        <v>70194404</v>
      </c>
      <c r="C1175" s="2" t="s">
        <v>1191</v>
      </c>
      <c r="E1175" s="2" t="str">
        <f>F1175&amp;(VLOOKUP(G1175,编号表!$E$1:$G$8,2,0))&amp;H1175&amp;"_"&amp;I1175&amp;"_"&amp;J1175</f>
        <v>19N4_4_4</v>
      </c>
      <c r="F1175" s="2">
        <v>19</v>
      </c>
      <c r="G1175" s="2" t="s">
        <v>37</v>
      </c>
      <c r="H1175" s="2">
        <v>4</v>
      </c>
      <c r="I1175" s="2">
        <v>4</v>
      </c>
      <c r="J1175" s="2">
        <f>COUNTIFS($F$13:F1175,F1175,$I$13:I1175,I1175)</f>
        <v>4</v>
      </c>
      <c r="O1175" s="8">
        <v>1019201</v>
      </c>
      <c r="P1175" s="8">
        <f t="shared" si="35"/>
        <v>1019301</v>
      </c>
      <c r="Q1175" s="8">
        <v>1019301</v>
      </c>
    </row>
    <row r="1176" spans="1:17">
      <c r="A1176" s="14" t="s">
        <v>14</v>
      </c>
      <c r="B1176" s="8">
        <f t="shared" si="33"/>
        <v>70194405</v>
      </c>
      <c r="C1176" s="2" t="s">
        <v>1192</v>
      </c>
      <c r="E1176" s="2" t="str">
        <f>F1176&amp;(VLOOKUP(G1176,编号表!$E$1:$G$8,2,0))&amp;H1176&amp;"_"&amp;I1176&amp;"_"&amp;J1176</f>
        <v>19N4_4_5</v>
      </c>
      <c r="F1176" s="2">
        <v>19</v>
      </c>
      <c r="G1176" s="2" t="s">
        <v>37</v>
      </c>
      <c r="H1176" s="2">
        <v>4</v>
      </c>
      <c r="I1176" s="2">
        <v>4</v>
      </c>
      <c r="J1176" s="2">
        <f>COUNTIFS($F$13:F1176,F1176,$I$13:I1176,I1176)</f>
        <v>5</v>
      </c>
      <c r="O1176" s="8">
        <v>1019201</v>
      </c>
      <c r="P1176" s="8">
        <f t="shared" si="35"/>
        <v>1019301</v>
      </c>
      <c r="Q1176" s="8">
        <v>1019301</v>
      </c>
    </row>
    <row r="1177" spans="1:17">
      <c r="A1177" s="14" t="s">
        <v>14</v>
      </c>
      <c r="B1177" s="8">
        <f t="shared" si="33"/>
        <v>70194406</v>
      </c>
      <c r="C1177" s="2" t="s">
        <v>1193</v>
      </c>
      <c r="E1177" s="2" t="str">
        <f>F1177&amp;(VLOOKUP(G1177,编号表!$E$1:$G$8,2,0))&amp;H1177&amp;"_"&amp;I1177&amp;"_"&amp;J1177</f>
        <v>19N4_4_6</v>
      </c>
      <c r="F1177" s="2">
        <v>19</v>
      </c>
      <c r="G1177" s="2" t="s">
        <v>37</v>
      </c>
      <c r="H1177" s="2">
        <v>4</v>
      </c>
      <c r="I1177" s="2">
        <v>4</v>
      </c>
      <c r="J1177" s="2">
        <f>COUNTIFS($F$13:F1177,F1177,$I$13:I1177,I1177)</f>
        <v>6</v>
      </c>
      <c r="O1177" s="8">
        <v>1019201</v>
      </c>
      <c r="P1177" s="8">
        <f t="shared" si="35"/>
        <v>1019301</v>
      </c>
      <c r="Q1177" s="8">
        <v>1019301</v>
      </c>
    </row>
    <row r="1178" spans="1:17">
      <c r="A1178" s="14" t="s">
        <v>14</v>
      </c>
      <c r="B1178" s="8">
        <f t="shared" si="33"/>
        <v>70192407</v>
      </c>
      <c r="C1178" s="2" t="s">
        <v>1194</v>
      </c>
      <c r="E1178" s="2" t="str">
        <f>F1178&amp;(VLOOKUP(G1178,编号表!$E$1:$G$8,2,0))&amp;H1178&amp;"_"&amp;I1178&amp;"_"&amp;J1178</f>
        <v>19N2_4_7</v>
      </c>
      <c r="F1178" s="2">
        <v>19</v>
      </c>
      <c r="G1178" s="2" t="s">
        <v>37</v>
      </c>
      <c r="H1178" s="2">
        <v>2</v>
      </c>
      <c r="I1178" s="2">
        <v>4</v>
      </c>
      <c r="J1178" s="2">
        <f>COUNTIFS($F$13:F1178,F1178,$I$13:I1178,I1178)</f>
        <v>7</v>
      </c>
      <c r="O1178" s="8">
        <v>1019201</v>
      </c>
      <c r="P1178" s="8">
        <f t="shared" si="35"/>
        <v>1019301</v>
      </c>
      <c r="Q1178" s="8">
        <v>1019301</v>
      </c>
    </row>
    <row r="1179" spans="1:17">
      <c r="A1179" s="14" t="s">
        <v>14</v>
      </c>
      <c r="B1179" s="8">
        <f t="shared" si="33"/>
        <v>70190001</v>
      </c>
      <c r="C1179" s="18" t="s">
        <v>1195</v>
      </c>
      <c r="E1179" s="2" t="str">
        <f>F1179&amp;(VLOOKUP(G1179,编号表!$E$1:$G$8,2,0))&amp;H1179&amp;"_"&amp;I1179&amp;"_"&amp;J1179</f>
        <v>19J0_0_1</v>
      </c>
      <c r="F1179" s="2">
        <v>19</v>
      </c>
      <c r="G1179" s="2" t="s">
        <v>86</v>
      </c>
      <c r="H1179" s="2">
        <v>0</v>
      </c>
      <c r="I1179" s="2">
        <v>0</v>
      </c>
      <c r="J1179" s="2">
        <f>COUNTIFS($F$13:F1179,F1179,$I$13:I1179,I1179)</f>
        <v>1</v>
      </c>
      <c r="K1179" s="2">
        <v>1</v>
      </c>
    </row>
    <row r="1180" spans="1:17">
      <c r="A1180" s="14" t="s">
        <v>14</v>
      </c>
      <c r="B1180" s="8">
        <f t="shared" si="33"/>
        <v>70205101</v>
      </c>
      <c r="C1180" s="2" t="s">
        <v>1196</v>
      </c>
      <c r="E1180" s="2" t="str">
        <f>F1180&amp;(VLOOKUP(G1180,编号表!$E$1:$G$8,2,0))&amp;H1180&amp;"_"&amp;I1180&amp;"_"&amp;J1180</f>
        <v>20N5_1_1</v>
      </c>
      <c r="F1180" s="2">
        <v>20</v>
      </c>
      <c r="G1180" s="2" t="s">
        <v>37</v>
      </c>
      <c r="H1180" s="2">
        <v>5</v>
      </c>
      <c r="I1180" s="2">
        <v>1</v>
      </c>
      <c r="J1180" s="2">
        <f>COUNTIFS($F$13:F1180,F1180,$I$13:I1180,I1180)</f>
        <v>1</v>
      </c>
      <c r="O1180" s="8">
        <v>1020201</v>
      </c>
      <c r="P1180" s="8">
        <v>1020001</v>
      </c>
    </row>
    <row r="1181" spans="1:17">
      <c r="A1181" s="14" t="s">
        <v>14</v>
      </c>
      <c r="B1181" s="8">
        <f t="shared" si="33"/>
        <v>70205102</v>
      </c>
      <c r="C1181" s="2" t="s">
        <v>1197</v>
      </c>
      <c r="E1181" s="2" t="str">
        <f>F1181&amp;(VLOOKUP(G1181,编号表!$E$1:$G$8,2,0))&amp;H1181&amp;"_"&amp;I1181&amp;"_"&amp;J1181</f>
        <v>20N5_1_2</v>
      </c>
      <c r="F1181" s="2">
        <v>20</v>
      </c>
      <c r="G1181" s="2" t="s">
        <v>37</v>
      </c>
      <c r="H1181" s="2">
        <v>5</v>
      </c>
      <c r="I1181" s="2">
        <v>1</v>
      </c>
      <c r="J1181" s="2">
        <f>COUNTIFS($F$13:F1181,F1181,$I$13:I1181,I1181)</f>
        <v>2</v>
      </c>
      <c r="O1181" s="8">
        <v>1020201</v>
      </c>
      <c r="P1181" s="8">
        <v>1020101</v>
      </c>
    </row>
    <row r="1182" spans="1:17">
      <c r="A1182" s="14" t="s">
        <v>14</v>
      </c>
      <c r="B1182" s="8">
        <f t="shared" si="33"/>
        <v>70203103</v>
      </c>
      <c r="C1182" s="2" t="s">
        <v>1198</v>
      </c>
      <c r="E1182" s="2" t="str">
        <f>F1182&amp;(VLOOKUP(G1182,编号表!$E$1:$G$8,2,0))&amp;H1182&amp;"_"&amp;I1182&amp;"_"&amp;J1182</f>
        <v>20N3_1_3</v>
      </c>
      <c r="F1182" s="2">
        <v>20</v>
      </c>
      <c r="G1182" s="2" t="s">
        <v>37</v>
      </c>
      <c r="H1182" s="2">
        <v>3</v>
      </c>
      <c r="I1182" s="2">
        <v>1</v>
      </c>
      <c r="J1182" s="2">
        <f>COUNTIFS($F$13:F1182,F1182,$I$13:I1182,I1182)</f>
        <v>3</v>
      </c>
      <c r="O1182" s="8">
        <v>1020201</v>
      </c>
      <c r="P1182" s="8">
        <v>1020102</v>
      </c>
    </row>
    <row r="1183" spans="1:17">
      <c r="A1183" s="14" t="s">
        <v>14</v>
      </c>
      <c r="B1183" s="8">
        <f t="shared" si="33"/>
        <v>70203104</v>
      </c>
      <c r="C1183" s="2" t="s">
        <v>1199</v>
      </c>
      <c r="E1183" s="2" t="str">
        <f>F1183&amp;(VLOOKUP(G1183,编号表!$E$1:$G$8,2,0))&amp;H1183&amp;"_"&amp;I1183&amp;"_"&amp;J1183</f>
        <v>20N3_1_4</v>
      </c>
      <c r="F1183" s="2">
        <v>20</v>
      </c>
      <c r="G1183" s="2" t="s">
        <v>37</v>
      </c>
      <c r="H1183" s="2">
        <v>3</v>
      </c>
      <c r="I1183" s="2">
        <v>1</v>
      </c>
      <c r="J1183" s="2">
        <f>COUNTIFS($F$13:F1183,F1183,$I$13:I1183,I1183)</f>
        <v>4</v>
      </c>
      <c r="O1183" s="8">
        <v>1020201</v>
      </c>
    </row>
    <row r="1184" spans="1:17">
      <c r="A1184" s="14" t="s">
        <v>14</v>
      </c>
      <c r="B1184" s="8">
        <f t="shared" si="33"/>
        <v>70205201</v>
      </c>
      <c r="C1184" s="2" t="s">
        <v>1200</v>
      </c>
      <c r="E1184" s="2" t="str">
        <f>F1184&amp;(VLOOKUP(G1184,编号表!$E$1:$G$8,2,0))&amp;H1184&amp;"_"&amp;I1184&amp;"_"&amp;J1184</f>
        <v>20N5_2_1</v>
      </c>
      <c r="F1184" s="2">
        <v>20</v>
      </c>
      <c r="G1184" s="2" t="s">
        <v>37</v>
      </c>
      <c r="H1184" s="2">
        <v>5</v>
      </c>
      <c r="I1184" s="2">
        <v>2</v>
      </c>
      <c r="J1184" s="2">
        <f>COUNTIFS($F$13:F1184,F1184,$I$13:I1184,I1184)</f>
        <v>1</v>
      </c>
      <c r="O1184" s="8">
        <v>1020201</v>
      </c>
    </row>
    <row r="1185" spans="1:19">
      <c r="A1185" s="14" t="s">
        <v>14</v>
      </c>
      <c r="B1185" s="8">
        <f t="shared" si="33"/>
        <v>70205202</v>
      </c>
      <c r="C1185" s="2" t="s">
        <v>1201</v>
      </c>
      <c r="E1185" s="2" t="str">
        <f>F1185&amp;(VLOOKUP(G1185,编号表!$E$1:$G$8,2,0))&amp;H1185&amp;"_"&amp;I1185&amp;"_"&amp;J1185</f>
        <v>20N5_2_2</v>
      </c>
      <c r="F1185" s="2">
        <v>20</v>
      </c>
      <c r="G1185" s="2" t="s">
        <v>37</v>
      </c>
      <c r="H1185" s="2">
        <v>5</v>
      </c>
      <c r="I1185" s="2">
        <v>2</v>
      </c>
      <c r="J1185" s="2">
        <f>COUNTIFS($F$13:F1185,F1185,$I$13:I1185,I1185)</f>
        <v>2</v>
      </c>
      <c r="O1185" s="8">
        <v>1020201</v>
      </c>
    </row>
    <row r="1186" spans="1:19">
      <c r="A1186" s="14" t="s">
        <v>14</v>
      </c>
      <c r="B1186" s="8">
        <f t="shared" si="33"/>
        <v>70203203</v>
      </c>
      <c r="C1186" s="2" t="s">
        <v>1202</v>
      </c>
      <c r="E1186" s="2" t="str">
        <f>F1186&amp;(VLOOKUP(G1186,编号表!$E$1:$G$8,2,0))&amp;H1186&amp;"_"&amp;I1186&amp;"_"&amp;J1186</f>
        <v>20N3_2_3</v>
      </c>
      <c r="F1186" s="2">
        <v>20</v>
      </c>
      <c r="G1186" s="2" t="s">
        <v>37</v>
      </c>
      <c r="H1186" s="2">
        <v>3</v>
      </c>
      <c r="I1186" s="2">
        <v>2</v>
      </c>
      <c r="J1186" s="2">
        <f>COUNTIFS($F$13:F1186,F1186,$I$13:I1186,I1186)</f>
        <v>3</v>
      </c>
      <c r="O1186" s="8">
        <v>1020201</v>
      </c>
    </row>
    <row r="1187" spans="1:19">
      <c r="A1187" s="14" t="s">
        <v>14</v>
      </c>
      <c r="B1187" s="8">
        <f t="shared" si="33"/>
        <v>70203204</v>
      </c>
      <c r="C1187" s="2" t="s">
        <v>1203</v>
      </c>
      <c r="E1187" s="2" t="str">
        <f>F1187&amp;(VLOOKUP(G1187,编号表!$E$1:$G$8,2,0))&amp;H1187&amp;"_"&amp;I1187&amp;"_"&amp;J1187</f>
        <v>20N3_2_4</v>
      </c>
      <c r="F1187" s="2">
        <v>20</v>
      </c>
      <c r="G1187" s="2" t="s">
        <v>37</v>
      </c>
      <c r="H1187" s="2">
        <v>3</v>
      </c>
      <c r="I1187" s="2">
        <v>2</v>
      </c>
      <c r="J1187" s="2">
        <f>COUNTIFS($F$13:F1187,F1187,$I$13:I1187,I1187)</f>
        <v>4</v>
      </c>
      <c r="O1187" s="8">
        <v>1020201</v>
      </c>
    </row>
    <row r="1188" spans="1:19">
      <c r="A1188" s="14" t="s">
        <v>14</v>
      </c>
      <c r="B1188" s="8">
        <f t="shared" si="33"/>
        <v>70204301</v>
      </c>
      <c r="C1188" s="2" t="s">
        <v>1204</v>
      </c>
      <c r="E1188" s="2" t="str">
        <f>F1188&amp;(VLOOKUP(G1188,编号表!$E$1:$G$8,2,0))&amp;H1188&amp;"_"&amp;I1188&amp;"_"&amp;J1188</f>
        <v>20N4_3_1</v>
      </c>
      <c r="F1188" s="2">
        <v>20</v>
      </c>
      <c r="G1188" s="2" t="s">
        <v>37</v>
      </c>
      <c r="H1188" s="2">
        <v>4</v>
      </c>
      <c r="I1188" s="2">
        <v>3</v>
      </c>
      <c r="J1188" s="2">
        <f>COUNTIFS($F$13:F1188,F1188,$I$13:I1188,I1188)</f>
        <v>1</v>
      </c>
      <c r="O1188" s="8">
        <v>1020201</v>
      </c>
    </row>
    <row r="1189" spans="1:19">
      <c r="A1189" s="14" t="s">
        <v>14</v>
      </c>
      <c r="B1189" s="8">
        <f t="shared" si="33"/>
        <v>70202302</v>
      </c>
      <c r="C1189" s="2" t="s">
        <v>1205</v>
      </c>
      <c r="E1189" s="2" t="str">
        <f>F1189&amp;(VLOOKUP(G1189,编号表!$E$1:$G$8,2,0))&amp;H1189&amp;"_"&amp;I1189&amp;"_"&amp;J1189</f>
        <v>20N2_3_2</v>
      </c>
      <c r="F1189" s="2">
        <v>20</v>
      </c>
      <c r="G1189" s="2" t="s">
        <v>37</v>
      </c>
      <c r="H1189" s="2">
        <v>2</v>
      </c>
      <c r="I1189" s="2">
        <v>3</v>
      </c>
      <c r="J1189" s="2">
        <f>COUNTIFS($F$13:F1189,F1189,$I$13:I1189,I1189)</f>
        <v>2</v>
      </c>
      <c r="O1189" s="8">
        <v>1020201</v>
      </c>
    </row>
    <row r="1190" spans="1:19">
      <c r="A1190" s="14" t="s">
        <v>14</v>
      </c>
      <c r="B1190" s="8">
        <f t="shared" si="33"/>
        <v>70203303</v>
      </c>
      <c r="C1190" s="2" t="s">
        <v>1206</v>
      </c>
      <c r="E1190" s="2" t="str">
        <f>F1190&amp;(VLOOKUP(G1190,编号表!$E$1:$G$8,2,0))&amp;H1190&amp;"_"&amp;I1190&amp;"_"&amp;J1190</f>
        <v>20N3_3_3</v>
      </c>
      <c r="F1190" s="2">
        <v>20</v>
      </c>
      <c r="G1190" s="2" t="s">
        <v>37</v>
      </c>
      <c r="H1190" s="2">
        <v>3</v>
      </c>
      <c r="I1190" s="2">
        <v>3</v>
      </c>
      <c r="J1190" s="2">
        <f>COUNTIFS($F$13:F1190,F1190,$I$13:I1190,I1190)</f>
        <v>3</v>
      </c>
      <c r="O1190" s="8">
        <v>1020201</v>
      </c>
    </row>
    <row r="1191" spans="1:19">
      <c r="A1191" s="14" t="s">
        <v>14</v>
      </c>
      <c r="B1191" s="8">
        <f t="shared" si="33"/>
        <v>70203304</v>
      </c>
      <c r="C1191" s="2" t="s">
        <v>1207</v>
      </c>
      <c r="E1191" s="2" t="str">
        <f>F1191&amp;(VLOOKUP(G1191,编号表!$E$1:$G$8,2,0))&amp;H1191&amp;"_"&amp;I1191&amp;"_"&amp;J1191</f>
        <v>20N3_3_4</v>
      </c>
      <c r="F1191" s="2">
        <v>20</v>
      </c>
      <c r="G1191" s="2" t="s">
        <v>37</v>
      </c>
      <c r="H1191" s="2">
        <v>3</v>
      </c>
      <c r="I1191" s="2">
        <v>3</v>
      </c>
      <c r="J1191" s="2">
        <f>COUNTIFS($F$13:F1191,F1191,$I$13:I1191,I1191)</f>
        <v>4</v>
      </c>
      <c r="O1191" s="8">
        <v>1020201</v>
      </c>
    </row>
    <row r="1192" spans="1:19">
      <c r="A1192" s="14" t="s">
        <v>14</v>
      </c>
      <c r="B1192" s="8">
        <f t="shared" si="33"/>
        <v>70202401</v>
      </c>
      <c r="C1192" s="2" t="s">
        <v>1208</v>
      </c>
      <c r="E1192" s="2" t="str">
        <f>F1192&amp;(VLOOKUP(G1192,编号表!$E$1:$G$8,2,0))&amp;H1192&amp;"_"&amp;I1192&amp;"_"&amp;J1192</f>
        <v>20N2_4_1</v>
      </c>
      <c r="F1192" s="2">
        <v>20</v>
      </c>
      <c r="G1192" s="2" t="s">
        <v>37</v>
      </c>
      <c r="H1192" s="2">
        <v>2</v>
      </c>
      <c r="I1192" s="2">
        <v>4</v>
      </c>
      <c r="J1192" s="2">
        <f>COUNTIFS($F$13:F1192,F1192,$I$13:I1192,I1192)</f>
        <v>1</v>
      </c>
      <c r="O1192" s="8">
        <v>1020201</v>
      </c>
    </row>
    <row r="1193" spans="1:19">
      <c r="A1193" s="14" t="s">
        <v>14</v>
      </c>
      <c r="B1193" s="8">
        <f t="shared" si="33"/>
        <v>70201402</v>
      </c>
      <c r="C1193" s="15" t="s">
        <v>1182</v>
      </c>
      <c r="E1193" s="2" t="str">
        <f>F1193&amp;(VLOOKUP(G1193,编号表!$E$1:$G$8,2,0))&amp;H1193&amp;"_"&amp;I1193&amp;"_"&amp;J1193</f>
        <v>20T1_4_2</v>
      </c>
      <c r="F1193" s="2">
        <v>20</v>
      </c>
      <c r="G1193" s="2" t="s">
        <v>53</v>
      </c>
      <c r="H1193" s="2">
        <v>1</v>
      </c>
      <c r="I1193" s="2">
        <v>4</v>
      </c>
      <c r="J1193" s="2">
        <f>COUNTIFS($F$13:F1193,F1193,$I$13:I1193,I1193)</f>
        <v>2</v>
      </c>
      <c r="L1193" s="2">
        <v>1</v>
      </c>
    </row>
    <row r="1194" spans="1:19">
      <c r="A1194" s="14" t="s">
        <v>14</v>
      </c>
      <c r="B1194" s="8">
        <f t="shared" si="33"/>
        <v>70203403</v>
      </c>
      <c r="C1194" s="16" t="s">
        <v>1128</v>
      </c>
      <c r="D1194" s="2" t="s">
        <v>1183</v>
      </c>
      <c r="E1194" s="2" t="str">
        <f>F1194&amp;(VLOOKUP(G1194,编号表!$E$1:$G$8,2,0))&amp;H1194&amp;"_"&amp;I1194&amp;"_"&amp;J1194</f>
        <v>20T3_4_3</v>
      </c>
      <c r="F1194" s="2">
        <v>20</v>
      </c>
      <c r="G1194" s="2" t="s">
        <v>53</v>
      </c>
      <c r="H1194" s="2">
        <v>3</v>
      </c>
      <c r="I1194" s="2">
        <v>4</v>
      </c>
      <c r="J1194" s="2">
        <f>COUNTIFS($F$13:F1194,F1194,$I$13:I1194,I1194)</f>
        <v>3</v>
      </c>
      <c r="M1194" s="2">
        <v>140</v>
      </c>
    </row>
    <row r="1195" spans="1:19">
      <c r="A1195" s="14" t="s">
        <v>14</v>
      </c>
      <c r="B1195" s="8">
        <f t="shared" si="33"/>
        <v>70200001</v>
      </c>
      <c r="C1195" s="18" t="s">
        <v>1209</v>
      </c>
      <c r="E1195" s="2" t="str">
        <f>F1195&amp;(VLOOKUP(G1195,编号表!$E$1:$G$8,2,0))&amp;H1195&amp;"_"&amp;I1195&amp;"_"&amp;J1195</f>
        <v>20J0_0_1</v>
      </c>
      <c r="F1195" s="2">
        <v>20</v>
      </c>
      <c r="G1195" s="2" t="s">
        <v>86</v>
      </c>
      <c r="H1195" s="2">
        <v>0</v>
      </c>
      <c r="I1195" s="2">
        <v>0</v>
      </c>
      <c r="J1195" s="2">
        <f>COUNTIFS($F$13:F1195,F1195,$I$13:I1195,I1195)</f>
        <v>1</v>
      </c>
      <c r="K1195" s="2">
        <v>1</v>
      </c>
    </row>
    <row r="1196" spans="1:19">
      <c r="A1196" s="14" t="s">
        <v>14</v>
      </c>
      <c r="B1196" s="8">
        <f t="shared" si="33"/>
        <v>70212101</v>
      </c>
      <c r="C1196" s="2" t="s">
        <v>1210</v>
      </c>
      <c r="E1196" s="2" t="str">
        <f>F1196&amp;(VLOOKUP(G1196,编号表!$E$1:$G$8,2,0))&amp;H1196&amp;"_"&amp;I1196&amp;"_"&amp;J1196</f>
        <v>21N2_1_1</v>
      </c>
      <c r="F1196" s="2">
        <v>21</v>
      </c>
      <c r="G1196" s="2" t="s">
        <v>37</v>
      </c>
      <c r="H1196" s="2">
        <v>2</v>
      </c>
      <c r="I1196" s="2">
        <v>1</v>
      </c>
      <c r="J1196" s="2">
        <f>COUNTIFS($F$13:F1196,F1196,$I$13:I1196,I1196)</f>
        <v>1</v>
      </c>
      <c r="O1196" s="8">
        <v>1021201</v>
      </c>
      <c r="P1196" s="8">
        <f t="shared" ref="P1196:P1213" si="36">O1196+100</f>
        <v>1021301</v>
      </c>
      <c r="Q1196" s="8">
        <f t="shared" ref="Q1196:Q1213" si="37">P1196+100</f>
        <v>1021401</v>
      </c>
      <c r="R1196" s="8">
        <f t="shared" ref="R1196:R1213" si="38">Q1196+100</f>
        <v>1021501</v>
      </c>
      <c r="S1196" s="8">
        <v>1021001</v>
      </c>
    </row>
    <row r="1197" spans="1:19">
      <c r="A1197" s="14" t="s">
        <v>14</v>
      </c>
      <c r="B1197" s="8">
        <f t="shared" si="33"/>
        <v>70212102</v>
      </c>
      <c r="C1197" s="2" t="s">
        <v>1211</v>
      </c>
      <c r="E1197" s="2" t="str">
        <f>F1197&amp;(VLOOKUP(G1197,编号表!$E$1:$G$8,2,0))&amp;H1197&amp;"_"&amp;I1197&amp;"_"&amp;J1197</f>
        <v>21N2_1_2</v>
      </c>
      <c r="F1197" s="2">
        <v>21</v>
      </c>
      <c r="G1197" s="2" t="s">
        <v>37</v>
      </c>
      <c r="H1197" s="2">
        <v>2</v>
      </c>
      <c r="I1197" s="2">
        <v>1</v>
      </c>
      <c r="J1197" s="2">
        <f>COUNTIFS($F$13:F1197,F1197,$I$13:I1197,I1197)</f>
        <v>2</v>
      </c>
      <c r="O1197" s="8">
        <v>1021201</v>
      </c>
      <c r="P1197" s="8">
        <f t="shared" si="36"/>
        <v>1021301</v>
      </c>
      <c r="Q1197" s="8">
        <f t="shared" si="37"/>
        <v>1021401</v>
      </c>
      <c r="R1197" s="8">
        <f t="shared" si="38"/>
        <v>1021501</v>
      </c>
      <c r="S1197" s="8">
        <v>1021101</v>
      </c>
    </row>
    <row r="1198" spans="1:19">
      <c r="A1198" s="14" t="s">
        <v>14</v>
      </c>
      <c r="B1198" s="8">
        <f t="shared" si="33"/>
        <v>70212103</v>
      </c>
      <c r="C1198" s="2" t="s">
        <v>1212</v>
      </c>
      <c r="E1198" s="2" t="str">
        <f>F1198&amp;(VLOOKUP(G1198,编号表!$E$1:$G$8,2,0))&amp;H1198&amp;"_"&amp;I1198&amp;"_"&amp;J1198</f>
        <v>21N2_1_3</v>
      </c>
      <c r="F1198" s="2">
        <v>21</v>
      </c>
      <c r="G1198" s="2" t="s">
        <v>37</v>
      </c>
      <c r="H1198" s="2">
        <v>2</v>
      </c>
      <c r="I1198" s="2">
        <v>1</v>
      </c>
      <c r="J1198" s="2">
        <f>COUNTIFS($F$13:F1198,F1198,$I$13:I1198,I1198)</f>
        <v>3</v>
      </c>
      <c r="O1198" s="8">
        <v>1021201</v>
      </c>
      <c r="P1198" s="8">
        <f t="shared" si="36"/>
        <v>1021301</v>
      </c>
      <c r="Q1198" s="8">
        <f t="shared" si="37"/>
        <v>1021401</v>
      </c>
      <c r="R1198" s="8">
        <f t="shared" si="38"/>
        <v>1021501</v>
      </c>
    </row>
    <row r="1199" spans="1:19">
      <c r="A1199" s="14" t="s">
        <v>14</v>
      </c>
      <c r="B1199" s="8">
        <f t="shared" si="33"/>
        <v>70212104</v>
      </c>
      <c r="C1199" s="2" t="s">
        <v>1213</v>
      </c>
      <c r="E1199" s="2" t="str">
        <f>F1199&amp;(VLOOKUP(G1199,编号表!$E$1:$G$8,2,0))&amp;H1199&amp;"_"&amp;I1199&amp;"_"&amp;J1199</f>
        <v>21N2_1_4</v>
      </c>
      <c r="F1199" s="2">
        <v>21</v>
      </c>
      <c r="G1199" s="2" t="s">
        <v>37</v>
      </c>
      <c r="H1199" s="2">
        <v>2</v>
      </c>
      <c r="I1199" s="2">
        <v>1</v>
      </c>
      <c r="J1199" s="2">
        <f>COUNTIFS($F$13:F1199,F1199,$I$13:I1199,I1199)</f>
        <v>4</v>
      </c>
      <c r="O1199" s="8">
        <v>1021201</v>
      </c>
      <c r="P1199" s="8">
        <f t="shared" si="36"/>
        <v>1021301</v>
      </c>
      <c r="Q1199" s="8">
        <f t="shared" si="37"/>
        <v>1021401</v>
      </c>
      <c r="R1199" s="8">
        <f t="shared" si="38"/>
        <v>1021501</v>
      </c>
    </row>
    <row r="1200" spans="1:19">
      <c r="A1200" s="14" t="s">
        <v>14</v>
      </c>
      <c r="B1200" s="8">
        <f t="shared" si="33"/>
        <v>70212105</v>
      </c>
      <c r="C1200" s="2" t="s">
        <v>1214</v>
      </c>
      <c r="E1200" s="2" t="str">
        <f>F1200&amp;(VLOOKUP(G1200,编号表!$E$1:$G$8,2,0))&amp;H1200&amp;"_"&amp;I1200&amp;"_"&amp;J1200</f>
        <v>21N2_1_5</v>
      </c>
      <c r="F1200" s="2">
        <v>21</v>
      </c>
      <c r="G1200" s="2" t="s">
        <v>37</v>
      </c>
      <c r="H1200" s="2">
        <v>2</v>
      </c>
      <c r="I1200" s="2">
        <v>1</v>
      </c>
      <c r="J1200" s="2">
        <f>COUNTIFS($F$13:F1200,F1200,$I$13:I1200,I1200)</f>
        <v>5</v>
      </c>
      <c r="O1200" s="8">
        <v>1021201</v>
      </c>
      <c r="P1200" s="8">
        <f t="shared" si="36"/>
        <v>1021301</v>
      </c>
      <c r="Q1200" s="8">
        <f t="shared" si="37"/>
        <v>1021401</v>
      </c>
      <c r="R1200" s="8">
        <f t="shared" si="38"/>
        <v>1021501</v>
      </c>
    </row>
    <row r="1201" spans="1:18">
      <c r="A1201" s="14" t="s">
        <v>14</v>
      </c>
      <c r="B1201" s="8">
        <f t="shared" si="33"/>
        <v>70212106</v>
      </c>
      <c r="C1201" s="2" t="s">
        <v>1215</v>
      </c>
      <c r="E1201" s="2" t="str">
        <f>F1201&amp;(VLOOKUP(G1201,编号表!$E$1:$G$8,2,0))&amp;H1201&amp;"_"&amp;I1201&amp;"_"&amp;J1201</f>
        <v>21N2_1_6</v>
      </c>
      <c r="F1201" s="2">
        <v>21</v>
      </c>
      <c r="G1201" s="2" t="s">
        <v>37</v>
      </c>
      <c r="H1201" s="2">
        <v>2</v>
      </c>
      <c r="I1201" s="2">
        <v>1</v>
      </c>
      <c r="J1201" s="2">
        <f>COUNTIFS($F$13:F1201,F1201,$I$13:I1201,I1201)</f>
        <v>6</v>
      </c>
      <c r="O1201" s="8">
        <v>1021201</v>
      </c>
      <c r="P1201" s="8">
        <f t="shared" si="36"/>
        <v>1021301</v>
      </c>
      <c r="Q1201" s="8">
        <f t="shared" si="37"/>
        <v>1021401</v>
      </c>
      <c r="R1201" s="8">
        <f t="shared" si="38"/>
        <v>1021501</v>
      </c>
    </row>
    <row r="1202" spans="1:18">
      <c r="A1202" s="14" t="s">
        <v>14</v>
      </c>
      <c r="B1202" s="8">
        <f t="shared" si="33"/>
        <v>70212107</v>
      </c>
      <c r="C1202" s="2" t="s">
        <v>1216</v>
      </c>
      <c r="E1202" s="2" t="str">
        <f>F1202&amp;(VLOOKUP(G1202,编号表!$E$1:$G$8,2,0))&amp;H1202&amp;"_"&amp;I1202&amp;"_"&amp;J1202</f>
        <v>21N2_1_7</v>
      </c>
      <c r="F1202" s="2">
        <v>21</v>
      </c>
      <c r="G1202" s="2" t="s">
        <v>37</v>
      </c>
      <c r="H1202" s="2">
        <v>2</v>
      </c>
      <c r="I1202" s="2">
        <v>1</v>
      </c>
      <c r="J1202" s="2">
        <f>COUNTIFS($F$13:F1202,F1202,$I$13:I1202,I1202)</f>
        <v>7</v>
      </c>
      <c r="O1202" s="8">
        <v>1021201</v>
      </c>
      <c r="P1202" s="8">
        <f t="shared" si="36"/>
        <v>1021301</v>
      </c>
      <c r="Q1202" s="8">
        <f t="shared" si="37"/>
        <v>1021401</v>
      </c>
      <c r="R1202" s="8">
        <f t="shared" si="38"/>
        <v>1021501</v>
      </c>
    </row>
    <row r="1203" spans="1:18">
      <c r="A1203" s="14" t="s">
        <v>14</v>
      </c>
      <c r="B1203" s="8">
        <f t="shared" si="33"/>
        <v>70212108</v>
      </c>
      <c r="C1203" s="2" t="s">
        <v>1217</v>
      </c>
      <c r="E1203" s="2" t="str">
        <f>F1203&amp;(VLOOKUP(G1203,编号表!$E$1:$G$8,2,0))&amp;H1203&amp;"_"&amp;I1203&amp;"_"&amp;J1203</f>
        <v>21N2_1_8</v>
      </c>
      <c r="F1203" s="2">
        <v>21</v>
      </c>
      <c r="G1203" s="2" t="s">
        <v>37</v>
      </c>
      <c r="H1203" s="2">
        <v>2</v>
      </c>
      <c r="I1203" s="2">
        <v>1</v>
      </c>
      <c r="J1203" s="2">
        <f>COUNTIFS($F$13:F1203,F1203,$I$13:I1203,I1203)</f>
        <v>8</v>
      </c>
      <c r="O1203" s="8">
        <v>1021201</v>
      </c>
      <c r="P1203" s="8">
        <f t="shared" si="36"/>
        <v>1021301</v>
      </c>
      <c r="Q1203" s="8">
        <f t="shared" si="37"/>
        <v>1021401</v>
      </c>
      <c r="R1203" s="8">
        <f t="shared" si="38"/>
        <v>1021501</v>
      </c>
    </row>
    <row r="1204" spans="1:18">
      <c r="A1204" s="14" t="s">
        <v>14</v>
      </c>
      <c r="B1204" s="8">
        <f t="shared" si="33"/>
        <v>70214201</v>
      </c>
      <c r="C1204" s="2" t="s">
        <v>1218</v>
      </c>
      <c r="E1204" s="2" t="str">
        <f>F1204&amp;(VLOOKUP(G1204,编号表!$E$1:$G$8,2,0))&amp;H1204&amp;"_"&amp;I1204&amp;"_"&amp;J1204</f>
        <v>21N4_2_1</v>
      </c>
      <c r="F1204" s="2">
        <v>21</v>
      </c>
      <c r="G1204" s="2" t="s">
        <v>37</v>
      </c>
      <c r="H1204" s="2">
        <v>4</v>
      </c>
      <c r="I1204" s="2">
        <v>2</v>
      </c>
      <c r="J1204" s="2">
        <f>COUNTIFS($F$13:F1204,F1204,$I$13:I1204,I1204)</f>
        <v>1</v>
      </c>
      <c r="O1204" s="8">
        <v>1021201</v>
      </c>
      <c r="P1204" s="8">
        <f t="shared" si="36"/>
        <v>1021301</v>
      </c>
      <c r="Q1204" s="8">
        <f t="shared" si="37"/>
        <v>1021401</v>
      </c>
      <c r="R1204" s="8">
        <f t="shared" si="38"/>
        <v>1021501</v>
      </c>
    </row>
    <row r="1205" spans="1:18">
      <c r="A1205" s="14" t="s">
        <v>14</v>
      </c>
      <c r="B1205" s="8">
        <f t="shared" si="33"/>
        <v>70214202</v>
      </c>
      <c r="C1205" s="2" t="s">
        <v>1219</v>
      </c>
      <c r="E1205" s="2" t="str">
        <f>F1205&amp;(VLOOKUP(G1205,编号表!$E$1:$G$8,2,0))&amp;H1205&amp;"_"&amp;I1205&amp;"_"&amp;J1205</f>
        <v>21N4_2_2</v>
      </c>
      <c r="F1205" s="2">
        <v>21</v>
      </c>
      <c r="G1205" s="2" t="s">
        <v>37</v>
      </c>
      <c r="H1205" s="2">
        <v>4</v>
      </c>
      <c r="I1205" s="2">
        <v>2</v>
      </c>
      <c r="J1205" s="2">
        <f>COUNTIFS($F$13:F1205,F1205,$I$13:I1205,I1205)</f>
        <v>2</v>
      </c>
      <c r="O1205" s="8">
        <v>1021201</v>
      </c>
      <c r="P1205" s="8">
        <f t="shared" si="36"/>
        <v>1021301</v>
      </c>
      <c r="Q1205" s="8">
        <f t="shared" si="37"/>
        <v>1021401</v>
      </c>
      <c r="R1205" s="8">
        <f t="shared" si="38"/>
        <v>1021501</v>
      </c>
    </row>
    <row r="1206" spans="1:18">
      <c r="A1206" s="14" t="s">
        <v>14</v>
      </c>
      <c r="B1206" s="8">
        <f t="shared" si="33"/>
        <v>70214203</v>
      </c>
      <c r="C1206" s="2" t="s">
        <v>1220</v>
      </c>
      <c r="E1206" s="2" t="str">
        <f>F1206&amp;(VLOOKUP(G1206,编号表!$E$1:$G$8,2,0))&amp;H1206&amp;"_"&amp;I1206&amp;"_"&amp;J1206</f>
        <v>21N4_2_3</v>
      </c>
      <c r="F1206" s="2">
        <v>21</v>
      </c>
      <c r="G1206" s="2" t="s">
        <v>37</v>
      </c>
      <c r="H1206" s="2">
        <v>4</v>
      </c>
      <c r="I1206" s="2">
        <v>2</v>
      </c>
      <c r="J1206" s="2">
        <f>COUNTIFS($F$13:F1206,F1206,$I$13:I1206,I1206)</f>
        <v>3</v>
      </c>
      <c r="O1206" s="8">
        <v>1021201</v>
      </c>
      <c r="P1206" s="8">
        <f t="shared" si="36"/>
        <v>1021301</v>
      </c>
      <c r="Q1206" s="8">
        <f t="shared" si="37"/>
        <v>1021401</v>
      </c>
      <c r="R1206" s="8">
        <f t="shared" si="38"/>
        <v>1021501</v>
      </c>
    </row>
    <row r="1207" spans="1:18">
      <c r="A1207" s="14" t="s">
        <v>14</v>
      </c>
      <c r="B1207" s="8">
        <f t="shared" si="33"/>
        <v>70214204</v>
      </c>
      <c r="C1207" s="2" t="s">
        <v>1221</v>
      </c>
      <c r="E1207" s="2" t="str">
        <f>F1207&amp;(VLOOKUP(G1207,编号表!$E$1:$G$8,2,0))&amp;H1207&amp;"_"&amp;I1207&amp;"_"&amp;J1207</f>
        <v>21N4_2_4</v>
      </c>
      <c r="F1207" s="2">
        <v>21</v>
      </c>
      <c r="G1207" s="2" t="s">
        <v>37</v>
      </c>
      <c r="H1207" s="2">
        <v>4</v>
      </c>
      <c r="I1207" s="2">
        <v>2</v>
      </c>
      <c r="J1207" s="2">
        <f>COUNTIFS($F$13:F1207,F1207,$I$13:I1207,I1207)</f>
        <v>4</v>
      </c>
      <c r="O1207" s="8">
        <v>1021201</v>
      </c>
      <c r="P1207" s="8">
        <f t="shared" si="36"/>
        <v>1021301</v>
      </c>
      <c r="Q1207" s="8">
        <f t="shared" si="37"/>
        <v>1021401</v>
      </c>
      <c r="R1207" s="8">
        <f t="shared" si="38"/>
        <v>1021501</v>
      </c>
    </row>
    <row r="1208" spans="1:18">
      <c r="A1208" s="14" t="s">
        <v>14</v>
      </c>
      <c r="B1208" s="8">
        <f t="shared" si="33"/>
        <v>70214205</v>
      </c>
      <c r="C1208" s="2" t="s">
        <v>1222</v>
      </c>
      <c r="E1208" s="2" t="str">
        <f>F1208&amp;(VLOOKUP(G1208,编号表!$E$1:$G$8,2,0))&amp;H1208&amp;"_"&amp;I1208&amp;"_"&amp;J1208</f>
        <v>21N4_2_5</v>
      </c>
      <c r="F1208" s="2">
        <v>21</v>
      </c>
      <c r="G1208" s="2" t="s">
        <v>37</v>
      </c>
      <c r="H1208" s="2">
        <v>4</v>
      </c>
      <c r="I1208" s="2">
        <v>2</v>
      </c>
      <c r="J1208" s="2">
        <f>COUNTIFS($F$13:F1208,F1208,$I$13:I1208,I1208)</f>
        <v>5</v>
      </c>
      <c r="O1208" s="8">
        <v>1021201</v>
      </c>
      <c r="P1208" s="8">
        <f t="shared" si="36"/>
        <v>1021301</v>
      </c>
      <c r="Q1208" s="8">
        <f t="shared" si="37"/>
        <v>1021401</v>
      </c>
      <c r="R1208" s="8">
        <f t="shared" si="38"/>
        <v>1021501</v>
      </c>
    </row>
    <row r="1209" spans="1:18">
      <c r="A1209" s="14" t="s">
        <v>14</v>
      </c>
      <c r="B1209" s="8">
        <f t="shared" si="33"/>
        <v>70214206</v>
      </c>
      <c r="C1209" s="2" t="s">
        <v>1223</v>
      </c>
      <c r="E1209" s="2" t="str">
        <f>F1209&amp;(VLOOKUP(G1209,编号表!$E$1:$G$8,2,0))&amp;H1209&amp;"_"&amp;I1209&amp;"_"&amp;J1209</f>
        <v>21N4_2_6</v>
      </c>
      <c r="F1209" s="2">
        <v>21</v>
      </c>
      <c r="G1209" s="2" t="s">
        <v>37</v>
      </c>
      <c r="H1209" s="2">
        <v>4</v>
      </c>
      <c r="I1209" s="2">
        <v>2</v>
      </c>
      <c r="J1209" s="2">
        <f>COUNTIFS($F$13:F1209,F1209,$I$13:I1209,I1209)</f>
        <v>6</v>
      </c>
      <c r="O1209" s="8">
        <v>1021201</v>
      </c>
      <c r="P1209" s="8">
        <f t="shared" si="36"/>
        <v>1021301</v>
      </c>
      <c r="Q1209" s="8">
        <f t="shared" si="37"/>
        <v>1021401</v>
      </c>
      <c r="R1209" s="8">
        <f t="shared" si="38"/>
        <v>1021501</v>
      </c>
    </row>
    <row r="1210" spans="1:18">
      <c r="A1210" s="14" t="s">
        <v>14</v>
      </c>
      <c r="B1210" s="8">
        <f t="shared" si="33"/>
        <v>70214301</v>
      </c>
      <c r="C1210" s="2" t="s">
        <v>1224</v>
      </c>
      <c r="E1210" s="2" t="str">
        <f>F1210&amp;(VLOOKUP(G1210,编号表!$E$1:$G$8,2,0))&amp;H1210&amp;"_"&amp;I1210&amp;"_"&amp;J1210</f>
        <v>21N4_3_1</v>
      </c>
      <c r="F1210" s="2">
        <v>21</v>
      </c>
      <c r="G1210" s="2" t="s">
        <v>37</v>
      </c>
      <c r="H1210" s="2">
        <v>4</v>
      </c>
      <c r="I1210" s="2">
        <v>3</v>
      </c>
      <c r="J1210" s="2">
        <f>COUNTIFS($F$13:F1210,F1210,$I$13:I1210,I1210)</f>
        <v>1</v>
      </c>
      <c r="O1210" s="8">
        <v>1021201</v>
      </c>
      <c r="P1210" s="8">
        <f t="shared" si="36"/>
        <v>1021301</v>
      </c>
      <c r="Q1210" s="8">
        <f t="shared" si="37"/>
        <v>1021401</v>
      </c>
      <c r="R1210" s="8">
        <f t="shared" si="38"/>
        <v>1021501</v>
      </c>
    </row>
    <row r="1211" spans="1:18">
      <c r="A1211" s="14" t="s">
        <v>14</v>
      </c>
      <c r="B1211" s="8">
        <f t="shared" si="33"/>
        <v>70213302</v>
      </c>
      <c r="C1211" s="2" t="s">
        <v>1225</v>
      </c>
      <c r="E1211" s="2" t="str">
        <f>F1211&amp;(VLOOKUP(G1211,编号表!$E$1:$G$8,2,0))&amp;H1211&amp;"_"&amp;I1211&amp;"_"&amp;J1211</f>
        <v>21N3_3_2</v>
      </c>
      <c r="F1211" s="2">
        <v>21</v>
      </c>
      <c r="G1211" s="2" t="s">
        <v>37</v>
      </c>
      <c r="H1211" s="2">
        <v>3</v>
      </c>
      <c r="I1211" s="2">
        <v>3</v>
      </c>
      <c r="J1211" s="2">
        <f>COUNTIFS($F$13:F1211,F1211,$I$13:I1211,I1211)</f>
        <v>2</v>
      </c>
      <c r="O1211" s="8">
        <v>1021201</v>
      </c>
      <c r="P1211" s="8">
        <f t="shared" si="36"/>
        <v>1021301</v>
      </c>
      <c r="Q1211" s="8">
        <f t="shared" si="37"/>
        <v>1021401</v>
      </c>
      <c r="R1211" s="8">
        <f t="shared" si="38"/>
        <v>1021501</v>
      </c>
    </row>
    <row r="1212" spans="1:18">
      <c r="A1212" s="14" t="s">
        <v>14</v>
      </c>
      <c r="B1212" s="8">
        <f t="shared" si="33"/>
        <v>70214303</v>
      </c>
      <c r="C1212" s="2" t="s">
        <v>1226</v>
      </c>
      <c r="E1212" s="2" t="str">
        <f>F1212&amp;(VLOOKUP(G1212,编号表!$E$1:$G$8,2,0))&amp;H1212&amp;"_"&amp;I1212&amp;"_"&amp;J1212</f>
        <v>21N4_3_3</v>
      </c>
      <c r="F1212" s="2">
        <v>21</v>
      </c>
      <c r="G1212" s="2" t="s">
        <v>37</v>
      </c>
      <c r="H1212" s="2">
        <v>4</v>
      </c>
      <c r="I1212" s="2">
        <v>3</v>
      </c>
      <c r="J1212" s="2">
        <f>COUNTIFS($F$13:F1212,F1212,$I$13:I1212,I1212)</f>
        <v>3</v>
      </c>
      <c r="O1212" s="8">
        <v>1021201</v>
      </c>
      <c r="P1212" s="8">
        <f t="shared" si="36"/>
        <v>1021301</v>
      </c>
      <c r="Q1212" s="8">
        <f t="shared" si="37"/>
        <v>1021401</v>
      </c>
      <c r="R1212" s="8">
        <f t="shared" si="38"/>
        <v>1021501</v>
      </c>
    </row>
    <row r="1213" spans="1:18">
      <c r="A1213" s="14" t="s">
        <v>14</v>
      </c>
      <c r="B1213" s="8">
        <f t="shared" si="33"/>
        <v>70213304</v>
      </c>
      <c r="C1213" s="2" t="s">
        <v>1227</v>
      </c>
      <c r="E1213" s="2" t="str">
        <f>F1213&amp;(VLOOKUP(G1213,编号表!$E$1:$G$8,2,0))&amp;H1213&amp;"_"&amp;I1213&amp;"_"&amp;J1213</f>
        <v>21N3_3_4</v>
      </c>
      <c r="F1213" s="2">
        <v>21</v>
      </c>
      <c r="G1213" s="2" t="s">
        <v>37</v>
      </c>
      <c r="H1213" s="2">
        <v>3</v>
      </c>
      <c r="I1213" s="2">
        <v>3</v>
      </c>
      <c r="J1213" s="2">
        <f>COUNTIFS($F$13:F1213,F1213,$I$13:I1213,I1213)</f>
        <v>4</v>
      </c>
      <c r="O1213" s="8">
        <v>1021201</v>
      </c>
      <c r="P1213" s="8">
        <f t="shared" si="36"/>
        <v>1021301</v>
      </c>
      <c r="Q1213" s="8">
        <f t="shared" si="37"/>
        <v>1021401</v>
      </c>
      <c r="R1213" s="8">
        <f t="shared" si="38"/>
        <v>1021501</v>
      </c>
    </row>
    <row r="1214" spans="1:18">
      <c r="A1214" s="14" t="s">
        <v>14</v>
      </c>
      <c r="B1214" s="8">
        <f t="shared" si="33"/>
        <v>70213305</v>
      </c>
      <c r="C1214" s="16" t="s">
        <v>54</v>
      </c>
      <c r="D1214" s="2" t="s">
        <v>1228</v>
      </c>
      <c r="E1214" s="2" t="str">
        <f>F1214&amp;(VLOOKUP(G1214,编号表!$E$1:$G$8,2,0))&amp;H1214&amp;"_"&amp;I1214&amp;"_"&amp;J1214</f>
        <v>21T3_3_5</v>
      </c>
      <c r="F1214" s="2">
        <v>21</v>
      </c>
      <c r="G1214" s="2" t="s">
        <v>53</v>
      </c>
      <c r="H1214" s="2">
        <v>3</v>
      </c>
      <c r="I1214" s="2">
        <v>3</v>
      </c>
      <c r="J1214" s="2">
        <f>COUNTIFS($F$13:F1214,F1214,$I$13:I1214,I1214)</f>
        <v>5</v>
      </c>
    </row>
    <row r="1215" spans="1:18">
      <c r="A1215" s="14" t="s">
        <v>14</v>
      </c>
      <c r="B1215" s="8">
        <f t="shared" si="33"/>
        <v>70211306</v>
      </c>
      <c r="C1215" s="15" t="s">
        <v>1229</v>
      </c>
      <c r="E1215" s="2" t="str">
        <f>F1215&amp;(VLOOKUP(G1215,编号表!$E$1:$G$8,2,0))&amp;H1215&amp;"_"&amp;I1215&amp;"_"&amp;J1215</f>
        <v>21T1_3_6</v>
      </c>
      <c r="F1215" s="2">
        <v>21</v>
      </c>
      <c r="G1215" s="2" t="s">
        <v>53</v>
      </c>
      <c r="H1215" s="2">
        <v>1</v>
      </c>
      <c r="I1215" s="2">
        <v>3</v>
      </c>
      <c r="J1215" s="2">
        <f>COUNTIFS($F$13:F1215,F1215,$I$13:I1215,I1215)</f>
        <v>6</v>
      </c>
      <c r="L1215" s="2">
        <v>1</v>
      </c>
    </row>
    <row r="1216" spans="1:18">
      <c r="A1216" s="14" t="s">
        <v>14</v>
      </c>
      <c r="B1216" s="8">
        <f t="shared" si="33"/>
        <v>70215307</v>
      </c>
      <c r="C1216" s="2" t="s">
        <v>1230</v>
      </c>
      <c r="E1216" s="2" t="str">
        <f>F1216&amp;(VLOOKUP(G1216,编号表!$E$1:$G$8,2,0))&amp;H1216&amp;"_"&amp;I1216&amp;"_"&amp;J1216</f>
        <v>21N5_3_7</v>
      </c>
      <c r="F1216" s="2">
        <v>21</v>
      </c>
      <c r="G1216" s="2" t="s">
        <v>37</v>
      </c>
      <c r="H1216" s="2">
        <v>5</v>
      </c>
      <c r="I1216" s="2">
        <v>3</v>
      </c>
      <c r="J1216" s="2">
        <f>COUNTIFS($F$13:F1216,F1216,$I$13:I1216,I1216)</f>
        <v>7</v>
      </c>
      <c r="O1216" s="8">
        <v>1021201</v>
      </c>
      <c r="P1216" s="8">
        <f t="shared" ref="P1216:P1246" si="39">O1216+100</f>
        <v>1021301</v>
      </c>
      <c r="Q1216" s="8">
        <f t="shared" ref="Q1216:Q1246" si="40">P1216+100</f>
        <v>1021401</v>
      </c>
      <c r="R1216" s="8">
        <f t="shared" ref="R1216:R1246" si="41">Q1216+100</f>
        <v>1021501</v>
      </c>
    </row>
    <row r="1217" spans="1:18">
      <c r="A1217" s="14" t="s">
        <v>14</v>
      </c>
      <c r="B1217" s="8">
        <f t="shared" si="33"/>
        <v>70215308</v>
      </c>
      <c r="C1217" s="2" t="s">
        <v>1231</v>
      </c>
      <c r="E1217" s="2" t="str">
        <f>F1217&amp;(VLOOKUP(G1217,编号表!$E$1:$G$8,2,0))&amp;H1217&amp;"_"&amp;I1217&amp;"_"&amp;J1217</f>
        <v>21N5_3_8</v>
      </c>
      <c r="F1217" s="2">
        <v>21</v>
      </c>
      <c r="G1217" s="2" t="s">
        <v>37</v>
      </c>
      <c r="H1217" s="2">
        <v>5</v>
      </c>
      <c r="I1217" s="2">
        <v>3</v>
      </c>
      <c r="J1217" s="2">
        <f>COUNTIFS($F$13:F1217,F1217,$I$13:I1217,I1217)</f>
        <v>8</v>
      </c>
      <c r="O1217" s="8">
        <v>1021201</v>
      </c>
      <c r="P1217" s="8">
        <f t="shared" si="39"/>
        <v>1021301</v>
      </c>
      <c r="Q1217" s="8">
        <f t="shared" si="40"/>
        <v>1021401</v>
      </c>
      <c r="R1217" s="8">
        <f t="shared" si="41"/>
        <v>1021501</v>
      </c>
    </row>
    <row r="1218" spans="1:18">
      <c r="A1218" s="14" t="s">
        <v>14</v>
      </c>
      <c r="B1218" s="8">
        <f t="shared" si="33"/>
        <v>70215309</v>
      </c>
      <c r="C1218" s="2" t="s">
        <v>1232</v>
      </c>
      <c r="E1218" s="2" t="str">
        <f>F1218&amp;(VLOOKUP(G1218,编号表!$E$1:$G$8,2,0))&amp;H1218&amp;"_"&amp;I1218&amp;"_"&amp;J1218</f>
        <v>21N5_3_9</v>
      </c>
      <c r="F1218" s="2">
        <v>21</v>
      </c>
      <c r="G1218" s="2" t="s">
        <v>37</v>
      </c>
      <c r="H1218" s="2">
        <v>5</v>
      </c>
      <c r="I1218" s="2">
        <v>3</v>
      </c>
      <c r="J1218" s="2">
        <f>COUNTIFS($F$13:F1218,F1218,$I$13:I1218,I1218)</f>
        <v>9</v>
      </c>
      <c r="O1218" s="8">
        <v>1021201</v>
      </c>
      <c r="P1218" s="8">
        <f t="shared" si="39"/>
        <v>1021301</v>
      </c>
      <c r="Q1218" s="8">
        <f t="shared" si="40"/>
        <v>1021401</v>
      </c>
      <c r="R1218" s="8">
        <f t="shared" si="41"/>
        <v>1021501</v>
      </c>
    </row>
    <row r="1219" spans="1:18">
      <c r="A1219" s="14" t="s">
        <v>14</v>
      </c>
      <c r="B1219" s="8">
        <f t="shared" si="33"/>
        <v>70213310</v>
      </c>
      <c r="C1219" s="2" t="s">
        <v>1233</v>
      </c>
      <c r="E1219" s="2" t="str">
        <f>F1219&amp;(VLOOKUP(G1219,编号表!$E$1:$G$8,2,0))&amp;H1219&amp;"_"&amp;I1219&amp;"_"&amp;J1219</f>
        <v>21N3_3_10</v>
      </c>
      <c r="F1219" s="2">
        <v>21</v>
      </c>
      <c r="G1219" s="2" t="s">
        <v>37</v>
      </c>
      <c r="H1219" s="2">
        <v>3</v>
      </c>
      <c r="I1219" s="2">
        <v>3</v>
      </c>
      <c r="J1219" s="2">
        <f>COUNTIFS($F$13:F1219,F1219,$I$13:I1219,I1219)</f>
        <v>10</v>
      </c>
      <c r="O1219" s="8">
        <v>1021201</v>
      </c>
      <c r="P1219" s="8">
        <f t="shared" si="39"/>
        <v>1021301</v>
      </c>
      <c r="Q1219" s="8">
        <f t="shared" si="40"/>
        <v>1021401</v>
      </c>
      <c r="R1219" s="8">
        <f t="shared" si="41"/>
        <v>1021501</v>
      </c>
    </row>
    <row r="1220" spans="1:18">
      <c r="A1220" s="14" t="s">
        <v>14</v>
      </c>
      <c r="B1220" s="8">
        <f t="shared" si="33"/>
        <v>70213311</v>
      </c>
      <c r="C1220" s="2" t="s">
        <v>1234</v>
      </c>
      <c r="E1220" s="2" t="str">
        <f>F1220&amp;(VLOOKUP(G1220,编号表!$E$1:$G$8,2,0))&amp;H1220&amp;"_"&amp;I1220&amp;"_"&amp;J1220</f>
        <v>21N3_3_11</v>
      </c>
      <c r="F1220" s="2">
        <v>21</v>
      </c>
      <c r="G1220" s="2" t="s">
        <v>37</v>
      </c>
      <c r="H1220" s="2">
        <v>3</v>
      </c>
      <c r="I1220" s="2">
        <v>3</v>
      </c>
      <c r="J1220" s="2">
        <f>COUNTIFS($F$13:F1220,F1220,$I$13:I1220,I1220)</f>
        <v>11</v>
      </c>
      <c r="O1220" s="8">
        <v>1021201</v>
      </c>
      <c r="P1220" s="8">
        <f t="shared" si="39"/>
        <v>1021301</v>
      </c>
      <c r="Q1220" s="8">
        <f t="shared" si="40"/>
        <v>1021401</v>
      </c>
      <c r="R1220" s="8">
        <f t="shared" si="41"/>
        <v>1021501</v>
      </c>
    </row>
    <row r="1221" spans="1:18">
      <c r="A1221" s="14" t="s">
        <v>14</v>
      </c>
      <c r="B1221" s="8">
        <f t="shared" si="33"/>
        <v>70214312</v>
      </c>
      <c r="C1221" s="2" t="s">
        <v>1235</v>
      </c>
      <c r="E1221" s="2" t="str">
        <f>F1221&amp;(VLOOKUP(G1221,编号表!$E$1:$G$8,2,0))&amp;H1221&amp;"_"&amp;I1221&amp;"_"&amp;J1221</f>
        <v>21N4_3_12</v>
      </c>
      <c r="F1221" s="2">
        <v>21</v>
      </c>
      <c r="G1221" s="2" t="s">
        <v>37</v>
      </c>
      <c r="H1221" s="2">
        <v>4</v>
      </c>
      <c r="I1221" s="2">
        <v>3</v>
      </c>
      <c r="J1221" s="2">
        <f>COUNTIFS($F$13:F1221,F1221,$I$13:I1221,I1221)</f>
        <v>12</v>
      </c>
      <c r="O1221" s="8">
        <v>1021201</v>
      </c>
      <c r="P1221" s="8">
        <f t="shared" si="39"/>
        <v>1021301</v>
      </c>
      <c r="Q1221" s="8">
        <f t="shared" si="40"/>
        <v>1021401</v>
      </c>
      <c r="R1221" s="8">
        <f t="shared" si="41"/>
        <v>1021501</v>
      </c>
    </row>
    <row r="1222" spans="1:18">
      <c r="A1222" s="14" t="s">
        <v>14</v>
      </c>
      <c r="B1222" s="8">
        <f t="shared" ref="B1222:B1285" si="42">70000000+F1222*10000+H1222*1000+I1222*100+J1222</f>
        <v>70214401</v>
      </c>
      <c r="C1222" s="2" t="s">
        <v>1236</v>
      </c>
      <c r="E1222" s="2" t="str">
        <f>F1222&amp;(VLOOKUP(G1222,编号表!$E$1:$G$8,2,0))&amp;H1222&amp;"_"&amp;I1222&amp;"_"&amp;J1222</f>
        <v>21N4_4_1</v>
      </c>
      <c r="F1222" s="2">
        <v>21</v>
      </c>
      <c r="G1222" s="2" t="s">
        <v>37</v>
      </c>
      <c r="H1222" s="2">
        <v>4</v>
      </c>
      <c r="I1222" s="2">
        <v>4</v>
      </c>
      <c r="J1222" s="2">
        <f>COUNTIFS($F$13:F1222,F1222,$I$13:I1222,I1222)</f>
        <v>1</v>
      </c>
      <c r="O1222" s="8">
        <v>1021201</v>
      </c>
      <c r="P1222" s="8">
        <f t="shared" si="39"/>
        <v>1021301</v>
      </c>
      <c r="Q1222" s="8">
        <f t="shared" si="40"/>
        <v>1021401</v>
      </c>
      <c r="R1222" s="8">
        <f t="shared" si="41"/>
        <v>1021501</v>
      </c>
    </row>
    <row r="1223" spans="1:18">
      <c r="A1223" s="14" t="s">
        <v>14</v>
      </c>
      <c r="B1223" s="8">
        <f t="shared" si="42"/>
        <v>70213402</v>
      </c>
      <c r="C1223" s="2" t="s">
        <v>1237</v>
      </c>
      <c r="E1223" s="2" t="str">
        <f>F1223&amp;(VLOOKUP(G1223,编号表!$E$1:$G$8,2,0))&amp;H1223&amp;"_"&amp;I1223&amp;"_"&amp;J1223</f>
        <v>21N3_4_2</v>
      </c>
      <c r="F1223" s="2">
        <v>21</v>
      </c>
      <c r="G1223" s="2" t="s">
        <v>37</v>
      </c>
      <c r="H1223" s="2">
        <v>3</v>
      </c>
      <c r="I1223" s="2">
        <v>4</v>
      </c>
      <c r="J1223" s="2">
        <f>COUNTIFS($F$13:F1223,F1223,$I$13:I1223,I1223)</f>
        <v>2</v>
      </c>
      <c r="O1223" s="8">
        <v>1021201</v>
      </c>
      <c r="P1223" s="8">
        <f t="shared" si="39"/>
        <v>1021301</v>
      </c>
      <c r="Q1223" s="8">
        <f t="shared" si="40"/>
        <v>1021401</v>
      </c>
      <c r="R1223" s="8">
        <f t="shared" si="41"/>
        <v>1021501</v>
      </c>
    </row>
    <row r="1224" spans="1:18">
      <c r="A1224" s="14" t="s">
        <v>14</v>
      </c>
      <c r="B1224" s="8">
        <f t="shared" si="42"/>
        <v>70214403</v>
      </c>
      <c r="C1224" s="2" t="s">
        <v>1238</v>
      </c>
      <c r="E1224" s="2" t="str">
        <f>F1224&amp;(VLOOKUP(G1224,编号表!$E$1:$G$8,2,0))&amp;H1224&amp;"_"&amp;I1224&amp;"_"&amp;J1224</f>
        <v>21N4_4_3</v>
      </c>
      <c r="F1224" s="2">
        <v>21</v>
      </c>
      <c r="G1224" s="2" t="s">
        <v>37</v>
      </c>
      <c r="H1224" s="2">
        <v>4</v>
      </c>
      <c r="I1224" s="2">
        <v>4</v>
      </c>
      <c r="J1224" s="2">
        <f>COUNTIFS($F$13:F1224,F1224,$I$13:I1224,I1224)</f>
        <v>3</v>
      </c>
      <c r="O1224" s="8">
        <v>1021201</v>
      </c>
      <c r="P1224" s="8">
        <f t="shared" si="39"/>
        <v>1021301</v>
      </c>
      <c r="Q1224" s="8">
        <f t="shared" si="40"/>
        <v>1021401</v>
      </c>
      <c r="R1224" s="8">
        <f t="shared" si="41"/>
        <v>1021501</v>
      </c>
    </row>
    <row r="1225" spans="1:18">
      <c r="A1225" s="14" t="s">
        <v>14</v>
      </c>
      <c r="B1225" s="8">
        <f t="shared" si="42"/>
        <v>70214404</v>
      </c>
      <c r="C1225" s="2" t="s">
        <v>1239</v>
      </c>
      <c r="E1225" s="2" t="str">
        <f>F1225&amp;(VLOOKUP(G1225,编号表!$E$1:$G$8,2,0))&amp;H1225&amp;"_"&amp;I1225&amp;"_"&amp;J1225</f>
        <v>21N4_4_4</v>
      </c>
      <c r="F1225" s="2">
        <v>21</v>
      </c>
      <c r="G1225" s="2" t="s">
        <v>37</v>
      </c>
      <c r="H1225" s="2">
        <v>4</v>
      </c>
      <c r="I1225" s="2">
        <v>4</v>
      </c>
      <c r="J1225" s="2">
        <f>COUNTIFS($F$13:F1225,F1225,$I$13:I1225,I1225)</f>
        <v>4</v>
      </c>
      <c r="O1225" s="8">
        <v>1021201</v>
      </c>
      <c r="P1225" s="8">
        <f t="shared" si="39"/>
        <v>1021301</v>
      </c>
      <c r="Q1225" s="8">
        <f t="shared" si="40"/>
        <v>1021401</v>
      </c>
      <c r="R1225" s="8">
        <f t="shared" si="41"/>
        <v>1021501</v>
      </c>
    </row>
    <row r="1226" spans="1:18">
      <c r="A1226" s="14" t="s">
        <v>14</v>
      </c>
      <c r="B1226" s="8">
        <f t="shared" si="42"/>
        <v>70214405</v>
      </c>
      <c r="C1226" s="2" t="s">
        <v>1240</v>
      </c>
      <c r="E1226" s="2" t="str">
        <f>F1226&amp;(VLOOKUP(G1226,编号表!$E$1:$G$8,2,0))&amp;H1226&amp;"_"&amp;I1226&amp;"_"&amp;J1226</f>
        <v>21N4_4_5</v>
      </c>
      <c r="F1226" s="2">
        <v>21</v>
      </c>
      <c r="G1226" s="2" t="s">
        <v>37</v>
      </c>
      <c r="H1226" s="2">
        <v>4</v>
      </c>
      <c r="I1226" s="2">
        <v>4</v>
      </c>
      <c r="J1226" s="2">
        <f>COUNTIFS($F$13:F1226,F1226,$I$13:I1226,I1226)</f>
        <v>5</v>
      </c>
      <c r="O1226" s="8">
        <v>1021201</v>
      </c>
      <c r="P1226" s="8">
        <f t="shared" si="39"/>
        <v>1021301</v>
      </c>
      <c r="Q1226" s="8">
        <f t="shared" si="40"/>
        <v>1021401</v>
      </c>
      <c r="R1226" s="8">
        <f t="shared" si="41"/>
        <v>1021501</v>
      </c>
    </row>
    <row r="1227" spans="1:18">
      <c r="A1227" s="14" t="s">
        <v>14</v>
      </c>
      <c r="B1227" s="8">
        <f t="shared" si="42"/>
        <v>70212406</v>
      </c>
      <c r="C1227" s="2" t="s">
        <v>1241</v>
      </c>
      <c r="E1227" s="2" t="str">
        <f>F1227&amp;(VLOOKUP(G1227,编号表!$E$1:$G$8,2,0))&amp;H1227&amp;"_"&amp;I1227&amp;"_"&amp;J1227</f>
        <v>21N2_4_6</v>
      </c>
      <c r="F1227" s="2">
        <v>21</v>
      </c>
      <c r="G1227" s="2" t="s">
        <v>37</v>
      </c>
      <c r="H1227" s="2">
        <v>2</v>
      </c>
      <c r="I1227" s="2">
        <v>4</v>
      </c>
      <c r="J1227" s="2">
        <f>COUNTIFS($F$13:F1227,F1227,$I$13:I1227,I1227)</f>
        <v>6</v>
      </c>
      <c r="O1227" s="8">
        <v>1021201</v>
      </c>
      <c r="P1227" s="8">
        <f t="shared" si="39"/>
        <v>1021301</v>
      </c>
      <c r="Q1227" s="8">
        <f t="shared" si="40"/>
        <v>1021401</v>
      </c>
      <c r="R1227" s="8">
        <f t="shared" si="41"/>
        <v>1021501</v>
      </c>
    </row>
    <row r="1228" spans="1:18">
      <c r="A1228" s="14" t="s">
        <v>14</v>
      </c>
      <c r="B1228" s="8">
        <f t="shared" si="42"/>
        <v>70214407</v>
      </c>
      <c r="C1228" s="2" t="s">
        <v>1242</v>
      </c>
      <c r="E1228" s="2" t="str">
        <f>F1228&amp;(VLOOKUP(G1228,编号表!$E$1:$G$8,2,0))&amp;H1228&amp;"_"&amp;I1228&amp;"_"&amp;J1228</f>
        <v>21N4_4_7</v>
      </c>
      <c r="F1228" s="2">
        <v>21</v>
      </c>
      <c r="G1228" s="2" t="s">
        <v>37</v>
      </c>
      <c r="H1228" s="2">
        <v>4</v>
      </c>
      <c r="I1228" s="2">
        <v>4</v>
      </c>
      <c r="J1228" s="2">
        <f>COUNTIFS($F$13:F1228,F1228,$I$13:I1228,I1228)</f>
        <v>7</v>
      </c>
      <c r="O1228" s="8">
        <v>1021201</v>
      </c>
      <c r="P1228" s="8">
        <f t="shared" si="39"/>
        <v>1021301</v>
      </c>
      <c r="Q1228" s="8">
        <f t="shared" si="40"/>
        <v>1021401</v>
      </c>
      <c r="R1228" s="8">
        <f t="shared" si="41"/>
        <v>1021501</v>
      </c>
    </row>
    <row r="1229" spans="1:18">
      <c r="A1229" s="14" t="s">
        <v>14</v>
      </c>
      <c r="B1229" s="8">
        <f t="shared" si="42"/>
        <v>70213408</v>
      </c>
      <c r="C1229" s="2" t="s">
        <v>1243</v>
      </c>
      <c r="E1229" s="2" t="str">
        <f>F1229&amp;(VLOOKUP(G1229,编号表!$E$1:$G$8,2,0))&amp;H1229&amp;"_"&amp;I1229&amp;"_"&amp;J1229</f>
        <v>21N3_4_8</v>
      </c>
      <c r="F1229" s="2">
        <v>21</v>
      </c>
      <c r="G1229" s="2" t="s">
        <v>37</v>
      </c>
      <c r="H1229" s="2">
        <v>3</v>
      </c>
      <c r="I1229" s="2">
        <v>4</v>
      </c>
      <c r="J1229" s="2">
        <f>COUNTIFS($F$13:F1229,F1229,$I$13:I1229,I1229)</f>
        <v>8</v>
      </c>
      <c r="O1229" s="8">
        <v>1021201</v>
      </c>
      <c r="P1229" s="8">
        <f t="shared" si="39"/>
        <v>1021301</v>
      </c>
      <c r="Q1229" s="8">
        <f t="shared" si="40"/>
        <v>1021401</v>
      </c>
      <c r="R1229" s="8">
        <f t="shared" si="41"/>
        <v>1021501</v>
      </c>
    </row>
    <row r="1230" spans="1:18">
      <c r="A1230" s="14" t="s">
        <v>14</v>
      </c>
      <c r="B1230" s="8">
        <f t="shared" si="42"/>
        <v>70214409</v>
      </c>
      <c r="C1230" s="2" t="s">
        <v>1244</v>
      </c>
      <c r="E1230" s="2" t="str">
        <f>F1230&amp;(VLOOKUP(G1230,编号表!$E$1:$G$8,2,0))&amp;H1230&amp;"_"&amp;I1230&amp;"_"&amp;J1230</f>
        <v>21N4_4_9</v>
      </c>
      <c r="F1230" s="2">
        <v>21</v>
      </c>
      <c r="G1230" s="2" t="s">
        <v>37</v>
      </c>
      <c r="H1230" s="2">
        <v>4</v>
      </c>
      <c r="I1230" s="2">
        <v>4</v>
      </c>
      <c r="J1230" s="2">
        <f>COUNTIFS($F$13:F1230,F1230,$I$13:I1230,I1230)</f>
        <v>9</v>
      </c>
      <c r="O1230" s="8">
        <v>1021201</v>
      </c>
      <c r="P1230" s="8">
        <f t="shared" si="39"/>
        <v>1021301</v>
      </c>
      <c r="Q1230" s="8">
        <f t="shared" si="40"/>
        <v>1021401</v>
      </c>
      <c r="R1230" s="8">
        <f t="shared" si="41"/>
        <v>1021501</v>
      </c>
    </row>
    <row r="1231" spans="1:18">
      <c r="A1231" s="14" t="s">
        <v>14</v>
      </c>
      <c r="B1231" s="8">
        <f t="shared" si="42"/>
        <v>70213501</v>
      </c>
      <c r="C1231" s="2" t="s">
        <v>1245</v>
      </c>
      <c r="E1231" s="2" t="str">
        <f>F1231&amp;(VLOOKUP(G1231,编号表!$E$1:$G$8,2,0))&amp;H1231&amp;"_"&amp;I1231&amp;"_"&amp;J1231</f>
        <v>21N3_5_1</v>
      </c>
      <c r="F1231" s="2">
        <v>21</v>
      </c>
      <c r="G1231" s="2" t="s">
        <v>37</v>
      </c>
      <c r="H1231" s="2">
        <v>3</v>
      </c>
      <c r="I1231" s="2">
        <v>5</v>
      </c>
      <c r="J1231" s="2">
        <f>COUNTIFS($F$13:F1231,F1231,$I$13:I1231,I1231)</f>
        <v>1</v>
      </c>
      <c r="O1231" s="8">
        <v>1021201</v>
      </c>
      <c r="P1231" s="8">
        <f t="shared" si="39"/>
        <v>1021301</v>
      </c>
      <c r="Q1231" s="8">
        <f t="shared" si="40"/>
        <v>1021401</v>
      </c>
      <c r="R1231" s="8">
        <f t="shared" si="41"/>
        <v>1021501</v>
      </c>
    </row>
    <row r="1232" spans="1:18">
      <c r="A1232" s="14" t="s">
        <v>14</v>
      </c>
      <c r="B1232" s="8">
        <f t="shared" si="42"/>
        <v>70214502</v>
      </c>
      <c r="C1232" s="2" t="s">
        <v>1246</v>
      </c>
      <c r="E1232" s="2" t="str">
        <f>F1232&amp;(VLOOKUP(G1232,编号表!$E$1:$G$8,2,0))&amp;H1232&amp;"_"&amp;I1232&amp;"_"&amp;J1232</f>
        <v>21N4_5_2</v>
      </c>
      <c r="F1232" s="2">
        <v>21</v>
      </c>
      <c r="G1232" s="2" t="s">
        <v>37</v>
      </c>
      <c r="H1232" s="2">
        <v>4</v>
      </c>
      <c r="I1232" s="2">
        <v>5</v>
      </c>
      <c r="J1232" s="2">
        <f>COUNTIFS($F$13:F1232,F1232,$I$13:I1232,I1232)</f>
        <v>2</v>
      </c>
      <c r="O1232" s="8">
        <v>1021201</v>
      </c>
      <c r="P1232" s="8">
        <f t="shared" si="39"/>
        <v>1021301</v>
      </c>
      <c r="Q1232" s="8">
        <f t="shared" si="40"/>
        <v>1021401</v>
      </c>
      <c r="R1232" s="8">
        <f t="shared" si="41"/>
        <v>1021501</v>
      </c>
    </row>
    <row r="1233" spans="1:18">
      <c r="A1233" s="14" t="s">
        <v>14</v>
      </c>
      <c r="B1233" s="8">
        <f t="shared" si="42"/>
        <v>70211503</v>
      </c>
      <c r="C1233" s="2" t="s">
        <v>1247</v>
      </c>
      <c r="E1233" s="2" t="str">
        <f>F1233&amp;(VLOOKUP(G1233,编号表!$E$1:$G$8,2,0))&amp;H1233&amp;"_"&amp;I1233&amp;"_"&amp;J1233</f>
        <v>21N1_5_3</v>
      </c>
      <c r="F1233" s="2">
        <v>21</v>
      </c>
      <c r="G1233" s="2" t="s">
        <v>37</v>
      </c>
      <c r="H1233" s="2">
        <v>1</v>
      </c>
      <c r="I1233" s="2">
        <v>5</v>
      </c>
      <c r="J1233" s="2">
        <f>COUNTIFS($F$13:F1233,F1233,$I$13:I1233,I1233)</f>
        <v>3</v>
      </c>
      <c r="O1233" s="8">
        <v>1021201</v>
      </c>
      <c r="P1233" s="8">
        <f t="shared" si="39"/>
        <v>1021301</v>
      </c>
      <c r="Q1233" s="8">
        <f t="shared" si="40"/>
        <v>1021401</v>
      </c>
      <c r="R1233" s="8">
        <f t="shared" si="41"/>
        <v>1021501</v>
      </c>
    </row>
    <row r="1234" spans="1:18">
      <c r="A1234" s="14" t="s">
        <v>14</v>
      </c>
      <c r="B1234" s="8">
        <f t="shared" si="42"/>
        <v>70213504</v>
      </c>
      <c r="C1234" s="2" t="s">
        <v>1248</v>
      </c>
      <c r="E1234" s="2" t="str">
        <f>F1234&amp;(VLOOKUP(G1234,编号表!$E$1:$G$8,2,0))&amp;H1234&amp;"_"&amp;I1234&amp;"_"&amp;J1234</f>
        <v>21N3_5_4</v>
      </c>
      <c r="F1234" s="2">
        <v>21</v>
      </c>
      <c r="G1234" s="2" t="s">
        <v>37</v>
      </c>
      <c r="H1234" s="2">
        <v>3</v>
      </c>
      <c r="I1234" s="2">
        <v>5</v>
      </c>
      <c r="J1234" s="2">
        <f>COUNTIFS($F$13:F1234,F1234,$I$13:I1234,I1234)</f>
        <v>4</v>
      </c>
      <c r="O1234" s="8">
        <v>1021201</v>
      </c>
      <c r="P1234" s="8">
        <f t="shared" si="39"/>
        <v>1021301</v>
      </c>
      <c r="Q1234" s="8">
        <f t="shared" si="40"/>
        <v>1021401</v>
      </c>
      <c r="R1234" s="8">
        <f t="shared" si="41"/>
        <v>1021501</v>
      </c>
    </row>
    <row r="1235" spans="1:18">
      <c r="A1235" s="14" t="s">
        <v>14</v>
      </c>
      <c r="B1235" s="8">
        <f t="shared" si="42"/>
        <v>70215505</v>
      </c>
      <c r="C1235" s="2" t="s">
        <v>1249</v>
      </c>
      <c r="E1235" s="2" t="str">
        <f>F1235&amp;(VLOOKUP(G1235,编号表!$E$1:$G$8,2,0))&amp;H1235&amp;"_"&amp;I1235&amp;"_"&amp;J1235</f>
        <v>21N5_5_5</v>
      </c>
      <c r="F1235" s="2">
        <v>21</v>
      </c>
      <c r="G1235" s="2" t="s">
        <v>37</v>
      </c>
      <c r="H1235" s="2">
        <v>5</v>
      </c>
      <c r="I1235" s="2">
        <v>5</v>
      </c>
      <c r="J1235" s="2">
        <f>COUNTIFS($F$13:F1235,F1235,$I$13:I1235,I1235)</f>
        <v>5</v>
      </c>
      <c r="O1235" s="8">
        <v>1021201</v>
      </c>
      <c r="P1235" s="8">
        <f t="shared" si="39"/>
        <v>1021301</v>
      </c>
      <c r="Q1235" s="8">
        <f t="shared" si="40"/>
        <v>1021401</v>
      </c>
      <c r="R1235" s="8">
        <f t="shared" si="41"/>
        <v>1021501</v>
      </c>
    </row>
    <row r="1236" spans="1:18">
      <c r="A1236" s="14" t="s">
        <v>14</v>
      </c>
      <c r="B1236" s="8">
        <f t="shared" si="42"/>
        <v>70215506</v>
      </c>
      <c r="C1236" s="2" t="s">
        <v>1250</v>
      </c>
      <c r="E1236" s="2" t="str">
        <f>F1236&amp;(VLOOKUP(G1236,编号表!$E$1:$G$8,2,0))&amp;H1236&amp;"_"&amp;I1236&amp;"_"&amp;J1236</f>
        <v>21N5_5_6</v>
      </c>
      <c r="F1236" s="2">
        <v>21</v>
      </c>
      <c r="G1236" s="2" t="s">
        <v>37</v>
      </c>
      <c r="H1236" s="2">
        <v>5</v>
      </c>
      <c r="I1236" s="2">
        <v>5</v>
      </c>
      <c r="J1236" s="2">
        <f>COUNTIFS($F$13:F1236,F1236,$I$13:I1236,I1236)</f>
        <v>6</v>
      </c>
      <c r="O1236" s="8">
        <v>1021201</v>
      </c>
      <c r="P1236" s="8">
        <f t="shared" si="39"/>
        <v>1021301</v>
      </c>
      <c r="Q1236" s="8">
        <f t="shared" si="40"/>
        <v>1021401</v>
      </c>
      <c r="R1236" s="8">
        <f t="shared" si="41"/>
        <v>1021501</v>
      </c>
    </row>
    <row r="1237" spans="1:18">
      <c r="A1237" s="14" t="s">
        <v>14</v>
      </c>
      <c r="B1237" s="8">
        <f t="shared" si="42"/>
        <v>70215507</v>
      </c>
      <c r="C1237" s="2" t="s">
        <v>1251</v>
      </c>
      <c r="E1237" s="2" t="str">
        <f>F1237&amp;(VLOOKUP(G1237,编号表!$E$1:$G$8,2,0))&amp;H1237&amp;"_"&amp;I1237&amp;"_"&amp;J1237</f>
        <v>21N5_5_7</v>
      </c>
      <c r="F1237" s="2">
        <v>21</v>
      </c>
      <c r="G1237" s="2" t="s">
        <v>37</v>
      </c>
      <c r="H1237" s="2">
        <v>5</v>
      </c>
      <c r="I1237" s="2">
        <v>5</v>
      </c>
      <c r="J1237" s="2">
        <f>COUNTIFS($F$13:F1237,F1237,$I$13:I1237,I1237)</f>
        <v>7</v>
      </c>
      <c r="O1237" s="8">
        <v>1021201</v>
      </c>
      <c r="P1237" s="8">
        <f t="shared" si="39"/>
        <v>1021301</v>
      </c>
      <c r="Q1237" s="8">
        <f t="shared" si="40"/>
        <v>1021401</v>
      </c>
      <c r="R1237" s="8">
        <f t="shared" si="41"/>
        <v>1021501</v>
      </c>
    </row>
    <row r="1238" spans="1:18">
      <c r="A1238" s="14" t="s">
        <v>14</v>
      </c>
      <c r="B1238" s="8">
        <f t="shared" si="42"/>
        <v>70213508</v>
      </c>
      <c r="C1238" s="2" t="s">
        <v>1252</v>
      </c>
      <c r="E1238" s="2" t="str">
        <f>F1238&amp;(VLOOKUP(G1238,编号表!$E$1:$G$8,2,0))&amp;H1238&amp;"_"&amp;I1238&amp;"_"&amp;J1238</f>
        <v>21N3_5_8</v>
      </c>
      <c r="F1238" s="2">
        <v>21</v>
      </c>
      <c r="G1238" s="2" t="s">
        <v>37</v>
      </c>
      <c r="H1238" s="2">
        <v>3</v>
      </c>
      <c r="I1238" s="2">
        <v>5</v>
      </c>
      <c r="J1238" s="2">
        <f>COUNTIFS($F$13:F1238,F1238,$I$13:I1238,I1238)</f>
        <v>8</v>
      </c>
      <c r="O1238" s="8">
        <v>1021201</v>
      </c>
      <c r="P1238" s="8">
        <f t="shared" si="39"/>
        <v>1021301</v>
      </c>
      <c r="Q1238" s="8">
        <f t="shared" si="40"/>
        <v>1021401</v>
      </c>
      <c r="R1238" s="8">
        <f t="shared" si="41"/>
        <v>1021501</v>
      </c>
    </row>
    <row r="1239" spans="1:18">
      <c r="A1239" s="14" t="s">
        <v>14</v>
      </c>
      <c r="B1239" s="8">
        <f t="shared" si="42"/>
        <v>70213509</v>
      </c>
      <c r="C1239" s="2" t="s">
        <v>1253</v>
      </c>
      <c r="E1239" s="2" t="str">
        <f>F1239&amp;(VLOOKUP(G1239,编号表!$E$1:$G$8,2,0))&amp;H1239&amp;"_"&amp;I1239&amp;"_"&amp;J1239</f>
        <v>21N3_5_9</v>
      </c>
      <c r="F1239" s="2">
        <v>21</v>
      </c>
      <c r="G1239" s="2" t="s">
        <v>37</v>
      </c>
      <c r="H1239" s="2">
        <v>3</v>
      </c>
      <c r="I1239" s="2">
        <v>5</v>
      </c>
      <c r="J1239" s="2">
        <f>COUNTIFS($F$13:F1239,F1239,$I$13:I1239,I1239)</f>
        <v>9</v>
      </c>
      <c r="O1239" s="8">
        <v>1021201</v>
      </c>
      <c r="P1239" s="8">
        <f t="shared" si="39"/>
        <v>1021301</v>
      </c>
      <c r="Q1239" s="8">
        <f t="shared" si="40"/>
        <v>1021401</v>
      </c>
      <c r="R1239" s="8">
        <f t="shared" si="41"/>
        <v>1021501</v>
      </c>
    </row>
    <row r="1240" spans="1:18">
      <c r="A1240" s="14" t="s">
        <v>14</v>
      </c>
      <c r="B1240" s="8">
        <f t="shared" si="42"/>
        <v>70214510</v>
      </c>
      <c r="C1240" s="2" t="s">
        <v>1254</v>
      </c>
      <c r="E1240" s="2" t="str">
        <f>F1240&amp;(VLOOKUP(G1240,编号表!$E$1:$G$8,2,0))&amp;H1240&amp;"_"&amp;I1240&amp;"_"&amp;J1240</f>
        <v>21N4_5_10</v>
      </c>
      <c r="F1240" s="2">
        <v>21</v>
      </c>
      <c r="G1240" s="2" t="s">
        <v>37</v>
      </c>
      <c r="H1240" s="2">
        <v>4</v>
      </c>
      <c r="I1240" s="2">
        <v>5</v>
      </c>
      <c r="J1240" s="2">
        <f>COUNTIFS($F$13:F1240,F1240,$I$13:I1240,I1240)</f>
        <v>10</v>
      </c>
      <c r="O1240" s="8">
        <v>1021201</v>
      </c>
      <c r="P1240" s="8">
        <f t="shared" si="39"/>
        <v>1021301</v>
      </c>
      <c r="Q1240" s="8">
        <f t="shared" si="40"/>
        <v>1021401</v>
      </c>
      <c r="R1240" s="8">
        <f t="shared" si="41"/>
        <v>1021501</v>
      </c>
    </row>
    <row r="1241" spans="1:18">
      <c r="A1241" s="14" t="s">
        <v>14</v>
      </c>
      <c r="B1241" s="8">
        <f t="shared" si="42"/>
        <v>70214601</v>
      </c>
      <c r="C1241" s="2" t="s">
        <v>1255</v>
      </c>
      <c r="E1241" s="2" t="str">
        <f>F1241&amp;(VLOOKUP(G1241,编号表!$E$1:$G$8,2,0))&amp;H1241&amp;"_"&amp;I1241&amp;"_"&amp;J1241</f>
        <v>21N4_6_1</v>
      </c>
      <c r="F1241" s="2">
        <v>21</v>
      </c>
      <c r="G1241" s="2" t="s">
        <v>37</v>
      </c>
      <c r="H1241" s="2">
        <v>4</v>
      </c>
      <c r="I1241" s="2">
        <v>6</v>
      </c>
      <c r="J1241" s="2">
        <f>COUNTIFS($F$13:F1241,F1241,$I$13:I1241,I1241)</f>
        <v>1</v>
      </c>
      <c r="O1241" s="8">
        <v>1021201</v>
      </c>
      <c r="P1241" s="8">
        <f t="shared" si="39"/>
        <v>1021301</v>
      </c>
      <c r="Q1241" s="8">
        <f t="shared" si="40"/>
        <v>1021401</v>
      </c>
      <c r="R1241" s="8">
        <f t="shared" si="41"/>
        <v>1021501</v>
      </c>
    </row>
    <row r="1242" spans="1:18">
      <c r="A1242" s="14" t="s">
        <v>14</v>
      </c>
      <c r="B1242" s="8">
        <f t="shared" si="42"/>
        <v>70214602</v>
      </c>
      <c r="C1242" s="2" t="s">
        <v>1256</v>
      </c>
      <c r="E1242" s="2" t="str">
        <f>F1242&amp;(VLOOKUP(G1242,编号表!$E$1:$G$8,2,0))&amp;H1242&amp;"_"&amp;I1242&amp;"_"&amp;J1242</f>
        <v>21N4_6_2</v>
      </c>
      <c r="F1242" s="2">
        <v>21</v>
      </c>
      <c r="G1242" s="2" t="s">
        <v>37</v>
      </c>
      <c r="H1242" s="2">
        <v>4</v>
      </c>
      <c r="I1242" s="2">
        <v>6</v>
      </c>
      <c r="J1242" s="2">
        <f>COUNTIFS($F$13:F1242,F1242,$I$13:I1242,I1242)</f>
        <v>2</v>
      </c>
      <c r="O1242" s="8">
        <v>1021201</v>
      </c>
      <c r="P1242" s="8">
        <f t="shared" si="39"/>
        <v>1021301</v>
      </c>
      <c r="Q1242" s="8">
        <f t="shared" si="40"/>
        <v>1021401</v>
      </c>
      <c r="R1242" s="8">
        <f t="shared" si="41"/>
        <v>1021501</v>
      </c>
    </row>
    <row r="1243" spans="1:18">
      <c r="A1243" s="14" t="s">
        <v>14</v>
      </c>
      <c r="B1243" s="8">
        <f t="shared" si="42"/>
        <v>70214603</v>
      </c>
      <c r="C1243" s="2" t="s">
        <v>1257</v>
      </c>
      <c r="E1243" s="2" t="str">
        <f>F1243&amp;(VLOOKUP(G1243,编号表!$E$1:$G$8,2,0))&amp;H1243&amp;"_"&amp;I1243&amp;"_"&amp;J1243</f>
        <v>21N4_6_3</v>
      </c>
      <c r="F1243" s="2">
        <v>21</v>
      </c>
      <c r="G1243" s="2" t="s">
        <v>37</v>
      </c>
      <c r="H1243" s="2">
        <v>4</v>
      </c>
      <c r="I1243" s="2">
        <v>6</v>
      </c>
      <c r="J1243" s="2">
        <f>COUNTIFS($F$13:F1243,F1243,$I$13:I1243,I1243)</f>
        <v>3</v>
      </c>
      <c r="O1243" s="8">
        <v>1021201</v>
      </c>
      <c r="P1243" s="8">
        <f t="shared" si="39"/>
        <v>1021301</v>
      </c>
      <c r="Q1243" s="8">
        <f t="shared" si="40"/>
        <v>1021401</v>
      </c>
      <c r="R1243" s="8">
        <f t="shared" si="41"/>
        <v>1021501</v>
      </c>
    </row>
    <row r="1244" spans="1:18">
      <c r="A1244" s="14" t="s">
        <v>14</v>
      </c>
      <c r="B1244" s="8">
        <f t="shared" si="42"/>
        <v>70214604</v>
      </c>
      <c r="C1244" s="2" t="s">
        <v>1258</v>
      </c>
      <c r="E1244" s="2" t="str">
        <f>F1244&amp;(VLOOKUP(G1244,编号表!$E$1:$G$8,2,0))&amp;H1244&amp;"_"&amp;I1244&amp;"_"&amp;J1244</f>
        <v>21N4_6_4</v>
      </c>
      <c r="F1244" s="2">
        <v>21</v>
      </c>
      <c r="G1244" s="2" t="s">
        <v>37</v>
      </c>
      <c r="H1244" s="2">
        <v>4</v>
      </c>
      <c r="I1244" s="2">
        <v>6</v>
      </c>
      <c r="J1244" s="2">
        <f>COUNTIFS($F$13:F1244,F1244,$I$13:I1244,I1244)</f>
        <v>4</v>
      </c>
      <c r="O1244" s="8">
        <v>1021201</v>
      </c>
      <c r="P1244" s="8">
        <f t="shared" si="39"/>
        <v>1021301</v>
      </c>
      <c r="Q1244" s="8">
        <f t="shared" si="40"/>
        <v>1021401</v>
      </c>
      <c r="R1244" s="8">
        <f t="shared" si="41"/>
        <v>1021501</v>
      </c>
    </row>
    <row r="1245" spans="1:18">
      <c r="A1245" s="14" t="s">
        <v>14</v>
      </c>
      <c r="B1245" s="8">
        <f t="shared" si="42"/>
        <v>70214605</v>
      </c>
      <c r="C1245" s="2" t="s">
        <v>1259</v>
      </c>
      <c r="E1245" s="2" t="str">
        <f>F1245&amp;(VLOOKUP(G1245,编号表!$E$1:$G$8,2,0))&amp;H1245&amp;"_"&amp;I1245&amp;"_"&amp;J1245</f>
        <v>21N4_6_5</v>
      </c>
      <c r="F1245" s="2">
        <v>21</v>
      </c>
      <c r="G1245" s="2" t="s">
        <v>37</v>
      </c>
      <c r="H1245" s="2">
        <v>4</v>
      </c>
      <c r="I1245" s="2">
        <v>6</v>
      </c>
      <c r="J1245" s="2">
        <f>COUNTIFS($F$13:F1245,F1245,$I$13:I1245,I1245)</f>
        <v>5</v>
      </c>
      <c r="O1245" s="8">
        <v>1021201</v>
      </c>
      <c r="P1245" s="8">
        <f t="shared" si="39"/>
        <v>1021301</v>
      </c>
      <c r="Q1245" s="8">
        <f t="shared" si="40"/>
        <v>1021401</v>
      </c>
      <c r="R1245" s="8">
        <f t="shared" si="41"/>
        <v>1021501</v>
      </c>
    </row>
    <row r="1246" spans="1:18">
      <c r="A1246" s="14" t="s">
        <v>14</v>
      </c>
      <c r="B1246" s="8">
        <f t="shared" si="42"/>
        <v>70213606</v>
      </c>
      <c r="C1246" s="2" t="s">
        <v>1260</v>
      </c>
      <c r="E1246" s="2" t="str">
        <f>F1246&amp;(VLOOKUP(G1246,编号表!$E$1:$G$8,2,0))&amp;H1246&amp;"_"&amp;I1246&amp;"_"&amp;J1246</f>
        <v>21N3_6_6</v>
      </c>
      <c r="F1246" s="2">
        <v>21</v>
      </c>
      <c r="G1246" s="2" t="s">
        <v>37</v>
      </c>
      <c r="H1246" s="2">
        <v>3</v>
      </c>
      <c r="I1246" s="2">
        <v>6</v>
      </c>
      <c r="J1246" s="2">
        <f>COUNTIFS($F$13:F1246,F1246,$I$13:I1246,I1246)</f>
        <v>6</v>
      </c>
      <c r="O1246" s="8">
        <v>1021201</v>
      </c>
      <c r="P1246" s="8">
        <f t="shared" si="39"/>
        <v>1021301</v>
      </c>
      <c r="Q1246" s="8">
        <f t="shared" si="40"/>
        <v>1021401</v>
      </c>
      <c r="R1246" s="8">
        <f t="shared" si="41"/>
        <v>1021501</v>
      </c>
    </row>
    <row r="1247" spans="1:18">
      <c r="A1247" s="14" t="s">
        <v>14</v>
      </c>
      <c r="B1247" s="8">
        <f t="shared" si="42"/>
        <v>70211607</v>
      </c>
      <c r="C1247" s="15" t="s">
        <v>1261</v>
      </c>
      <c r="E1247" s="2" t="str">
        <f>F1247&amp;(VLOOKUP(G1247,编号表!$E$1:$G$8,2,0))&amp;H1247&amp;"_"&amp;I1247&amp;"_"&amp;J1247</f>
        <v>21T1_6_7</v>
      </c>
      <c r="F1247" s="2">
        <v>21</v>
      </c>
      <c r="G1247" s="2" t="s">
        <v>53</v>
      </c>
      <c r="H1247" s="2">
        <v>1</v>
      </c>
      <c r="I1247" s="2">
        <v>6</v>
      </c>
      <c r="J1247" s="2">
        <f>COUNTIFS($F$13:F1247,F1247,$I$13:I1247,I1247)</f>
        <v>7</v>
      </c>
    </row>
    <row r="1248" spans="1:18">
      <c r="A1248" s="14" t="s">
        <v>14</v>
      </c>
      <c r="B1248" s="8">
        <f t="shared" si="42"/>
        <v>70213608</v>
      </c>
      <c r="C1248" s="16" t="s">
        <v>1262</v>
      </c>
      <c r="D1248" s="2" t="s">
        <v>1263</v>
      </c>
      <c r="E1248" s="2" t="str">
        <f>F1248&amp;(VLOOKUP(G1248,编号表!$E$1:$G$8,2,0))&amp;H1248&amp;"_"&amp;I1248&amp;"_"&amp;J1248</f>
        <v>21T3_6_8</v>
      </c>
      <c r="F1248" s="2">
        <v>21</v>
      </c>
      <c r="G1248" s="2" t="s">
        <v>53</v>
      </c>
      <c r="H1248" s="2">
        <v>3</v>
      </c>
      <c r="I1248" s="2">
        <v>6</v>
      </c>
      <c r="J1248" s="2">
        <f>COUNTIFS($F$13:F1248,F1248,$I$13:I1248,I1248)</f>
        <v>8</v>
      </c>
      <c r="M1248" s="2">
        <v>143</v>
      </c>
    </row>
    <row r="1249" spans="1:19">
      <c r="A1249" s="14" t="s">
        <v>14</v>
      </c>
      <c r="B1249" s="8">
        <f t="shared" si="42"/>
        <v>70212701</v>
      </c>
      <c r="C1249" s="2" t="s">
        <v>1264</v>
      </c>
      <c r="E1249" s="2" t="str">
        <f>F1249&amp;(VLOOKUP(G1249,编号表!$E$1:$G$8,2,0))&amp;H1249&amp;"_"&amp;I1249&amp;"_"&amp;J1249</f>
        <v>21N2_7_1</v>
      </c>
      <c r="F1249" s="2">
        <v>21</v>
      </c>
      <c r="G1249" s="2" t="s">
        <v>37</v>
      </c>
      <c r="H1249" s="2">
        <v>2</v>
      </c>
      <c r="I1249" s="2">
        <v>7</v>
      </c>
      <c r="J1249" s="2">
        <f>COUNTIFS($F$13:F1249,F1249,$I$13:I1249,I1249)</f>
        <v>1</v>
      </c>
      <c r="O1249" s="8">
        <v>1021201</v>
      </c>
      <c r="P1249" s="8">
        <f t="shared" ref="P1249:P1257" si="43">O1249+100</f>
        <v>1021301</v>
      </c>
      <c r="Q1249" s="8">
        <f t="shared" ref="Q1249:Q1257" si="44">P1249+100</f>
        <v>1021401</v>
      </c>
      <c r="R1249" s="8">
        <f t="shared" ref="R1249:R1257" si="45">Q1249+100</f>
        <v>1021501</v>
      </c>
    </row>
    <row r="1250" spans="1:19">
      <c r="A1250" s="14" t="s">
        <v>14</v>
      </c>
      <c r="B1250" s="8">
        <f t="shared" si="42"/>
        <v>70212702</v>
      </c>
      <c r="C1250" s="2" t="s">
        <v>1265</v>
      </c>
      <c r="E1250" s="2" t="str">
        <f>F1250&amp;(VLOOKUP(G1250,编号表!$E$1:$G$8,2,0))&amp;H1250&amp;"_"&amp;I1250&amp;"_"&amp;J1250</f>
        <v>21N2_7_2</v>
      </c>
      <c r="F1250" s="2">
        <v>21</v>
      </c>
      <c r="G1250" s="2" t="s">
        <v>37</v>
      </c>
      <c r="H1250" s="2">
        <v>2</v>
      </c>
      <c r="I1250" s="2">
        <v>7</v>
      </c>
      <c r="J1250" s="2">
        <f>COUNTIFS($F$13:F1250,F1250,$I$13:I1250,I1250)</f>
        <v>2</v>
      </c>
      <c r="O1250" s="8">
        <v>1021201</v>
      </c>
      <c r="P1250" s="8">
        <f t="shared" si="43"/>
        <v>1021301</v>
      </c>
      <c r="Q1250" s="8">
        <f t="shared" si="44"/>
        <v>1021401</v>
      </c>
      <c r="R1250" s="8">
        <f t="shared" si="45"/>
        <v>1021501</v>
      </c>
    </row>
    <row r="1251" spans="1:19">
      <c r="A1251" s="14" t="s">
        <v>14</v>
      </c>
      <c r="B1251" s="8">
        <f t="shared" si="42"/>
        <v>70212703</v>
      </c>
      <c r="C1251" s="2" t="s">
        <v>1266</v>
      </c>
      <c r="E1251" s="2" t="str">
        <f>F1251&amp;(VLOOKUP(G1251,编号表!$E$1:$G$8,2,0))&amp;H1251&amp;"_"&amp;I1251&amp;"_"&amp;J1251</f>
        <v>21N2_7_3</v>
      </c>
      <c r="F1251" s="2">
        <v>21</v>
      </c>
      <c r="G1251" s="2" t="s">
        <v>37</v>
      </c>
      <c r="H1251" s="2">
        <v>2</v>
      </c>
      <c r="I1251" s="2">
        <v>7</v>
      </c>
      <c r="J1251" s="2">
        <f>COUNTIFS($F$13:F1251,F1251,$I$13:I1251,I1251)</f>
        <v>3</v>
      </c>
      <c r="O1251" s="8">
        <v>1021201</v>
      </c>
      <c r="P1251" s="8">
        <f t="shared" si="43"/>
        <v>1021301</v>
      </c>
      <c r="Q1251" s="8">
        <f t="shared" si="44"/>
        <v>1021401</v>
      </c>
      <c r="R1251" s="8">
        <f t="shared" si="45"/>
        <v>1021501</v>
      </c>
    </row>
    <row r="1252" spans="1:19">
      <c r="A1252" s="14" t="s">
        <v>14</v>
      </c>
      <c r="B1252" s="8">
        <f t="shared" si="42"/>
        <v>70212704</v>
      </c>
      <c r="C1252" s="2" t="s">
        <v>1267</v>
      </c>
      <c r="E1252" s="2" t="str">
        <f>F1252&amp;(VLOOKUP(G1252,编号表!$E$1:$G$8,2,0))&amp;H1252&amp;"_"&amp;I1252&amp;"_"&amp;J1252</f>
        <v>21N2_7_4</v>
      </c>
      <c r="F1252" s="2">
        <v>21</v>
      </c>
      <c r="G1252" s="2" t="s">
        <v>37</v>
      </c>
      <c r="H1252" s="2">
        <v>2</v>
      </c>
      <c r="I1252" s="2">
        <v>7</v>
      </c>
      <c r="J1252" s="2">
        <f>COUNTIFS($F$13:F1252,F1252,$I$13:I1252,I1252)</f>
        <v>4</v>
      </c>
      <c r="O1252" s="8">
        <v>1021201</v>
      </c>
      <c r="P1252" s="8">
        <f t="shared" si="43"/>
        <v>1021301</v>
      </c>
      <c r="Q1252" s="8">
        <f t="shared" si="44"/>
        <v>1021401</v>
      </c>
      <c r="R1252" s="8">
        <f t="shared" si="45"/>
        <v>1021501</v>
      </c>
    </row>
    <row r="1253" spans="1:19">
      <c r="A1253" s="14" t="s">
        <v>14</v>
      </c>
      <c r="B1253" s="8">
        <f t="shared" si="42"/>
        <v>70212705</v>
      </c>
      <c r="C1253" s="2" t="s">
        <v>1268</v>
      </c>
      <c r="E1253" s="2" t="str">
        <f>F1253&amp;(VLOOKUP(G1253,编号表!$E$1:$G$8,2,0))&amp;H1253&amp;"_"&amp;I1253&amp;"_"&amp;J1253</f>
        <v>21N2_7_5</v>
      </c>
      <c r="F1253" s="2">
        <v>21</v>
      </c>
      <c r="G1253" s="2" t="s">
        <v>37</v>
      </c>
      <c r="H1253" s="2">
        <v>2</v>
      </c>
      <c r="I1253" s="2">
        <v>7</v>
      </c>
      <c r="J1253" s="2">
        <f>COUNTIFS($F$13:F1253,F1253,$I$13:I1253,I1253)</f>
        <v>5</v>
      </c>
      <c r="O1253" s="8">
        <v>1021201</v>
      </c>
      <c r="P1253" s="8">
        <f t="shared" si="43"/>
        <v>1021301</v>
      </c>
      <c r="Q1253" s="8">
        <f t="shared" si="44"/>
        <v>1021401</v>
      </c>
      <c r="R1253" s="8">
        <f t="shared" si="45"/>
        <v>1021501</v>
      </c>
    </row>
    <row r="1254" spans="1:19">
      <c r="A1254" s="14" t="s">
        <v>14</v>
      </c>
      <c r="B1254" s="8">
        <f t="shared" si="42"/>
        <v>70212706</v>
      </c>
      <c r="C1254" s="2" t="s">
        <v>1269</v>
      </c>
      <c r="E1254" s="2" t="str">
        <f>F1254&amp;(VLOOKUP(G1254,编号表!$E$1:$G$8,2,0))&amp;H1254&amp;"_"&amp;I1254&amp;"_"&amp;J1254</f>
        <v>21N2_7_6</v>
      </c>
      <c r="F1254" s="2">
        <v>21</v>
      </c>
      <c r="G1254" s="2" t="s">
        <v>37</v>
      </c>
      <c r="H1254" s="2">
        <v>2</v>
      </c>
      <c r="I1254" s="2">
        <v>7</v>
      </c>
      <c r="J1254" s="2">
        <f>COUNTIFS($F$13:F1254,F1254,$I$13:I1254,I1254)</f>
        <v>6</v>
      </c>
      <c r="O1254" s="8">
        <v>1021201</v>
      </c>
      <c r="P1254" s="8">
        <f t="shared" si="43"/>
        <v>1021301</v>
      </c>
      <c r="Q1254" s="8">
        <f t="shared" si="44"/>
        <v>1021401</v>
      </c>
      <c r="R1254" s="8">
        <f t="shared" si="45"/>
        <v>1021501</v>
      </c>
    </row>
    <row r="1255" spans="1:19">
      <c r="A1255" s="14" t="s">
        <v>14</v>
      </c>
      <c r="B1255" s="8">
        <f t="shared" si="42"/>
        <v>70212707</v>
      </c>
      <c r="C1255" s="2" t="s">
        <v>1270</v>
      </c>
      <c r="E1255" s="2" t="str">
        <f>F1255&amp;(VLOOKUP(G1255,编号表!$E$1:$G$8,2,0))&amp;H1255&amp;"_"&amp;I1255&amp;"_"&amp;J1255</f>
        <v>21N2_7_7</v>
      </c>
      <c r="F1255" s="2">
        <v>21</v>
      </c>
      <c r="G1255" s="2" t="s">
        <v>37</v>
      </c>
      <c r="H1255" s="2">
        <v>2</v>
      </c>
      <c r="I1255" s="2">
        <v>7</v>
      </c>
      <c r="J1255" s="2">
        <f>COUNTIFS($F$13:F1255,F1255,$I$13:I1255,I1255)</f>
        <v>7</v>
      </c>
      <c r="O1255" s="8">
        <v>1021201</v>
      </c>
      <c r="P1255" s="8">
        <f t="shared" si="43"/>
        <v>1021301</v>
      </c>
      <c r="Q1255" s="8">
        <f t="shared" si="44"/>
        <v>1021401</v>
      </c>
      <c r="R1255" s="8">
        <f t="shared" si="45"/>
        <v>1021501</v>
      </c>
    </row>
    <row r="1256" spans="1:19">
      <c r="A1256" s="14" t="s">
        <v>14</v>
      </c>
      <c r="B1256" s="8">
        <f t="shared" si="42"/>
        <v>70212708</v>
      </c>
      <c r="C1256" s="2" t="s">
        <v>1271</v>
      </c>
      <c r="E1256" s="2" t="str">
        <f>F1256&amp;(VLOOKUP(G1256,编号表!$E$1:$G$8,2,0))&amp;H1256&amp;"_"&amp;I1256&amp;"_"&amp;J1256</f>
        <v>21N2_7_8</v>
      </c>
      <c r="F1256" s="2">
        <v>21</v>
      </c>
      <c r="G1256" s="2" t="s">
        <v>37</v>
      </c>
      <c r="H1256" s="2">
        <v>2</v>
      </c>
      <c r="I1256" s="2">
        <v>7</v>
      </c>
      <c r="J1256" s="2">
        <f>COUNTIFS($F$13:F1256,F1256,$I$13:I1256,I1256)</f>
        <v>8</v>
      </c>
      <c r="O1256" s="8">
        <v>1021201</v>
      </c>
      <c r="P1256" s="8">
        <f t="shared" si="43"/>
        <v>1021301</v>
      </c>
      <c r="Q1256" s="8">
        <f t="shared" si="44"/>
        <v>1021401</v>
      </c>
      <c r="R1256" s="8">
        <f t="shared" si="45"/>
        <v>1021501</v>
      </c>
    </row>
    <row r="1257" spans="1:19">
      <c r="A1257" s="14" t="s">
        <v>14</v>
      </c>
      <c r="B1257" s="8">
        <f t="shared" si="42"/>
        <v>70212709</v>
      </c>
      <c r="C1257" s="2" t="s">
        <v>1272</v>
      </c>
      <c r="E1257" s="2" t="str">
        <f>F1257&amp;(VLOOKUP(G1257,编号表!$E$1:$G$8,2,0))&amp;H1257&amp;"_"&amp;I1257&amp;"_"&amp;J1257</f>
        <v>21N2_7_9</v>
      </c>
      <c r="F1257" s="2">
        <v>21</v>
      </c>
      <c r="G1257" s="2" t="s">
        <v>37</v>
      </c>
      <c r="H1257" s="2">
        <v>2</v>
      </c>
      <c r="I1257" s="2">
        <v>7</v>
      </c>
      <c r="J1257" s="2">
        <f>COUNTIFS($F$13:F1257,F1257,$I$13:I1257,I1257)</f>
        <v>9</v>
      </c>
      <c r="O1257" s="8">
        <v>1021201</v>
      </c>
      <c r="P1257" s="8">
        <f t="shared" si="43"/>
        <v>1021301</v>
      </c>
      <c r="Q1257" s="8">
        <f t="shared" si="44"/>
        <v>1021401</v>
      </c>
      <c r="R1257" s="8">
        <f t="shared" si="45"/>
        <v>1021501</v>
      </c>
    </row>
    <row r="1258" spans="1:19">
      <c r="A1258" s="14" t="s">
        <v>14</v>
      </c>
      <c r="B1258" s="8">
        <f t="shared" si="42"/>
        <v>70210001</v>
      </c>
      <c r="C1258" s="18" t="s">
        <v>1273</v>
      </c>
      <c r="E1258" s="2" t="str">
        <f>F1258&amp;(VLOOKUP(G1258,编号表!$E$1:$G$8,2,0))&amp;H1258&amp;"_"&amp;I1258&amp;"_"&amp;J1258</f>
        <v>21J0_0_1</v>
      </c>
      <c r="F1258" s="2">
        <v>21</v>
      </c>
      <c r="G1258" s="2" t="s">
        <v>86</v>
      </c>
      <c r="H1258" s="2">
        <v>0</v>
      </c>
      <c r="I1258" s="2">
        <v>0</v>
      </c>
      <c r="J1258" s="2">
        <f>COUNTIFS($F$13:F1258,F1258,$I$13:I1258,I1258)</f>
        <v>1</v>
      </c>
      <c r="K1258" s="2">
        <v>1</v>
      </c>
    </row>
    <row r="1259" spans="1:19">
      <c r="A1259" s="14" t="s">
        <v>14</v>
      </c>
      <c r="B1259" s="8">
        <f t="shared" si="42"/>
        <v>70223101</v>
      </c>
      <c r="C1259" s="16" t="s">
        <v>1274</v>
      </c>
      <c r="D1259" s="2" t="s">
        <v>1275</v>
      </c>
      <c r="E1259" s="2" t="str">
        <f>F1259&amp;(VLOOKUP(G1259,编号表!$E$1:$G$8,2,0))&amp;H1259&amp;"_"&amp;I1259&amp;"_"&amp;J1259</f>
        <v>22T3_1_1</v>
      </c>
      <c r="F1259" s="2">
        <v>22</v>
      </c>
      <c r="G1259" s="2" t="s">
        <v>53</v>
      </c>
      <c r="H1259" s="2">
        <v>3</v>
      </c>
      <c r="I1259" s="2">
        <v>1</v>
      </c>
      <c r="J1259" s="2">
        <f>COUNTIFS($F$13:F1259,F1259,$I$13:I1259,I1259)</f>
        <v>1</v>
      </c>
      <c r="M1259" s="2">
        <v>145</v>
      </c>
    </row>
    <row r="1260" spans="1:19">
      <c r="A1260" s="14" t="s">
        <v>14</v>
      </c>
      <c r="B1260" s="8">
        <f t="shared" si="42"/>
        <v>70221102</v>
      </c>
      <c r="C1260" s="15" t="s">
        <v>1276</v>
      </c>
      <c r="E1260" s="2" t="str">
        <f>F1260&amp;(VLOOKUP(G1260,编号表!$E$1:$G$8,2,0))&amp;H1260&amp;"_"&amp;I1260&amp;"_"&amp;J1260</f>
        <v>22T1_1_2</v>
      </c>
      <c r="F1260" s="2">
        <v>22</v>
      </c>
      <c r="G1260" s="2" t="s">
        <v>53</v>
      </c>
      <c r="H1260" s="2">
        <v>1</v>
      </c>
      <c r="I1260" s="2">
        <v>1</v>
      </c>
      <c r="J1260" s="2">
        <f>COUNTIFS($F$13:F1260,F1260,$I$13:I1260,I1260)</f>
        <v>2</v>
      </c>
    </row>
    <row r="1261" spans="1:19">
      <c r="A1261" s="14" t="s">
        <v>14</v>
      </c>
      <c r="B1261" s="8">
        <f t="shared" si="42"/>
        <v>70223103</v>
      </c>
      <c r="C1261" s="2" t="s">
        <v>1277</v>
      </c>
      <c r="E1261" s="2" t="str">
        <f>F1261&amp;(VLOOKUP(G1261,编号表!$E$1:$G$8,2,0))&amp;H1261&amp;"_"&amp;I1261&amp;"_"&amp;J1261</f>
        <v>22N3_1_3</v>
      </c>
      <c r="F1261" s="2">
        <v>22</v>
      </c>
      <c r="G1261" s="2" t="s">
        <v>37</v>
      </c>
      <c r="H1261" s="2">
        <v>3</v>
      </c>
      <c r="I1261" s="2">
        <v>1</v>
      </c>
      <c r="J1261" s="2">
        <f>COUNTIFS($F$13:F1261,F1261,$I$13:I1261,I1261)</f>
        <v>3</v>
      </c>
      <c r="O1261" s="8">
        <v>1022201</v>
      </c>
      <c r="P1261" s="8">
        <f t="shared" ref="P1261:P1279" si="46">O1261+100</f>
        <v>1022301</v>
      </c>
      <c r="Q1261" s="8">
        <f t="shared" ref="Q1261:Q1279" si="47">P1261+100</f>
        <v>1022401</v>
      </c>
      <c r="R1261" s="8">
        <f t="shared" ref="R1261:R1279" si="48">Q1261+100</f>
        <v>1022501</v>
      </c>
      <c r="S1261" s="8">
        <v>1022001</v>
      </c>
    </row>
    <row r="1262" spans="1:19">
      <c r="A1262" s="14" t="s">
        <v>14</v>
      </c>
      <c r="B1262" s="8">
        <f t="shared" si="42"/>
        <v>70224201</v>
      </c>
      <c r="C1262" s="2" t="s">
        <v>1278</v>
      </c>
      <c r="E1262" s="2" t="str">
        <f>F1262&amp;(VLOOKUP(G1262,编号表!$E$1:$G$8,2,0))&amp;H1262&amp;"_"&amp;I1262&amp;"_"&amp;J1262</f>
        <v>22N4_2_1</v>
      </c>
      <c r="F1262" s="2">
        <v>22</v>
      </c>
      <c r="G1262" s="2" t="s">
        <v>37</v>
      </c>
      <c r="H1262" s="2">
        <v>4</v>
      </c>
      <c r="I1262" s="2">
        <v>2</v>
      </c>
      <c r="J1262" s="2">
        <f>COUNTIFS($F$13:F1262,F1262,$I$13:I1262,I1262)</f>
        <v>1</v>
      </c>
      <c r="O1262" s="8">
        <v>1022201</v>
      </c>
      <c r="P1262" s="8">
        <f t="shared" si="46"/>
        <v>1022301</v>
      </c>
      <c r="Q1262" s="8">
        <f t="shared" si="47"/>
        <v>1022401</v>
      </c>
      <c r="R1262" s="8">
        <f t="shared" si="48"/>
        <v>1022501</v>
      </c>
      <c r="S1262" s="8">
        <v>1022101</v>
      </c>
    </row>
    <row r="1263" spans="1:19">
      <c r="A1263" s="14" t="s">
        <v>14</v>
      </c>
      <c r="B1263" s="8">
        <f t="shared" si="42"/>
        <v>70224202</v>
      </c>
      <c r="C1263" s="2" t="s">
        <v>1279</v>
      </c>
      <c r="E1263" s="2" t="str">
        <f>F1263&amp;(VLOOKUP(G1263,编号表!$E$1:$G$8,2,0))&amp;H1263&amp;"_"&amp;I1263&amp;"_"&amp;J1263</f>
        <v>22N4_2_2</v>
      </c>
      <c r="F1263" s="2">
        <v>22</v>
      </c>
      <c r="G1263" s="2" t="s">
        <v>37</v>
      </c>
      <c r="H1263" s="2">
        <v>4</v>
      </c>
      <c r="I1263" s="2">
        <v>2</v>
      </c>
      <c r="J1263" s="2">
        <f>COUNTIFS($F$13:F1263,F1263,$I$13:I1263,I1263)</f>
        <v>2</v>
      </c>
      <c r="O1263" s="8">
        <v>1022201</v>
      </c>
      <c r="P1263" s="8">
        <f t="shared" si="46"/>
        <v>1022301</v>
      </c>
      <c r="Q1263" s="8">
        <f t="shared" si="47"/>
        <v>1022401</v>
      </c>
      <c r="R1263" s="8">
        <f t="shared" si="48"/>
        <v>1022501</v>
      </c>
    </row>
    <row r="1264" spans="1:19">
      <c r="A1264" s="14" t="s">
        <v>14</v>
      </c>
      <c r="B1264" s="8">
        <f t="shared" si="42"/>
        <v>70224203</v>
      </c>
      <c r="C1264" s="2" t="s">
        <v>1280</v>
      </c>
      <c r="E1264" s="2" t="str">
        <f>F1264&amp;(VLOOKUP(G1264,编号表!$E$1:$G$8,2,0))&amp;H1264&amp;"_"&amp;I1264&amp;"_"&amp;J1264</f>
        <v>22N4_2_3</v>
      </c>
      <c r="F1264" s="2">
        <v>22</v>
      </c>
      <c r="G1264" s="2" t="s">
        <v>37</v>
      </c>
      <c r="H1264" s="2">
        <v>4</v>
      </c>
      <c r="I1264" s="2">
        <v>2</v>
      </c>
      <c r="J1264" s="2">
        <f>COUNTIFS($F$13:F1264,F1264,$I$13:I1264,I1264)</f>
        <v>3</v>
      </c>
      <c r="O1264" s="8">
        <v>1022201</v>
      </c>
      <c r="P1264" s="8">
        <f t="shared" si="46"/>
        <v>1022301</v>
      </c>
      <c r="Q1264" s="8">
        <f t="shared" si="47"/>
        <v>1022401</v>
      </c>
      <c r="R1264" s="8">
        <f t="shared" si="48"/>
        <v>1022501</v>
      </c>
    </row>
    <row r="1265" spans="1:18">
      <c r="A1265" s="14" t="s">
        <v>14</v>
      </c>
      <c r="B1265" s="8">
        <f t="shared" si="42"/>
        <v>70224204</v>
      </c>
      <c r="C1265" s="2" t="s">
        <v>1281</v>
      </c>
      <c r="E1265" s="2" t="str">
        <f>F1265&amp;(VLOOKUP(G1265,编号表!$E$1:$G$8,2,0))&amp;H1265&amp;"_"&amp;I1265&amp;"_"&amp;J1265</f>
        <v>22N4_2_4</v>
      </c>
      <c r="F1265" s="2">
        <v>22</v>
      </c>
      <c r="G1265" s="2" t="s">
        <v>37</v>
      </c>
      <c r="H1265" s="2">
        <v>4</v>
      </c>
      <c r="I1265" s="2">
        <v>2</v>
      </c>
      <c r="J1265" s="2">
        <f>COUNTIFS($F$13:F1265,F1265,$I$13:I1265,I1265)</f>
        <v>4</v>
      </c>
      <c r="O1265" s="8">
        <v>1022201</v>
      </c>
      <c r="P1265" s="8">
        <f t="shared" si="46"/>
        <v>1022301</v>
      </c>
      <c r="Q1265" s="8">
        <f t="shared" si="47"/>
        <v>1022401</v>
      </c>
      <c r="R1265" s="8">
        <f t="shared" si="48"/>
        <v>1022501</v>
      </c>
    </row>
    <row r="1266" spans="1:18">
      <c r="A1266" s="14" t="s">
        <v>14</v>
      </c>
      <c r="B1266" s="8">
        <f t="shared" si="42"/>
        <v>70224205</v>
      </c>
      <c r="C1266" s="2" t="s">
        <v>1282</v>
      </c>
      <c r="E1266" s="2" t="str">
        <f>F1266&amp;(VLOOKUP(G1266,编号表!$E$1:$G$8,2,0))&amp;H1266&amp;"_"&amp;I1266&amp;"_"&amp;J1266</f>
        <v>22N4_2_5</v>
      </c>
      <c r="F1266" s="2">
        <v>22</v>
      </c>
      <c r="G1266" s="2" t="s">
        <v>37</v>
      </c>
      <c r="H1266" s="2">
        <v>4</v>
      </c>
      <c r="I1266" s="2">
        <v>2</v>
      </c>
      <c r="J1266" s="2">
        <f>COUNTIFS($F$13:F1266,F1266,$I$13:I1266,I1266)</f>
        <v>5</v>
      </c>
      <c r="O1266" s="8">
        <v>1022201</v>
      </c>
      <c r="P1266" s="8">
        <f t="shared" si="46"/>
        <v>1022301</v>
      </c>
      <c r="Q1266" s="8">
        <f t="shared" si="47"/>
        <v>1022401</v>
      </c>
      <c r="R1266" s="8">
        <f t="shared" si="48"/>
        <v>1022501</v>
      </c>
    </row>
    <row r="1267" spans="1:18">
      <c r="A1267" s="14" t="s">
        <v>14</v>
      </c>
      <c r="B1267" s="8">
        <f t="shared" si="42"/>
        <v>70224301</v>
      </c>
      <c r="C1267" s="2" t="s">
        <v>1283</v>
      </c>
      <c r="E1267" s="2" t="str">
        <f>F1267&amp;(VLOOKUP(G1267,编号表!$E$1:$G$8,2,0))&amp;H1267&amp;"_"&amp;I1267&amp;"_"&amp;J1267</f>
        <v>22N4_3_1</v>
      </c>
      <c r="F1267" s="2">
        <v>22</v>
      </c>
      <c r="G1267" s="2" t="s">
        <v>37</v>
      </c>
      <c r="H1267" s="2">
        <v>4</v>
      </c>
      <c r="I1267" s="2">
        <v>3</v>
      </c>
      <c r="J1267" s="2">
        <f>COUNTIFS($F$13:F1267,F1267,$I$13:I1267,I1267)</f>
        <v>1</v>
      </c>
      <c r="O1267" s="8">
        <v>1022201</v>
      </c>
      <c r="P1267" s="8">
        <f t="shared" si="46"/>
        <v>1022301</v>
      </c>
      <c r="Q1267" s="8">
        <f t="shared" si="47"/>
        <v>1022401</v>
      </c>
      <c r="R1267" s="8">
        <f t="shared" si="48"/>
        <v>1022501</v>
      </c>
    </row>
    <row r="1268" spans="1:18">
      <c r="A1268" s="14" t="s">
        <v>14</v>
      </c>
      <c r="B1268" s="8">
        <f t="shared" si="42"/>
        <v>70224302</v>
      </c>
      <c r="C1268" s="2" t="s">
        <v>1284</v>
      </c>
      <c r="E1268" s="2" t="str">
        <f>F1268&amp;(VLOOKUP(G1268,编号表!$E$1:$G$8,2,0))&amp;H1268&amp;"_"&amp;I1268&amp;"_"&amp;J1268</f>
        <v>22N4_3_2</v>
      </c>
      <c r="F1268" s="2">
        <v>22</v>
      </c>
      <c r="G1268" s="2" t="s">
        <v>37</v>
      </c>
      <c r="H1268" s="2">
        <v>4</v>
      </c>
      <c r="I1268" s="2">
        <v>3</v>
      </c>
      <c r="J1268" s="2">
        <f>COUNTIFS($F$13:F1268,F1268,$I$13:I1268,I1268)</f>
        <v>2</v>
      </c>
      <c r="O1268" s="8">
        <v>1022201</v>
      </c>
      <c r="P1268" s="8">
        <f t="shared" si="46"/>
        <v>1022301</v>
      </c>
      <c r="Q1268" s="8">
        <f t="shared" si="47"/>
        <v>1022401</v>
      </c>
      <c r="R1268" s="8">
        <f t="shared" si="48"/>
        <v>1022501</v>
      </c>
    </row>
    <row r="1269" spans="1:18">
      <c r="A1269" s="14" t="s">
        <v>14</v>
      </c>
      <c r="B1269" s="8">
        <f t="shared" si="42"/>
        <v>70222303</v>
      </c>
      <c r="C1269" s="2" t="s">
        <v>1285</v>
      </c>
      <c r="E1269" s="2" t="str">
        <f>F1269&amp;(VLOOKUP(G1269,编号表!$E$1:$G$8,2,0))&amp;H1269&amp;"_"&amp;I1269&amp;"_"&amp;J1269</f>
        <v>22N2_3_3</v>
      </c>
      <c r="F1269" s="2">
        <v>22</v>
      </c>
      <c r="G1269" s="2" t="s">
        <v>37</v>
      </c>
      <c r="H1269" s="2">
        <v>2</v>
      </c>
      <c r="I1269" s="2">
        <v>3</v>
      </c>
      <c r="J1269" s="2">
        <f>COUNTIFS($F$13:F1269,F1269,$I$13:I1269,I1269)</f>
        <v>3</v>
      </c>
      <c r="O1269" s="8">
        <v>1022201</v>
      </c>
      <c r="P1269" s="8">
        <f t="shared" si="46"/>
        <v>1022301</v>
      </c>
      <c r="Q1269" s="8">
        <f t="shared" si="47"/>
        <v>1022401</v>
      </c>
      <c r="R1269" s="8">
        <f t="shared" si="48"/>
        <v>1022501</v>
      </c>
    </row>
    <row r="1270" spans="1:18">
      <c r="A1270" s="14" t="s">
        <v>14</v>
      </c>
      <c r="B1270" s="8">
        <f t="shared" si="42"/>
        <v>70224304</v>
      </c>
      <c r="C1270" s="2" t="s">
        <v>1286</v>
      </c>
      <c r="E1270" s="2" t="str">
        <f>F1270&amp;(VLOOKUP(G1270,编号表!$E$1:$G$8,2,0))&amp;H1270&amp;"_"&amp;I1270&amp;"_"&amp;J1270</f>
        <v>22N4_3_4</v>
      </c>
      <c r="F1270" s="2">
        <v>22</v>
      </c>
      <c r="G1270" s="2" t="s">
        <v>37</v>
      </c>
      <c r="H1270" s="2">
        <v>4</v>
      </c>
      <c r="I1270" s="2">
        <v>3</v>
      </c>
      <c r="J1270" s="2">
        <f>COUNTIFS($F$13:F1270,F1270,$I$13:I1270,I1270)</f>
        <v>4</v>
      </c>
      <c r="O1270" s="8">
        <v>1022201</v>
      </c>
      <c r="P1270" s="8">
        <f t="shared" si="46"/>
        <v>1022301</v>
      </c>
      <c r="Q1270" s="8">
        <f t="shared" si="47"/>
        <v>1022401</v>
      </c>
      <c r="R1270" s="8">
        <f t="shared" si="48"/>
        <v>1022501</v>
      </c>
    </row>
    <row r="1271" spans="1:18">
      <c r="A1271" s="14" t="s">
        <v>14</v>
      </c>
      <c r="B1271" s="8">
        <f t="shared" si="42"/>
        <v>70224305</v>
      </c>
      <c r="C1271" s="2" t="s">
        <v>1287</v>
      </c>
      <c r="E1271" s="2" t="str">
        <f>F1271&amp;(VLOOKUP(G1271,编号表!$E$1:$G$8,2,0))&amp;H1271&amp;"_"&amp;I1271&amp;"_"&amp;J1271</f>
        <v>22N4_3_5</v>
      </c>
      <c r="F1271" s="2">
        <v>22</v>
      </c>
      <c r="G1271" s="2" t="s">
        <v>37</v>
      </c>
      <c r="H1271" s="2">
        <v>4</v>
      </c>
      <c r="I1271" s="2">
        <v>3</v>
      </c>
      <c r="J1271" s="2">
        <f>COUNTIFS($F$13:F1271,F1271,$I$13:I1271,I1271)</f>
        <v>5</v>
      </c>
      <c r="O1271" s="8">
        <v>1022201</v>
      </c>
      <c r="P1271" s="8">
        <f t="shared" si="46"/>
        <v>1022301</v>
      </c>
      <c r="Q1271" s="8">
        <f t="shared" si="47"/>
        <v>1022401</v>
      </c>
      <c r="R1271" s="8">
        <f t="shared" si="48"/>
        <v>1022501</v>
      </c>
    </row>
    <row r="1272" spans="1:18">
      <c r="A1272" s="14" t="s">
        <v>14</v>
      </c>
      <c r="B1272" s="8">
        <f t="shared" si="42"/>
        <v>70224306</v>
      </c>
      <c r="C1272" s="2" t="s">
        <v>1288</v>
      </c>
      <c r="E1272" s="2" t="str">
        <f>F1272&amp;(VLOOKUP(G1272,编号表!$E$1:$G$8,2,0))&amp;H1272&amp;"_"&amp;I1272&amp;"_"&amp;J1272</f>
        <v>22N4_3_6</v>
      </c>
      <c r="F1272" s="2">
        <v>22</v>
      </c>
      <c r="G1272" s="2" t="s">
        <v>37</v>
      </c>
      <c r="H1272" s="2">
        <v>4</v>
      </c>
      <c r="I1272" s="2">
        <v>3</v>
      </c>
      <c r="J1272" s="2">
        <f>COUNTIFS($F$13:F1272,F1272,$I$13:I1272,I1272)</f>
        <v>6</v>
      </c>
      <c r="O1272" s="8">
        <v>1022201</v>
      </c>
      <c r="P1272" s="8">
        <f t="shared" si="46"/>
        <v>1022301</v>
      </c>
      <c r="Q1272" s="8">
        <f t="shared" si="47"/>
        <v>1022401</v>
      </c>
      <c r="R1272" s="8">
        <f t="shared" si="48"/>
        <v>1022501</v>
      </c>
    </row>
    <row r="1273" spans="1:18">
      <c r="A1273" s="14" t="s">
        <v>14</v>
      </c>
      <c r="B1273" s="8">
        <f t="shared" si="42"/>
        <v>70223307</v>
      </c>
      <c r="C1273" s="2" t="s">
        <v>1289</v>
      </c>
      <c r="E1273" s="2" t="str">
        <f>F1273&amp;(VLOOKUP(G1273,编号表!$E$1:$G$8,2,0))&amp;H1273&amp;"_"&amp;I1273&amp;"_"&amp;J1273</f>
        <v>22N3_3_7</v>
      </c>
      <c r="F1273" s="2">
        <v>22</v>
      </c>
      <c r="G1273" s="2" t="s">
        <v>37</v>
      </c>
      <c r="H1273" s="2">
        <v>3</v>
      </c>
      <c r="I1273" s="2">
        <v>3</v>
      </c>
      <c r="J1273" s="2">
        <f>COUNTIFS($F$13:F1273,F1273,$I$13:I1273,I1273)</f>
        <v>7</v>
      </c>
      <c r="O1273" s="8">
        <v>1022201</v>
      </c>
      <c r="P1273" s="8">
        <f t="shared" si="46"/>
        <v>1022301</v>
      </c>
      <c r="Q1273" s="8">
        <f t="shared" si="47"/>
        <v>1022401</v>
      </c>
      <c r="R1273" s="8">
        <f t="shared" si="48"/>
        <v>1022501</v>
      </c>
    </row>
    <row r="1274" spans="1:18">
      <c r="A1274" s="14" t="s">
        <v>14</v>
      </c>
      <c r="B1274" s="8">
        <f t="shared" si="42"/>
        <v>70224308</v>
      </c>
      <c r="C1274" s="2" t="s">
        <v>1290</v>
      </c>
      <c r="E1274" s="2" t="str">
        <f>F1274&amp;(VLOOKUP(G1274,编号表!$E$1:$G$8,2,0))&amp;H1274&amp;"_"&amp;I1274&amp;"_"&amp;J1274</f>
        <v>22N4_3_8</v>
      </c>
      <c r="F1274" s="2">
        <v>22</v>
      </c>
      <c r="G1274" s="2" t="s">
        <v>37</v>
      </c>
      <c r="H1274" s="2">
        <v>4</v>
      </c>
      <c r="I1274" s="2">
        <v>3</v>
      </c>
      <c r="J1274" s="2">
        <f>COUNTIFS($F$13:F1274,F1274,$I$13:I1274,I1274)</f>
        <v>8</v>
      </c>
      <c r="O1274" s="8">
        <v>1022201</v>
      </c>
      <c r="P1274" s="8">
        <f t="shared" si="46"/>
        <v>1022301</v>
      </c>
      <c r="Q1274" s="8">
        <f t="shared" si="47"/>
        <v>1022401</v>
      </c>
      <c r="R1274" s="8">
        <f t="shared" si="48"/>
        <v>1022501</v>
      </c>
    </row>
    <row r="1275" spans="1:18">
      <c r="A1275" s="14" t="s">
        <v>14</v>
      </c>
      <c r="B1275" s="8">
        <f t="shared" si="42"/>
        <v>70228309</v>
      </c>
      <c r="C1275" s="2" t="s">
        <v>1291</v>
      </c>
      <c r="E1275" s="2" t="str">
        <f>F1275&amp;(VLOOKUP(G1275,编号表!$E$1:$G$8,2,0))&amp;H1275&amp;"_"&amp;I1275&amp;"_"&amp;J1275</f>
        <v>22N8_3_9</v>
      </c>
      <c r="F1275" s="2">
        <v>22</v>
      </c>
      <c r="G1275" s="2" t="s">
        <v>37</v>
      </c>
      <c r="H1275" s="2">
        <v>8</v>
      </c>
      <c r="I1275" s="2">
        <v>3</v>
      </c>
      <c r="J1275" s="2">
        <f>COUNTIFS($F$13:F1275,F1275,$I$13:I1275,I1275)</f>
        <v>9</v>
      </c>
      <c r="O1275" s="8">
        <v>1022201</v>
      </c>
      <c r="P1275" s="8">
        <f t="shared" si="46"/>
        <v>1022301</v>
      </c>
      <c r="Q1275" s="8">
        <f t="shared" si="47"/>
        <v>1022401</v>
      </c>
      <c r="R1275" s="8">
        <f t="shared" si="48"/>
        <v>1022501</v>
      </c>
    </row>
    <row r="1276" spans="1:18">
      <c r="A1276" s="14" t="s">
        <v>14</v>
      </c>
      <c r="B1276" s="8">
        <f t="shared" si="42"/>
        <v>70224401</v>
      </c>
      <c r="C1276" s="2" t="s">
        <v>1292</v>
      </c>
      <c r="E1276" s="2" t="str">
        <f>F1276&amp;(VLOOKUP(G1276,编号表!$E$1:$G$8,2,0))&amp;H1276&amp;"_"&amp;I1276&amp;"_"&amp;J1276</f>
        <v>22N4_4_1</v>
      </c>
      <c r="F1276" s="2">
        <v>22</v>
      </c>
      <c r="G1276" s="2" t="s">
        <v>37</v>
      </c>
      <c r="H1276" s="2">
        <v>4</v>
      </c>
      <c r="I1276" s="2">
        <v>4</v>
      </c>
      <c r="J1276" s="2">
        <f>COUNTIFS($F$13:F1276,F1276,$I$13:I1276,I1276)</f>
        <v>1</v>
      </c>
      <c r="O1276" s="8">
        <v>1022201</v>
      </c>
      <c r="P1276" s="8">
        <f t="shared" si="46"/>
        <v>1022301</v>
      </c>
      <c r="Q1276" s="8">
        <f t="shared" si="47"/>
        <v>1022401</v>
      </c>
      <c r="R1276" s="8">
        <f t="shared" si="48"/>
        <v>1022501</v>
      </c>
    </row>
    <row r="1277" spans="1:18">
      <c r="A1277" s="14" t="s">
        <v>14</v>
      </c>
      <c r="B1277" s="8">
        <f t="shared" si="42"/>
        <v>70223402</v>
      </c>
      <c r="C1277" s="2" t="s">
        <v>1293</v>
      </c>
      <c r="E1277" s="2" t="str">
        <f>F1277&amp;(VLOOKUP(G1277,编号表!$E$1:$G$8,2,0))&amp;H1277&amp;"_"&amp;I1277&amp;"_"&amp;J1277</f>
        <v>22N3_4_2</v>
      </c>
      <c r="F1277" s="2">
        <v>22</v>
      </c>
      <c r="G1277" s="2" t="s">
        <v>37</v>
      </c>
      <c r="H1277" s="2">
        <v>3</v>
      </c>
      <c r="I1277" s="2">
        <v>4</v>
      </c>
      <c r="J1277" s="2">
        <f>COUNTIFS($F$13:F1277,F1277,$I$13:I1277,I1277)</f>
        <v>2</v>
      </c>
      <c r="O1277" s="8">
        <v>1022201</v>
      </c>
      <c r="P1277" s="8">
        <f t="shared" si="46"/>
        <v>1022301</v>
      </c>
      <c r="Q1277" s="8">
        <f t="shared" si="47"/>
        <v>1022401</v>
      </c>
      <c r="R1277" s="8">
        <f t="shared" si="48"/>
        <v>1022501</v>
      </c>
    </row>
    <row r="1278" spans="1:18">
      <c r="A1278" s="14" t="s">
        <v>14</v>
      </c>
      <c r="B1278" s="8">
        <f t="shared" si="42"/>
        <v>70224403</v>
      </c>
      <c r="C1278" s="2" t="s">
        <v>1294</v>
      </c>
      <c r="E1278" s="2" t="str">
        <f>F1278&amp;(VLOOKUP(G1278,编号表!$E$1:$G$8,2,0))&amp;H1278&amp;"_"&amp;I1278&amp;"_"&amp;J1278</f>
        <v>22N4_4_3</v>
      </c>
      <c r="F1278" s="2">
        <v>22</v>
      </c>
      <c r="G1278" s="2" t="s">
        <v>37</v>
      </c>
      <c r="H1278" s="2">
        <v>4</v>
      </c>
      <c r="I1278" s="2">
        <v>4</v>
      </c>
      <c r="J1278" s="2">
        <f>COUNTIFS($F$13:F1278,F1278,$I$13:I1278,I1278)</f>
        <v>3</v>
      </c>
      <c r="O1278" s="8">
        <v>1022201</v>
      </c>
      <c r="P1278" s="8">
        <f t="shared" si="46"/>
        <v>1022301</v>
      </c>
      <c r="Q1278" s="8">
        <f t="shared" si="47"/>
        <v>1022401</v>
      </c>
      <c r="R1278" s="8">
        <f t="shared" si="48"/>
        <v>1022501</v>
      </c>
    </row>
    <row r="1279" spans="1:18">
      <c r="A1279" s="14" t="s">
        <v>14</v>
      </c>
      <c r="B1279" s="8">
        <f t="shared" si="42"/>
        <v>70224404</v>
      </c>
      <c r="C1279" s="2" t="s">
        <v>1295</v>
      </c>
      <c r="E1279" s="2" t="str">
        <f>F1279&amp;(VLOOKUP(G1279,编号表!$E$1:$G$8,2,0))&amp;H1279&amp;"_"&amp;I1279&amp;"_"&amp;J1279</f>
        <v>22N4_4_4</v>
      </c>
      <c r="F1279" s="2">
        <v>22</v>
      </c>
      <c r="G1279" s="2" t="s">
        <v>37</v>
      </c>
      <c r="H1279" s="2">
        <v>4</v>
      </c>
      <c r="I1279" s="2">
        <v>4</v>
      </c>
      <c r="J1279" s="2">
        <f>COUNTIFS($F$13:F1279,F1279,$I$13:I1279,I1279)</f>
        <v>4</v>
      </c>
      <c r="O1279" s="8">
        <v>1022201</v>
      </c>
      <c r="P1279" s="8">
        <f t="shared" si="46"/>
        <v>1022301</v>
      </c>
      <c r="Q1279" s="8">
        <f t="shared" si="47"/>
        <v>1022401</v>
      </c>
      <c r="R1279" s="8">
        <f t="shared" si="48"/>
        <v>1022501</v>
      </c>
    </row>
    <row r="1280" spans="1:18">
      <c r="A1280" s="14" t="s">
        <v>14</v>
      </c>
      <c r="B1280" s="8">
        <f t="shared" si="42"/>
        <v>70221405</v>
      </c>
      <c r="C1280" s="15" t="s">
        <v>1263</v>
      </c>
      <c r="E1280" s="2" t="str">
        <f>F1280&amp;(VLOOKUP(G1280,编号表!$E$1:$G$8,2,0))&amp;H1280&amp;"_"&amp;I1280&amp;"_"&amp;J1280</f>
        <v>22T1_4_5</v>
      </c>
      <c r="F1280" s="2">
        <v>22</v>
      </c>
      <c r="G1280" s="2" t="s">
        <v>53</v>
      </c>
      <c r="H1280" s="2">
        <v>1</v>
      </c>
      <c r="I1280" s="2">
        <v>4</v>
      </c>
      <c r="J1280" s="2">
        <f>COUNTIFS($F$13:F1280,F1280,$I$13:I1280,I1280)</f>
        <v>5</v>
      </c>
      <c r="L1280" s="2">
        <v>1</v>
      </c>
    </row>
    <row r="1281" spans="1:18">
      <c r="A1281" s="14" t="s">
        <v>14</v>
      </c>
      <c r="B1281" s="8">
        <f t="shared" si="42"/>
        <v>70223406</v>
      </c>
      <c r="C1281" s="16" t="s">
        <v>1296</v>
      </c>
      <c r="D1281" s="2" t="s">
        <v>1261</v>
      </c>
      <c r="E1281" s="2" t="str">
        <f>F1281&amp;(VLOOKUP(G1281,编号表!$E$1:$G$8,2,0))&amp;H1281&amp;"_"&amp;I1281&amp;"_"&amp;J1281</f>
        <v>22T3_4_6</v>
      </c>
      <c r="F1281" s="2">
        <v>22</v>
      </c>
      <c r="G1281" s="2" t="s">
        <v>53</v>
      </c>
      <c r="H1281" s="2">
        <v>3</v>
      </c>
      <c r="I1281" s="2">
        <v>4</v>
      </c>
      <c r="J1281" s="2">
        <f>COUNTIFS($F$13:F1281,F1281,$I$13:I1281,I1281)</f>
        <v>6</v>
      </c>
      <c r="M1281" s="2">
        <v>144</v>
      </c>
    </row>
    <row r="1282" spans="1:18">
      <c r="A1282" s="14" t="s">
        <v>14</v>
      </c>
      <c r="B1282" s="8">
        <f t="shared" si="42"/>
        <v>70224407</v>
      </c>
      <c r="C1282" s="2" t="s">
        <v>1297</v>
      </c>
      <c r="E1282" s="2" t="str">
        <f>F1282&amp;(VLOOKUP(G1282,编号表!$E$1:$G$8,2,0))&amp;H1282&amp;"_"&amp;I1282&amp;"_"&amp;J1282</f>
        <v>22N4_4_7</v>
      </c>
      <c r="F1282" s="2">
        <v>22</v>
      </c>
      <c r="G1282" s="2" t="s">
        <v>37</v>
      </c>
      <c r="H1282" s="2">
        <v>4</v>
      </c>
      <c r="I1282" s="2">
        <v>4</v>
      </c>
      <c r="J1282" s="2">
        <f>COUNTIFS($F$13:F1282,F1282,$I$13:I1282,I1282)</f>
        <v>7</v>
      </c>
      <c r="O1282" s="8">
        <v>1022201</v>
      </c>
      <c r="P1282" s="8">
        <f t="shared" ref="P1282:P1302" si="49">O1282+100</f>
        <v>1022301</v>
      </c>
      <c r="Q1282" s="8">
        <f t="shared" ref="Q1282:Q1302" si="50">P1282+100</f>
        <v>1022401</v>
      </c>
      <c r="R1282" s="8">
        <f t="shared" ref="R1282:R1302" si="51">Q1282+100</f>
        <v>1022501</v>
      </c>
    </row>
    <row r="1283" spans="1:18">
      <c r="A1283" s="14" t="s">
        <v>14</v>
      </c>
      <c r="B1283" s="8">
        <f t="shared" si="42"/>
        <v>70222408</v>
      </c>
      <c r="C1283" s="2" t="s">
        <v>1298</v>
      </c>
      <c r="E1283" s="2" t="str">
        <f>F1283&amp;(VLOOKUP(G1283,编号表!$E$1:$G$8,2,0))&amp;H1283&amp;"_"&amp;I1283&amp;"_"&amp;J1283</f>
        <v>22N2_4_8</v>
      </c>
      <c r="F1283" s="2">
        <v>22</v>
      </c>
      <c r="G1283" s="2" t="s">
        <v>37</v>
      </c>
      <c r="H1283" s="2">
        <v>2</v>
      </c>
      <c r="I1283" s="2">
        <v>4</v>
      </c>
      <c r="J1283" s="2">
        <f>COUNTIFS($F$13:F1283,F1283,$I$13:I1283,I1283)</f>
        <v>8</v>
      </c>
      <c r="O1283" s="8">
        <v>1022201</v>
      </c>
      <c r="P1283" s="8">
        <f t="shared" si="49"/>
        <v>1022301</v>
      </c>
      <c r="Q1283" s="8">
        <f t="shared" si="50"/>
        <v>1022401</v>
      </c>
      <c r="R1283" s="8">
        <f t="shared" si="51"/>
        <v>1022501</v>
      </c>
    </row>
    <row r="1284" spans="1:18">
      <c r="A1284" s="14" t="s">
        <v>14</v>
      </c>
      <c r="B1284" s="8">
        <f t="shared" si="42"/>
        <v>70223409</v>
      </c>
      <c r="C1284" s="2" t="s">
        <v>1299</v>
      </c>
      <c r="E1284" s="2" t="str">
        <f>F1284&amp;(VLOOKUP(G1284,编号表!$E$1:$G$8,2,0))&amp;H1284&amp;"_"&amp;I1284&amp;"_"&amp;J1284</f>
        <v>22N3_4_9</v>
      </c>
      <c r="F1284" s="2">
        <v>22</v>
      </c>
      <c r="G1284" s="2" t="s">
        <v>37</v>
      </c>
      <c r="H1284" s="2">
        <v>3</v>
      </c>
      <c r="I1284" s="2">
        <v>4</v>
      </c>
      <c r="J1284" s="2">
        <f>COUNTIFS($F$13:F1284,F1284,$I$13:I1284,I1284)</f>
        <v>9</v>
      </c>
      <c r="O1284" s="8">
        <v>1022201</v>
      </c>
      <c r="P1284" s="8">
        <f t="shared" si="49"/>
        <v>1022301</v>
      </c>
      <c r="Q1284" s="8">
        <f t="shared" si="50"/>
        <v>1022401</v>
      </c>
      <c r="R1284" s="8">
        <f t="shared" si="51"/>
        <v>1022501</v>
      </c>
    </row>
    <row r="1285" spans="1:18">
      <c r="A1285" s="14" t="s">
        <v>14</v>
      </c>
      <c r="B1285" s="8">
        <f t="shared" si="42"/>
        <v>70225410</v>
      </c>
      <c r="C1285" s="2" t="s">
        <v>1300</v>
      </c>
      <c r="E1285" s="2" t="str">
        <f>F1285&amp;(VLOOKUP(G1285,编号表!$E$1:$G$8,2,0))&amp;H1285&amp;"_"&amp;I1285&amp;"_"&amp;J1285</f>
        <v>22N5_4_10</v>
      </c>
      <c r="F1285" s="2">
        <v>22</v>
      </c>
      <c r="G1285" s="2" t="s">
        <v>37</v>
      </c>
      <c r="H1285" s="2">
        <v>5</v>
      </c>
      <c r="I1285" s="2">
        <v>4</v>
      </c>
      <c r="J1285" s="2">
        <f>COUNTIFS($F$13:F1285,F1285,$I$13:I1285,I1285)</f>
        <v>10</v>
      </c>
      <c r="O1285" s="8">
        <v>1022201</v>
      </c>
      <c r="P1285" s="8">
        <f t="shared" si="49"/>
        <v>1022301</v>
      </c>
      <c r="Q1285" s="8">
        <f t="shared" si="50"/>
        <v>1022401</v>
      </c>
      <c r="R1285" s="8">
        <f t="shared" si="51"/>
        <v>1022501</v>
      </c>
    </row>
    <row r="1286" spans="1:18">
      <c r="A1286" s="14" t="s">
        <v>14</v>
      </c>
      <c r="B1286" s="8">
        <f t="shared" ref="B1286:B1349" si="52">70000000+F1286*10000+H1286*1000+I1286*100+J1286</f>
        <v>70224501</v>
      </c>
      <c r="C1286" s="2" t="s">
        <v>1301</v>
      </c>
      <c r="E1286" s="2" t="str">
        <f>F1286&amp;(VLOOKUP(G1286,编号表!$E$1:$G$8,2,0))&amp;H1286&amp;"_"&amp;I1286&amp;"_"&amp;J1286</f>
        <v>22N4_5_1</v>
      </c>
      <c r="F1286" s="2">
        <v>22</v>
      </c>
      <c r="G1286" s="2" t="s">
        <v>37</v>
      </c>
      <c r="H1286" s="2">
        <v>4</v>
      </c>
      <c r="I1286" s="2">
        <v>5</v>
      </c>
      <c r="J1286" s="2">
        <f>COUNTIFS($F$13:F1286,F1286,$I$13:I1286,I1286)</f>
        <v>1</v>
      </c>
      <c r="O1286" s="8">
        <v>1022201</v>
      </c>
      <c r="P1286" s="8">
        <f t="shared" si="49"/>
        <v>1022301</v>
      </c>
      <c r="Q1286" s="8">
        <f t="shared" si="50"/>
        <v>1022401</v>
      </c>
      <c r="R1286" s="8">
        <f t="shared" si="51"/>
        <v>1022501</v>
      </c>
    </row>
    <row r="1287" spans="1:18">
      <c r="A1287" s="14" t="s">
        <v>14</v>
      </c>
      <c r="B1287" s="8">
        <f t="shared" si="52"/>
        <v>70224502</v>
      </c>
      <c r="C1287" s="2" t="s">
        <v>1302</v>
      </c>
      <c r="E1287" s="2" t="str">
        <f>F1287&amp;(VLOOKUP(G1287,编号表!$E$1:$G$8,2,0))&amp;H1287&amp;"_"&amp;I1287&amp;"_"&amp;J1287</f>
        <v>22N4_5_2</v>
      </c>
      <c r="F1287" s="2">
        <v>22</v>
      </c>
      <c r="G1287" s="2" t="s">
        <v>37</v>
      </c>
      <c r="H1287" s="2">
        <v>4</v>
      </c>
      <c r="I1287" s="2">
        <v>5</v>
      </c>
      <c r="J1287" s="2">
        <f>COUNTIFS($F$13:F1287,F1287,$I$13:I1287,I1287)</f>
        <v>2</v>
      </c>
      <c r="O1287" s="8">
        <v>1022201</v>
      </c>
      <c r="P1287" s="8">
        <f t="shared" si="49"/>
        <v>1022301</v>
      </c>
      <c r="Q1287" s="8">
        <f t="shared" si="50"/>
        <v>1022401</v>
      </c>
      <c r="R1287" s="8">
        <f t="shared" si="51"/>
        <v>1022501</v>
      </c>
    </row>
    <row r="1288" spans="1:18">
      <c r="A1288" s="14" t="s">
        <v>14</v>
      </c>
      <c r="B1288" s="8">
        <f t="shared" si="52"/>
        <v>70224503</v>
      </c>
      <c r="C1288" s="2" t="s">
        <v>1303</v>
      </c>
      <c r="E1288" s="2" t="str">
        <f>F1288&amp;(VLOOKUP(G1288,编号表!$E$1:$G$8,2,0))&amp;H1288&amp;"_"&amp;I1288&amp;"_"&amp;J1288</f>
        <v>22N4_5_3</v>
      </c>
      <c r="F1288" s="2">
        <v>22</v>
      </c>
      <c r="G1288" s="2" t="s">
        <v>37</v>
      </c>
      <c r="H1288" s="2">
        <v>4</v>
      </c>
      <c r="I1288" s="2">
        <v>5</v>
      </c>
      <c r="J1288" s="2">
        <f>COUNTIFS($F$13:F1288,F1288,$I$13:I1288,I1288)</f>
        <v>3</v>
      </c>
      <c r="O1288" s="8">
        <v>1022201</v>
      </c>
      <c r="P1288" s="8">
        <f t="shared" si="49"/>
        <v>1022301</v>
      </c>
      <c r="Q1288" s="8">
        <f t="shared" si="50"/>
        <v>1022401</v>
      </c>
      <c r="R1288" s="8">
        <f t="shared" si="51"/>
        <v>1022501</v>
      </c>
    </row>
    <row r="1289" spans="1:18">
      <c r="A1289" s="14" t="s">
        <v>14</v>
      </c>
      <c r="B1289" s="8">
        <f t="shared" si="52"/>
        <v>70223504</v>
      </c>
      <c r="C1289" s="2" t="s">
        <v>1304</v>
      </c>
      <c r="E1289" s="2" t="str">
        <f>F1289&amp;(VLOOKUP(G1289,编号表!$E$1:$G$8,2,0))&amp;H1289&amp;"_"&amp;I1289&amp;"_"&amp;J1289</f>
        <v>22N3_5_4</v>
      </c>
      <c r="F1289" s="2">
        <v>22</v>
      </c>
      <c r="G1289" s="2" t="s">
        <v>37</v>
      </c>
      <c r="H1289" s="2">
        <v>3</v>
      </c>
      <c r="I1289" s="2">
        <v>5</v>
      </c>
      <c r="J1289" s="2">
        <f>COUNTIFS($F$13:F1289,F1289,$I$13:I1289,I1289)</f>
        <v>4</v>
      </c>
      <c r="O1289" s="8">
        <v>1022201</v>
      </c>
      <c r="P1289" s="8">
        <f t="shared" si="49"/>
        <v>1022301</v>
      </c>
      <c r="Q1289" s="8">
        <f t="shared" si="50"/>
        <v>1022401</v>
      </c>
      <c r="R1289" s="8">
        <f t="shared" si="51"/>
        <v>1022501</v>
      </c>
    </row>
    <row r="1290" spans="1:18">
      <c r="A1290" s="14" t="s">
        <v>14</v>
      </c>
      <c r="B1290" s="8">
        <f t="shared" si="52"/>
        <v>70224505</v>
      </c>
      <c r="C1290" s="2" t="s">
        <v>1305</v>
      </c>
      <c r="E1290" s="2" t="str">
        <f>F1290&amp;(VLOOKUP(G1290,编号表!$E$1:$G$8,2,0))&amp;H1290&amp;"_"&amp;I1290&amp;"_"&amp;J1290</f>
        <v>22N4_5_5</v>
      </c>
      <c r="F1290" s="2">
        <v>22</v>
      </c>
      <c r="G1290" s="2" t="s">
        <v>37</v>
      </c>
      <c r="H1290" s="2">
        <v>4</v>
      </c>
      <c r="I1290" s="2">
        <v>5</v>
      </c>
      <c r="J1290" s="2">
        <f>COUNTIFS($F$13:F1290,F1290,$I$13:I1290,I1290)</f>
        <v>5</v>
      </c>
      <c r="O1290" s="8">
        <v>1022201</v>
      </c>
      <c r="P1290" s="8">
        <f t="shared" si="49"/>
        <v>1022301</v>
      </c>
      <c r="Q1290" s="8">
        <f t="shared" si="50"/>
        <v>1022401</v>
      </c>
      <c r="R1290" s="8">
        <f t="shared" si="51"/>
        <v>1022501</v>
      </c>
    </row>
    <row r="1291" spans="1:18">
      <c r="A1291" s="14" t="s">
        <v>14</v>
      </c>
      <c r="B1291" s="8">
        <f t="shared" si="52"/>
        <v>70228506</v>
      </c>
      <c r="C1291" s="2" t="s">
        <v>1306</v>
      </c>
      <c r="E1291" s="2" t="str">
        <f>F1291&amp;(VLOOKUP(G1291,编号表!$E$1:$G$8,2,0))&amp;H1291&amp;"_"&amp;I1291&amp;"_"&amp;J1291</f>
        <v>22N8_5_6</v>
      </c>
      <c r="F1291" s="2">
        <v>22</v>
      </c>
      <c r="G1291" s="2" t="s">
        <v>37</v>
      </c>
      <c r="H1291" s="2">
        <v>8</v>
      </c>
      <c r="I1291" s="2">
        <v>5</v>
      </c>
      <c r="J1291" s="2">
        <f>COUNTIFS($F$13:F1291,F1291,$I$13:I1291,I1291)</f>
        <v>6</v>
      </c>
      <c r="O1291" s="8">
        <v>1022201</v>
      </c>
      <c r="P1291" s="8">
        <f t="shared" si="49"/>
        <v>1022301</v>
      </c>
      <c r="Q1291" s="8">
        <f t="shared" si="50"/>
        <v>1022401</v>
      </c>
      <c r="R1291" s="8">
        <f t="shared" si="51"/>
        <v>1022501</v>
      </c>
    </row>
    <row r="1292" spans="1:18">
      <c r="A1292" s="14" t="s">
        <v>14</v>
      </c>
      <c r="B1292" s="8">
        <f t="shared" si="52"/>
        <v>70223601</v>
      </c>
      <c r="C1292" s="2" t="s">
        <v>1307</v>
      </c>
      <c r="E1292" s="2" t="str">
        <f>F1292&amp;(VLOOKUP(G1292,编号表!$E$1:$G$8,2,0))&amp;H1292&amp;"_"&amp;I1292&amp;"_"&amp;J1292</f>
        <v>22N3_6_1</v>
      </c>
      <c r="F1292" s="2">
        <v>22</v>
      </c>
      <c r="G1292" s="2" t="s">
        <v>37</v>
      </c>
      <c r="H1292" s="2">
        <v>3</v>
      </c>
      <c r="I1292" s="2">
        <v>6</v>
      </c>
      <c r="J1292" s="2">
        <f>COUNTIFS($F$13:F1292,F1292,$I$13:I1292,I1292)</f>
        <v>1</v>
      </c>
      <c r="O1292" s="8">
        <v>1022201</v>
      </c>
      <c r="P1292" s="8">
        <f t="shared" si="49"/>
        <v>1022301</v>
      </c>
      <c r="Q1292" s="8">
        <f t="shared" si="50"/>
        <v>1022401</v>
      </c>
      <c r="R1292" s="8">
        <f t="shared" si="51"/>
        <v>1022501</v>
      </c>
    </row>
    <row r="1293" spans="1:18">
      <c r="A1293" s="14" t="s">
        <v>14</v>
      </c>
      <c r="B1293" s="8">
        <f t="shared" si="52"/>
        <v>70222602</v>
      </c>
      <c r="C1293" s="2" t="s">
        <v>1308</v>
      </c>
      <c r="E1293" s="2" t="str">
        <f>F1293&amp;(VLOOKUP(G1293,编号表!$E$1:$G$8,2,0))&amp;H1293&amp;"_"&amp;I1293&amp;"_"&amp;J1293</f>
        <v>22N2_6_2</v>
      </c>
      <c r="F1293" s="2">
        <v>22</v>
      </c>
      <c r="G1293" s="2" t="s">
        <v>37</v>
      </c>
      <c r="H1293" s="2">
        <v>2</v>
      </c>
      <c r="I1293" s="2">
        <v>6</v>
      </c>
      <c r="J1293" s="2">
        <f>COUNTIFS($F$13:F1293,F1293,$I$13:I1293,I1293)</f>
        <v>2</v>
      </c>
      <c r="O1293" s="8">
        <v>1022201</v>
      </c>
      <c r="P1293" s="8">
        <f t="shared" si="49"/>
        <v>1022301</v>
      </c>
      <c r="Q1293" s="8">
        <f t="shared" si="50"/>
        <v>1022401</v>
      </c>
      <c r="R1293" s="8">
        <f t="shared" si="51"/>
        <v>1022501</v>
      </c>
    </row>
    <row r="1294" spans="1:18">
      <c r="A1294" s="14" t="s">
        <v>14</v>
      </c>
      <c r="B1294" s="8">
        <f t="shared" si="52"/>
        <v>70224603</v>
      </c>
      <c r="C1294" s="2" t="s">
        <v>1309</v>
      </c>
      <c r="E1294" s="2" t="str">
        <f>F1294&amp;(VLOOKUP(G1294,编号表!$E$1:$G$8,2,0))&amp;H1294&amp;"_"&amp;I1294&amp;"_"&amp;J1294</f>
        <v>22N4_6_3</v>
      </c>
      <c r="F1294" s="2">
        <v>22</v>
      </c>
      <c r="G1294" s="2" t="s">
        <v>37</v>
      </c>
      <c r="H1294" s="2">
        <v>4</v>
      </c>
      <c r="I1294" s="2">
        <v>6</v>
      </c>
      <c r="J1294" s="2">
        <f>COUNTIFS($F$13:F1294,F1294,$I$13:I1294,I1294)</f>
        <v>3</v>
      </c>
      <c r="O1294" s="8">
        <v>1022201</v>
      </c>
      <c r="P1294" s="8">
        <f t="shared" si="49"/>
        <v>1022301</v>
      </c>
      <c r="Q1294" s="8">
        <f t="shared" si="50"/>
        <v>1022401</v>
      </c>
      <c r="R1294" s="8">
        <f t="shared" si="51"/>
        <v>1022501</v>
      </c>
    </row>
    <row r="1295" spans="1:18">
      <c r="A1295" s="14" t="s">
        <v>14</v>
      </c>
      <c r="B1295" s="8">
        <f t="shared" si="52"/>
        <v>70224604</v>
      </c>
      <c r="C1295" s="2" t="s">
        <v>1310</v>
      </c>
      <c r="E1295" s="2" t="str">
        <f>F1295&amp;(VLOOKUP(G1295,编号表!$E$1:$G$8,2,0))&amp;H1295&amp;"_"&amp;I1295&amp;"_"&amp;J1295</f>
        <v>22N4_6_4</v>
      </c>
      <c r="F1295" s="2">
        <v>22</v>
      </c>
      <c r="G1295" s="2" t="s">
        <v>37</v>
      </c>
      <c r="H1295" s="2">
        <v>4</v>
      </c>
      <c r="I1295" s="2">
        <v>6</v>
      </c>
      <c r="J1295" s="2">
        <f>COUNTIFS($F$13:F1295,F1295,$I$13:I1295,I1295)</f>
        <v>4</v>
      </c>
      <c r="O1295" s="8">
        <v>1022201</v>
      </c>
      <c r="P1295" s="8">
        <f t="shared" si="49"/>
        <v>1022301</v>
      </c>
      <c r="Q1295" s="8">
        <f t="shared" si="50"/>
        <v>1022401</v>
      </c>
      <c r="R1295" s="8">
        <f t="shared" si="51"/>
        <v>1022501</v>
      </c>
    </row>
    <row r="1296" spans="1:18">
      <c r="A1296" s="14" t="s">
        <v>14</v>
      </c>
      <c r="B1296" s="8">
        <f t="shared" si="52"/>
        <v>70224605</v>
      </c>
      <c r="C1296" s="2" t="s">
        <v>1311</v>
      </c>
      <c r="E1296" s="2" t="str">
        <f>F1296&amp;(VLOOKUP(G1296,编号表!$E$1:$G$8,2,0))&amp;H1296&amp;"_"&amp;I1296&amp;"_"&amp;J1296</f>
        <v>22N4_6_5</v>
      </c>
      <c r="F1296" s="2">
        <v>22</v>
      </c>
      <c r="G1296" s="2" t="s">
        <v>37</v>
      </c>
      <c r="H1296" s="2">
        <v>4</v>
      </c>
      <c r="I1296" s="2">
        <v>6</v>
      </c>
      <c r="J1296" s="2">
        <f>COUNTIFS($F$13:F1296,F1296,$I$13:I1296,I1296)</f>
        <v>5</v>
      </c>
      <c r="O1296" s="8">
        <v>1022201</v>
      </c>
      <c r="P1296" s="8">
        <f t="shared" si="49"/>
        <v>1022301</v>
      </c>
      <c r="Q1296" s="8">
        <f t="shared" si="50"/>
        <v>1022401</v>
      </c>
      <c r="R1296" s="8">
        <f t="shared" si="51"/>
        <v>1022501</v>
      </c>
    </row>
    <row r="1297" spans="1:19">
      <c r="A1297" s="14" t="s">
        <v>14</v>
      </c>
      <c r="B1297" s="8">
        <f t="shared" si="52"/>
        <v>70224606</v>
      </c>
      <c r="C1297" s="2" t="s">
        <v>1312</v>
      </c>
      <c r="E1297" s="2" t="str">
        <f>F1297&amp;(VLOOKUP(G1297,编号表!$E$1:$G$8,2,0))&amp;H1297&amp;"_"&amp;I1297&amp;"_"&amp;J1297</f>
        <v>22N4_6_6</v>
      </c>
      <c r="F1297" s="2">
        <v>22</v>
      </c>
      <c r="G1297" s="2" t="s">
        <v>37</v>
      </c>
      <c r="H1297" s="2">
        <v>4</v>
      </c>
      <c r="I1297" s="2">
        <v>6</v>
      </c>
      <c r="J1297" s="2">
        <f>COUNTIFS($F$13:F1297,F1297,$I$13:I1297,I1297)</f>
        <v>6</v>
      </c>
      <c r="O1297" s="8">
        <v>1022201</v>
      </c>
      <c r="P1297" s="8">
        <f t="shared" si="49"/>
        <v>1022301</v>
      </c>
      <c r="Q1297" s="8">
        <f t="shared" si="50"/>
        <v>1022401</v>
      </c>
      <c r="R1297" s="8">
        <f t="shared" si="51"/>
        <v>1022501</v>
      </c>
    </row>
    <row r="1298" spans="1:19">
      <c r="A1298" s="14" t="s">
        <v>14</v>
      </c>
      <c r="B1298" s="8">
        <f t="shared" si="52"/>
        <v>70224701</v>
      </c>
      <c r="C1298" s="2" t="s">
        <v>1313</v>
      </c>
      <c r="E1298" s="2" t="str">
        <f>F1298&amp;(VLOOKUP(G1298,编号表!$E$1:$G$8,2,0))&amp;H1298&amp;"_"&amp;I1298&amp;"_"&amp;J1298</f>
        <v>22N4_7_1</v>
      </c>
      <c r="F1298" s="2">
        <v>22</v>
      </c>
      <c r="G1298" s="2" t="s">
        <v>37</v>
      </c>
      <c r="H1298" s="2">
        <v>4</v>
      </c>
      <c r="I1298" s="2">
        <v>7</v>
      </c>
      <c r="J1298" s="2">
        <f>COUNTIFS($F$13:F1298,F1298,$I$13:I1298,I1298)</f>
        <v>1</v>
      </c>
      <c r="O1298" s="8">
        <v>1022201</v>
      </c>
      <c r="P1298" s="8">
        <f t="shared" si="49"/>
        <v>1022301</v>
      </c>
      <c r="Q1298" s="8">
        <f t="shared" si="50"/>
        <v>1022401</v>
      </c>
      <c r="R1298" s="8">
        <f t="shared" si="51"/>
        <v>1022501</v>
      </c>
    </row>
    <row r="1299" spans="1:19">
      <c r="A1299" s="14" t="s">
        <v>14</v>
      </c>
      <c r="B1299" s="8">
        <f t="shared" si="52"/>
        <v>70224702</v>
      </c>
      <c r="C1299" s="2" t="s">
        <v>1314</v>
      </c>
      <c r="E1299" s="2" t="str">
        <f>F1299&amp;(VLOOKUP(G1299,编号表!$E$1:$G$8,2,0))&amp;H1299&amp;"_"&amp;I1299&amp;"_"&amp;J1299</f>
        <v>22N4_7_2</v>
      </c>
      <c r="F1299" s="2">
        <v>22</v>
      </c>
      <c r="G1299" s="2" t="s">
        <v>37</v>
      </c>
      <c r="H1299" s="2">
        <v>4</v>
      </c>
      <c r="I1299" s="2">
        <v>7</v>
      </c>
      <c r="J1299" s="2">
        <f>COUNTIFS($F$13:F1299,F1299,$I$13:I1299,I1299)</f>
        <v>2</v>
      </c>
      <c r="O1299" s="8">
        <v>1022201</v>
      </c>
      <c r="P1299" s="8">
        <f t="shared" si="49"/>
        <v>1022301</v>
      </c>
      <c r="Q1299" s="8">
        <f t="shared" si="50"/>
        <v>1022401</v>
      </c>
      <c r="R1299" s="8">
        <f t="shared" si="51"/>
        <v>1022501</v>
      </c>
    </row>
    <row r="1300" spans="1:19">
      <c r="A1300" s="14" t="s">
        <v>14</v>
      </c>
      <c r="B1300" s="8">
        <f t="shared" si="52"/>
        <v>70224703</v>
      </c>
      <c r="C1300" s="2" t="s">
        <v>1315</v>
      </c>
      <c r="E1300" s="2" t="str">
        <f>F1300&amp;(VLOOKUP(G1300,编号表!$E$1:$G$8,2,0))&amp;H1300&amp;"_"&amp;I1300&amp;"_"&amp;J1300</f>
        <v>22N4_7_3</v>
      </c>
      <c r="F1300" s="2">
        <v>22</v>
      </c>
      <c r="G1300" s="2" t="s">
        <v>37</v>
      </c>
      <c r="H1300" s="2">
        <v>4</v>
      </c>
      <c r="I1300" s="2">
        <v>7</v>
      </c>
      <c r="J1300" s="2">
        <f>COUNTIFS($F$13:F1300,F1300,$I$13:I1300,I1300)</f>
        <v>3</v>
      </c>
      <c r="O1300" s="8">
        <v>1022201</v>
      </c>
      <c r="P1300" s="8">
        <f t="shared" si="49"/>
        <v>1022301</v>
      </c>
      <c r="Q1300" s="8">
        <f t="shared" si="50"/>
        <v>1022401</v>
      </c>
      <c r="R1300" s="8">
        <f t="shared" si="51"/>
        <v>1022501</v>
      </c>
    </row>
    <row r="1301" spans="1:19">
      <c r="A1301" s="14" t="s">
        <v>14</v>
      </c>
      <c r="B1301" s="8">
        <f t="shared" si="52"/>
        <v>70224704</v>
      </c>
      <c r="C1301" s="2" t="s">
        <v>1316</v>
      </c>
      <c r="E1301" s="2" t="str">
        <f>F1301&amp;(VLOOKUP(G1301,编号表!$E$1:$G$8,2,0))&amp;H1301&amp;"_"&amp;I1301&amp;"_"&amp;J1301</f>
        <v>22N4_7_4</v>
      </c>
      <c r="F1301" s="2">
        <v>22</v>
      </c>
      <c r="G1301" s="2" t="s">
        <v>37</v>
      </c>
      <c r="H1301" s="2">
        <v>4</v>
      </c>
      <c r="I1301" s="2">
        <v>7</v>
      </c>
      <c r="J1301" s="2">
        <f>COUNTIFS($F$13:F1301,F1301,$I$13:I1301,I1301)</f>
        <v>4</v>
      </c>
      <c r="O1301" s="8">
        <v>1022201</v>
      </c>
      <c r="P1301" s="8">
        <f t="shared" si="49"/>
        <v>1022301</v>
      </c>
      <c r="Q1301" s="8">
        <f t="shared" si="50"/>
        <v>1022401</v>
      </c>
      <c r="R1301" s="8">
        <f t="shared" si="51"/>
        <v>1022501</v>
      </c>
    </row>
    <row r="1302" spans="1:19">
      <c r="A1302" s="14" t="s">
        <v>14</v>
      </c>
      <c r="B1302" s="8">
        <f t="shared" si="52"/>
        <v>70224705</v>
      </c>
      <c r="C1302" s="2" t="s">
        <v>1317</v>
      </c>
      <c r="E1302" s="2" t="str">
        <f>F1302&amp;(VLOOKUP(G1302,编号表!$E$1:$G$8,2,0))&amp;H1302&amp;"_"&amp;I1302&amp;"_"&amp;J1302</f>
        <v>22N4_7_5</v>
      </c>
      <c r="F1302" s="2">
        <v>22</v>
      </c>
      <c r="G1302" s="2" t="s">
        <v>37</v>
      </c>
      <c r="H1302" s="2">
        <v>4</v>
      </c>
      <c r="I1302" s="2">
        <v>7</v>
      </c>
      <c r="J1302" s="2">
        <f>COUNTIFS($F$13:F1302,F1302,$I$13:I1302,I1302)</f>
        <v>5</v>
      </c>
      <c r="O1302" s="8">
        <v>1022201</v>
      </c>
      <c r="P1302" s="8">
        <f t="shared" si="49"/>
        <v>1022301</v>
      </c>
      <c r="Q1302" s="8">
        <f t="shared" si="50"/>
        <v>1022401</v>
      </c>
      <c r="R1302" s="8">
        <f t="shared" si="51"/>
        <v>1022501</v>
      </c>
    </row>
    <row r="1303" spans="1:19">
      <c r="A1303" s="14" t="s">
        <v>14</v>
      </c>
      <c r="B1303" s="8">
        <f t="shared" si="52"/>
        <v>70220001</v>
      </c>
      <c r="C1303" s="18" t="s">
        <v>1318</v>
      </c>
      <c r="E1303" s="2" t="str">
        <f>F1303&amp;(VLOOKUP(G1303,编号表!$E$1:$G$8,2,0))&amp;H1303&amp;"_"&amp;I1303&amp;"_"&amp;J1303</f>
        <v>22J0_0_1</v>
      </c>
      <c r="F1303" s="2">
        <v>22</v>
      </c>
      <c r="G1303" s="2" t="s">
        <v>86</v>
      </c>
      <c r="H1303" s="2">
        <v>0</v>
      </c>
      <c r="I1303" s="2">
        <v>0</v>
      </c>
      <c r="J1303" s="2">
        <f>COUNTIFS($F$13:F1303,F1303,$I$13:I1303,I1303)</f>
        <v>1</v>
      </c>
      <c r="K1303" s="2">
        <v>1</v>
      </c>
    </row>
    <row r="1304" spans="1:19">
      <c r="A1304" s="14" t="s">
        <v>14</v>
      </c>
      <c r="B1304" s="8">
        <f t="shared" si="52"/>
        <v>70233001</v>
      </c>
      <c r="C1304" s="16" t="s">
        <v>1262</v>
      </c>
      <c r="D1304" s="2" t="s">
        <v>1276</v>
      </c>
      <c r="E1304" s="2" t="str">
        <f>F1304&amp;(VLOOKUP(G1304,编号表!$E$1:$G$8,2,0))&amp;H1304&amp;"_"&amp;I1304&amp;"_"&amp;J1304</f>
        <v>23T3_0_1</v>
      </c>
      <c r="F1304" s="2">
        <v>23</v>
      </c>
      <c r="G1304" s="2" t="s">
        <v>53</v>
      </c>
      <c r="H1304" s="2">
        <v>3</v>
      </c>
      <c r="I1304" s="2">
        <v>0</v>
      </c>
      <c r="J1304" s="2">
        <f>COUNTIFS($F$13:F1304,F1304,$I$13:I1304,I1304)</f>
        <v>1</v>
      </c>
      <c r="M1304" s="2">
        <v>146</v>
      </c>
    </row>
    <row r="1305" spans="1:19">
      <c r="A1305" s="14" t="s">
        <v>14</v>
      </c>
      <c r="B1305" s="8">
        <f t="shared" si="52"/>
        <v>70231002</v>
      </c>
      <c r="C1305" s="15" t="s">
        <v>1275</v>
      </c>
      <c r="E1305" s="2" t="str">
        <f>F1305&amp;(VLOOKUP(G1305,编号表!$E$1:$G$8,2,0))&amp;H1305&amp;"_"&amp;I1305&amp;"_"&amp;J1305</f>
        <v>23T1_0_2</v>
      </c>
      <c r="F1305" s="2">
        <v>23</v>
      </c>
      <c r="G1305" s="2" t="s">
        <v>53</v>
      </c>
      <c r="H1305" s="2">
        <v>1</v>
      </c>
      <c r="I1305" s="2">
        <v>0</v>
      </c>
      <c r="J1305" s="2">
        <f>COUNTIFS($F$13:F1305,F1305,$I$13:I1305,I1305)</f>
        <v>2</v>
      </c>
      <c r="L1305" s="2">
        <v>1</v>
      </c>
    </row>
    <row r="1306" spans="1:19">
      <c r="A1306" s="14" t="s">
        <v>14</v>
      </c>
      <c r="B1306" s="8">
        <f t="shared" si="52"/>
        <v>70233003</v>
      </c>
      <c r="C1306" s="16" t="s">
        <v>1319</v>
      </c>
      <c r="D1306" s="2" t="s">
        <v>1320</v>
      </c>
      <c r="E1306" s="2" t="str">
        <f>F1306&amp;(VLOOKUP(G1306,编号表!$E$1:$G$8,2,0))&amp;H1306&amp;"_"&amp;I1306&amp;"_"&amp;J1306</f>
        <v>23T3_0_3</v>
      </c>
      <c r="F1306" s="2">
        <v>23</v>
      </c>
      <c r="G1306" s="2" t="s">
        <v>53</v>
      </c>
      <c r="H1306" s="2">
        <v>3</v>
      </c>
      <c r="I1306" s="2">
        <v>0</v>
      </c>
      <c r="J1306" s="2">
        <f>COUNTIFS($F$13:F1306,F1306,$I$13:I1306,I1306)</f>
        <v>3</v>
      </c>
      <c r="M1306" s="2">
        <v>147</v>
      </c>
    </row>
    <row r="1307" spans="1:19">
      <c r="A1307" s="14" t="s">
        <v>14</v>
      </c>
      <c r="B1307" s="8">
        <f t="shared" si="52"/>
        <v>70231004</v>
      </c>
      <c r="C1307" s="15" t="s">
        <v>1321</v>
      </c>
      <c r="E1307" s="2" t="str">
        <f>F1307&amp;(VLOOKUP(G1307,编号表!$E$1:$G$8,2,0))&amp;H1307&amp;"_"&amp;I1307&amp;"_"&amp;J1307</f>
        <v>23T1_0_4</v>
      </c>
      <c r="F1307" s="2">
        <v>23</v>
      </c>
      <c r="G1307" s="2" t="s">
        <v>53</v>
      </c>
      <c r="H1307" s="2">
        <v>1</v>
      </c>
      <c r="I1307" s="2">
        <v>0</v>
      </c>
      <c r="J1307" s="2">
        <f>COUNTIFS($F$13:F1307,F1307,$I$13:I1307,I1307)</f>
        <v>4</v>
      </c>
    </row>
    <row r="1308" spans="1:19">
      <c r="A1308" s="14" t="s">
        <v>14</v>
      </c>
      <c r="B1308" s="8">
        <f t="shared" si="52"/>
        <v>70233005</v>
      </c>
      <c r="C1308" s="16" t="s">
        <v>1319</v>
      </c>
      <c r="D1308" s="2" t="s">
        <v>1322</v>
      </c>
      <c r="E1308" s="2" t="str">
        <f>F1308&amp;(VLOOKUP(G1308,编号表!$E$1:$G$8,2,0))&amp;H1308&amp;"_"&amp;I1308&amp;"_"&amp;J1308</f>
        <v>23T3_0_5</v>
      </c>
      <c r="F1308" s="2">
        <v>23</v>
      </c>
      <c r="G1308" s="2" t="s">
        <v>53</v>
      </c>
      <c r="H1308" s="2">
        <v>3</v>
      </c>
      <c r="I1308" s="2">
        <v>0</v>
      </c>
      <c r="J1308" s="2">
        <f>COUNTIFS($F$13:F1308,F1308,$I$13:I1308,I1308)</f>
        <v>5</v>
      </c>
      <c r="M1308" s="2">
        <v>147</v>
      </c>
    </row>
    <row r="1309" spans="1:19">
      <c r="A1309" s="14" t="s">
        <v>14</v>
      </c>
      <c r="B1309" s="8">
        <f t="shared" si="52"/>
        <v>70231006</v>
      </c>
      <c r="C1309" s="15" t="s">
        <v>1323</v>
      </c>
      <c r="E1309" s="2" t="str">
        <f>F1309&amp;(VLOOKUP(G1309,编号表!$E$1:$G$8,2,0))&amp;H1309&amp;"_"&amp;I1309&amp;"_"&amp;J1309</f>
        <v>23T1_0_6</v>
      </c>
      <c r="F1309" s="2">
        <v>23</v>
      </c>
      <c r="G1309" s="2" t="s">
        <v>53</v>
      </c>
      <c r="H1309" s="2">
        <v>1</v>
      </c>
      <c r="I1309" s="2">
        <v>0</v>
      </c>
      <c r="J1309" s="2">
        <f>COUNTIFS($F$13:F1309,F1309,$I$13:I1309,I1309)</f>
        <v>6</v>
      </c>
    </row>
    <row r="1310" spans="1:19">
      <c r="A1310" s="14" t="s">
        <v>14</v>
      </c>
      <c r="B1310" s="8">
        <f t="shared" si="52"/>
        <v>70233007</v>
      </c>
      <c r="C1310" s="16" t="s">
        <v>1319</v>
      </c>
      <c r="D1310" s="2" t="s">
        <v>1324</v>
      </c>
      <c r="E1310" s="2" t="str">
        <f>F1310&amp;(VLOOKUP(G1310,编号表!$E$1:$G$8,2,0))&amp;H1310&amp;"_"&amp;I1310&amp;"_"&amp;J1310</f>
        <v>23T3_0_7</v>
      </c>
      <c r="F1310" s="2">
        <v>23</v>
      </c>
      <c r="G1310" s="2" t="s">
        <v>53</v>
      </c>
      <c r="H1310" s="2">
        <v>3</v>
      </c>
      <c r="I1310" s="2">
        <v>0</v>
      </c>
      <c r="J1310" s="2">
        <f>COUNTIFS($F$13:F1310,F1310,$I$13:I1310,I1310)</f>
        <v>7</v>
      </c>
      <c r="M1310" s="2">
        <v>147</v>
      </c>
    </row>
    <row r="1311" spans="1:19">
      <c r="A1311" s="14" t="s">
        <v>14</v>
      </c>
      <c r="B1311" s="8">
        <f t="shared" si="52"/>
        <v>70231008</v>
      </c>
      <c r="C1311" s="15" t="s">
        <v>1276</v>
      </c>
      <c r="E1311" s="2" t="str">
        <f>F1311&amp;(VLOOKUP(G1311,编号表!$E$1:$G$8,2,0))&amp;H1311&amp;"_"&amp;I1311&amp;"_"&amp;J1311</f>
        <v>23T1_0_8</v>
      </c>
      <c r="F1311" s="2">
        <v>23</v>
      </c>
      <c r="G1311" s="2" t="s">
        <v>53</v>
      </c>
      <c r="H1311" s="2">
        <v>1</v>
      </c>
      <c r="I1311" s="2">
        <v>0</v>
      </c>
      <c r="J1311" s="2">
        <f>COUNTIFS($F$13:F1311,F1311,$I$13:I1311,I1311)</f>
        <v>8</v>
      </c>
    </row>
    <row r="1312" spans="1:19">
      <c r="A1312" s="14" t="s">
        <v>14</v>
      </c>
      <c r="B1312" s="8">
        <f t="shared" si="52"/>
        <v>70235101</v>
      </c>
      <c r="C1312" s="2" t="s">
        <v>1325</v>
      </c>
      <c r="E1312" s="2" t="str">
        <f>F1312&amp;(VLOOKUP(G1312,编号表!$E$1:$G$8,2,0))&amp;H1312&amp;"_"&amp;I1312&amp;"_"&amp;J1312</f>
        <v>23N5_1_1</v>
      </c>
      <c r="F1312" s="2">
        <v>23</v>
      </c>
      <c r="G1312" s="2" t="s">
        <v>37</v>
      </c>
      <c r="H1312" s="2">
        <v>5</v>
      </c>
      <c r="I1312" s="2">
        <v>1</v>
      </c>
      <c r="J1312" s="2">
        <f>COUNTIFS($F$13:F1312,F1312,$I$13:I1312,I1312)</f>
        <v>1</v>
      </c>
      <c r="O1312" s="8">
        <v>1023201</v>
      </c>
      <c r="P1312" s="8">
        <f t="shared" ref="P1312:P1317" si="53">O1312+100</f>
        <v>1023301</v>
      </c>
      <c r="Q1312" s="8">
        <f t="shared" ref="Q1312:Q1317" si="54">P1312+100</f>
        <v>1023401</v>
      </c>
      <c r="R1312" s="8">
        <f t="shared" ref="R1312:R1317" si="55">Q1312+100</f>
        <v>1023501</v>
      </c>
      <c r="S1312" s="8">
        <v>1023001</v>
      </c>
    </row>
    <row r="1313" spans="1:19">
      <c r="A1313" s="14" t="s">
        <v>14</v>
      </c>
      <c r="B1313" s="8">
        <f t="shared" si="52"/>
        <v>70235102</v>
      </c>
      <c r="C1313" s="2" t="s">
        <v>1326</v>
      </c>
      <c r="E1313" s="2" t="str">
        <f>F1313&amp;(VLOOKUP(G1313,编号表!$E$1:$G$8,2,0))&amp;H1313&amp;"_"&amp;I1313&amp;"_"&amp;J1313</f>
        <v>23N5_1_2</v>
      </c>
      <c r="F1313" s="2">
        <v>23</v>
      </c>
      <c r="G1313" s="2" t="s">
        <v>37</v>
      </c>
      <c r="H1313" s="2">
        <v>5</v>
      </c>
      <c r="I1313" s="2">
        <v>1</v>
      </c>
      <c r="J1313" s="2">
        <f>COUNTIFS($F$13:F1313,F1313,$I$13:I1313,I1313)</f>
        <v>2</v>
      </c>
      <c r="O1313" s="8">
        <v>1023201</v>
      </c>
      <c r="P1313" s="8">
        <f t="shared" si="53"/>
        <v>1023301</v>
      </c>
      <c r="Q1313" s="8">
        <f t="shared" si="54"/>
        <v>1023401</v>
      </c>
      <c r="R1313" s="8">
        <f t="shared" si="55"/>
        <v>1023501</v>
      </c>
      <c r="S1313" s="8">
        <v>1023101</v>
      </c>
    </row>
    <row r="1314" spans="1:19">
      <c r="A1314" s="14" t="s">
        <v>14</v>
      </c>
      <c r="B1314" s="8">
        <f t="shared" si="52"/>
        <v>70235103</v>
      </c>
      <c r="C1314" s="2" t="s">
        <v>1327</v>
      </c>
      <c r="E1314" s="2" t="str">
        <f>F1314&amp;(VLOOKUP(G1314,编号表!$E$1:$G$8,2,0))&amp;H1314&amp;"_"&amp;I1314&amp;"_"&amp;J1314</f>
        <v>23N5_1_3</v>
      </c>
      <c r="F1314" s="2">
        <v>23</v>
      </c>
      <c r="G1314" s="2" t="s">
        <v>37</v>
      </c>
      <c r="H1314" s="2">
        <v>5</v>
      </c>
      <c r="I1314" s="2">
        <v>1</v>
      </c>
      <c r="J1314" s="2">
        <f>COUNTIFS($F$13:F1314,F1314,$I$13:I1314,I1314)</f>
        <v>3</v>
      </c>
      <c r="O1314" s="8">
        <v>1023201</v>
      </c>
      <c r="P1314" s="8">
        <f t="shared" si="53"/>
        <v>1023301</v>
      </c>
      <c r="Q1314" s="8">
        <f t="shared" si="54"/>
        <v>1023401</v>
      </c>
      <c r="R1314" s="8">
        <f t="shared" si="55"/>
        <v>1023501</v>
      </c>
    </row>
    <row r="1315" spans="1:19">
      <c r="A1315" s="14" t="s">
        <v>14</v>
      </c>
      <c r="B1315" s="8">
        <f t="shared" si="52"/>
        <v>70235201</v>
      </c>
      <c r="C1315" s="2" t="s">
        <v>1328</v>
      </c>
      <c r="E1315" s="2" t="str">
        <f>F1315&amp;(VLOOKUP(G1315,编号表!$E$1:$G$8,2,0))&amp;H1315&amp;"_"&amp;I1315&amp;"_"&amp;J1315</f>
        <v>23N5_2_1</v>
      </c>
      <c r="F1315" s="2">
        <v>23</v>
      </c>
      <c r="G1315" s="2" t="s">
        <v>37</v>
      </c>
      <c r="H1315" s="2">
        <v>5</v>
      </c>
      <c r="I1315" s="2">
        <v>2</v>
      </c>
      <c r="J1315" s="2">
        <f>COUNTIFS($F$13:F1315,F1315,$I$13:I1315,I1315)</f>
        <v>1</v>
      </c>
      <c r="O1315" s="8">
        <v>1023201</v>
      </c>
      <c r="P1315" s="8">
        <f t="shared" si="53"/>
        <v>1023301</v>
      </c>
      <c r="Q1315" s="8">
        <f t="shared" si="54"/>
        <v>1023401</v>
      </c>
      <c r="R1315" s="8">
        <f t="shared" si="55"/>
        <v>1023501</v>
      </c>
    </row>
    <row r="1316" spans="1:19">
      <c r="A1316" s="14" t="s">
        <v>14</v>
      </c>
      <c r="B1316" s="8">
        <f t="shared" si="52"/>
        <v>70235202</v>
      </c>
      <c r="C1316" s="2" t="s">
        <v>1329</v>
      </c>
      <c r="E1316" s="2" t="str">
        <f>F1316&amp;(VLOOKUP(G1316,编号表!$E$1:$G$8,2,0))&amp;H1316&amp;"_"&amp;I1316&amp;"_"&amp;J1316</f>
        <v>23N5_2_2</v>
      </c>
      <c r="F1316" s="2">
        <v>23</v>
      </c>
      <c r="G1316" s="2" t="s">
        <v>37</v>
      </c>
      <c r="H1316" s="2">
        <v>5</v>
      </c>
      <c r="I1316" s="2">
        <v>2</v>
      </c>
      <c r="J1316" s="2">
        <f>COUNTIFS($F$13:F1316,F1316,$I$13:I1316,I1316)</f>
        <v>2</v>
      </c>
      <c r="O1316" s="8">
        <v>1023201</v>
      </c>
      <c r="P1316" s="8">
        <f t="shared" si="53"/>
        <v>1023301</v>
      </c>
      <c r="Q1316" s="8">
        <f t="shared" si="54"/>
        <v>1023401</v>
      </c>
      <c r="R1316" s="8">
        <f t="shared" si="55"/>
        <v>1023501</v>
      </c>
    </row>
    <row r="1317" spans="1:19">
      <c r="A1317" s="14" t="s">
        <v>14</v>
      </c>
      <c r="B1317" s="8">
        <f t="shared" si="52"/>
        <v>70230203</v>
      </c>
      <c r="C1317" s="2" t="s">
        <v>1330</v>
      </c>
      <c r="E1317" s="2" t="str">
        <f>F1317&amp;(VLOOKUP(G1317,编号表!$E$1:$G$8,2,0))&amp;H1317&amp;"_"&amp;I1317&amp;"_"&amp;J1317</f>
        <v>23N0_2_3</v>
      </c>
      <c r="F1317" s="2">
        <v>23</v>
      </c>
      <c r="G1317" s="2" t="s">
        <v>37</v>
      </c>
      <c r="H1317" s="2">
        <v>0</v>
      </c>
      <c r="I1317" s="2">
        <v>2</v>
      </c>
      <c r="J1317" s="2">
        <f>COUNTIFS($F$13:F1317,F1317,$I$13:I1317,I1317)</f>
        <v>3</v>
      </c>
      <c r="O1317" s="8">
        <v>1023201</v>
      </c>
      <c r="P1317" s="8">
        <f t="shared" si="53"/>
        <v>1023301</v>
      </c>
      <c r="Q1317" s="8">
        <f t="shared" si="54"/>
        <v>1023401</v>
      </c>
      <c r="R1317" s="8">
        <f t="shared" si="55"/>
        <v>1023501</v>
      </c>
    </row>
    <row r="1318" spans="1:19">
      <c r="A1318" s="14" t="s">
        <v>14</v>
      </c>
      <c r="B1318" s="8">
        <f t="shared" si="52"/>
        <v>70230009</v>
      </c>
      <c r="C1318" s="18" t="s">
        <v>1331</v>
      </c>
      <c r="E1318" s="2" t="str">
        <f>F1318&amp;(VLOOKUP(G1318,编号表!$E$1:$G$8,2,0))&amp;H1318&amp;"_"&amp;I1318&amp;"_"&amp;J1318</f>
        <v>23J0_0_9</v>
      </c>
      <c r="F1318" s="2">
        <v>23</v>
      </c>
      <c r="G1318" s="2" t="s">
        <v>86</v>
      </c>
      <c r="H1318" s="2">
        <v>0</v>
      </c>
      <c r="I1318" s="2">
        <v>0</v>
      </c>
      <c r="J1318" s="2">
        <f>COUNTIFS($F$13:F1318,F1318,$I$13:I1318,I1318)</f>
        <v>9</v>
      </c>
      <c r="K1318" s="2">
        <v>1</v>
      </c>
    </row>
    <row r="1319" spans="1:19">
      <c r="A1319" s="14" t="s">
        <v>14</v>
      </c>
      <c r="B1319" s="8">
        <f t="shared" si="52"/>
        <v>70245101</v>
      </c>
      <c r="C1319" s="2" t="s">
        <v>1332</v>
      </c>
      <c r="E1319" s="2" t="str">
        <f>F1319&amp;(VLOOKUP(G1319,编号表!$E$1:$G$8,2,0))&amp;H1319&amp;"_"&amp;I1319&amp;"_"&amp;J1319</f>
        <v>24N5_1_1</v>
      </c>
      <c r="F1319" s="2">
        <v>24</v>
      </c>
      <c r="G1319" s="2" t="s">
        <v>37</v>
      </c>
      <c r="H1319" s="2">
        <v>5</v>
      </c>
      <c r="I1319" s="2">
        <v>1</v>
      </c>
      <c r="J1319" s="2">
        <f>COUNTIFS($F$13:F1319,F1319,$I$13:I1319,I1319)</f>
        <v>1</v>
      </c>
      <c r="O1319" s="8">
        <v>1024201</v>
      </c>
      <c r="P1319" s="8">
        <f t="shared" ref="P1319:P1324" si="56">O1319+100</f>
        <v>1024301</v>
      </c>
      <c r="Q1319" s="8">
        <f t="shared" ref="Q1319:Q1324" si="57">P1319+100</f>
        <v>1024401</v>
      </c>
      <c r="R1319" s="8">
        <f t="shared" ref="R1319:R1324" si="58">Q1319+100</f>
        <v>1024501</v>
      </c>
      <c r="S1319" s="8">
        <v>1024001</v>
      </c>
    </row>
    <row r="1320" spans="1:19">
      <c r="A1320" s="14" t="s">
        <v>14</v>
      </c>
      <c r="B1320" s="8">
        <f t="shared" si="52"/>
        <v>70245102</v>
      </c>
      <c r="C1320" s="2" t="s">
        <v>1333</v>
      </c>
      <c r="E1320" s="2" t="str">
        <f>F1320&amp;(VLOOKUP(G1320,编号表!$E$1:$G$8,2,0))&amp;H1320&amp;"_"&amp;I1320&amp;"_"&amp;J1320</f>
        <v>24N5_1_2</v>
      </c>
      <c r="F1320" s="2">
        <v>24</v>
      </c>
      <c r="G1320" s="2" t="s">
        <v>37</v>
      </c>
      <c r="H1320" s="2">
        <v>5</v>
      </c>
      <c r="I1320" s="2">
        <v>1</v>
      </c>
      <c r="J1320" s="2">
        <f>COUNTIFS($F$13:F1320,F1320,$I$13:I1320,I1320)</f>
        <v>2</v>
      </c>
      <c r="O1320" s="8">
        <v>1024201</v>
      </c>
      <c r="P1320" s="8">
        <f t="shared" si="56"/>
        <v>1024301</v>
      </c>
      <c r="Q1320" s="8">
        <f t="shared" si="57"/>
        <v>1024401</v>
      </c>
      <c r="R1320" s="8">
        <f t="shared" si="58"/>
        <v>1024501</v>
      </c>
      <c r="S1320" s="8">
        <v>1024101</v>
      </c>
    </row>
    <row r="1321" spans="1:19">
      <c r="A1321" s="14" t="s">
        <v>14</v>
      </c>
      <c r="B1321" s="8">
        <f t="shared" si="52"/>
        <v>70245103</v>
      </c>
      <c r="C1321" s="2" t="s">
        <v>1334</v>
      </c>
      <c r="E1321" s="2" t="str">
        <f>F1321&amp;(VLOOKUP(G1321,编号表!$E$1:$G$8,2,0))&amp;H1321&amp;"_"&amp;I1321&amp;"_"&amp;J1321</f>
        <v>24N5_1_3</v>
      </c>
      <c r="F1321" s="2">
        <v>24</v>
      </c>
      <c r="G1321" s="2" t="s">
        <v>37</v>
      </c>
      <c r="H1321" s="2">
        <v>5</v>
      </c>
      <c r="I1321" s="2">
        <v>1</v>
      </c>
      <c r="J1321" s="2">
        <f>COUNTIFS($F$13:F1321,F1321,$I$13:I1321,I1321)</f>
        <v>3</v>
      </c>
      <c r="O1321" s="8">
        <v>1024201</v>
      </c>
      <c r="P1321" s="8">
        <f t="shared" si="56"/>
        <v>1024301</v>
      </c>
      <c r="Q1321" s="8">
        <f t="shared" si="57"/>
        <v>1024401</v>
      </c>
      <c r="R1321" s="8">
        <f t="shared" si="58"/>
        <v>1024501</v>
      </c>
    </row>
    <row r="1322" spans="1:19">
      <c r="A1322" s="14" t="s">
        <v>14</v>
      </c>
      <c r="B1322" s="8">
        <f t="shared" si="52"/>
        <v>70244201</v>
      </c>
      <c r="C1322" s="2" t="s">
        <v>1335</v>
      </c>
      <c r="E1322" s="2" t="str">
        <f>F1322&amp;(VLOOKUP(G1322,编号表!$E$1:$G$8,2,0))&amp;H1322&amp;"_"&amp;I1322&amp;"_"&amp;J1322</f>
        <v>24N4_2_1</v>
      </c>
      <c r="F1322" s="2">
        <v>24</v>
      </c>
      <c r="G1322" s="2" t="s">
        <v>37</v>
      </c>
      <c r="H1322" s="2">
        <v>4</v>
      </c>
      <c r="I1322" s="2">
        <v>2</v>
      </c>
      <c r="J1322" s="2">
        <f>COUNTIFS($F$13:F1322,F1322,$I$13:I1322,I1322)</f>
        <v>1</v>
      </c>
      <c r="O1322" s="8">
        <v>1024201</v>
      </c>
      <c r="P1322" s="8">
        <f t="shared" si="56"/>
        <v>1024301</v>
      </c>
      <c r="Q1322" s="8">
        <f t="shared" si="57"/>
        <v>1024401</v>
      </c>
      <c r="R1322" s="8">
        <f t="shared" si="58"/>
        <v>1024501</v>
      </c>
    </row>
    <row r="1323" spans="1:19">
      <c r="A1323" s="14" t="s">
        <v>14</v>
      </c>
      <c r="B1323" s="8">
        <f t="shared" si="52"/>
        <v>70245202</v>
      </c>
      <c r="C1323" s="2" t="s">
        <v>1336</v>
      </c>
      <c r="E1323" s="2" t="str">
        <f>F1323&amp;(VLOOKUP(G1323,编号表!$E$1:$G$8,2,0))&amp;H1323&amp;"_"&amp;I1323&amp;"_"&amp;J1323</f>
        <v>24N5_2_2</v>
      </c>
      <c r="F1323" s="2">
        <v>24</v>
      </c>
      <c r="G1323" s="2" t="s">
        <v>37</v>
      </c>
      <c r="H1323" s="2">
        <v>5</v>
      </c>
      <c r="I1323" s="2">
        <v>2</v>
      </c>
      <c r="J1323" s="2">
        <f>COUNTIFS($F$13:F1323,F1323,$I$13:I1323,I1323)</f>
        <v>2</v>
      </c>
      <c r="O1323" s="8">
        <v>1024201</v>
      </c>
      <c r="P1323" s="8">
        <f t="shared" si="56"/>
        <v>1024301</v>
      </c>
      <c r="Q1323" s="8">
        <f t="shared" si="57"/>
        <v>1024401</v>
      </c>
      <c r="R1323" s="8">
        <f t="shared" si="58"/>
        <v>1024501</v>
      </c>
    </row>
    <row r="1324" spans="1:19">
      <c r="A1324" s="14" t="s">
        <v>14</v>
      </c>
      <c r="B1324" s="8">
        <f t="shared" si="52"/>
        <v>70245203</v>
      </c>
      <c r="C1324" s="2" t="s">
        <v>1337</v>
      </c>
      <c r="E1324" s="2" t="str">
        <f>F1324&amp;(VLOOKUP(G1324,编号表!$E$1:$G$8,2,0))&amp;H1324&amp;"_"&amp;I1324&amp;"_"&amp;J1324</f>
        <v>24N5_2_3</v>
      </c>
      <c r="F1324" s="2">
        <v>24</v>
      </c>
      <c r="G1324" s="2" t="s">
        <v>37</v>
      </c>
      <c r="H1324" s="2">
        <v>5</v>
      </c>
      <c r="I1324" s="2">
        <v>2</v>
      </c>
      <c r="J1324" s="2">
        <f>COUNTIFS($F$13:F1324,F1324,$I$13:I1324,I1324)</f>
        <v>3</v>
      </c>
      <c r="O1324" s="8">
        <v>1024201</v>
      </c>
      <c r="P1324" s="8">
        <f t="shared" si="56"/>
        <v>1024301</v>
      </c>
      <c r="Q1324" s="8">
        <f t="shared" si="57"/>
        <v>1024401</v>
      </c>
      <c r="R1324" s="8">
        <f t="shared" si="58"/>
        <v>1024501</v>
      </c>
    </row>
    <row r="1325" spans="1:19">
      <c r="A1325" s="14" t="s">
        <v>14</v>
      </c>
      <c r="B1325" s="8">
        <f t="shared" si="52"/>
        <v>70243301</v>
      </c>
      <c r="C1325" s="16" t="s">
        <v>1274</v>
      </c>
      <c r="D1325" s="2" t="s">
        <v>1338</v>
      </c>
      <c r="E1325" s="2" t="str">
        <f>F1325&amp;(VLOOKUP(G1325,编号表!$E$1:$G$8,2,0))&amp;H1325&amp;"_"&amp;I1325&amp;"_"&amp;J1325</f>
        <v>24T3_3_1</v>
      </c>
      <c r="F1325" s="2">
        <v>24</v>
      </c>
      <c r="G1325" s="2" t="s">
        <v>53</v>
      </c>
      <c r="H1325" s="2">
        <v>3</v>
      </c>
      <c r="I1325" s="2">
        <v>3</v>
      </c>
      <c r="J1325" s="2">
        <f>COUNTIFS($F$13:F1325,F1325,$I$13:I1325,I1325)</f>
        <v>1</v>
      </c>
      <c r="M1325" s="2">
        <v>148</v>
      </c>
    </row>
    <row r="1326" spans="1:19">
      <c r="A1326" s="14" t="s">
        <v>14</v>
      </c>
      <c r="B1326" s="8">
        <f t="shared" si="52"/>
        <v>70241302</v>
      </c>
      <c r="C1326" s="15" t="s">
        <v>1339</v>
      </c>
      <c r="E1326" s="2" t="str">
        <f>F1326&amp;(VLOOKUP(G1326,编号表!$E$1:$G$8,2,0))&amp;H1326&amp;"_"&amp;I1326&amp;"_"&amp;J1326</f>
        <v>24T1_3_2</v>
      </c>
      <c r="F1326" s="2">
        <v>24</v>
      </c>
      <c r="G1326" s="2" t="s">
        <v>53</v>
      </c>
      <c r="H1326" s="2">
        <v>1</v>
      </c>
      <c r="I1326" s="2">
        <v>3</v>
      </c>
      <c r="J1326" s="2">
        <f>COUNTIFS($F$13:F1326,F1326,$I$13:I1326,I1326)</f>
        <v>2</v>
      </c>
      <c r="L1326" s="2">
        <v>1</v>
      </c>
    </row>
    <row r="1327" spans="1:19">
      <c r="A1327" s="14" t="s">
        <v>14</v>
      </c>
      <c r="B1327" s="8">
        <f t="shared" si="52"/>
        <v>70244303</v>
      </c>
      <c r="C1327" s="2" t="s">
        <v>1340</v>
      </c>
      <c r="E1327" s="2" t="str">
        <f>F1327&amp;(VLOOKUP(G1327,编号表!$E$1:$G$8,2,0))&amp;H1327&amp;"_"&amp;I1327&amp;"_"&amp;J1327</f>
        <v>24N4_3_3</v>
      </c>
      <c r="F1327" s="2">
        <v>24</v>
      </c>
      <c r="G1327" s="2" t="s">
        <v>37</v>
      </c>
      <c r="H1327" s="2">
        <v>4</v>
      </c>
      <c r="I1327" s="2">
        <v>3</v>
      </c>
      <c r="J1327" s="2">
        <f>COUNTIFS($F$13:F1327,F1327,$I$13:I1327,I1327)</f>
        <v>3</v>
      </c>
      <c r="O1327" s="8">
        <v>1024201</v>
      </c>
      <c r="P1327" s="8">
        <f t="shared" ref="P1327:R1327" si="59">O1327+100</f>
        <v>1024301</v>
      </c>
      <c r="Q1327" s="8">
        <f t="shared" si="59"/>
        <v>1024401</v>
      </c>
      <c r="R1327" s="8">
        <f t="shared" si="59"/>
        <v>1024501</v>
      </c>
    </row>
    <row r="1328" spans="1:19">
      <c r="A1328" s="14" t="s">
        <v>14</v>
      </c>
      <c r="B1328" s="8">
        <f t="shared" si="52"/>
        <v>70243304</v>
      </c>
      <c r="C1328" s="2" t="s">
        <v>1341</v>
      </c>
      <c r="E1328" s="2" t="str">
        <f>F1328&amp;(VLOOKUP(G1328,编号表!$E$1:$G$8,2,0))&amp;H1328&amp;"_"&amp;I1328&amp;"_"&amp;J1328</f>
        <v>24N3_3_4</v>
      </c>
      <c r="F1328" s="2">
        <v>24</v>
      </c>
      <c r="G1328" s="2" t="s">
        <v>37</v>
      </c>
      <c r="H1328" s="2">
        <v>3</v>
      </c>
      <c r="I1328" s="2">
        <v>3</v>
      </c>
      <c r="J1328" s="2">
        <f>COUNTIFS($F$13:F1328,F1328,$I$13:I1328,I1328)</f>
        <v>4</v>
      </c>
      <c r="O1328" s="8">
        <v>1024201</v>
      </c>
      <c r="P1328" s="8">
        <f t="shared" ref="P1328:R1328" si="60">O1328+100</f>
        <v>1024301</v>
      </c>
      <c r="Q1328" s="8">
        <f t="shared" si="60"/>
        <v>1024401</v>
      </c>
      <c r="R1328" s="8">
        <f t="shared" si="60"/>
        <v>1024501</v>
      </c>
    </row>
    <row r="1329" spans="1:19">
      <c r="A1329" s="14" t="s">
        <v>14</v>
      </c>
      <c r="B1329" s="8">
        <f t="shared" si="52"/>
        <v>70240001</v>
      </c>
      <c r="C1329" s="18" t="s">
        <v>1342</v>
      </c>
      <c r="E1329" s="2" t="str">
        <f>F1329&amp;(VLOOKUP(G1329,编号表!$E$1:$G$8,2,0))&amp;H1329&amp;"_"&amp;I1329&amp;"_"&amp;J1329</f>
        <v>24J0_0_1</v>
      </c>
      <c r="F1329" s="2">
        <v>24</v>
      </c>
      <c r="G1329" s="2" t="s">
        <v>86</v>
      </c>
      <c r="H1329" s="2">
        <v>0</v>
      </c>
      <c r="I1329" s="2">
        <v>0</v>
      </c>
      <c r="J1329" s="2">
        <f>COUNTIFS($F$13:F1329,F1329,$I$13:I1329,I1329)</f>
        <v>1</v>
      </c>
      <c r="K1329" s="2">
        <v>1</v>
      </c>
    </row>
    <row r="1330" spans="1:19">
      <c r="A1330" s="14" t="s">
        <v>14</v>
      </c>
      <c r="B1330" s="8">
        <f t="shared" si="52"/>
        <v>70254101</v>
      </c>
      <c r="C1330" s="2" t="s">
        <v>1343</v>
      </c>
      <c r="E1330" s="2" t="str">
        <f>F1330&amp;(VLOOKUP(G1330,编号表!$E$1:$G$8,2,0))&amp;H1330&amp;"_"&amp;I1330&amp;"_"&amp;J1330</f>
        <v>25N4_1_1</v>
      </c>
      <c r="F1330" s="2">
        <v>25</v>
      </c>
      <c r="G1330" s="2" t="s">
        <v>37</v>
      </c>
      <c r="H1330" s="2">
        <v>4</v>
      </c>
      <c r="I1330" s="2">
        <v>1</v>
      </c>
      <c r="J1330" s="2">
        <f>COUNTIFS($F$13:F1330,F1330,$I$13:I1330,I1330)</f>
        <v>1</v>
      </c>
      <c r="O1330" s="8">
        <v>1025201</v>
      </c>
      <c r="P1330" s="8">
        <v>1025301</v>
      </c>
      <c r="Q1330" s="8">
        <v>1025401</v>
      </c>
      <c r="R1330" s="8">
        <v>1025501</v>
      </c>
      <c r="S1330" s="8">
        <v>1025001</v>
      </c>
    </row>
    <row r="1331" spans="1:19">
      <c r="A1331" s="14" t="s">
        <v>14</v>
      </c>
      <c r="B1331" s="8">
        <f t="shared" si="52"/>
        <v>70255102</v>
      </c>
      <c r="C1331" s="2" t="s">
        <v>1344</v>
      </c>
      <c r="E1331" s="2" t="str">
        <f>F1331&amp;(VLOOKUP(G1331,编号表!$E$1:$G$8,2,0))&amp;H1331&amp;"_"&amp;I1331&amp;"_"&amp;J1331</f>
        <v>25N5_1_2</v>
      </c>
      <c r="F1331" s="2">
        <v>25</v>
      </c>
      <c r="G1331" s="2" t="s">
        <v>37</v>
      </c>
      <c r="H1331" s="2">
        <v>5</v>
      </c>
      <c r="I1331" s="2">
        <v>1</v>
      </c>
      <c r="J1331" s="2">
        <f>COUNTIFS($F$13:F1331,F1331,$I$13:I1331,I1331)</f>
        <v>2</v>
      </c>
      <c r="O1331" s="8">
        <v>1025201</v>
      </c>
      <c r="P1331" s="8">
        <v>1025301</v>
      </c>
      <c r="Q1331" s="8">
        <v>1025401</v>
      </c>
      <c r="R1331" s="8">
        <v>1025501</v>
      </c>
      <c r="S1331" s="8">
        <v>1025101</v>
      </c>
    </row>
    <row r="1332" spans="1:19">
      <c r="A1332" s="14" t="s">
        <v>14</v>
      </c>
      <c r="B1332" s="8">
        <f t="shared" si="52"/>
        <v>70255103</v>
      </c>
      <c r="C1332" s="2" t="s">
        <v>1345</v>
      </c>
      <c r="E1332" s="2" t="str">
        <f>F1332&amp;(VLOOKUP(G1332,编号表!$E$1:$G$8,2,0))&amp;H1332&amp;"_"&amp;I1332&amp;"_"&amp;J1332</f>
        <v>25N5_1_3</v>
      </c>
      <c r="F1332" s="2">
        <v>25</v>
      </c>
      <c r="G1332" s="2" t="s">
        <v>37</v>
      </c>
      <c r="H1332" s="2">
        <v>5</v>
      </c>
      <c r="I1332" s="2">
        <v>1</v>
      </c>
      <c r="J1332" s="2">
        <f>COUNTIFS($F$13:F1332,F1332,$I$13:I1332,I1332)</f>
        <v>3</v>
      </c>
      <c r="O1332" s="8">
        <v>1025201</v>
      </c>
      <c r="P1332" s="8">
        <v>1025301</v>
      </c>
      <c r="Q1332" s="8">
        <v>1025401</v>
      </c>
      <c r="R1332" s="8">
        <v>1025501</v>
      </c>
    </row>
    <row r="1333" spans="1:19">
      <c r="A1333" s="14" t="s">
        <v>14</v>
      </c>
      <c r="B1333" s="8">
        <f t="shared" si="52"/>
        <v>70254104</v>
      </c>
      <c r="C1333" s="2" t="s">
        <v>1346</v>
      </c>
      <c r="E1333" s="2" t="str">
        <f>F1333&amp;(VLOOKUP(G1333,编号表!$E$1:$G$8,2,0))&amp;H1333&amp;"_"&amp;I1333&amp;"_"&amp;J1333</f>
        <v>25N4_1_4</v>
      </c>
      <c r="F1333" s="2">
        <v>25</v>
      </c>
      <c r="G1333" s="2" t="s">
        <v>37</v>
      </c>
      <c r="H1333" s="2">
        <v>4</v>
      </c>
      <c r="I1333" s="2">
        <v>1</v>
      </c>
      <c r="J1333" s="2">
        <f>COUNTIFS($F$13:F1333,F1333,$I$13:I1333,I1333)</f>
        <v>4</v>
      </c>
      <c r="O1333" s="8">
        <v>1025201</v>
      </c>
      <c r="P1333" s="8">
        <v>1025301</v>
      </c>
      <c r="Q1333" s="8">
        <v>1025401</v>
      </c>
      <c r="R1333" s="8">
        <v>1025501</v>
      </c>
    </row>
    <row r="1334" spans="1:19">
      <c r="A1334" s="14" t="s">
        <v>14</v>
      </c>
      <c r="B1334" s="8">
        <f t="shared" si="52"/>
        <v>70253105</v>
      </c>
      <c r="C1334" s="2" t="s">
        <v>1347</v>
      </c>
      <c r="E1334" s="2" t="str">
        <f>F1334&amp;(VLOOKUP(G1334,编号表!$E$1:$G$8,2,0))&amp;H1334&amp;"_"&amp;I1334&amp;"_"&amp;J1334</f>
        <v>25N3_1_5</v>
      </c>
      <c r="F1334" s="2">
        <v>25</v>
      </c>
      <c r="G1334" s="2" t="s">
        <v>37</v>
      </c>
      <c r="H1334" s="2">
        <v>3</v>
      </c>
      <c r="I1334" s="2">
        <v>1</v>
      </c>
      <c r="J1334" s="2">
        <f>COUNTIFS($F$13:F1334,F1334,$I$13:I1334,I1334)</f>
        <v>5</v>
      </c>
      <c r="O1334" s="8">
        <v>1025201</v>
      </c>
      <c r="P1334" s="8">
        <v>1025301</v>
      </c>
      <c r="Q1334" s="8">
        <v>1025401</v>
      </c>
      <c r="R1334" s="8">
        <v>1025501</v>
      </c>
    </row>
    <row r="1335" spans="1:19">
      <c r="A1335" s="14" t="s">
        <v>14</v>
      </c>
      <c r="B1335" s="8">
        <f t="shared" si="52"/>
        <v>70255106</v>
      </c>
      <c r="C1335" s="2" t="s">
        <v>1348</v>
      </c>
      <c r="E1335" s="2" t="str">
        <f>F1335&amp;(VLOOKUP(G1335,编号表!$E$1:$G$8,2,0))&amp;H1335&amp;"_"&amp;I1335&amp;"_"&amp;J1335</f>
        <v>25N5_1_6</v>
      </c>
      <c r="F1335" s="2">
        <v>25</v>
      </c>
      <c r="G1335" s="2" t="s">
        <v>37</v>
      </c>
      <c r="H1335" s="2">
        <v>5</v>
      </c>
      <c r="I1335" s="2">
        <v>1</v>
      </c>
      <c r="J1335" s="2">
        <f>COUNTIFS($F$13:F1335,F1335,$I$13:I1335,I1335)</f>
        <v>6</v>
      </c>
      <c r="O1335" s="8">
        <v>1025201</v>
      </c>
      <c r="P1335" s="8">
        <v>1025301</v>
      </c>
      <c r="Q1335" s="8">
        <v>1025401</v>
      </c>
      <c r="R1335" s="8">
        <v>1025501</v>
      </c>
    </row>
    <row r="1336" spans="1:19">
      <c r="A1336" s="14" t="s">
        <v>14</v>
      </c>
      <c r="B1336" s="8">
        <f t="shared" si="52"/>
        <v>70254107</v>
      </c>
      <c r="C1336" s="2" t="s">
        <v>1349</v>
      </c>
      <c r="E1336" s="2" t="str">
        <f>F1336&amp;(VLOOKUP(G1336,编号表!$E$1:$G$8,2,0))&amp;H1336&amp;"_"&amp;I1336&amp;"_"&amp;J1336</f>
        <v>25N4_1_7</v>
      </c>
      <c r="F1336" s="2">
        <v>25</v>
      </c>
      <c r="G1336" s="2" t="s">
        <v>37</v>
      </c>
      <c r="H1336" s="2">
        <v>4</v>
      </c>
      <c r="I1336" s="2">
        <v>1</v>
      </c>
      <c r="J1336" s="2">
        <f>COUNTIFS($F$13:F1336,F1336,$I$13:I1336,I1336)</f>
        <v>7</v>
      </c>
      <c r="O1336" s="8">
        <v>1025201</v>
      </c>
      <c r="P1336" s="8">
        <v>1025301</v>
      </c>
      <c r="Q1336" s="8">
        <v>1025401</v>
      </c>
      <c r="R1336" s="8">
        <v>1025501</v>
      </c>
    </row>
    <row r="1337" spans="1:19">
      <c r="A1337" s="14" t="s">
        <v>14</v>
      </c>
      <c r="B1337" s="8">
        <f t="shared" si="52"/>
        <v>70255108</v>
      </c>
      <c r="C1337" s="2" t="s">
        <v>1350</v>
      </c>
      <c r="E1337" s="2" t="str">
        <f>F1337&amp;(VLOOKUP(G1337,编号表!$E$1:$G$8,2,0))&amp;H1337&amp;"_"&amp;I1337&amp;"_"&amp;J1337</f>
        <v>25N5_1_8</v>
      </c>
      <c r="F1337" s="2">
        <v>25</v>
      </c>
      <c r="G1337" s="2" t="s">
        <v>37</v>
      </c>
      <c r="H1337" s="2">
        <v>5</v>
      </c>
      <c r="I1337" s="2">
        <v>1</v>
      </c>
      <c r="J1337" s="2">
        <f>COUNTIFS($F$13:F1337,F1337,$I$13:I1337,I1337)</f>
        <v>8</v>
      </c>
      <c r="O1337" s="8">
        <v>1025201</v>
      </c>
      <c r="P1337" s="8">
        <v>1025301</v>
      </c>
      <c r="Q1337" s="8">
        <v>1025401</v>
      </c>
      <c r="R1337" s="8">
        <v>1025501</v>
      </c>
    </row>
    <row r="1338" spans="1:19">
      <c r="A1338" s="14" t="s">
        <v>14</v>
      </c>
      <c r="B1338" s="8">
        <f t="shared" si="52"/>
        <v>70254109</v>
      </c>
      <c r="C1338" s="2" t="s">
        <v>1351</v>
      </c>
      <c r="E1338" s="2" t="str">
        <f>F1338&amp;(VLOOKUP(G1338,编号表!$E$1:$G$8,2,0))&amp;H1338&amp;"_"&amp;I1338&amp;"_"&amp;J1338</f>
        <v>25N4_1_9</v>
      </c>
      <c r="F1338" s="2">
        <v>25</v>
      </c>
      <c r="G1338" s="2" t="s">
        <v>37</v>
      </c>
      <c r="H1338" s="2">
        <v>4</v>
      </c>
      <c r="I1338" s="2">
        <v>1</v>
      </c>
      <c r="J1338" s="2">
        <f>COUNTIFS($F$13:F1338,F1338,$I$13:I1338,I1338)</f>
        <v>9</v>
      </c>
      <c r="O1338" s="8">
        <v>1025201</v>
      </c>
      <c r="P1338" s="8">
        <v>1025301</v>
      </c>
      <c r="Q1338" s="8">
        <v>1025401</v>
      </c>
      <c r="R1338" s="8">
        <v>1025501</v>
      </c>
    </row>
    <row r="1339" spans="1:19">
      <c r="A1339" s="14" t="s">
        <v>14</v>
      </c>
      <c r="B1339" s="8">
        <f t="shared" si="52"/>
        <v>70255110</v>
      </c>
      <c r="C1339" s="2" t="s">
        <v>1352</v>
      </c>
      <c r="E1339" s="2" t="str">
        <f>F1339&amp;(VLOOKUP(G1339,编号表!$E$1:$G$8,2,0))&amp;H1339&amp;"_"&amp;I1339&amp;"_"&amp;J1339</f>
        <v>25N5_1_10</v>
      </c>
      <c r="F1339" s="2">
        <v>25</v>
      </c>
      <c r="G1339" s="2" t="s">
        <v>37</v>
      </c>
      <c r="H1339" s="2">
        <v>5</v>
      </c>
      <c r="I1339" s="2">
        <v>1</v>
      </c>
      <c r="J1339" s="2">
        <f>COUNTIFS($F$13:F1339,F1339,$I$13:I1339,I1339)</f>
        <v>10</v>
      </c>
      <c r="O1339" s="8">
        <v>1025201</v>
      </c>
      <c r="P1339" s="8">
        <v>1025301</v>
      </c>
      <c r="Q1339" s="8">
        <v>1025401</v>
      </c>
      <c r="R1339" s="8">
        <v>1025501</v>
      </c>
    </row>
    <row r="1340" spans="1:19">
      <c r="A1340" s="14" t="s">
        <v>14</v>
      </c>
      <c r="B1340" s="8">
        <f t="shared" si="52"/>
        <v>70255111</v>
      </c>
      <c r="C1340" s="2" t="s">
        <v>1353</v>
      </c>
      <c r="E1340" s="2" t="str">
        <f>F1340&amp;(VLOOKUP(G1340,编号表!$E$1:$G$8,2,0))&amp;H1340&amp;"_"&amp;I1340&amp;"_"&amp;J1340</f>
        <v>25N5_1_11</v>
      </c>
      <c r="F1340" s="2">
        <v>25</v>
      </c>
      <c r="G1340" s="2" t="s">
        <v>37</v>
      </c>
      <c r="H1340" s="2">
        <v>5</v>
      </c>
      <c r="I1340" s="2">
        <v>1</v>
      </c>
      <c r="J1340" s="2">
        <f>COUNTIFS($F$13:F1340,F1340,$I$13:I1340,I1340)</f>
        <v>11</v>
      </c>
      <c r="O1340" s="8">
        <v>1025201</v>
      </c>
      <c r="P1340" s="8">
        <v>1025301</v>
      </c>
      <c r="Q1340" s="8">
        <v>1025401</v>
      </c>
      <c r="R1340" s="8">
        <v>1025501</v>
      </c>
    </row>
    <row r="1341" spans="1:19">
      <c r="A1341" s="14" t="s">
        <v>14</v>
      </c>
      <c r="B1341" s="8">
        <f t="shared" si="52"/>
        <v>70253201</v>
      </c>
      <c r="C1341" s="16" t="s">
        <v>54</v>
      </c>
      <c r="D1341" s="2" t="s">
        <v>1354</v>
      </c>
      <c r="E1341" s="2" t="str">
        <f>F1341&amp;(VLOOKUP(G1341,编号表!$E$1:$G$8,2,0))&amp;H1341&amp;"_"&amp;I1341&amp;"_"&amp;J1341</f>
        <v>25T3_2_1</v>
      </c>
      <c r="F1341" s="2">
        <v>25</v>
      </c>
      <c r="G1341" s="2" t="s">
        <v>53</v>
      </c>
      <c r="H1341" s="2">
        <v>3</v>
      </c>
      <c r="I1341" s="2">
        <v>2</v>
      </c>
      <c r="J1341" s="2">
        <f>COUNTIFS($F$13:F1341,F1341,$I$13:I1341,I1341)</f>
        <v>1</v>
      </c>
    </row>
    <row r="1342" spans="1:19">
      <c r="A1342" s="14" t="s">
        <v>14</v>
      </c>
      <c r="B1342" s="8">
        <f t="shared" si="52"/>
        <v>70251202</v>
      </c>
      <c r="C1342" s="15" t="s">
        <v>1355</v>
      </c>
      <c r="E1342" s="2" t="str">
        <f>F1342&amp;(VLOOKUP(G1342,编号表!$E$1:$G$8,2,0))&amp;H1342&amp;"_"&amp;I1342&amp;"_"&amp;J1342</f>
        <v>25T1_2_2</v>
      </c>
      <c r="F1342" s="2">
        <v>25</v>
      </c>
      <c r="G1342" s="2" t="s">
        <v>53</v>
      </c>
      <c r="H1342" s="2">
        <v>1</v>
      </c>
      <c r="I1342" s="2">
        <v>2</v>
      </c>
      <c r="J1342" s="2">
        <f>COUNTIFS($F$13:F1342,F1342,$I$13:I1342,I1342)</f>
        <v>2</v>
      </c>
      <c r="L1342" s="2">
        <v>1</v>
      </c>
    </row>
    <row r="1343" spans="1:19">
      <c r="A1343" s="14" t="s">
        <v>14</v>
      </c>
      <c r="B1343" s="8">
        <f t="shared" si="52"/>
        <v>70253203</v>
      </c>
      <c r="C1343" s="2" t="s">
        <v>1356</v>
      </c>
      <c r="E1343" s="2" t="str">
        <f>F1343&amp;(VLOOKUP(G1343,编号表!$E$1:$G$8,2,0))&amp;H1343&amp;"_"&amp;I1343&amp;"_"&amp;J1343</f>
        <v>25N3_2_3</v>
      </c>
      <c r="F1343" s="2">
        <v>25</v>
      </c>
      <c r="G1343" s="2" t="s">
        <v>37</v>
      </c>
      <c r="H1343" s="2">
        <v>3</v>
      </c>
      <c r="I1343" s="2">
        <v>2</v>
      </c>
      <c r="J1343" s="2">
        <f>COUNTIFS($F$13:F1343,F1343,$I$13:I1343,I1343)</f>
        <v>3</v>
      </c>
      <c r="O1343" s="8">
        <v>1025201</v>
      </c>
      <c r="P1343" s="8">
        <v>1025301</v>
      </c>
      <c r="Q1343" s="8">
        <v>1025401</v>
      </c>
      <c r="R1343" s="8">
        <v>1025501</v>
      </c>
    </row>
    <row r="1344" spans="1:19">
      <c r="A1344" s="14" t="s">
        <v>14</v>
      </c>
      <c r="B1344" s="8">
        <f t="shared" si="52"/>
        <v>70254204</v>
      </c>
      <c r="C1344" s="2" t="s">
        <v>1357</v>
      </c>
      <c r="E1344" s="2" t="str">
        <f>F1344&amp;(VLOOKUP(G1344,编号表!$E$1:$G$8,2,0))&amp;H1344&amp;"_"&amp;I1344&amp;"_"&amp;J1344</f>
        <v>25N4_2_4</v>
      </c>
      <c r="F1344" s="2">
        <v>25</v>
      </c>
      <c r="G1344" s="2" t="s">
        <v>37</v>
      </c>
      <c r="H1344" s="2">
        <v>4</v>
      </c>
      <c r="I1344" s="2">
        <v>2</v>
      </c>
      <c r="J1344" s="2">
        <f>COUNTIFS($F$13:F1344,F1344,$I$13:I1344,I1344)</f>
        <v>4</v>
      </c>
      <c r="O1344" s="8">
        <v>1025201</v>
      </c>
      <c r="P1344" s="8">
        <v>1025301</v>
      </c>
      <c r="Q1344" s="8">
        <v>1025401</v>
      </c>
      <c r="R1344" s="8">
        <v>1025501</v>
      </c>
    </row>
    <row r="1345" spans="1:18">
      <c r="A1345" s="14" t="s">
        <v>14</v>
      </c>
      <c r="B1345" s="8">
        <f t="shared" si="52"/>
        <v>70254205</v>
      </c>
      <c r="C1345" s="2" t="s">
        <v>1358</v>
      </c>
      <c r="E1345" s="2" t="str">
        <f>F1345&amp;(VLOOKUP(G1345,编号表!$E$1:$G$8,2,0))&amp;H1345&amp;"_"&amp;I1345&amp;"_"&amp;J1345</f>
        <v>25N4_2_5</v>
      </c>
      <c r="F1345" s="2">
        <v>25</v>
      </c>
      <c r="G1345" s="2" t="s">
        <v>37</v>
      </c>
      <c r="H1345" s="2">
        <v>4</v>
      </c>
      <c r="I1345" s="2">
        <v>2</v>
      </c>
      <c r="J1345" s="2">
        <f>COUNTIFS($F$13:F1345,F1345,$I$13:I1345,I1345)</f>
        <v>5</v>
      </c>
      <c r="O1345" s="8">
        <v>1025201</v>
      </c>
      <c r="P1345" s="8">
        <v>1025301</v>
      </c>
      <c r="Q1345" s="8">
        <v>1025401</v>
      </c>
      <c r="R1345" s="8">
        <v>1025501</v>
      </c>
    </row>
    <row r="1346" spans="1:18">
      <c r="A1346" s="14" t="s">
        <v>14</v>
      </c>
      <c r="B1346" s="8">
        <f t="shared" si="52"/>
        <v>70255206</v>
      </c>
      <c r="C1346" s="2" t="s">
        <v>1359</v>
      </c>
      <c r="E1346" s="2" t="str">
        <f>F1346&amp;(VLOOKUP(G1346,编号表!$E$1:$G$8,2,0))&amp;H1346&amp;"_"&amp;I1346&amp;"_"&amp;J1346</f>
        <v>25N5_2_6</v>
      </c>
      <c r="F1346" s="2">
        <v>25</v>
      </c>
      <c r="G1346" s="2" t="s">
        <v>37</v>
      </c>
      <c r="H1346" s="2">
        <v>5</v>
      </c>
      <c r="I1346" s="2">
        <v>2</v>
      </c>
      <c r="J1346" s="2">
        <f>COUNTIFS($F$13:F1346,F1346,$I$13:I1346,I1346)</f>
        <v>6</v>
      </c>
      <c r="O1346" s="8">
        <v>1025201</v>
      </c>
      <c r="P1346" s="8">
        <v>1025301</v>
      </c>
      <c r="Q1346" s="8">
        <v>1025401</v>
      </c>
      <c r="R1346" s="8">
        <v>1025501</v>
      </c>
    </row>
    <row r="1347" spans="1:18">
      <c r="A1347" s="14" t="s">
        <v>14</v>
      </c>
      <c r="B1347" s="8">
        <f t="shared" si="52"/>
        <v>70252207</v>
      </c>
      <c r="C1347" s="2" t="s">
        <v>1360</v>
      </c>
      <c r="E1347" s="2" t="str">
        <f>F1347&amp;(VLOOKUP(G1347,编号表!$E$1:$G$8,2,0))&amp;H1347&amp;"_"&amp;I1347&amp;"_"&amp;J1347</f>
        <v>25N2_2_7</v>
      </c>
      <c r="F1347" s="2">
        <v>25</v>
      </c>
      <c r="G1347" s="2" t="s">
        <v>37</v>
      </c>
      <c r="H1347" s="2">
        <v>2</v>
      </c>
      <c r="I1347" s="2">
        <v>2</v>
      </c>
      <c r="J1347" s="2">
        <f>COUNTIFS($F$13:F1347,F1347,$I$13:I1347,I1347)</f>
        <v>7</v>
      </c>
      <c r="O1347" s="8">
        <v>1025201</v>
      </c>
      <c r="P1347" s="8">
        <v>1025301</v>
      </c>
      <c r="Q1347" s="8">
        <v>1025401</v>
      </c>
      <c r="R1347" s="8">
        <v>1025501</v>
      </c>
    </row>
    <row r="1348" spans="1:18">
      <c r="A1348" s="14" t="s">
        <v>14</v>
      </c>
      <c r="B1348" s="8">
        <f t="shared" si="52"/>
        <v>70253208</v>
      </c>
      <c r="C1348" s="2" t="s">
        <v>1361</v>
      </c>
      <c r="E1348" s="2" t="str">
        <f>F1348&amp;(VLOOKUP(G1348,编号表!$E$1:$G$8,2,0))&amp;H1348&amp;"_"&amp;I1348&amp;"_"&amp;J1348</f>
        <v>25N3_2_8</v>
      </c>
      <c r="F1348" s="2">
        <v>25</v>
      </c>
      <c r="G1348" s="2" t="s">
        <v>37</v>
      </c>
      <c r="H1348" s="2">
        <v>3</v>
      </c>
      <c r="I1348" s="2">
        <v>2</v>
      </c>
      <c r="J1348" s="2">
        <f>COUNTIFS($F$13:F1348,F1348,$I$13:I1348,I1348)</f>
        <v>8</v>
      </c>
      <c r="O1348" s="8">
        <v>1025201</v>
      </c>
      <c r="P1348" s="8">
        <v>1025301</v>
      </c>
      <c r="Q1348" s="8">
        <v>1025401</v>
      </c>
      <c r="R1348" s="8">
        <v>1025501</v>
      </c>
    </row>
    <row r="1349" spans="1:18">
      <c r="A1349" s="14" t="s">
        <v>14</v>
      </c>
      <c r="B1349" s="8">
        <f t="shared" si="52"/>
        <v>70255209</v>
      </c>
      <c r="C1349" s="2" t="s">
        <v>1362</v>
      </c>
      <c r="E1349" s="2" t="str">
        <f>F1349&amp;(VLOOKUP(G1349,编号表!$E$1:$G$8,2,0))&amp;H1349&amp;"_"&amp;I1349&amp;"_"&amp;J1349</f>
        <v>25N5_2_9</v>
      </c>
      <c r="F1349" s="2">
        <v>25</v>
      </c>
      <c r="G1349" s="2" t="s">
        <v>37</v>
      </c>
      <c r="H1349" s="2">
        <v>5</v>
      </c>
      <c r="I1349" s="2">
        <v>2</v>
      </c>
      <c r="J1349" s="2">
        <f>COUNTIFS($F$13:F1349,F1349,$I$13:I1349,I1349)</f>
        <v>9</v>
      </c>
      <c r="O1349" s="8">
        <v>1025201</v>
      </c>
      <c r="P1349" s="8">
        <v>1025301</v>
      </c>
      <c r="Q1349" s="8">
        <v>1025401</v>
      </c>
      <c r="R1349" s="8">
        <v>1025501</v>
      </c>
    </row>
    <row r="1350" spans="1:18">
      <c r="A1350" s="14" t="s">
        <v>14</v>
      </c>
      <c r="B1350" s="8">
        <f t="shared" ref="B1350:B1367" si="61">70000000+F1350*10000+H1350*1000+I1350*100+J1350</f>
        <v>70253301</v>
      </c>
      <c r="C1350" s="2" t="s">
        <v>1363</v>
      </c>
      <c r="E1350" s="2" t="str">
        <f>F1350&amp;(VLOOKUP(G1350,编号表!$E$1:$G$8,2,0))&amp;H1350&amp;"_"&amp;I1350&amp;"_"&amp;J1350</f>
        <v>25N3_3_1</v>
      </c>
      <c r="F1350" s="2">
        <v>25</v>
      </c>
      <c r="G1350" s="2" t="s">
        <v>37</v>
      </c>
      <c r="H1350" s="2">
        <v>3</v>
      </c>
      <c r="I1350" s="2">
        <v>3</v>
      </c>
      <c r="J1350" s="2">
        <f>COUNTIFS($F$13:F1350,F1350,$I$13:I1350,I1350)</f>
        <v>1</v>
      </c>
      <c r="O1350" s="8">
        <v>1025201</v>
      </c>
      <c r="P1350" s="8">
        <v>1025301</v>
      </c>
      <c r="Q1350" s="8">
        <v>1025401</v>
      </c>
      <c r="R1350" s="8">
        <v>1025501</v>
      </c>
    </row>
    <row r="1351" spans="1:18">
      <c r="A1351" s="14" t="s">
        <v>14</v>
      </c>
      <c r="B1351" s="8">
        <f t="shared" si="61"/>
        <v>70254302</v>
      </c>
      <c r="C1351" s="2" t="s">
        <v>1364</v>
      </c>
      <c r="E1351" s="2" t="str">
        <f>F1351&amp;(VLOOKUP(G1351,编号表!$E$1:$G$8,2,0))&amp;H1351&amp;"_"&amp;I1351&amp;"_"&amp;J1351</f>
        <v>25N4_3_2</v>
      </c>
      <c r="F1351" s="2">
        <v>25</v>
      </c>
      <c r="G1351" s="2" t="s">
        <v>37</v>
      </c>
      <c r="H1351" s="2">
        <v>4</v>
      </c>
      <c r="I1351" s="2">
        <v>3</v>
      </c>
      <c r="J1351" s="2">
        <f>COUNTIFS($F$13:F1351,F1351,$I$13:I1351,I1351)</f>
        <v>2</v>
      </c>
      <c r="O1351" s="8">
        <v>1025201</v>
      </c>
      <c r="P1351" s="8">
        <v>1025301</v>
      </c>
      <c r="Q1351" s="8">
        <v>1025401</v>
      </c>
      <c r="R1351" s="8">
        <v>1025501</v>
      </c>
    </row>
    <row r="1352" spans="1:18">
      <c r="A1352" s="14" t="s">
        <v>14</v>
      </c>
      <c r="B1352" s="8">
        <f t="shared" si="61"/>
        <v>70252303</v>
      </c>
      <c r="C1352" s="2" t="s">
        <v>1365</v>
      </c>
      <c r="E1352" s="2" t="str">
        <f>F1352&amp;(VLOOKUP(G1352,编号表!$E$1:$G$8,2,0))&amp;H1352&amp;"_"&amp;I1352&amp;"_"&amp;J1352</f>
        <v>25N2_3_3</v>
      </c>
      <c r="F1352" s="2">
        <v>25</v>
      </c>
      <c r="G1352" s="2" t="s">
        <v>37</v>
      </c>
      <c r="H1352" s="2">
        <v>2</v>
      </c>
      <c r="I1352" s="2">
        <v>3</v>
      </c>
      <c r="J1352" s="2">
        <f>COUNTIFS($F$13:F1352,F1352,$I$13:I1352,I1352)</f>
        <v>3</v>
      </c>
      <c r="O1352" s="8">
        <v>1025201</v>
      </c>
      <c r="P1352" s="8">
        <v>1025301</v>
      </c>
      <c r="Q1352" s="8">
        <v>1025401</v>
      </c>
      <c r="R1352" s="8">
        <v>1025501</v>
      </c>
    </row>
    <row r="1353" spans="1:18">
      <c r="A1353" s="14" t="s">
        <v>14</v>
      </c>
      <c r="B1353" s="8">
        <f t="shared" si="61"/>
        <v>70252304</v>
      </c>
      <c r="C1353" s="2" t="s">
        <v>1366</v>
      </c>
      <c r="E1353" s="2" t="str">
        <f>F1353&amp;(VLOOKUP(G1353,编号表!$E$1:$G$8,2,0))&amp;H1353&amp;"_"&amp;I1353&amp;"_"&amp;J1353</f>
        <v>25N2_3_4</v>
      </c>
      <c r="F1353" s="2">
        <v>25</v>
      </c>
      <c r="G1353" s="2" t="s">
        <v>37</v>
      </c>
      <c r="H1353" s="2">
        <v>2</v>
      </c>
      <c r="I1353" s="2">
        <v>3</v>
      </c>
      <c r="J1353" s="2">
        <f>COUNTIFS($F$13:F1353,F1353,$I$13:I1353,I1353)</f>
        <v>4</v>
      </c>
      <c r="O1353" s="8">
        <v>1025201</v>
      </c>
      <c r="P1353" s="8">
        <v>1025301</v>
      </c>
      <c r="Q1353" s="8">
        <v>1025401</v>
      </c>
      <c r="R1353" s="8">
        <v>1025501</v>
      </c>
    </row>
    <row r="1354" spans="1:18">
      <c r="A1354" s="14" t="s">
        <v>14</v>
      </c>
      <c r="B1354" s="8">
        <f t="shared" si="61"/>
        <v>70255305</v>
      </c>
      <c r="C1354" s="2" t="s">
        <v>1367</v>
      </c>
      <c r="E1354" s="2" t="str">
        <f>F1354&amp;(VLOOKUP(G1354,编号表!$E$1:$G$8,2,0))&amp;H1354&amp;"_"&amp;I1354&amp;"_"&amp;J1354</f>
        <v>25N5_3_5</v>
      </c>
      <c r="F1354" s="2">
        <v>25</v>
      </c>
      <c r="G1354" s="2" t="s">
        <v>37</v>
      </c>
      <c r="H1354" s="2">
        <v>5</v>
      </c>
      <c r="I1354" s="2">
        <v>3</v>
      </c>
      <c r="J1354" s="2">
        <f>COUNTIFS($F$13:F1354,F1354,$I$13:I1354,I1354)</f>
        <v>5</v>
      </c>
      <c r="O1354" s="8">
        <v>1025201</v>
      </c>
      <c r="P1354" s="8">
        <v>1025301</v>
      </c>
      <c r="Q1354" s="8">
        <v>1025401</v>
      </c>
      <c r="R1354" s="8">
        <v>1025501</v>
      </c>
    </row>
    <row r="1355" spans="1:18">
      <c r="A1355" s="14" t="s">
        <v>14</v>
      </c>
      <c r="B1355" s="8">
        <f t="shared" si="61"/>
        <v>70254306</v>
      </c>
      <c r="C1355" s="2" t="s">
        <v>1368</v>
      </c>
      <c r="E1355" s="2" t="str">
        <f>F1355&amp;(VLOOKUP(G1355,编号表!$E$1:$G$8,2,0))&amp;H1355&amp;"_"&amp;I1355&amp;"_"&amp;J1355</f>
        <v>25N4_3_6</v>
      </c>
      <c r="F1355" s="2">
        <v>25</v>
      </c>
      <c r="G1355" s="2" t="s">
        <v>37</v>
      </c>
      <c r="H1355" s="2">
        <v>4</v>
      </c>
      <c r="I1355" s="2">
        <v>3</v>
      </c>
      <c r="J1355" s="2">
        <f>COUNTIFS($F$13:F1355,F1355,$I$13:I1355,I1355)</f>
        <v>6</v>
      </c>
      <c r="O1355" s="8">
        <v>1025201</v>
      </c>
      <c r="P1355" s="8">
        <v>1025301</v>
      </c>
      <c r="Q1355" s="8">
        <v>1025401</v>
      </c>
      <c r="R1355" s="8">
        <v>1025501</v>
      </c>
    </row>
    <row r="1356" spans="1:18">
      <c r="A1356" s="14" t="s">
        <v>14</v>
      </c>
      <c r="B1356" s="8">
        <f t="shared" si="61"/>
        <v>70254307</v>
      </c>
      <c r="C1356" s="2" t="s">
        <v>1369</v>
      </c>
      <c r="E1356" s="2" t="str">
        <f>F1356&amp;(VLOOKUP(G1356,编号表!$E$1:$G$8,2,0))&amp;H1356&amp;"_"&amp;I1356&amp;"_"&amp;J1356</f>
        <v>25N4_3_7</v>
      </c>
      <c r="F1356" s="2">
        <v>25</v>
      </c>
      <c r="G1356" s="2" t="s">
        <v>37</v>
      </c>
      <c r="H1356" s="2">
        <v>4</v>
      </c>
      <c r="I1356" s="2">
        <v>3</v>
      </c>
      <c r="J1356" s="2">
        <f>COUNTIFS($F$13:F1356,F1356,$I$13:I1356,I1356)</f>
        <v>7</v>
      </c>
      <c r="O1356" s="8">
        <v>1025201</v>
      </c>
      <c r="P1356" s="8">
        <v>1025301</v>
      </c>
      <c r="Q1356" s="8">
        <v>1025401</v>
      </c>
      <c r="R1356" s="8">
        <v>1025501</v>
      </c>
    </row>
    <row r="1357" spans="1:18">
      <c r="A1357" s="14" t="s">
        <v>14</v>
      </c>
      <c r="B1357" s="8">
        <f t="shared" si="61"/>
        <v>70255308</v>
      </c>
      <c r="C1357" s="2" t="s">
        <v>1370</v>
      </c>
      <c r="E1357" s="2" t="str">
        <f>F1357&amp;(VLOOKUP(G1357,编号表!$E$1:$G$8,2,0))&amp;H1357&amp;"_"&amp;I1357&amp;"_"&amp;J1357</f>
        <v>25N5_3_8</v>
      </c>
      <c r="F1357" s="2">
        <v>25</v>
      </c>
      <c r="G1357" s="2" t="s">
        <v>37</v>
      </c>
      <c r="H1357" s="2">
        <v>5</v>
      </c>
      <c r="I1357" s="2">
        <v>3</v>
      </c>
      <c r="J1357" s="2">
        <f>COUNTIFS($F$13:F1357,F1357,$I$13:I1357,I1357)</f>
        <v>8</v>
      </c>
      <c r="O1357" s="8">
        <v>1025201</v>
      </c>
      <c r="P1357" s="8">
        <v>1025301</v>
      </c>
      <c r="Q1357" s="8">
        <v>1025401</v>
      </c>
      <c r="R1357" s="8">
        <v>1025501</v>
      </c>
    </row>
    <row r="1358" spans="1:18">
      <c r="A1358" s="14" t="s">
        <v>14</v>
      </c>
      <c r="B1358" s="8">
        <f t="shared" si="61"/>
        <v>70252309</v>
      </c>
      <c r="C1358" s="2" t="s">
        <v>1371</v>
      </c>
      <c r="E1358" s="2" t="str">
        <f>F1358&amp;(VLOOKUP(G1358,编号表!$E$1:$G$8,2,0))&amp;H1358&amp;"_"&amp;I1358&amp;"_"&amp;J1358</f>
        <v>25N2_3_9</v>
      </c>
      <c r="F1358" s="2">
        <v>25</v>
      </c>
      <c r="G1358" s="2" t="s">
        <v>37</v>
      </c>
      <c r="H1358" s="2">
        <v>2</v>
      </c>
      <c r="I1358" s="2">
        <v>3</v>
      </c>
      <c r="J1358" s="2">
        <f>COUNTIFS($F$13:F1358,F1358,$I$13:I1358,I1358)</f>
        <v>9</v>
      </c>
      <c r="O1358" s="8">
        <v>1025201</v>
      </c>
      <c r="P1358" s="8">
        <v>1025301</v>
      </c>
      <c r="Q1358" s="8">
        <v>1025401</v>
      </c>
      <c r="R1358" s="8">
        <v>1025501</v>
      </c>
    </row>
    <row r="1359" spans="1:18">
      <c r="A1359" s="14" t="s">
        <v>14</v>
      </c>
      <c r="B1359" s="8">
        <f t="shared" si="61"/>
        <v>70255310</v>
      </c>
      <c r="C1359" s="2" t="s">
        <v>1372</v>
      </c>
      <c r="E1359" s="2" t="str">
        <f>F1359&amp;(VLOOKUP(G1359,编号表!$E$1:$G$8,2,0))&amp;H1359&amp;"_"&amp;I1359&amp;"_"&amp;J1359</f>
        <v>25N5_3_10</v>
      </c>
      <c r="F1359" s="2">
        <v>25</v>
      </c>
      <c r="G1359" s="2" t="s">
        <v>37</v>
      </c>
      <c r="H1359" s="2">
        <v>5</v>
      </c>
      <c r="I1359" s="2">
        <v>3</v>
      </c>
      <c r="J1359" s="2">
        <f>COUNTIFS($F$13:F1359,F1359,$I$13:I1359,I1359)</f>
        <v>10</v>
      </c>
      <c r="O1359" s="8">
        <v>1025201</v>
      </c>
      <c r="P1359" s="8">
        <v>1025301</v>
      </c>
      <c r="Q1359" s="8">
        <v>1025401</v>
      </c>
      <c r="R1359" s="8">
        <v>1025501</v>
      </c>
    </row>
    <row r="1360" spans="1:18">
      <c r="A1360" s="14" t="s">
        <v>14</v>
      </c>
      <c r="B1360" s="8">
        <f t="shared" si="61"/>
        <v>70255401</v>
      </c>
      <c r="C1360" s="2" t="s">
        <v>1373</v>
      </c>
      <c r="E1360" s="2" t="str">
        <f>F1360&amp;(VLOOKUP(G1360,编号表!$E$1:$G$8,2,0))&amp;H1360&amp;"_"&amp;I1360&amp;"_"&amp;J1360</f>
        <v>25N5_4_1</v>
      </c>
      <c r="F1360" s="2">
        <v>25</v>
      </c>
      <c r="G1360" s="2" t="s">
        <v>37</v>
      </c>
      <c r="H1360" s="2">
        <v>5</v>
      </c>
      <c r="I1360" s="2">
        <v>4</v>
      </c>
      <c r="J1360" s="2">
        <f>COUNTIFS($F$13:F1360,F1360,$I$13:I1360,I1360)</f>
        <v>1</v>
      </c>
      <c r="O1360" s="8">
        <v>1025201</v>
      </c>
      <c r="P1360" s="8">
        <v>1025301</v>
      </c>
      <c r="Q1360" s="8">
        <v>1025401</v>
      </c>
      <c r="R1360" s="8">
        <v>1025501</v>
      </c>
    </row>
    <row r="1361" spans="1:22">
      <c r="A1361" s="14" t="s">
        <v>14</v>
      </c>
      <c r="B1361" s="8">
        <f t="shared" si="61"/>
        <v>70254402</v>
      </c>
      <c r="C1361" s="2" t="s">
        <v>1374</v>
      </c>
      <c r="E1361" s="2" t="str">
        <f>F1361&amp;(VLOOKUP(G1361,编号表!$E$1:$G$8,2,0))&amp;H1361&amp;"_"&amp;I1361&amp;"_"&amp;J1361</f>
        <v>25N4_4_2</v>
      </c>
      <c r="F1361" s="2">
        <v>25</v>
      </c>
      <c r="G1361" s="2" t="s">
        <v>37</v>
      </c>
      <c r="H1361" s="2">
        <v>4</v>
      </c>
      <c r="I1361" s="2">
        <v>4</v>
      </c>
      <c r="J1361" s="2">
        <f>COUNTIFS($F$13:F1361,F1361,$I$13:I1361,I1361)</f>
        <v>2</v>
      </c>
      <c r="O1361" s="8">
        <v>1025201</v>
      </c>
      <c r="P1361" s="8">
        <v>1025301</v>
      </c>
      <c r="Q1361" s="8">
        <v>1025401</v>
      </c>
      <c r="R1361" s="8">
        <v>1025501</v>
      </c>
    </row>
    <row r="1362" spans="1:22">
      <c r="A1362" s="14" t="s">
        <v>14</v>
      </c>
      <c r="B1362" s="8">
        <f t="shared" si="61"/>
        <v>70253403</v>
      </c>
      <c r="C1362" s="2" t="s">
        <v>1375</v>
      </c>
      <c r="E1362" s="2" t="str">
        <f>F1362&amp;(VLOOKUP(G1362,编号表!$E$1:$G$8,2,0))&amp;H1362&amp;"_"&amp;I1362&amp;"_"&amp;J1362</f>
        <v>25N3_4_3</v>
      </c>
      <c r="F1362" s="2">
        <v>25</v>
      </c>
      <c r="G1362" s="2" t="s">
        <v>37</v>
      </c>
      <c r="H1362" s="2">
        <v>3</v>
      </c>
      <c r="I1362" s="2">
        <v>4</v>
      </c>
      <c r="J1362" s="2">
        <f>COUNTIFS($F$13:F1362,F1362,$I$13:I1362,I1362)</f>
        <v>3</v>
      </c>
      <c r="O1362" s="8">
        <v>1025201</v>
      </c>
      <c r="P1362" s="8">
        <v>1025301</v>
      </c>
      <c r="Q1362" s="8">
        <v>1025401</v>
      </c>
      <c r="R1362" s="8">
        <v>1025501</v>
      </c>
    </row>
    <row r="1363" spans="1:22">
      <c r="A1363" s="14" t="s">
        <v>14</v>
      </c>
      <c r="B1363" s="8">
        <f t="shared" si="61"/>
        <v>70254404</v>
      </c>
      <c r="C1363" s="2" t="s">
        <v>1376</v>
      </c>
      <c r="E1363" s="2" t="str">
        <f>F1363&amp;(VLOOKUP(G1363,编号表!$E$1:$G$8,2,0))&amp;H1363&amp;"_"&amp;I1363&amp;"_"&amp;J1363</f>
        <v>25N4_4_4</v>
      </c>
      <c r="F1363" s="2">
        <v>25</v>
      </c>
      <c r="G1363" s="2" t="s">
        <v>37</v>
      </c>
      <c r="H1363" s="2">
        <v>4</v>
      </c>
      <c r="I1363" s="2">
        <v>4</v>
      </c>
      <c r="J1363" s="2">
        <f>COUNTIFS($F$13:F1363,F1363,$I$13:I1363,I1363)</f>
        <v>4</v>
      </c>
      <c r="O1363" s="8">
        <v>1025201</v>
      </c>
      <c r="P1363" s="8">
        <v>1025301</v>
      </c>
      <c r="Q1363" s="8">
        <v>1025401</v>
      </c>
      <c r="R1363" s="8">
        <v>1025501</v>
      </c>
    </row>
    <row r="1364" spans="1:22">
      <c r="A1364" s="14" t="s">
        <v>14</v>
      </c>
      <c r="B1364" s="8">
        <f t="shared" si="61"/>
        <v>70254405</v>
      </c>
      <c r="C1364" s="2" t="s">
        <v>1377</v>
      </c>
      <c r="E1364" s="2" t="str">
        <f>F1364&amp;(VLOOKUP(G1364,编号表!$E$1:$G$8,2,0))&amp;H1364&amp;"_"&amp;I1364&amp;"_"&amp;J1364</f>
        <v>25N4_4_5</v>
      </c>
      <c r="F1364" s="2">
        <v>25</v>
      </c>
      <c r="G1364" s="2" t="s">
        <v>37</v>
      </c>
      <c r="H1364" s="2">
        <v>4</v>
      </c>
      <c r="I1364" s="2">
        <v>4</v>
      </c>
      <c r="J1364" s="2">
        <f>COUNTIFS($F$13:F1364,F1364,$I$13:I1364,I1364)</f>
        <v>5</v>
      </c>
      <c r="O1364" s="8">
        <v>1025201</v>
      </c>
      <c r="P1364" s="8">
        <v>1025301</v>
      </c>
      <c r="Q1364" s="8">
        <v>1025401</v>
      </c>
      <c r="R1364" s="8">
        <v>1025501</v>
      </c>
    </row>
    <row r="1365" spans="1:22">
      <c r="A1365" s="14" t="s">
        <v>14</v>
      </c>
      <c r="B1365" s="8">
        <f t="shared" si="61"/>
        <v>70251501</v>
      </c>
      <c r="C1365" s="15" t="s">
        <v>1378</v>
      </c>
      <c r="E1365" s="2" t="str">
        <f>F1365&amp;(VLOOKUP(G1365,编号表!$E$1:$G$8,2,0))&amp;H1365&amp;"_"&amp;I1365&amp;"_"&amp;J1365</f>
        <v>25T1_5_1</v>
      </c>
      <c r="F1365" s="2">
        <v>25</v>
      </c>
      <c r="G1365" s="2" t="s">
        <v>53</v>
      </c>
      <c r="H1365" s="2">
        <v>1</v>
      </c>
      <c r="I1365" s="2">
        <v>5</v>
      </c>
      <c r="J1365" s="2">
        <f>COUNTIFS($F$13:F1365,F1365,$I$13:I1365,I1365)</f>
        <v>1</v>
      </c>
    </row>
    <row r="1366" spans="1:22">
      <c r="A1366" s="14" t="s">
        <v>14</v>
      </c>
      <c r="B1366" s="8">
        <f t="shared" si="61"/>
        <v>70253502</v>
      </c>
      <c r="C1366" s="16" t="s">
        <v>1379</v>
      </c>
      <c r="D1366" s="2" t="s">
        <v>1380</v>
      </c>
      <c r="E1366" s="2" t="str">
        <f>F1366&amp;(VLOOKUP(G1366,编号表!$E$1:$G$8,2,0))&amp;H1366&amp;"_"&amp;I1366&amp;"_"&amp;J1366</f>
        <v>25T3_5_2</v>
      </c>
      <c r="F1366" s="2">
        <v>25</v>
      </c>
      <c r="G1366" s="2" t="s">
        <v>53</v>
      </c>
      <c r="H1366" s="2">
        <v>3</v>
      </c>
      <c r="I1366" s="2">
        <v>5</v>
      </c>
      <c r="J1366" s="2">
        <f>COUNTIFS($F$13:F1366,F1366,$I$13:I1366,I1366)</f>
        <v>2</v>
      </c>
      <c r="M1366" s="2">
        <v>151</v>
      </c>
    </row>
    <row r="1367" spans="1:22">
      <c r="A1367" s="14" t="s">
        <v>14</v>
      </c>
      <c r="B1367" s="8">
        <f t="shared" si="61"/>
        <v>70250001</v>
      </c>
      <c r="C1367" s="18" t="s">
        <v>1381</v>
      </c>
      <c r="E1367" s="2" t="str">
        <f>F1367&amp;(VLOOKUP(G1367,编号表!$E$1:$G$8,2,0))&amp;H1367&amp;"_"&amp;I1367&amp;"_"&amp;J1367</f>
        <v>25J0_0_1</v>
      </c>
      <c r="F1367" s="2">
        <v>25</v>
      </c>
      <c r="G1367" s="2" t="s">
        <v>86</v>
      </c>
      <c r="H1367" s="2">
        <v>0</v>
      </c>
      <c r="I1367" s="2">
        <v>0</v>
      </c>
      <c r="J1367" s="2">
        <f>COUNTIFS($F$13:F1367,F1367,$I$13:I1367,I1367)</f>
        <v>1</v>
      </c>
      <c r="K1367" s="2">
        <v>1</v>
      </c>
    </row>
    <row r="1368" spans="1:22">
      <c r="A1368" s="14" t="s">
        <v>14</v>
      </c>
      <c r="B1368" s="8">
        <f t="shared" ref="B1368:B1399" si="62">70000000+F1368*10000+H1368*1000+I1368*100+J1368</f>
        <v>70266101</v>
      </c>
      <c r="C1368" s="2" t="s">
        <v>1382</v>
      </c>
      <c r="E1368" s="2" t="s">
        <v>1383</v>
      </c>
      <c r="F1368" s="2">
        <v>26</v>
      </c>
      <c r="G1368" s="2" t="s">
        <v>37</v>
      </c>
      <c r="H1368" s="2">
        <v>6</v>
      </c>
      <c r="I1368" s="2">
        <v>1</v>
      </c>
      <c r="J1368" s="2">
        <f>COUNTIFS($F$13:F1368,F1368,$I$13:I1368,I1368)</f>
        <v>1</v>
      </c>
      <c r="O1368" s="8">
        <v>1026201</v>
      </c>
      <c r="P1368" s="8">
        <v>1026301</v>
      </c>
      <c r="Q1368" s="8">
        <v>1026401</v>
      </c>
      <c r="R1368" s="8">
        <v>1026501</v>
      </c>
      <c r="S1368" s="8">
        <v>1026601</v>
      </c>
      <c r="T1368" s="8">
        <v>1026701</v>
      </c>
      <c r="U1368" s="8">
        <v>1026801</v>
      </c>
      <c r="V1368" s="8">
        <v>1026001</v>
      </c>
    </row>
    <row r="1369" spans="1:22">
      <c r="A1369" s="14" t="s">
        <v>14</v>
      </c>
      <c r="B1369" s="8">
        <f t="shared" si="62"/>
        <v>70266102</v>
      </c>
      <c r="C1369" s="2" t="s">
        <v>1384</v>
      </c>
      <c r="E1369" s="2" t="s">
        <v>1385</v>
      </c>
      <c r="F1369" s="2">
        <v>26</v>
      </c>
      <c r="G1369" s="2" t="s">
        <v>37</v>
      </c>
      <c r="H1369" s="2">
        <v>6</v>
      </c>
      <c r="I1369" s="2">
        <v>1</v>
      </c>
      <c r="J1369" s="2">
        <f>COUNTIFS($F$13:F1369,F1369,$I$13:I1369,I1369)</f>
        <v>2</v>
      </c>
      <c r="O1369" s="8">
        <v>1026201</v>
      </c>
      <c r="P1369" s="8">
        <v>1026301</v>
      </c>
      <c r="Q1369" s="8">
        <v>1026401</v>
      </c>
      <c r="R1369" s="8">
        <v>1026501</v>
      </c>
      <c r="S1369" s="8">
        <v>1026601</v>
      </c>
      <c r="T1369" s="8">
        <v>1026701</v>
      </c>
      <c r="U1369" s="8">
        <v>1026801</v>
      </c>
      <c r="V1369" s="8">
        <v>1026101</v>
      </c>
    </row>
    <row r="1370" spans="1:22">
      <c r="A1370" s="14" t="s">
        <v>14</v>
      </c>
      <c r="B1370" s="8">
        <f t="shared" si="62"/>
        <v>70263103</v>
      </c>
      <c r="C1370" s="16" t="s">
        <v>1386</v>
      </c>
      <c r="D1370" s="2" t="s">
        <v>1387</v>
      </c>
      <c r="E1370" s="2" t="s">
        <v>1388</v>
      </c>
      <c r="F1370" s="2">
        <v>26</v>
      </c>
      <c r="G1370" s="2" t="s">
        <v>53</v>
      </c>
      <c r="H1370" s="2">
        <v>3</v>
      </c>
      <c r="I1370" s="2">
        <v>1</v>
      </c>
      <c r="J1370" s="2">
        <f>COUNTIFS($F$13:F1370,F1370,$I$13:I1370,I1370)</f>
        <v>3</v>
      </c>
      <c r="M1370" s="2">
        <v>153</v>
      </c>
    </row>
    <row r="1371" spans="1:22">
      <c r="A1371" s="14" t="s">
        <v>14</v>
      </c>
      <c r="B1371" s="8">
        <f t="shared" si="62"/>
        <v>70261104</v>
      </c>
      <c r="C1371" s="15" t="s">
        <v>1389</v>
      </c>
      <c r="E1371" s="2" t="s">
        <v>1390</v>
      </c>
      <c r="F1371" s="2">
        <v>26</v>
      </c>
      <c r="G1371" s="2" t="s">
        <v>53</v>
      </c>
      <c r="H1371" s="2">
        <v>1</v>
      </c>
      <c r="I1371" s="2">
        <v>1</v>
      </c>
      <c r="J1371" s="2">
        <f>COUNTIFS($F$13:F1371,F1371,$I$13:I1371,I1371)</f>
        <v>4</v>
      </c>
    </row>
    <row r="1372" spans="1:22">
      <c r="A1372" s="14" t="s">
        <v>14</v>
      </c>
      <c r="B1372" s="8">
        <f t="shared" si="62"/>
        <v>70262105</v>
      </c>
      <c r="C1372" s="2" t="s">
        <v>1391</v>
      </c>
      <c r="E1372" s="2" t="s">
        <v>1392</v>
      </c>
      <c r="F1372" s="2">
        <v>26</v>
      </c>
      <c r="G1372" s="2" t="s">
        <v>37</v>
      </c>
      <c r="H1372" s="2">
        <v>2</v>
      </c>
      <c r="I1372" s="2">
        <v>1</v>
      </c>
      <c r="J1372" s="2">
        <f>COUNTIFS($F$13:F1372,F1372,$I$13:I1372,I1372)</f>
        <v>5</v>
      </c>
      <c r="O1372" s="8">
        <v>1026201</v>
      </c>
      <c r="P1372" s="8">
        <v>1026301</v>
      </c>
    </row>
    <row r="1373" spans="1:22">
      <c r="A1373" s="14" t="s">
        <v>14</v>
      </c>
      <c r="B1373" s="8">
        <f t="shared" si="62"/>
        <v>70266106</v>
      </c>
      <c r="C1373" s="2" t="s">
        <v>1393</v>
      </c>
      <c r="E1373" s="2" t="s">
        <v>1394</v>
      </c>
      <c r="F1373" s="2">
        <v>26</v>
      </c>
      <c r="G1373" s="2" t="s">
        <v>37</v>
      </c>
      <c r="H1373" s="2">
        <v>6</v>
      </c>
      <c r="I1373" s="2">
        <v>1</v>
      </c>
      <c r="J1373" s="2">
        <f>COUNTIFS($F$13:F1373,F1373,$I$13:I1373,I1373)</f>
        <v>6</v>
      </c>
      <c r="O1373" s="8">
        <v>1026201</v>
      </c>
      <c r="P1373" s="8">
        <v>1026301</v>
      </c>
      <c r="Q1373" s="8">
        <v>1026401</v>
      </c>
      <c r="R1373" s="8">
        <v>1026501</v>
      </c>
      <c r="S1373" s="8">
        <v>1026601</v>
      </c>
      <c r="T1373" s="8">
        <v>1026701</v>
      </c>
      <c r="U1373" s="8">
        <v>1026801</v>
      </c>
      <c r="V1373" s="8">
        <v>1026102</v>
      </c>
    </row>
    <row r="1374" spans="1:22">
      <c r="A1374" s="14" t="s">
        <v>14</v>
      </c>
      <c r="B1374" s="8">
        <f t="shared" si="62"/>
        <v>70264107</v>
      </c>
      <c r="C1374" s="2" t="s">
        <v>1395</v>
      </c>
      <c r="E1374" s="2" t="s">
        <v>1396</v>
      </c>
      <c r="F1374" s="2">
        <v>26</v>
      </c>
      <c r="G1374" s="2" t="s">
        <v>37</v>
      </c>
      <c r="H1374" s="2">
        <v>4</v>
      </c>
      <c r="I1374" s="2">
        <v>1</v>
      </c>
      <c r="J1374" s="2">
        <f>COUNTIFS($F$13:F1374,F1374,$I$13:I1374,I1374)</f>
        <v>7</v>
      </c>
      <c r="O1374" s="8">
        <v>1026201</v>
      </c>
      <c r="P1374" s="8">
        <v>1026301</v>
      </c>
      <c r="Q1374" s="8">
        <v>1026401</v>
      </c>
      <c r="R1374" s="8">
        <v>1026501</v>
      </c>
    </row>
    <row r="1375" spans="1:22">
      <c r="A1375" s="14" t="s">
        <v>14</v>
      </c>
      <c r="B1375" s="8">
        <f t="shared" si="62"/>
        <v>70266201</v>
      </c>
      <c r="C1375" s="2" t="s">
        <v>1397</v>
      </c>
      <c r="E1375" s="2" t="s">
        <v>1398</v>
      </c>
      <c r="F1375" s="2">
        <v>26</v>
      </c>
      <c r="G1375" s="2" t="s">
        <v>37</v>
      </c>
      <c r="H1375" s="2">
        <v>6</v>
      </c>
      <c r="I1375" s="2">
        <v>2</v>
      </c>
      <c r="J1375" s="2">
        <f>COUNTIFS($F$13:F1375,F1375,$I$13:I1375,I1375)</f>
        <v>1</v>
      </c>
      <c r="O1375" s="8">
        <v>1026201</v>
      </c>
      <c r="P1375" s="8">
        <v>1026301</v>
      </c>
      <c r="Q1375" s="8">
        <v>1026401</v>
      </c>
      <c r="R1375" s="8">
        <v>1026501</v>
      </c>
      <c r="S1375" s="8">
        <v>1026601</v>
      </c>
      <c r="T1375" s="8">
        <v>1026701</v>
      </c>
      <c r="U1375" s="8">
        <v>1026801</v>
      </c>
    </row>
    <row r="1376" spans="1:22">
      <c r="A1376" s="14" t="s">
        <v>14</v>
      </c>
      <c r="B1376" s="8">
        <f t="shared" si="62"/>
        <v>70264202</v>
      </c>
      <c r="C1376" s="2" t="s">
        <v>1399</v>
      </c>
      <c r="E1376" s="2" t="s">
        <v>1400</v>
      </c>
      <c r="F1376" s="2">
        <v>26</v>
      </c>
      <c r="G1376" s="2" t="s">
        <v>37</v>
      </c>
      <c r="H1376" s="2">
        <v>4</v>
      </c>
      <c r="I1376" s="2">
        <v>2</v>
      </c>
      <c r="J1376" s="2">
        <f>COUNTIFS($F$13:F1376,F1376,$I$13:I1376,I1376)</f>
        <v>2</v>
      </c>
      <c r="O1376" s="8">
        <v>1026201</v>
      </c>
      <c r="P1376" s="8">
        <v>1026301</v>
      </c>
      <c r="Q1376" s="8">
        <v>1026401</v>
      </c>
      <c r="R1376" s="8">
        <v>1026501</v>
      </c>
    </row>
    <row r="1377" spans="1:22">
      <c r="A1377" s="14" t="s">
        <v>14</v>
      </c>
      <c r="B1377" s="8">
        <f t="shared" si="62"/>
        <v>70268203</v>
      </c>
      <c r="C1377" s="2" t="s">
        <v>1401</v>
      </c>
      <c r="E1377" s="2" t="s">
        <v>1402</v>
      </c>
      <c r="F1377" s="2">
        <v>26</v>
      </c>
      <c r="G1377" s="2" t="s">
        <v>37</v>
      </c>
      <c r="H1377" s="2">
        <v>8</v>
      </c>
      <c r="I1377" s="2">
        <v>2</v>
      </c>
      <c r="J1377" s="2">
        <f>COUNTIFS($F$13:F1377,F1377,$I$13:I1377,I1377)</f>
        <v>3</v>
      </c>
      <c r="O1377" s="8">
        <v>1026201</v>
      </c>
      <c r="P1377" s="8">
        <v>1026301</v>
      </c>
      <c r="Q1377" s="8">
        <v>1026401</v>
      </c>
      <c r="R1377" s="8">
        <v>1026501</v>
      </c>
      <c r="S1377" s="8">
        <v>1026601</v>
      </c>
      <c r="T1377" s="8">
        <v>1026701</v>
      </c>
      <c r="U1377" s="8">
        <v>1026801</v>
      </c>
    </row>
    <row r="1378" spans="1:22">
      <c r="A1378" s="14" t="s">
        <v>14</v>
      </c>
      <c r="B1378" s="8">
        <f t="shared" si="62"/>
        <v>70268204</v>
      </c>
      <c r="C1378" s="2" t="s">
        <v>1403</v>
      </c>
      <c r="E1378" s="2" t="s">
        <v>1404</v>
      </c>
      <c r="F1378" s="2">
        <v>26</v>
      </c>
      <c r="G1378" s="2" t="s">
        <v>37</v>
      </c>
      <c r="H1378" s="2">
        <v>8</v>
      </c>
      <c r="I1378" s="2">
        <v>2</v>
      </c>
      <c r="J1378" s="2">
        <f>COUNTIFS($F$13:F1378,F1378,$I$13:I1378,I1378)</f>
        <v>4</v>
      </c>
      <c r="O1378" s="8">
        <v>1026201</v>
      </c>
      <c r="P1378" s="8">
        <v>1026301</v>
      </c>
      <c r="Q1378" s="8">
        <v>1026401</v>
      </c>
      <c r="R1378" s="8">
        <v>1026501</v>
      </c>
      <c r="S1378" s="8">
        <v>1026601</v>
      </c>
      <c r="T1378" s="8">
        <v>1026701</v>
      </c>
      <c r="U1378" s="8">
        <v>1026801</v>
      </c>
    </row>
    <row r="1379" spans="1:22">
      <c r="A1379" s="14" t="s">
        <v>14</v>
      </c>
      <c r="B1379" s="8">
        <f t="shared" si="62"/>
        <v>70268205</v>
      </c>
      <c r="C1379" s="2" t="s">
        <v>1405</v>
      </c>
      <c r="E1379" s="2" t="s">
        <v>1406</v>
      </c>
      <c r="F1379" s="2">
        <v>26</v>
      </c>
      <c r="G1379" s="2" t="s">
        <v>37</v>
      </c>
      <c r="H1379" s="2">
        <v>8</v>
      </c>
      <c r="I1379" s="2">
        <v>2</v>
      </c>
      <c r="J1379" s="2">
        <f>COUNTIFS($F$13:F1379,F1379,$I$13:I1379,I1379)</f>
        <v>5</v>
      </c>
      <c r="O1379" s="8">
        <v>1026201</v>
      </c>
      <c r="P1379" s="8">
        <v>1026301</v>
      </c>
      <c r="Q1379" s="8">
        <v>1026401</v>
      </c>
      <c r="R1379" s="8">
        <v>1026501</v>
      </c>
      <c r="S1379" s="8">
        <v>1026601</v>
      </c>
      <c r="T1379" s="8">
        <v>1026701</v>
      </c>
      <c r="U1379" s="8">
        <v>1026801</v>
      </c>
    </row>
    <row r="1380" spans="1:22">
      <c r="A1380" s="14" t="s">
        <v>14</v>
      </c>
      <c r="B1380" s="8">
        <f t="shared" si="62"/>
        <v>70268206</v>
      </c>
      <c r="C1380" s="2" t="s">
        <v>1407</v>
      </c>
      <c r="E1380" s="2" t="s">
        <v>1408</v>
      </c>
      <c r="F1380" s="2">
        <v>26</v>
      </c>
      <c r="G1380" s="2" t="s">
        <v>37</v>
      </c>
      <c r="H1380" s="2">
        <v>8</v>
      </c>
      <c r="I1380" s="2">
        <v>2</v>
      </c>
      <c r="J1380" s="2">
        <f>COUNTIFS($F$13:F1380,F1380,$I$13:I1380,I1380)</f>
        <v>6</v>
      </c>
      <c r="O1380" s="8">
        <v>1026201</v>
      </c>
      <c r="P1380" s="8">
        <v>1026301</v>
      </c>
      <c r="Q1380" s="8">
        <v>1026401</v>
      </c>
      <c r="R1380" s="8">
        <v>1026501</v>
      </c>
      <c r="S1380" s="8">
        <v>1026601</v>
      </c>
      <c r="T1380" s="8">
        <v>1026701</v>
      </c>
      <c r="U1380" s="8">
        <v>1026801</v>
      </c>
    </row>
    <row r="1381" spans="1:22">
      <c r="A1381" s="14" t="s">
        <v>14</v>
      </c>
      <c r="B1381" s="8">
        <f t="shared" si="62"/>
        <v>70264207</v>
      </c>
      <c r="C1381" s="2" t="s">
        <v>1409</v>
      </c>
      <c r="E1381" s="2" t="s">
        <v>1410</v>
      </c>
      <c r="F1381" s="2">
        <v>26</v>
      </c>
      <c r="G1381" s="2" t="s">
        <v>37</v>
      </c>
      <c r="H1381" s="2">
        <v>4</v>
      </c>
      <c r="I1381" s="2">
        <v>2</v>
      </c>
      <c r="J1381" s="2">
        <f>COUNTIFS($F$13:F1381,F1381,$I$13:I1381,I1381)</f>
        <v>7</v>
      </c>
      <c r="O1381" s="8">
        <v>1026501</v>
      </c>
      <c r="P1381" s="8">
        <v>1026601</v>
      </c>
      <c r="Q1381" s="8">
        <v>1026701</v>
      </c>
      <c r="R1381" s="8">
        <v>1026801</v>
      </c>
    </row>
    <row r="1382" spans="1:22">
      <c r="A1382" s="14" t="s">
        <v>14</v>
      </c>
      <c r="B1382" s="8">
        <f t="shared" si="62"/>
        <v>70266208</v>
      </c>
      <c r="C1382" s="2" t="s">
        <v>1411</v>
      </c>
      <c r="E1382" s="2" t="s">
        <v>1412</v>
      </c>
      <c r="F1382" s="2">
        <v>26</v>
      </c>
      <c r="G1382" s="2" t="s">
        <v>37</v>
      </c>
      <c r="H1382" s="2">
        <v>6</v>
      </c>
      <c r="I1382" s="2">
        <v>2</v>
      </c>
      <c r="J1382" s="2">
        <f>COUNTIFS($F$13:F1382,F1382,$I$13:I1382,I1382)</f>
        <v>8</v>
      </c>
      <c r="O1382" s="8">
        <v>1026201</v>
      </c>
      <c r="P1382" s="8">
        <v>1026301</v>
      </c>
      <c r="Q1382" s="8">
        <v>1026401</v>
      </c>
      <c r="R1382" s="8">
        <v>1026501</v>
      </c>
      <c r="S1382" s="8">
        <v>1026601</v>
      </c>
      <c r="T1382" s="8">
        <v>1026701</v>
      </c>
      <c r="U1382" s="8">
        <v>1026801</v>
      </c>
    </row>
    <row r="1383" spans="1:22">
      <c r="A1383" s="14" t="s">
        <v>14</v>
      </c>
      <c r="B1383" s="8">
        <f t="shared" si="62"/>
        <v>70268301</v>
      </c>
      <c r="C1383" s="2" t="s">
        <v>1413</v>
      </c>
      <c r="E1383" s="2" t="s">
        <v>1414</v>
      </c>
      <c r="F1383" s="2">
        <v>26</v>
      </c>
      <c r="G1383" s="2" t="s">
        <v>37</v>
      </c>
      <c r="H1383" s="2">
        <v>8</v>
      </c>
      <c r="I1383" s="2">
        <v>3</v>
      </c>
      <c r="J1383" s="2">
        <f>COUNTIFS($F$13:F1383,F1383,$I$13:I1383,I1383)</f>
        <v>1</v>
      </c>
      <c r="O1383" s="8">
        <v>1026201</v>
      </c>
      <c r="P1383" s="8">
        <v>1026301</v>
      </c>
      <c r="Q1383" s="8">
        <v>1026401</v>
      </c>
      <c r="R1383" s="8">
        <v>1026501</v>
      </c>
      <c r="S1383" s="8">
        <v>1026601</v>
      </c>
      <c r="T1383" s="8">
        <v>1026701</v>
      </c>
      <c r="U1383" s="8">
        <v>1026801</v>
      </c>
    </row>
    <row r="1384" spans="1:22">
      <c r="A1384" s="14" t="s">
        <v>14</v>
      </c>
      <c r="B1384" s="8">
        <f t="shared" si="62"/>
        <v>70264302</v>
      </c>
      <c r="C1384" s="2" t="s">
        <v>1415</v>
      </c>
      <c r="E1384" s="2" t="s">
        <v>1416</v>
      </c>
      <c r="F1384" s="2">
        <v>26</v>
      </c>
      <c r="G1384" s="2" t="s">
        <v>37</v>
      </c>
      <c r="H1384" s="2">
        <v>4</v>
      </c>
      <c r="I1384" s="2">
        <v>3</v>
      </c>
      <c r="J1384" s="2">
        <f>COUNTIFS($F$13:F1384,F1384,$I$13:I1384,I1384)</f>
        <v>2</v>
      </c>
      <c r="O1384" s="8">
        <v>1026501</v>
      </c>
      <c r="P1384" s="8">
        <v>1026601</v>
      </c>
      <c r="Q1384" s="8">
        <v>1026701</v>
      </c>
      <c r="R1384" s="8">
        <v>1026801</v>
      </c>
    </row>
    <row r="1385" spans="1:22">
      <c r="A1385" s="14" t="s">
        <v>14</v>
      </c>
      <c r="B1385" s="8">
        <f t="shared" si="62"/>
        <v>70268303</v>
      </c>
      <c r="C1385" s="2" t="s">
        <v>1417</v>
      </c>
      <c r="E1385" s="2" t="s">
        <v>1418</v>
      </c>
      <c r="F1385" s="2">
        <v>26</v>
      </c>
      <c r="G1385" s="2" t="s">
        <v>37</v>
      </c>
      <c r="H1385" s="2">
        <v>8</v>
      </c>
      <c r="I1385" s="2">
        <v>3</v>
      </c>
      <c r="J1385" s="2">
        <f>COUNTIFS($F$13:F1385,F1385,$I$13:I1385,I1385)</f>
        <v>3</v>
      </c>
      <c r="O1385" s="8">
        <v>1026201</v>
      </c>
      <c r="P1385" s="8">
        <v>1026301</v>
      </c>
      <c r="Q1385" s="8">
        <v>1026401</v>
      </c>
      <c r="R1385" s="8">
        <v>1026501</v>
      </c>
      <c r="S1385" s="8">
        <v>1026601</v>
      </c>
      <c r="T1385" s="8">
        <v>1026701</v>
      </c>
      <c r="U1385" s="8">
        <v>1026801</v>
      </c>
      <c r="V1385" s="8">
        <v>1026901</v>
      </c>
    </row>
    <row r="1386" spans="1:22">
      <c r="A1386" s="14" t="s">
        <v>14</v>
      </c>
      <c r="B1386" s="8">
        <f t="shared" si="62"/>
        <v>70268304</v>
      </c>
      <c r="C1386" s="2" t="s">
        <v>1419</v>
      </c>
      <c r="E1386" s="2" t="s">
        <v>1420</v>
      </c>
      <c r="F1386" s="2">
        <v>26</v>
      </c>
      <c r="G1386" s="2" t="s">
        <v>37</v>
      </c>
      <c r="H1386" s="2">
        <v>8</v>
      </c>
      <c r="I1386" s="2">
        <v>3</v>
      </c>
      <c r="J1386" s="2">
        <f>COUNTIFS($F$13:F1386,F1386,$I$13:I1386,I1386)</f>
        <v>4</v>
      </c>
      <c r="O1386" s="8">
        <v>1026201</v>
      </c>
      <c r="P1386" s="8">
        <v>1026301</v>
      </c>
      <c r="Q1386" s="8">
        <v>1026401</v>
      </c>
      <c r="R1386" s="8">
        <v>1026501</v>
      </c>
      <c r="S1386" s="8">
        <v>1026601</v>
      </c>
      <c r="T1386" s="8">
        <v>1026701</v>
      </c>
      <c r="U1386" s="8">
        <v>1026801</v>
      </c>
      <c r="V1386" s="8">
        <v>1026901</v>
      </c>
    </row>
    <row r="1387" spans="1:22">
      <c r="A1387" s="14" t="s">
        <v>14</v>
      </c>
      <c r="B1387" s="8">
        <f t="shared" si="62"/>
        <v>70266305</v>
      </c>
      <c r="C1387" s="2" t="s">
        <v>1421</v>
      </c>
      <c r="E1387" s="2" t="s">
        <v>1422</v>
      </c>
      <c r="F1387" s="2">
        <v>26</v>
      </c>
      <c r="G1387" s="2" t="s">
        <v>37</v>
      </c>
      <c r="H1387" s="2">
        <v>6</v>
      </c>
      <c r="I1387" s="2">
        <v>3</v>
      </c>
      <c r="J1387" s="2">
        <f>COUNTIFS($F$13:F1387,F1387,$I$13:I1387,I1387)</f>
        <v>5</v>
      </c>
      <c r="O1387" s="8">
        <v>1026201</v>
      </c>
      <c r="P1387" s="8">
        <v>1026301</v>
      </c>
      <c r="Q1387" s="8">
        <v>1026401</v>
      </c>
      <c r="R1387" s="8">
        <v>1026501</v>
      </c>
      <c r="S1387" s="8">
        <v>1026601</v>
      </c>
      <c r="T1387" s="8">
        <v>1026701</v>
      </c>
      <c r="U1387" s="8">
        <v>1026801</v>
      </c>
      <c r="V1387" s="8">
        <v>1026901</v>
      </c>
    </row>
    <row r="1388" spans="1:22">
      <c r="A1388" s="14" t="s">
        <v>14</v>
      </c>
      <c r="B1388" s="8">
        <f t="shared" si="62"/>
        <v>70268306</v>
      </c>
      <c r="C1388" s="2" t="s">
        <v>1423</v>
      </c>
      <c r="E1388" s="2" t="s">
        <v>1424</v>
      </c>
      <c r="F1388" s="2">
        <v>26</v>
      </c>
      <c r="G1388" s="2" t="s">
        <v>37</v>
      </c>
      <c r="H1388" s="2">
        <v>8</v>
      </c>
      <c r="I1388" s="2">
        <v>3</v>
      </c>
      <c r="J1388" s="2">
        <f>COUNTIFS($F$13:F1388,F1388,$I$13:I1388,I1388)</f>
        <v>6</v>
      </c>
      <c r="O1388" s="8">
        <v>1026201</v>
      </c>
      <c r="P1388" s="8">
        <v>1026301</v>
      </c>
      <c r="Q1388" s="8">
        <v>1026401</v>
      </c>
      <c r="R1388" s="8">
        <v>1026501</v>
      </c>
      <c r="S1388" s="8">
        <v>1026601</v>
      </c>
      <c r="T1388" s="8">
        <v>1026701</v>
      </c>
      <c r="U1388" s="8">
        <v>1026801</v>
      </c>
      <c r="V1388" s="8">
        <v>1026901</v>
      </c>
    </row>
    <row r="1389" spans="1:22">
      <c r="A1389" s="14" t="s">
        <v>14</v>
      </c>
      <c r="B1389" s="8">
        <f t="shared" si="62"/>
        <v>70268307</v>
      </c>
      <c r="C1389" s="2" t="s">
        <v>1425</v>
      </c>
      <c r="E1389" s="2" t="s">
        <v>1426</v>
      </c>
      <c r="F1389" s="2">
        <v>26</v>
      </c>
      <c r="G1389" s="2" t="s">
        <v>37</v>
      </c>
      <c r="H1389" s="2">
        <v>8</v>
      </c>
      <c r="I1389" s="2">
        <v>3</v>
      </c>
      <c r="J1389" s="2">
        <f>COUNTIFS($F$13:F1389,F1389,$I$13:I1389,I1389)</f>
        <v>7</v>
      </c>
      <c r="O1389" s="8">
        <v>1026201</v>
      </c>
      <c r="P1389" s="8">
        <v>1026301</v>
      </c>
      <c r="Q1389" s="8">
        <v>1026401</v>
      </c>
      <c r="R1389" s="8">
        <v>1026501</v>
      </c>
      <c r="S1389" s="8">
        <v>1026601</v>
      </c>
      <c r="T1389" s="8">
        <v>1026701</v>
      </c>
      <c r="U1389" s="8">
        <v>1026801</v>
      </c>
      <c r="V1389" s="8">
        <v>1026901</v>
      </c>
    </row>
    <row r="1390" spans="1:22">
      <c r="A1390" s="14" t="s">
        <v>14</v>
      </c>
      <c r="B1390" s="8">
        <f t="shared" si="62"/>
        <v>70264308</v>
      </c>
      <c r="C1390" s="2" t="s">
        <v>1427</v>
      </c>
      <c r="E1390" s="2" t="s">
        <v>1428</v>
      </c>
      <c r="F1390" s="2">
        <v>26</v>
      </c>
      <c r="G1390" s="2" t="s">
        <v>37</v>
      </c>
      <c r="H1390" s="2">
        <v>4</v>
      </c>
      <c r="I1390" s="2">
        <v>3</v>
      </c>
      <c r="J1390" s="2">
        <f>COUNTIFS($F$13:F1390,F1390,$I$13:I1390,I1390)</f>
        <v>8</v>
      </c>
      <c r="O1390" s="8">
        <v>1026601</v>
      </c>
      <c r="P1390" s="8">
        <v>1026701</v>
      </c>
      <c r="Q1390" s="8">
        <v>1026801</v>
      </c>
      <c r="R1390" s="8">
        <v>1026901</v>
      </c>
    </row>
    <row r="1391" spans="1:22">
      <c r="A1391" s="14" t="s">
        <v>14</v>
      </c>
      <c r="B1391" s="8">
        <f t="shared" si="62"/>
        <v>70268309</v>
      </c>
      <c r="C1391" s="2" t="s">
        <v>1429</v>
      </c>
      <c r="E1391" s="2" t="s">
        <v>1430</v>
      </c>
      <c r="F1391" s="2">
        <v>26</v>
      </c>
      <c r="G1391" s="2" t="s">
        <v>37</v>
      </c>
      <c r="H1391" s="2">
        <v>8</v>
      </c>
      <c r="I1391" s="2">
        <v>3</v>
      </c>
      <c r="J1391" s="2">
        <f>COUNTIFS($F$13:F1391,F1391,$I$13:I1391,I1391)</f>
        <v>9</v>
      </c>
      <c r="O1391" s="8">
        <v>1026201</v>
      </c>
      <c r="P1391" s="8">
        <v>1026301</v>
      </c>
      <c r="Q1391" s="8">
        <v>1026401</v>
      </c>
      <c r="R1391" s="8">
        <v>1026501</v>
      </c>
      <c r="S1391" s="8">
        <v>1026601</v>
      </c>
      <c r="T1391" s="8">
        <v>1026701</v>
      </c>
      <c r="U1391" s="8">
        <v>1026801</v>
      </c>
      <c r="V1391" s="8">
        <v>1026901</v>
      </c>
    </row>
    <row r="1392" spans="1:22">
      <c r="A1392" s="14" t="s">
        <v>14</v>
      </c>
      <c r="B1392" s="8">
        <f t="shared" si="62"/>
        <v>70265401</v>
      </c>
      <c r="C1392" s="2" t="s">
        <v>1431</v>
      </c>
      <c r="E1392" s="2" t="s">
        <v>1432</v>
      </c>
      <c r="F1392" s="2">
        <v>26</v>
      </c>
      <c r="G1392" s="2" t="s">
        <v>37</v>
      </c>
      <c r="H1392" s="2">
        <v>5</v>
      </c>
      <c r="I1392" s="2">
        <v>4</v>
      </c>
      <c r="J1392" s="2">
        <f>COUNTIFS($F$13:F1392,F1392,$I$13:I1392,I1392)</f>
        <v>1</v>
      </c>
      <c r="O1392" s="8">
        <v>1026501</v>
      </c>
      <c r="P1392" s="8">
        <v>1026601</v>
      </c>
      <c r="Q1392" s="8">
        <v>1026701</v>
      </c>
      <c r="R1392" s="8">
        <v>1026801</v>
      </c>
      <c r="S1392" s="8">
        <v>1026901</v>
      </c>
    </row>
    <row r="1393" spans="1:22">
      <c r="A1393" s="14" t="s">
        <v>14</v>
      </c>
      <c r="B1393" s="8">
        <f t="shared" si="62"/>
        <v>70264402</v>
      </c>
      <c r="C1393" s="2" t="s">
        <v>1433</v>
      </c>
      <c r="E1393" s="2" t="s">
        <v>1434</v>
      </c>
      <c r="F1393" s="2">
        <v>26</v>
      </c>
      <c r="G1393" s="2" t="s">
        <v>37</v>
      </c>
      <c r="H1393" s="2">
        <v>4</v>
      </c>
      <c r="I1393" s="2">
        <v>4</v>
      </c>
      <c r="J1393" s="2">
        <f>COUNTIFS($F$13:F1393,F1393,$I$13:I1393,I1393)</f>
        <v>2</v>
      </c>
      <c r="O1393" s="8">
        <v>1026601</v>
      </c>
      <c r="P1393" s="8">
        <v>1026701</v>
      </c>
      <c r="Q1393" s="8">
        <v>1026801</v>
      </c>
      <c r="R1393" s="8">
        <v>1026901</v>
      </c>
    </row>
    <row r="1394" spans="1:22">
      <c r="A1394" s="14" t="s">
        <v>14</v>
      </c>
      <c r="B1394" s="8">
        <f t="shared" si="62"/>
        <v>70262403</v>
      </c>
      <c r="C1394" s="2" t="s">
        <v>1435</v>
      </c>
      <c r="E1394" s="2" t="s">
        <v>1436</v>
      </c>
      <c r="F1394" s="2">
        <v>26</v>
      </c>
      <c r="G1394" s="2" t="s">
        <v>37</v>
      </c>
      <c r="H1394" s="2">
        <v>2</v>
      </c>
      <c r="I1394" s="2">
        <v>4</v>
      </c>
      <c r="J1394" s="2">
        <f>COUNTIFS($F$13:F1394,F1394,$I$13:I1394,I1394)</f>
        <v>3</v>
      </c>
      <c r="O1394" s="8">
        <v>1026801</v>
      </c>
      <c r="P1394" s="8">
        <v>1026901</v>
      </c>
    </row>
    <row r="1395" spans="1:22">
      <c r="A1395" s="14" t="s">
        <v>14</v>
      </c>
      <c r="B1395" s="8">
        <f t="shared" si="62"/>
        <v>70261404</v>
      </c>
      <c r="C1395" s="15" t="s">
        <v>1380</v>
      </c>
      <c r="E1395" s="2" t="s">
        <v>1437</v>
      </c>
      <c r="F1395" s="2">
        <v>26</v>
      </c>
      <c r="G1395" s="2" t="s">
        <v>53</v>
      </c>
      <c r="H1395" s="2">
        <v>1</v>
      </c>
      <c r="I1395" s="2">
        <v>4</v>
      </c>
      <c r="J1395" s="2">
        <f>COUNTIFS($F$13:F1395,F1395,$I$13:I1395,I1395)</f>
        <v>4</v>
      </c>
      <c r="L1395" s="2">
        <v>1</v>
      </c>
    </row>
    <row r="1396" spans="1:22">
      <c r="A1396" s="14" t="s">
        <v>14</v>
      </c>
      <c r="B1396" s="8">
        <f t="shared" si="62"/>
        <v>70263405</v>
      </c>
      <c r="C1396" s="16" t="s">
        <v>1438</v>
      </c>
      <c r="D1396" s="2" t="s">
        <v>1439</v>
      </c>
      <c r="E1396" s="2" t="s">
        <v>1440</v>
      </c>
      <c r="F1396" s="2">
        <v>26</v>
      </c>
      <c r="G1396" s="2" t="s">
        <v>53</v>
      </c>
      <c r="H1396" s="2">
        <v>3</v>
      </c>
      <c r="I1396" s="2">
        <v>4</v>
      </c>
      <c r="J1396" s="2">
        <f>COUNTIFS($F$13:F1396,F1396,$I$13:I1396,I1396)</f>
        <v>5</v>
      </c>
      <c r="M1396" s="2">
        <v>152</v>
      </c>
    </row>
    <row r="1397" spans="1:22">
      <c r="A1397" s="14" t="s">
        <v>14</v>
      </c>
      <c r="B1397" s="8">
        <f t="shared" si="62"/>
        <v>70264406</v>
      </c>
      <c r="C1397" s="2" t="s">
        <v>1441</v>
      </c>
      <c r="E1397" s="2" t="s">
        <v>1442</v>
      </c>
      <c r="F1397" s="2">
        <v>26</v>
      </c>
      <c r="G1397" s="2" t="s">
        <v>37</v>
      </c>
      <c r="H1397" s="2">
        <v>4</v>
      </c>
      <c r="I1397" s="2">
        <v>4</v>
      </c>
      <c r="J1397" s="2">
        <f>COUNTIFS($F$13:F1397,F1397,$I$13:I1397,I1397)</f>
        <v>6</v>
      </c>
      <c r="O1397" s="8">
        <v>1026501</v>
      </c>
      <c r="P1397" s="8">
        <v>1026601</v>
      </c>
      <c r="Q1397" s="8">
        <v>1026701</v>
      </c>
      <c r="R1397" s="8">
        <v>1026801</v>
      </c>
    </row>
    <row r="1398" spans="1:22">
      <c r="A1398" s="14" t="s">
        <v>14</v>
      </c>
      <c r="B1398" s="8">
        <f t="shared" si="62"/>
        <v>70265407</v>
      </c>
      <c r="C1398" s="2" t="s">
        <v>1443</v>
      </c>
      <c r="E1398" s="2" t="s">
        <v>1444</v>
      </c>
      <c r="F1398" s="2">
        <v>26</v>
      </c>
      <c r="G1398" s="2" t="s">
        <v>37</v>
      </c>
      <c r="H1398" s="2">
        <v>5</v>
      </c>
      <c r="I1398" s="2">
        <v>4</v>
      </c>
      <c r="J1398" s="2">
        <f>COUNTIFS($F$13:F1398,F1398,$I$13:I1398,I1398)</f>
        <v>7</v>
      </c>
      <c r="O1398" s="8">
        <v>1026501</v>
      </c>
      <c r="P1398" s="8">
        <v>1026601</v>
      </c>
      <c r="Q1398" s="8">
        <v>1026701</v>
      </c>
      <c r="R1398" s="8">
        <v>1026801</v>
      </c>
    </row>
    <row r="1399" spans="1:22">
      <c r="A1399" s="14" t="s">
        <v>14</v>
      </c>
      <c r="B1399" s="8">
        <f t="shared" si="62"/>
        <v>70260001</v>
      </c>
      <c r="C1399" s="18" t="s">
        <v>1445</v>
      </c>
      <c r="E1399" s="2" t="s">
        <v>1446</v>
      </c>
      <c r="F1399" s="2">
        <v>26</v>
      </c>
      <c r="G1399" s="2" t="s">
        <v>86</v>
      </c>
      <c r="H1399" s="2">
        <v>0</v>
      </c>
      <c r="I1399" s="2">
        <v>0</v>
      </c>
      <c r="J1399" s="2">
        <f>COUNTIFS($F$13:F1399,F1399,$I$13:I1399,I1399)</f>
        <v>1</v>
      </c>
      <c r="K1399" s="2">
        <v>1</v>
      </c>
    </row>
    <row r="1400" spans="1:22">
      <c r="A1400" s="14" t="s">
        <v>14</v>
      </c>
      <c r="B1400" s="8">
        <f t="shared" ref="B1400:B1430" si="63">70000000+F1400*10000+H1400*1000+I1400*100+J1400</f>
        <v>70276101</v>
      </c>
      <c r="C1400" s="2" t="s">
        <v>1447</v>
      </c>
      <c r="E1400" s="2" t="s">
        <v>1448</v>
      </c>
      <c r="F1400" s="2">
        <v>27</v>
      </c>
      <c r="G1400" s="2" t="s">
        <v>37</v>
      </c>
      <c r="H1400" s="2">
        <v>6</v>
      </c>
      <c r="I1400" s="2">
        <v>1</v>
      </c>
      <c r="J1400" s="2">
        <f>COUNTIFS($F$13:F1400,F1400,$I$13:I1400,I1400)</f>
        <v>1</v>
      </c>
      <c r="O1400" s="8">
        <v>1027201</v>
      </c>
      <c r="P1400" s="8">
        <v>1027301</v>
      </c>
      <c r="Q1400" s="8">
        <v>1027401</v>
      </c>
      <c r="R1400" s="8">
        <v>1027501</v>
      </c>
      <c r="S1400" s="8">
        <v>1027601</v>
      </c>
      <c r="T1400" s="8">
        <v>1027701</v>
      </c>
      <c r="U1400" s="8">
        <v>1027801</v>
      </c>
      <c r="V1400" s="8">
        <v>1027001</v>
      </c>
    </row>
    <row r="1401" spans="1:22">
      <c r="A1401" s="14" t="s">
        <v>14</v>
      </c>
      <c r="B1401" s="8">
        <f t="shared" si="63"/>
        <v>70276102</v>
      </c>
      <c r="C1401" s="2" t="s">
        <v>1449</v>
      </c>
      <c r="E1401" s="2" t="s">
        <v>1450</v>
      </c>
      <c r="F1401" s="2">
        <v>27</v>
      </c>
      <c r="G1401" s="2" t="s">
        <v>37</v>
      </c>
      <c r="H1401" s="2">
        <v>6</v>
      </c>
      <c r="I1401" s="2">
        <v>1</v>
      </c>
      <c r="J1401" s="2">
        <f>COUNTIFS($F$13:F1401,F1401,$I$13:I1401,I1401)</f>
        <v>2</v>
      </c>
      <c r="O1401" s="8">
        <v>1027201</v>
      </c>
      <c r="P1401" s="8">
        <v>1027301</v>
      </c>
      <c r="Q1401" s="8">
        <v>1027401</v>
      </c>
      <c r="R1401" s="8">
        <v>1027501</v>
      </c>
      <c r="S1401" s="8">
        <v>1027601</v>
      </c>
      <c r="T1401" s="8">
        <v>1027701</v>
      </c>
      <c r="U1401" s="8">
        <v>1027801</v>
      </c>
      <c r="V1401" s="8">
        <v>1027002</v>
      </c>
    </row>
    <row r="1402" spans="1:22">
      <c r="A1402" s="14" t="s">
        <v>14</v>
      </c>
      <c r="B1402" s="8">
        <f t="shared" si="63"/>
        <v>70271103</v>
      </c>
      <c r="C1402" s="2" t="s">
        <v>1451</v>
      </c>
      <c r="E1402" s="2" t="s">
        <v>1452</v>
      </c>
      <c r="F1402" s="2">
        <v>27</v>
      </c>
      <c r="G1402" s="2" t="s">
        <v>37</v>
      </c>
      <c r="H1402" s="2">
        <v>1</v>
      </c>
      <c r="I1402" s="2">
        <v>1</v>
      </c>
      <c r="J1402" s="2">
        <f>COUNTIFS($F$13:F1402,F1402,$I$13:I1402,I1402)</f>
        <v>3</v>
      </c>
      <c r="O1402" s="8">
        <v>1027801</v>
      </c>
    </row>
    <row r="1403" spans="1:22">
      <c r="A1403" s="14" t="s">
        <v>14</v>
      </c>
      <c r="B1403" s="8">
        <f t="shared" si="63"/>
        <v>70271104</v>
      </c>
      <c r="C1403" s="2" t="s">
        <v>1453</v>
      </c>
      <c r="E1403" s="2" t="s">
        <v>1454</v>
      </c>
      <c r="F1403" s="2">
        <v>27</v>
      </c>
      <c r="G1403" s="2" t="s">
        <v>37</v>
      </c>
      <c r="H1403" s="2">
        <v>1</v>
      </c>
      <c r="I1403" s="2">
        <v>1</v>
      </c>
      <c r="J1403" s="2">
        <f>COUNTIFS($F$13:F1403,F1403,$I$13:I1403,I1403)</f>
        <v>4</v>
      </c>
      <c r="O1403" s="8">
        <v>1027801</v>
      </c>
    </row>
    <row r="1404" spans="1:22">
      <c r="A1404" s="14" t="s">
        <v>14</v>
      </c>
      <c r="B1404" s="8">
        <f t="shared" si="63"/>
        <v>70273105</v>
      </c>
      <c r="C1404" s="2" t="s">
        <v>1455</v>
      </c>
      <c r="E1404" s="2" t="s">
        <v>1456</v>
      </c>
      <c r="F1404" s="2">
        <v>27</v>
      </c>
      <c r="G1404" s="2" t="s">
        <v>37</v>
      </c>
      <c r="H1404" s="2">
        <v>3</v>
      </c>
      <c r="I1404" s="2">
        <v>1</v>
      </c>
      <c r="J1404" s="2">
        <f>COUNTIFS($F$13:F1404,F1404,$I$13:I1404,I1404)</f>
        <v>5</v>
      </c>
      <c r="O1404" s="8">
        <v>1027601</v>
      </c>
      <c r="P1404" s="8">
        <v>1027701</v>
      </c>
      <c r="Q1404" s="8">
        <v>1027801</v>
      </c>
    </row>
    <row r="1405" spans="1:22">
      <c r="A1405" s="14" t="s">
        <v>14</v>
      </c>
      <c r="B1405" s="8">
        <f t="shared" si="63"/>
        <v>70276106</v>
      </c>
      <c r="C1405" s="2" t="s">
        <v>1457</v>
      </c>
      <c r="E1405" s="2" t="s">
        <v>1458</v>
      </c>
      <c r="F1405" s="2">
        <v>27</v>
      </c>
      <c r="G1405" s="2" t="s">
        <v>37</v>
      </c>
      <c r="H1405" s="2">
        <v>6</v>
      </c>
      <c r="I1405" s="2">
        <v>1</v>
      </c>
      <c r="J1405" s="2">
        <f>COUNTIFS($F$13:F1405,F1405,$I$13:I1405,I1405)</f>
        <v>6</v>
      </c>
      <c r="O1405" s="8">
        <v>1027201</v>
      </c>
      <c r="P1405" s="8">
        <v>1027301</v>
      </c>
      <c r="Q1405" s="8">
        <v>1027401</v>
      </c>
      <c r="R1405" s="8">
        <v>1027501</v>
      </c>
      <c r="S1405" s="8">
        <v>1027601</v>
      </c>
      <c r="T1405" s="8">
        <v>1027701</v>
      </c>
      <c r="U1405" s="8">
        <v>1027801</v>
      </c>
      <c r="V1405" s="8">
        <v>1027003</v>
      </c>
    </row>
    <row r="1406" spans="1:22">
      <c r="A1406" s="14" t="s">
        <v>14</v>
      </c>
      <c r="B1406" s="8">
        <f t="shared" si="63"/>
        <v>70276107</v>
      </c>
      <c r="C1406" s="2" t="s">
        <v>1459</v>
      </c>
      <c r="E1406" s="2" t="s">
        <v>1460</v>
      </c>
      <c r="F1406" s="2">
        <v>27</v>
      </c>
      <c r="G1406" s="2" t="s">
        <v>37</v>
      </c>
      <c r="H1406" s="2">
        <v>6</v>
      </c>
      <c r="I1406" s="2">
        <v>1</v>
      </c>
      <c r="J1406" s="2">
        <f>COUNTIFS($F$13:F1406,F1406,$I$13:I1406,I1406)</f>
        <v>7</v>
      </c>
      <c r="O1406" s="8">
        <v>1027201</v>
      </c>
      <c r="P1406" s="8">
        <v>1027301</v>
      </c>
      <c r="Q1406" s="8">
        <v>1027401</v>
      </c>
      <c r="R1406" s="8">
        <v>1027501</v>
      </c>
      <c r="S1406" s="8">
        <v>1027601</v>
      </c>
      <c r="T1406" s="8">
        <v>1027701</v>
      </c>
      <c r="U1406" s="8">
        <v>1027801</v>
      </c>
      <c r="V1406" s="8">
        <v>1027101</v>
      </c>
    </row>
    <row r="1407" spans="1:22">
      <c r="A1407" s="14" t="s">
        <v>14</v>
      </c>
      <c r="B1407" s="8">
        <f t="shared" si="63"/>
        <v>70278201</v>
      </c>
      <c r="C1407" s="2" t="s">
        <v>1461</v>
      </c>
      <c r="E1407" s="2" t="s">
        <v>1462</v>
      </c>
      <c r="F1407" s="2">
        <v>27</v>
      </c>
      <c r="G1407" s="2" t="s">
        <v>37</v>
      </c>
      <c r="H1407" s="2">
        <v>8</v>
      </c>
      <c r="I1407" s="2">
        <v>2</v>
      </c>
      <c r="J1407" s="2">
        <f>COUNTIFS($F$13:F1407,F1407,$I$13:I1407,I1407)</f>
        <v>1</v>
      </c>
      <c r="O1407" s="8">
        <v>1027201</v>
      </c>
      <c r="P1407" s="8">
        <v>1027301</v>
      </c>
      <c r="Q1407" s="8">
        <v>1027401</v>
      </c>
      <c r="R1407" s="8">
        <v>1027501</v>
      </c>
      <c r="S1407" s="8">
        <v>1027601</v>
      </c>
      <c r="T1407" s="8">
        <v>1027701</v>
      </c>
      <c r="U1407" s="8">
        <v>1027801</v>
      </c>
      <c r="V1407" s="8">
        <v>1027102</v>
      </c>
    </row>
    <row r="1408" spans="1:22">
      <c r="A1408" s="14" t="s">
        <v>14</v>
      </c>
      <c r="B1408" s="8">
        <f t="shared" si="63"/>
        <v>70278202</v>
      </c>
      <c r="C1408" s="2" t="s">
        <v>1463</v>
      </c>
      <c r="E1408" s="2" t="s">
        <v>1464</v>
      </c>
      <c r="F1408" s="2">
        <v>27</v>
      </c>
      <c r="G1408" s="2" t="s">
        <v>37</v>
      </c>
      <c r="H1408" s="2">
        <v>8</v>
      </c>
      <c r="I1408" s="2">
        <v>2</v>
      </c>
      <c r="J1408" s="2">
        <f>COUNTIFS($F$13:F1408,F1408,$I$13:I1408,I1408)</f>
        <v>2</v>
      </c>
      <c r="O1408" s="8">
        <v>1027201</v>
      </c>
      <c r="P1408" s="8">
        <v>1027301</v>
      </c>
      <c r="Q1408" s="8">
        <v>1027401</v>
      </c>
      <c r="R1408" s="8">
        <v>1027501</v>
      </c>
      <c r="S1408" s="8">
        <v>1027601</v>
      </c>
      <c r="T1408" s="8">
        <v>1027701</v>
      </c>
      <c r="U1408" s="8">
        <v>1027801</v>
      </c>
      <c r="V1408" s="8">
        <v>1027103</v>
      </c>
    </row>
    <row r="1409" spans="1:21">
      <c r="A1409" s="14" t="s">
        <v>14</v>
      </c>
      <c r="B1409" s="8">
        <f t="shared" si="63"/>
        <v>70278203</v>
      </c>
      <c r="C1409" s="2" t="s">
        <v>1465</v>
      </c>
      <c r="E1409" s="2" t="s">
        <v>1466</v>
      </c>
      <c r="F1409" s="2">
        <v>27</v>
      </c>
      <c r="G1409" s="2" t="s">
        <v>37</v>
      </c>
      <c r="H1409" s="2">
        <v>8</v>
      </c>
      <c r="I1409" s="2">
        <v>2</v>
      </c>
      <c r="J1409" s="2">
        <f>COUNTIFS($F$13:F1409,F1409,$I$13:I1409,I1409)</f>
        <v>3</v>
      </c>
      <c r="O1409" s="8">
        <v>1027201</v>
      </c>
      <c r="P1409" s="8">
        <v>1027301</v>
      </c>
      <c r="Q1409" s="8">
        <v>1027401</v>
      </c>
      <c r="R1409" s="8">
        <v>1027501</v>
      </c>
      <c r="S1409" s="8">
        <v>1027601</v>
      </c>
      <c r="T1409" s="8">
        <v>1027701</v>
      </c>
      <c r="U1409" s="8">
        <v>1027801</v>
      </c>
    </row>
    <row r="1410" spans="1:21">
      <c r="A1410" s="14" t="s">
        <v>14</v>
      </c>
      <c r="B1410" s="8">
        <f t="shared" si="63"/>
        <v>70278204</v>
      </c>
      <c r="C1410" s="2" t="s">
        <v>1467</v>
      </c>
      <c r="E1410" s="2" t="s">
        <v>1468</v>
      </c>
      <c r="F1410" s="2">
        <v>27</v>
      </c>
      <c r="G1410" s="2" t="s">
        <v>37</v>
      </c>
      <c r="H1410" s="2">
        <v>8</v>
      </c>
      <c r="I1410" s="2">
        <v>2</v>
      </c>
      <c r="J1410" s="2">
        <f>COUNTIFS($F$13:F1410,F1410,$I$13:I1410,I1410)</f>
        <v>4</v>
      </c>
      <c r="O1410" s="8">
        <v>1027201</v>
      </c>
      <c r="P1410" s="8">
        <v>1027301</v>
      </c>
      <c r="Q1410" s="8">
        <v>1027401</v>
      </c>
      <c r="R1410" s="8">
        <v>1027501</v>
      </c>
      <c r="S1410" s="8">
        <v>1027601</v>
      </c>
      <c r="T1410" s="8">
        <v>1027701</v>
      </c>
      <c r="U1410" s="8">
        <v>1027801</v>
      </c>
    </row>
    <row r="1411" spans="1:21">
      <c r="A1411" s="14" t="s">
        <v>14</v>
      </c>
      <c r="B1411" s="8">
        <f t="shared" si="63"/>
        <v>70278205</v>
      </c>
      <c r="C1411" s="2" t="s">
        <v>1469</v>
      </c>
      <c r="E1411" s="2" t="s">
        <v>1470</v>
      </c>
      <c r="F1411" s="2">
        <v>27</v>
      </c>
      <c r="G1411" s="2" t="s">
        <v>37</v>
      </c>
      <c r="H1411" s="2">
        <v>8</v>
      </c>
      <c r="I1411" s="2">
        <v>2</v>
      </c>
      <c r="J1411" s="2">
        <f>COUNTIFS($F$13:F1411,F1411,$I$13:I1411,I1411)</f>
        <v>5</v>
      </c>
      <c r="O1411" s="8">
        <v>1027201</v>
      </c>
      <c r="P1411" s="8">
        <v>1027301</v>
      </c>
      <c r="Q1411" s="8">
        <v>1027401</v>
      </c>
      <c r="R1411" s="8">
        <v>1027501</v>
      </c>
      <c r="S1411" s="8">
        <v>1027601</v>
      </c>
      <c r="T1411" s="8">
        <v>1027701</v>
      </c>
      <c r="U1411" s="8">
        <v>1027801</v>
      </c>
    </row>
    <row r="1412" spans="1:21">
      <c r="A1412" s="14" t="s">
        <v>14</v>
      </c>
      <c r="B1412" s="8">
        <f t="shared" si="63"/>
        <v>70278206</v>
      </c>
      <c r="C1412" s="2" t="s">
        <v>1471</v>
      </c>
      <c r="E1412" s="2" t="s">
        <v>1472</v>
      </c>
      <c r="F1412" s="2">
        <v>27</v>
      </c>
      <c r="G1412" s="2" t="s">
        <v>37</v>
      </c>
      <c r="H1412" s="2">
        <v>8</v>
      </c>
      <c r="I1412" s="2">
        <v>2</v>
      </c>
      <c r="J1412" s="2">
        <f>COUNTIFS($F$13:F1412,F1412,$I$13:I1412,I1412)</f>
        <v>6</v>
      </c>
      <c r="O1412" s="8">
        <v>1027201</v>
      </c>
      <c r="P1412" s="8">
        <v>1027301</v>
      </c>
      <c r="Q1412" s="8">
        <v>1027401</v>
      </c>
      <c r="R1412" s="8">
        <v>1027501</v>
      </c>
      <c r="S1412" s="8">
        <v>1027601</v>
      </c>
      <c r="T1412" s="8">
        <v>1027701</v>
      </c>
      <c r="U1412" s="8">
        <v>1027801</v>
      </c>
    </row>
    <row r="1413" spans="1:21">
      <c r="A1413" s="14" t="s">
        <v>14</v>
      </c>
      <c r="B1413" s="8">
        <f t="shared" si="63"/>
        <v>70275207</v>
      </c>
      <c r="C1413" s="2" t="s">
        <v>1473</v>
      </c>
      <c r="E1413" s="2" t="s">
        <v>1474</v>
      </c>
      <c r="F1413" s="2">
        <v>27</v>
      </c>
      <c r="G1413" s="2" t="s">
        <v>37</v>
      </c>
      <c r="H1413" s="2">
        <v>5</v>
      </c>
      <c r="I1413" s="2">
        <v>2</v>
      </c>
      <c r="J1413" s="2">
        <f>COUNTIFS($F$13:F1413,F1413,$I$13:I1413,I1413)</f>
        <v>7</v>
      </c>
      <c r="O1413" s="8">
        <v>1027201</v>
      </c>
      <c r="P1413" s="8">
        <v>1027301</v>
      </c>
      <c r="Q1413" s="8">
        <v>1027401</v>
      </c>
      <c r="R1413" s="8">
        <v>1027501</v>
      </c>
      <c r="S1413" s="8">
        <v>1027601</v>
      </c>
    </row>
    <row r="1414" spans="1:21">
      <c r="A1414" s="14" t="s">
        <v>14</v>
      </c>
      <c r="B1414" s="8">
        <f t="shared" si="63"/>
        <v>70278301</v>
      </c>
      <c r="C1414" s="2" t="s">
        <v>1475</v>
      </c>
      <c r="E1414" s="2" t="s">
        <v>1476</v>
      </c>
      <c r="F1414" s="2">
        <v>27</v>
      </c>
      <c r="G1414" s="2" t="s">
        <v>37</v>
      </c>
      <c r="H1414" s="2">
        <v>8</v>
      </c>
      <c r="I1414" s="2">
        <v>3</v>
      </c>
      <c r="J1414" s="2">
        <f>COUNTIFS($F$13:F1414,F1414,$I$13:I1414,I1414)</f>
        <v>1</v>
      </c>
      <c r="O1414" s="8">
        <v>1027201</v>
      </c>
      <c r="P1414" s="8">
        <v>1027301</v>
      </c>
      <c r="Q1414" s="8">
        <v>1027401</v>
      </c>
      <c r="R1414" s="8">
        <v>1027501</v>
      </c>
      <c r="S1414" s="8">
        <v>1027601</v>
      </c>
      <c r="T1414" s="8">
        <v>1027701</v>
      </c>
      <c r="U1414" s="8">
        <v>1027801</v>
      </c>
    </row>
    <row r="1415" spans="1:21">
      <c r="A1415" s="14" t="s">
        <v>14</v>
      </c>
      <c r="B1415" s="8">
        <f t="shared" si="63"/>
        <v>70278302</v>
      </c>
      <c r="C1415" s="2" t="s">
        <v>1477</v>
      </c>
      <c r="E1415" s="2" t="s">
        <v>1478</v>
      </c>
      <c r="F1415" s="2">
        <v>27</v>
      </c>
      <c r="G1415" s="2" t="s">
        <v>37</v>
      </c>
      <c r="H1415" s="2">
        <v>8</v>
      </c>
      <c r="I1415" s="2">
        <v>3</v>
      </c>
      <c r="J1415" s="2">
        <f>COUNTIFS($F$13:F1415,F1415,$I$13:I1415,I1415)</f>
        <v>2</v>
      </c>
      <c r="O1415" s="8">
        <v>1027201</v>
      </c>
      <c r="P1415" s="8">
        <v>1027301</v>
      </c>
      <c r="Q1415" s="8">
        <v>1027401</v>
      </c>
      <c r="R1415" s="8">
        <v>1027501</v>
      </c>
      <c r="S1415" s="8">
        <v>1027601</v>
      </c>
      <c r="T1415" s="8">
        <v>1027701</v>
      </c>
      <c r="U1415" s="8">
        <v>1027801</v>
      </c>
    </row>
    <row r="1416" spans="1:21">
      <c r="A1416" s="14" t="s">
        <v>14</v>
      </c>
      <c r="B1416" s="8">
        <f t="shared" si="63"/>
        <v>70278303</v>
      </c>
      <c r="C1416" s="2" t="s">
        <v>1479</v>
      </c>
      <c r="E1416" s="2" t="s">
        <v>1480</v>
      </c>
      <c r="F1416" s="2">
        <v>27</v>
      </c>
      <c r="G1416" s="2" t="s">
        <v>37</v>
      </c>
      <c r="H1416" s="2">
        <v>8</v>
      </c>
      <c r="I1416" s="2">
        <v>3</v>
      </c>
      <c r="J1416" s="2">
        <f>COUNTIFS($F$13:F1416,F1416,$I$13:I1416,I1416)</f>
        <v>3</v>
      </c>
      <c r="O1416" s="8">
        <v>1027201</v>
      </c>
      <c r="P1416" s="8">
        <v>1027301</v>
      </c>
      <c r="Q1416" s="8">
        <v>1027401</v>
      </c>
      <c r="R1416" s="8">
        <v>1027501</v>
      </c>
      <c r="S1416" s="8">
        <v>1027601</v>
      </c>
      <c r="T1416" s="8">
        <v>1027701</v>
      </c>
      <c r="U1416" s="8">
        <v>1027801</v>
      </c>
    </row>
    <row r="1417" spans="1:21">
      <c r="A1417" s="14" t="s">
        <v>14</v>
      </c>
      <c r="B1417" s="8">
        <f t="shared" si="63"/>
        <v>70278304</v>
      </c>
      <c r="C1417" s="2" t="s">
        <v>1481</v>
      </c>
      <c r="E1417" s="2" t="s">
        <v>1482</v>
      </c>
      <c r="F1417" s="2">
        <v>27</v>
      </c>
      <c r="G1417" s="2" t="s">
        <v>37</v>
      </c>
      <c r="H1417" s="2">
        <v>8</v>
      </c>
      <c r="I1417" s="2">
        <v>3</v>
      </c>
      <c r="J1417" s="2">
        <f>COUNTIFS($F$13:F1417,F1417,$I$13:I1417,I1417)</f>
        <v>4</v>
      </c>
      <c r="O1417" s="8">
        <v>1027201</v>
      </c>
      <c r="P1417" s="8">
        <v>1027301</v>
      </c>
      <c r="Q1417" s="8">
        <v>1027401</v>
      </c>
      <c r="R1417" s="8">
        <v>1027501</v>
      </c>
      <c r="S1417" s="8">
        <v>1027601</v>
      </c>
      <c r="T1417" s="8">
        <v>1027701</v>
      </c>
      <c r="U1417" s="8">
        <v>1027801</v>
      </c>
    </row>
    <row r="1418" spans="1:21">
      <c r="A1418" s="14" t="s">
        <v>14</v>
      </c>
      <c r="B1418" s="8">
        <f t="shared" si="63"/>
        <v>70278305</v>
      </c>
      <c r="C1418" s="2" t="s">
        <v>1483</v>
      </c>
      <c r="E1418" s="2" t="s">
        <v>1484</v>
      </c>
      <c r="F1418" s="2">
        <v>27</v>
      </c>
      <c r="G1418" s="2" t="s">
        <v>37</v>
      </c>
      <c r="H1418" s="2">
        <v>8</v>
      </c>
      <c r="I1418" s="2">
        <v>3</v>
      </c>
      <c r="J1418" s="2">
        <f>COUNTIFS($F$13:F1418,F1418,$I$13:I1418,I1418)</f>
        <v>5</v>
      </c>
      <c r="O1418" s="8">
        <v>1027201</v>
      </c>
      <c r="P1418" s="8">
        <v>1027301</v>
      </c>
      <c r="Q1418" s="8">
        <v>1027401</v>
      </c>
      <c r="R1418" s="8">
        <v>1027501</v>
      </c>
      <c r="S1418" s="8">
        <v>1027601</v>
      </c>
      <c r="T1418" s="8">
        <v>1027701</v>
      </c>
      <c r="U1418" s="8">
        <v>1027801</v>
      </c>
    </row>
    <row r="1419" spans="1:21">
      <c r="A1419" s="14" t="s">
        <v>14</v>
      </c>
      <c r="B1419" s="8">
        <f t="shared" si="63"/>
        <v>70278306</v>
      </c>
      <c r="C1419" s="2" t="s">
        <v>1485</v>
      </c>
      <c r="E1419" s="2" t="s">
        <v>1486</v>
      </c>
      <c r="F1419" s="2">
        <v>27</v>
      </c>
      <c r="G1419" s="2" t="s">
        <v>37</v>
      </c>
      <c r="H1419" s="2">
        <v>8</v>
      </c>
      <c r="I1419" s="2">
        <v>3</v>
      </c>
      <c r="J1419" s="2">
        <f>COUNTIFS($F$13:F1419,F1419,$I$13:I1419,I1419)</f>
        <v>6</v>
      </c>
      <c r="O1419" s="8">
        <v>1027201</v>
      </c>
      <c r="P1419" s="8">
        <v>1027301</v>
      </c>
      <c r="Q1419" s="8">
        <v>1027401</v>
      </c>
      <c r="R1419" s="8">
        <v>1027501</v>
      </c>
      <c r="S1419" s="8">
        <v>1027601</v>
      </c>
      <c r="T1419" s="8">
        <v>1027701</v>
      </c>
      <c r="U1419" s="8">
        <v>1027801</v>
      </c>
    </row>
    <row r="1420" spans="1:21">
      <c r="A1420" s="14" t="s">
        <v>14</v>
      </c>
      <c r="B1420" s="8">
        <f t="shared" si="63"/>
        <v>70275307</v>
      </c>
      <c r="C1420" s="2" t="s">
        <v>1487</v>
      </c>
      <c r="E1420" s="2" t="s">
        <v>1488</v>
      </c>
      <c r="F1420" s="2">
        <v>27</v>
      </c>
      <c r="G1420" s="2" t="s">
        <v>37</v>
      </c>
      <c r="H1420" s="2">
        <v>5</v>
      </c>
      <c r="I1420" s="2">
        <v>3</v>
      </c>
      <c r="J1420" s="2">
        <f>COUNTIFS($F$13:F1420,F1420,$I$13:I1420,I1420)</f>
        <v>7</v>
      </c>
      <c r="O1420" s="8">
        <v>1027201</v>
      </c>
      <c r="P1420" s="8">
        <v>1027301</v>
      </c>
      <c r="Q1420" s="8">
        <v>1027401</v>
      </c>
      <c r="R1420" s="8">
        <v>1027501</v>
      </c>
      <c r="S1420" s="8">
        <v>1027601</v>
      </c>
    </row>
    <row r="1421" spans="1:21">
      <c r="A1421" s="14" t="s">
        <v>14</v>
      </c>
      <c r="B1421" s="8">
        <f t="shared" si="63"/>
        <v>70274401</v>
      </c>
      <c r="C1421" s="2" t="s">
        <v>1489</v>
      </c>
      <c r="E1421" s="2" t="s">
        <v>1490</v>
      </c>
      <c r="F1421" s="2">
        <v>27</v>
      </c>
      <c r="G1421" s="2" t="s">
        <v>37</v>
      </c>
      <c r="H1421" s="2">
        <v>4</v>
      </c>
      <c r="I1421" s="2">
        <v>4</v>
      </c>
      <c r="J1421" s="2">
        <f>COUNTIFS($F$13:F1421,F1421,$I$13:I1421,I1421)</f>
        <v>1</v>
      </c>
      <c r="O1421" s="8">
        <v>1027201</v>
      </c>
      <c r="P1421" s="8">
        <v>1027301</v>
      </c>
      <c r="Q1421" s="8">
        <v>1027401</v>
      </c>
      <c r="R1421" s="8">
        <v>1027501</v>
      </c>
    </row>
    <row r="1422" spans="1:21">
      <c r="A1422" s="14" t="s">
        <v>14</v>
      </c>
      <c r="B1422" s="8">
        <f t="shared" si="63"/>
        <v>70278402</v>
      </c>
      <c r="C1422" s="2" t="s">
        <v>1491</v>
      </c>
      <c r="E1422" s="2" t="s">
        <v>1492</v>
      </c>
      <c r="F1422" s="2">
        <v>27</v>
      </c>
      <c r="G1422" s="2" t="s">
        <v>37</v>
      </c>
      <c r="H1422" s="2">
        <v>8</v>
      </c>
      <c r="I1422" s="2">
        <v>4</v>
      </c>
      <c r="J1422" s="2">
        <f>COUNTIFS($F$13:F1422,F1422,$I$13:I1422,I1422)</f>
        <v>2</v>
      </c>
      <c r="O1422" s="8">
        <v>1027201</v>
      </c>
      <c r="P1422" s="8">
        <v>1027301</v>
      </c>
      <c r="Q1422" s="8">
        <v>1027401</v>
      </c>
      <c r="R1422" s="8">
        <v>1027501</v>
      </c>
      <c r="S1422" s="8">
        <v>1027601</v>
      </c>
      <c r="T1422" s="8">
        <v>1027701</v>
      </c>
      <c r="U1422" s="8">
        <v>1027801</v>
      </c>
    </row>
    <row r="1423" spans="1:21">
      <c r="A1423" s="14" t="s">
        <v>14</v>
      </c>
      <c r="B1423" s="8">
        <f t="shared" si="63"/>
        <v>70275403</v>
      </c>
      <c r="C1423" s="2" t="s">
        <v>1493</v>
      </c>
      <c r="E1423" s="2" t="s">
        <v>1494</v>
      </c>
      <c r="F1423" s="2">
        <v>27</v>
      </c>
      <c r="G1423" s="2" t="s">
        <v>37</v>
      </c>
      <c r="H1423" s="2">
        <v>5</v>
      </c>
      <c r="I1423" s="2">
        <v>4</v>
      </c>
      <c r="J1423" s="2">
        <f>COUNTIFS($F$13:F1423,F1423,$I$13:I1423,I1423)</f>
        <v>3</v>
      </c>
      <c r="O1423" s="8">
        <v>1027201</v>
      </c>
      <c r="P1423" s="8">
        <v>1027301</v>
      </c>
      <c r="Q1423" s="8">
        <v>1027401</v>
      </c>
      <c r="R1423" s="8">
        <v>1027501</v>
      </c>
      <c r="S1423" s="8">
        <v>1027601</v>
      </c>
    </row>
    <row r="1424" spans="1:21">
      <c r="A1424" s="14" t="s">
        <v>14</v>
      </c>
      <c r="B1424" s="8">
        <f t="shared" si="63"/>
        <v>70278404</v>
      </c>
      <c r="C1424" s="2" t="s">
        <v>1495</v>
      </c>
      <c r="E1424" s="2" t="s">
        <v>1496</v>
      </c>
      <c r="F1424" s="2">
        <v>27</v>
      </c>
      <c r="G1424" s="2" t="s">
        <v>37</v>
      </c>
      <c r="H1424" s="2">
        <v>8</v>
      </c>
      <c r="I1424" s="2">
        <v>4</v>
      </c>
      <c r="J1424" s="2">
        <f>COUNTIFS($F$13:F1424,F1424,$I$13:I1424,I1424)</f>
        <v>4</v>
      </c>
      <c r="O1424" s="8">
        <v>1027201</v>
      </c>
      <c r="P1424" s="8">
        <v>1027301</v>
      </c>
      <c r="Q1424" s="8">
        <v>1027401</v>
      </c>
      <c r="R1424" s="8">
        <v>1027501</v>
      </c>
      <c r="S1424" s="8">
        <v>1027601</v>
      </c>
      <c r="T1424" s="8">
        <v>1027701</v>
      </c>
      <c r="U1424" s="8">
        <v>1027801</v>
      </c>
    </row>
    <row r="1425" spans="1:19">
      <c r="A1425" s="14" t="s">
        <v>14</v>
      </c>
      <c r="B1425" s="8">
        <f t="shared" si="63"/>
        <v>70275405</v>
      </c>
      <c r="C1425" s="2" t="s">
        <v>1497</v>
      </c>
      <c r="E1425" s="2" t="s">
        <v>1498</v>
      </c>
      <c r="F1425" s="2">
        <v>27</v>
      </c>
      <c r="G1425" s="2" t="s">
        <v>37</v>
      </c>
      <c r="H1425" s="2">
        <v>5</v>
      </c>
      <c r="I1425" s="2">
        <v>4</v>
      </c>
      <c r="J1425" s="2">
        <f>COUNTIFS($F$13:F1425,F1425,$I$13:I1425,I1425)</f>
        <v>5</v>
      </c>
      <c r="O1425" s="8">
        <v>1027201</v>
      </c>
      <c r="P1425" s="8">
        <v>1027301</v>
      </c>
      <c r="Q1425" s="8">
        <v>1027401</v>
      </c>
      <c r="R1425" s="8">
        <v>1027501</v>
      </c>
      <c r="S1425" s="8">
        <v>1027601</v>
      </c>
    </row>
    <row r="1426" spans="1:19">
      <c r="A1426" s="14" t="s">
        <v>14</v>
      </c>
      <c r="B1426" s="8">
        <f t="shared" si="63"/>
        <v>70274501</v>
      </c>
      <c r="C1426" s="2" t="s">
        <v>1499</v>
      </c>
      <c r="E1426" s="2" t="s">
        <v>1500</v>
      </c>
      <c r="F1426" s="2">
        <v>27</v>
      </c>
      <c r="G1426" s="2" t="s">
        <v>37</v>
      </c>
      <c r="H1426" s="2">
        <v>4</v>
      </c>
      <c r="I1426" s="2">
        <v>5</v>
      </c>
      <c r="J1426" s="2">
        <f>COUNTIFS($F$13:F1426,F1426,$I$13:I1426,I1426)</f>
        <v>1</v>
      </c>
      <c r="O1426" s="8">
        <v>1027201</v>
      </c>
      <c r="P1426" s="8">
        <v>1027301</v>
      </c>
      <c r="Q1426" s="8">
        <v>1027401</v>
      </c>
      <c r="R1426" s="8">
        <v>1027501</v>
      </c>
    </row>
    <row r="1427" spans="1:19">
      <c r="A1427" s="14" t="s">
        <v>14</v>
      </c>
      <c r="B1427" s="8">
        <f t="shared" si="63"/>
        <v>70271502</v>
      </c>
      <c r="C1427" s="15" t="s">
        <v>1387</v>
      </c>
      <c r="E1427" s="2" t="s">
        <v>1501</v>
      </c>
      <c r="F1427" s="2">
        <v>27</v>
      </c>
      <c r="G1427" s="2" t="s">
        <v>53</v>
      </c>
      <c r="H1427" s="2">
        <v>1</v>
      </c>
      <c r="I1427" s="2">
        <v>5</v>
      </c>
      <c r="J1427" s="2">
        <f>COUNTIFS($F$13:F1427,F1427,$I$13:I1427,I1427)</f>
        <v>2</v>
      </c>
      <c r="L1427" s="2">
        <v>1</v>
      </c>
    </row>
    <row r="1428" spans="1:19">
      <c r="A1428" s="14" t="s">
        <v>14</v>
      </c>
      <c r="B1428" s="8">
        <f t="shared" si="63"/>
        <v>70273503</v>
      </c>
      <c r="C1428" s="16" t="s">
        <v>1379</v>
      </c>
      <c r="D1428" s="2" t="s">
        <v>1389</v>
      </c>
      <c r="E1428" s="2" t="s">
        <v>1502</v>
      </c>
      <c r="F1428" s="2">
        <v>27</v>
      </c>
      <c r="G1428" s="2" t="s">
        <v>53</v>
      </c>
      <c r="H1428" s="2">
        <v>3</v>
      </c>
      <c r="I1428" s="2">
        <v>5</v>
      </c>
      <c r="J1428" s="2">
        <f>COUNTIFS($F$13:F1428,F1428,$I$13:I1428,I1428)</f>
        <v>3</v>
      </c>
      <c r="M1428" s="2">
        <v>154</v>
      </c>
    </row>
    <row r="1429" spans="1:19">
      <c r="A1429" s="14" t="s">
        <v>14</v>
      </c>
      <c r="B1429" s="8">
        <f t="shared" si="63"/>
        <v>70274504</v>
      </c>
      <c r="C1429" s="2" t="s">
        <v>1503</v>
      </c>
      <c r="E1429" s="2" t="s">
        <v>1504</v>
      </c>
      <c r="F1429" s="2">
        <v>27</v>
      </c>
      <c r="G1429" s="2" t="s">
        <v>37</v>
      </c>
      <c r="H1429" s="2">
        <v>4</v>
      </c>
      <c r="I1429" s="2">
        <v>5</v>
      </c>
      <c r="J1429" s="2">
        <f>COUNTIFS($F$13:F1429,F1429,$I$13:I1429,I1429)</f>
        <v>4</v>
      </c>
      <c r="O1429" s="8">
        <v>1027201</v>
      </c>
      <c r="P1429" s="8">
        <v>1027301</v>
      </c>
      <c r="Q1429" s="8">
        <v>1027401</v>
      </c>
      <c r="R1429" s="8">
        <v>1027501</v>
      </c>
    </row>
    <row r="1430" spans="1:19">
      <c r="A1430" s="14" t="s">
        <v>14</v>
      </c>
      <c r="B1430" s="8">
        <f t="shared" si="63"/>
        <v>70270001</v>
      </c>
      <c r="C1430" s="18" t="s">
        <v>1505</v>
      </c>
      <c r="E1430" s="2" t="s">
        <v>1506</v>
      </c>
      <c r="F1430" s="2">
        <v>27</v>
      </c>
      <c r="G1430" s="2" t="s">
        <v>86</v>
      </c>
      <c r="H1430" s="2">
        <v>0</v>
      </c>
      <c r="I1430" s="2">
        <v>0</v>
      </c>
      <c r="J1430" s="2">
        <f>COUNTIFS($F$13:F1430,F1430,$I$13:I1430,I1430)</f>
        <v>1</v>
      </c>
      <c r="K1430" s="2">
        <v>1</v>
      </c>
    </row>
    <row r="1431" spans="1:19">
      <c r="A1431" s="14" t="s">
        <v>14</v>
      </c>
      <c r="B1431" s="8">
        <f t="shared" ref="B1431:B1476" si="64">70000000+F1431*10000+H1431*1000+I1431*100+J1431</f>
        <v>70284101</v>
      </c>
      <c r="C1431" s="2" t="s">
        <v>1507</v>
      </c>
      <c r="E1431" s="2" t="str">
        <f>F1431&amp;(VLOOKUP(G1431,编号表!$E$1:$G$8,2,0))&amp;H1431&amp;"_"&amp;I1431&amp;"_"&amp;J1431</f>
        <v>28N4_1_1</v>
      </c>
      <c r="F1431" s="2">
        <v>28</v>
      </c>
      <c r="G1431" s="2" t="s">
        <v>37</v>
      </c>
      <c r="H1431" s="2">
        <v>4</v>
      </c>
      <c r="I1431" s="2">
        <v>1</v>
      </c>
      <c r="J1431" s="2">
        <f>COUNTIFS($F$13:F1431,F1431,$I$13:I1431,I1431)</f>
        <v>1</v>
      </c>
      <c r="O1431" s="8">
        <v>1028203</v>
      </c>
      <c r="P1431" s="8">
        <v>1028303</v>
      </c>
      <c r="Q1431" s="8">
        <v>1028001</v>
      </c>
    </row>
    <row r="1432" spans="1:19">
      <c r="A1432" s="14" t="s">
        <v>14</v>
      </c>
      <c r="B1432" s="8">
        <f t="shared" si="64"/>
        <v>70285102</v>
      </c>
      <c r="C1432" s="2" t="s">
        <v>1508</v>
      </c>
      <c r="E1432" s="2" t="str">
        <f>F1432&amp;(VLOOKUP(G1432,编号表!$E$1:$G$8,2,0))&amp;H1432&amp;"_"&amp;I1432&amp;"_"&amp;J1432</f>
        <v>28N5_1_2</v>
      </c>
      <c r="F1432" s="2">
        <v>28</v>
      </c>
      <c r="G1432" s="2" t="s">
        <v>37</v>
      </c>
      <c r="H1432" s="2">
        <v>5</v>
      </c>
      <c r="I1432" s="2">
        <v>1</v>
      </c>
      <c r="J1432" s="2">
        <f>COUNTIFS($F$13:F1432,F1432,$I$13:I1432,I1432)</f>
        <v>2</v>
      </c>
      <c r="O1432" s="8">
        <v>1028203</v>
      </c>
      <c r="P1432" s="8">
        <v>1028303</v>
      </c>
      <c r="Q1432" s="8">
        <v>1028101</v>
      </c>
    </row>
    <row r="1433" spans="1:19">
      <c r="A1433" s="14" t="s">
        <v>14</v>
      </c>
      <c r="B1433" s="8">
        <f t="shared" si="64"/>
        <v>70283103</v>
      </c>
      <c r="C1433" s="16" t="s">
        <v>54</v>
      </c>
      <c r="D1433" s="2" t="s">
        <v>1509</v>
      </c>
      <c r="E1433" s="2" t="str">
        <f>F1433&amp;(VLOOKUP(G1433,编号表!$E$1:$G$8,2,0))&amp;H1433&amp;"_"&amp;I1433&amp;"_"&amp;J1433</f>
        <v>28T3_1_3</v>
      </c>
      <c r="F1433" s="2">
        <v>28</v>
      </c>
      <c r="G1433" s="2" t="s">
        <v>53</v>
      </c>
      <c r="H1433" s="2">
        <v>3</v>
      </c>
      <c r="I1433" s="2">
        <v>1</v>
      </c>
      <c r="J1433" s="2">
        <f>COUNTIFS($F$13:F1433,F1433,$I$13:I1433,I1433)</f>
        <v>3</v>
      </c>
    </row>
    <row r="1434" spans="1:19">
      <c r="A1434" s="14" t="s">
        <v>14</v>
      </c>
      <c r="B1434" s="8">
        <f t="shared" si="64"/>
        <v>70281104</v>
      </c>
      <c r="C1434" s="15" t="s">
        <v>1510</v>
      </c>
      <c r="E1434" s="2" t="str">
        <f>F1434&amp;(VLOOKUP(G1434,编号表!$E$1:$G$8,2,0))&amp;H1434&amp;"_"&amp;I1434&amp;"_"&amp;J1434</f>
        <v>28T1_1_4</v>
      </c>
      <c r="F1434" s="2">
        <v>28</v>
      </c>
      <c r="G1434" s="2" t="s">
        <v>53</v>
      </c>
      <c r="H1434" s="2">
        <v>1</v>
      </c>
      <c r="I1434" s="2">
        <v>1</v>
      </c>
      <c r="J1434" s="2">
        <f>COUNTIFS($F$13:F1434,F1434,$I$13:I1434,I1434)</f>
        <v>4</v>
      </c>
      <c r="L1434" s="2">
        <v>1</v>
      </c>
    </row>
    <row r="1435" spans="1:19">
      <c r="A1435" s="14" t="s">
        <v>14</v>
      </c>
      <c r="B1435" s="8">
        <f t="shared" si="64"/>
        <v>70281105</v>
      </c>
      <c r="C1435" s="2" t="s">
        <v>1511</v>
      </c>
      <c r="E1435" s="2" t="str">
        <f>F1435&amp;(VLOOKUP(G1435,编号表!$E$1:$G$8,2,0))&amp;H1435&amp;"_"&amp;I1435&amp;"_"&amp;J1435</f>
        <v>28N1_1_5</v>
      </c>
      <c r="F1435" s="2">
        <v>28</v>
      </c>
      <c r="G1435" s="2" t="s">
        <v>37</v>
      </c>
      <c r="H1435" s="2">
        <v>1</v>
      </c>
      <c r="I1435" s="2">
        <v>1</v>
      </c>
      <c r="J1435" s="2">
        <f>COUNTIFS($F$13:F1435,F1435,$I$13:I1435,I1435)</f>
        <v>5</v>
      </c>
      <c r="O1435" s="8">
        <v>1028203</v>
      </c>
      <c r="P1435" s="8">
        <v>1028303</v>
      </c>
    </row>
    <row r="1436" spans="1:19">
      <c r="A1436" s="14" t="s">
        <v>14</v>
      </c>
      <c r="B1436" s="8">
        <f t="shared" si="64"/>
        <v>70283106</v>
      </c>
      <c r="C1436" s="2" t="s">
        <v>1512</v>
      </c>
      <c r="E1436" s="2" t="str">
        <f>F1436&amp;(VLOOKUP(G1436,编号表!$E$1:$G$8,2,0))&amp;H1436&amp;"_"&amp;I1436&amp;"_"&amp;J1436</f>
        <v>28N3_1_6</v>
      </c>
      <c r="F1436" s="2">
        <v>28</v>
      </c>
      <c r="G1436" s="2" t="s">
        <v>37</v>
      </c>
      <c r="H1436" s="2">
        <v>3</v>
      </c>
      <c r="I1436" s="2">
        <v>1</v>
      </c>
      <c r="J1436" s="2">
        <f>COUNTIFS($F$13:F1436,F1436,$I$13:I1436,I1436)</f>
        <v>6</v>
      </c>
      <c r="O1436" s="8">
        <v>1028203</v>
      </c>
      <c r="P1436" s="8">
        <v>1028303</v>
      </c>
    </row>
    <row r="1437" spans="1:19">
      <c r="A1437" s="14" t="s">
        <v>14</v>
      </c>
      <c r="B1437" s="8">
        <f t="shared" si="64"/>
        <v>70283107</v>
      </c>
      <c r="C1437" s="2" t="s">
        <v>1513</v>
      </c>
      <c r="E1437" s="2" t="str">
        <f>F1437&amp;(VLOOKUP(G1437,编号表!$E$1:$G$8,2,0))&amp;H1437&amp;"_"&amp;I1437&amp;"_"&amp;J1437</f>
        <v>28N3_1_7</v>
      </c>
      <c r="F1437" s="2">
        <v>28</v>
      </c>
      <c r="G1437" s="2" t="s">
        <v>37</v>
      </c>
      <c r="H1437" s="2">
        <v>3</v>
      </c>
      <c r="I1437" s="2">
        <v>1</v>
      </c>
      <c r="J1437" s="2">
        <f>COUNTIFS($F$13:F1437,F1437,$I$13:I1437,I1437)</f>
        <v>7</v>
      </c>
      <c r="O1437" s="8">
        <v>1028203</v>
      </c>
      <c r="P1437" s="8">
        <v>1028303</v>
      </c>
    </row>
    <row r="1438" spans="1:19">
      <c r="A1438" s="14" t="s">
        <v>14</v>
      </c>
      <c r="B1438" s="8">
        <f t="shared" si="64"/>
        <v>70283108</v>
      </c>
      <c r="C1438" s="2" t="s">
        <v>1514</v>
      </c>
      <c r="E1438" s="2" t="str">
        <f>F1438&amp;(VLOOKUP(G1438,编号表!$E$1:$G$8,2,0))&amp;H1438&amp;"_"&amp;I1438&amp;"_"&amp;J1438</f>
        <v>28N3_1_8</v>
      </c>
      <c r="F1438" s="2">
        <v>28</v>
      </c>
      <c r="G1438" s="2" t="s">
        <v>37</v>
      </c>
      <c r="H1438" s="2">
        <v>3</v>
      </c>
      <c r="I1438" s="2">
        <v>1</v>
      </c>
      <c r="J1438" s="2">
        <f>COUNTIFS($F$13:F1438,F1438,$I$13:I1438,I1438)</f>
        <v>8</v>
      </c>
      <c r="O1438" s="8">
        <v>1028203</v>
      </c>
      <c r="P1438" s="8">
        <v>1028303</v>
      </c>
    </row>
    <row r="1439" spans="1:19">
      <c r="A1439" s="14" t="s">
        <v>14</v>
      </c>
      <c r="B1439" s="8">
        <f t="shared" si="64"/>
        <v>70283109</v>
      </c>
      <c r="C1439" s="2" t="s">
        <v>1515</v>
      </c>
      <c r="E1439" s="2" t="str">
        <f>F1439&amp;(VLOOKUP(G1439,编号表!$E$1:$G$8,2,0))&amp;H1439&amp;"_"&amp;I1439&amp;"_"&amp;J1439</f>
        <v>28N3_1_9</v>
      </c>
      <c r="F1439" s="2">
        <v>28</v>
      </c>
      <c r="G1439" s="2" t="s">
        <v>37</v>
      </c>
      <c r="H1439" s="2">
        <v>3</v>
      </c>
      <c r="I1439" s="2">
        <v>1</v>
      </c>
      <c r="J1439" s="2">
        <f>COUNTIFS($F$13:F1439,F1439,$I$13:I1439,I1439)</f>
        <v>9</v>
      </c>
      <c r="O1439" s="8">
        <v>1028203</v>
      </c>
      <c r="P1439" s="8">
        <v>1028303</v>
      </c>
    </row>
    <row r="1440" spans="1:19">
      <c r="A1440" s="14" t="s">
        <v>14</v>
      </c>
      <c r="B1440" s="8">
        <f t="shared" si="64"/>
        <v>70283110</v>
      </c>
      <c r="C1440" s="2" t="s">
        <v>1516</v>
      </c>
      <c r="E1440" s="2" t="str">
        <f>F1440&amp;(VLOOKUP(G1440,编号表!$E$1:$G$8,2,0))&amp;H1440&amp;"_"&amp;I1440&amp;"_"&amp;J1440</f>
        <v>28N3_1_10</v>
      </c>
      <c r="F1440" s="2">
        <v>28</v>
      </c>
      <c r="G1440" s="2" t="s">
        <v>37</v>
      </c>
      <c r="H1440" s="2">
        <v>3</v>
      </c>
      <c r="I1440" s="2">
        <v>1</v>
      </c>
      <c r="J1440" s="2">
        <f>COUNTIFS($F$13:F1440,F1440,$I$13:I1440,I1440)</f>
        <v>10</v>
      </c>
      <c r="O1440" s="8">
        <v>1028203</v>
      </c>
      <c r="P1440" s="8">
        <v>1028303</v>
      </c>
    </row>
    <row r="1441" spans="1:16">
      <c r="A1441" s="14" t="s">
        <v>14</v>
      </c>
      <c r="B1441" s="8">
        <f t="shared" si="64"/>
        <v>70283111</v>
      </c>
      <c r="C1441" s="2" t="s">
        <v>1517</v>
      </c>
      <c r="E1441" s="2" t="str">
        <f>F1441&amp;(VLOOKUP(G1441,编号表!$E$1:$G$8,2,0))&amp;H1441&amp;"_"&amp;I1441&amp;"_"&amp;J1441</f>
        <v>28N3_1_11</v>
      </c>
      <c r="F1441" s="2">
        <v>28</v>
      </c>
      <c r="G1441" s="2" t="s">
        <v>37</v>
      </c>
      <c r="H1441" s="2">
        <v>3</v>
      </c>
      <c r="I1441" s="2">
        <v>1</v>
      </c>
      <c r="J1441" s="2">
        <f>COUNTIFS($F$13:F1441,F1441,$I$13:I1441,I1441)</f>
        <v>11</v>
      </c>
      <c r="O1441" s="8">
        <v>1028203</v>
      </c>
      <c r="P1441" s="8">
        <v>1028303</v>
      </c>
    </row>
    <row r="1442" spans="1:16">
      <c r="A1442" s="14" t="s">
        <v>14</v>
      </c>
      <c r="B1442" s="8">
        <f t="shared" si="64"/>
        <v>70283112</v>
      </c>
      <c r="C1442" s="2" t="s">
        <v>1518</v>
      </c>
      <c r="E1442" s="2" t="str">
        <f>F1442&amp;(VLOOKUP(G1442,编号表!$E$1:$G$8,2,0))&amp;H1442&amp;"_"&amp;I1442&amp;"_"&amp;J1442</f>
        <v>28N3_1_12</v>
      </c>
      <c r="F1442" s="2">
        <v>28</v>
      </c>
      <c r="G1442" s="2" t="s">
        <v>37</v>
      </c>
      <c r="H1442" s="2">
        <v>3</v>
      </c>
      <c r="I1442" s="2">
        <v>1</v>
      </c>
      <c r="J1442" s="2">
        <f>COUNTIFS($F$13:F1442,F1442,$I$13:I1442,I1442)</f>
        <v>12</v>
      </c>
      <c r="O1442" s="8">
        <v>1028203</v>
      </c>
      <c r="P1442" s="8">
        <v>1028303</v>
      </c>
    </row>
    <row r="1443" spans="1:16">
      <c r="A1443" s="14" t="s">
        <v>14</v>
      </c>
      <c r="B1443" s="8">
        <f t="shared" si="64"/>
        <v>70281201</v>
      </c>
      <c r="C1443" s="2" t="s">
        <v>1519</v>
      </c>
      <c r="E1443" s="2" t="str">
        <f>F1443&amp;(VLOOKUP(G1443,编号表!$E$1:$G$8,2,0))&amp;H1443&amp;"_"&amp;I1443&amp;"_"&amp;J1443</f>
        <v>28N1_2_1</v>
      </c>
      <c r="F1443" s="2">
        <v>28</v>
      </c>
      <c r="G1443" s="2" t="s">
        <v>37</v>
      </c>
      <c r="H1443" s="2">
        <v>1</v>
      </c>
      <c r="I1443" s="2">
        <v>2</v>
      </c>
      <c r="J1443" s="2">
        <f>COUNTIFS($F$13:F1443,F1443,$I$13:I1443,I1443)</f>
        <v>1</v>
      </c>
      <c r="O1443" s="8">
        <v>1028203</v>
      </c>
      <c r="P1443" s="8">
        <v>1028303</v>
      </c>
    </row>
    <row r="1444" spans="1:16">
      <c r="A1444" s="14" t="s">
        <v>14</v>
      </c>
      <c r="B1444" s="8">
        <f t="shared" si="64"/>
        <v>70285202</v>
      </c>
      <c r="C1444" s="2" t="s">
        <v>1520</v>
      </c>
      <c r="E1444" s="2" t="str">
        <f>F1444&amp;(VLOOKUP(G1444,编号表!$E$1:$G$8,2,0))&amp;H1444&amp;"_"&amp;I1444&amp;"_"&amp;J1444</f>
        <v>28N5_2_2</v>
      </c>
      <c r="F1444" s="2">
        <v>28</v>
      </c>
      <c r="G1444" s="2" t="s">
        <v>37</v>
      </c>
      <c r="H1444" s="2">
        <v>5</v>
      </c>
      <c r="I1444" s="2">
        <v>2</v>
      </c>
      <c r="J1444" s="2">
        <f>COUNTIFS($F$13:F1444,F1444,$I$13:I1444,I1444)</f>
        <v>2</v>
      </c>
      <c r="O1444" s="8">
        <v>1028203</v>
      </c>
      <c r="P1444" s="8">
        <v>1028303</v>
      </c>
    </row>
    <row r="1445" spans="1:16">
      <c r="A1445" s="14" t="s">
        <v>14</v>
      </c>
      <c r="B1445" s="8">
        <f t="shared" si="64"/>
        <v>70284203</v>
      </c>
      <c r="C1445" s="2" t="s">
        <v>1521</v>
      </c>
      <c r="E1445" s="2" t="str">
        <f>F1445&amp;(VLOOKUP(G1445,编号表!$E$1:$G$8,2,0))&amp;H1445&amp;"_"&amp;I1445&amp;"_"&amp;J1445</f>
        <v>28N4_2_3</v>
      </c>
      <c r="F1445" s="2">
        <v>28</v>
      </c>
      <c r="G1445" s="2" t="s">
        <v>37</v>
      </c>
      <c r="H1445" s="2">
        <v>4</v>
      </c>
      <c r="I1445" s="2">
        <v>2</v>
      </c>
      <c r="J1445" s="2">
        <f>COUNTIFS($F$13:F1445,F1445,$I$13:I1445,I1445)</f>
        <v>3</v>
      </c>
      <c r="O1445" s="8">
        <v>1028203</v>
      </c>
      <c r="P1445" s="8">
        <v>1028303</v>
      </c>
    </row>
    <row r="1446" spans="1:16">
      <c r="A1446" s="14" t="s">
        <v>14</v>
      </c>
      <c r="B1446" s="8">
        <f t="shared" si="64"/>
        <v>70284204</v>
      </c>
      <c r="C1446" s="2" t="s">
        <v>1522</v>
      </c>
      <c r="E1446" s="2" t="str">
        <f>F1446&amp;(VLOOKUP(G1446,编号表!$E$1:$G$8,2,0))&amp;H1446&amp;"_"&amp;I1446&amp;"_"&amp;J1446</f>
        <v>28N4_2_4</v>
      </c>
      <c r="F1446" s="2">
        <v>28</v>
      </c>
      <c r="G1446" s="2" t="s">
        <v>37</v>
      </c>
      <c r="H1446" s="2">
        <v>4</v>
      </c>
      <c r="I1446" s="2">
        <v>2</v>
      </c>
      <c r="J1446" s="2">
        <f>COUNTIFS($F$13:F1446,F1446,$I$13:I1446,I1446)</f>
        <v>4</v>
      </c>
      <c r="O1446" s="8">
        <v>1028203</v>
      </c>
      <c r="P1446" s="8">
        <v>1028303</v>
      </c>
    </row>
    <row r="1447" spans="1:16">
      <c r="A1447" s="14" t="s">
        <v>14</v>
      </c>
      <c r="B1447" s="8">
        <f t="shared" si="64"/>
        <v>70283205</v>
      </c>
      <c r="C1447" s="2" t="s">
        <v>1523</v>
      </c>
      <c r="E1447" s="2" t="str">
        <f>F1447&amp;(VLOOKUP(G1447,编号表!$E$1:$G$8,2,0))&amp;H1447&amp;"_"&amp;I1447&amp;"_"&amp;J1447</f>
        <v>28N3_2_5</v>
      </c>
      <c r="F1447" s="2">
        <v>28</v>
      </c>
      <c r="G1447" s="2" t="s">
        <v>37</v>
      </c>
      <c r="H1447" s="2">
        <v>3</v>
      </c>
      <c r="I1447" s="2">
        <v>2</v>
      </c>
      <c r="J1447" s="2">
        <f>COUNTIFS($F$13:F1447,F1447,$I$13:I1447,I1447)</f>
        <v>5</v>
      </c>
      <c r="O1447" s="8">
        <v>1028203</v>
      </c>
      <c r="P1447" s="8">
        <v>1028303</v>
      </c>
    </row>
    <row r="1448" spans="1:16">
      <c r="A1448" s="14" t="s">
        <v>14</v>
      </c>
      <c r="B1448" s="8">
        <f t="shared" si="64"/>
        <v>70283206</v>
      </c>
      <c r="C1448" s="2" t="s">
        <v>1524</v>
      </c>
      <c r="E1448" s="2" t="str">
        <f>F1448&amp;(VLOOKUP(G1448,编号表!$E$1:$G$8,2,0))&amp;H1448&amp;"_"&amp;I1448&amp;"_"&amp;J1448</f>
        <v>28N3_2_6</v>
      </c>
      <c r="F1448" s="2">
        <v>28</v>
      </c>
      <c r="G1448" s="2" t="s">
        <v>37</v>
      </c>
      <c r="H1448" s="2">
        <v>3</v>
      </c>
      <c r="I1448" s="2">
        <v>2</v>
      </c>
      <c r="J1448" s="2">
        <f>COUNTIFS($F$13:F1448,F1448,$I$13:I1448,I1448)</f>
        <v>6</v>
      </c>
      <c r="O1448" s="8">
        <v>1028203</v>
      </c>
      <c r="P1448" s="8">
        <v>1028303</v>
      </c>
    </row>
    <row r="1449" spans="1:16">
      <c r="A1449" s="14" t="s">
        <v>14</v>
      </c>
      <c r="B1449" s="8">
        <f t="shared" si="64"/>
        <v>70284207</v>
      </c>
      <c r="C1449" s="2" t="s">
        <v>1525</v>
      </c>
      <c r="E1449" s="2" t="str">
        <f>F1449&amp;(VLOOKUP(G1449,编号表!$E$1:$G$8,2,0))&amp;H1449&amp;"_"&amp;I1449&amp;"_"&amp;J1449</f>
        <v>28N4_2_7</v>
      </c>
      <c r="F1449" s="2">
        <v>28</v>
      </c>
      <c r="G1449" s="2" t="s">
        <v>37</v>
      </c>
      <c r="H1449" s="2">
        <v>4</v>
      </c>
      <c r="I1449" s="2">
        <v>2</v>
      </c>
      <c r="J1449" s="2">
        <f>COUNTIFS($F$13:F1449,F1449,$I$13:I1449,I1449)</f>
        <v>7</v>
      </c>
      <c r="O1449" s="8">
        <v>1028203</v>
      </c>
      <c r="P1449" s="8">
        <v>1028303</v>
      </c>
    </row>
    <row r="1450" spans="1:16">
      <c r="A1450" s="14" t="s">
        <v>14</v>
      </c>
      <c r="B1450" s="8">
        <f t="shared" si="64"/>
        <v>70284208</v>
      </c>
      <c r="C1450" s="2" t="s">
        <v>1526</v>
      </c>
      <c r="E1450" s="2" t="str">
        <f>F1450&amp;(VLOOKUP(G1450,编号表!$E$1:$G$8,2,0))&amp;H1450&amp;"_"&amp;I1450&amp;"_"&amp;J1450</f>
        <v>28N4_2_8</v>
      </c>
      <c r="F1450" s="2">
        <v>28</v>
      </c>
      <c r="G1450" s="2" t="s">
        <v>37</v>
      </c>
      <c r="H1450" s="2">
        <v>4</v>
      </c>
      <c r="I1450" s="2">
        <v>2</v>
      </c>
      <c r="J1450" s="2">
        <f>COUNTIFS($F$13:F1450,F1450,$I$13:I1450,I1450)</f>
        <v>8</v>
      </c>
      <c r="O1450" s="8">
        <v>1028203</v>
      </c>
      <c r="P1450" s="8">
        <v>1028303</v>
      </c>
    </row>
    <row r="1451" spans="1:16">
      <c r="A1451" s="14" t="s">
        <v>14</v>
      </c>
      <c r="B1451" s="8">
        <f t="shared" si="64"/>
        <v>70283301</v>
      </c>
      <c r="C1451" s="2" t="s">
        <v>1527</v>
      </c>
      <c r="E1451" s="2" t="str">
        <f>F1451&amp;(VLOOKUP(G1451,编号表!$E$1:$G$8,2,0))&amp;H1451&amp;"_"&amp;I1451&amp;"_"&amp;J1451</f>
        <v>28N3_3_1</v>
      </c>
      <c r="F1451" s="2">
        <v>28</v>
      </c>
      <c r="G1451" s="2" t="s">
        <v>37</v>
      </c>
      <c r="H1451" s="2">
        <v>3</v>
      </c>
      <c r="I1451" s="2">
        <v>3</v>
      </c>
      <c r="J1451" s="2">
        <f>COUNTIFS($F$13:F1451,F1451,$I$13:I1451,I1451)</f>
        <v>1</v>
      </c>
      <c r="O1451" s="8">
        <v>1028203</v>
      </c>
      <c r="P1451" s="8">
        <v>1028303</v>
      </c>
    </row>
    <row r="1452" spans="1:16">
      <c r="A1452" s="14" t="s">
        <v>14</v>
      </c>
      <c r="B1452" s="8">
        <f t="shared" si="64"/>
        <v>70282302</v>
      </c>
      <c r="C1452" s="2" t="s">
        <v>1528</v>
      </c>
      <c r="E1452" s="2" t="str">
        <f>F1452&amp;(VLOOKUP(G1452,编号表!$E$1:$G$8,2,0))&amp;H1452&amp;"_"&amp;I1452&amp;"_"&amp;J1452</f>
        <v>28N2_3_2</v>
      </c>
      <c r="F1452" s="2">
        <v>28</v>
      </c>
      <c r="G1452" s="2" t="s">
        <v>37</v>
      </c>
      <c r="H1452" s="2">
        <v>2</v>
      </c>
      <c r="I1452" s="2">
        <v>3</v>
      </c>
      <c r="J1452" s="2">
        <f>COUNTIFS($F$13:F1452,F1452,$I$13:I1452,I1452)</f>
        <v>2</v>
      </c>
      <c r="O1452" s="8">
        <v>1028203</v>
      </c>
      <c r="P1452" s="8">
        <v>1028303</v>
      </c>
    </row>
    <row r="1453" spans="1:16">
      <c r="A1453" s="14" t="s">
        <v>14</v>
      </c>
      <c r="B1453" s="8">
        <f t="shared" si="64"/>
        <v>70282303</v>
      </c>
      <c r="C1453" s="2" t="s">
        <v>1529</v>
      </c>
      <c r="E1453" s="2" t="str">
        <f>F1453&amp;(VLOOKUP(G1453,编号表!$E$1:$G$8,2,0))&amp;H1453&amp;"_"&amp;I1453&amp;"_"&amp;J1453</f>
        <v>28N2_3_3</v>
      </c>
      <c r="F1453" s="2">
        <v>28</v>
      </c>
      <c r="G1453" s="2" t="s">
        <v>37</v>
      </c>
      <c r="H1453" s="2">
        <v>2</v>
      </c>
      <c r="I1453" s="2">
        <v>3</v>
      </c>
      <c r="J1453" s="2">
        <f>COUNTIFS($F$13:F1453,F1453,$I$13:I1453,I1453)</f>
        <v>3</v>
      </c>
      <c r="O1453" s="8">
        <v>1028203</v>
      </c>
      <c r="P1453" s="8">
        <v>1028303</v>
      </c>
    </row>
    <row r="1454" spans="1:16">
      <c r="A1454" s="14" t="s">
        <v>14</v>
      </c>
      <c r="B1454" s="8">
        <f t="shared" si="64"/>
        <v>70284304</v>
      </c>
      <c r="C1454" s="2" t="s">
        <v>1530</v>
      </c>
      <c r="E1454" s="2" t="str">
        <f>F1454&amp;(VLOOKUP(G1454,编号表!$E$1:$G$8,2,0))&amp;H1454&amp;"_"&amp;I1454&amp;"_"&amp;J1454</f>
        <v>28N4_3_4</v>
      </c>
      <c r="F1454" s="2">
        <v>28</v>
      </c>
      <c r="G1454" s="2" t="s">
        <v>37</v>
      </c>
      <c r="H1454" s="2">
        <v>4</v>
      </c>
      <c r="I1454" s="2">
        <v>3</v>
      </c>
      <c r="J1454" s="2">
        <f>COUNTIFS($F$13:F1454,F1454,$I$13:I1454,I1454)</f>
        <v>4</v>
      </c>
      <c r="O1454" s="8">
        <v>1028203</v>
      </c>
      <c r="P1454" s="8">
        <v>1028303</v>
      </c>
    </row>
    <row r="1455" spans="1:16">
      <c r="A1455" s="14" t="s">
        <v>14</v>
      </c>
      <c r="B1455" s="8">
        <f t="shared" si="64"/>
        <v>70283305</v>
      </c>
      <c r="C1455" s="2" t="s">
        <v>1531</v>
      </c>
      <c r="E1455" s="2" t="str">
        <f>F1455&amp;(VLOOKUP(G1455,编号表!$E$1:$G$8,2,0))&amp;H1455&amp;"_"&amp;I1455&amp;"_"&amp;J1455</f>
        <v>28N3_3_5</v>
      </c>
      <c r="F1455" s="2">
        <v>28</v>
      </c>
      <c r="G1455" s="2" t="s">
        <v>37</v>
      </c>
      <c r="H1455" s="2">
        <v>3</v>
      </c>
      <c r="I1455" s="2">
        <v>3</v>
      </c>
      <c r="J1455" s="2">
        <f>COUNTIFS($F$13:F1455,F1455,$I$13:I1455,I1455)</f>
        <v>5</v>
      </c>
      <c r="O1455" s="8">
        <v>1028203</v>
      </c>
      <c r="P1455" s="8">
        <v>1028303</v>
      </c>
    </row>
    <row r="1456" spans="1:16">
      <c r="A1456" s="14" t="s">
        <v>14</v>
      </c>
      <c r="B1456" s="8">
        <f t="shared" si="64"/>
        <v>70285306</v>
      </c>
      <c r="C1456" s="2" t="s">
        <v>1532</v>
      </c>
      <c r="E1456" s="2" t="str">
        <f>F1456&amp;(VLOOKUP(G1456,编号表!$E$1:$G$8,2,0))&amp;H1456&amp;"_"&amp;I1456&amp;"_"&amp;J1456</f>
        <v>28N5_3_6</v>
      </c>
      <c r="F1456" s="2">
        <v>28</v>
      </c>
      <c r="G1456" s="2" t="s">
        <v>37</v>
      </c>
      <c r="H1456" s="2">
        <v>5</v>
      </c>
      <c r="I1456" s="2">
        <v>3</v>
      </c>
      <c r="J1456" s="2">
        <f>COUNTIFS($F$13:F1456,F1456,$I$13:I1456,I1456)</f>
        <v>6</v>
      </c>
      <c r="O1456" s="8">
        <v>1028203</v>
      </c>
      <c r="P1456" s="8">
        <v>1028303</v>
      </c>
    </row>
    <row r="1457" spans="1:16">
      <c r="A1457" s="14" t="s">
        <v>14</v>
      </c>
      <c r="B1457" s="8">
        <f t="shared" si="64"/>
        <v>70285307</v>
      </c>
      <c r="C1457" s="2" t="s">
        <v>1533</v>
      </c>
      <c r="E1457" s="2" t="str">
        <f>F1457&amp;(VLOOKUP(G1457,编号表!$E$1:$G$8,2,0))&amp;H1457&amp;"_"&amp;I1457&amp;"_"&amp;J1457</f>
        <v>28N5_3_7</v>
      </c>
      <c r="F1457" s="2">
        <v>28</v>
      </c>
      <c r="G1457" s="2" t="s">
        <v>37</v>
      </c>
      <c r="H1457" s="2">
        <v>5</v>
      </c>
      <c r="I1457" s="2">
        <v>3</v>
      </c>
      <c r="J1457" s="2">
        <f>COUNTIFS($F$13:F1457,F1457,$I$13:I1457,I1457)</f>
        <v>7</v>
      </c>
      <c r="O1457" s="8">
        <v>1028203</v>
      </c>
      <c r="P1457" s="8">
        <v>1028303</v>
      </c>
    </row>
    <row r="1458" spans="1:16">
      <c r="A1458" s="14" t="s">
        <v>14</v>
      </c>
      <c r="B1458" s="8">
        <f t="shared" si="64"/>
        <v>70284308</v>
      </c>
      <c r="C1458" s="2" t="s">
        <v>1534</v>
      </c>
      <c r="E1458" s="2" t="str">
        <f>F1458&amp;(VLOOKUP(G1458,编号表!$E$1:$G$8,2,0))&amp;H1458&amp;"_"&amp;I1458&amp;"_"&amp;J1458</f>
        <v>28N4_3_8</v>
      </c>
      <c r="F1458" s="2">
        <v>28</v>
      </c>
      <c r="G1458" s="2" t="s">
        <v>37</v>
      </c>
      <c r="H1458" s="2">
        <v>4</v>
      </c>
      <c r="I1458" s="2">
        <v>3</v>
      </c>
      <c r="J1458" s="2">
        <f>COUNTIFS($F$13:F1458,F1458,$I$13:I1458,I1458)</f>
        <v>8</v>
      </c>
      <c r="O1458" s="8">
        <v>1028203</v>
      </c>
      <c r="P1458" s="8">
        <v>1028303</v>
      </c>
    </row>
    <row r="1459" spans="1:16">
      <c r="A1459" s="14" t="s">
        <v>14</v>
      </c>
      <c r="B1459" s="8">
        <f t="shared" si="64"/>
        <v>70281401</v>
      </c>
      <c r="C1459" s="2" t="s">
        <v>1535</v>
      </c>
      <c r="E1459" s="2" t="str">
        <f>F1459&amp;(VLOOKUP(G1459,编号表!$E$1:$G$8,2,0))&amp;H1459&amp;"_"&amp;I1459&amp;"_"&amp;J1459</f>
        <v>28N1_4_1</v>
      </c>
      <c r="F1459" s="2">
        <v>28</v>
      </c>
      <c r="G1459" s="2" t="s">
        <v>37</v>
      </c>
      <c r="H1459" s="2">
        <v>1</v>
      </c>
      <c r="I1459" s="2">
        <v>4</v>
      </c>
      <c r="J1459" s="2">
        <f>COUNTIFS($F$13:F1459,F1459,$I$13:I1459,I1459)</f>
        <v>1</v>
      </c>
      <c r="O1459" s="8">
        <v>1028203</v>
      </c>
      <c r="P1459" s="8">
        <v>1028303</v>
      </c>
    </row>
    <row r="1460" spans="1:16">
      <c r="A1460" s="14" t="s">
        <v>14</v>
      </c>
      <c r="B1460" s="8">
        <f t="shared" si="64"/>
        <v>70285402</v>
      </c>
      <c r="C1460" s="2" t="s">
        <v>1536</v>
      </c>
      <c r="E1460" s="2" t="str">
        <f>F1460&amp;(VLOOKUP(G1460,编号表!$E$1:$G$8,2,0))&amp;H1460&amp;"_"&amp;I1460&amp;"_"&amp;J1460</f>
        <v>28N5_4_2</v>
      </c>
      <c r="F1460" s="2">
        <v>28</v>
      </c>
      <c r="G1460" s="2" t="s">
        <v>37</v>
      </c>
      <c r="H1460" s="2">
        <v>5</v>
      </c>
      <c r="I1460" s="2">
        <v>4</v>
      </c>
      <c r="J1460" s="2">
        <f>COUNTIFS($F$13:F1460,F1460,$I$13:I1460,I1460)</f>
        <v>2</v>
      </c>
      <c r="O1460" s="8">
        <v>1028203</v>
      </c>
      <c r="P1460" s="8">
        <v>1028303</v>
      </c>
    </row>
    <row r="1461" spans="1:16">
      <c r="A1461" s="14" t="s">
        <v>14</v>
      </c>
      <c r="B1461" s="8">
        <f t="shared" si="64"/>
        <v>70283403</v>
      </c>
      <c r="C1461" s="2" t="s">
        <v>1537</v>
      </c>
      <c r="E1461" s="2" t="str">
        <f>F1461&amp;(VLOOKUP(G1461,编号表!$E$1:$G$8,2,0))&amp;H1461&amp;"_"&amp;I1461&amp;"_"&amp;J1461</f>
        <v>28N3_4_3</v>
      </c>
      <c r="F1461" s="2">
        <v>28</v>
      </c>
      <c r="G1461" s="2" t="s">
        <v>37</v>
      </c>
      <c r="H1461" s="2">
        <v>3</v>
      </c>
      <c r="I1461" s="2">
        <v>4</v>
      </c>
      <c r="J1461" s="2">
        <f>COUNTIFS($F$13:F1461,F1461,$I$13:I1461,I1461)</f>
        <v>3</v>
      </c>
      <c r="O1461" s="8">
        <v>1028203</v>
      </c>
      <c r="P1461" s="8">
        <v>1028303</v>
      </c>
    </row>
    <row r="1462" spans="1:16">
      <c r="A1462" s="14" t="s">
        <v>14</v>
      </c>
      <c r="B1462" s="8">
        <f t="shared" si="64"/>
        <v>70285404</v>
      </c>
      <c r="C1462" s="2" t="s">
        <v>1538</v>
      </c>
      <c r="E1462" s="2" t="str">
        <f>F1462&amp;(VLOOKUP(G1462,编号表!$E$1:$G$8,2,0))&amp;H1462&amp;"_"&amp;I1462&amp;"_"&amp;J1462</f>
        <v>28N5_4_4</v>
      </c>
      <c r="F1462" s="2">
        <v>28</v>
      </c>
      <c r="G1462" s="2" t="s">
        <v>37</v>
      </c>
      <c r="H1462" s="2">
        <v>5</v>
      </c>
      <c r="I1462" s="2">
        <v>4</v>
      </c>
      <c r="J1462" s="2">
        <f>COUNTIFS($F$13:F1462,F1462,$I$13:I1462,I1462)</f>
        <v>4</v>
      </c>
      <c r="O1462" s="8">
        <v>1028203</v>
      </c>
      <c r="P1462" s="8">
        <v>1028303</v>
      </c>
    </row>
    <row r="1463" spans="1:16">
      <c r="A1463" s="14" t="s">
        <v>14</v>
      </c>
      <c r="B1463" s="8">
        <f t="shared" si="64"/>
        <v>70285405</v>
      </c>
      <c r="C1463" s="2" t="s">
        <v>1539</v>
      </c>
      <c r="E1463" s="2" t="str">
        <f>F1463&amp;(VLOOKUP(G1463,编号表!$E$1:$G$8,2,0))&amp;H1463&amp;"_"&amp;I1463&amp;"_"&amp;J1463</f>
        <v>28N5_4_5</v>
      </c>
      <c r="F1463" s="2">
        <v>28</v>
      </c>
      <c r="G1463" s="2" t="s">
        <v>37</v>
      </c>
      <c r="H1463" s="2">
        <v>5</v>
      </c>
      <c r="I1463" s="2">
        <v>4</v>
      </c>
      <c r="J1463" s="2">
        <f>COUNTIFS($F$13:F1463,F1463,$I$13:I1463,I1463)</f>
        <v>5</v>
      </c>
      <c r="O1463" s="8">
        <v>1028203</v>
      </c>
      <c r="P1463" s="8">
        <v>1028303</v>
      </c>
    </row>
    <row r="1464" spans="1:16">
      <c r="A1464" s="14" t="s">
        <v>14</v>
      </c>
      <c r="B1464" s="8">
        <f t="shared" si="64"/>
        <v>70284406</v>
      </c>
      <c r="C1464" s="2" t="s">
        <v>1540</v>
      </c>
      <c r="E1464" s="2" t="str">
        <f>F1464&amp;(VLOOKUP(G1464,编号表!$E$1:$G$8,2,0))&amp;H1464&amp;"_"&amp;I1464&amp;"_"&amp;J1464</f>
        <v>28N4_4_6</v>
      </c>
      <c r="F1464" s="2">
        <v>28</v>
      </c>
      <c r="G1464" s="2" t="s">
        <v>37</v>
      </c>
      <c r="H1464" s="2">
        <v>4</v>
      </c>
      <c r="I1464" s="2">
        <v>4</v>
      </c>
      <c r="J1464" s="2">
        <f>COUNTIFS($F$13:F1464,F1464,$I$13:I1464,I1464)</f>
        <v>6</v>
      </c>
      <c r="O1464" s="8">
        <v>1028203</v>
      </c>
      <c r="P1464" s="8">
        <v>1028303</v>
      </c>
    </row>
    <row r="1465" spans="1:16">
      <c r="A1465" s="14" t="s">
        <v>14</v>
      </c>
      <c r="B1465" s="8">
        <f t="shared" si="64"/>
        <v>70284407</v>
      </c>
      <c r="C1465" s="2" t="s">
        <v>1541</v>
      </c>
      <c r="E1465" s="2" t="str">
        <f>F1465&amp;(VLOOKUP(G1465,编号表!$E$1:$G$8,2,0))&amp;H1465&amp;"_"&amp;I1465&amp;"_"&amp;J1465</f>
        <v>28N4_4_7</v>
      </c>
      <c r="F1465" s="2">
        <v>28</v>
      </c>
      <c r="G1465" s="2" t="s">
        <v>37</v>
      </c>
      <c r="H1465" s="2">
        <v>4</v>
      </c>
      <c r="I1465" s="2">
        <v>4</v>
      </c>
      <c r="J1465" s="2">
        <f>COUNTIFS($F$13:F1465,F1465,$I$13:I1465,I1465)</f>
        <v>7</v>
      </c>
      <c r="O1465" s="8">
        <v>1028203</v>
      </c>
      <c r="P1465" s="8">
        <v>1028303</v>
      </c>
    </row>
    <row r="1466" spans="1:16">
      <c r="A1466" s="14" t="s">
        <v>14</v>
      </c>
      <c r="B1466" s="8">
        <f t="shared" si="64"/>
        <v>70283408</v>
      </c>
      <c r="C1466" s="2" t="s">
        <v>1542</v>
      </c>
      <c r="E1466" s="2" t="str">
        <f>F1466&amp;(VLOOKUP(G1466,编号表!$E$1:$G$8,2,0))&amp;H1466&amp;"_"&amp;I1466&amp;"_"&amp;J1466</f>
        <v>28N3_4_8</v>
      </c>
      <c r="F1466" s="2">
        <v>28</v>
      </c>
      <c r="G1466" s="2" t="s">
        <v>37</v>
      </c>
      <c r="H1466" s="2">
        <v>3</v>
      </c>
      <c r="I1466" s="2">
        <v>4</v>
      </c>
      <c r="J1466" s="2">
        <f>COUNTIFS($F$13:F1466,F1466,$I$13:I1466,I1466)</f>
        <v>8</v>
      </c>
      <c r="O1466" s="8">
        <v>1028203</v>
      </c>
      <c r="P1466" s="8">
        <v>1028303</v>
      </c>
    </row>
    <row r="1467" spans="1:16">
      <c r="A1467" s="14" t="s">
        <v>14</v>
      </c>
      <c r="B1467" s="8">
        <f t="shared" si="64"/>
        <v>70282409</v>
      </c>
      <c r="C1467" s="2" t="s">
        <v>1543</v>
      </c>
      <c r="E1467" s="2" t="str">
        <f>F1467&amp;(VLOOKUP(G1467,编号表!$E$1:$G$8,2,0))&amp;H1467&amp;"_"&amp;I1467&amp;"_"&amp;J1467</f>
        <v>28N2_4_9</v>
      </c>
      <c r="F1467" s="2">
        <v>28</v>
      </c>
      <c r="G1467" s="2" t="s">
        <v>37</v>
      </c>
      <c r="H1467" s="2">
        <v>2</v>
      </c>
      <c r="I1467" s="2">
        <v>4</v>
      </c>
      <c r="J1467" s="2">
        <f>COUNTIFS($F$13:F1467,F1467,$I$13:I1467,I1467)</f>
        <v>9</v>
      </c>
      <c r="O1467" s="8">
        <v>1028203</v>
      </c>
      <c r="P1467" s="8">
        <v>1028303</v>
      </c>
    </row>
    <row r="1468" spans="1:16">
      <c r="A1468" s="14" t="s">
        <v>14</v>
      </c>
      <c r="B1468" s="8">
        <f t="shared" si="64"/>
        <v>70284410</v>
      </c>
      <c r="C1468" s="2" t="s">
        <v>1544</v>
      </c>
      <c r="E1468" s="2" t="str">
        <f>F1468&amp;(VLOOKUP(G1468,编号表!$E$1:$G$8,2,0))&amp;H1468&amp;"_"&amp;I1468&amp;"_"&amp;J1468</f>
        <v>28N4_4_10</v>
      </c>
      <c r="F1468" s="2">
        <v>28</v>
      </c>
      <c r="G1468" s="2" t="s">
        <v>37</v>
      </c>
      <c r="H1468" s="2">
        <v>4</v>
      </c>
      <c r="I1468" s="2">
        <v>4</v>
      </c>
      <c r="J1468" s="2">
        <f>COUNTIFS($F$13:F1468,F1468,$I$13:I1468,I1468)</f>
        <v>10</v>
      </c>
      <c r="O1468" s="8">
        <v>1028203</v>
      </c>
      <c r="P1468" s="8">
        <v>1028303</v>
      </c>
    </row>
    <row r="1469" spans="1:16">
      <c r="A1469" s="14" t="s">
        <v>14</v>
      </c>
      <c r="B1469" s="8">
        <f t="shared" si="64"/>
        <v>70284411</v>
      </c>
      <c r="C1469" s="2" t="s">
        <v>1545</v>
      </c>
      <c r="E1469" s="2" t="str">
        <f>F1469&amp;(VLOOKUP(G1469,编号表!$E$1:$G$8,2,0))&amp;H1469&amp;"_"&amp;I1469&amp;"_"&amp;J1469</f>
        <v>28N4_4_11</v>
      </c>
      <c r="F1469" s="2">
        <v>28</v>
      </c>
      <c r="G1469" s="2" t="s">
        <v>37</v>
      </c>
      <c r="H1469" s="2">
        <v>4</v>
      </c>
      <c r="I1469" s="2">
        <v>4</v>
      </c>
      <c r="J1469" s="2">
        <f>COUNTIFS($F$13:F1469,F1469,$I$13:I1469,I1469)</f>
        <v>11</v>
      </c>
      <c r="O1469" s="8">
        <v>1028203</v>
      </c>
      <c r="P1469" s="8">
        <v>1028303</v>
      </c>
    </row>
    <row r="1470" spans="1:16">
      <c r="A1470" s="14" t="s">
        <v>14</v>
      </c>
      <c r="B1470" s="8">
        <f t="shared" si="64"/>
        <v>70285412</v>
      </c>
      <c r="C1470" s="2" t="s">
        <v>1546</v>
      </c>
      <c r="E1470" s="2" t="str">
        <f>F1470&amp;(VLOOKUP(G1470,编号表!$E$1:$G$8,2,0))&amp;H1470&amp;"_"&amp;I1470&amp;"_"&amp;J1470</f>
        <v>28N5_4_12</v>
      </c>
      <c r="F1470" s="2">
        <v>28</v>
      </c>
      <c r="G1470" s="2" t="s">
        <v>37</v>
      </c>
      <c r="H1470" s="2">
        <v>5</v>
      </c>
      <c r="I1470" s="2">
        <v>4</v>
      </c>
      <c r="J1470" s="2">
        <f>COUNTIFS($F$13:F1470,F1470,$I$13:I1470,I1470)</f>
        <v>12</v>
      </c>
      <c r="O1470" s="8">
        <v>1028203</v>
      </c>
      <c r="P1470" s="8">
        <v>1028303</v>
      </c>
    </row>
    <row r="1471" spans="1:16">
      <c r="A1471" s="14" t="s">
        <v>14</v>
      </c>
      <c r="B1471" s="8">
        <f t="shared" si="64"/>
        <v>70285413</v>
      </c>
      <c r="C1471" s="2" t="s">
        <v>1547</v>
      </c>
      <c r="E1471" s="2" t="str">
        <f>F1471&amp;(VLOOKUP(G1471,编号表!$E$1:$G$8,2,0))&amp;H1471&amp;"_"&amp;I1471&amp;"_"&amp;J1471</f>
        <v>28N5_4_13</v>
      </c>
      <c r="F1471" s="2">
        <v>28</v>
      </c>
      <c r="G1471" s="2" t="s">
        <v>37</v>
      </c>
      <c r="H1471" s="2">
        <v>5</v>
      </c>
      <c r="I1471" s="2">
        <v>4</v>
      </c>
      <c r="J1471" s="2">
        <f>COUNTIFS($F$13:F1471,F1471,$I$13:I1471,I1471)</f>
        <v>13</v>
      </c>
      <c r="O1471" s="8">
        <v>1028203</v>
      </c>
      <c r="P1471" s="8">
        <v>1028303</v>
      </c>
    </row>
    <row r="1472" spans="1:16">
      <c r="A1472" s="14" t="s">
        <v>14</v>
      </c>
      <c r="B1472" s="8">
        <f t="shared" si="64"/>
        <v>70283414</v>
      </c>
      <c r="C1472" s="2" t="s">
        <v>1548</v>
      </c>
      <c r="E1472" s="2" t="str">
        <f>F1472&amp;(VLOOKUP(G1472,编号表!$E$1:$G$8,2,0))&amp;H1472&amp;"_"&amp;I1472&amp;"_"&amp;J1472</f>
        <v>28N3_4_14</v>
      </c>
      <c r="F1472" s="2">
        <v>28</v>
      </c>
      <c r="G1472" s="2" t="s">
        <v>37</v>
      </c>
      <c r="H1472" s="2">
        <v>3</v>
      </c>
      <c r="I1472" s="2">
        <v>4</v>
      </c>
      <c r="J1472" s="2">
        <f>COUNTIFS($F$13:F1472,F1472,$I$13:I1472,I1472)</f>
        <v>14</v>
      </c>
      <c r="O1472" s="8">
        <v>1028203</v>
      </c>
      <c r="P1472" s="8">
        <v>1028303</v>
      </c>
    </row>
    <row r="1473" spans="1:17">
      <c r="A1473" s="14" t="s">
        <v>14</v>
      </c>
      <c r="B1473" s="8">
        <f t="shared" si="64"/>
        <v>70283501</v>
      </c>
      <c r="C1473" s="16" t="s">
        <v>1549</v>
      </c>
      <c r="D1473" s="2" t="s">
        <v>1550</v>
      </c>
      <c r="E1473" s="2" t="str">
        <f>F1473&amp;(VLOOKUP(G1473,编号表!$E$1:$G$8,2,0))&amp;H1473&amp;"_"&amp;I1473&amp;"_"&amp;J1473</f>
        <v>28T3_5_1</v>
      </c>
      <c r="F1473" s="2">
        <v>28</v>
      </c>
      <c r="G1473" s="2" t="s">
        <v>53</v>
      </c>
      <c r="H1473" s="2">
        <v>3</v>
      </c>
      <c r="I1473" s="2">
        <v>5</v>
      </c>
      <c r="J1473" s="2">
        <f>COUNTIFS($F$13:F1473,F1473,$I$13:I1473,I1473)</f>
        <v>1</v>
      </c>
      <c r="M1473" s="2">
        <v>157</v>
      </c>
    </row>
    <row r="1474" spans="1:17">
      <c r="A1474" s="14" t="s">
        <v>14</v>
      </c>
      <c r="B1474" s="8">
        <f t="shared" si="64"/>
        <v>70281502</v>
      </c>
      <c r="C1474" s="15" t="s">
        <v>1551</v>
      </c>
      <c r="E1474" s="2" t="str">
        <f>F1474&amp;(VLOOKUP(G1474,编号表!$E$1:$G$8,2,0))&amp;H1474&amp;"_"&amp;I1474&amp;"_"&amp;J1474</f>
        <v>28T1_5_2</v>
      </c>
      <c r="F1474" s="2">
        <v>28</v>
      </c>
      <c r="G1474" s="2" t="s">
        <v>53</v>
      </c>
      <c r="H1474" s="2">
        <v>1</v>
      </c>
      <c r="I1474" s="2">
        <v>5</v>
      </c>
      <c r="J1474" s="2">
        <f>COUNTIFS($F$13:F1474,F1474,$I$13:I1474,I1474)</f>
        <v>2</v>
      </c>
    </row>
    <row r="1475" spans="1:17">
      <c r="A1475" s="14" t="s">
        <v>14</v>
      </c>
      <c r="B1475" s="8">
        <f t="shared" si="64"/>
        <v>70284503</v>
      </c>
      <c r="C1475" s="2" t="s">
        <v>1552</v>
      </c>
      <c r="E1475" s="2" t="str">
        <f>F1475&amp;(VLOOKUP(G1475,编号表!$E$1:$G$8,2,0))&amp;H1475&amp;"_"&amp;I1475&amp;"_"&amp;J1475</f>
        <v>28N4_5_3</v>
      </c>
      <c r="F1475" s="2">
        <v>28</v>
      </c>
      <c r="G1475" s="2" t="s">
        <v>37</v>
      </c>
      <c r="H1475" s="2">
        <v>4</v>
      </c>
      <c r="I1475" s="2">
        <v>5</v>
      </c>
      <c r="J1475" s="2">
        <f>COUNTIFS($F$13:F1475,F1475,$I$13:I1475,I1475)</f>
        <v>3</v>
      </c>
      <c r="O1475" s="8">
        <v>1028203</v>
      </c>
      <c r="P1475" s="8">
        <v>1028303</v>
      </c>
    </row>
    <row r="1476" spans="1:17">
      <c r="A1476" s="14" t="s">
        <v>14</v>
      </c>
      <c r="B1476" s="8">
        <f t="shared" si="64"/>
        <v>70284504</v>
      </c>
      <c r="C1476" s="2" t="s">
        <v>1553</v>
      </c>
      <c r="E1476" s="2" t="str">
        <f>F1476&amp;(VLOOKUP(G1476,编号表!$E$1:$G$8,2,0))&amp;H1476&amp;"_"&amp;I1476&amp;"_"&amp;J1476</f>
        <v>28N4_5_4</v>
      </c>
      <c r="F1476" s="2">
        <v>28</v>
      </c>
      <c r="G1476" s="2" t="s">
        <v>37</v>
      </c>
      <c r="H1476" s="2">
        <v>4</v>
      </c>
      <c r="I1476" s="2">
        <v>5</v>
      </c>
      <c r="J1476" s="2">
        <f>COUNTIFS($F$13:F1476,F1476,$I$13:I1476,I1476)</f>
        <v>4</v>
      </c>
      <c r="O1476" s="8">
        <v>1028203</v>
      </c>
      <c r="P1476" s="8">
        <v>1028303</v>
      </c>
    </row>
    <row r="1477" spans="1:17">
      <c r="A1477" s="14" t="s">
        <v>14</v>
      </c>
      <c r="B1477" s="8">
        <f t="shared" ref="B1477:B1508" si="65">70000000+F1477*10000+H1477*1000+I1477*100+J1477</f>
        <v>70284505</v>
      </c>
      <c r="C1477" s="2" t="s">
        <v>1554</v>
      </c>
      <c r="E1477" s="2" t="str">
        <f>F1477&amp;(VLOOKUP(G1477,编号表!$E$1:$G$8,2,0))&amp;H1477&amp;"_"&amp;I1477&amp;"_"&amp;J1477</f>
        <v>28N4_5_5</v>
      </c>
      <c r="F1477" s="2">
        <v>28</v>
      </c>
      <c r="G1477" s="2" t="s">
        <v>37</v>
      </c>
      <c r="H1477" s="2">
        <v>4</v>
      </c>
      <c r="I1477" s="2">
        <v>5</v>
      </c>
      <c r="J1477" s="2">
        <f>COUNTIFS($F$13:F1477,F1477,$I$13:I1477,I1477)</f>
        <v>5</v>
      </c>
      <c r="O1477" s="8">
        <v>1028203</v>
      </c>
      <c r="P1477" s="8">
        <v>1028303</v>
      </c>
    </row>
    <row r="1478" spans="1:17">
      <c r="A1478" s="14" t="s">
        <v>14</v>
      </c>
      <c r="B1478" s="8">
        <f t="shared" si="65"/>
        <v>70284506</v>
      </c>
      <c r="C1478" s="2" t="s">
        <v>1555</v>
      </c>
      <c r="E1478" s="2" t="str">
        <f>F1478&amp;(VLOOKUP(G1478,编号表!$E$1:$G$8,2,0))&amp;H1478&amp;"_"&amp;I1478&amp;"_"&amp;J1478</f>
        <v>28N4_5_6</v>
      </c>
      <c r="F1478" s="2">
        <v>28</v>
      </c>
      <c r="G1478" s="2" t="s">
        <v>37</v>
      </c>
      <c r="H1478" s="2">
        <v>4</v>
      </c>
      <c r="I1478" s="2">
        <v>5</v>
      </c>
      <c r="J1478" s="2">
        <f>COUNTIFS($F$13:F1478,F1478,$I$13:I1478,I1478)</f>
        <v>6</v>
      </c>
      <c r="O1478" s="8">
        <v>1028203</v>
      </c>
      <c r="P1478" s="8">
        <v>1028303</v>
      </c>
    </row>
    <row r="1479" spans="1:17">
      <c r="A1479" s="14" t="s">
        <v>14</v>
      </c>
      <c r="B1479" s="8">
        <f t="shared" si="65"/>
        <v>70284507</v>
      </c>
      <c r="C1479" s="2" t="s">
        <v>1556</v>
      </c>
      <c r="E1479" s="2" t="str">
        <f>F1479&amp;(VLOOKUP(G1479,编号表!$E$1:$G$8,2,0))&amp;H1479&amp;"_"&amp;I1479&amp;"_"&amp;J1479</f>
        <v>28N4_5_7</v>
      </c>
      <c r="F1479" s="2">
        <v>28</v>
      </c>
      <c r="G1479" s="2" t="s">
        <v>37</v>
      </c>
      <c r="H1479" s="2">
        <v>4</v>
      </c>
      <c r="I1479" s="2">
        <v>5</v>
      </c>
      <c r="J1479" s="2">
        <f>COUNTIFS($F$13:F1479,F1479,$I$13:I1479,I1479)</f>
        <v>7</v>
      </c>
      <c r="O1479" s="8">
        <v>1028203</v>
      </c>
      <c r="P1479" s="8">
        <v>1028303</v>
      </c>
    </row>
    <row r="1480" spans="1:17">
      <c r="A1480" s="14" t="s">
        <v>14</v>
      </c>
      <c r="B1480" s="8">
        <f t="shared" si="65"/>
        <v>70281508</v>
      </c>
      <c r="C1480" s="2" t="s">
        <v>1557</v>
      </c>
      <c r="E1480" s="2" t="str">
        <f>F1480&amp;(VLOOKUP(G1480,编号表!$E$1:$G$8,2,0))&amp;H1480&amp;"_"&amp;I1480&amp;"_"&amp;J1480</f>
        <v>28N1_5_8</v>
      </c>
      <c r="F1480" s="2">
        <v>28</v>
      </c>
      <c r="G1480" s="2" t="s">
        <v>37</v>
      </c>
      <c r="H1480" s="2">
        <v>1</v>
      </c>
      <c r="I1480" s="2">
        <v>5</v>
      </c>
      <c r="J1480" s="2">
        <f>COUNTIFS($F$13:F1480,F1480,$I$13:I1480,I1480)</f>
        <v>8</v>
      </c>
      <c r="O1480" s="8">
        <v>1028203</v>
      </c>
      <c r="P1480" s="8">
        <v>1028303</v>
      </c>
    </row>
    <row r="1481" spans="1:17">
      <c r="A1481" s="14" t="s">
        <v>14</v>
      </c>
      <c r="B1481" s="8">
        <f t="shared" si="65"/>
        <v>70284509</v>
      </c>
      <c r="C1481" s="2" t="s">
        <v>1558</v>
      </c>
      <c r="E1481" s="2" t="str">
        <f>F1481&amp;(VLOOKUP(G1481,编号表!$E$1:$G$8,2,0))&amp;H1481&amp;"_"&amp;I1481&amp;"_"&amp;J1481</f>
        <v>28N4_5_9</v>
      </c>
      <c r="F1481" s="2">
        <v>28</v>
      </c>
      <c r="G1481" s="2" t="s">
        <v>37</v>
      </c>
      <c r="H1481" s="2">
        <v>4</v>
      </c>
      <c r="I1481" s="2">
        <v>5</v>
      </c>
      <c r="J1481" s="2">
        <f>COUNTIFS($F$13:F1481,F1481,$I$13:I1481,I1481)</f>
        <v>9</v>
      </c>
      <c r="O1481" s="8">
        <v>1028203</v>
      </c>
      <c r="P1481" s="8">
        <v>1028303</v>
      </c>
    </row>
    <row r="1482" spans="1:17">
      <c r="A1482" s="14" t="s">
        <v>14</v>
      </c>
      <c r="B1482" s="8">
        <f t="shared" si="65"/>
        <v>70283510</v>
      </c>
      <c r="C1482" s="2" t="s">
        <v>1559</v>
      </c>
      <c r="E1482" s="2" t="str">
        <f>F1482&amp;(VLOOKUP(G1482,编号表!$E$1:$G$8,2,0))&amp;H1482&amp;"_"&amp;I1482&amp;"_"&amp;J1482</f>
        <v>28N3_5_10</v>
      </c>
      <c r="F1482" s="2">
        <v>28</v>
      </c>
      <c r="G1482" s="2" t="s">
        <v>37</v>
      </c>
      <c r="H1482" s="2">
        <v>3</v>
      </c>
      <c r="I1482" s="2">
        <v>5</v>
      </c>
      <c r="J1482" s="2">
        <f>COUNTIFS($F$13:F1482,F1482,$I$13:I1482,I1482)</f>
        <v>10</v>
      </c>
      <c r="O1482" s="8">
        <v>1028203</v>
      </c>
      <c r="P1482" s="8">
        <v>1028303</v>
      </c>
    </row>
    <row r="1483" spans="1:17">
      <c r="A1483" s="14" t="s">
        <v>14</v>
      </c>
      <c r="B1483" s="8">
        <f t="shared" si="65"/>
        <v>70280001</v>
      </c>
      <c r="C1483" s="18" t="s">
        <v>1560</v>
      </c>
      <c r="E1483" s="2" t="str">
        <f>F1483&amp;(VLOOKUP(G1483,编号表!$E$1:$G$8,2,0))&amp;H1483&amp;"_"&amp;I1483&amp;"_"&amp;J1483</f>
        <v>28J0_0_1</v>
      </c>
      <c r="F1483" s="2">
        <v>28</v>
      </c>
      <c r="G1483" s="2" t="s">
        <v>86</v>
      </c>
      <c r="H1483" s="2">
        <v>0</v>
      </c>
      <c r="I1483" s="2">
        <v>0</v>
      </c>
      <c r="J1483" s="2">
        <f>COUNTIFS($F$13:F1483,F1483,$I$13:I1483,I1483)</f>
        <v>1</v>
      </c>
      <c r="K1483" s="2">
        <v>1</v>
      </c>
    </row>
    <row r="1484" spans="1:17">
      <c r="A1484" s="14" t="s">
        <v>14</v>
      </c>
      <c r="B1484" s="8">
        <f t="shared" si="65"/>
        <v>70293101</v>
      </c>
      <c r="C1484" s="2" t="s">
        <v>1561</v>
      </c>
      <c r="E1484" s="2" t="str">
        <f>F1484&amp;(VLOOKUP(G1484,编号表!$E$1:$G$8,2,0))&amp;H1484&amp;"_"&amp;I1484&amp;"_"&amp;J1484</f>
        <v>29N3_1_1</v>
      </c>
      <c r="F1484" s="2">
        <v>29</v>
      </c>
      <c r="G1484" s="2" t="s">
        <v>37</v>
      </c>
      <c r="H1484" s="2">
        <v>3</v>
      </c>
      <c r="I1484" s="2">
        <v>1</v>
      </c>
      <c r="J1484" s="2">
        <f>COUNTIFS($F$13:F1484,F1484,$I$13:I1484,I1484)</f>
        <v>1</v>
      </c>
      <c r="O1484" s="8">
        <v>1029203</v>
      </c>
      <c r="P1484" s="8">
        <v>1029303</v>
      </c>
      <c r="Q1484" s="8">
        <v>1029001</v>
      </c>
    </row>
    <row r="1485" spans="1:17">
      <c r="A1485" s="14" t="s">
        <v>14</v>
      </c>
      <c r="B1485" s="8">
        <f t="shared" si="65"/>
        <v>70295102</v>
      </c>
      <c r="C1485" s="2" t="s">
        <v>1562</v>
      </c>
      <c r="E1485" s="2" t="str">
        <f>F1485&amp;(VLOOKUP(G1485,编号表!$E$1:$G$8,2,0))&amp;H1485&amp;"_"&amp;I1485&amp;"_"&amp;J1485</f>
        <v>29N5_1_2</v>
      </c>
      <c r="F1485" s="2">
        <v>29</v>
      </c>
      <c r="G1485" s="2" t="s">
        <v>37</v>
      </c>
      <c r="H1485" s="2">
        <v>5</v>
      </c>
      <c r="I1485" s="2">
        <v>1</v>
      </c>
      <c r="J1485" s="2">
        <f>COUNTIFS($F$13:F1485,F1485,$I$13:I1485,I1485)</f>
        <v>2</v>
      </c>
      <c r="O1485" s="8">
        <v>1029203</v>
      </c>
      <c r="P1485" s="8">
        <v>1029303</v>
      </c>
      <c r="Q1485" s="8">
        <v>1029101</v>
      </c>
    </row>
    <row r="1486" spans="1:17">
      <c r="A1486" s="14" t="s">
        <v>14</v>
      </c>
      <c r="B1486" s="8">
        <f t="shared" si="65"/>
        <v>70295103</v>
      </c>
      <c r="C1486" s="2" t="s">
        <v>1563</v>
      </c>
      <c r="E1486" s="2" t="str">
        <f>F1486&amp;(VLOOKUP(G1486,编号表!$E$1:$G$8,2,0))&amp;H1486&amp;"_"&amp;I1486&amp;"_"&amp;J1486</f>
        <v>29N5_1_3</v>
      </c>
      <c r="F1486" s="2">
        <v>29</v>
      </c>
      <c r="G1486" s="2" t="s">
        <v>37</v>
      </c>
      <c r="H1486" s="2">
        <v>5</v>
      </c>
      <c r="I1486" s="2">
        <v>1</v>
      </c>
      <c r="J1486" s="2">
        <f>COUNTIFS($F$13:F1486,F1486,$I$13:I1486,I1486)</f>
        <v>3</v>
      </c>
      <c r="O1486" s="8">
        <v>1029203</v>
      </c>
      <c r="P1486" s="8">
        <v>1029303</v>
      </c>
    </row>
    <row r="1487" spans="1:17">
      <c r="A1487" s="14" t="s">
        <v>14</v>
      </c>
      <c r="B1487" s="8">
        <f t="shared" si="65"/>
        <v>70295104</v>
      </c>
      <c r="C1487" s="2" t="s">
        <v>1564</v>
      </c>
      <c r="E1487" s="2" t="str">
        <f>F1487&amp;(VLOOKUP(G1487,编号表!$E$1:$G$8,2,0))&amp;H1487&amp;"_"&amp;I1487&amp;"_"&amp;J1487</f>
        <v>29N5_1_4</v>
      </c>
      <c r="F1487" s="2">
        <v>29</v>
      </c>
      <c r="G1487" s="2" t="s">
        <v>37</v>
      </c>
      <c r="H1487" s="2">
        <v>5</v>
      </c>
      <c r="I1487" s="2">
        <v>1</v>
      </c>
      <c r="J1487" s="2">
        <f>COUNTIFS($F$13:F1487,F1487,$I$13:I1487,I1487)</f>
        <v>4</v>
      </c>
      <c r="O1487" s="8">
        <v>1029203</v>
      </c>
      <c r="P1487" s="8">
        <v>1029303</v>
      </c>
    </row>
    <row r="1488" spans="1:17">
      <c r="A1488" s="14" t="s">
        <v>14</v>
      </c>
      <c r="B1488" s="8">
        <f t="shared" si="65"/>
        <v>70295105</v>
      </c>
      <c r="C1488" s="2" t="s">
        <v>1565</v>
      </c>
      <c r="E1488" s="2" t="str">
        <f>F1488&amp;(VLOOKUP(G1488,编号表!$E$1:$G$8,2,0))&amp;H1488&amp;"_"&amp;I1488&amp;"_"&amp;J1488</f>
        <v>29N5_1_5</v>
      </c>
      <c r="F1488" s="2">
        <v>29</v>
      </c>
      <c r="G1488" s="2" t="s">
        <v>37</v>
      </c>
      <c r="H1488" s="2">
        <v>5</v>
      </c>
      <c r="I1488" s="2">
        <v>1</v>
      </c>
      <c r="J1488" s="2">
        <f>COUNTIFS($F$13:F1488,F1488,$I$13:I1488,I1488)</f>
        <v>5</v>
      </c>
      <c r="O1488" s="8">
        <v>1029203</v>
      </c>
      <c r="P1488" s="8">
        <v>1029303</v>
      </c>
    </row>
    <row r="1489" spans="1:16">
      <c r="A1489" s="14" t="s">
        <v>14</v>
      </c>
      <c r="B1489" s="8">
        <f t="shared" si="65"/>
        <v>70295106</v>
      </c>
      <c r="C1489" s="2" t="s">
        <v>1566</v>
      </c>
      <c r="E1489" s="2" t="str">
        <f>F1489&amp;(VLOOKUP(G1489,编号表!$E$1:$G$8,2,0))&amp;H1489&amp;"_"&amp;I1489&amp;"_"&amp;J1489</f>
        <v>29N5_1_6</v>
      </c>
      <c r="F1489" s="2">
        <v>29</v>
      </c>
      <c r="G1489" s="2" t="s">
        <v>37</v>
      </c>
      <c r="H1489" s="2">
        <v>5</v>
      </c>
      <c r="I1489" s="2">
        <v>1</v>
      </c>
      <c r="J1489" s="2">
        <f>COUNTIFS($F$13:F1489,F1489,$I$13:I1489,I1489)</f>
        <v>6</v>
      </c>
      <c r="O1489" s="8">
        <v>1029203</v>
      </c>
      <c r="P1489" s="8">
        <v>1029303</v>
      </c>
    </row>
    <row r="1490" spans="1:16">
      <c r="A1490" s="14" t="s">
        <v>14</v>
      </c>
      <c r="B1490" s="8">
        <f t="shared" si="65"/>
        <v>70295107</v>
      </c>
      <c r="C1490" s="2" t="s">
        <v>1567</v>
      </c>
      <c r="E1490" s="2" t="str">
        <f>F1490&amp;(VLOOKUP(G1490,编号表!$E$1:$G$8,2,0))&amp;H1490&amp;"_"&amp;I1490&amp;"_"&amp;J1490</f>
        <v>29N5_1_7</v>
      </c>
      <c r="F1490" s="2">
        <v>29</v>
      </c>
      <c r="G1490" s="2" t="s">
        <v>37</v>
      </c>
      <c r="H1490" s="2">
        <v>5</v>
      </c>
      <c r="I1490" s="2">
        <v>1</v>
      </c>
      <c r="J1490" s="2">
        <f>COUNTIFS($F$13:F1490,F1490,$I$13:I1490,I1490)</f>
        <v>7</v>
      </c>
      <c r="O1490" s="8">
        <v>1029203</v>
      </c>
      <c r="P1490" s="8">
        <v>1029303</v>
      </c>
    </row>
    <row r="1491" spans="1:16">
      <c r="A1491" s="14" t="s">
        <v>14</v>
      </c>
      <c r="B1491" s="8">
        <f t="shared" si="65"/>
        <v>70293201</v>
      </c>
      <c r="C1491" s="16" t="s">
        <v>1568</v>
      </c>
      <c r="D1491" s="2" t="s">
        <v>1551</v>
      </c>
      <c r="E1491" s="2" t="str">
        <f>F1491&amp;(VLOOKUP(G1491,编号表!$E$1:$G$8,2,0))&amp;H1491&amp;"_"&amp;I1491&amp;"_"&amp;J1491</f>
        <v>29T3_2_1</v>
      </c>
      <c r="F1491" s="2">
        <v>29</v>
      </c>
      <c r="G1491" s="2" t="s">
        <v>53</v>
      </c>
      <c r="H1491" s="2">
        <v>3</v>
      </c>
      <c r="I1491" s="2">
        <v>2</v>
      </c>
      <c r="J1491" s="2">
        <f>COUNTIFS($F$13:F1491,F1491,$I$13:I1491,I1491)</f>
        <v>1</v>
      </c>
      <c r="M1491" s="2">
        <v>158</v>
      </c>
    </row>
    <row r="1492" spans="1:16">
      <c r="A1492" s="14" t="s">
        <v>14</v>
      </c>
      <c r="B1492" s="8">
        <f t="shared" si="65"/>
        <v>70291202</v>
      </c>
      <c r="C1492" s="15" t="s">
        <v>1550</v>
      </c>
      <c r="E1492" s="2" t="str">
        <f>F1492&amp;(VLOOKUP(G1492,编号表!$E$1:$G$8,2,0))&amp;H1492&amp;"_"&amp;I1492&amp;"_"&amp;J1492</f>
        <v>29T1_2_2</v>
      </c>
      <c r="F1492" s="2">
        <v>29</v>
      </c>
      <c r="G1492" s="2" t="s">
        <v>53</v>
      </c>
      <c r="H1492" s="2">
        <v>1</v>
      </c>
      <c r="I1492" s="2">
        <v>2</v>
      </c>
      <c r="J1492" s="2">
        <f>COUNTIFS($F$13:F1492,F1492,$I$13:I1492,I1492)</f>
        <v>2</v>
      </c>
      <c r="L1492" s="2">
        <v>1</v>
      </c>
    </row>
    <row r="1493" spans="1:16">
      <c r="A1493" s="14" t="s">
        <v>14</v>
      </c>
      <c r="B1493" s="8">
        <f t="shared" si="65"/>
        <v>70294203</v>
      </c>
      <c r="C1493" s="2" t="s">
        <v>1569</v>
      </c>
      <c r="E1493" s="2" t="str">
        <f>F1493&amp;(VLOOKUP(G1493,编号表!$E$1:$G$8,2,0))&amp;H1493&amp;"_"&amp;I1493&amp;"_"&amp;J1493</f>
        <v>29N4_2_3</v>
      </c>
      <c r="F1493" s="2">
        <v>29</v>
      </c>
      <c r="G1493" s="2" t="s">
        <v>37</v>
      </c>
      <c r="H1493" s="2">
        <v>4</v>
      </c>
      <c r="I1493" s="2">
        <v>2</v>
      </c>
      <c r="J1493" s="2">
        <f>COUNTIFS($F$13:F1493,F1493,$I$13:I1493,I1493)</f>
        <v>3</v>
      </c>
      <c r="O1493" s="8">
        <v>1029203</v>
      </c>
      <c r="P1493" s="8">
        <v>1029303</v>
      </c>
    </row>
    <row r="1494" spans="1:16">
      <c r="A1494" s="14" t="s">
        <v>14</v>
      </c>
      <c r="B1494" s="8">
        <f t="shared" si="65"/>
        <v>70294204</v>
      </c>
      <c r="C1494" s="2" t="s">
        <v>1570</v>
      </c>
      <c r="E1494" s="2" t="str">
        <f>F1494&amp;(VLOOKUP(G1494,编号表!$E$1:$G$8,2,0))&amp;H1494&amp;"_"&amp;I1494&amp;"_"&amp;J1494</f>
        <v>29N4_2_4</v>
      </c>
      <c r="F1494" s="2">
        <v>29</v>
      </c>
      <c r="G1494" s="2" t="s">
        <v>37</v>
      </c>
      <c r="H1494" s="2">
        <v>4</v>
      </c>
      <c r="I1494" s="2">
        <v>2</v>
      </c>
      <c r="J1494" s="2">
        <f>COUNTIFS($F$13:F1494,F1494,$I$13:I1494,I1494)</f>
        <v>4</v>
      </c>
      <c r="O1494" s="8">
        <v>1029203</v>
      </c>
      <c r="P1494" s="8">
        <v>1029303</v>
      </c>
    </row>
    <row r="1495" spans="1:16">
      <c r="A1495" s="14" t="s">
        <v>14</v>
      </c>
      <c r="B1495" s="8">
        <f t="shared" si="65"/>
        <v>70295205</v>
      </c>
      <c r="C1495" s="2" t="s">
        <v>1571</v>
      </c>
      <c r="E1495" s="2" t="str">
        <f>F1495&amp;(VLOOKUP(G1495,编号表!$E$1:$G$8,2,0))&amp;H1495&amp;"_"&amp;I1495&amp;"_"&amp;J1495</f>
        <v>29N5_2_5</v>
      </c>
      <c r="F1495" s="2">
        <v>29</v>
      </c>
      <c r="G1495" s="2" t="s">
        <v>37</v>
      </c>
      <c r="H1495" s="2">
        <v>5</v>
      </c>
      <c r="I1495" s="2">
        <v>2</v>
      </c>
      <c r="J1495" s="2">
        <f>COUNTIFS($F$13:F1495,F1495,$I$13:I1495,I1495)</f>
        <v>5</v>
      </c>
      <c r="O1495" s="8">
        <v>1029203</v>
      </c>
      <c r="P1495" s="8">
        <v>1029303</v>
      </c>
    </row>
    <row r="1496" spans="1:16">
      <c r="A1496" s="14" t="s">
        <v>14</v>
      </c>
      <c r="B1496" s="8">
        <f t="shared" si="65"/>
        <v>70295206</v>
      </c>
      <c r="C1496" s="2" t="s">
        <v>1572</v>
      </c>
      <c r="E1496" s="2" t="str">
        <f>F1496&amp;(VLOOKUP(G1496,编号表!$E$1:$G$8,2,0))&amp;H1496&amp;"_"&amp;I1496&amp;"_"&amp;J1496</f>
        <v>29N5_2_6</v>
      </c>
      <c r="F1496" s="2">
        <v>29</v>
      </c>
      <c r="G1496" s="2" t="s">
        <v>37</v>
      </c>
      <c r="H1496" s="2">
        <v>5</v>
      </c>
      <c r="I1496" s="2">
        <v>2</v>
      </c>
      <c r="J1496" s="2">
        <f>COUNTIFS($F$13:F1496,F1496,$I$13:I1496,I1496)</f>
        <v>6</v>
      </c>
      <c r="O1496" s="8">
        <v>1029203</v>
      </c>
      <c r="P1496" s="8">
        <v>1029303</v>
      </c>
    </row>
    <row r="1497" spans="1:16">
      <c r="A1497" s="14" t="s">
        <v>14</v>
      </c>
      <c r="B1497" s="8">
        <f t="shared" si="65"/>
        <v>70295207</v>
      </c>
      <c r="C1497" s="2" t="s">
        <v>1573</v>
      </c>
      <c r="E1497" s="2" t="str">
        <f>F1497&amp;(VLOOKUP(G1497,编号表!$E$1:$G$8,2,0))&amp;H1497&amp;"_"&amp;I1497&amp;"_"&amp;J1497</f>
        <v>29N5_2_7</v>
      </c>
      <c r="F1497" s="2">
        <v>29</v>
      </c>
      <c r="G1497" s="2" t="s">
        <v>37</v>
      </c>
      <c r="H1497" s="2">
        <v>5</v>
      </c>
      <c r="I1497" s="2">
        <v>2</v>
      </c>
      <c r="J1497" s="2">
        <f>COUNTIFS($F$13:F1497,F1497,$I$13:I1497,I1497)</f>
        <v>7</v>
      </c>
      <c r="O1497" s="8">
        <v>1029203</v>
      </c>
      <c r="P1497" s="8">
        <v>1029303</v>
      </c>
    </row>
    <row r="1498" spans="1:16">
      <c r="A1498" s="14" t="s">
        <v>14</v>
      </c>
      <c r="B1498" s="8">
        <f t="shared" si="65"/>
        <v>70295208</v>
      </c>
      <c r="C1498" s="2" t="s">
        <v>1574</v>
      </c>
      <c r="E1498" s="2" t="str">
        <f>F1498&amp;(VLOOKUP(G1498,编号表!$E$1:$G$8,2,0))&amp;H1498&amp;"_"&amp;I1498&amp;"_"&amp;J1498</f>
        <v>29N5_2_8</v>
      </c>
      <c r="F1498" s="2">
        <v>29</v>
      </c>
      <c r="G1498" s="2" t="s">
        <v>37</v>
      </c>
      <c r="H1498" s="2">
        <v>5</v>
      </c>
      <c r="I1498" s="2">
        <v>2</v>
      </c>
      <c r="J1498" s="2">
        <f>COUNTIFS($F$13:F1498,F1498,$I$13:I1498,I1498)</f>
        <v>8</v>
      </c>
      <c r="O1498" s="8">
        <v>1029203</v>
      </c>
      <c r="P1498" s="8">
        <v>1029303</v>
      </c>
    </row>
    <row r="1499" spans="1:16">
      <c r="A1499" s="14" t="s">
        <v>14</v>
      </c>
      <c r="B1499" s="8">
        <f t="shared" si="65"/>
        <v>70295209</v>
      </c>
      <c r="C1499" s="2" t="s">
        <v>1575</v>
      </c>
      <c r="E1499" s="2" t="str">
        <f>F1499&amp;(VLOOKUP(G1499,编号表!$E$1:$G$8,2,0))&amp;H1499&amp;"_"&amp;I1499&amp;"_"&amp;J1499</f>
        <v>29N5_2_9</v>
      </c>
      <c r="F1499" s="2">
        <v>29</v>
      </c>
      <c r="G1499" s="2" t="s">
        <v>37</v>
      </c>
      <c r="H1499" s="2">
        <v>5</v>
      </c>
      <c r="I1499" s="2">
        <v>2</v>
      </c>
      <c r="J1499" s="2">
        <f>COUNTIFS($F$13:F1499,F1499,$I$13:I1499,I1499)</f>
        <v>9</v>
      </c>
      <c r="O1499" s="8">
        <v>1029203</v>
      </c>
      <c r="P1499" s="8">
        <v>1029303</v>
      </c>
    </row>
    <row r="1500" spans="1:16">
      <c r="A1500" s="14" t="s">
        <v>14</v>
      </c>
      <c r="B1500" s="8">
        <f t="shared" si="65"/>
        <v>70294210</v>
      </c>
      <c r="C1500" s="2" t="s">
        <v>1576</v>
      </c>
      <c r="E1500" s="2" t="str">
        <f>F1500&amp;(VLOOKUP(G1500,编号表!$E$1:$G$8,2,0))&amp;H1500&amp;"_"&amp;I1500&amp;"_"&amp;J1500</f>
        <v>29N4_2_10</v>
      </c>
      <c r="F1500" s="2">
        <v>29</v>
      </c>
      <c r="G1500" s="2" t="s">
        <v>37</v>
      </c>
      <c r="H1500" s="2">
        <v>4</v>
      </c>
      <c r="I1500" s="2">
        <v>2</v>
      </c>
      <c r="J1500" s="2">
        <f>COUNTIFS($F$13:F1500,F1500,$I$13:I1500,I1500)</f>
        <v>10</v>
      </c>
      <c r="O1500" s="8">
        <v>1029203</v>
      </c>
      <c r="P1500" s="8">
        <v>1029303</v>
      </c>
    </row>
    <row r="1501" spans="1:16">
      <c r="A1501" s="14" t="s">
        <v>14</v>
      </c>
      <c r="B1501" s="8">
        <f t="shared" si="65"/>
        <v>70293301</v>
      </c>
      <c r="C1501" s="2" t="s">
        <v>1577</v>
      </c>
      <c r="E1501" s="2" t="str">
        <f>F1501&amp;(VLOOKUP(G1501,编号表!$E$1:$G$8,2,0))&amp;H1501&amp;"_"&amp;I1501&amp;"_"&amp;J1501</f>
        <v>29N3_3_1</v>
      </c>
      <c r="F1501" s="2">
        <v>29</v>
      </c>
      <c r="G1501" s="2" t="s">
        <v>37</v>
      </c>
      <c r="H1501" s="2">
        <v>3</v>
      </c>
      <c r="I1501" s="2">
        <v>3</v>
      </c>
      <c r="J1501" s="2">
        <f>COUNTIFS($F$13:F1501,F1501,$I$13:I1501,I1501)</f>
        <v>1</v>
      </c>
      <c r="O1501" s="8">
        <v>1029203</v>
      </c>
      <c r="P1501" s="8">
        <v>1029303</v>
      </c>
    </row>
    <row r="1502" spans="1:16">
      <c r="A1502" s="14" t="s">
        <v>14</v>
      </c>
      <c r="B1502" s="8">
        <f t="shared" si="65"/>
        <v>70293302</v>
      </c>
      <c r="C1502" s="2" t="s">
        <v>1578</v>
      </c>
      <c r="E1502" s="2" t="str">
        <f>F1502&amp;(VLOOKUP(G1502,编号表!$E$1:$G$8,2,0))&amp;H1502&amp;"_"&amp;I1502&amp;"_"&amp;J1502</f>
        <v>29N3_3_2</v>
      </c>
      <c r="F1502" s="2">
        <v>29</v>
      </c>
      <c r="G1502" s="2" t="s">
        <v>37</v>
      </c>
      <c r="H1502" s="2">
        <v>3</v>
      </c>
      <c r="I1502" s="2">
        <v>3</v>
      </c>
      <c r="J1502" s="2">
        <f>COUNTIFS($F$13:F1502,F1502,$I$13:I1502,I1502)</f>
        <v>2</v>
      </c>
      <c r="O1502" s="8">
        <v>1029203</v>
      </c>
      <c r="P1502" s="8">
        <v>1029303</v>
      </c>
    </row>
    <row r="1503" spans="1:16">
      <c r="A1503" s="14" t="s">
        <v>14</v>
      </c>
      <c r="B1503" s="8">
        <f t="shared" si="65"/>
        <v>70294303</v>
      </c>
      <c r="C1503" s="2" t="s">
        <v>1579</v>
      </c>
      <c r="E1503" s="2" t="str">
        <f>F1503&amp;(VLOOKUP(G1503,编号表!$E$1:$G$8,2,0))&amp;H1503&amp;"_"&amp;I1503&amp;"_"&amp;J1503</f>
        <v>29N4_3_3</v>
      </c>
      <c r="F1503" s="2">
        <v>29</v>
      </c>
      <c r="G1503" s="2" t="s">
        <v>37</v>
      </c>
      <c r="H1503" s="2">
        <v>4</v>
      </c>
      <c r="I1503" s="2">
        <v>3</v>
      </c>
      <c r="J1503" s="2">
        <f>COUNTIFS($F$13:F1503,F1503,$I$13:I1503,I1503)</f>
        <v>3</v>
      </c>
      <c r="O1503" s="8">
        <v>1029203</v>
      </c>
      <c r="P1503" s="8">
        <v>1029303</v>
      </c>
    </row>
    <row r="1504" spans="1:16">
      <c r="A1504" s="14" t="s">
        <v>14</v>
      </c>
      <c r="B1504" s="8">
        <f t="shared" si="65"/>
        <v>70294304</v>
      </c>
      <c r="C1504" s="2" t="s">
        <v>1580</v>
      </c>
      <c r="E1504" s="2" t="str">
        <f>F1504&amp;(VLOOKUP(G1504,编号表!$E$1:$G$8,2,0))&amp;H1504&amp;"_"&amp;I1504&amp;"_"&amp;J1504</f>
        <v>29N4_3_4</v>
      </c>
      <c r="F1504" s="2">
        <v>29</v>
      </c>
      <c r="G1504" s="2" t="s">
        <v>37</v>
      </c>
      <c r="H1504" s="2">
        <v>4</v>
      </c>
      <c r="I1504" s="2">
        <v>3</v>
      </c>
      <c r="J1504" s="2">
        <f>COUNTIFS($F$13:F1504,F1504,$I$13:I1504,I1504)</f>
        <v>4</v>
      </c>
      <c r="O1504" s="8">
        <v>1029203</v>
      </c>
      <c r="P1504" s="8">
        <v>1029303</v>
      </c>
    </row>
    <row r="1505" spans="1:19">
      <c r="A1505" s="14" t="s">
        <v>14</v>
      </c>
      <c r="B1505" s="8">
        <f t="shared" si="65"/>
        <v>70293305</v>
      </c>
      <c r="C1505" s="2" t="s">
        <v>1581</v>
      </c>
      <c r="E1505" s="2" t="str">
        <f>F1505&amp;(VLOOKUP(G1505,编号表!$E$1:$G$8,2,0))&amp;H1505&amp;"_"&amp;I1505&amp;"_"&amp;J1505</f>
        <v>29N3_3_5</v>
      </c>
      <c r="F1505" s="2">
        <v>29</v>
      </c>
      <c r="G1505" s="2" t="s">
        <v>37</v>
      </c>
      <c r="H1505" s="2">
        <v>3</v>
      </c>
      <c r="I1505" s="2">
        <v>3</v>
      </c>
      <c r="J1505" s="2">
        <f>COUNTIFS($F$13:F1505,F1505,$I$13:I1505,I1505)</f>
        <v>5</v>
      </c>
      <c r="O1505" s="8">
        <v>1029203</v>
      </c>
      <c r="P1505" s="8">
        <v>1029303</v>
      </c>
    </row>
    <row r="1506" spans="1:19">
      <c r="A1506" s="14" t="s">
        <v>14</v>
      </c>
      <c r="B1506" s="8">
        <f t="shared" si="65"/>
        <v>70293306</v>
      </c>
      <c r="C1506" s="2" t="s">
        <v>1582</v>
      </c>
      <c r="E1506" s="2" t="str">
        <f>F1506&amp;(VLOOKUP(G1506,编号表!$E$1:$G$8,2,0))&amp;H1506&amp;"_"&amp;I1506&amp;"_"&amp;J1506</f>
        <v>29N3_3_6</v>
      </c>
      <c r="F1506" s="2">
        <v>29</v>
      </c>
      <c r="G1506" s="2" t="s">
        <v>37</v>
      </c>
      <c r="H1506" s="2">
        <v>3</v>
      </c>
      <c r="I1506" s="2">
        <v>3</v>
      </c>
      <c r="J1506" s="2">
        <f>COUNTIFS($F$13:F1506,F1506,$I$13:I1506,I1506)</f>
        <v>6</v>
      </c>
      <c r="O1506" s="8">
        <v>1029203</v>
      </c>
      <c r="P1506" s="8">
        <v>1029303</v>
      </c>
    </row>
    <row r="1507" spans="1:19">
      <c r="A1507" s="14" t="s">
        <v>14</v>
      </c>
      <c r="B1507" s="8">
        <f t="shared" si="65"/>
        <v>70293401</v>
      </c>
      <c r="C1507" s="16" t="s">
        <v>1583</v>
      </c>
      <c r="D1507" s="2" t="s">
        <v>1584</v>
      </c>
      <c r="E1507" s="2" t="str">
        <f>F1507&amp;(VLOOKUP(G1507,编号表!$E$1:$G$8,2,0))&amp;H1507&amp;"_"&amp;I1507&amp;"_"&amp;J1507</f>
        <v>29T3_4_1</v>
      </c>
      <c r="F1507" s="2">
        <v>29</v>
      </c>
      <c r="G1507" s="2" t="s">
        <v>53</v>
      </c>
      <c r="H1507" s="2">
        <v>3</v>
      </c>
      <c r="I1507" s="2">
        <v>4</v>
      </c>
      <c r="J1507" s="2">
        <f>COUNTIFS($F$13:F1507,F1507,$I$13:I1507,I1507)</f>
        <v>1</v>
      </c>
      <c r="M1507" s="2">
        <v>159</v>
      </c>
    </row>
    <row r="1508" spans="1:19">
      <c r="A1508" s="14" t="s">
        <v>14</v>
      </c>
      <c r="B1508" s="8">
        <f t="shared" si="65"/>
        <v>70291402</v>
      </c>
      <c r="C1508" s="15" t="s">
        <v>1585</v>
      </c>
      <c r="E1508" s="2" t="str">
        <f>F1508&amp;(VLOOKUP(G1508,编号表!$E$1:$G$8,2,0))&amp;H1508&amp;"_"&amp;I1508&amp;"_"&amp;J1508</f>
        <v>29T1_4_2</v>
      </c>
      <c r="F1508" s="2">
        <v>29</v>
      </c>
      <c r="G1508" s="2" t="s">
        <v>53</v>
      </c>
      <c r="H1508" s="2">
        <v>1</v>
      </c>
      <c r="I1508" s="2">
        <v>4</v>
      </c>
      <c r="J1508" s="2">
        <f>COUNTIFS($F$13:F1508,F1508,$I$13:I1508,I1508)</f>
        <v>2</v>
      </c>
    </row>
    <row r="1509" spans="1:19">
      <c r="A1509" s="14" t="s">
        <v>14</v>
      </c>
      <c r="B1509" s="8">
        <f t="shared" ref="B1509:B1550" si="66">70000000+F1509*10000+H1509*1000+I1509*100+J1509</f>
        <v>70294403</v>
      </c>
      <c r="C1509" s="2" t="s">
        <v>1586</v>
      </c>
      <c r="E1509" s="2" t="str">
        <f>F1509&amp;(VLOOKUP(G1509,编号表!$E$1:$G$8,2,0))&amp;H1509&amp;"_"&amp;I1509&amp;"_"&amp;J1509</f>
        <v>29N4_4_3</v>
      </c>
      <c r="F1509" s="2">
        <v>29</v>
      </c>
      <c r="G1509" s="2" t="s">
        <v>37</v>
      </c>
      <c r="H1509" s="2">
        <v>4</v>
      </c>
      <c r="I1509" s="2">
        <v>4</v>
      </c>
      <c r="J1509" s="2">
        <f>COUNTIFS($F$13:F1509,F1509,$I$13:I1509,I1509)</f>
        <v>3</v>
      </c>
      <c r="O1509" s="8">
        <v>1029203</v>
      </c>
      <c r="P1509" s="8">
        <v>1029303</v>
      </c>
    </row>
    <row r="1510" spans="1:19">
      <c r="A1510" s="14" t="s">
        <v>14</v>
      </c>
      <c r="B1510" s="8">
        <f t="shared" si="66"/>
        <v>70294404</v>
      </c>
      <c r="C1510" s="2" t="s">
        <v>1587</v>
      </c>
      <c r="E1510" s="2" t="str">
        <f>F1510&amp;(VLOOKUP(G1510,编号表!$E$1:$G$8,2,0))&amp;H1510&amp;"_"&amp;I1510&amp;"_"&amp;J1510</f>
        <v>29N4_4_4</v>
      </c>
      <c r="F1510" s="2">
        <v>29</v>
      </c>
      <c r="G1510" s="2" t="s">
        <v>37</v>
      </c>
      <c r="H1510" s="2">
        <v>4</v>
      </c>
      <c r="I1510" s="2">
        <v>4</v>
      </c>
      <c r="J1510" s="2">
        <f>COUNTIFS($F$13:F1510,F1510,$I$13:I1510,I1510)</f>
        <v>4</v>
      </c>
      <c r="O1510" s="8">
        <v>1029203</v>
      </c>
      <c r="P1510" s="8">
        <v>1029303</v>
      </c>
    </row>
    <row r="1511" spans="1:19">
      <c r="A1511" s="14" t="s">
        <v>14</v>
      </c>
      <c r="B1511" s="8">
        <f t="shared" si="66"/>
        <v>70294405</v>
      </c>
      <c r="C1511" s="2" t="s">
        <v>1588</v>
      </c>
      <c r="E1511" s="2" t="str">
        <f>F1511&amp;(VLOOKUP(G1511,编号表!$E$1:$G$8,2,0))&amp;H1511&amp;"_"&amp;I1511&amp;"_"&amp;J1511</f>
        <v>29N4_4_5</v>
      </c>
      <c r="F1511" s="2">
        <v>29</v>
      </c>
      <c r="G1511" s="2" t="s">
        <v>37</v>
      </c>
      <c r="H1511" s="2">
        <v>4</v>
      </c>
      <c r="I1511" s="2">
        <v>4</v>
      </c>
      <c r="J1511" s="2">
        <f>COUNTIFS($F$13:F1511,F1511,$I$13:I1511,I1511)</f>
        <v>5</v>
      </c>
      <c r="O1511" s="8">
        <v>1029203</v>
      </c>
      <c r="P1511" s="8">
        <v>1029303</v>
      </c>
    </row>
    <row r="1512" spans="1:19">
      <c r="A1512" s="14" t="s">
        <v>14</v>
      </c>
      <c r="B1512" s="8">
        <f t="shared" si="66"/>
        <v>70294406</v>
      </c>
      <c r="C1512" s="2" t="s">
        <v>1589</v>
      </c>
      <c r="E1512" s="2" t="str">
        <f>F1512&amp;(VLOOKUP(G1512,编号表!$E$1:$G$8,2,0))&amp;H1512&amp;"_"&amp;I1512&amp;"_"&amp;J1512</f>
        <v>29N4_4_6</v>
      </c>
      <c r="F1512" s="2">
        <v>29</v>
      </c>
      <c r="G1512" s="2" t="s">
        <v>37</v>
      </c>
      <c r="H1512" s="2">
        <v>4</v>
      </c>
      <c r="I1512" s="2">
        <v>4</v>
      </c>
      <c r="J1512" s="2">
        <f>COUNTIFS($F$13:F1512,F1512,$I$13:I1512,I1512)</f>
        <v>6</v>
      </c>
      <c r="O1512" s="8">
        <v>1029203</v>
      </c>
      <c r="P1512" s="8">
        <v>1029303</v>
      </c>
    </row>
    <row r="1513" spans="1:19">
      <c r="A1513" s="14" t="s">
        <v>14</v>
      </c>
      <c r="B1513" s="8">
        <f t="shared" si="66"/>
        <v>70294407</v>
      </c>
      <c r="C1513" s="2" t="s">
        <v>1590</v>
      </c>
      <c r="E1513" s="2" t="str">
        <f>F1513&amp;(VLOOKUP(G1513,编号表!$E$1:$G$8,2,0))&amp;H1513&amp;"_"&amp;I1513&amp;"_"&amp;J1513</f>
        <v>29N4_4_7</v>
      </c>
      <c r="F1513" s="2">
        <v>29</v>
      </c>
      <c r="G1513" s="2" t="s">
        <v>37</v>
      </c>
      <c r="H1513" s="2">
        <v>4</v>
      </c>
      <c r="I1513" s="2">
        <v>4</v>
      </c>
      <c r="J1513" s="2">
        <f>COUNTIFS($F$13:F1513,F1513,$I$13:I1513,I1513)</f>
        <v>7</v>
      </c>
      <c r="O1513" s="8">
        <v>1029203</v>
      </c>
      <c r="P1513" s="8">
        <v>1029303</v>
      </c>
    </row>
    <row r="1514" spans="1:19">
      <c r="A1514" s="14" t="s">
        <v>14</v>
      </c>
      <c r="B1514" s="8">
        <f t="shared" si="66"/>
        <v>70294408</v>
      </c>
      <c r="C1514" s="2" t="s">
        <v>1591</v>
      </c>
      <c r="E1514" s="2" t="str">
        <f>F1514&amp;(VLOOKUP(G1514,编号表!$E$1:$G$8,2,0))&amp;H1514&amp;"_"&amp;I1514&amp;"_"&amp;J1514</f>
        <v>29N4_4_8</v>
      </c>
      <c r="F1514" s="2">
        <v>29</v>
      </c>
      <c r="G1514" s="2" t="s">
        <v>37</v>
      </c>
      <c r="H1514" s="2">
        <v>4</v>
      </c>
      <c r="I1514" s="2">
        <v>4</v>
      </c>
      <c r="J1514" s="2">
        <f>COUNTIFS($F$13:F1514,F1514,$I$13:I1514,I1514)</f>
        <v>8</v>
      </c>
      <c r="O1514" s="8">
        <v>1029203</v>
      </c>
      <c r="P1514" s="8">
        <v>1029303</v>
      </c>
    </row>
    <row r="1515" spans="1:19">
      <c r="A1515" s="14" t="s">
        <v>14</v>
      </c>
      <c r="B1515" s="8">
        <f t="shared" si="66"/>
        <v>70291409</v>
      </c>
      <c r="C1515" s="2" t="s">
        <v>1592</v>
      </c>
      <c r="E1515" s="2" t="str">
        <f>F1515&amp;(VLOOKUP(G1515,编号表!$E$1:$G$8,2,0))&amp;H1515&amp;"_"&amp;I1515&amp;"_"&amp;J1515</f>
        <v>29N1_4_9</v>
      </c>
      <c r="F1515" s="2">
        <v>29</v>
      </c>
      <c r="G1515" s="2" t="s">
        <v>37</v>
      </c>
      <c r="H1515" s="2">
        <v>1</v>
      </c>
      <c r="I1515" s="2">
        <v>4</v>
      </c>
      <c r="J1515" s="2">
        <f>COUNTIFS($F$13:F1515,F1515,$I$13:I1515,I1515)</f>
        <v>9</v>
      </c>
      <c r="O1515" s="8">
        <v>1029203</v>
      </c>
      <c r="P1515" s="8">
        <v>1029303</v>
      </c>
    </row>
    <row r="1516" spans="1:19">
      <c r="A1516" s="14" t="s">
        <v>14</v>
      </c>
      <c r="B1516" s="8">
        <f t="shared" si="66"/>
        <v>70290001</v>
      </c>
      <c r="C1516" s="18" t="s">
        <v>1593</v>
      </c>
      <c r="E1516" s="2" t="str">
        <f>F1516&amp;(VLOOKUP(G1516,编号表!$E$1:$G$8,2,0))&amp;H1516&amp;"_"&amp;I1516&amp;"_"&amp;J1516</f>
        <v>29J0_0_1</v>
      </c>
      <c r="F1516" s="2">
        <v>29</v>
      </c>
      <c r="G1516" s="2" t="s">
        <v>86</v>
      </c>
      <c r="H1516" s="2">
        <v>0</v>
      </c>
      <c r="I1516" s="2">
        <v>0</v>
      </c>
      <c r="J1516" s="2">
        <f>COUNTIFS($F$13:F1516,F1516,$I$13:I1516,I1516)</f>
        <v>1</v>
      </c>
      <c r="K1516" s="2">
        <v>1</v>
      </c>
    </row>
    <row r="1517" spans="1:19">
      <c r="A1517" s="14" t="s">
        <v>14</v>
      </c>
      <c r="B1517" s="8">
        <f t="shared" si="66"/>
        <v>70304101</v>
      </c>
      <c r="C1517" s="2" t="s">
        <v>1594</v>
      </c>
      <c r="E1517" s="2" t="str">
        <f>F1517&amp;(VLOOKUP(G1517,编号表!$E$1:$G$8,2,0))&amp;H1517&amp;"_"&amp;I1517&amp;"_"&amp;J1517</f>
        <v>30N4_1_1</v>
      </c>
      <c r="F1517" s="2">
        <v>30</v>
      </c>
      <c r="G1517" s="2" t="s">
        <v>37</v>
      </c>
      <c r="H1517" s="2">
        <v>4</v>
      </c>
      <c r="I1517" s="2">
        <v>1</v>
      </c>
      <c r="J1517" s="2">
        <f>COUNTIFS($F$13:F1517,F1517,$I$13:I1517,I1517)</f>
        <v>1</v>
      </c>
      <c r="O1517" s="8">
        <v>1030201</v>
      </c>
      <c r="P1517" s="8">
        <v>1030301</v>
      </c>
      <c r="Q1517" s="8">
        <v>1030401</v>
      </c>
      <c r="R1517" s="8">
        <v>1030501</v>
      </c>
      <c r="S1517" s="8">
        <v>1030001</v>
      </c>
    </row>
    <row r="1518" spans="1:19">
      <c r="A1518" s="14" t="s">
        <v>14</v>
      </c>
      <c r="B1518" s="8">
        <f t="shared" si="66"/>
        <v>70303102</v>
      </c>
      <c r="C1518" s="2" t="s">
        <v>1595</v>
      </c>
      <c r="E1518" s="2" t="str">
        <f>F1518&amp;(VLOOKUP(G1518,编号表!$E$1:$G$8,2,0))&amp;H1518&amp;"_"&amp;I1518&amp;"_"&amp;J1518</f>
        <v>30N3_1_2</v>
      </c>
      <c r="F1518" s="2">
        <v>30</v>
      </c>
      <c r="G1518" s="2" t="s">
        <v>37</v>
      </c>
      <c r="H1518" s="2">
        <v>3</v>
      </c>
      <c r="I1518" s="2">
        <v>1</v>
      </c>
      <c r="J1518" s="2">
        <f>COUNTIFS($F$13:F1518,F1518,$I$13:I1518,I1518)</f>
        <v>2</v>
      </c>
      <c r="O1518" s="8">
        <v>1030201</v>
      </c>
      <c r="P1518" s="8">
        <v>1030301</v>
      </c>
      <c r="Q1518" s="8">
        <v>1030401</v>
      </c>
      <c r="R1518" s="8">
        <v>1030501</v>
      </c>
      <c r="S1518" s="8">
        <v>1030101</v>
      </c>
    </row>
    <row r="1519" spans="1:19">
      <c r="A1519" s="14" t="s">
        <v>14</v>
      </c>
      <c r="B1519" s="8">
        <f t="shared" si="66"/>
        <v>70303103</v>
      </c>
      <c r="C1519" s="2" t="s">
        <v>1596</v>
      </c>
      <c r="E1519" s="2" t="str">
        <f>F1519&amp;(VLOOKUP(G1519,编号表!$E$1:$G$8,2,0))&amp;H1519&amp;"_"&amp;I1519&amp;"_"&amp;J1519</f>
        <v>30N3_1_3</v>
      </c>
      <c r="F1519" s="2">
        <v>30</v>
      </c>
      <c r="G1519" s="2" t="s">
        <v>37</v>
      </c>
      <c r="H1519" s="2">
        <v>3</v>
      </c>
      <c r="I1519" s="2">
        <v>1</v>
      </c>
      <c r="J1519" s="2">
        <f>COUNTIFS($F$13:F1519,F1519,$I$13:I1519,I1519)</f>
        <v>3</v>
      </c>
      <c r="O1519" s="8">
        <v>1030201</v>
      </c>
      <c r="P1519" s="8">
        <v>1030301</v>
      </c>
      <c r="Q1519" s="8">
        <v>1030401</v>
      </c>
      <c r="R1519" s="8">
        <v>1030501</v>
      </c>
    </row>
    <row r="1520" spans="1:19">
      <c r="A1520" s="14" t="s">
        <v>14</v>
      </c>
      <c r="B1520" s="8">
        <f t="shared" si="66"/>
        <v>70304104</v>
      </c>
      <c r="C1520" s="2" t="s">
        <v>1597</v>
      </c>
      <c r="E1520" s="2" t="str">
        <f>F1520&amp;(VLOOKUP(G1520,编号表!$E$1:$G$8,2,0))&amp;H1520&amp;"_"&amp;I1520&amp;"_"&amp;J1520</f>
        <v>30N4_1_4</v>
      </c>
      <c r="F1520" s="2">
        <v>30</v>
      </c>
      <c r="G1520" s="2" t="s">
        <v>37</v>
      </c>
      <c r="H1520" s="2">
        <v>4</v>
      </c>
      <c r="I1520" s="2">
        <v>1</v>
      </c>
      <c r="J1520" s="2">
        <f>COUNTIFS($F$13:F1520,F1520,$I$13:I1520,I1520)</f>
        <v>4</v>
      </c>
      <c r="O1520" s="8">
        <v>1030201</v>
      </c>
      <c r="P1520" s="8">
        <v>1030301</v>
      </c>
      <c r="Q1520" s="8">
        <v>1030401</v>
      </c>
      <c r="R1520" s="8">
        <v>1030501</v>
      </c>
    </row>
    <row r="1521" spans="1:18">
      <c r="A1521" s="14" t="s">
        <v>14</v>
      </c>
      <c r="B1521" s="8">
        <f t="shared" si="66"/>
        <v>70301105</v>
      </c>
      <c r="C1521" s="2" t="s">
        <v>1598</v>
      </c>
      <c r="E1521" s="2" t="str">
        <f>F1521&amp;(VLOOKUP(G1521,编号表!$E$1:$G$8,2,0))&amp;H1521&amp;"_"&amp;I1521&amp;"_"&amp;J1521</f>
        <v>30N1_1_5</v>
      </c>
      <c r="F1521" s="2">
        <v>30</v>
      </c>
      <c r="G1521" s="2" t="s">
        <v>37</v>
      </c>
      <c r="H1521" s="2">
        <v>1</v>
      </c>
      <c r="I1521" s="2">
        <v>1</v>
      </c>
      <c r="J1521" s="2">
        <f>COUNTIFS($F$13:F1521,F1521,$I$13:I1521,I1521)</f>
        <v>5</v>
      </c>
      <c r="O1521" s="8">
        <v>1030201</v>
      </c>
      <c r="P1521" s="8">
        <v>1030301</v>
      </c>
      <c r="Q1521" s="8">
        <v>1030401</v>
      </c>
      <c r="R1521" s="8">
        <v>1030501</v>
      </c>
    </row>
    <row r="1522" spans="1:18">
      <c r="A1522" s="14" t="s">
        <v>14</v>
      </c>
      <c r="B1522" s="8">
        <f t="shared" si="66"/>
        <v>70304106</v>
      </c>
      <c r="C1522" s="2" t="s">
        <v>1599</v>
      </c>
      <c r="E1522" s="2" t="str">
        <f>F1522&amp;(VLOOKUP(G1522,编号表!$E$1:$G$8,2,0))&amp;H1522&amp;"_"&amp;I1522&amp;"_"&amp;J1522</f>
        <v>30N4_1_6</v>
      </c>
      <c r="F1522" s="2">
        <v>30</v>
      </c>
      <c r="G1522" s="2" t="s">
        <v>37</v>
      </c>
      <c r="H1522" s="2">
        <v>4</v>
      </c>
      <c r="I1522" s="2">
        <v>1</v>
      </c>
      <c r="J1522" s="2">
        <f>COUNTIFS($F$13:F1522,F1522,$I$13:I1522,I1522)</f>
        <v>6</v>
      </c>
      <c r="O1522" s="8">
        <v>1030201</v>
      </c>
      <c r="P1522" s="8">
        <v>1030301</v>
      </c>
      <c r="Q1522" s="8">
        <v>1030401</v>
      </c>
      <c r="R1522" s="8">
        <v>1030501</v>
      </c>
    </row>
    <row r="1523" spans="1:18">
      <c r="A1523" s="14" t="s">
        <v>14</v>
      </c>
      <c r="B1523" s="8">
        <f t="shared" si="66"/>
        <v>70303201</v>
      </c>
      <c r="C1523" s="16" t="s">
        <v>1600</v>
      </c>
      <c r="D1523" s="2" t="s">
        <v>1601</v>
      </c>
      <c r="E1523" s="2" t="str">
        <f>F1523&amp;(VLOOKUP(G1523,编号表!$E$1:$G$8,2,0))&amp;H1523&amp;"_"&amp;I1523&amp;"_"&amp;J1523</f>
        <v>30T3_2_1</v>
      </c>
      <c r="F1523" s="2">
        <v>30</v>
      </c>
      <c r="G1523" s="2" t="s">
        <v>53</v>
      </c>
      <c r="H1523" s="2">
        <v>3</v>
      </c>
      <c r="I1523" s="2">
        <v>2</v>
      </c>
      <c r="J1523" s="2">
        <f>COUNTIFS($F$13:F1523,F1523,$I$13:I1523,I1523)</f>
        <v>1</v>
      </c>
      <c r="M1523" s="2">
        <v>161</v>
      </c>
    </row>
    <row r="1524" spans="1:18">
      <c r="A1524" s="14" t="s">
        <v>14</v>
      </c>
      <c r="B1524" s="8">
        <f t="shared" si="66"/>
        <v>70301202</v>
      </c>
      <c r="C1524" s="15" t="s">
        <v>1602</v>
      </c>
      <c r="E1524" s="2" t="str">
        <f>F1524&amp;(VLOOKUP(G1524,编号表!$E$1:$G$8,2,0))&amp;H1524&amp;"_"&amp;I1524&amp;"_"&amp;J1524</f>
        <v>30T1_2_2</v>
      </c>
      <c r="F1524" s="2">
        <v>30</v>
      </c>
      <c r="G1524" s="2" t="s">
        <v>53</v>
      </c>
      <c r="H1524" s="2">
        <v>1</v>
      </c>
      <c r="I1524" s="2">
        <v>2</v>
      </c>
      <c r="J1524" s="2">
        <f>COUNTIFS($F$13:F1524,F1524,$I$13:I1524,I1524)</f>
        <v>2</v>
      </c>
    </row>
    <row r="1525" spans="1:18">
      <c r="A1525" s="14" t="s">
        <v>14</v>
      </c>
      <c r="B1525" s="8">
        <f t="shared" si="66"/>
        <v>70305203</v>
      </c>
      <c r="C1525" s="2" t="s">
        <v>1603</v>
      </c>
      <c r="E1525" s="2" t="str">
        <f>F1525&amp;(VLOOKUP(G1525,编号表!$E$1:$G$8,2,0))&amp;H1525&amp;"_"&amp;I1525&amp;"_"&amp;J1525</f>
        <v>30N5_2_3</v>
      </c>
      <c r="F1525" s="2">
        <v>30</v>
      </c>
      <c r="G1525" s="2" t="s">
        <v>37</v>
      </c>
      <c r="H1525" s="2">
        <v>5</v>
      </c>
      <c r="I1525" s="2">
        <v>2</v>
      </c>
      <c r="J1525" s="2">
        <f>COUNTIFS($F$13:F1525,F1525,$I$13:I1525,I1525)</f>
        <v>3</v>
      </c>
      <c r="O1525" s="8">
        <v>1030201</v>
      </c>
      <c r="P1525" s="8">
        <v>1030301</v>
      </c>
      <c r="Q1525" s="8">
        <v>1030401</v>
      </c>
      <c r="R1525" s="8">
        <v>1030501</v>
      </c>
    </row>
    <row r="1526" spans="1:18">
      <c r="A1526" s="14" t="s">
        <v>14</v>
      </c>
      <c r="B1526" s="8">
        <f t="shared" si="66"/>
        <v>70306204</v>
      </c>
      <c r="C1526" s="2" t="s">
        <v>1604</v>
      </c>
      <c r="E1526" s="2" t="str">
        <f>F1526&amp;(VLOOKUP(G1526,编号表!$E$1:$G$8,2,0))&amp;H1526&amp;"_"&amp;I1526&amp;"_"&amp;J1526</f>
        <v>30N6_2_4</v>
      </c>
      <c r="F1526" s="2">
        <v>30</v>
      </c>
      <c r="G1526" s="2" t="s">
        <v>37</v>
      </c>
      <c r="H1526" s="2">
        <v>6</v>
      </c>
      <c r="I1526" s="2">
        <v>2</v>
      </c>
      <c r="J1526" s="2">
        <f>COUNTIFS($F$13:F1526,F1526,$I$13:I1526,I1526)</f>
        <v>4</v>
      </c>
      <c r="O1526" s="8">
        <v>1030201</v>
      </c>
      <c r="P1526" s="8">
        <v>1030301</v>
      </c>
      <c r="Q1526" s="8">
        <v>1030401</v>
      </c>
      <c r="R1526" s="8">
        <v>1030501</v>
      </c>
    </row>
    <row r="1527" spans="1:18">
      <c r="A1527" s="14" t="s">
        <v>14</v>
      </c>
      <c r="B1527" s="8">
        <f t="shared" si="66"/>
        <v>70303205</v>
      </c>
      <c r="C1527" s="2" t="s">
        <v>1605</v>
      </c>
      <c r="E1527" s="2" t="str">
        <f>F1527&amp;(VLOOKUP(G1527,编号表!$E$1:$G$8,2,0))&amp;H1527&amp;"_"&amp;I1527&amp;"_"&amp;J1527</f>
        <v>30N3_2_5</v>
      </c>
      <c r="F1527" s="2">
        <v>30</v>
      </c>
      <c r="G1527" s="2" t="s">
        <v>37</v>
      </c>
      <c r="H1527" s="2">
        <v>3</v>
      </c>
      <c r="I1527" s="2">
        <v>2</v>
      </c>
      <c r="J1527" s="2">
        <f>COUNTIFS($F$13:F1527,F1527,$I$13:I1527,I1527)</f>
        <v>5</v>
      </c>
      <c r="O1527" s="8">
        <v>1030201</v>
      </c>
      <c r="P1527" s="8">
        <v>1030301</v>
      </c>
      <c r="Q1527" s="8">
        <v>1030401</v>
      </c>
      <c r="R1527" s="8">
        <v>1030501</v>
      </c>
    </row>
    <row r="1528" spans="1:18">
      <c r="A1528" s="14" t="s">
        <v>14</v>
      </c>
      <c r="B1528" s="8">
        <f t="shared" si="66"/>
        <v>70304206</v>
      </c>
      <c r="C1528" s="2" t="s">
        <v>1606</v>
      </c>
      <c r="E1528" s="2" t="str">
        <f>F1528&amp;(VLOOKUP(G1528,编号表!$E$1:$G$8,2,0))&amp;H1528&amp;"_"&amp;I1528&amp;"_"&amp;J1528</f>
        <v>30N4_2_6</v>
      </c>
      <c r="F1528" s="2">
        <v>30</v>
      </c>
      <c r="G1528" s="2" t="s">
        <v>37</v>
      </c>
      <c r="H1528" s="2">
        <v>4</v>
      </c>
      <c r="I1528" s="2">
        <v>2</v>
      </c>
      <c r="J1528" s="2">
        <f>COUNTIFS($F$13:F1528,F1528,$I$13:I1528,I1528)</f>
        <v>6</v>
      </c>
      <c r="O1528" s="8">
        <v>1030201</v>
      </c>
      <c r="P1528" s="8">
        <v>1030301</v>
      </c>
      <c r="Q1528" s="8">
        <v>1030401</v>
      </c>
      <c r="R1528" s="8">
        <v>1030501</v>
      </c>
    </row>
    <row r="1529" spans="1:18">
      <c r="A1529" s="14" t="s">
        <v>14</v>
      </c>
      <c r="B1529" s="8">
        <f t="shared" si="66"/>
        <v>70305207</v>
      </c>
      <c r="C1529" s="2" t="s">
        <v>1607</v>
      </c>
      <c r="E1529" s="2" t="str">
        <f>F1529&amp;(VLOOKUP(G1529,编号表!$E$1:$G$8,2,0))&amp;H1529&amp;"_"&amp;I1529&amp;"_"&amp;J1529</f>
        <v>30N5_2_7</v>
      </c>
      <c r="F1529" s="2">
        <v>30</v>
      </c>
      <c r="G1529" s="2" t="s">
        <v>37</v>
      </c>
      <c r="H1529" s="2">
        <v>5</v>
      </c>
      <c r="I1529" s="2">
        <v>2</v>
      </c>
      <c r="J1529" s="2">
        <f>COUNTIFS($F$13:F1529,F1529,$I$13:I1529,I1529)</f>
        <v>7</v>
      </c>
      <c r="O1529" s="8">
        <v>1030201</v>
      </c>
      <c r="P1529" s="8">
        <v>1030301</v>
      </c>
      <c r="Q1529" s="8">
        <v>1030401</v>
      </c>
      <c r="R1529" s="8">
        <v>1030501</v>
      </c>
    </row>
    <row r="1530" spans="1:18">
      <c r="A1530" s="14" t="s">
        <v>14</v>
      </c>
      <c r="B1530" s="8">
        <f t="shared" si="66"/>
        <v>70302208</v>
      </c>
      <c r="C1530" s="2" t="s">
        <v>1608</v>
      </c>
      <c r="E1530" s="2" t="str">
        <f>F1530&amp;(VLOOKUP(G1530,编号表!$E$1:$G$8,2,0))&amp;H1530&amp;"_"&amp;I1530&amp;"_"&amp;J1530</f>
        <v>30N2_2_8</v>
      </c>
      <c r="F1530" s="2">
        <v>30</v>
      </c>
      <c r="G1530" s="2" t="s">
        <v>37</v>
      </c>
      <c r="H1530" s="2">
        <v>2</v>
      </c>
      <c r="I1530" s="2">
        <v>2</v>
      </c>
      <c r="J1530" s="2">
        <f>COUNTIFS($F$13:F1530,F1530,$I$13:I1530,I1530)</f>
        <v>8</v>
      </c>
      <c r="O1530" s="8">
        <v>1030201</v>
      </c>
      <c r="P1530" s="8">
        <v>1030301</v>
      </c>
      <c r="Q1530" s="8">
        <v>1030401</v>
      </c>
      <c r="R1530" s="8">
        <v>1030501</v>
      </c>
    </row>
    <row r="1531" spans="1:18">
      <c r="A1531" s="14" t="s">
        <v>14</v>
      </c>
      <c r="B1531" s="8">
        <f t="shared" si="66"/>
        <v>70304209</v>
      </c>
      <c r="C1531" s="2" t="s">
        <v>1609</v>
      </c>
      <c r="E1531" s="2" t="str">
        <f>F1531&amp;(VLOOKUP(G1531,编号表!$E$1:$G$8,2,0))&amp;H1531&amp;"_"&amp;I1531&amp;"_"&amp;J1531</f>
        <v>30N4_2_9</v>
      </c>
      <c r="F1531" s="2">
        <v>30</v>
      </c>
      <c r="G1531" s="2" t="s">
        <v>37</v>
      </c>
      <c r="H1531" s="2">
        <v>4</v>
      </c>
      <c r="I1531" s="2">
        <v>2</v>
      </c>
      <c r="J1531" s="2">
        <f>COUNTIFS($F$13:F1531,F1531,$I$13:I1531,I1531)</f>
        <v>9</v>
      </c>
      <c r="O1531" s="8">
        <v>1030201</v>
      </c>
      <c r="P1531" s="8">
        <v>1030301</v>
      </c>
      <c r="Q1531" s="8">
        <v>1030401</v>
      </c>
      <c r="R1531" s="8">
        <v>1030501</v>
      </c>
    </row>
    <row r="1532" spans="1:18">
      <c r="A1532" s="14" t="s">
        <v>14</v>
      </c>
      <c r="B1532" s="8">
        <f t="shared" si="66"/>
        <v>70305301</v>
      </c>
      <c r="C1532" s="2" t="s">
        <v>1610</v>
      </c>
      <c r="E1532" s="2" t="str">
        <f>F1532&amp;(VLOOKUP(G1532,编号表!$E$1:$G$8,2,0))&amp;H1532&amp;"_"&amp;I1532&amp;"_"&amp;J1532</f>
        <v>30N5_3_1</v>
      </c>
      <c r="F1532" s="2">
        <v>30</v>
      </c>
      <c r="G1532" s="2" t="s">
        <v>37</v>
      </c>
      <c r="H1532" s="2">
        <v>5</v>
      </c>
      <c r="I1532" s="2">
        <v>3</v>
      </c>
      <c r="J1532" s="2">
        <f>COUNTIFS($F$13:F1532,F1532,$I$13:I1532,I1532)</f>
        <v>1</v>
      </c>
      <c r="O1532" s="8">
        <v>1030201</v>
      </c>
      <c r="P1532" s="8">
        <v>1030301</v>
      </c>
      <c r="Q1532" s="8">
        <v>1030401</v>
      </c>
      <c r="R1532" s="8">
        <v>1030501</v>
      </c>
    </row>
    <row r="1533" spans="1:18">
      <c r="A1533" s="14" t="s">
        <v>14</v>
      </c>
      <c r="B1533" s="8">
        <f t="shared" si="66"/>
        <v>70305302</v>
      </c>
      <c r="C1533" s="2" t="s">
        <v>1611</v>
      </c>
      <c r="E1533" s="2" t="str">
        <f>F1533&amp;(VLOOKUP(G1533,编号表!$E$1:$G$8,2,0))&amp;H1533&amp;"_"&amp;I1533&amp;"_"&amp;J1533</f>
        <v>30N5_3_2</v>
      </c>
      <c r="F1533" s="2">
        <v>30</v>
      </c>
      <c r="G1533" s="2" t="s">
        <v>37</v>
      </c>
      <c r="H1533" s="2">
        <v>5</v>
      </c>
      <c r="I1533" s="2">
        <v>3</v>
      </c>
      <c r="J1533" s="2">
        <f>COUNTIFS($F$13:F1533,F1533,$I$13:I1533,I1533)</f>
        <v>2</v>
      </c>
      <c r="O1533" s="8">
        <v>1030201</v>
      </c>
      <c r="P1533" s="8">
        <v>1030301</v>
      </c>
      <c r="Q1533" s="8">
        <v>1030401</v>
      </c>
      <c r="R1533" s="8">
        <v>1030501</v>
      </c>
    </row>
    <row r="1534" spans="1:18">
      <c r="A1534" s="14" t="s">
        <v>14</v>
      </c>
      <c r="B1534" s="8">
        <f t="shared" si="66"/>
        <v>70303303</v>
      </c>
      <c r="C1534" s="2" t="s">
        <v>1612</v>
      </c>
      <c r="E1534" s="2" t="str">
        <f>F1534&amp;(VLOOKUP(G1534,编号表!$E$1:$G$8,2,0))&amp;H1534&amp;"_"&amp;I1534&amp;"_"&amp;J1534</f>
        <v>30N3_3_3</v>
      </c>
      <c r="F1534" s="2">
        <v>30</v>
      </c>
      <c r="G1534" s="2" t="s">
        <v>37</v>
      </c>
      <c r="H1534" s="2">
        <v>3</v>
      </c>
      <c r="I1534" s="2">
        <v>3</v>
      </c>
      <c r="J1534" s="2">
        <f>COUNTIFS($F$13:F1534,F1534,$I$13:I1534,I1534)</f>
        <v>3</v>
      </c>
      <c r="O1534" s="8">
        <v>1030201</v>
      </c>
      <c r="P1534" s="8">
        <v>1030301</v>
      </c>
      <c r="Q1534" s="8">
        <v>1030401</v>
      </c>
      <c r="R1534" s="8">
        <v>1030501</v>
      </c>
    </row>
    <row r="1535" spans="1:18">
      <c r="A1535" s="14" t="s">
        <v>14</v>
      </c>
      <c r="B1535" s="8">
        <f t="shared" si="66"/>
        <v>70305304</v>
      </c>
      <c r="C1535" s="2" t="s">
        <v>1613</v>
      </c>
      <c r="E1535" s="2" t="str">
        <f>F1535&amp;(VLOOKUP(G1535,编号表!$E$1:$G$8,2,0))&amp;H1535&amp;"_"&amp;I1535&amp;"_"&amp;J1535</f>
        <v>30N5_3_4</v>
      </c>
      <c r="F1535" s="2">
        <v>30</v>
      </c>
      <c r="G1535" s="2" t="s">
        <v>37</v>
      </c>
      <c r="H1535" s="2">
        <v>5</v>
      </c>
      <c r="I1535" s="2">
        <v>3</v>
      </c>
      <c r="J1535" s="2">
        <f>COUNTIFS($F$13:F1535,F1535,$I$13:I1535,I1535)</f>
        <v>4</v>
      </c>
      <c r="O1535" s="8">
        <v>1030201</v>
      </c>
      <c r="P1535" s="8">
        <v>1030301</v>
      </c>
      <c r="Q1535" s="8">
        <v>1030401</v>
      </c>
      <c r="R1535" s="8">
        <v>1030501</v>
      </c>
    </row>
    <row r="1536" spans="1:18">
      <c r="A1536" s="14" t="s">
        <v>14</v>
      </c>
      <c r="B1536" s="8">
        <f t="shared" si="66"/>
        <v>70304401</v>
      </c>
      <c r="C1536" s="2" t="s">
        <v>1614</v>
      </c>
      <c r="E1536" s="2" t="str">
        <f>F1536&amp;(VLOOKUP(G1536,编号表!$E$1:$G$8,2,0))&amp;H1536&amp;"_"&amp;I1536&amp;"_"&amp;J1536</f>
        <v>30N4_4_1</v>
      </c>
      <c r="F1536" s="2">
        <v>30</v>
      </c>
      <c r="G1536" s="2" t="s">
        <v>37</v>
      </c>
      <c r="H1536" s="2">
        <v>4</v>
      </c>
      <c r="I1536" s="2">
        <v>4</v>
      </c>
      <c r="J1536" s="2">
        <f>COUNTIFS($F$13:F1536,F1536,$I$13:I1536,I1536)</f>
        <v>1</v>
      </c>
      <c r="O1536" s="8">
        <v>1030201</v>
      </c>
      <c r="P1536" s="8">
        <v>1030301</v>
      </c>
      <c r="Q1536" s="8">
        <v>1030401</v>
      </c>
      <c r="R1536" s="8">
        <v>1030501</v>
      </c>
    </row>
    <row r="1537" spans="1:18">
      <c r="A1537" s="14" t="s">
        <v>14</v>
      </c>
      <c r="B1537" s="8">
        <f t="shared" si="66"/>
        <v>70301402</v>
      </c>
      <c r="C1537" s="2" t="s">
        <v>1615</v>
      </c>
      <c r="E1537" s="2" t="str">
        <f>F1537&amp;(VLOOKUP(G1537,编号表!$E$1:$G$8,2,0))&amp;H1537&amp;"_"&amp;I1537&amp;"_"&amp;J1537</f>
        <v>30N1_4_2</v>
      </c>
      <c r="F1537" s="2">
        <v>30</v>
      </c>
      <c r="G1537" s="2" t="s">
        <v>37</v>
      </c>
      <c r="H1537" s="2">
        <v>1</v>
      </c>
      <c r="I1537" s="2">
        <v>4</v>
      </c>
      <c r="J1537" s="2">
        <f>COUNTIFS($F$13:F1537,F1537,$I$13:I1537,I1537)</f>
        <v>2</v>
      </c>
      <c r="O1537" s="8">
        <v>1030201</v>
      </c>
      <c r="P1537" s="8">
        <v>1030301</v>
      </c>
      <c r="Q1537" s="8">
        <v>1030401</v>
      </c>
      <c r="R1537" s="8">
        <v>1030501</v>
      </c>
    </row>
    <row r="1538" spans="1:18">
      <c r="A1538" s="14" t="s">
        <v>14</v>
      </c>
      <c r="B1538" s="8">
        <f t="shared" si="66"/>
        <v>70306403</v>
      </c>
      <c r="C1538" s="2" t="s">
        <v>1616</v>
      </c>
      <c r="E1538" s="2" t="str">
        <f>F1538&amp;(VLOOKUP(G1538,编号表!$E$1:$G$8,2,0))&amp;H1538&amp;"_"&amp;I1538&amp;"_"&amp;J1538</f>
        <v>30N6_4_3</v>
      </c>
      <c r="F1538" s="2">
        <v>30</v>
      </c>
      <c r="G1538" s="2" t="s">
        <v>37</v>
      </c>
      <c r="H1538" s="2">
        <v>6</v>
      </c>
      <c r="I1538" s="2">
        <v>4</v>
      </c>
      <c r="J1538" s="2">
        <f>COUNTIFS($F$13:F1538,F1538,$I$13:I1538,I1538)</f>
        <v>3</v>
      </c>
      <c r="O1538" s="8">
        <v>1030201</v>
      </c>
      <c r="P1538" s="8">
        <v>1030301</v>
      </c>
      <c r="Q1538" s="8">
        <v>1030401</v>
      </c>
      <c r="R1538" s="8">
        <v>1030501</v>
      </c>
    </row>
    <row r="1539" spans="1:18">
      <c r="A1539" s="14" t="s">
        <v>14</v>
      </c>
      <c r="B1539" s="8">
        <f t="shared" si="66"/>
        <v>70304404</v>
      </c>
      <c r="C1539" s="2" t="s">
        <v>1617</v>
      </c>
      <c r="E1539" s="2" t="str">
        <f>F1539&amp;(VLOOKUP(G1539,编号表!$E$1:$G$8,2,0))&amp;H1539&amp;"_"&amp;I1539&amp;"_"&amp;J1539</f>
        <v>30N4_4_4</v>
      </c>
      <c r="F1539" s="2">
        <v>30</v>
      </c>
      <c r="G1539" s="2" t="s">
        <v>37</v>
      </c>
      <c r="H1539" s="2">
        <v>4</v>
      </c>
      <c r="I1539" s="2">
        <v>4</v>
      </c>
      <c r="J1539" s="2">
        <f>COUNTIFS($F$13:F1539,F1539,$I$13:I1539,I1539)</f>
        <v>4</v>
      </c>
      <c r="O1539" s="8">
        <v>1030201</v>
      </c>
      <c r="P1539" s="8">
        <v>1030301</v>
      </c>
      <c r="Q1539" s="8">
        <v>1030401</v>
      </c>
      <c r="R1539" s="8">
        <v>1030501</v>
      </c>
    </row>
    <row r="1540" spans="1:18">
      <c r="A1540" s="14" t="s">
        <v>14</v>
      </c>
      <c r="B1540" s="8">
        <f t="shared" si="66"/>
        <v>70304405</v>
      </c>
      <c r="C1540" s="2" t="s">
        <v>1618</v>
      </c>
      <c r="E1540" s="2" t="str">
        <f>F1540&amp;(VLOOKUP(G1540,编号表!$E$1:$G$8,2,0))&amp;H1540&amp;"_"&amp;I1540&amp;"_"&amp;J1540</f>
        <v>30N4_4_5</v>
      </c>
      <c r="F1540" s="2">
        <v>30</v>
      </c>
      <c r="G1540" s="2" t="s">
        <v>37</v>
      </c>
      <c r="H1540" s="2">
        <v>4</v>
      </c>
      <c r="I1540" s="2">
        <v>4</v>
      </c>
      <c r="J1540" s="2">
        <f>COUNTIFS($F$13:F1540,F1540,$I$13:I1540,I1540)</f>
        <v>5</v>
      </c>
      <c r="O1540" s="8">
        <v>1030201</v>
      </c>
      <c r="P1540" s="8">
        <v>1030301</v>
      </c>
      <c r="Q1540" s="8">
        <v>1030401</v>
      </c>
      <c r="R1540" s="8">
        <v>1030501</v>
      </c>
    </row>
    <row r="1541" spans="1:18">
      <c r="A1541" s="14" t="s">
        <v>14</v>
      </c>
      <c r="B1541" s="8">
        <f t="shared" si="66"/>
        <v>70304406</v>
      </c>
      <c r="C1541" s="2" t="s">
        <v>1619</v>
      </c>
      <c r="E1541" s="2" t="str">
        <f>F1541&amp;(VLOOKUP(G1541,编号表!$E$1:$G$8,2,0))&amp;H1541&amp;"_"&amp;I1541&amp;"_"&amp;J1541</f>
        <v>30N4_4_6</v>
      </c>
      <c r="F1541" s="2">
        <v>30</v>
      </c>
      <c r="G1541" s="2" t="s">
        <v>37</v>
      </c>
      <c r="H1541" s="2">
        <v>4</v>
      </c>
      <c r="I1541" s="2">
        <v>4</v>
      </c>
      <c r="J1541" s="2">
        <f>COUNTIFS($F$13:F1541,F1541,$I$13:I1541,I1541)</f>
        <v>6</v>
      </c>
      <c r="O1541" s="8">
        <v>1030201</v>
      </c>
      <c r="P1541" s="8">
        <v>1030301</v>
      </c>
      <c r="Q1541" s="8">
        <v>1030401</v>
      </c>
      <c r="R1541" s="8">
        <v>1030501</v>
      </c>
    </row>
    <row r="1542" spans="1:18">
      <c r="A1542" s="14" t="s">
        <v>14</v>
      </c>
      <c r="B1542" s="8">
        <f t="shared" si="66"/>
        <v>70303407</v>
      </c>
      <c r="C1542" s="2" t="s">
        <v>1620</v>
      </c>
      <c r="E1542" s="2" t="str">
        <f>F1542&amp;(VLOOKUP(G1542,编号表!$E$1:$G$8,2,0))&amp;H1542&amp;"_"&amp;I1542&amp;"_"&amp;J1542</f>
        <v>30N3_4_7</v>
      </c>
      <c r="F1542" s="2">
        <v>30</v>
      </c>
      <c r="G1542" s="2" t="s">
        <v>37</v>
      </c>
      <c r="H1542" s="2">
        <v>3</v>
      </c>
      <c r="I1542" s="2">
        <v>4</v>
      </c>
      <c r="J1542" s="2">
        <f>COUNTIFS($F$13:F1542,F1542,$I$13:I1542,I1542)</f>
        <v>7</v>
      </c>
      <c r="O1542" s="8">
        <v>1030201</v>
      </c>
      <c r="P1542" s="8">
        <v>1030301</v>
      </c>
      <c r="Q1542" s="8">
        <v>1030401</v>
      </c>
      <c r="R1542" s="8">
        <v>1030501</v>
      </c>
    </row>
    <row r="1543" spans="1:18">
      <c r="A1543" s="14" t="s">
        <v>14</v>
      </c>
      <c r="B1543" s="8">
        <f t="shared" si="66"/>
        <v>70305408</v>
      </c>
      <c r="C1543" s="2" t="s">
        <v>1621</v>
      </c>
      <c r="E1543" s="2" t="str">
        <f>F1543&amp;(VLOOKUP(G1543,编号表!$E$1:$G$8,2,0))&amp;H1543&amp;"_"&amp;I1543&amp;"_"&amp;J1543</f>
        <v>30N5_4_8</v>
      </c>
      <c r="F1543" s="2">
        <v>30</v>
      </c>
      <c r="G1543" s="2" t="s">
        <v>37</v>
      </c>
      <c r="H1543" s="2">
        <v>5</v>
      </c>
      <c r="I1543" s="2">
        <v>4</v>
      </c>
      <c r="J1543" s="2">
        <f>COUNTIFS($F$13:F1543,F1543,$I$13:I1543,I1543)</f>
        <v>8</v>
      </c>
      <c r="O1543" s="8">
        <v>1030201</v>
      </c>
      <c r="P1543" s="8">
        <v>1030301</v>
      </c>
      <c r="Q1543" s="8">
        <v>1030401</v>
      </c>
      <c r="R1543" s="8">
        <v>1030501</v>
      </c>
    </row>
    <row r="1544" spans="1:18">
      <c r="A1544" s="14" t="s">
        <v>14</v>
      </c>
      <c r="B1544" s="8">
        <f t="shared" si="66"/>
        <v>70304409</v>
      </c>
      <c r="C1544" s="2" t="s">
        <v>1622</v>
      </c>
      <c r="E1544" s="2" t="str">
        <f>F1544&amp;(VLOOKUP(G1544,编号表!$E$1:$G$8,2,0))&amp;H1544&amp;"_"&amp;I1544&amp;"_"&amp;J1544</f>
        <v>30N4_4_9</v>
      </c>
      <c r="F1544" s="2">
        <v>30</v>
      </c>
      <c r="G1544" s="2" t="s">
        <v>37</v>
      </c>
      <c r="H1544" s="2">
        <v>4</v>
      </c>
      <c r="I1544" s="2">
        <v>4</v>
      </c>
      <c r="J1544" s="2">
        <f>COUNTIFS($F$13:F1544,F1544,$I$13:I1544,I1544)</f>
        <v>9</v>
      </c>
      <c r="O1544" s="8">
        <v>1030201</v>
      </c>
      <c r="P1544" s="8">
        <v>1030301</v>
      </c>
      <c r="Q1544" s="8">
        <v>1030401</v>
      </c>
      <c r="R1544" s="8">
        <v>1030501</v>
      </c>
    </row>
    <row r="1545" spans="1:18">
      <c r="A1545" s="14" t="s">
        <v>14</v>
      </c>
      <c r="B1545" s="8">
        <f t="shared" si="66"/>
        <v>70304501</v>
      </c>
      <c r="C1545" s="2" t="s">
        <v>1623</v>
      </c>
      <c r="E1545" s="2" t="str">
        <f>F1545&amp;(VLOOKUP(G1545,编号表!$E$1:$G$8,2,0))&amp;H1545&amp;"_"&amp;I1545&amp;"_"&amp;J1545</f>
        <v>30N4_5_1</v>
      </c>
      <c r="F1545" s="2">
        <v>30</v>
      </c>
      <c r="G1545" s="2" t="s">
        <v>37</v>
      </c>
      <c r="H1545" s="2">
        <v>4</v>
      </c>
      <c r="I1545" s="2">
        <v>5</v>
      </c>
      <c r="J1545" s="2">
        <f>COUNTIFS($F$13:F1545,F1545,$I$13:I1545,I1545)</f>
        <v>1</v>
      </c>
      <c r="O1545" s="8">
        <v>1030201</v>
      </c>
      <c r="P1545" s="8">
        <v>1030301</v>
      </c>
      <c r="Q1545" s="8">
        <v>1030401</v>
      </c>
      <c r="R1545" s="8">
        <v>1030501</v>
      </c>
    </row>
    <row r="1546" spans="1:18">
      <c r="A1546" s="14" t="s">
        <v>14</v>
      </c>
      <c r="B1546" s="8">
        <f t="shared" si="66"/>
        <v>70305502</v>
      </c>
      <c r="C1546" s="2" t="s">
        <v>1624</v>
      </c>
      <c r="E1546" s="2" t="str">
        <f>F1546&amp;(VLOOKUP(G1546,编号表!$E$1:$G$8,2,0))&amp;H1546&amp;"_"&amp;I1546&amp;"_"&amp;J1546</f>
        <v>30N5_5_2</v>
      </c>
      <c r="F1546" s="2">
        <v>30</v>
      </c>
      <c r="G1546" s="2" t="s">
        <v>37</v>
      </c>
      <c r="H1546" s="2">
        <v>5</v>
      </c>
      <c r="I1546" s="2">
        <v>5</v>
      </c>
      <c r="J1546" s="2">
        <f>COUNTIFS($F$13:F1546,F1546,$I$13:I1546,I1546)</f>
        <v>2</v>
      </c>
      <c r="O1546" s="8">
        <v>1030201</v>
      </c>
      <c r="P1546" s="8">
        <v>1030301</v>
      </c>
      <c r="Q1546" s="8">
        <v>1030401</v>
      </c>
      <c r="R1546" s="8">
        <v>1030501</v>
      </c>
    </row>
    <row r="1547" spans="1:18">
      <c r="A1547" s="14" t="s">
        <v>14</v>
      </c>
      <c r="B1547" s="8">
        <f t="shared" si="66"/>
        <v>70305503</v>
      </c>
      <c r="C1547" s="2" t="s">
        <v>1625</v>
      </c>
      <c r="E1547" s="2" t="str">
        <f>F1547&amp;(VLOOKUP(G1547,编号表!$E$1:$G$8,2,0))&amp;H1547&amp;"_"&amp;I1547&amp;"_"&amp;J1547</f>
        <v>30N5_5_3</v>
      </c>
      <c r="F1547" s="2">
        <v>30</v>
      </c>
      <c r="G1547" s="2" t="s">
        <v>37</v>
      </c>
      <c r="H1547" s="2">
        <v>5</v>
      </c>
      <c r="I1547" s="2">
        <v>5</v>
      </c>
      <c r="J1547" s="2">
        <f>COUNTIFS($F$13:F1547,F1547,$I$13:I1547,I1547)</f>
        <v>3</v>
      </c>
      <c r="O1547" s="8">
        <v>1030201</v>
      </c>
      <c r="P1547" s="8">
        <v>1030301</v>
      </c>
      <c r="Q1547" s="8">
        <v>1030401</v>
      </c>
      <c r="R1547" s="8">
        <v>1030501</v>
      </c>
    </row>
    <row r="1548" spans="1:18">
      <c r="A1548" s="14" t="s">
        <v>14</v>
      </c>
      <c r="B1548" s="8">
        <f t="shared" si="66"/>
        <v>70303504</v>
      </c>
      <c r="C1548" s="2" t="s">
        <v>1626</v>
      </c>
      <c r="E1548" s="2" t="str">
        <f>F1548&amp;(VLOOKUP(G1548,编号表!$E$1:$G$8,2,0))&amp;H1548&amp;"_"&amp;I1548&amp;"_"&amp;J1548</f>
        <v>30N3_5_4</v>
      </c>
      <c r="F1548" s="2">
        <v>30</v>
      </c>
      <c r="G1548" s="2" t="s">
        <v>37</v>
      </c>
      <c r="H1548" s="2">
        <v>3</v>
      </c>
      <c r="I1548" s="2">
        <v>5</v>
      </c>
      <c r="J1548" s="2">
        <f>COUNTIFS($F$13:F1548,F1548,$I$13:I1548,I1548)</f>
        <v>4</v>
      </c>
      <c r="O1548" s="8">
        <v>1030201</v>
      </c>
      <c r="P1548" s="8">
        <v>1030301</v>
      </c>
      <c r="Q1548" s="8">
        <v>1030401</v>
      </c>
      <c r="R1548" s="8">
        <v>1030501</v>
      </c>
    </row>
    <row r="1549" spans="1:18">
      <c r="A1549" s="14" t="s">
        <v>14</v>
      </c>
      <c r="B1549" s="8">
        <f t="shared" si="66"/>
        <v>70301505</v>
      </c>
      <c r="C1549" s="2" t="s">
        <v>1627</v>
      </c>
      <c r="E1549" s="2" t="str">
        <f>F1549&amp;(VLOOKUP(G1549,编号表!$E$1:$G$8,2,0))&amp;H1549&amp;"_"&amp;I1549&amp;"_"&amp;J1549</f>
        <v>30N1_5_5</v>
      </c>
      <c r="F1549" s="2">
        <v>30</v>
      </c>
      <c r="G1549" s="2" t="s">
        <v>37</v>
      </c>
      <c r="H1549" s="2">
        <v>1</v>
      </c>
      <c r="I1549" s="2">
        <v>5</v>
      </c>
      <c r="J1549" s="2">
        <f>COUNTIFS($F$13:F1549,F1549,$I$13:I1549,I1549)</f>
        <v>5</v>
      </c>
      <c r="O1549" s="8">
        <v>1030201</v>
      </c>
      <c r="P1549" s="8">
        <v>1030301</v>
      </c>
      <c r="Q1549" s="8">
        <v>1030401</v>
      </c>
      <c r="R1549" s="8">
        <v>1030501</v>
      </c>
    </row>
    <row r="1550" spans="1:18">
      <c r="A1550" s="14" t="s">
        <v>14</v>
      </c>
      <c r="B1550" s="8">
        <f t="shared" si="66"/>
        <v>70303506</v>
      </c>
      <c r="C1550" s="2" t="s">
        <v>1628</v>
      </c>
      <c r="E1550" s="2" t="str">
        <f>F1550&amp;(VLOOKUP(G1550,编号表!$E$1:$G$8,2,0))&amp;H1550&amp;"_"&amp;I1550&amp;"_"&amp;J1550</f>
        <v>30N3_5_6</v>
      </c>
      <c r="F1550" s="2">
        <v>30</v>
      </c>
      <c r="G1550" s="2" t="s">
        <v>37</v>
      </c>
      <c r="H1550" s="2">
        <v>3</v>
      </c>
      <c r="I1550" s="2">
        <v>5</v>
      </c>
      <c r="J1550" s="2">
        <f>COUNTIFS($F$13:F1550,F1550,$I$13:I1550,I1550)</f>
        <v>6</v>
      </c>
      <c r="O1550" s="8">
        <v>1030201</v>
      </c>
      <c r="P1550" s="8">
        <v>1030301</v>
      </c>
      <c r="Q1550" s="8">
        <v>1030401</v>
      </c>
      <c r="R1550" s="8">
        <v>1030501</v>
      </c>
    </row>
    <row r="1551" spans="1:18">
      <c r="A1551" s="14" t="s">
        <v>14</v>
      </c>
      <c r="B1551" s="8">
        <f t="shared" ref="B1551:B1610" si="67">70000000+F1551*10000+H1551*1000+I1551*100+J1551</f>
        <v>70308601</v>
      </c>
      <c r="C1551" s="2" t="s">
        <v>1629</v>
      </c>
      <c r="E1551" s="2" t="str">
        <f>F1551&amp;(VLOOKUP(G1551,编号表!$E$1:$G$8,2,0))&amp;H1551&amp;"_"&amp;I1551&amp;"_"&amp;J1551</f>
        <v>30N8_6_1</v>
      </c>
      <c r="F1551" s="2">
        <v>30</v>
      </c>
      <c r="G1551" s="2" t="s">
        <v>37</v>
      </c>
      <c r="H1551" s="2">
        <v>8</v>
      </c>
      <c r="I1551" s="2">
        <v>6</v>
      </c>
      <c r="J1551" s="2">
        <f>COUNTIFS($F$13:F1551,F1551,$I$13:I1551,I1551)</f>
        <v>1</v>
      </c>
      <c r="O1551" s="8">
        <v>1030201</v>
      </c>
      <c r="P1551" s="8">
        <v>1030301</v>
      </c>
      <c r="Q1551" s="8">
        <v>1030401</v>
      </c>
      <c r="R1551" s="8">
        <v>1030501</v>
      </c>
    </row>
    <row r="1552" spans="1:18">
      <c r="A1552" s="14" t="s">
        <v>14</v>
      </c>
      <c r="B1552" s="8">
        <f t="shared" si="67"/>
        <v>70308602</v>
      </c>
      <c r="C1552" s="2" t="s">
        <v>1630</v>
      </c>
      <c r="E1552" s="2" t="str">
        <f>F1552&amp;(VLOOKUP(G1552,编号表!$E$1:$G$8,2,0))&amp;H1552&amp;"_"&amp;I1552&amp;"_"&amp;J1552</f>
        <v>30N8_6_2</v>
      </c>
      <c r="F1552" s="2">
        <v>30</v>
      </c>
      <c r="G1552" s="2" t="s">
        <v>37</v>
      </c>
      <c r="H1552" s="2">
        <v>8</v>
      </c>
      <c r="I1552" s="2">
        <v>6</v>
      </c>
      <c r="J1552" s="2">
        <f>COUNTIFS($F$13:F1552,F1552,$I$13:I1552,I1552)</f>
        <v>2</v>
      </c>
      <c r="O1552" s="8">
        <v>1030201</v>
      </c>
      <c r="P1552" s="8">
        <v>1030301</v>
      </c>
      <c r="Q1552" s="8">
        <v>1030401</v>
      </c>
      <c r="R1552" s="8">
        <v>1030501</v>
      </c>
    </row>
    <row r="1553" spans="1:19">
      <c r="A1553" s="14" t="s">
        <v>14</v>
      </c>
      <c r="B1553" s="8">
        <f t="shared" si="67"/>
        <v>70304603</v>
      </c>
      <c r="C1553" s="2" t="s">
        <v>1631</v>
      </c>
      <c r="E1553" s="2" t="str">
        <f>F1553&amp;(VLOOKUP(G1553,编号表!$E$1:$G$8,2,0))&amp;H1553&amp;"_"&amp;I1553&amp;"_"&amp;J1553</f>
        <v>30N4_6_3</v>
      </c>
      <c r="F1553" s="2">
        <v>30</v>
      </c>
      <c r="G1553" s="2" t="s">
        <v>37</v>
      </c>
      <c r="H1553" s="2">
        <v>4</v>
      </c>
      <c r="I1553" s="2">
        <v>6</v>
      </c>
      <c r="J1553" s="2">
        <f>COUNTIFS($F$13:F1553,F1553,$I$13:I1553,I1553)</f>
        <v>3</v>
      </c>
      <c r="O1553" s="8">
        <v>1030201</v>
      </c>
      <c r="P1553" s="8">
        <v>1030301</v>
      </c>
      <c r="Q1553" s="8">
        <v>1030401</v>
      </c>
      <c r="R1553" s="8">
        <v>1030501</v>
      </c>
    </row>
    <row r="1554" spans="1:19">
      <c r="A1554" s="14" t="s">
        <v>14</v>
      </c>
      <c r="B1554" s="8">
        <f t="shared" si="67"/>
        <v>70302604</v>
      </c>
      <c r="C1554" s="2" t="s">
        <v>1632</v>
      </c>
      <c r="E1554" s="2" t="str">
        <f>F1554&amp;(VLOOKUP(G1554,编号表!$E$1:$G$8,2,0))&amp;H1554&amp;"_"&amp;I1554&amp;"_"&amp;J1554</f>
        <v>30N2_6_4</v>
      </c>
      <c r="F1554" s="2">
        <v>30</v>
      </c>
      <c r="G1554" s="2" t="s">
        <v>37</v>
      </c>
      <c r="H1554" s="2">
        <v>2</v>
      </c>
      <c r="I1554" s="2">
        <v>6</v>
      </c>
      <c r="J1554" s="2">
        <f>COUNTIFS($F$13:F1554,F1554,$I$13:I1554,I1554)</f>
        <v>4</v>
      </c>
      <c r="O1554" s="8">
        <v>1030201</v>
      </c>
      <c r="P1554" s="8">
        <v>1030301</v>
      </c>
      <c r="Q1554" s="8">
        <v>1030401</v>
      </c>
      <c r="R1554" s="8">
        <v>1030501</v>
      </c>
    </row>
    <row r="1555" spans="1:19">
      <c r="A1555" s="14" t="s">
        <v>14</v>
      </c>
      <c r="B1555" s="8">
        <f t="shared" si="67"/>
        <v>70301605</v>
      </c>
      <c r="C1555" s="15" t="s">
        <v>1584</v>
      </c>
      <c r="E1555" s="2" t="str">
        <f>F1555&amp;(VLOOKUP(G1555,编号表!$E$1:$G$8,2,0))&amp;H1555&amp;"_"&amp;I1555&amp;"_"&amp;J1555</f>
        <v>30T1_6_5</v>
      </c>
      <c r="F1555" s="2">
        <v>30</v>
      </c>
      <c r="G1555" s="2" t="s">
        <v>53</v>
      </c>
      <c r="H1555" s="2">
        <v>1</v>
      </c>
      <c r="I1555" s="2">
        <v>6</v>
      </c>
      <c r="J1555" s="2">
        <f>COUNTIFS($F$13:F1555,F1555,$I$13:I1555,I1555)</f>
        <v>5</v>
      </c>
      <c r="L1555" s="2">
        <v>1</v>
      </c>
    </row>
    <row r="1556" spans="1:19">
      <c r="A1556" s="14" t="s">
        <v>14</v>
      </c>
      <c r="B1556" s="8">
        <f t="shared" si="67"/>
        <v>70303606</v>
      </c>
      <c r="C1556" s="16" t="s">
        <v>1549</v>
      </c>
      <c r="D1556" s="2" t="s">
        <v>1585</v>
      </c>
      <c r="E1556" s="2" t="str">
        <f>F1556&amp;(VLOOKUP(G1556,编号表!$E$1:$G$8,2,0))&amp;H1556&amp;"_"&amp;I1556&amp;"_"&amp;J1556</f>
        <v>30T3_6_6</v>
      </c>
      <c r="F1556" s="2">
        <v>30</v>
      </c>
      <c r="G1556" s="2" t="s">
        <v>53</v>
      </c>
      <c r="H1556" s="2">
        <v>3</v>
      </c>
      <c r="I1556" s="2">
        <v>6</v>
      </c>
      <c r="J1556" s="2">
        <f>COUNTIFS($F$13:F1556,F1556,$I$13:I1556,I1556)</f>
        <v>6</v>
      </c>
      <c r="M1556" s="2">
        <v>160</v>
      </c>
    </row>
    <row r="1557" spans="1:19">
      <c r="A1557" s="14" t="s">
        <v>14</v>
      </c>
      <c r="B1557" s="8">
        <f t="shared" si="67"/>
        <v>70300001</v>
      </c>
      <c r="C1557" s="18" t="s">
        <v>1633</v>
      </c>
      <c r="E1557" s="2" t="str">
        <f>F1557&amp;(VLOOKUP(G1557,编号表!$E$1:$G$8,2,0))&amp;H1557&amp;"_"&amp;I1557&amp;"_"&amp;J1557</f>
        <v>30J0_0_1</v>
      </c>
      <c r="F1557" s="2">
        <v>30</v>
      </c>
      <c r="G1557" s="2" t="s">
        <v>86</v>
      </c>
      <c r="H1557" s="2">
        <v>0</v>
      </c>
      <c r="I1557" s="2">
        <v>0</v>
      </c>
      <c r="J1557" s="2">
        <f>COUNTIFS($F$13:F1557,F1557,$I$13:I1557,I1557)</f>
        <v>1</v>
      </c>
      <c r="K1557" s="2">
        <v>1</v>
      </c>
    </row>
    <row r="1558" spans="1:19">
      <c r="A1558" s="14" t="s">
        <v>14</v>
      </c>
      <c r="B1558" s="8">
        <f t="shared" si="67"/>
        <v>70314101</v>
      </c>
      <c r="C1558" s="2" t="s">
        <v>1634</v>
      </c>
      <c r="E1558" s="2" t="str">
        <f>F1558&amp;(VLOOKUP(G1558,编号表!$E$1:$G$8,2,0))&amp;H1558&amp;"_"&amp;I1558&amp;"_"&amp;J1558</f>
        <v>31N4_1_1</v>
      </c>
      <c r="F1558" s="2">
        <v>31</v>
      </c>
      <c r="G1558" s="2" t="s">
        <v>37</v>
      </c>
      <c r="H1558" s="2">
        <v>4</v>
      </c>
      <c r="I1558" s="2">
        <v>1</v>
      </c>
      <c r="J1558" s="2">
        <f>COUNTIFS($F$13:F1558,F1558,$I$13:I1558,I1558)</f>
        <v>1</v>
      </c>
      <c r="O1558" s="8">
        <v>1031201</v>
      </c>
      <c r="P1558" s="8">
        <v>1031301</v>
      </c>
      <c r="Q1558" s="8">
        <v>1031401</v>
      </c>
      <c r="R1558" s="8">
        <v>1031501</v>
      </c>
      <c r="S1558" s="8">
        <v>1031001</v>
      </c>
    </row>
    <row r="1559" spans="1:19">
      <c r="A1559" s="14" t="s">
        <v>14</v>
      </c>
      <c r="B1559" s="8">
        <f t="shared" si="67"/>
        <v>70314102</v>
      </c>
      <c r="C1559" s="2" t="s">
        <v>1635</v>
      </c>
      <c r="E1559" s="2" t="str">
        <f>F1559&amp;(VLOOKUP(G1559,编号表!$E$1:$G$8,2,0))&amp;H1559&amp;"_"&amp;I1559&amp;"_"&amp;J1559</f>
        <v>31N4_1_2</v>
      </c>
      <c r="F1559" s="2">
        <v>31</v>
      </c>
      <c r="G1559" s="2" t="s">
        <v>37</v>
      </c>
      <c r="H1559" s="2">
        <v>4</v>
      </c>
      <c r="I1559" s="2">
        <v>1</v>
      </c>
      <c r="J1559" s="2">
        <f>COUNTIFS($F$13:F1559,F1559,$I$13:I1559,I1559)</f>
        <v>2</v>
      </c>
      <c r="O1559" s="8">
        <v>1031201</v>
      </c>
      <c r="P1559" s="8">
        <v>1031301</v>
      </c>
      <c r="Q1559" s="8">
        <v>1031401</v>
      </c>
      <c r="R1559" s="8">
        <v>1031501</v>
      </c>
      <c r="S1559" s="8">
        <v>1031101</v>
      </c>
    </row>
    <row r="1560" spans="1:19">
      <c r="A1560" s="14" t="s">
        <v>14</v>
      </c>
      <c r="B1560" s="8">
        <f t="shared" si="67"/>
        <v>70312103</v>
      </c>
      <c r="C1560" s="2" t="s">
        <v>1636</v>
      </c>
      <c r="E1560" s="2" t="str">
        <f>F1560&amp;(VLOOKUP(G1560,编号表!$E$1:$G$8,2,0))&amp;H1560&amp;"_"&amp;I1560&amp;"_"&amp;J1560</f>
        <v>31N2_1_3</v>
      </c>
      <c r="F1560" s="2">
        <v>31</v>
      </c>
      <c r="G1560" s="2" t="s">
        <v>37</v>
      </c>
      <c r="H1560" s="2">
        <v>2</v>
      </c>
      <c r="I1560" s="2">
        <v>1</v>
      </c>
      <c r="J1560" s="2">
        <f>COUNTIFS($F$13:F1560,F1560,$I$13:I1560,I1560)</f>
        <v>3</v>
      </c>
      <c r="O1560" s="8">
        <v>1031201</v>
      </c>
      <c r="P1560" s="8">
        <v>1031301</v>
      </c>
      <c r="Q1560" s="8">
        <v>1031401</v>
      </c>
      <c r="R1560" s="8">
        <v>1031501</v>
      </c>
    </row>
    <row r="1561" spans="1:19">
      <c r="A1561" s="14" t="s">
        <v>14</v>
      </c>
      <c r="B1561" s="8">
        <f t="shared" si="67"/>
        <v>70314104</v>
      </c>
      <c r="C1561" s="2" t="s">
        <v>1637</v>
      </c>
      <c r="E1561" s="2" t="str">
        <f>F1561&amp;(VLOOKUP(G1561,编号表!$E$1:$G$8,2,0))&amp;H1561&amp;"_"&amp;I1561&amp;"_"&amp;J1561</f>
        <v>31N4_1_4</v>
      </c>
      <c r="F1561" s="2">
        <v>31</v>
      </c>
      <c r="G1561" s="2" t="s">
        <v>37</v>
      </c>
      <c r="H1561" s="2">
        <v>4</v>
      </c>
      <c r="I1561" s="2">
        <v>1</v>
      </c>
      <c r="J1561" s="2">
        <f>COUNTIFS($F$13:F1561,F1561,$I$13:I1561,I1561)</f>
        <v>4</v>
      </c>
      <c r="O1561" s="8">
        <v>1031201</v>
      </c>
      <c r="P1561" s="8">
        <v>1031301</v>
      </c>
      <c r="Q1561" s="8">
        <v>1031401</v>
      </c>
      <c r="R1561" s="8">
        <v>1031501</v>
      </c>
    </row>
    <row r="1562" spans="1:19">
      <c r="A1562" s="14" t="s">
        <v>14</v>
      </c>
      <c r="B1562" s="8">
        <f t="shared" si="67"/>
        <v>70314201</v>
      </c>
      <c r="C1562" s="2" t="s">
        <v>1638</v>
      </c>
      <c r="E1562" s="2" t="str">
        <f>F1562&amp;(VLOOKUP(G1562,编号表!$E$1:$G$8,2,0))&amp;H1562&amp;"_"&amp;I1562&amp;"_"&amp;J1562</f>
        <v>31N4_2_1</v>
      </c>
      <c r="F1562" s="2">
        <v>31</v>
      </c>
      <c r="G1562" s="2" t="s">
        <v>37</v>
      </c>
      <c r="H1562" s="2">
        <v>4</v>
      </c>
      <c r="I1562" s="2">
        <v>2</v>
      </c>
      <c r="J1562" s="2">
        <f>COUNTIFS($F$13:F1562,F1562,$I$13:I1562,I1562)</f>
        <v>1</v>
      </c>
      <c r="O1562" s="8">
        <v>1031201</v>
      </c>
      <c r="P1562" s="8">
        <v>1031301</v>
      </c>
      <c r="Q1562" s="8">
        <v>1031401</v>
      </c>
      <c r="R1562" s="8">
        <v>1031501</v>
      </c>
    </row>
    <row r="1563" spans="1:19">
      <c r="A1563" s="14" t="s">
        <v>14</v>
      </c>
      <c r="B1563" s="8">
        <f t="shared" si="67"/>
        <v>70314202</v>
      </c>
      <c r="C1563" s="2" t="s">
        <v>1639</v>
      </c>
      <c r="E1563" s="2" t="str">
        <f>F1563&amp;(VLOOKUP(G1563,编号表!$E$1:$G$8,2,0))&amp;H1563&amp;"_"&amp;I1563&amp;"_"&amp;J1563</f>
        <v>31N4_2_2</v>
      </c>
      <c r="F1563" s="2">
        <v>31</v>
      </c>
      <c r="G1563" s="2" t="s">
        <v>37</v>
      </c>
      <c r="H1563" s="2">
        <v>4</v>
      </c>
      <c r="I1563" s="2">
        <v>2</v>
      </c>
      <c r="J1563" s="2">
        <f>COUNTIFS($F$13:F1563,F1563,$I$13:I1563,I1563)</f>
        <v>2</v>
      </c>
      <c r="O1563" s="8">
        <v>1031201</v>
      </c>
      <c r="P1563" s="8">
        <v>1031301</v>
      </c>
      <c r="Q1563" s="8">
        <v>1031401</v>
      </c>
      <c r="R1563" s="8">
        <v>1031501</v>
      </c>
    </row>
    <row r="1564" spans="1:19">
      <c r="A1564" s="14" t="s">
        <v>14</v>
      </c>
      <c r="B1564" s="8">
        <f t="shared" si="67"/>
        <v>70314203</v>
      </c>
      <c r="C1564" s="2" t="s">
        <v>1640</v>
      </c>
      <c r="E1564" s="2" t="str">
        <f>F1564&amp;(VLOOKUP(G1564,编号表!$E$1:$G$8,2,0))&amp;H1564&amp;"_"&amp;I1564&amp;"_"&amp;J1564</f>
        <v>31N4_2_3</v>
      </c>
      <c r="F1564" s="2">
        <v>31</v>
      </c>
      <c r="G1564" s="2" t="s">
        <v>37</v>
      </c>
      <c r="H1564" s="2">
        <v>4</v>
      </c>
      <c r="I1564" s="2">
        <v>2</v>
      </c>
      <c r="J1564" s="2">
        <f>COUNTIFS($F$13:F1564,F1564,$I$13:I1564,I1564)</f>
        <v>3</v>
      </c>
      <c r="O1564" s="8">
        <v>1031201</v>
      </c>
      <c r="P1564" s="8">
        <v>1031301</v>
      </c>
      <c r="Q1564" s="8">
        <v>1031401</v>
      </c>
      <c r="R1564" s="8">
        <v>1031501</v>
      </c>
    </row>
    <row r="1565" spans="1:19">
      <c r="A1565" s="14" t="s">
        <v>14</v>
      </c>
      <c r="B1565" s="8">
        <f t="shared" si="67"/>
        <v>70314204</v>
      </c>
      <c r="C1565" s="2" t="s">
        <v>1641</v>
      </c>
      <c r="E1565" s="2" t="str">
        <f>F1565&amp;(VLOOKUP(G1565,编号表!$E$1:$G$8,2,0))&amp;H1565&amp;"_"&amp;I1565&amp;"_"&amp;J1565</f>
        <v>31N4_2_4</v>
      </c>
      <c r="F1565" s="2">
        <v>31</v>
      </c>
      <c r="G1565" s="2" t="s">
        <v>37</v>
      </c>
      <c r="H1565" s="2">
        <v>4</v>
      </c>
      <c r="I1565" s="2">
        <v>2</v>
      </c>
      <c r="J1565" s="2">
        <f>COUNTIFS($F$13:F1565,F1565,$I$13:I1565,I1565)</f>
        <v>4</v>
      </c>
      <c r="O1565" s="8">
        <v>1031201</v>
      </c>
      <c r="P1565" s="8">
        <v>1031301</v>
      </c>
      <c r="Q1565" s="8">
        <v>1031401</v>
      </c>
      <c r="R1565" s="8">
        <v>1031501</v>
      </c>
    </row>
    <row r="1566" spans="1:19">
      <c r="A1566" s="14" t="s">
        <v>14</v>
      </c>
      <c r="B1566" s="8">
        <f t="shared" si="67"/>
        <v>70314205</v>
      </c>
      <c r="C1566" s="2" t="s">
        <v>1642</v>
      </c>
      <c r="E1566" s="2" t="str">
        <f>F1566&amp;(VLOOKUP(G1566,编号表!$E$1:$G$8,2,0))&amp;H1566&amp;"_"&amp;I1566&amp;"_"&amp;J1566</f>
        <v>31N4_2_5</v>
      </c>
      <c r="F1566" s="2">
        <v>31</v>
      </c>
      <c r="G1566" s="2" t="s">
        <v>37</v>
      </c>
      <c r="H1566" s="2">
        <v>4</v>
      </c>
      <c r="I1566" s="2">
        <v>2</v>
      </c>
      <c r="J1566" s="2">
        <f>COUNTIFS($F$13:F1566,F1566,$I$13:I1566,I1566)</f>
        <v>5</v>
      </c>
      <c r="O1566" s="8">
        <v>1031201</v>
      </c>
      <c r="P1566" s="8">
        <v>1031301</v>
      </c>
      <c r="Q1566" s="8">
        <v>1031401</v>
      </c>
      <c r="R1566" s="8">
        <v>1031501</v>
      </c>
    </row>
    <row r="1567" spans="1:19">
      <c r="A1567" s="14" t="s">
        <v>14</v>
      </c>
      <c r="B1567" s="8">
        <f t="shared" si="67"/>
        <v>70313206</v>
      </c>
      <c r="C1567" s="2" t="s">
        <v>1643</v>
      </c>
      <c r="E1567" s="2" t="str">
        <f>F1567&amp;(VLOOKUP(G1567,编号表!$E$1:$G$8,2,0))&amp;H1567&amp;"_"&amp;I1567&amp;"_"&amp;J1567</f>
        <v>31N3_2_6</v>
      </c>
      <c r="F1567" s="2">
        <v>31</v>
      </c>
      <c r="G1567" s="2" t="s">
        <v>37</v>
      </c>
      <c r="H1567" s="2">
        <v>3</v>
      </c>
      <c r="I1567" s="2">
        <v>2</v>
      </c>
      <c r="J1567" s="2">
        <f>COUNTIFS($F$13:F1567,F1567,$I$13:I1567,I1567)</f>
        <v>6</v>
      </c>
      <c r="O1567" s="8">
        <v>1031201</v>
      </c>
      <c r="P1567" s="8">
        <v>1031301</v>
      </c>
      <c r="Q1567" s="8">
        <v>1031401</v>
      </c>
      <c r="R1567" s="8">
        <v>1031501</v>
      </c>
    </row>
    <row r="1568" spans="1:19">
      <c r="A1568" s="14" t="s">
        <v>14</v>
      </c>
      <c r="B1568" s="8">
        <f t="shared" si="67"/>
        <v>70314207</v>
      </c>
      <c r="C1568" s="2" t="s">
        <v>1644</v>
      </c>
      <c r="E1568" s="2" t="str">
        <f>F1568&amp;(VLOOKUP(G1568,编号表!$E$1:$G$8,2,0))&amp;H1568&amp;"_"&amp;I1568&amp;"_"&amp;J1568</f>
        <v>31N4_2_7</v>
      </c>
      <c r="F1568" s="2">
        <v>31</v>
      </c>
      <c r="G1568" s="2" t="s">
        <v>37</v>
      </c>
      <c r="H1568" s="2">
        <v>4</v>
      </c>
      <c r="I1568" s="2">
        <v>2</v>
      </c>
      <c r="J1568" s="2">
        <f>COUNTIFS($F$13:F1568,F1568,$I$13:I1568,I1568)</f>
        <v>7</v>
      </c>
      <c r="O1568" s="8">
        <v>1031201</v>
      </c>
      <c r="P1568" s="8">
        <v>1031301</v>
      </c>
      <c r="Q1568" s="8">
        <v>1031401</v>
      </c>
      <c r="R1568" s="8">
        <v>1031501</v>
      </c>
    </row>
    <row r="1569" spans="1:18">
      <c r="A1569" s="14" t="s">
        <v>14</v>
      </c>
      <c r="B1569" s="8">
        <f t="shared" si="67"/>
        <v>70314208</v>
      </c>
      <c r="C1569" s="2" t="s">
        <v>1645</v>
      </c>
      <c r="E1569" s="2" t="str">
        <f>F1569&amp;(VLOOKUP(G1569,编号表!$E$1:$G$8,2,0))&amp;H1569&amp;"_"&amp;I1569&amp;"_"&amp;J1569</f>
        <v>31N4_2_8</v>
      </c>
      <c r="F1569" s="2">
        <v>31</v>
      </c>
      <c r="G1569" s="2" t="s">
        <v>37</v>
      </c>
      <c r="H1569" s="2">
        <v>4</v>
      </c>
      <c r="I1569" s="2">
        <v>2</v>
      </c>
      <c r="J1569" s="2">
        <f>COUNTIFS($F$13:F1569,F1569,$I$13:I1569,I1569)</f>
        <v>8</v>
      </c>
      <c r="O1569" s="8">
        <v>1031201</v>
      </c>
      <c r="P1569" s="8">
        <v>1031301</v>
      </c>
      <c r="Q1569" s="8">
        <v>1031401</v>
      </c>
      <c r="R1569" s="8">
        <v>1031501</v>
      </c>
    </row>
    <row r="1570" spans="1:18">
      <c r="A1570" s="14" t="s">
        <v>14</v>
      </c>
      <c r="B1570" s="8">
        <f t="shared" si="67"/>
        <v>70313301</v>
      </c>
      <c r="C1570" s="16" t="s">
        <v>1646</v>
      </c>
      <c r="D1570" s="2" t="s">
        <v>1647</v>
      </c>
      <c r="E1570" s="2" t="str">
        <f>F1570&amp;(VLOOKUP(G1570,编号表!$E$1:$G$8,2,0))&amp;H1570&amp;"_"&amp;I1570&amp;"_"&amp;J1570</f>
        <v>31T3_3_1</v>
      </c>
      <c r="F1570" s="2">
        <v>31</v>
      </c>
      <c r="G1570" s="2" t="s">
        <v>53</v>
      </c>
      <c r="H1570" s="2">
        <v>3</v>
      </c>
      <c r="I1570" s="2">
        <v>3</v>
      </c>
      <c r="J1570" s="2">
        <f>COUNTIFS($F$13:F1570,F1570,$I$13:I1570,I1570)</f>
        <v>1</v>
      </c>
    </row>
    <row r="1571" spans="1:18">
      <c r="A1571" s="14" t="s">
        <v>14</v>
      </c>
      <c r="B1571" s="8">
        <f t="shared" si="67"/>
        <v>70311302</v>
      </c>
      <c r="C1571" s="15" t="s">
        <v>1648</v>
      </c>
      <c r="E1571" s="2" t="str">
        <f>F1571&amp;(VLOOKUP(G1571,编号表!$E$1:$G$8,2,0))&amp;H1571&amp;"_"&amp;I1571&amp;"_"&amp;J1571</f>
        <v>31T1_3_2</v>
      </c>
      <c r="F1571" s="2">
        <v>31</v>
      </c>
      <c r="G1571" s="2" t="s">
        <v>53</v>
      </c>
      <c r="H1571" s="2">
        <v>1</v>
      </c>
      <c r="I1571" s="2">
        <v>3</v>
      </c>
      <c r="J1571" s="2">
        <f>COUNTIFS($F$13:F1571,F1571,$I$13:I1571,I1571)</f>
        <v>2</v>
      </c>
    </row>
    <row r="1572" spans="1:18">
      <c r="A1572" s="14" t="s">
        <v>14</v>
      </c>
      <c r="B1572" s="8">
        <f t="shared" si="67"/>
        <v>70314303</v>
      </c>
      <c r="C1572" s="2" t="s">
        <v>1645</v>
      </c>
      <c r="E1572" s="2" t="str">
        <f>F1572&amp;(VLOOKUP(G1572,编号表!$E$1:$G$8,2,0))&amp;H1572&amp;"_"&amp;I1572&amp;"_"&amp;J1572</f>
        <v>31N4_3_3</v>
      </c>
      <c r="F1572" s="2">
        <v>31</v>
      </c>
      <c r="G1572" s="2" t="s">
        <v>37</v>
      </c>
      <c r="H1572" s="2">
        <v>4</v>
      </c>
      <c r="I1572" s="2">
        <v>3</v>
      </c>
      <c r="J1572" s="2">
        <f>COUNTIFS($F$13:F1572,F1572,$I$13:I1572,I1572)</f>
        <v>3</v>
      </c>
      <c r="O1572" s="8">
        <v>1031201</v>
      </c>
      <c r="P1572" s="8">
        <v>1031301</v>
      </c>
      <c r="Q1572" s="8">
        <v>1031401</v>
      </c>
      <c r="R1572" s="8">
        <v>1031501</v>
      </c>
    </row>
    <row r="1573" spans="1:18">
      <c r="A1573" s="14" t="s">
        <v>14</v>
      </c>
      <c r="B1573" s="8">
        <f t="shared" si="67"/>
        <v>70313304</v>
      </c>
      <c r="C1573" s="2" t="s">
        <v>1649</v>
      </c>
      <c r="E1573" s="2" t="str">
        <f>F1573&amp;(VLOOKUP(G1573,编号表!$E$1:$G$8,2,0))&amp;H1573&amp;"_"&amp;I1573&amp;"_"&amp;J1573</f>
        <v>31N3_3_4</v>
      </c>
      <c r="F1573" s="2">
        <v>31</v>
      </c>
      <c r="G1573" s="2" t="s">
        <v>37</v>
      </c>
      <c r="H1573" s="2">
        <v>3</v>
      </c>
      <c r="I1573" s="2">
        <v>3</v>
      </c>
      <c r="J1573" s="2">
        <f>COUNTIFS($F$13:F1573,F1573,$I$13:I1573,I1573)</f>
        <v>4</v>
      </c>
      <c r="O1573" s="8">
        <v>1031201</v>
      </c>
      <c r="P1573" s="8">
        <v>1031301</v>
      </c>
      <c r="Q1573" s="8">
        <v>1031401</v>
      </c>
      <c r="R1573" s="8">
        <v>1031501</v>
      </c>
    </row>
    <row r="1574" spans="1:18">
      <c r="A1574" s="14" t="s">
        <v>14</v>
      </c>
      <c r="B1574" s="8">
        <f t="shared" si="67"/>
        <v>70314305</v>
      </c>
      <c r="C1574" s="2" t="s">
        <v>1650</v>
      </c>
      <c r="E1574" s="2" t="str">
        <f>F1574&amp;(VLOOKUP(G1574,编号表!$E$1:$G$8,2,0))&amp;H1574&amp;"_"&amp;I1574&amp;"_"&amp;J1574</f>
        <v>31N4_3_5</v>
      </c>
      <c r="F1574" s="2">
        <v>31</v>
      </c>
      <c r="G1574" s="2" t="s">
        <v>37</v>
      </c>
      <c r="H1574" s="2">
        <v>4</v>
      </c>
      <c r="I1574" s="2">
        <v>3</v>
      </c>
      <c r="J1574" s="2">
        <f>COUNTIFS($F$13:F1574,F1574,$I$13:I1574,I1574)</f>
        <v>5</v>
      </c>
      <c r="O1574" s="8">
        <v>1031201</v>
      </c>
      <c r="P1574" s="8">
        <v>1031301</v>
      </c>
      <c r="Q1574" s="8">
        <v>1031401</v>
      </c>
      <c r="R1574" s="8">
        <v>1031501</v>
      </c>
    </row>
    <row r="1575" spans="1:18">
      <c r="A1575" s="14" t="s">
        <v>14</v>
      </c>
      <c r="B1575" s="8">
        <f t="shared" si="67"/>
        <v>70311306</v>
      </c>
      <c r="C1575" s="2" t="s">
        <v>1651</v>
      </c>
      <c r="E1575" s="2" t="str">
        <f>F1575&amp;(VLOOKUP(G1575,编号表!$E$1:$G$8,2,0))&amp;H1575&amp;"_"&amp;I1575&amp;"_"&amp;J1575</f>
        <v>31N1_3_6</v>
      </c>
      <c r="F1575" s="2">
        <v>31</v>
      </c>
      <c r="G1575" s="2" t="s">
        <v>37</v>
      </c>
      <c r="H1575" s="2">
        <v>1</v>
      </c>
      <c r="I1575" s="2">
        <v>3</v>
      </c>
      <c r="J1575" s="2">
        <f>COUNTIFS($F$13:F1575,F1575,$I$13:I1575,I1575)</f>
        <v>6</v>
      </c>
      <c r="O1575" s="8">
        <v>1031201</v>
      </c>
      <c r="P1575" s="8">
        <v>1031301</v>
      </c>
      <c r="Q1575" s="8">
        <v>1031401</v>
      </c>
      <c r="R1575" s="8">
        <v>1031501</v>
      </c>
    </row>
    <row r="1576" spans="1:18">
      <c r="A1576" s="14" t="s">
        <v>14</v>
      </c>
      <c r="B1576" s="8">
        <f t="shared" si="67"/>
        <v>70311307</v>
      </c>
      <c r="C1576" s="15" t="s">
        <v>1601</v>
      </c>
      <c r="E1576" s="2" t="str">
        <f>F1576&amp;(VLOOKUP(G1576,编号表!$E$1:$G$8,2,0))&amp;H1576&amp;"_"&amp;I1576&amp;"_"&amp;J1576</f>
        <v>31T1_3_7</v>
      </c>
      <c r="F1576" s="2">
        <v>31</v>
      </c>
      <c r="G1576" s="2" t="s">
        <v>53</v>
      </c>
      <c r="H1576" s="2">
        <v>1</v>
      </c>
      <c r="I1576" s="2">
        <v>3</v>
      </c>
      <c r="J1576" s="2">
        <f>COUNTIFS($F$13:F1576,F1576,$I$13:I1576,I1576)</f>
        <v>7</v>
      </c>
      <c r="L1576" s="2">
        <v>1</v>
      </c>
    </row>
    <row r="1577" spans="1:18">
      <c r="A1577" s="14" t="s">
        <v>14</v>
      </c>
      <c r="B1577" s="8">
        <f t="shared" si="67"/>
        <v>70313308</v>
      </c>
      <c r="C1577" s="16" t="s">
        <v>1583</v>
      </c>
      <c r="D1577" s="2" t="s">
        <v>1602</v>
      </c>
      <c r="E1577" s="2" t="str">
        <f>F1577&amp;(VLOOKUP(G1577,编号表!$E$1:$G$8,2,0))&amp;H1577&amp;"_"&amp;I1577&amp;"_"&amp;J1577</f>
        <v>31T3_3_8</v>
      </c>
      <c r="F1577" s="2">
        <v>31</v>
      </c>
      <c r="G1577" s="2" t="s">
        <v>53</v>
      </c>
      <c r="H1577" s="2">
        <v>3</v>
      </c>
      <c r="I1577" s="2">
        <v>3</v>
      </c>
      <c r="J1577" s="2">
        <f>COUNTIFS($F$13:F1577,F1577,$I$13:I1577,I1577)</f>
        <v>8</v>
      </c>
      <c r="M1577" s="2">
        <v>162</v>
      </c>
    </row>
    <row r="1578" spans="1:18">
      <c r="A1578" s="14" t="s">
        <v>14</v>
      </c>
      <c r="B1578" s="8">
        <f t="shared" si="67"/>
        <v>70316309</v>
      </c>
      <c r="C1578" s="2" t="s">
        <v>1652</v>
      </c>
      <c r="E1578" s="2" t="str">
        <f>F1578&amp;(VLOOKUP(G1578,编号表!$E$1:$G$8,2,0))&amp;H1578&amp;"_"&amp;I1578&amp;"_"&amp;J1578</f>
        <v>31N6_3_9</v>
      </c>
      <c r="F1578" s="2">
        <v>31</v>
      </c>
      <c r="G1578" s="2" t="s">
        <v>37</v>
      </c>
      <c r="H1578" s="2">
        <v>6</v>
      </c>
      <c r="I1578" s="2">
        <v>3</v>
      </c>
      <c r="J1578" s="2">
        <f>COUNTIFS($F$13:F1578,F1578,$I$13:I1578,I1578)</f>
        <v>9</v>
      </c>
      <c r="O1578" s="8">
        <v>1031201</v>
      </c>
      <c r="P1578" s="8">
        <v>1031301</v>
      </c>
      <c r="Q1578" s="8">
        <v>1031401</v>
      </c>
      <c r="R1578" s="8">
        <v>1031501</v>
      </c>
    </row>
    <row r="1579" spans="1:18">
      <c r="A1579" s="14" t="s">
        <v>14</v>
      </c>
      <c r="B1579" s="8">
        <f t="shared" si="67"/>
        <v>70312310</v>
      </c>
      <c r="C1579" s="2" t="s">
        <v>1653</v>
      </c>
      <c r="E1579" s="2" t="str">
        <f>F1579&amp;(VLOOKUP(G1579,编号表!$E$1:$G$8,2,0))&amp;H1579&amp;"_"&amp;I1579&amp;"_"&amp;J1579</f>
        <v>31N2_3_10</v>
      </c>
      <c r="F1579" s="2">
        <v>31</v>
      </c>
      <c r="G1579" s="2" t="s">
        <v>37</v>
      </c>
      <c r="H1579" s="2">
        <v>2</v>
      </c>
      <c r="I1579" s="2">
        <v>3</v>
      </c>
      <c r="J1579" s="2">
        <f>COUNTIFS($F$13:F1579,F1579,$I$13:I1579,I1579)</f>
        <v>10</v>
      </c>
      <c r="O1579" s="8">
        <v>1031201</v>
      </c>
      <c r="P1579" s="8">
        <v>1031301</v>
      </c>
      <c r="Q1579" s="8">
        <v>1031401</v>
      </c>
      <c r="R1579" s="8">
        <v>1031501</v>
      </c>
    </row>
    <row r="1580" spans="1:18">
      <c r="A1580" s="14" t="s">
        <v>14</v>
      </c>
      <c r="B1580" s="8">
        <f t="shared" si="67"/>
        <v>70314311</v>
      </c>
      <c r="C1580" s="2" t="s">
        <v>1654</v>
      </c>
      <c r="E1580" s="2" t="str">
        <f>F1580&amp;(VLOOKUP(G1580,编号表!$E$1:$G$8,2,0))&amp;H1580&amp;"_"&amp;I1580&amp;"_"&amp;J1580</f>
        <v>31N4_3_11</v>
      </c>
      <c r="F1580" s="2">
        <v>31</v>
      </c>
      <c r="G1580" s="2" t="s">
        <v>37</v>
      </c>
      <c r="H1580" s="2">
        <v>4</v>
      </c>
      <c r="I1580" s="2">
        <v>3</v>
      </c>
      <c r="J1580" s="2">
        <f>COUNTIFS($F$13:F1580,F1580,$I$13:I1580,I1580)</f>
        <v>11</v>
      </c>
      <c r="O1580" s="8">
        <v>1031201</v>
      </c>
      <c r="P1580" s="8">
        <v>1031301</v>
      </c>
      <c r="Q1580" s="8">
        <v>1031401</v>
      </c>
      <c r="R1580" s="8">
        <v>1031501</v>
      </c>
    </row>
    <row r="1581" spans="1:18">
      <c r="A1581" s="14" t="s">
        <v>14</v>
      </c>
      <c r="B1581" s="8">
        <f t="shared" si="67"/>
        <v>70315312</v>
      </c>
      <c r="C1581" s="2" t="s">
        <v>1655</v>
      </c>
      <c r="E1581" s="2" t="str">
        <f>F1581&amp;(VLOOKUP(G1581,编号表!$E$1:$G$8,2,0))&amp;H1581&amp;"_"&amp;I1581&amp;"_"&amp;J1581</f>
        <v>31N5_3_12</v>
      </c>
      <c r="F1581" s="2">
        <v>31</v>
      </c>
      <c r="G1581" s="2" t="s">
        <v>37</v>
      </c>
      <c r="H1581" s="2">
        <v>5</v>
      </c>
      <c r="I1581" s="2">
        <v>3</v>
      </c>
      <c r="J1581" s="2">
        <f>COUNTIFS($F$13:F1581,F1581,$I$13:I1581,I1581)</f>
        <v>12</v>
      </c>
      <c r="O1581" s="8">
        <v>1031201</v>
      </c>
      <c r="P1581" s="8">
        <v>1031301</v>
      </c>
      <c r="Q1581" s="8">
        <v>1031401</v>
      </c>
      <c r="R1581" s="8">
        <v>1031501</v>
      </c>
    </row>
    <row r="1582" spans="1:18">
      <c r="A1582" s="14" t="s">
        <v>14</v>
      </c>
      <c r="B1582" s="8">
        <f t="shared" si="67"/>
        <v>70314313</v>
      </c>
      <c r="C1582" s="2" t="s">
        <v>1656</v>
      </c>
      <c r="E1582" s="2" t="str">
        <f>F1582&amp;(VLOOKUP(G1582,编号表!$E$1:$G$8,2,0))&amp;H1582&amp;"_"&amp;I1582&amp;"_"&amp;J1582</f>
        <v>31N4_3_13</v>
      </c>
      <c r="F1582" s="2">
        <v>31</v>
      </c>
      <c r="G1582" s="2" t="s">
        <v>37</v>
      </c>
      <c r="H1582" s="2">
        <v>4</v>
      </c>
      <c r="I1582" s="2">
        <v>3</v>
      </c>
      <c r="J1582" s="2">
        <f>COUNTIFS($F$13:F1582,F1582,$I$13:I1582,I1582)</f>
        <v>13</v>
      </c>
      <c r="O1582" s="8">
        <v>1031201</v>
      </c>
      <c r="P1582" s="8">
        <v>1031301</v>
      </c>
      <c r="Q1582" s="8">
        <v>1031401</v>
      </c>
      <c r="R1582" s="8">
        <v>1031501</v>
      </c>
    </row>
    <row r="1583" spans="1:18">
      <c r="A1583" s="14" t="s">
        <v>14</v>
      </c>
      <c r="B1583" s="8">
        <f t="shared" si="67"/>
        <v>70314401</v>
      </c>
      <c r="C1583" s="2" t="s">
        <v>1657</v>
      </c>
      <c r="E1583" s="2" t="str">
        <f>F1583&amp;(VLOOKUP(G1583,编号表!$E$1:$G$8,2,0))&amp;H1583&amp;"_"&amp;I1583&amp;"_"&amp;J1583</f>
        <v>31N4_4_1</v>
      </c>
      <c r="F1583" s="2">
        <v>31</v>
      </c>
      <c r="G1583" s="2" t="s">
        <v>37</v>
      </c>
      <c r="H1583" s="2">
        <v>4</v>
      </c>
      <c r="I1583" s="2">
        <v>4</v>
      </c>
      <c r="J1583" s="2">
        <f>COUNTIFS($F$13:F1583,F1583,$I$13:I1583,I1583)</f>
        <v>1</v>
      </c>
      <c r="O1583" s="8">
        <v>1031201</v>
      </c>
      <c r="P1583" s="8">
        <v>1031301</v>
      </c>
      <c r="Q1583" s="8">
        <v>1031401</v>
      </c>
      <c r="R1583" s="8">
        <v>1031501</v>
      </c>
    </row>
    <row r="1584" spans="1:18">
      <c r="A1584" s="14" t="s">
        <v>14</v>
      </c>
      <c r="B1584" s="8">
        <f t="shared" si="67"/>
        <v>70314402</v>
      </c>
      <c r="C1584" s="2" t="s">
        <v>1658</v>
      </c>
      <c r="E1584" s="2" t="str">
        <f>F1584&amp;(VLOOKUP(G1584,编号表!$E$1:$G$8,2,0))&amp;H1584&amp;"_"&amp;I1584&amp;"_"&amp;J1584</f>
        <v>31N4_4_2</v>
      </c>
      <c r="F1584" s="2">
        <v>31</v>
      </c>
      <c r="G1584" s="2" t="s">
        <v>37</v>
      </c>
      <c r="H1584" s="2">
        <v>4</v>
      </c>
      <c r="I1584" s="2">
        <v>4</v>
      </c>
      <c r="J1584" s="2">
        <f>COUNTIFS($F$13:F1584,F1584,$I$13:I1584,I1584)</f>
        <v>2</v>
      </c>
      <c r="O1584" s="8">
        <v>1031201</v>
      </c>
      <c r="P1584" s="8">
        <v>1031301</v>
      </c>
      <c r="Q1584" s="8">
        <v>1031401</v>
      </c>
      <c r="R1584" s="8">
        <v>1031501</v>
      </c>
    </row>
    <row r="1585" spans="1:20">
      <c r="A1585" s="14" t="s">
        <v>14</v>
      </c>
      <c r="B1585" s="8">
        <f t="shared" si="67"/>
        <v>70315403</v>
      </c>
      <c r="C1585" s="2" t="s">
        <v>1659</v>
      </c>
      <c r="E1585" s="2" t="str">
        <f>F1585&amp;(VLOOKUP(G1585,编号表!$E$1:$G$8,2,0))&amp;H1585&amp;"_"&amp;I1585&amp;"_"&amp;J1585</f>
        <v>31N5_4_3</v>
      </c>
      <c r="F1585" s="2">
        <v>31</v>
      </c>
      <c r="G1585" s="2" t="s">
        <v>37</v>
      </c>
      <c r="H1585" s="2">
        <v>5</v>
      </c>
      <c r="I1585" s="2">
        <v>4</v>
      </c>
      <c r="J1585" s="2">
        <f>COUNTIFS($F$13:F1585,F1585,$I$13:I1585,I1585)</f>
        <v>3</v>
      </c>
      <c r="O1585" s="8">
        <v>1031201</v>
      </c>
      <c r="P1585" s="8">
        <v>1031301</v>
      </c>
      <c r="Q1585" s="8">
        <v>1031401</v>
      </c>
      <c r="R1585" s="8">
        <v>1031501</v>
      </c>
    </row>
    <row r="1586" spans="1:20">
      <c r="A1586" s="14" t="s">
        <v>14</v>
      </c>
      <c r="B1586" s="8">
        <f t="shared" si="67"/>
        <v>70313404</v>
      </c>
      <c r="C1586" s="2" t="s">
        <v>1660</v>
      </c>
      <c r="E1586" s="2" t="str">
        <f>F1586&amp;(VLOOKUP(G1586,编号表!$E$1:$G$8,2,0))&amp;H1586&amp;"_"&amp;I1586&amp;"_"&amp;J1586</f>
        <v>31N3_4_4</v>
      </c>
      <c r="F1586" s="2">
        <v>31</v>
      </c>
      <c r="G1586" s="2" t="s">
        <v>37</v>
      </c>
      <c r="H1586" s="2">
        <v>3</v>
      </c>
      <c r="I1586" s="2">
        <v>4</v>
      </c>
      <c r="J1586" s="2">
        <f>COUNTIFS($F$13:F1586,F1586,$I$13:I1586,I1586)</f>
        <v>4</v>
      </c>
      <c r="O1586" s="8">
        <v>1031201</v>
      </c>
      <c r="P1586" s="8">
        <v>1031301</v>
      </c>
      <c r="Q1586" s="8">
        <v>1031401</v>
      </c>
      <c r="R1586" s="8">
        <v>1031501</v>
      </c>
    </row>
    <row r="1587" spans="1:20">
      <c r="A1587" s="14" t="s">
        <v>14</v>
      </c>
      <c r="B1587" s="8">
        <f t="shared" si="67"/>
        <v>70315405</v>
      </c>
      <c r="C1587" s="2" t="s">
        <v>1661</v>
      </c>
      <c r="E1587" s="2" t="str">
        <f>F1587&amp;(VLOOKUP(G1587,编号表!$E$1:$G$8,2,0))&amp;H1587&amp;"_"&amp;I1587&amp;"_"&amp;J1587</f>
        <v>31N5_4_5</v>
      </c>
      <c r="F1587" s="2">
        <v>31</v>
      </c>
      <c r="G1587" s="2" t="s">
        <v>37</v>
      </c>
      <c r="H1587" s="2">
        <v>5</v>
      </c>
      <c r="I1587" s="2">
        <v>4</v>
      </c>
      <c r="J1587" s="2">
        <f>COUNTIFS($F$13:F1587,F1587,$I$13:I1587,I1587)</f>
        <v>5</v>
      </c>
      <c r="O1587" s="8">
        <v>1031201</v>
      </c>
      <c r="P1587" s="8">
        <v>1031301</v>
      </c>
      <c r="Q1587" s="8">
        <v>1031401</v>
      </c>
      <c r="R1587" s="8">
        <v>1031501</v>
      </c>
    </row>
    <row r="1588" spans="1:20">
      <c r="A1588" s="14" t="s">
        <v>14</v>
      </c>
      <c r="B1588" s="8">
        <f t="shared" si="67"/>
        <v>70313406</v>
      </c>
      <c r="C1588" s="2" t="s">
        <v>1662</v>
      </c>
      <c r="E1588" s="2" t="str">
        <f>F1588&amp;(VLOOKUP(G1588,编号表!$E$1:$G$8,2,0))&amp;H1588&amp;"_"&amp;I1588&amp;"_"&amp;J1588</f>
        <v>31N3_4_6</v>
      </c>
      <c r="F1588" s="2">
        <v>31</v>
      </c>
      <c r="G1588" s="2" t="s">
        <v>37</v>
      </c>
      <c r="H1588" s="2">
        <v>3</v>
      </c>
      <c r="I1588" s="2">
        <v>4</v>
      </c>
      <c r="J1588" s="2">
        <f>COUNTIFS($F$13:F1588,F1588,$I$13:I1588,I1588)</f>
        <v>6</v>
      </c>
      <c r="O1588" s="8">
        <v>1031201</v>
      </c>
      <c r="P1588" s="8">
        <v>1031301</v>
      </c>
      <c r="Q1588" s="8">
        <v>1031401</v>
      </c>
      <c r="R1588" s="8">
        <v>1031501</v>
      </c>
    </row>
    <row r="1589" spans="1:20">
      <c r="A1589" s="14" t="s">
        <v>14</v>
      </c>
      <c r="B1589" s="8">
        <f t="shared" si="67"/>
        <v>70314407</v>
      </c>
      <c r="C1589" s="2" t="s">
        <v>1663</v>
      </c>
      <c r="E1589" s="2" t="str">
        <f>F1589&amp;(VLOOKUP(G1589,编号表!$E$1:$G$8,2,0))&amp;H1589&amp;"_"&amp;I1589&amp;"_"&amp;J1589</f>
        <v>31N4_4_7</v>
      </c>
      <c r="F1589" s="2">
        <v>31</v>
      </c>
      <c r="G1589" s="2" t="s">
        <v>37</v>
      </c>
      <c r="H1589" s="2">
        <v>4</v>
      </c>
      <c r="I1589" s="2">
        <v>4</v>
      </c>
      <c r="J1589" s="2">
        <f>COUNTIFS($F$13:F1589,F1589,$I$13:I1589,I1589)</f>
        <v>7</v>
      </c>
      <c r="O1589" s="8">
        <v>1031201</v>
      </c>
      <c r="P1589" s="8">
        <v>1031301</v>
      </c>
      <c r="Q1589" s="8">
        <v>1031401</v>
      </c>
      <c r="R1589" s="8">
        <v>1031501</v>
      </c>
    </row>
    <row r="1590" spans="1:20">
      <c r="A1590" s="14" t="s">
        <v>14</v>
      </c>
      <c r="B1590" s="8">
        <f t="shared" si="67"/>
        <v>70315408</v>
      </c>
      <c r="C1590" s="2" t="s">
        <v>1664</v>
      </c>
      <c r="E1590" s="2" t="str">
        <f>F1590&amp;(VLOOKUP(G1590,编号表!$E$1:$G$8,2,0))&amp;H1590&amp;"_"&amp;I1590&amp;"_"&amp;J1590</f>
        <v>31N5_4_8</v>
      </c>
      <c r="F1590" s="2">
        <v>31</v>
      </c>
      <c r="G1590" s="2" t="s">
        <v>37</v>
      </c>
      <c r="H1590" s="2">
        <v>5</v>
      </c>
      <c r="I1590" s="2">
        <v>4</v>
      </c>
      <c r="J1590" s="2">
        <f>COUNTIFS($F$13:F1590,F1590,$I$13:I1590,I1590)</f>
        <v>8</v>
      </c>
      <c r="O1590" s="8">
        <v>1031201</v>
      </c>
      <c r="P1590" s="8">
        <v>1031301</v>
      </c>
      <c r="Q1590" s="8">
        <v>1031401</v>
      </c>
      <c r="R1590" s="8">
        <v>1031501</v>
      </c>
    </row>
    <row r="1591" spans="1:20">
      <c r="A1591" s="14" t="s">
        <v>14</v>
      </c>
      <c r="B1591" s="8">
        <f t="shared" si="67"/>
        <v>70313501</v>
      </c>
      <c r="C1591" s="2" t="s">
        <v>1665</v>
      </c>
      <c r="E1591" s="2" t="str">
        <f>F1591&amp;(VLOOKUP(G1591,编号表!$E$1:$G$8,2,0))&amp;H1591&amp;"_"&amp;I1591&amp;"_"&amp;J1591</f>
        <v>31N3_5_1</v>
      </c>
      <c r="F1591" s="2">
        <v>31</v>
      </c>
      <c r="G1591" s="2" t="s">
        <v>37</v>
      </c>
      <c r="H1591" s="2">
        <v>3</v>
      </c>
      <c r="I1591" s="2">
        <v>5</v>
      </c>
      <c r="J1591" s="2">
        <f>COUNTIFS($F$13:F1591,F1591,$I$13:I1591,I1591)</f>
        <v>1</v>
      </c>
      <c r="O1591" s="8">
        <v>1031201</v>
      </c>
      <c r="P1591" s="8">
        <v>1031301</v>
      </c>
      <c r="Q1591" s="8">
        <v>1031401</v>
      </c>
      <c r="R1591" s="8">
        <v>1031501</v>
      </c>
    </row>
    <row r="1592" spans="1:20">
      <c r="A1592" s="14" t="s">
        <v>14</v>
      </c>
      <c r="B1592" s="8">
        <f t="shared" si="67"/>
        <v>70314502</v>
      </c>
      <c r="C1592" s="2" t="s">
        <v>1666</v>
      </c>
      <c r="E1592" s="2" t="str">
        <f>F1592&amp;(VLOOKUP(G1592,编号表!$E$1:$G$8,2,0))&amp;H1592&amp;"_"&amp;I1592&amp;"_"&amp;J1592</f>
        <v>31N4_5_2</v>
      </c>
      <c r="F1592" s="2">
        <v>31</v>
      </c>
      <c r="G1592" s="2" t="s">
        <v>37</v>
      </c>
      <c r="H1592" s="2">
        <v>4</v>
      </c>
      <c r="I1592" s="2">
        <v>5</v>
      </c>
      <c r="J1592" s="2">
        <f>COUNTIFS($F$13:F1592,F1592,$I$13:I1592,I1592)</f>
        <v>2</v>
      </c>
      <c r="O1592" s="8">
        <v>1031201</v>
      </c>
      <c r="P1592" s="8">
        <v>1031301</v>
      </c>
      <c r="Q1592" s="8">
        <v>1031401</v>
      </c>
      <c r="R1592" s="8">
        <v>1031501</v>
      </c>
    </row>
    <row r="1593" spans="1:20">
      <c r="A1593" s="14" t="s">
        <v>14</v>
      </c>
      <c r="B1593" s="8">
        <f t="shared" si="67"/>
        <v>70314503</v>
      </c>
      <c r="C1593" s="2" t="s">
        <v>1667</v>
      </c>
      <c r="E1593" s="2" t="str">
        <f>F1593&amp;(VLOOKUP(G1593,编号表!$E$1:$G$8,2,0))&amp;H1593&amp;"_"&amp;I1593&amp;"_"&amp;J1593</f>
        <v>31N4_5_3</v>
      </c>
      <c r="F1593" s="2">
        <v>31</v>
      </c>
      <c r="G1593" s="2" t="s">
        <v>37</v>
      </c>
      <c r="H1593" s="2">
        <v>4</v>
      </c>
      <c r="I1593" s="2">
        <v>5</v>
      </c>
      <c r="J1593" s="2">
        <f>COUNTIFS($F$13:F1593,F1593,$I$13:I1593,I1593)</f>
        <v>3</v>
      </c>
      <c r="O1593" s="8">
        <v>1031201</v>
      </c>
      <c r="P1593" s="8">
        <v>1031301</v>
      </c>
      <c r="Q1593" s="8">
        <v>1031401</v>
      </c>
      <c r="R1593" s="8">
        <v>1031501</v>
      </c>
    </row>
    <row r="1594" spans="1:20">
      <c r="A1594" s="14" t="s">
        <v>14</v>
      </c>
      <c r="B1594" s="8">
        <f t="shared" si="67"/>
        <v>70314504</v>
      </c>
      <c r="C1594" s="2" t="s">
        <v>1668</v>
      </c>
      <c r="E1594" s="2" t="str">
        <f>F1594&amp;(VLOOKUP(G1594,编号表!$E$1:$G$8,2,0))&amp;H1594&amp;"_"&amp;I1594&amp;"_"&amp;J1594</f>
        <v>31N4_5_4</v>
      </c>
      <c r="F1594" s="2">
        <v>31</v>
      </c>
      <c r="G1594" s="2" t="s">
        <v>37</v>
      </c>
      <c r="H1594" s="2">
        <v>4</v>
      </c>
      <c r="I1594" s="2">
        <v>5</v>
      </c>
      <c r="J1594" s="2">
        <f>COUNTIFS($F$13:F1594,F1594,$I$13:I1594,I1594)</f>
        <v>4</v>
      </c>
      <c r="O1594" s="8">
        <v>1031201</v>
      </c>
      <c r="P1594" s="8">
        <v>1031301</v>
      </c>
      <c r="Q1594" s="8">
        <v>1031401</v>
      </c>
      <c r="R1594" s="8">
        <v>1031501</v>
      </c>
    </row>
    <row r="1595" spans="1:20">
      <c r="A1595" s="14" t="s">
        <v>14</v>
      </c>
      <c r="B1595" s="8">
        <f t="shared" si="67"/>
        <v>70310001</v>
      </c>
      <c r="C1595" s="18" t="s">
        <v>1669</v>
      </c>
      <c r="E1595" s="2" t="str">
        <f>F1595&amp;(VLOOKUP(G1595,编号表!$E$1:$G$8,2,0))&amp;H1595&amp;"_"&amp;I1595&amp;"_"&amp;J1595</f>
        <v>31J0_0_1</v>
      </c>
      <c r="F1595" s="2">
        <v>31</v>
      </c>
      <c r="G1595" s="2" t="s">
        <v>86</v>
      </c>
      <c r="H1595" s="2">
        <v>0</v>
      </c>
      <c r="I1595" s="2">
        <v>0</v>
      </c>
      <c r="J1595" s="2">
        <f>COUNTIFS($F$13:F1595,F1595,$I$13:I1595,I1595)</f>
        <v>1</v>
      </c>
      <c r="K1595" s="2">
        <v>1</v>
      </c>
    </row>
    <row r="1596" spans="1:20">
      <c r="A1596" s="14" t="s">
        <v>14</v>
      </c>
      <c r="B1596" s="8">
        <f t="shared" si="67"/>
        <v>70323101</v>
      </c>
      <c r="C1596" s="16" t="s">
        <v>1670</v>
      </c>
      <c r="D1596" s="2" t="s">
        <v>1671</v>
      </c>
      <c r="E1596" s="2" t="str">
        <f>F1596&amp;(VLOOKUP(G1596,编号表!$E$1:$G$8,2,0))&amp;H1596&amp;"_"&amp;I1596&amp;"_"&amp;J1596</f>
        <v>32T3_1_1</v>
      </c>
      <c r="F1596" s="2">
        <v>32</v>
      </c>
      <c r="G1596" s="2" t="s">
        <v>53</v>
      </c>
      <c r="H1596" s="2">
        <v>3</v>
      </c>
      <c r="I1596" s="2">
        <v>1</v>
      </c>
      <c r="J1596" s="2">
        <f>COUNTIFS($F$13:F1596,F1596,$I$13:I1596,I1596)</f>
        <v>1</v>
      </c>
      <c r="M1596" s="2">
        <v>165</v>
      </c>
    </row>
    <row r="1597" spans="1:20">
      <c r="A1597" s="14" t="s">
        <v>14</v>
      </c>
      <c r="B1597" s="8">
        <f t="shared" si="67"/>
        <v>70321102</v>
      </c>
      <c r="C1597" s="15" t="s">
        <v>1672</v>
      </c>
      <c r="E1597" s="2" t="str">
        <f>F1597&amp;(VLOOKUP(G1597,编号表!$E$1:$G$8,2,0))&amp;H1597&amp;"_"&amp;I1597&amp;"_"&amp;J1597</f>
        <v>32T1_1_2</v>
      </c>
      <c r="F1597" s="2">
        <v>32</v>
      </c>
      <c r="G1597" s="2" t="s">
        <v>53</v>
      </c>
      <c r="H1597" s="2">
        <v>1</v>
      </c>
      <c r="I1597" s="2">
        <v>1</v>
      </c>
      <c r="J1597" s="2">
        <f>COUNTIFS($F$13:F1597,F1597,$I$13:I1597,I1597)</f>
        <v>2</v>
      </c>
    </row>
    <row r="1598" spans="1:20">
      <c r="A1598" s="14" t="s">
        <v>14</v>
      </c>
      <c r="B1598" s="8">
        <f t="shared" si="67"/>
        <v>70324201</v>
      </c>
      <c r="C1598" s="2" t="s">
        <v>1673</v>
      </c>
      <c r="E1598" s="2" t="str">
        <f>F1598&amp;(VLOOKUP(G1598,编号表!$E$1:$G$8,2,0))&amp;H1598&amp;"_"&amp;I1598&amp;"_"&amp;J1598</f>
        <v>32N4_2_1</v>
      </c>
      <c r="F1598" s="2">
        <v>32</v>
      </c>
      <c r="G1598" s="2" t="s">
        <v>37</v>
      </c>
      <c r="H1598" s="2">
        <v>4</v>
      </c>
      <c r="I1598" s="2">
        <v>2</v>
      </c>
      <c r="J1598" s="2">
        <f>COUNTIFS($F$13:F1598,F1598,$I$13:I1598,I1598)</f>
        <v>1</v>
      </c>
      <c r="O1598" s="8">
        <v>1032201</v>
      </c>
      <c r="P1598" s="8">
        <v>1032301</v>
      </c>
      <c r="Q1598" s="8">
        <v>1032401</v>
      </c>
      <c r="R1598" s="8">
        <v>1032501</v>
      </c>
      <c r="S1598" s="8">
        <v>1032601</v>
      </c>
      <c r="T1598" s="8">
        <v>1032001</v>
      </c>
    </row>
    <row r="1599" spans="1:20">
      <c r="A1599" s="14" t="s">
        <v>14</v>
      </c>
      <c r="B1599" s="8">
        <f t="shared" si="67"/>
        <v>70324202</v>
      </c>
      <c r="C1599" s="2" t="s">
        <v>1674</v>
      </c>
      <c r="E1599" s="2" t="str">
        <f>F1599&amp;(VLOOKUP(G1599,编号表!$E$1:$G$8,2,0))&amp;H1599&amp;"_"&amp;I1599&amp;"_"&amp;J1599</f>
        <v>32N4_2_2</v>
      </c>
      <c r="F1599" s="2">
        <v>32</v>
      </c>
      <c r="G1599" s="2" t="s">
        <v>37</v>
      </c>
      <c r="H1599" s="2">
        <v>4</v>
      </c>
      <c r="I1599" s="2">
        <v>2</v>
      </c>
      <c r="J1599" s="2">
        <f>COUNTIFS($F$13:F1599,F1599,$I$13:I1599,I1599)</f>
        <v>2</v>
      </c>
      <c r="O1599" s="8">
        <v>1032201</v>
      </c>
      <c r="P1599" s="8">
        <v>1032301</v>
      </c>
      <c r="Q1599" s="8">
        <v>1032401</v>
      </c>
      <c r="R1599" s="8">
        <v>1032501</v>
      </c>
      <c r="S1599" s="8">
        <v>1032601</v>
      </c>
      <c r="T1599" s="8">
        <v>1032101</v>
      </c>
    </row>
    <row r="1600" spans="1:20">
      <c r="A1600" s="14" t="s">
        <v>14</v>
      </c>
      <c r="B1600" s="8">
        <f t="shared" si="67"/>
        <v>70324203</v>
      </c>
      <c r="C1600" s="2" t="s">
        <v>1675</v>
      </c>
      <c r="E1600" s="2" t="str">
        <f>F1600&amp;(VLOOKUP(G1600,编号表!$E$1:$G$8,2,0))&amp;H1600&amp;"_"&amp;I1600&amp;"_"&amp;J1600</f>
        <v>32N4_2_3</v>
      </c>
      <c r="F1600" s="2">
        <v>32</v>
      </c>
      <c r="G1600" s="2" t="s">
        <v>37</v>
      </c>
      <c r="H1600" s="2">
        <v>4</v>
      </c>
      <c r="I1600" s="2">
        <v>2</v>
      </c>
      <c r="J1600" s="2">
        <f>COUNTIFS($F$13:F1600,F1600,$I$13:I1600,I1600)</f>
        <v>3</v>
      </c>
      <c r="O1600" s="8">
        <v>1032201</v>
      </c>
      <c r="P1600" s="8">
        <v>1032301</v>
      </c>
      <c r="Q1600" s="8">
        <v>1032401</v>
      </c>
      <c r="R1600" s="8">
        <v>1032501</v>
      </c>
      <c r="S1600" s="8">
        <v>1032601</v>
      </c>
    </row>
    <row r="1601" spans="1:21">
      <c r="A1601" s="14" t="s">
        <v>14</v>
      </c>
      <c r="B1601" s="8">
        <f t="shared" si="67"/>
        <v>70324301</v>
      </c>
      <c r="C1601" s="2" t="s">
        <v>1676</v>
      </c>
      <c r="E1601" s="2" t="str">
        <f>F1601&amp;(VLOOKUP(G1601,编号表!$E$1:$G$8,2,0))&amp;H1601&amp;"_"&amp;I1601&amp;"_"&amp;J1601</f>
        <v>32N4_3_1</v>
      </c>
      <c r="F1601" s="2">
        <v>32</v>
      </c>
      <c r="G1601" s="2" t="s">
        <v>37</v>
      </c>
      <c r="H1601" s="2">
        <v>4</v>
      </c>
      <c r="I1601" s="2">
        <v>3</v>
      </c>
      <c r="J1601" s="2">
        <f>COUNTIFS($F$13:F1601,F1601,$I$13:I1601,I1601)</f>
        <v>1</v>
      </c>
      <c r="O1601" s="8">
        <v>1032201</v>
      </c>
      <c r="P1601" s="8">
        <v>1032301</v>
      </c>
      <c r="Q1601" s="8">
        <v>1032401</v>
      </c>
      <c r="R1601" s="8">
        <v>1032501</v>
      </c>
      <c r="S1601" s="8">
        <v>1032601</v>
      </c>
    </row>
    <row r="1602" spans="1:21">
      <c r="A1602" s="14" t="s">
        <v>14</v>
      </c>
      <c r="B1602" s="8">
        <f t="shared" si="67"/>
        <v>70324302</v>
      </c>
      <c r="C1602" s="2" t="s">
        <v>1677</v>
      </c>
      <c r="E1602" s="2" t="str">
        <f>F1602&amp;(VLOOKUP(G1602,编号表!$E$1:$G$8,2,0))&amp;H1602&amp;"_"&amp;I1602&amp;"_"&amp;J1602</f>
        <v>32N4_3_2</v>
      </c>
      <c r="F1602" s="2">
        <v>32</v>
      </c>
      <c r="G1602" s="2" t="s">
        <v>37</v>
      </c>
      <c r="H1602" s="2">
        <v>4</v>
      </c>
      <c r="I1602" s="2">
        <v>3</v>
      </c>
      <c r="J1602" s="2">
        <f>COUNTIFS($F$13:F1602,F1602,$I$13:I1602,I1602)</f>
        <v>2</v>
      </c>
      <c r="O1602" s="8">
        <v>1032201</v>
      </c>
      <c r="P1602" s="8">
        <v>1032301</v>
      </c>
      <c r="Q1602" s="8">
        <v>1032401</v>
      </c>
      <c r="R1602" s="8">
        <v>1032501</v>
      </c>
      <c r="S1602" s="8">
        <v>1032601</v>
      </c>
    </row>
    <row r="1603" spans="1:21">
      <c r="A1603" s="14" t="s">
        <v>14</v>
      </c>
      <c r="B1603" s="8">
        <f t="shared" si="67"/>
        <v>70323303</v>
      </c>
      <c r="C1603" s="2" t="s">
        <v>1678</v>
      </c>
      <c r="E1603" s="2" t="str">
        <f>F1603&amp;(VLOOKUP(G1603,编号表!$E$1:$G$8,2,0))&amp;H1603&amp;"_"&amp;I1603&amp;"_"&amp;J1603</f>
        <v>32N3_3_3</v>
      </c>
      <c r="F1603" s="2">
        <v>32</v>
      </c>
      <c r="G1603" s="2" t="s">
        <v>37</v>
      </c>
      <c r="H1603" s="2">
        <v>3</v>
      </c>
      <c r="I1603" s="2">
        <v>3</v>
      </c>
      <c r="J1603" s="2">
        <f>COUNTIFS($F$13:F1603,F1603,$I$13:I1603,I1603)</f>
        <v>3</v>
      </c>
      <c r="O1603" s="8">
        <v>1032201</v>
      </c>
      <c r="P1603" s="8">
        <v>1032301</v>
      </c>
      <c r="Q1603" s="8">
        <v>1032401</v>
      </c>
      <c r="R1603" s="8">
        <v>1032501</v>
      </c>
      <c r="S1603" s="8">
        <v>1032601</v>
      </c>
    </row>
    <row r="1604" spans="1:21">
      <c r="A1604" s="14" t="s">
        <v>14</v>
      </c>
      <c r="B1604" s="8">
        <f t="shared" si="67"/>
        <v>70321304</v>
      </c>
      <c r="C1604" s="15" t="s">
        <v>1679</v>
      </c>
      <c r="E1604" s="2" t="str">
        <f>F1604&amp;(VLOOKUP(G1604,编号表!$E$1:$G$8,2,0))&amp;H1604&amp;"_"&amp;I1604&amp;"_"&amp;J1604</f>
        <v>32T1_3_4</v>
      </c>
      <c r="F1604" s="2">
        <v>32</v>
      </c>
      <c r="G1604" s="2" t="s">
        <v>53</v>
      </c>
      <c r="H1604" s="2">
        <v>1</v>
      </c>
      <c r="I1604" s="2">
        <v>3</v>
      </c>
      <c r="J1604" s="2">
        <f>COUNTIFS($F$13:F1604,F1604,$I$13:I1604,I1604)</f>
        <v>4</v>
      </c>
      <c r="L1604" s="2">
        <v>1</v>
      </c>
    </row>
    <row r="1605" spans="1:21">
      <c r="A1605" s="14" t="s">
        <v>14</v>
      </c>
      <c r="B1605" s="8">
        <f t="shared" si="67"/>
        <v>70323305</v>
      </c>
      <c r="C1605" s="16" t="s">
        <v>54</v>
      </c>
      <c r="D1605" s="2" t="s">
        <v>1679</v>
      </c>
      <c r="E1605" s="2" t="str">
        <f>F1605&amp;(VLOOKUP(G1605,编号表!$E$1:$G$8,2,0))&amp;H1605&amp;"_"&amp;I1605&amp;"_"&amp;J1605</f>
        <v>32T3_3_5</v>
      </c>
      <c r="F1605" s="2">
        <v>32</v>
      </c>
      <c r="G1605" s="2" t="s">
        <v>53</v>
      </c>
      <c r="H1605" s="2">
        <v>3</v>
      </c>
      <c r="I1605" s="2">
        <v>3</v>
      </c>
      <c r="J1605" s="2">
        <f>COUNTIFS($F$13:F1605,F1605,$I$13:I1605,I1605)</f>
        <v>5</v>
      </c>
    </row>
    <row r="1606" spans="1:21">
      <c r="A1606" s="14" t="s">
        <v>14</v>
      </c>
      <c r="B1606" s="8">
        <f t="shared" si="67"/>
        <v>70322306</v>
      </c>
      <c r="C1606" s="2" t="s">
        <v>1680</v>
      </c>
      <c r="E1606" s="2" t="str">
        <f>F1606&amp;(VLOOKUP(G1606,编号表!$E$1:$G$8,2,0))&amp;H1606&amp;"_"&amp;I1606&amp;"_"&amp;J1606</f>
        <v>32N2_3_6</v>
      </c>
      <c r="F1606" s="2">
        <v>32</v>
      </c>
      <c r="G1606" s="2" t="s">
        <v>37</v>
      </c>
      <c r="H1606" s="2">
        <v>2</v>
      </c>
      <c r="I1606" s="2">
        <v>3</v>
      </c>
      <c r="J1606" s="2">
        <f>COUNTIFS($F$13:F1606,F1606,$I$13:I1606,I1606)</f>
        <v>6</v>
      </c>
      <c r="O1606" s="8">
        <v>1032201</v>
      </c>
      <c r="P1606" s="8">
        <v>1032301</v>
      </c>
      <c r="Q1606" s="8">
        <v>1032401</v>
      </c>
      <c r="R1606" s="8">
        <v>1032501</v>
      </c>
      <c r="S1606" s="8">
        <v>1032601</v>
      </c>
    </row>
    <row r="1607" spans="1:21">
      <c r="A1607" s="14" t="s">
        <v>14</v>
      </c>
      <c r="B1607" s="8">
        <f t="shared" si="67"/>
        <v>70320001</v>
      </c>
      <c r="C1607" s="18" t="s">
        <v>1681</v>
      </c>
      <c r="E1607" s="2" t="str">
        <f>F1607&amp;(VLOOKUP(G1607,编号表!$E$1:$G$8,2,0))&amp;H1607&amp;"_"&amp;I1607&amp;"_"&amp;J1607</f>
        <v>32J0_0_1</v>
      </c>
      <c r="F1607" s="2">
        <v>32</v>
      </c>
      <c r="G1607" s="2" t="s">
        <v>86</v>
      </c>
      <c r="H1607" s="2">
        <v>0</v>
      </c>
      <c r="I1607" s="2">
        <v>0</v>
      </c>
      <c r="J1607" s="2">
        <f>COUNTIFS($F$13:F1607,F1607,$I$13:I1607,I1607)</f>
        <v>1</v>
      </c>
      <c r="K1607" s="2">
        <v>1</v>
      </c>
    </row>
    <row r="1608" spans="1:21">
      <c r="A1608" s="14" t="s">
        <v>14</v>
      </c>
      <c r="B1608" s="8">
        <f t="shared" si="67"/>
        <v>70335101</v>
      </c>
      <c r="C1608" s="2" t="s">
        <v>1682</v>
      </c>
      <c r="E1608" s="2" t="str">
        <f>F1608&amp;(VLOOKUP(G1608,编号表!$E$1:$G$8,2,0))&amp;H1608&amp;"_"&amp;I1608&amp;"_"&amp;J1608</f>
        <v>33N5_1_1</v>
      </c>
      <c r="F1608" s="2">
        <v>33</v>
      </c>
      <c r="G1608" s="2" t="s">
        <v>37</v>
      </c>
      <c r="H1608" s="2">
        <v>5</v>
      </c>
      <c r="I1608" s="2">
        <v>1</v>
      </c>
      <c r="J1608" s="2">
        <f>COUNTIFS($F$13:F1608,F1608,$I$13:I1608,I1608)</f>
        <v>1</v>
      </c>
      <c r="O1608" s="8">
        <v>1033201</v>
      </c>
      <c r="P1608" s="8">
        <v>1033301</v>
      </c>
      <c r="Q1608" s="8">
        <v>1033401</v>
      </c>
      <c r="R1608" s="8">
        <v>1033501</v>
      </c>
      <c r="S1608" s="8">
        <v>1033601</v>
      </c>
      <c r="T1608" s="8">
        <v>1033701</v>
      </c>
      <c r="U1608" s="8">
        <v>1033001</v>
      </c>
    </row>
    <row r="1609" spans="1:21">
      <c r="A1609" s="14" t="s">
        <v>14</v>
      </c>
      <c r="B1609" s="8">
        <f t="shared" si="67"/>
        <v>70335102</v>
      </c>
      <c r="C1609" s="2" t="s">
        <v>1683</v>
      </c>
      <c r="E1609" s="2" t="str">
        <f>F1609&amp;(VLOOKUP(G1609,编号表!$E$1:$G$8,2,0))&amp;H1609&amp;"_"&amp;I1609&amp;"_"&amp;J1609</f>
        <v>33N5_1_2</v>
      </c>
      <c r="F1609" s="2">
        <v>33</v>
      </c>
      <c r="G1609" s="2" t="s">
        <v>37</v>
      </c>
      <c r="H1609" s="2">
        <v>5</v>
      </c>
      <c r="I1609" s="2">
        <v>1</v>
      </c>
      <c r="J1609" s="2">
        <f>COUNTIFS($F$13:F1609,F1609,$I$13:I1609,I1609)</f>
        <v>2</v>
      </c>
      <c r="O1609" s="8">
        <v>1033201</v>
      </c>
      <c r="P1609" s="8">
        <v>1033301</v>
      </c>
      <c r="Q1609" s="8">
        <v>1033401</v>
      </c>
      <c r="R1609" s="8">
        <v>1033501</v>
      </c>
      <c r="S1609" s="8">
        <v>1033601</v>
      </c>
      <c r="T1609" s="8">
        <v>1033701</v>
      </c>
      <c r="U1609" s="8">
        <v>1033101</v>
      </c>
    </row>
    <row r="1610" spans="1:21">
      <c r="A1610" s="14" t="s">
        <v>14</v>
      </c>
      <c r="B1610" s="8">
        <f t="shared" si="67"/>
        <v>70335103</v>
      </c>
      <c r="C1610" s="2" t="s">
        <v>1684</v>
      </c>
      <c r="E1610" s="2" t="str">
        <f>F1610&amp;(VLOOKUP(G1610,编号表!$E$1:$G$8,2,0))&amp;H1610&amp;"_"&amp;I1610&amp;"_"&amp;J1610</f>
        <v>33N5_1_3</v>
      </c>
      <c r="F1610" s="2">
        <v>33</v>
      </c>
      <c r="G1610" s="2" t="s">
        <v>37</v>
      </c>
      <c r="H1610" s="2">
        <v>5</v>
      </c>
      <c r="I1610" s="2">
        <v>1</v>
      </c>
      <c r="J1610" s="2">
        <f>COUNTIFS($F$13:F1610,F1610,$I$13:I1610,I1610)</f>
        <v>3</v>
      </c>
      <c r="O1610" s="8">
        <v>1033201</v>
      </c>
      <c r="P1610" s="8">
        <v>1033301</v>
      </c>
      <c r="Q1610" s="8">
        <v>1033401</v>
      </c>
      <c r="R1610" s="8">
        <v>1033501</v>
      </c>
      <c r="S1610" s="8">
        <v>1033601</v>
      </c>
      <c r="T1610" s="8">
        <v>1033701</v>
      </c>
      <c r="U1610" s="8">
        <v>1033102</v>
      </c>
    </row>
    <row r="1611" spans="1:21">
      <c r="A1611" s="14" t="s">
        <v>14</v>
      </c>
      <c r="B1611" s="8">
        <f t="shared" ref="B1611:B1674" si="68">70000000+F1611*10000+H1611*1000+I1611*100+J1611</f>
        <v>70335104</v>
      </c>
      <c r="C1611" s="2" t="s">
        <v>1685</v>
      </c>
      <c r="E1611" s="2" t="str">
        <f>F1611&amp;(VLOOKUP(G1611,编号表!$E$1:$G$8,2,0))&amp;H1611&amp;"_"&amp;I1611&amp;"_"&amp;J1611</f>
        <v>33N5_1_4</v>
      </c>
      <c r="F1611" s="2">
        <v>33</v>
      </c>
      <c r="G1611" s="2" t="s">
        <v>37</v>
      </c>
      <c r="H1611" s="2">
        <v>5</v>
      </c>
      <c r="I1611" s="2">
        <v>1</v>
      </c>
      <c r="J1611" s="2">
        <f>COUNTIFS($F$13:F1611,F1611,$I$13:I1611,I1611)</f>
        <v>4</v>
      </c>
      <c r="O1611" s="8">
        <v>1033201</v>
      </c>
      <c r="P1611" s="8">
        <v>1033301</v>
      </c>
      <c r="Q1611" s="8">
        <v>1033401</v>
      </c>
      <c r="R1611" s="8">
        <v>1033501</v>
      </c>
      <c r="S1611" s="8">
        <v>1033601</v>
      </c>
      <c r="T1611" s="8">
        <v>1033701</v>
      </c>
    </row>
    <row r="1612" spans="1:21">
      <c r="A1612" s="14" t="s">
        <v>14</v>
      </c>
      <c r="B1612" s="8">
        <f t="shared" si="68"/>
        <v>70334105</v>
      </c>
      <c r="C1612" s="2" t="s">
        <v>1686</v>
      </c>
      <c r="E1612" s="2" t="str">
        <f>F1612&amp;(VLOOKUP(G1612,编号表!$E$1:$G$8,2,0))&amp;H1612&amp;"_"&amp;I1612&amp;"_"&amp;J1612</f>
        <v>33N4_1_5</v>
      </c>
      <c r="F1612" s="2">
        <v>33</v>
      </c>
      <c r="G1612" s="2" t="s">
        <v>37</v>
      </c>
      <c r="H1612" s="2">
        <v>4</v>
      </c>
      <c r="I1612" s="2">
        <v>1</v>
      </c>
      <c r="J1612" s="2">
        <f>COUNTIFS($F$13:F1612,F1612,$I$13:I1612,I1612)</f>
        <v>5</v>
      </c>
      <c r="O1612" s="8">
        <v>1033201</v>
      </c>
      <c r="P1612" s="8">
        <v>1033301</v>
      </c>
      <c r="Q1612" s="8">
        <v>1033401</v>
      </c>
      <c r="R1612" s="8">
        <v>1033501</v>
      </c>
      <c r="S1612" s="8">
        <v>1033601</v>
      </c>
      <c r="T1612" s="8">
        <v>1033701</v>
      </c>
    </row>
    <row r="1613" spans="1:21">
      <c r="A1613" s="14" t="s">
        <v>14</v>
      </c>
      <c r="B1613" s="8">
        <f t="shared" si="68"/>
        <v>70335106</v>
      </c>
      <c r="C1613" s="2" t="s">
        <v>1687</v>
      </c>
      <c r="E1613" s="2" t="str">
        <f>F1613&amp;(VLOOKUP(G1613,编号表!$E$1:$G$8,2,0))&amp;H1613&amp;"_"&amp;I1613&amp;"_"&amp;J1613</f>
        <v>33N5_1_6</v>
      </c>
      <c r="F1613" s="2">
        <v>33</v>
      </c>
      <c r="G1613" s="2" t="s">
        <v>37</v>
      </c>
      <c r="H1613" s="2">
        <v>5</v>
      </c>
      <c r="I1613" s="2">
        <v>1</v>
      </c>
      <c r="J1613" s="2">
        <f>COUNTIFS($F$13:F1613,F1613,$I$13:I1613,I1613)</f>
        <v>6</v>
      </c>
      <c r="O1613" s="8">
        <v>1033201</v>
      </c>
      <c r="P1613" s="8">
        <v>1033301</v>
      </c>
      <c r="Q1613" s="8">
        <v>1033401</v>
      </c>
      <c r="R1613" s="8">
        <v>1033501</v>
      </c>
      <c r="S1613" s="8">
        <v>1033601</v>
      </c>
      <c r="T1613" s="8">
        <v>1033701</v>
      </c>
    </row>
    <row r="1614" spans="1:21">
      <c r="A1614" s="14" t="s">
        <v>14</v>
      </c>
      <c r="B1614" s="8">
        <f t="shared" si="68"/>
        <v>70333107</v>
      </c>
      <c r="C1614" s="2" t="s">
        <v>1688</v>
      </c>
      <c r="E1614" s="2" t="str">
        <f>F1614&amp;(VLOOKUP(G1614,编号表!$E$1:$G$8,2,0))&amp;H1614&amp;"_"&amp;I1614&amp;"_"&amp;J1614</f>
        <v>33N3_1_7</v>
      </c>
      <c r="F1614" s="2">
        <v>33</v>
      </c>
      <c r="G1614" s="2" t="s">
        <v>37</v>
      </c>
      <c r="H1614" s="2">
        <v>3</v>
      </c>
      <c r="I1614" s="2">
        <v>1</v>
      </c>
      <c r="J1614" s="2">
        <f>COUNTIFS($F$13:F1614,F1614,$I$13:I1614,I1614)</f>
        <v>7</v>
      </c>
      <c r="O1614" s="8">
        <v>1033201</v>
      </c>
      <c r="P1614" s="8">
        <v>1033301</v>
      </c>
      <c r="Q1614" s="8">
        <v>1033401</v>
      </c>
      <c r="R1614" s="8">
        <v>1033501</v>
      </c>
      <c r="S1614" s="8">
        <v>1033601</v>
      </c>
      <c r="T1614" s="8">
        <v>1033701</v>
      </c>
    </row>
    <row r="1615" spans="1:21">
      <c r="A1615" s="14" t="s">
        <v>14</v>
      </c>
      <c r="B1615" s="8">
        <f t="shared" si="68"/>
        <v>70334201</v>
      </c>
      <c r="C1615" s="2" t="s">
        <v>1689</v>
      </c>
      <c r="E1615" s="2" t="str">
        <f>F1615&amp;(VLOOKUP(G1615,编号表!$E$1:$G$8,2,0))&amp;H1615&amp;"_"&amp;I1615&amp;"_"&amp;J1615</f>
        <v>33N4_2_1</v>
      </c>
      <c r="F1615" s="2">
        <v>33</v>
      </c>
      <c r="G1615" s="2" t="s">
        <v>37</v>
      </c>
      <c r="H1615" s="2">
        <v>4</v>
      </c>
      <c r="I1615" s="2">
        <v>2</v>
      </c>
      <c r="J1615" s="2">
        <f>COUNTIFS($F$13:F1615,F1615,$I$13:I1615,I1615)</f>
        <v>1</v>
      </c>
      <c r="O1615" s="8">
        <v>1033201</v>
      </c>
      <c r="P1615" s="8">
        <v>1033301</v>
      </c>
      <c r="Q1615" s="8">
        <v>1033401</v>
      </c>
      <c r="R1615" s="8">
        <v>1033501</v>
      </c>
      <c r="S1615" s="8">
        <v>1033601</v>
      </c>
      <c r="T1615" s="8">
        <v>1033701</v>
      </c>
    </row>
    <row r="1616" spans="1:21">
      <c r="A1616" s="14" t="s">
        <v>14</v>
      </c>
      <c r="B1616" s="8">
        <f t="shared" si="68"/>
        <v>70335202</v>
      </c>
      <c r="C1616" s="2" t="s">
        <v>1690</v>
      </c>
      <c r="E1616" s="2" t="str">
        <f>F1616&amp;(VLOOKUP(G1616,编号表!$E$1:$G$8,2,0))&amp;H1616&amp;"_"&amp;I1616&amp;"_"&amp;J1616</f>
        <v>33N5_2_2</v>
      </c>
      <c r="F1616" s="2">
        <v>33</v>
      </c>
      <c r="G1616" s="2" t="s">
        <v>37</v>
      </c>
      <c r="H1616" s="2">
        <v>5</v>
      </c>
      <c r="I1616" s="2">
        <v>2</v>
      </c>
      <c r="J1616" s="2">
        <f>COUNTIFS($F$13:F1616,F1616,$I$13:I1616,I1616)</f>
        <v>2</v>
      </c>
      <c r="O1616" s="8">
        <v>1033201</v>
      </c>
      <c r="P1616" s="8">
        <v>1033301</v>
      </c>
      <c r="Q1616" s="8">
        <v>1033401</v>
      </c>
      <c r="R1616" s="8">
        <v>1033501</v>
      </c>
      <c r="S1616" s="8">
        <v>1033601</v>
      </c>
      <c r="T1616" s="8">
        <v>1033701</v>
      </c>
    </row>
    <row r="1617" spans="1:20">
      <c r="A1617" s="14" t="s">
        <v>14</v>
      </c>
      <c r="B1617" s="8">
        <f t="shared" si="68"/>
        <v>70335203</v>
      </c>
      <c r="C1617" s="2" t="s">
        <v>1691</v>
      </c>
      <c r="E1617" s="2" t="str">
        <f>F1617&amp;(VLOOKUP(G1617,编号表!$E$1:$G$8,2,0))&amp;H1617&amp;"_"&amp;I1617&amp;"_"&amp;J1617</f>
        <v>33N5_2_3</v>
      </c>
      <c r="F1617" s="2">
        <v>33</v>
      </c>
      <c r="G1617" s="2" t="s">
        <v>37</v>
      </c>
      <c r="H1617" s="2">
        <v>5</v>
      </c>
      <c r="I1617" s="2">
        <v>2</v>
      </c>
      <c r="J1617" s="2">
        <f>COUNTIFS($F$13:F1617,F1617,$I$13:I1617,I1617)</f>
        <v>3</v>
      </c>
      <c r="O1617" s="8">
        <v>1033201</v>
      </c>
      <c r="P1617" s="8">
        <v>1033301</v>
      </c>
      <c r="Q1617" s="8">
        <v>1033401</v>
      </c>
      <c r="R1617" s="8">
        <v>1033501</v>
      </c>
      <c r="S1617" s="8">
        <v>1033601</v>
      </c>
      <c r="T1617" s="8">
        <v>1033701</v>
      </c>
    </row>
    <row r="1618" spans="1:20">
      <c r="A1618" s="14" t="s">
        <v>14</v>
      </c>
      <c r="B1618" s="8">
        <f t="shared" si="68"/>
        <v>70335204</v>
      </c>
      <c r="C1618" s="2" t="s">
        <v>1692</v>
      </c>
      <c r="E1618" s="2" t="str">
        <f>F1618&amp;(VLOOKUP(G1618,编号表!$E$1:$G$8,2,0))&amp;H1618&amp;"_"&amp;I1618&amp;"_"&amp;J1618</f>
        <v>33N5_2_4</v>
      </c>
      <c r="F1618" s="2">
        <v>33</v>
      </c>
      <c r="G1618" s="2" t="s">
        <v>37</v>
      </c>
      <c r="H1618" s="2">
        <v>5</v>
      </c>
      <c r="I1618" s="2">
        <v>2</v>
      </c>
      <c r="J1618" s="2">
        <f>COUNTIFS($F$13:F1618,F1618,$I$13:I1618,I1618)</f>
        <v>4</v>
      </c>
      <c r="O1618" s="8">
        <v>1033201</v>
      </c>
      <c r="P1618" s="8">
        <v>1033301</v>
      </c>
      <c r="Q1618" s="8">
        <v>1033401</v>
      </c>
      <c r="R1618" s="8">
        <v>1033501</v>
      </c>
      <c r="S1618" s="8">
        <v>1033601</v>
      </c>
      <c r="T1618" s="8">
        <v>1033701</v>
      </c>
    </row>
    <row r="1619" spans="1:20">
      <c r="A1619" s="14" t="s">
        <v>14</v>
      </c>
      <c r="B1619" s="8">
        <f t="shared" si="68"/>
        <v>70334205</v>
      </c>
      <c r="C1619" s="2" t="s">
        <v>1693</v>
      </c>
      <c r="E1619" s="2" t="str">
        <f>F1619&amp;(VLOOKUP(G1619,编号表!$E$1:$G$8,2,0))&amp;H1619&amp;"_"&amp;I1619&amp;"_"&amp;J1619</f>
        <v>33N4_2_5</v>
      </c>
      <c r="F1619" s="2">
        <v>33</v>
      </c>
      <c r="G1619" s="2" t="s">
        <v>37</v>
      </c>
      <c r="H1619" s="2">
        <v>4</v>
      </c>
      <c r="I1619" s="2">
        <v>2</v>
      </c>
      <c r="J1619" s="2">
        <f>COUNTIFS($F$13:F1619,F1619,$I$13:I1619,I1619)</f>
        <v>5</v>
      </c>
      <c r="O1619" s="8">
        <v>1033201</v>
      </c>
      <c r="P1619" s="8">
        <v>1033301</v>
      </c>
      <c r="Q1619" s="8">
        <v>1033401</v>
      </c>
      <c r="R1619" s="8">
        <v>1033501</v>
      </c>
      <c r="S1619" s="8">
        <v>1033601</v>
      </c>
      <c r="T1619" s="8">
        <v>1033701</v>
      </c>
    </row>
    <row r="1620" spans="1:20">
      <c r="A1620" s="14" t="s">
        <v>14</v>
      </c>
      <c r="B1620" s="8">
        <f t="shared" si="68"/>
        <v>70333206</v>
      </c>
      <c r="C1620" s="2" t="s">
        <v>1694</v>
      </c>
      <c r="E1620" s="2" t="str">
        <f>F1620&amp;(VLOOKUP(G1620,编号表!$E$1:$G$8,2,0))&amp;H1620&amp;"_"&amp;I1620&amp;"_"&amp;J1620</f>
        <v>33N3_2_6</v>
      </c>
      <c r="F1620" s="2">
        <v>33</v>
      </c>
      <c r="G1620" s="2" t="s">
        <v>37</v>
      </c>
      <c r="H1620" s="2">
        <v>3</v>
      </c>
      <c r="I1620" s="2">
        <v>2</v>
      </c>
      <c r="J1620" s="2">
        <f>COUNTIFS($F$13:F1620,F1620,$I$13:I1620,I1620)</f>
        <v>6</v>
      </c>
      <c r="O1620" s="8">
        <v>1033201</v>
      </c>
      <c r="P1620" s="8">
        <v>1033301</v>
      </c>
      <c r="Q1620" s="8">
        <v>1033401</v>
      </c>
      <c r="R1620" s="8">
        <v>1033501</v>
      </c>
      <c r="S1620" s="8">
        <v>1033601</v>
      </c>
      <c r="T1620" s="8">
        <v>1033701</v>
      </c>
    </row>
    <row r="1621" spans="1:20">
      <c r="A1621" s="14" t="s">
        <v>14</v>
      </c>
      <c r="B1621" s="8">
        <f t="shared" si="68"/>
        <v>70335207</v>
      </c>
      <c r="C1621" s="2" t="s">
        <v>1695</v>
      </c>
      <c r="E1621" s="2" t="str">
        <f>F1621&amp;(VLOOKUP(G1621,编号表!$E$1:$G$8,2,0))&amp;H1621&amp;"_"&amp;I1621&amp;"_"&amp;J1621</f>
        <v>33N5_2_7</v>
      </c>
      <c r="F1621" s="2">
        <v>33</v>
      </c>
      <c r="G1621" s="2" t="s">
        <v>37</v>
      </c>
      <c r="H1621" s="2">
        <v>5</v>
      </c>
      <c r="I1621" s="2">
        <v>2</v>
      </c>
      <c r="J1621" s="2">
        <f>COUNTIFS($F$13:F1621,F1621,$I$13:I1621,I1621)</f>
        <v>7</v>
      </c>
      <c r="O1621" s="8">
        <v>1033201</v>
      </c>
      <c r="P1621" s="8">
        <v>1033301</v>
      </c>
      <c r="Q1621" s="8">
        <v>1033401</v>
      </c>
      <c r="R1621" s="8">
        <v>1033501</v>
      </c>
      <c r="S1621" s="8">
        <v>1033601</v>
      </c>
      <c r="T1621" s="8">
        <v>1033701</v>
      </c>
    </row>
    <row r="1622" spans="1:20">
      <c r="A1622" s="14" t="s">
        <v>14</v>
      </c>
      <c r="B1622" s="8">
        <f t="shared" si="68"/>
        <v>70331208</v>
      </c>
      <c r="C1622" s="15" t="s">
        <v>1671</v>
      </c>
      <c r="E1622" s="2" t="str">
        <f>F1622&amp;(VLOOKUP(G1622,编号表!$E$1:$G$8,2,0))&amp;H1622&amp;"_"&amp;I1622&amp;"_"&amp;J1622</f>
        <v>33T1_2_8</v>
      </c>
      <c r="F1622" s="2">
        <v>33</v>
      </c>
      <c r="G1622" s="2" t="s">
        <v>53</v>
      </c>
      <c r="H1622" s="2">
        <v>1</v>
      </c>
      <c r="I1622" s="2">
        <v>2</v>
      </c>
      <c r="J1622" s="2">
        <f>COUNTIFS($F$13:F1622,F1622,$I$13:I1622,I1622)</f>
        <v>8</v>
      </c>
      <c r="L1622" s="2">
        <v>1</v>
      </c>
    </row>
    <row r="1623" spans="1:20">
      <c r="A1623" s="14" t="s">
        <v>14</v>
      </c>
      <c r="B1623" s="8">
        <f t="shared" si="68"/>
        <v>70333209</v>
      </c>
      <c r="C1623" s="16" t="s">
        <v>1646</v>
      </c>
      <c r="D1623" s="2" t="s">
        <v>1672</v>
      </c>
      <c r="E1623" s="2" t="str">
        <f>F1623&amp;(VLOOKUP(G1623,编号表!$E$1:$G$8,2,0))&amp;H1623&amp;"_"&amp;I1623&amp;"_"&amp;J1623</f>
        <v>33T3_2_9</v>
      </c>
      <c r="F1623" s="2">
        <v>33</v>
      </c>
      <c r="G1623" s="2" t="s">
        <v>53</v>
      </c>
      <c r="H1623" s="2">
        <v>3</v>
      </c>
      <c r="I1623" s="2">
        <v>2</v>
      </c>
      <c r="J1623" s="2">
        <f>COUNTIFS($F$13:F1623,F1623,$I$13:I1623,I1623)</f>
        <v>9</v>
      </c>
      <c r="M1623" s="2">
        <v>166</v>
      </c>
    </row>
    <row r="1624" spans="1:20">
      <c r="A1624" s="14" t="s">
        <v>14</v>
      </c>
      <c r="B1624" s="8">
        <f t="shared" si="68"/>
        <v>70333210</v>
      </c>
      <c r="C1624" s="2" t="s">
        <v>1696</v>
      </c>
      <c r="E1624" s="2" t="str">
        <f>F1624&amp;(VLOOKUP(G1624,编号表!$E$1:$G$8,2,0))&amp;H1624&amp;"_"&amp;I1624&amp;"_"&amp;J1624</f>
        <v>33N3_2_10</v>
      </c>
      <c r="F1624" s="2">
        <v>33</v>
      </c>
      <c r="G1624" s="2" t="s">
        <v>37</v>
      </c>
      <c r="H1624" s="2">
        <v>3</v>
      </c>
      <c r="I1624" s="2">
        <v>2</v>
      </c>
      <c r="J1624" s="2">
        <f>COUNTIFS($F$13:F1624,F1624,$I$13:I1624,I1624)</f>
        <v>10</v>
      </c>
      <c r="O1624" s="8">
        <v>1033201</v>
      </c>
      <c r="P1624" s="8">
        <v>1033301</v>
      </c>
      <c r="Q1624" s="8">
        <v>1033401</v>
      </c>
      <c r="R1624" s="8">
        <v>1033501</v>
      </c>
      <c r="S1624" s="8">
        <v>1033601</v>
      </c>
      <c r="T1624" s="8">
        <v>1033701</v>
      </c>
    </row>
    <row r="1625" spans="1:20">
      <c r="A1625" s="14" t="s">
        <v>14</v>
      </c>
      <c r="B1625" s="8">
        <f t="shared" si="68"/>
        <v>70334301</v>
      </c>
      <c r="C1625" s="2" t="s">
        <v>1697</v>
      </c>
      <c r="E1625" s="2" t="str">
        <f>F1625&amp;(VLOOKUP(G1625,编号表!$E$1:$G$8,2,0))&amp;H1625&amp;"_"&amp;I1625&amp;"_"&amp;J1625</f>
        <v>33N4_3_1</v>
      </c>
      <c r="F1625" s="2">
        <v>33</v>
      </c>
      <c r="G1625" s="2" t="s">
        <v>37</v>
      </c>
      <c r="H1625" s="2">
        <v>4</v>
      </c>
      <c r="I1625" s="2">
        <v>3</v>
      </c>
      <c r="J1625" s="2">
        <f>COUNTIFS($F$13:F1625,F1625,$I$13:I1625,I1625)</f>
        <v>1</v>
      </c>
      <c r="O1625" s="8">
        <v>1033201</v>
      </c>
      <c r="P1625" s="8">
        <v>1033301</v>
      </c>
      <c r="Q1625" s="8">
        <v>1033401</v>
      </c>
      <c r="R1625" s="8">
        <v>1033501</v>
      </c>
      <c r="S1625" s="8">
        <v>1033601</v>
      </c>
      <c r="T1625" s="8">
        <v>1033701</v>
      </c>
    </row>
    <row r="1626" spans="1:20">
      <c r="A1626" s="14" t="s">
        <v>14</v>
      </c>
      <c r="B1626" s="8">
        <f t="shared" si="68"/>
        <v>70333302</v>
      </c>
      <c r="C1626" s="2" t="s">
        <v>1698</v>
      </c>
      <c r="E1626" s="2" t="str">
        <f>F1626&amp;(VLOOKUP(G1626,编号表!$E$1:$G$8,2,0))&amp;H1626&amp;"_"&amp;I1626&amp;"_"&amp;J1626</f>
        <v>33N3_3_2</v>
      </c>
      <c r="F1626" s="2">
        <v>33</v>
      </c>
      <c r="G1626" s="2" t="s">
        <v>37</v>
      </c>
      <c r="H1626" s="2">
        <v>3</v>
      </c>
      <c r="I1626" s="2">
        <v>3</v>
      </c>
      <c r="J1626" s="2">
        <f>COUNTIFS($F$13:F1626,F1626,$I$13:I1626,I1626)</f>
        <v>2</v>
      </c>
      <c r="O1626" s="8">
        <v>1033201</v>
      </c>
      <c r="P1626" s="8">
        <v>1033301</v>
      </c>
      <c r="Q1626" s="8">
        <v>1033401</v>
      </c>
      <c r="R1626" s="8">
        <v>1033501</v>
      </c>
      <c r="S1626" s="8">
        <v>1033601</v>
      </c>
      <c r="T1626" s="8">
        <v>1033701</v>
      </c>
    </row>
    <row r="1627" spans="1:20">
      <c r="A1627" s="14" t="s">
        <v>14</v>
      </c>
      <c r="B1627" s="8">
        <f t="shared" si="68"/>
        <v>70332303</v>
      </c>
      <c r="C1627" s="2" t="s">
        <v>1699</v>
      </c>
      <c r="E1627" s="2" t="str">
        <f>F1627&amp;(VLOOKUP(G1627,编号表!$E$1:$G$8,2,0))&amp;H1627&amp;"_"&amp;I1627&amp;"_"&amp;J1627</f>
        <v>33N2_3_3</v>
      </c>
      <c r="F1627" s="2">
        <v>33</v>
      </c>
      <c r="G1627" s="2" t="s">
        <v>37</v>
      </c>
      <c r="H1627" s="2">
        <v>2</v>
      </c>
      <c r="I1627" s="2">
        <v>3</v>
      </c>
      <c r="J1627" s="2">
        <f>COUNTIFS($F$13:F1627,F1627,$I$13:I1627,I1627)</f>
        <v>3</v>
      </c>
      <c r="O1627" s="8">
        <v>1033201</v>
      </c>
      <c r="P1627" s="8">
        <v>1033301</v>
      </c>
      <c r="Q1627" s="8">
        <v>1033401</v>
      </c>
      <c r="R1627" s="8">
        <v>1033501</v>
      </c>
      <c r="S1627" s="8">
        <v>1033601</v>
      </c>
      <c r="T1627" s="8">
        <v>1033701</v>
      </c>
    </row>
    <row r="1628" spans="1:20">
      <c r="A1628" s="14" t="s">
        <v>14</v>
      </c>
      <c r="B1628" s="8">
        <f t="shared" si="68"/>
        <v>70332304</v>
      </c>
      <c r="C1628" s="2" t="s">
        <v>1700</v>
      </c>
      <c r="E1628" s="2" t="str">
        <f>F1628&amp;(VLOOKUP(G1628,编号表!$E$1:$G$8,2,0))&amp;H1628&amp;"_"&amp;I1628&amp;"_"&amp;J1628</f>
        <v>33N2_3_4</v>
      </c>
      <c r="F1628" s="2">
        <v>33</v>
      </c>
      <c r="G1628" s="2" t="s">
        <v>37</v>
      </c>
      <c r="H1628" s="2">
        <v>2</v>
      </c>
      <c r="I1628" s="2">
        <v>3</v>
      </c>
      <c r="J1628" s="2">
        <f>COUNTIFS($F$13:F1628,F1628,$I$13:I1628,I1628)</f>
        <v>4</v>
      </c>
      <c r="O1628" s="8">
        <v>1033201</v>
      </c>
      <c r="P1628" s="8">
        <v>1033301</v>
      </c>
      <c r="Q1628" s="8">
        <v>1033401</v>
      </c>
      <c r="R1628" s="8">
        <v>1033501</v>
      </c>
      <c r="S1628" s="8">
        <v>1033601</v>
      </c>
      <c r="T1628" s="8">
        <v>1033701</v>
      </c>
    </row>
    <row r="1629" spans="1:20">
      <c r="A1629" s="14" t="s">
        <v>14</v>
      </c>
      <c r="B1629" s="8">
        <f t="shared" si="68"/>
        <v>70333305</v>
      </c>
      <c r="C1629" s="2" t="s">
        <v>1701</v>
      </c>
      <c r="E1629" s="2" t="str">
        <f>F1629&amp;(VLOOKUP(G1629,编号表!$E$1:$G$8,2,0))&amp;H1629&amp;"_"&amp;I1629&amp;"_"&amp;J1629</f>
        <v>33N3_3_5</v>
      </c>
      <c r="F1629" s="2">
        <v>33</v>
      </c>
      <c r="G1629" s="2" t="s">
        <v>37</v>
      </c>
      <c r="H1629" s="2">
        <v>3</v>
      </c>
      <c r="I1629" s="2">
        <v>3</v>
      </c>
      <c r="J1629" s="2">
        <f>COUNTIFS($F$13:F1629,F1629,$I$13:I1629,I1629)</f>
        <v>5</v>
      </c>
      <c r="O1629" s="8">
        <v>1033201</v>
      </c>
      <c r="P1629" s="8">
        <v>1033301</v>
      </c>
      <c r="Q1629" s="8">
        <v>1033401</v>
      </c>
      <c r="R1629" s="8">
        <v>1033501</v>
      </c>
      <c r="S1629" s="8">
        <v>1033601</v>
      </c>
      <c r="T1629" s="8">
        <v>1033701</v>
      </c>
    </row>
    <row r="1630" spans="1:20">
      <c r="A1630" s="14" t="s">
        <v>14</v>
      </c>
      <c r="B1630" s="8">
        <f t="shared" si="68"/>
        <v>70332306</v>
      </c>
      <c r="C1630" s="2" t="s">
        <v>1702</v>
      </c>
      <c r="E1630" s="2" t="str">
        <f>F1630&amp;(VLOOKUP(G1630,编号表!$E$1:$G$8,2,0))&amp;H1630&amp;"_"&amp;I1630&amp;"_"&amp;J1630</f>
        <v>33N2_3_6</v>
      </c>
      <c r="F1630" s="2">
        <v>33</v>
      </c>
      <c r="G1630" s="2" t="s">
        <v>37</v>
      </c>
      <c r="H1630" s="2">
        <v>2</v>
      </c>
      <c r="I1630" s="2">
        <v>3</v>
      </c>
      <c r="J1630" s="2">
        <f>COUNTIFS($F$13:F1630,F1630,$I$13:I1630,I1630)</f>
        <v>6</v>
      </c>
      <c r="O1630" s="8">
        <v>1033201</v>
      </c>
      <c r="P1630" s="8">
        <v>1033301</v>
      </c>
      <c r="Q1630" s="8">
        <v>1033401</v>
      </c>
      <c r="R1630" s="8">
        <v>1033501</v>
      </c>
      <c r="S1630" s="8">
        <v>1033601</v>
      </c>
      <c r="T1630" s="8">
        <v>1033701</v>
      </c>
    </row>
    <row r="1631" spans="1:20">
      <c r="A1631" s="14" t="s">
        <v>14</v>
      </c>
      <c r="B1631" s="8">
        <f t="shared" si="68"/>
        <v>70332307</v>
      </c>
      <c r="C1631" s="2" t="s">
        <v>1703</v>
      </c>
      <c r="E1631" s="2" t="str">
        <f>F1631&amp;(VLOOKUP(G1631,编号表!$E$1:$G$8,2,0))&amp;H1631&amp;"_"&amp;I1631&amp;"_"&amp;J1631</f>
        <v>33N2_3_7</v>
      </c>
      <c r="F1631" s="2">
        <v>33</v>
      </c>
      <c r="G1631" s="2" t="s">
        <v>37</v>
      </c>
      <c r="H1631" s="2">
        <v>2</v>
      </c>
      <c r="I1631" s="2">
        <v>3</v>
      </c>
      <c r="J1631" s="2">
        <f>COUNTIFS($F$13:F1631,F1631,$I$13:I1631,I1631)</f>
        <v>7</v>
      </c>
      <c r="O1631" s="8">
        <v>1033201</v>
      </c>
      <c r="P1631" s="8">
        <v>1033301</v>
      </c>
      <c r="Q1631" s="8">
        <v>1033401</v>
      </c>
      <c r="R1631" s="8">
        <v>1033501</v>
      </c>
      <c r="S1631" s="8">
        <v>1033601</v>
      </c>
      <c r="T1631" s="8">
        <v>1033701</v>
      </c>
    </row>
    <row r="1632" spans="1:20">
      <c r="A1632" s="14" t="s">
        <v>14</v>
      </c>
      <c r="B1632" s="8">
        <f t="shared" si="68"/>
        <v>70334308</v>
      </c>
      <c r="C1632" s="2" t="s">
        <v>1704</v>
      </c>
      <c r="E1632" s="2" t="str">
        <f>F1632&amp;(VLOOKUP(G1632,编号表!$E$1:$G$8,2,0))&amp;H1632&amp;"_"&amp;I1632&amp;"_"&amp;J1632</f>
        <v>33N4_3_8</v>
      </c>
      <c r="F1632" s="2">
        <v>33</v>
      </c>
      <c r="G1632" s="2" t="s">
        <v>37</v>
      </c>
      <c r="H1632" s="2">
        <v>4</v>
      </c>
      <c r="I1632" s="2">
        <v>3</v>
      </c>
      <c r="J1632" s="2">
        <f>COUNTIFS($F$13:F1632,F1632,$I$13:I1632,I1632)</f>
        <v>8</v>
      </c>
      <c r="O1632" s="8">
        <v>1033201</v>
      </c>
      <c r="P1632" s="8">
        <v>1033301</v>
      </c>
      <c r="Q1632" s="8">
        <v>1033401</v>
      </c>
      <c r="R1632" s="8">
        <v>1033501</v>
      </c>
      <c r="S1632" s="8">
        <v>1033601</v>
      </c>
      <c r="T1632" s="8">
        <v>1033701</v>
      </c>
    </row>
    <row r="1633" spans="1:20">
      <c r="A1633" s="14" t="s">
        <v>14</v>
      </c>
      <c r="B1633" s="8">
        <f t="shared" si="68"/>
        <v>70332309</v>
      </c>
      <c r="C1633" s="2" t="s">
        <v>1705</v>
      </c>
      <c r="E1633" s="2" t="str">
        <f>F1633&amp;(VLOOKUP(G1633,编号表!$E$1:$G$8,2,0))&amp;H1633&amp;"_"&amp;I1633&amp;"_"&amp;J1633</f>
        <v>33N2_3_9</v>
      </c>
      <c r="F1633" s="2">
        <v>33</v>
      </c>
      <c r="G1633" s="2" t="s">
        <v>37</v>
      </c>
      <c r="H1633" s="2">
        <v>2</v>
      </c>
      <c r="I1633" s="2">
        <v>3</v>
      </c>
      <c r="J1633" s="2">
        <f>COUNTIFS($F$13:F1633,F1633,$I$13:I1633,I1633)</f>
        <v>9</v>
      </c>
      <c r="O1633" s="8">
        <v>1033201</v>
      </c>
      <c r="P1633" s="8">
        <v>1033301</v>
      </c>
      <c r="Q1633" s="8">
        <v>1033401</v>
      </c>
      <c r="R1633" s="8">
        <v>1033501</v>
      </c>
      <c r="S1633" s="8">
        <v>1033601</v>
      </c>
      <c r="T1633" s="8">
        <v>1033701</v>
      </c>
    </row>
    <row r="1634" spans="1:20">
      <c r="A1634" s="14" t="s">
        <v>14</v>
      </c>
      <c r="B1634" s="8">
        <f t="shared" si="68"/>
        <v>70335310</v>
      </c>
      <c r="C1634" s="2" t="s">
        <v>1706</v>
      </c>
      <c r="E1634" s="2" t="str">
        <f>F1634&amp;(VLOOKUP(G1634,编号表!$E$1:$G$8,2,0))&amp;H1634&amp;"_"&amp;I1634&amp;"_"&amp;J1634</f>
        <v>33N5_3_10</v>
      </c>
      <c r="F1634" s="2">
        <v>33</v>
      </c>
      <c r="G1634" s="2" t="s">
        <v>37</v>
      </c>
      <c r="H1634" s="2">
        <v>5</v>
      </c>
      <c r="I1634" s="2">
        <v>3</v>
      </c>
      <c r="J1634" s="2">
        <f>COUNTIFS($F$13:F1634,F1634,$I$13:I1634,I1634)</f>
        <v>10</v>
      </c>
      <c r="O1634" s="8">
        <v>1033201</v>
      </c>
      <c r="P1634" s="8">
        <v>1033301</v>
      </c>
      <c r="Q1634" s="8">
        <v>1033401</v>
      </c>
      <c r="R1634" s="8">
        <v>1033501</v>
      </c>
      <c r="S1634" s="8">
        <v>1033601</v>
      </c>
      <c r="T1634" s="8">
        <v>1033701</v>
      </c>
    </row>
    <row r="1635" spans="1:20">
      <c r="A1635" s="14" t="s">
        <v>14</v>
      </c>
      <c r="B1635" s="8">
        <f t="shared" si="68"/>
        <v>70334311</v>
      </c>
      <c r="C1635" s="2" t="s">
        <v>1707</v>
      </c>
      <c r="E1635" s="2" t="str">
        <f>F1635&amp;(VLOOKUP(G1635,编号表!$E$1:$G$8,2,0))&amp;H1635&amp;"_"&amp;I1635&amp;"_"&amp;J1635</f>
        <v>33N4_3_11</v>
      </c>
      <c r="F1635" s="2">
        <v>33</v>
      </c>
      <c r="G1635" s="2" t="s">
        <v>37</v>
      </c>
      <c r="H1635" s="2">
        <v>4</v>
      </c>
      <c r="I1635" s="2">
        <v>3</v>
      </c>
      <c r="J1635" s="2">
        <f>COUNTIFS($F$13:F1635,F1635,$I$13:I1635,I1635)</f>
        <v>11</v>
      </c>
      <c r="O1635" s="8">
        <v>1033201</v>
      </c>
      <c r="P1635" s="8">
        <v>1033301</v>
      </c>
      <c r="Q1635" s="8">
        <v>1033401</v>
      </c>
      <c r="R1635" s="8">
        <v>1033501</v>
      </c>
      <c r="S1635" s="8">
        <v>1033601</v>
      </c>
      <c r="T1635" s="8">
        <v>1033701</v>
      </c>
    </row>
    <row r="1636" spans="1:20">
      <c r="A1636" s="14" t="s">
        <v>14</v>
      </c>
      <c r="B1636" s="8">
        <f t="shared" si="68"/>
        <v>70334401</v>
      </c>
      <c r="C1636" s="2" t="s">
        <v>1708</v>
      </c>
      <c r="E1636" s="2" t="str">
        <f>F1636&amp;(VLOOKUP(G1636,编号表!$E$1:$G$8,2,0))&amp;H1636&amp;"_"&amp;I1636&amp;"_"&amp;J1636</f>
        <v>33N4_4_1</v>
      </c>
      <c r="F1636" s="2">
        <v>33</v>
      </c>
      <c r="G1636" s="2" t="s">
        <v>37</v>
      </c>
      <c r="H1636" s="2">
        <v>4</v>
      </c>
      <c r="I1636" s="2">
        <v>4</v>
      </c>
      <c r="J1636" s="2">
        <f>COUNTIFS($F$13:F1636,F1636,$I$13:I1636,I1636)</f>
        <v>1</v>
      </c>
      <c r="O1636" s="8">
        <v>1033201</v>
      </c>
      <c r="P1636" s="8">
        <v>1033301</v>
      </c>
      <c r="Q1636" s="8">
        <v>1033401</v>
      </c>
      <c r="R1636" s="8">
        <v>1033501</v>
      </c>
      <c r="S1636" s="8">
        <v>1033601</v>
      </c>
      <c r="T1636" s="8">
        <v>1033701</v>
      </c>
    </row>
    <row r="1637" spans="1:20">
      <c r="A1637" s="14" t="s">
        <v>14</v>
      </c>
      <c r="B1637" s="8">
        <f t="shared" si="68"/>
        <v>70334402</v>
      </c>
      <c r="C1637" s="2" t="s">
        <v>1709</v>
      </c>
      <c r="E1637" s="2" t="str">
        <f>F1637&amp;(VLOOKUP(G1637,编号表!$E$1:$G$8,2,0))&amp;H1637&amp;"_"&amp;I1637&amp;"_"&amp;J1637</f>
        <v>33N4_4_2</v>
      </c>
      <c r="F1637" s="2">
        <v>33</v>
      </c>
      <c r="G1637" s="2" t="s">
        <v>37</v>
      </c>
      <c r="H1637" s="2">
        <v>4</v>
      </c>
      <c r="I1637" s="2">
        <v>4</v>
      </c>
      <c r="J1637" s="2">
        <f>COUNTIFS($F$13:F1637,F1637,$I$13:I1637,I1637)</f>
        <v>2</v>
      </c>
      <c r="O1637" s="8">
        <v>1033201</v>
      </c>
      <c r="P1637" s="8">
        <v>1033301</v>
      </c>
      <c r="Q1637" s="8">
        <v>1033401</v>
      </c>
      <c r="R1637" s="8">
        <v>1033501</v>
      </c>
      <c r="S1637" s="8">
        <v>1033601</v>
      </c>
      <c r="T1637" s="8">
        <v>1033701</v>
      </c>
    </row>
    <row r="1638" spans="1:20">
      <c r="A1638" s="14" t="s">
        <v>14</v>
      </c>
      <c r="B1638" s="8">
        <f t="shared" si="68"/>
        <v>70331403</v>
      </c>
      <c r="C1638" s="2" t="s">
        <v>1710</v>
      </c>
      <c r="E1638" s="2" t="str">
        <f>F1638&amp;(VLOOKUP(G1638,编号表!$E$1:$G$8,2,0))&amp;H1638&amp;"_"&amp;I1638&amp;"_"&amp;J1638</f>
        <v>33N1_4_3</v>
      </c>
      <c r="F1638" s="2">
        <v>33</v>
      </c>
      <c r="G1638" s="2" t="s">
        <v>37</v>
      </c>
      <c r="H1638" s="2">
        <v>1</v>
      </c>
      <c r="I1638" s="2">
        <v>4</v>
      </c>
      <c r="J1638" s="2">
        <f>COUNTIFS($F$13:F1638,F1638,$I$13:I1638,I1638)</f>
        <v>3</v>
      </c>
      <c r="O1638" s="8">
        <v>1033201</v>
      </c>
      <c r="P1638" s="8">
        <v>1033301</v>
      </c>
      <c r="Q1638" s="8">
        <v>1033401</v>
      </c>
      <c r="R1638" s="8">
        <v>1033501</v>
      </c>
      <c r="S1638" s="8">
        <v>1033601</v>
      </c>
      <c r="T1638" s="8">
        <v>1033701</v>
      </c>
    </row>
    <row r="1639" spans="1:20">
      <c r="A1639" s="14" t="s">
        <v>14</v>
      </c>
      <c r="B1639" s="8">
        <f t="shared" si="68"/>
        <v>70335404</v>
      </c>
      <c r="C1639" s="2" t="s">
        <v>1711</v>
      </c>
      <c r="E1639" s="2" t="str">
        <f>F1639&amp;(VLOOKUP(G1639,编号表!$E$1:$G$8,2,0))&amp;H1639&amp;"_"&amp;I1639&amp;"_"&amp;J1639</f>
        <v>33N5_4_4</v>
      </c>
      <c r="F1639" s="2">
        <v>33</v>
      </c>
      <c r="G1639" s="2" t="s">
        <v>37</v>
      </c>
      <c r="H1639" s="2">
        <v>5</v>
      </c>
      <c r="I1639" s="2">
        <v>4</v>
      </c>
      <c r="J1639" s="2">
        <f>COUNTIFS($F$13:F1639,F1639,$I$13:I1639,I1639)</f>
        <v>4</v>
      </c>
      <c r="O1639" s="8">
        <v>1033201</v>
      </c>
      <c r="P1639" s="8">
        <v>1033301</v>
      </c>
      <c r="Q1639" s="8">
        <v>1033401</v>
      </c>
      <c r="R1639" s="8">
        <v>1033501</v>
      </c>
      <c r="S1639" s="8">
        <v>1033601</v>
      </c>
      <c r="T1639" s="8">
        <v>1033701</v>
      </c>
    </row>
    <row r="1640" spans="1:20">
      <c r="A1640" s="14" t="s">
        <v>14</v>
      </c>
      <c r="B1640" s="8">
        <f t="shared" si="68"/>
        <v>70333405</v>
      </c>
      <c r="C1640" s="16" t="s">
        <v>1712</v>
      </c>
      <c r="D1640" s="2" t="s">
        <v>1713</v>
      </c>
      <c r="E1640" s="2" t="str">
        <f>F1640&amp;(VLOOKUP(G1640,编号表!$E$1:$G$8,2,0))&amp;H1640&amp;"_"&amp;I1640&amp;"_"&amp;J1640</f>
        <v>33T3_4_5</v>
      </c>
      <c r="F1640" s="2">
        <v>33</v>
      </c>
      <c r="G1640" s="2" t="s">
        <v>53</v>
      </c>
      <c r="H1640" s="2">
        <v>3</v>
      </c>
      <c r="I1640" s="2">
        <v>4</v>
      </c>
      <c r="J1640" s="2">
        <f>COUNTIFS($F$13:F1640,F1640,$I$13:I1640,I1640)</f>
        <v>5</v>
      </c>
      <c r="M1640" s="2">
        <v>167</v>
      </c>
    </row>
    <row r="1641" spans="1:20">
      <c r="A1641" s="14" t="s">
        <v>14</v>
      </c>
      <c r="B1641" s="8">
        <f t="shared" si="68"/>
        <v>70331406</v>
      </c>
      <c r="C1641" s="15" t="s">
        <v>1714</v>
      </c>
      <c r="E1641" s="2" t="str">
        <f>F1641&amp;(VLOOKUP(G1641,编号表!$E$1:$G$8,2,0))&amp;H1641&amp;"_"&amp;I1641&amp;"_"&amp;J1641</f>
        <v>33T1_4_6</v>
      </c>
      <c r="F1641" s="2">
        <v>33</v>
      </c>
      <c r="G1641" s="2" t="s">
        <v>53</v>
      </c>
      <c r="H1641" s="2">
        <v>1</v>
      </c>
      <c r="I1641" s="2">
        <v>4</v>
      </c>
      <c r="J1641" s="2">
        <f>COUNTIFS($F$13:F1641,F1641,$I$13:I1641,I1641)</f>
        <v>6</v>
      </c>
    </row>
    <row r="1642" spans="1:20">
      <c r="A1642" s="14" t="s">
        <v>14</v>
      </c>
      <c r="B1642" s="8">
        <f t="shared" si="68"/>
        <v>70335407</v>
      </c>
      <c r="C1642" s="2" t="s">
        <v>1715</v>
      </c>
      <c r="E1642" s="2" t="str">
        <f>F1642&amp;(VLOOKUP(G1642,编号表!$E$1:$G$8,2,0))&amp;H1642&amp;"_"&amp;I1642&amp;"_"&amp;J1642</f>
        <v>33N5_4_7</v>
      </c>
      <c r="F1642" s="2">
        <v>33</v>
      </c>
      <c r="G1642" s="2" t="s">
        <v>37</v>
      </c>
      <c r="H1642" s="2">
        <v>5</v>
      </c>
      <c r="I1642" s="2">
        <v>4</v>
      </c>
      <c r="J1642" s="2">
        <f>COUNTIFS($F$13:F1642,F1642,$I$13:I1642,I1642)</f>
        <v>7</v>
      </c>
      <c r="O1642" s="8">
        <v>1033201</v>
      </c>
      <c r="P1642" s="8">
        <v>1033301</v>
      </c>
      <c r="Q1642" s="8">
        <v>1033401</v>
      </c>
      <c r="R1642" s="8">
        <v>1033501</v>
      </c>
      <c r="S1642" s="8">
        <v>1033601</v>
      </c>
      <c r="T1642" s="8">
        <v>1033701</v>
      </c>
    </row>
    <row r="1643" spans="1:20">
      <c r="A1643" s="14" t="s">
        <v>14</v>
      </c>
      <c r="B1643" s="8">
        <f t="shared" si="68"/>
        <v>70331408</v>
      </c>
      <c r="C1643" s="2" t="s">
        <v>1716</v>
      </c>
      <c r="E1643" s="2" t="str">
        <f>F1643&amp;(VLOOKUP(G1643,编号表!$E$1:$G$8,2,0))&amp;H1643&amp;"_"&amp;I1643&amp;"_"&amp;J1643</f>
        <v>33N1_4_8</v>
      </c>
      <c r="F1643" s="2">
        <v>33</v>
      </c>
      <c r="G1643" s="2" t="s">
        <v>37</v>
      </c>
      <c r="H1643" s="2">
        <v>1</v>
      </c>
      <c r="I1643" s="2">
        <v>4</v>
      </c>
      <c r="J1643" s="2">
        <f>COUNTIFS($F$13:F1643,F1643,$I$13:I1643,I1643)</f>
        <v>8</v>
      </c>
      <c r="O1643" s="8">
        <v>1033201</v>
      </c>
      <c r="P1643" s="8">
        <v>1033301</v>
      </c>
      <c r="Q1643" s="8">
        <v>1033401</v>
      </c>
      <c r="R1643" s="8">
        <v>1033501</v>
      </c>
      <c r="S1643" s="8">
        <v>1033601</v>
      </c>
      <c r="T1643" s="8">
        <v>1033701</v>
      </c>
    </row>
    <row r="1644" spans="1:20">
      <c r="A1644" s="14" t="s">
        <v>14</v>
      </c>
      <c r="B1644" s="8">
        <f t="shared" si="68"/>
        <v>70334409</v>
      </c>
      <c r="C1644" s="2" t="s">
        <v>1717</v>
      </c>
      <c r="E1644" s="2" t="str">
        <f>F1644&amp;(VLOOKUP(G1644,编号表!$E$1:$G$8,2,0))&amp;H1644&amp;"_"&amp;I1644&amp;"_"&amp;J1644</f>
        <v>33N4_4_9</v>
      </c>
      <c r="F1644" s="2">
        <v>33</v>
      </c>
      <c r="G1644" s="2" t="s">
        <v>37</v>
      </c>
      <c r="H1644" s="2">
        <v>4</v>
      </c>
      <c r="I1644" s="2">
        <v>4</v>
      </c>
      <c r="J1644" s="2">
        <f>COUNTIFS($F$13:F1644,F1644,$I$13:I1644,I1644)</f>
        <v>9</v>
      </c>
      <c r="O1644" s="8">
        <v>1033201</v>
      </c>
      <c r="P1644" s="8">
        <v>1033301</v>
      </c>
      <c r="Q1644" s="8">
        <v>1033401</v>
      </c>
      <c r="R1644" s="8">
        <v>1033501</v>
      </c>
      <c r="S1644" s="8">
        <v>1033601</v>
      </c>
      <c r="T1644" s="8">
        <v>1033701</v>
      </c>
    </row>
    <row r="1645" spans="1:20">
      <c r="A1645" s="14" t="s">
        <v>14</v>
      </c>
      <c r="B1645" s="8">
        <f t="shared" si="68"/>
        <v>70332410</v>
      </c>
      <c r="C1645" s="2" t="s">
        <v>1718</v>
      </c>
      <c r="E1645" s="2" t="str">
        <f>F1645&amp;(VLOOKUP(G1645,编号表!$E$1:$G$8,2,0))&amp;H1645&amp;"_"&amp;I1645&amp;"_"&amp;J1645</f>
        <v>33N2_4_10</v>
      </c>
      <c r="F1645" s="2">
        <v>33</v>
      </c>
      <c r="G1645" s="2" t="s">
        <v>37</v>
      </c>
      <c r="H1645" s="2">
        <v>2</v>
      </c>
      <c r="I1645" s="2">
        <v>4</v>
      </c>
      <c r="J1645" s="2">
        <f>COUNTIFS($F$13:F1645,F1645,$I$13:I1645,I1645)</f>
        <v>10</v>
      </c>
      <c r="O1645" s="8">
        <v>1033201</v>
      </c>
      <c r="P1645" s="8">
        <v>1033301</v>
      </c>
      <c r="Q1645" s="8">
        <v>1033401</v>
      </c>
      <c r="R1645" s="8">
        <v>1033501</v>
      </c>
      <c r="S1645" s="8">
        <v>1033601</v>
      </c>
      <c r="T1645" s="8">
        <v>1033701</v>
      </c>
    </row>
    <row r="1646" spans="1:20">
      <c r="A1646" s="14" t="s">
        <v>14</v>
      </c>
      <c r="B1646" s="8">
        <f t="shared" si="68"/>
        <v>70337411</v>
      </c>
      <c r="C1646" s="2" t="s">
        <v>1719</v>
      </c>
      <c r="E1646" s="2" t="str">
        <f>F1646&amp;(VLOOKUP(G1646,编号表!$E$1:$G$8,2,0))&amp;H1646&amp;"_"&amp;I1646&amp;"_"&amp;J1646</f>
        <v>33N7_4_11</v>
      </c>
      <c r="F1646" s="2">
        <v>33</v>
      </c>
      <c r="G1646" s="2" t="s">
        <v>37</v>
      </c>
      <c r="H1646" s="2">
        <v>7</v>
      </c>
      <c r="I1646" s="2">
        <v>4</v>
      </c>
      <c r="J1646" s="2">
        <f>COUNTIFS($F$13:F1646,F1646,$I$13:I1646,I1646)</f>
        <v>11</v>
      </c>
      <c r="O1646" s="8">
        <v>1033201</v>
      </c>
      <c r="P1646" s="8">
        <v>1033301</v>
      </c>
      <c r="Q1646" s="8">
        <v>1033401</v>
      </c>
      <c r="R1646" s="8">
        <v>1033501</v>
      </c>
      <c r="S1646" s="8">
        <v>1033601</v>
      </c>
      <c r="T1646" s="8">
        <v>1033701</v>
      </c>
    </row>
    <row r="1647" spans="1:20">
      <c r="A1647" s="14" t="s">
        <v>14</v>
      </c>
      <c r="B1647" s="8">
        <f t="shared" si="68"/>
        <v>70334501</v>
      </c>
      <c r="C1647" s="2" t="s">
        <v>1720</v>
      </c>
      <c r="E1647" s="2" t="str">
        <f>F1647&amp;(VLOOKUP(G1647,编号表!$E$1:$G$8,2,0))&amp;H1647&amp;"_"&amp;I1647&amp;"_"&amp;J1647</f>
        <v>33N4_5_1</v>
      </c>
      <c r="F1647" s="2">
        <v>33</v>
      </c>
      <c r="G1647" s="2" t="s">
        <v>37</v>
      </c>
      <c r="H1647" s="2">
        <v>4</v>
      </c>
      <c r="I1647" s="2">
        <v>5</v>
      </c>
      <c r="J1647" s="2">
        <f>COUNTIFS($F$13:F1647,F1647,$I$13:I1647,I1647)</f>
        <v>1</v>
      </c>
      <c r="O1647" s="8">
        <v>1033201</v>
      </c>
      <c r="P1647" s="8">
        <v>1033301</v>
      </c>
      <c r="Q1647" s="8">
        <v>1033401</v>
      </c>
      <c r="R1647" s="8">
        <v>1033501</v>
      </c>
      <c r="S1647" s="8">
        <v>1033601</v>
      </c>
      <c r="T1647" s="8">
        <v>1033701</v>
      </c>
    </row>
    <row r="1648" spans="1:20">
      <c r="A1648" s="14" t="s">
        <v>14</v>
      </c>
      <c r="B1648" s="8">
        <f t="shared" si="68"/>
        <v>70334502</v>
      </c>
      <c r="C1648" s="2" t="s">
        <v>1721</v>
      </c>
      <c r="E1648" s="2" t="str">
        <f>F1648&amp;(VLOOKUP(G1648,编号表!$E$1:$G$8,2,0))&amp;H1648&amp;"_"&amp;I1648&amp;"_"&amp;J1648</f>
        <v>33N4_5_2</v>
      </c>
      <c r="F1648" s="2">
        <v>33</v>
      </c>
      <c r="G1648" s="2" t="s">
        <v>37</v>
      </c>
      <c r="H1648" s="2">
        <v>4</v>
      </c>
      <c r="I1648" s="2">
        <v>5</v>
      </c>
      <c r="J1648" s="2">
        <f>COUNTIFS($F$13:F1648,F1648,$I$13:I1648,I1648)</f>
        <v>2</v>
      </c>
      <c r="O1648" s="8">
        <v>1033201</v>
      </c>
      <c r="P1648" s="8">
        <v>1033301</v>
      </c>
      <c r="Q1648" s="8">
        <v>1033401</v>
      </c>
      <c r="R1648" s="8">
        <v>1033501</v>
      </c>
      <c r="S1648" s="8">
        <v>1033601</v>
      </c>
      <c r="T1648" s="8">
        <v>1033701</v>
      </c>
    </row>
    <row r="1649" spans="1:20">
      <c r="A1649" s="14" t="s">
        <v>14</v>
      </c>
      <c r="B1649" s="8">
        <f t="shared" si="68"/>
        <v>70335503</v>
      </c>
      <c r="C1649" s="2" t="s">
        <v>1722</v>
      </c>
      <c r="E1649" s="2" t="str">
        <f>F1649&amp;(VLOOKUP(G1649,编号表!$E$1:$G$8,2,0))&amp;H1649&amp;"_"&amp;I1649&amp;"_"&amp;J1649</f>
        <v>33N5_5_3</v>
      </c>
      <c r="F1649" s="2">
        <v>33</v>
      </c>
      <c r="G1649" s="2" t="s">
        <v>37</v>
      </c>
      <c r="H1649" s="2">
        <v>5</v>
      </c>
      <c r="I1649" s="2">
        <v>5</v>
      </c>
      <c r="J1649" s="2">
        <f>COUNTIFS($F$13:F1649,F1649,$I$13:I1649,I1649)</f>
        <v>3</v>
      </c>
      <c r="O1649" s="8">
        <v>1033201</v>
      </c>
      <c r="P1649" s="8">
        <v>1033301</v>
      </c>
      <c r="Q1649" s="8">
        <v>1033401</v>
      </c>
      <c r="R1649" s="8">
        <v>1033501</v>
      </c>
      <c r="S1649" s="8">
        <v>1033601</v>
      </c>
      <c r="T1649" s="8">
        <v>1033701</v>
      </c>
    </row>
    <row r="1650" spans="1:20">
      <c r="A1650" s="14" t="s">
        <v>14</v>
      </c>
      <c r="B1650" s="8">
        <f t="shared" si="68"/>
        <v>70333504</v>
      </c>
      <c r="C1650" s="2" t="s">
        <v>1723</v>
      </c>
      <c r="E1650" s="2" t="str">
        <f>F1650&amp;(VLOOKUP(G1650,编号表!$E$1:$G$8,2,0))&amp;H1650&amp;"_"&amp;I1650&amp;"_"&amp;J1650</f>
        <v>33N3_5_4</v>
      </c>
      <c r="F1650" s="2">
        <v>33</v>
      </c>
      <c r="G1650" s="2" t="s">
        <v>37</v>
      </c>
      <c r="H1650" s="2">
        <v>3</v>
      </c>
      <c r="I1650" s="2">
        <v>5</v>
      </c>
      <c r="J1650" s="2">
        <f>COUNTIFS($F$13:F1650,F1650,$I$13:I1650,I1650)</f>
        <v>4</v>
      </c>
      <c r="O1650" s="8">
        <v>1033201</v>
      </c>
      <c r="P1650" s="8">
        <v>1033301</v>
      </c>
      <c r="Q1650" s="8">
        <v>1033401</v>
      </c>
      <c r="R1650" s="8">
        <v>1033501</v>
      </c>
      <c r="S1650" s="8">
        <v>1033601</v>
      </c>
      <c r="T1650" s="8">
        <v>1033701</v>
      </c>
    </row>
    <row r="1651" spans="1:20">
      <c r="A1651" s="14" t="s">
        <v>14</v>
      </c>
      <c r="B1651" s="8">
        <f t="shared" si="68"/>
        <v>70335505</v>
      </c>
      <c r="C1651" s="2" t="s">
        <v>1724</v>
      </c>
      <c r="E1651" s="2" t="str">
        <f>F1651&amp;(VLOOKUP(G1651,编号表!$E$1:$G$8,2,0))&amp;H1651&amp;"_"&amp;I1651&amp;"_"&amp;J1651</f>
        <v>33N5_5_5</v>
      </c>
      <c r="F1651" s="2">
        <v>33</v>
      </c>
      <c r="G1651" s="2" t="s">
        <v>37</v>
      </c>
      <c r="H1651" s="2">
        <v>5</v>
      </c>
      <c r="I1651" s="2">
        <v>5</v>
      </c>
      <c r="J1651" s="2">
        <f>COUNTIFS($F$13:F1651,F1651,$I$13:I1651,I1651)</f>
        <v>5</v>
      </c>
      <c r="O1651" s="8">
        <v>1033201</v>
      </c>
      <c r="P1651" s="8">
        <v>1033301</v>
      </c>
      <c r="Q1651" s="8">
        <v>1033401</v>
      </c>
      <c r="R1651" s="8">
        <v>1033501</v>
      </c>
      <c r="S1651" s="8">
        <v>1033601</v>
      </c>
      <c r="T1651" s="8">
        <v>1033701</v>
      </c>
    </row>
    <row r="1652" spans="1:20">
      <c r="A1652" s="14" t="s">
        <v>14</v>
      </c>
      <c r="B1652" s="8">
        <f t="shared" si="68"/>
        <v>70334506</v>
      </c>
      <c r="C1652" s="2" t="s">
        <v>1725</v>
      </c>
      <c r="E1652" s="2" t="str">
        <f>F1652&amp;(VLOOKUP(G1652,编号表!$E$1:$G$8,2,0))&amp;H1652&amp;"_"&amp;I1652&amp;"_"&amp;J1652</f>
        <v>33N4_5_6</v>
      </c>
      <c r="F1652" s="2">
        <v>33</v>
      </c>
      <c r="G1652" s="2" t="s">
        <v>37</v>
      </c>
      <c r="H1652" s="2">
        <v>4</v>
      </c>
      <c r="I1652" s="2">
        <v>5</v>
      </c>
      <c r="J1652" s="2">
        <f>COUNTIFS($F$13:F1652,F1652,$I$13:I1652,I1652)</f>
        <v>6</v>
      </c>
      <c r="O1652" s="8">
        <v>1033201</v>
      </c>
      <c r="P1652" s="8">
        <v>1033301</v>
      </c>
      <c r="Q1652" s="8">
        <v>1033401</v>
      </c>
      <c r="R1652" s="8">
        <v>1033501</v>
      </c>
      <c r="S1652" s="8">
        <v>1033601</v>
      </c>
      <c r="T1652" s="8">
        <v>1033701</v>
      </c>
    </row>
    <row r="1653" spans="1:20">
      <c r="A1653" s="14" t="s">
        <v>14</v>
      </c>
      <c r="B1653" s="8">
        <f t="shared" si="68"/>
        <v>70333507</v>
      </c>
      <c r="C1653" s="2" t="s">
        <v>1726</v>
      </c>
      <c r="E1653" s="2" t="str">
        <f>F1653&amp;(VLOOKUP(G1653,编号表!$E$1:$G$8,2,0))&amp;H1653&amp;"_"&amp;I1653&amp;"_"&amp;J1653</f>
        <v>33N3_5_7</v>
      </c>
      <c r="F1653" s="2">
        <v>33</v>
      </c>
      <c r="G1653" s="2" t="s">
        <v>37</v>
      </c>
      <c r="H1653" s="2">
        <v>3</v>
      </c>
      <c r="I1653" s="2">
        <v>5</v>
      </c>
      <c r="J1653" s="2">
        <f>COUNTIFS($F$13:F1653,F1653,$I$13:I1653,I1653)</f>
        <v>7</v>
      </c>
      <c r="O1653" s="8">
        <v>1033201</v>
      </c>
      <c r="P1653" s="8">
        <v>1033301</v>
      </c>
      <c r="Q1653" s="8">
        <v>1033401</v>
      </c>
      <c r="R1653" s="8">
        <v>1033501</v>
      </c>
      <c r="S1653" s="8">
        <v>1033601</v>
      </c>
      <c r="T1653" s="8">
        <v>1033701</v>
      </c>
    </row>
    <row r="1654" spans="1:20">
      <c r="A1654" s="14" t="s">
        <v>14</v>
      </c>
      <c r="B1654" s="8">
        <f t="shared" si="68"/>
        <v>70336508</v>
      </c>
      <c r="C1654" s="2" t="s">
        <v>1727</v>
      </c>
      <c r="E1654" s="2" t="str">
        <f>F1654&amp;(VLOOKUP(G1654,编号表!$E$1:$G$8,2,0))&amp;H1654&amp;"_"&amp;I1654&amp;"_"&amp;J1654</f>
        <v>33N6_5_8</v>
      </c>
      <c r="F1654" s="2">
        <v>33</v>
      </c>
      <c r="G1654" s="2" t="s">
        <v>37</v>
      </c>
      <c r="H1654" s="2">
        <v>6</v>
      </c>
      <c r="I1654" s="2">
        <v>5</v>
      </c>
      <c r="J1654" s="2">
        <f>COUNTIFS($F$13:F1654,F1654,$I$13:I1654,I1654)</f>
        <v>8</v>
      </c>
      <c r="O1654" s="8">
        <v>1033201</v>
      </c>
      <c r="P1654" s="8">
        <v>1033301</v>
      </c>
      <c r="Q1654" s="8">
        <v>1033401</v>
      </c>
      <c r="R1654" s="8">
        <v>1033501</v>
      </c>
      <c r="S1654" s="8">
        <v>1033601</v>
      </c>
      <c r="T1654" s="8">
        <v>1033701</v>
      </c>
    </row>
    <row r="1655" spans="1:20">
      <c r="A1655" s="14" t="s">
        <v>14</v>
      </c>
      <c r="B1655" s="8">
        <f t="shared" si="68"/>
        <v>70334601</v>
      </c>
      <c r="C1655" s="2" t="s">
        <v>1728</v>
      </c>
      <c r="E1655" s="2" t="str">
        <f>F1655&amp;(VLOOKUP(G1655,编号表!$E$1:$G$8,2,0))&amp;H1655&amp;"_"&amp;I1655&amp;"_"&amp;J1655</f>
        <v>33N4_6_1</v>
      </c>
      <c r="F1655" s="2">
        <v>33</v>
      </c>
      <c r="G1655" s="2" t="s">
        <v>37</v>
      </c>
      <c r="H1655" s="2">
        <v>4</v>
      </c>
      <c r="I1655" s="2">
        <v>6</v>
      </c>
      <c r="J1655" s="2">
        <f>COUNTIFS($F$13:F1655,F1655,$I$13:I1655,I1655)</f>
        <v>1</v>
      </c>
      <c r="O1655" s="8">
        <v>1033201</v>
      </c>
      <c r="P1655" s="8">
        <v>1033301</v>
      </c>
      <c r="Q1655" s="8">
        <v>1033401</v>
      </c>
      <c r="R1655" s="8">
        <v>1033501</v>
      </c>
      <c r="S1655" s="8">
        <v>1033601</v>
      </c>
      <c r="T1655" s="8">
        <v>1033701</v>
      </c>
    </row>
    <row r="1656" spans="1:20">
      <c r="A1656" s="14" t="s">
        <v>14</v>
      </c>
      <c r="B1656" s="8">
        <f t="shared" si="68"/>
        <v>70334602</v>
      </c>
      <c r="C1656" s="2" t="s">
        <v>1729</v>
      </c>
      <c r="E1656" s="2" t="str">
        <f>F1656&amp;(VLOOKUP(G1656,编号表!$E$1:$G$8,2,0))&amp;H1656&amp;"_"&amp;I1656&amp;"_"&amp;J1656</f>
        <v>33N4_6_2</v>
      </c>
      <c r="F1656" s="2">
        <v>33</v>
      </c>
      <c r="G1656" s="2" t="s">
        <v>37</v>
      </c>
      <c r="H1656" s="2">
        <v>4</v>
      </c>
      <c r="I1656" s="2">
        <v>6</v>
      </c>
      <c r="J1656" s="2">
        <f>COUNTIFS($F$13:F1656,F1656,$I$13:I1656,I1656)</f>
        <v>2</v>
      </c>
      <c r="O1656" s="8">
        <v>1033201</v>
      </c>
      <c r="P1656" s="8">
        <v>1033301</v>
      </c>
      <c r="Q1656" s="8">
        <v>1033401</v>
      </c>
      <c r="R1656" s="8">
        <v>1033501</v>
      </c>
      <c r="S1656" s="8">
        <v>1033601</v>
      </c>
      <c r="T1656" s="8">
        <v>1033701</v>
      </c>
    </row>
    <row r="1657" spans="1:20">
      <c r="A1657" s="14" t="s">
        <v>14</v>
      </c>
      <c r="B1657" s="8">
        <f t="shared" si="68"/>
        <v>70334603</v>
      </c>
      <c r="C1657" s="2" t="s">
        <v>1730</v>
      </c>
      <c r="E1657" s="2" t="str">
        <f>F1657&amp;(VLOOKUP(G1657,编号表!$E$1:$G$8,2,0))&amp;H1657&amp;"_"&amp;I1657&amp;"_"&amp;J1657</f>
        <v>33N4_6_3</v>
      </c>
      <c r="F1657" s="2">
        <v>33</v>
      </c>
      <c r="G1657" s="2" t="s">
        <v>37</v>
      </c>
      <c r="H1657" s="2">
        <v>4</v>
      </c>
      <c r="I1657" s="2">
        <v>6</v>
      </c>
      <c r="J1657" s="2">
        <f>COUNTIFS($F$13:F1657,F1657,$I$13:I1657,I1657)</f>
        <v>3</v>
      </c>
      <c r="O1657" s="8">
        <v>1033201</v>
      </c>
      <c r="P1657" s="8">
        <v>1033301</v>
      </c>
      <c r="Q1657" s="8">
        <v>1033401</v>
      </c>
      <c r="R1657" s="8">
        <v>1033501</v>
      </c>
      <c r="S1657" s="8">
        <v>1033601</v>
      </c>
      <c r="T1657" s="8">
        <v>1033701</v>
      </c>
    </row>
    <row r="1658" spans="1:20">
      <c r="A1658" s="14" t="s">
        <v>14</v>
      </c>
      <c r="B1658" s="8">
        <f t="shared" si="68"/>
        <v>70333604</v>
      </c>
      <c r="C1658" s="2" t="s">
        <v>1731</v>
      </c>
      <c r="E1658" s="2" t="str">
        <f>F1658&amp;(VLOOKUP(G1658,编号表!$E$1:$G$8,2,0))&amp;H1658&amp;"_"&amp;I1658&amp;"_"&amp;J1658</f>
        <v>33N3_6_4</v>
      </c>
      <c r="F1658" s="2">
        <v>33</v>
      </c>
      <c r="G1658" s="2" t="s">
        <v>37</v>
      </c>
      <c r="H1658" s="2">
        <v>3</v>
      </c>
      <c r="I1658" s="2">
        <v>6</v>
      </c>
      <c r="J1658" s="2">
        <f>COUNTIFS($F$13:F1658,F1658,$I$13:I1658,I1658)</f>
        <v>4</v>
      </c>
      <c r="O1658" s="8">
        <v>1033201</v>
      </c>
      <c r="P1658" s="8">
        <v>1033301</v>
      </c>
      <c r="Q1658" s="8">
        <v>1033401</v>
      </c>
      <c r="R1658" s="8">
        <v>1033501</v>
      </c>
      <c r="S1658" s="8">
        <v>1033601</v>
      </c>
      <c r="T1658" s="8">
        <v>1033701</v>
      </c>
    </row>
    <row r="1659" spans="1:20">
      <c r="A1659" s="14" t="s">
        <v>14</v>
      </c>
      <c r="B1659" s="8">
        <f t="shared" si="68"/>
        <v>70335605</v>
      </c>
      <c r="C1659" s="2" t="s">
        <v>1732</v>
      </c>
      <c r="E1659" s="2" t="str">
        <f>F1659&amp;(VLOOKUP(G1659,编号表!$E$1:$G$8,2,0))&amp;H1659&amp;"_"&amp;I1659&amp;"_"&amp;J1659</f>
        <v>33N5_6_5</v>
      </c>
      <c r="F1659" s="2">
        <v>33</v>
      </c>
      <c r="G1659" s="2" t="s">
        <v>37</v>
      </c>
      <c r="H1659" s="2">
        <v>5</v>
      </c>
      <c r="I1659" s="2">
        <v>6</v>
      </c>
      <c r="J1659" s="2">
        <f>COUNTIFS($F$13:F1659,F1659,$I$13:I1659,I1659)</f>
        <v>5</v>
      </c>
      <c r="O1659" s="8">
        <v>1033201</v>
      </c>
      <c r="P1659" s="8">
        <v>1033301</v>
      </c>
      <c r="Q1659" s="8">
        <v>1033401</v>
      </c>
      <c r="R1659" s="8">
        <v>1033501</v>
      </c>
      <c r="S1659" s="8">
        <v>1033601</v>
      </c>
      <c r="T1659" s="8">
        <v>1033701</v>
      </c>
    </row>
    <row r="1660" spans="1:20">
      <c r="A1660" s="14" t="s">
        <v>14</v>
      </c>
      <c r="B1660" s="8">
        <f t="shared" si="68"/>
        <v>70332606</v>
      </c>
      <c r="C1660" s="2" t="s">
        <v>1733</v>
      </c>
      <c r="E1660" s="2" t="str">
        <f>F1660&amp;(VLOOKUP(G1660,编号表!$E$1:$G$8,2,0))&amp;H1660&amp;"_"&amp;I1660&amp;"_"&amp;J1660</f>
        <v>33N2_6_6</v>
      </c>
      <c r="F1660" s="2">
        <v>33</v>
      </c>
      <c r="G1660" s="2" t="s">
        <v>37</v>
      </c>
      <c r="H1660" s="2">
        <v>2</v>
      </c>
      <c r="I1660" s="2">
        <v>6</v>
      </c>
      <c r="J1660" s="2">
        <f>COUNTIFS($F$13:F1660,F1660,$I$13:I1660,I1660)</f>
        <v>6</v>
      </c>
      <c r="O1660" s="8">
        <v>1033201</v>
      </c>
      <c r="P1660" s="8">
        <v>1033301</v>
      </c>
      <c r="Q1660" s="8">
        <v>1033401</v>
      </c>
      <c r="R1660" s="8">
        <v>1033501</v>
      </c>
      <c r="S1660" s="8">
        <v>1033601</v>
      </c>
      <c r="T1660" s="8">
        <v>1033701</v>
      </c>
    </row>
    <row r="1661" spans="1:20">
      <c r="A1661" s="14" t="s">
        <v>14</v>
      </c>
      <c r="B1661" s="8">
        <f t="shared" si="68"/>
        <v>70335607</v>
      </c>
      <c r="C1661" s="2" t="s">
        <v>1734</v>
      </c>
      <c r="E1661" s="2" t="str">
        <f>F1661&amp;(VLOOKUP(G1661,编号表!$E$1:$G$8,2,0))&amp;H1661&amp;"_"&amp;I1661&amp;"_"&amp;J1661</f>
        <v>33N5_6_7</v>
      </c>
      <c r="F1661" s="2">
        <v>33</v>
      </c>
      <c r="G1661" s="2" t="s">
        <v>37</v>
      </c>
      <c r="H1661" s="2">
        <v>5</v>
      </c>
      <c r="I1661" s="2">
        <v>6</v>
      </c>
      <c r="J1661" s="2">
        <f>COUNTIFS($F$13:F1661,F1661,$I$13:I1661,I1661)</f>
        <v>7</v>
      </c>
      <c r="O1661" s="8">
        <v>1033201</v>
      </c>
      <c r="P1661" s="8">
        <v>1033301</v>
      </c>
      <c r="Q1661" s="8">
        <v>1033401</v>
      </c>
      <c r="R1661" s="8">
        <v>1033501</v>
      </c>
      <c r="S1661" s="8">
        <v>1033601</v>
      </c>
      <c r="T1661" s="8">
        <v>1033701</v>
      </c>
    </row>
    <row r="1662" spans="1:20">
      <c r="A1662" s="14" t="s">
        <v>14</v>
      </c>
      <c r="B1662" s="8">
        <f t="shared" si="68"/>
        <v>70336701</v>
      </c>
      <c r="C1662" s="2" t="s">
        <v>1735</v>
      </c>
      <c r="E1662" s="2" t="str">
        <f>F1662&amp;(VLOOKUP(G1662,编号表!$E$1:$G$8,2,0))&amp;H1662&amp;"_"&amp;I1662&amp;"_"&amp;J1662</f>
        <v>33N6_7_1</v>
      </c>
      <c r="F1662" s="2">
        <v>33</v>
      </c>
      <c r="G1662" s="2" t="s">
        <v>37</v>
      </c>
      <c r="H1662" s="2">
        <v>6</v>
      </c>
      <c r="I1662" s="2">
        <v>7</v>
      </c>
      <c r="J1662" s="2">
        <f>COUNTIFS($F$13:F1662,F1662,$I$13:I1662,I1662)</f>
        <v>1</v>
      </c>
      <c r="O1662" s="8">
        <v>1033201</v>
      </c>
      <c r="P1662" s="8">
        <v>1033301</v>
      </c>
      <c r="Q1662" s="8">
        <v>1033401</v>
      </c>
      <c r="R1662" s="8">
        <v>1033501</v>
      </c>
      <c r="S1662" s="8">
        <v>1033601</v>
      </c>
      <c r="T1662" s="8">
        <v>1033701</v>
      </c>
    </row>
    <row r="1663" spans="1:20">
      <c r="A1663" s="14" t="s">
        <v>14</v>
      </c>
      <c r="B1663" s="8">
        <f t="shared" si="68"/>
        <v>70336702</v>
      </c>
      <c r="C1663" s="2" t="s">
        <v>1736</v>
      </c>
      <c r="E1663" s="2" t="str">
        <f>F1663&amp;(VLOOKUP(G1663,编号表!$E$1:$G$8,2,0))&amp;H1663&amp;"_"&amp;I1663&amp;"_"&amp;J1663</f>
        <v>33N6_7_2</v>
      </c>
      <c r="F1663" s="2">
        <v>33</v>
      </c>
      <c r="G1663" s="2" t="s">
        <v>37</v>
      </c>
      <c r="H1663" s="2">
        <v>6</v>
      </c>
      <c r="I1663" s="2">
        <v>7</v>
      </c>
      <c r="J1663" s="2">
        <f>COUNTIFS($F$13:F1663,F1663,$I$13:I1663,I1663)</f>
        <v>2</v>
      </c>
      <c r="O1663" s="8">
        <v>1033201</v>
      </c>
      <c r="P1663" s="8">
        <v>1033301</v>
      </c>
      <c r="Q1663" s="8">
        <v>1033401</v>
      </c>
      <c r="R1663" s="8">
        <v>1033501</v>
      </c>
      <c r="S1663" s="8">
        <v>1033601</v>
      </c>
      <c r="T1663" s="8">
        <v>1033701</v>
      </c>
    </row>
    <row r="1664" spans="1:20">
      <c r="A1664" s="14" t="s">
        <v>14</v>
      </c>
      <c r="B1664" s="8">
        <f t="shared" si="68"/>
        <v>70336703</v>
      </c>
      <c r="C1664" s="2" t="s">
        <v>1737</v>
      </c>
      <c r="E1664" s="2" t="str">
        <f>F1664&amp;(VLOOKUP(G1664,编号表!$E$1:$G$8,2,0))&amp;H1664&amp;"_"&amp;I1664&amp;"_"&amp;J1664</f>
        <v>33N6_7_3</v>
      </c>
      <c r="F1664" s="2">
        <v>33</v>
      </c>
      <c r="G1664" s="2" t="s">
        <v>37</v>
      </c>
      <c r="H1664" s="2">
        <v>6</v>
      </c>
      <c r="I1664" s="2">
        <v>7</v>
      </c>
      <c r="J1664" s="2">
        <f>COUNTIFS($F$13:F1664,F1664,$I$13:I1664,I1664)</f>
        <v>3</v>
      </c>
      <c r="O1664" s="8">
        <v>1033201</v>
      </c>
      <c r="P1664" s="8">
        <v>1033301</v>
      </c>
      <c r="Q1664" s="8">
        <v>1033401</v>
      </c>
      <c r="R1664" s="8">
        <v>1033501</v>
      </c>
      <c r="S1664" s="8">
        <v>1033601</v>
      </c>
      <c r="T1664" s="8">
        <v>1033701</v>
      </c>
    </row>
    <row r="1665" spans="1:21">
      <c r="A1665" s="14" t="s">
        <v>14</v>
      </c>
      <c r="B1665" s="8">
        <f t="shared" si="68"/>
        <v>70336704</v>
      </c>
      <c r="C1665" s="2" t="s">
        <v>1738</v>
      </c>
      <c r="E1665" s="2" t="str">
        <f>F1665&amp;(VLOOKUP(G1665,编号表!$E$1:$G$8,2,0))&amp;H1665&amp;"_"&amp;I1665&amp;"_"&amp;J1665</f>
        <v>33N6_7_4</v>
      </c>
      <c r="F1665" s="2">
        <v>33</v>
      </c>
      <c r="G1665" s="2" t="s">
        <v>37</v>
      </c>
      <c r="H1665" s="2">
        <v>6</v>
      </c>
      <c r="I1665" s="2">
        <v>7</v>
      </c>
      <c r="J1665" s="2">
        <f>COUNTIFS($F$13:F1665,F1665,$I$13:I1665,I1665)</f>
        <v>4</v>
      </c>
      <c r="O1665" s="8">
        <v>1033201</v>
      </c>
      <c r="P1665" s="8">
        <v>1033301</v>
      </c>
      <c r="Q1665" s="8">
        <v>1033401</v>
      </c>
      <c r="R1665" s="8">
        <v>1033501</v>
      </c>
      <c r="S1665" s="8">
        <v>1033601</v>
      </c>
      <c r="T1665" s="8">
        <v>1033701</v>
      </c>
    </row>
    <row r="1666" spans="1:21">
      <c r="A1666" s="14" t="s">
        <v>14</v>
      </c>
      <c r="B1666" s="8">
        <f t="shared" si="68"/>
        <v>70336705</v>
      </c>
      <c r="C1666" s="2" t="s">
        <v>1739</v>
      </c>
      <c r="E1666" s="2" t="str">
        <f>F1666&amp;(VLOOKUP(G1666,编号表!$E$1:$G$8,2,0))&amp;H1666&amp;"_"&amp;I1666&amp;"_"&amp;J1666</f>
        <v>33N6_7_5</v>
      </c>
      <c r="F1666" s="2">
        <v>33</v>
      </c>
      <c r="G1666" s="2" t="s">
        <v>37</v>
      </c>
      <c r="H1666" s="2">
        <v>6</v>
      </c>
      <c r="I1666" s="2">
        <v>7</v>
      </c>
      <c r="J1666" s="2">
        <f>COUNTIFS($F$13:F1666,F1666,$I$13:I1666,I1666)</f>
        <v>5</v>
      </c>
      <c r="O1666" s="8">
        <v>1033201</v>
      </c>
      <c r="P1666" s="8">
        <v>1033301</v>
      </c>
      <c r="Q1666" s="8">
        <v>1033401</v>
      </c>
      <c r="R1666" s="8">
        <v>1033501</v>
      </c>
      <c r="S1666" s="8">
        <v>1033601</v>
      </c>
      <c r="T1666" s="8">
        <v>1033701</v>
      </c>
    </row>
    <row r="1667" spans="1:21">
      <c r="A1667" s="14" t="s">
        <v>14</v>
      </c>
      <c r="B1667" s="8">
        <f t="shared" si="68"/>
        <v>70330001</v>
      </c>
      <c r="C1667" s="18" t="s">
        <v>1740</v>
      </c>
      <c r="E1667" s="2" t="str">
        <f>F1667&amp;(VLOOKUP(G1667,编号表!$E$1:$G$8,2,0))&amp;H1667&amp;"_"&amp;I1667&amp;"_"&amp;J1667</f>
        <v>33J0_0_1</v>
      </c>
      <c r="F1667" s="2">
        <v>33</v>
      </c>
      <c r="G1667" s="2" t="s">
        <v>86</v>
      </c>
      <c r="H1667" s="2">
        <v>0</v>
      </c>
      <c r="I1667" s="2">
        <v>0</v>
      </c>
      <c r="J1667" s="2">
        <f>COUNTIFS($F$13:F1667,F1667,$I$13:I1667,I1667)</f>
        <v>1</v>
      </c>
      <c r="K1667" s="2">
        <v>1</v>
      </c>
    </row>
    <row r="1668" spans="1:21">
      <c r="A1668" s="14" t="s">
        <v>14</v>
      </c>
      <c r="B1668" s="8">
        <f t="shared" si="68"/>
        <v>70345101</v>
      </c>
      <c r="C1668" s="2" t="s">
        <v>1741</v>
      </c>
      <c r="E1668" s="2" t="str">
        <f>F1668&amp;(VLOOKUP(G1668,编号表!$E$1:$G$8,2,0))&amp;H1668&amp;"_"&amp;I1668&amp;"_"&amp;J1668</f>
        <v>34N5_1_1</v>
      </c>
      <c r="F1668" s="2">
        <v>34</v>
      </c>
      <c r="G1668" s="2" t="s">
        <v>37</v>
      </c>
      <c r="H1668" s="2">
        <v>5</v>
      </c>
      <c r="I1668" s="2">
        <v>1</v>
      </c>
      <c r="J1668" s="2">
        <f>COUNTIFS($F$13:F1668,F1668,$I$13:I1668,I1668)</f>
        <v>1</v>
      </c>
      <c r="O1668" s="8">
        <v>1034201</v>
      </c>
      <c r="P1668" s="8">
        <f t="shared" ref="P1668:P1676" si="69">O1668+100</f>
        <v>1034301</v>
      </c>
      <c r="Q1668" s="8">
        <f t="shared" ref="Q1668:Q1676" si="70">P1668+100</f>
        <v>1034401</v>
      </c>
      <c r="R1668" s="8">
        <f t="shared" ref="R1668:R1676" si="71">Q1668+100</f>
        <v>1034501</v>
      </c>
      <c r="S1668" s="8">
        <f t="shared" ref="S1668:S1676" si="72">R1668+100</f>
        <v>1034601</v>
      </c>
      <c r="T1668" s="8">
        <f t="shared" ref="T1668:T1676" si="73">S1668+100</f>
        <v>1034701</v>
      </c>
      <c r="U1668" s="8">
        <v>1034001</v>
      </c>
    </row>
    <row r="1669" spans="1:21">
      <c r="A1669" s="14" t="s">
        <v>14</v>
      </c>
      <c r="B1669" s="8">
        <f t="shared" si="68"/>
        <v>70345102</v>
      </c>
      <c r="C1669" s="2" t="s">
        <v>1742</v>
      </c>
      <c r="E1669" s="2" t="str">
        <f>F1669&amp;(VLOOKUP(G1669,编号表!$E$1:$G$8,2,0))&amp;H1669&amp;"_"&amp;I1669&amp;"_"&amp;J1669</f>
        <v>34N5_1_2</v>
      </c>
      <c r="F1669" s="2">
        <v>34</v>
      </c>
      <c r="G1669" s="2" t="s">
        <v>37</v>
      </c>
      <c r="H1669" s="2">
        <v>5</v>
      </c>
      <c r="I1669" s="2">
        <v>1</v>
      </c>
      <c r="J1669" s="2">
        <f>COUNTIFS($F$13:F1669,F1669,$I$13:I1669,I1669)</f>
        <v>2</v>
      </c>
      <c r="O1669" s="8">
        <v>1034201</v>
      </c>
      <c r="P1669" s="8">
        <f t="shared" si="69"/>
        <v>1034301</v>
      </c>
      <c r="Q1669" s="8">
        <f t="shared" si="70"/>
        <v>1034401</v>
      </c>
      <c r="R1669" s="8">
        <f t="shared" si="71"/>
        <v>1034501</v>
      </c>
      <c r="S1669" s="8">
        <f t="shared" si="72"/>
        <v>1034601</v>
      </c>
      <c r="T1669" s="8">
        <f t="shared" si="73"/>
        <v>1034701</v>
      </c>
      <c r="U1669" s="8">
        <v>1034101</v>
      </c>
    </row>
    <row r="1670" spans="1:21">
      <c r="A1670" s="14" t="s">
        <v>14</v>
      </c>
      <c r="B1670" s="8">
        <f t="shared" si="68"/>
        <v>70345103</v>
      </c>
      <c r="C1670" s="2" t="s">
        <v>1743</v>
      </c>
      <c r="E1670" s="2" t="str">
        <f>F1670&amp;(VLOOKUP(G1670,编号表!$E$1:$G$8,2,0))&amp;H1670&amp;"_"&amp;I1670&amp;"_"&amp;J1670</f>
        <v>34N5_1_3</v>
      </c>
      <c r="F1670" s="2">
        <v>34</v>
      </c>
      <c r="G1670" s="2" t="s">
        <v>37</v>
      </c>
      <c r="H1670" s="2">
        <v>5</v>
      </c>
      <c r="I1670" s="2">
        <v>1</v>
      </c>
      <c r="J1670" s="2">
        <f>COUNTIFS($F$13:F1670,F1670,$I$13:I1670,I1670)</f>
        <v>3</v>
      </c>
      <c r="O1670" s="8">
        <v>1034201</v>
      </c>
      <c r="P1670" s="8">
        <f t="shared" si="69"/>
        <v>1034301</v>
      </c>
      <c r="Q1670" s="8">
        <f t="shared" si="70"/>
        <v>1034401</v>
      </c>
      <c r="R1670" s="8">
        <f t="shared" si="71"/>
        <v>1034501</v>
      </c>
      <c r="S1670" s="8">
        <f t="shared" si="72"/>
        <v>1034601</v>
      </c>
      <c r="T1670" s="8">
        <f t="shared" si="73"/>
        <v>1034701</v>
      </c>
      <c r="U1670" s="8">
        <v>1034102</v>
      </c>
    </row>
    <row r="1671" spans="1:21">
      <c r="A1671" s="14" t="s">
        <v>14</v>
      </c>
      <c r="B1671" s="8">
        <f t="shared" si="68"/>
        <v>70345104</v>
      </c>
      <c r="C1671" s="2" t="s">
        <v>1744</v>
      </c>
      <c r="E1671" s="2" t="str">
        <f>F1671&amp;(VLOOKUP(G1671,编号表!$E$1:$G$8,2,0))&amp;H1671&amp;"_"&amp;I1671&amp;"_"&amp;J1671</f>
        <v>34N5_1_4</v>
      </c>
      <c r="F1671" s="2">
        <v>34</v>
      </c>
      <c r="G1671" s="2" t="s">
        <v>37</v>
      </c>
      <c r="H1671" s="2">
        <v>5</v>
      </c>
      <c r="I1671" s="2">
        <v>1</v>
      </c>
      <c r="J1671" s="2">
        <f>COUNTIFS($F$13:F1671,F1671,$I$13:I1671,I1671)</f>
        <v>4</v>
      </c>
      <c r="O1671" s="8">
        <v>1034201</v>
      </c>
      <c r="P1671" s="8">
        <f t="shared" si="69"/>
        <v>1034301</v>
      </c>
      <c r="Q1671" s="8">
        <f t="shared" si="70"/>
        <v>1034401</v>
      </c>
      <c r="R1671" s="8">
        <f t="shared" si="71"/>
        <v>1034501</v>
      </c>
      <c r="S1671" s="8">
        <f t="shared" si="72"/>
        <v>1034601</v>
      </c>
      <c r="T1671" s="8">
        <f t="shared" si="73"/>
        <v>1034701</v>
      </c>
    </row>
    <row r="1672" spans="1:21">
      <c r="A1672" s="14" t="s">
        <v>14</v>
      </c>
      <c r="B1672" s="8">
        <f t="shared" si="68"/>
        <v>70346201</v>
      </c>
      <c r="C1672" s="2" t="s">
        <v>1745</v>
      </c>
      <c r="E1672" s="2" t="str">
        <f>F1672&amp;(VLOOKUP(G1672,编号表!$E$1:$G$8,2,0))&amp;H1672&amp;"_"&amp;I1672&amp;"_"&amp;J1672</f>
        <v>34N6_2_1</v>
      </c>
      <c r="F1672" s="2">
        <v>34</v>
      </c>
      <c r="G1672" s="2" t="s">
        <v>37</v>
      </c>
      <c r="H1672" s="2">
        <v>6</v>
      </c>
      <c r="I1672" s="2">
        <v>2</v>
      </c>
      <c r="J1672" s="2">
        <f>COUNTIFS($F$13:F1672,F1672,$I$13:I1672,I1672)</f>
        <v>1</v>
      </c>
      <c r="O1672" s="8">
        <v>1034201</v>
      </c>
      <c r="P1672" s="8">
        <f t="shared" si="69"/>
        <v>1034301</v>
      </c>
      <c r="Q1672" s="8">
        <f t="shared" si="70"/>
        <v>1034401</v>
      </c>
      <c r="R1672" s="8">
        <f t="shared" si="71"/>
        <v>1034501</v>
      </c>
      <c r="S1672" s="8">
        <f t="shared" si="72"/>
        <v>1034601</v>
      </c>
      <c r="T1672" s="8">
        <f t="shared" si="73"/>
        <v>1034701</v>
      </c>
    </row>
    <row r="1673" spans="1:21">
      <c r="A1673" s="14" t="s">
        <v>14</v>
      </c>
      <c r="B1673" s="8">
        <f t="shared" si="68"/>
        <v>70346202</v>
      </c>
      <c r="C1673" s="2" t="s">
        <v>1746</v>
      </c>
      <c r="E1673" s="2" t="str">
        <f>F1673&amp;(VLOOKUP(G1673,编号表!$E$1:$G$8,2,0))&amp;H1673&amp;"_"&amp;I1673&amp;"_"&amp;J1673</f>
        <v>34N6_2_2</v>
      </c>
      <c r="F1673" s="2">
        <v>34</v>
      </c>
      <c r="G1673" s="2" t="s">
        <v>37</v>
      </c>
      <c r="H1673" s="2">
        <v>6</v>
      </c>
      <c r="I1673" s="2">
        <v>2</v>
      </c>
      <c r="J1673" s="2">
        <f>COUNTIFS($F$13:F1673,F1673,$I$13:I1673,I1673)</f>
        <v>2</v>
      </c>
      <c r="O1673" s="8">
        <v>1034201</v>
      </c>
      <c r="P1673" s="8">
        <f t="shared" si="69"/>
        <v>1034301</v>
      </c>
      <c r="Q1673" s="8">
        <f t="shared" si="70"/>
        <v>1034401</v>
      </c>
      <c r="R1673" s="8">
        <f t="shared" si="71"/>
        <v>1034501</v>
      </c>
      <c r="S1673" s="8">
        <f t="shared" si="72"/>
        <v>1034601</v>
      </c>
      <c r="T1673" s="8">
        <f t="shared" si="73"/>
        <v>1034701</v>
      </c>
    </row>
    <row r="1674" spans="1:21">
      <c r="A1674" s="14" t="s">
        <v>14</v>
      </c>
      <c r="B1674" s="8">
        <f t="shared" si="68"/>
        <v>70346203</v>
      </c>
      <c r="C1674" s="2" t="s">
        <v>1747</v>
      </c>
      <c r="E1674" s="2" t="str">
        <f>F1674&amp;(VLOOKUP(G1674,编号表!$E$1:$G$8,2,0))&amp;H1674&amp;"_"&amp;I1674&amp;"_"&amp;J1674</f>
        <v>34N6_2_3</v>
      </c>
      <c r="F1674" s="2">
        <v>34</v>
      </c>
      <c r="G1674" s="2" t="s">
        <v>37</v>
      </c>
      <c r="H1674" s="2">
        <v>6</v>
      </c>
      <c r="I1674" s="2">
        <v>2</v>
      </c>
      <c r="J1674" s="2">
        <f>COUNTIFS($F$13:F1674,F1674,$I$13:I1674,I1674)</f>
        <v>3</v>
      </c>
      <c r="O1674" s="8">
        <v>1034201</v>
      </c>
      <c r="P1674" s="8">
        <f t="shared" si="69"/>
        <v>1034301</v>
      </c>
      <c r="Q1674" s="8">
        <f t="shared" si="70"/>
        <v>1034401</v>
      </c>
      <c r="R1674" s="8">
        <f t="shared" si="71"/>
        <v>1034501</v>
      </c>
      <c r="S1674" s="8">
        <f t="shared" si="72"/>
        <v>1034601</v>
      </c>
      <c r="T1674" s="8">
        <f t="shared" si="73"/>
        <v>1034701</v>
      </c>
    </row>
    <row r="1675" spans="1:21">
      <c r="A1675" s="14" t="s">
        <v>14</v>
      </c>
      <c r="B1675" s="8">
        <f t="shared" ref="B1675:B1738" si="74">70000000+F1675*10000+H1675*1000+I1675*100+J1675</f>
        <v>70346204</v>
      </c>
      <c r="C1675" s="2" t="s">
        <v>1748</v>
      </c>
      <c r="E1675" s="2" t="str">
        <f>F1675&amp;(VLOOKUP(G1675,编号表!$E$1:$G$8,2,0))&amp;H1675&amp;"_"&amp;I1675&amp;"_"&amp;J1675</f>
        <v>34N6_2_4</v>
      </c>
      <c r="F1675" s="2">
        <v>34</v>
      </c>
      <c r="G1675" s="2" t="s">
        <v>37</v>
      </c>
      <c r="H1675" s="2">
        <v>6</v>
      </c>
      <c r="I1675" s="2">
        <v>2</v>
      </c>
      <c r="J1675" s="2">
        <f>COUNTIFS($F$13:F1675,F1675,$I$13:I1675,I1675)</f>
        <v>4</v>
      </c>
      <c r="O1675" s="8">
        <v>1034201</v>
      </c>
      <c r="P1675" s="8">
        <f t="shared" si="69"/>
        <v>1034301</v>
      </c>
      <c r="Q1675" s="8">
        <f t="shared" si="70"/>
        <v>1034401</v>
      </c>
      <c r="R1675" s="8">
        <f t="shared" si="71"/>
        <v>1034501</v>
      </c>
      <c r="S1675" s="8">
        <f t="shared" si="72"/>
        <v>1034601</v>
      </c>
      <c r="T1675" s="8">
        <f t="shared" si="73"/>
        <v>1034701</v>
      </c>
    </row>
    <row r="1676" spans="1:21">
      <c r="A1676" s="14" t="s">
        <v>14</v>
      </c>
      <c r="B1676" s="8">
        <f t="shared" si="74"/>
        <v>70343205</v>
      </c>
      <c r="C1676" s="2" t="s">
        <v>1749</v>
      </c>
      <c r="E1676" s="2" t="str">
        <f>F1676&amp;(VLOOKUP(G1676,编号表!$E$1:$G$8,2,0))&amp;H1676&amp;"_"&amp;I1676&amp;"_"&amp;J1676</f>
        <v>34N3_2_5</v>
      </c>
      <c r="F1676" s="2">
        <v>34</v>
      </c>
      <c r="G1676" s="2" t="s">
        <v>37</v>
      </c>
      <c r="H1676" s="2">
        <v>3</v>
      </c>
      <c r="I1676" s="2">
        <v>2</v>
      </c>
      <c r="J1676" s="2">
        <f>COUNTIFS($F$13:F1676,F1676,$I$13:I1676,I1676)</f>
        <v>5</v>
      </c>
      <c r="O1676" s="8">
        <v>1034201</v>
      </c>
      <c r="P1676" s="8">
        <f t="shared" si="69"/>
        <v>1034301</v>
      </c>
      <c r="Q1676" s="8">
        <f t="shared" si="70"/>
        <v>1034401</v>
      </c>
      <c r="R1676" s="8">
        <f t="shared" si="71"/>
        <v>1034501</v>
      </c>
      <c r="S1676" s="8">
        <f t="shared" si="72"/>
        <v>1034601</v>
      </c>
      <c r="T1676" s="8">
        <f t="shared" si="73"/>
        <v>1034701</v>
      </c>
    </row>
    <row r="1677" spans="1:21">
      <c r="A1677" s="14" t="s">
        <v>14</v>
      </c>
      <c r="B1677" s="8">
        <f t="shared" si="74"/>
        <v>70343301</v>
      </c>
      <c r="C1677" s="16" t="s">
        <v>1670</v>
      </c>
      <c r="D1677" s="2" t="s">
        <v>1714</v>
      </c>
      <c r="E1677" s="2" t="str">
        <f>F1677&amp;(VLOOKUP(G1677,编号表!$E$1:$G$8,2,0))&amp;H1677&amp;"_"&amp;I1677&amp;"_"&amp;J1677</f>
        <v>34T3_3_1</v>
      </c>
      <c r="F1677" s="2">
        <v>34</v>
      </c>
      <c r="G1677" s="2" t="s">
        <v>53</v>
      </c>
      <c r="H1677" s="2">
        <v>3</v>
      </c>
      <c r="I1677" s="2">
        <v>3</v>
      </c>
      <c r="J1677" s="2">
        <f>COUNTIFS($F$13:F1677,F1677,$I$13:I1677,I1677)</f>
        <v>1</v>
      </c>
      <c r="M1677" s="2">
        <v>168</v>
      </c>
    </row>
    <row r="1678" spans="1:21">
      <c r="A1678" s="14" t="s">
        <v>14</v>
      </c>
      <c r="B1678" s="8">
        <f t="shared" si="74"/>
        <v>70341302</v>
      </c>
      <c r="C1678" s="15" t="s">
        <v>1713</v>
      </c>
      <c r="E1678" s="2" t="str">
        <f>F1678&amp;(VLOOKUP(G1678,编号表!$E$1:$G$8,2,0))&amp;H1678&amp;"_"&amp;I1678&amp;"_"&amp;J1678</f>
        <v>34T1_3_2</v>
      </c>
      <c r="F1678" s="2">
        <v>34</v>
      </c>
      <c r="G1678" s="2" t="s">
        <v>53</v>
      </c>
      <c r="H1678" s="2">
        <v>1</v>
      </c>
      <c r="I1678" s="2">
        <v>3</v>
      </c>
      <c r="J1678" s="2">
        <f>COUNTIFS($F$13:F1678,F1678,$I$13:I1678,I1678)</f>
        <v>2</v>
      </c>
      <c r="L1678" s="2">
        <v>1</v>
      </c>
    </row>
    <row r="1679" spans="1:21">
      <c r="A1679" s="14" t="s">
        <v>14</v>
      </c>
      <c r="B1679" s="8">
        <f t="shared" si="74"/>
        <v>70343303</v>
      </c>
      <c r="C1679" s="2" t="s">
        <v>1750</v>
      </c>
      <c r="E1679" s="2" t="str">
        <f>F1679&amp;(VLOOKUP(G1679,编号表!$E$1:$G$8,2,0))&amp;H1679&amp;"_"&amp;I1679&amp;"_"&amp;J1679</f>
        <v>34N3_3_3</v>
      </c>
      <c r="F1679" s="2">
        <v>34</v>
      </c>
      <c r="G1679" s="2" t="s">
        <v>37</v>
      </c>
      <c r="H1679" s="2">
        <v>3</v>
      </c>
      <c r="I1679" s="2">
        <v>3</v>
      </c>
      <c r="J1679" s="2">
        <f>COUNTIFS($F$13:F1679,F1679,$I$13:I1679,I1679)</f>
        <v>3</v>
      </c>
      <c r="O1679" s="8">
        <v>1034201</v>
      </c>
      <c r="P1679" s="8">
        <f t="shared" ref="P1679:P1693" si="75">O1679+100</f>
        <v>1034301</v>
      </c>
      <c r="Q1679" s="8">
        <f t="shared" ref="Q1679:Q1693" si="76">P1679+100</f>
        <v>1034401</v>
      </c>
      <c r="R1679" s="8">
        <f t="shared" ref="R1679:R1693" si="77">Q1679+100</f>
        <v>1034501</v>
      </c>
      <c r="S1679" s="8">
        <f t="shared" ref="S1679:S1693" si="78">R1679+100</f>
        <v>1034601</v>
      </c>
      <c r="T1679" s="8">
        <f t="shared" ref="T1679:T1693" si="79">S1679+100</f>
        <v>1034701</v>
      </c>
    </row>
    <row r="1680" spans="1:21">
      <c r="A1680" s="14" t="s">
        <v>14</v>
      </c>
      <c r="B1680" s="8">
        <f t="shared" si="74"/>
        <v>70343304</v>
      </c>
      <c r="C1680" s="2" t="s">
        <v>1751</v>
      </c>
      <c r="E1680" s="2" t="str">
        <f>F1680&amp;(VLOOKUP(G1680,编号表!$E$1:$G$8,2,0))&amp;H1680&amp;"_"&amp;I1680&amp;"_"&amp;J1680</f>
        <v>34N3_3_4</v>
      </c>
      <c r="F1680" s="2">
        <v>34</v>
      </c>
      <c r="G1680" s="2" t="s">
        <v>37</v>
      </c>
      <c r="H1680" s="2">
        <v>3</v>
      </c>
      <c r="I1680" s="2">
        <v>3</v>
      </c>
      <c r="J1680" s="2">
        <f>COUNTIFS($F$13:F1680,F1680,$I$13:I1680,I1680)</f>
        <v>4</v>
      </c>
      <c r="O1680" s="8">
        <v>1034201</v>
      </c>
      <c r="P1680" s="8">
        <f t="shared" si="75"/>
        <v>1034301</v>
      </c>
      <c r="Q1680" s="8">
        <f t="shared" si="76"/>
        <v>1034401</v>
      </c>
      <c r="R1680" s="8">
        <f t="shared" si="77"/>
        <v>1034501</v>
      </c>
      <c r="S1680" s="8">
        <f t="shared" si="78"/>
        <v>1034601</v>
      </c>
      <c r="T1680" s="8">
        <f t="shared" si="79"/>
        <v>1034701</v>
      </c>
    </row>
    <row r="1681" spans="1:20">
      <c r="A1681" s="14" t="s">
        <v>14</v>
      </c>
      <c r="B1681" s="8">
        <f t="shared" si="74"/>
        <v>70347305</v>
      </c>
      <c r="C1681" s="2" t="s">
        <v>1752</v>
      </c>
      <c r="E1681" s="2" t="str">
        <f>F1681&amp;(VLOOKUP(G1681,编号表!$E$1:$G$8,2,0))&amp;H1681&amp;"_"&amp;I1681&amp;"_"&amp;J1681</f>
        <v>34N7_3_5</v>
      </c>
      <c r="F1681" s="2">
        <v>34</v>
      </c>
      <c r="G1681" s="2" t="s">
        <v>37</v>
      </c>
      <c r="H1681" s="2">
        <v>7</v>
      </c>
      <c r="I1681" s="2">
        <v>3</v>
      </c>
      <c r="J1681" s="2">
        <f>COUNTIFS($F$13:F1681,F1681,$I$13:I1681,I1681)</f>
        <v>5</v>
      </c>
      <c r="O1681" s="8">
        <v>1034201</v>
      </c>
      <c r="P1681" s="8">
        <f t="shared" si="75"/>
        <v>1034301</v>
      </c>
      <c r="Q1681" s="8">
        <f t="shared" si="76"/>
        <v>1034401</v>
      </c>
      <c r="R1681" s="8">
        <f t="shared" si="77"/>
        <v>1034501</v>
      </c>
      <c r="S1681" s="8">
        <f t="shared" si="78"/>
        <v>1034601</v>
      </c>
      <c r="T1681" s="8">
        <f t="shared" si="79"/>
        <v>1034701</v>
      </c>
    </row>
    <row r="1682" spans="1:20">
      <c r="A1682" s="14" t="s">
        <v>14</v>
      </c>
      <c r="B1682" s="8">
        <f t="shared" si="74"/>
        <v>70347306</v>
      </c>
      <c r="C1682" s="2" t="s">
        <v>1753</v>
      </c>
      <c r="E1682" s="2" t="str">
        <f>F1682&amp;(VLOOKUP(G1682,编号表!$E$1:$G$8,2,0))&amp;H1682&amp;"_"&amp;I1682&amp;"_"&amp;J1682</f>
        <v>34N7_3_6</v>
      </c>
      <c r="F1682" s="2">
        <v>34</v>
      </c>
      <c r="G1682" s="2" t="s">
        <v>37</v>
      </c>
      <c r="H1682" s="2">
        <v>7</v>
      </c>
      <c r="I1682" s="2">
        <v>3</v>
      </c>
      <c r="J1682" s="2">
        <f>COUNTIFS($F$13:F1682,F1682,$I$13:I1682,I1682)</f>
        <v>6</v>
      </c>
      <c r="O1682" s="8">
        <v>1034201</v>
      </c>
      <c r="P1682" s="8">
        <f t="shared" si="75"/>
        <v>1034301</v>
      </c>
      <c r="Q1682" s="8">
        <f t="shared" si="76"/>
        <v>1034401</v>
      </c>
      <c r="R1682" s="8">
        <f t="shared" si="77"/>
        <v>1034501</v>
      </c>
      <c r="S1682" s="8">
        <f t="shared" si="78"/>
        <v>1034601</v>
      </c>
      <c r="T1682" s="8">
        <f t="shared" si="79"/>
        <v>1034701</v>
      </c>
    </row>
    <row r="1683" spans="1:20">
      <c r="A1683" s="14" t="s">
        <v>14</v>
      </c>
      <c r="B1683" s="8">
        <f t="shared" si="74"/>
        <v>70347307</v>
      </c>
      <c r="C1683" s="2" t="s">
        <v>1754</v>
      </c>
      <c r="E1683" s="2" t="str">
        <f>F1683&amp;(VLOOKUP(G1683,编号表!$E$1:$G$8,2,0))&amp;H1683&amp;"_"&amp;I1683&amp;"_"&amp;J1683</f>
        <v>34N7_3_7</v>
      </c>
      <c r="F1683" s="2">
        <v>34</v>
      </c>
      <c r="G1683" s="2" t="s">
        <v>37</v>
      </c>
      <c r="H1683" s="2">
        <v>7</v>
      </c>
      <c r="I1683" s="2">
        <v>3</v>
      </c>
      <c r="J1683" s="2">
        <f>COUNTIFS($F$13:F1683,F1683,$I$13:I1683,I1683)</f>
        <v>7</v>
      </c>
      <c r="O1683" s="8">
        <v>1034201</v>
      </c>
      <c r="P1683" s="8">
        <f t="shared" si="75"/>
        <v>1034301</v>
      </c>
      <c r="Q1683" s="8">
        <f t="shared" si="76"/>
        <v>1034401</v>
      </c>
      <c r="R1683" s="8">
        <f t="shared" si="77"/>
        <v>1034501</v>
      </c>
      <c r="S1683" s="8">
        <f t="shared" si="78"/>
        <v>1034601</v>
      </c>
      <c r="T1683" s="8">
        <f t="shared" si="79"/>
        <v>1034701</v>
      </c>
    </row>
    <row r="1684" spans="1:20">
      <c r="A1684" s="14" t="s">
        <v>14</v>
      </c>
      <c r="B1684" s="8">
        <f t="shared" si="74"/>
        <v>70347308</v>
      </c>
      <c r="C1684" s="2" t="s">
        <v>1755</v>
      </c>
      <c r="E1684" s="2" t="str">
        <f>F1684&amp;(VLOOKUP(G1684,编号表!$E$1:$G$8,2,0))&amp;H1684&amp;"_"&amp;I1684&amp;"_"&amp;J1684</f>
        <v>34N7_3_8</v>
      </c>
      <c r="F1684" s="2">
        <v>34</v>
      </c>
      <c r="G1684" s="2" t="s">
        <v>37</v>
      </c>
      <c r="H1684" s="2">
        <v>7</v>
      </c>
      <c r="I1684" s="2">
        <v>3</v>
      </c>
      <c r="J1684" s="2">
        <f>COUNTIFS($F$13:F1684,F1684,$I$13:I1684,I1684)</f>
        <v>8</v>
      </c>
      <c r="O1684" s="8">
        <v>1034201</v>
      </c>
      <c r="P1684" s="8">
        <f t="shared" si="75"/>
        <v>1034301</v>
      </c>
      <c r="Q1684" s="8">
        <f t="shared" si="76"/>
        <v>1034401</v>
      </c>
      <c r="R1684" s="8">
        <f t="shared" si="77"/>
        <v>1034501</v>
      </c>
      <c r="S1684" s="8">
        <f t="shared" si="78"/>
        <v>1034601</v>
      </c>
      <c r="T1684" s="8">
        <f t="shared" si="79"/>
        <v>1034701</v>
      </c>
    </row>
    <row r="1685" spans="1:20">
      <c r="A1685" s="14" t="s">
        <v>14</v>
      </c>
      <c r="B1685" s="8">
        <f t="shared" si="74"/>
        <v>70347309</v>
      </c>
      <c r="C1685" s="2" t="s">
        <v>1756</v>
      </c>
      <c r="E1685" s="2" t="str">
        <f>F1685&amp;(VLOOKUP(G1685,编号表!$E$1:$G$8,2,0))&amp;H1685&amp;"_"&amp;I1685&amp;"_"&amp;J1685</f>
        <v>34N7_3_9</v>
      </c>
      <c r="F1685" s="2">
        <v>34</v>
      </c>
      <c r="G1685" s="2" t="s">
        <v>37</v>
      </c>
      <c r="H1685" s="2">
        <v>7</v>
      </c>
      <c r="I1685" s="2">
        <v>3</v>
      </c>
      <c r="J1685" s="2">
        <f>COUNTIFS($F$13:F1685,F1685,$I$13:I1685,I1685)</f>
        <v>9</v>
      </c>
      <c r="O1685" s="8">
        <v>1034201</v>
      </c>
      <c r="P1685" s="8">
        <f t="shared" si="75"/>
        <v>1034301</v>
      </c>
      <c r="Q1685" s="8">
        <f t="shared" si="76"/>
        <v>1034401</v>
      </c>
      <c r="R1685" s="8">
        <f t="shared" si="77"/>
        <v>1034501</v>
      </c>
      <c r="S1685" s="8">
        <f t="shared" si="78"/>
        <v>1034601</v>
      </c>
      <c r="T1685" s="8">
        <f t="shared" si="79"/>
        <v>1034701</v>
      </c>
    </row>
    <row r="1686" spans="1:20">
      <c r="A1686" s="14" t="s">
        <v>14</v>
      </c>
      <c r="B1686" s="8">
        <f t="shared" si="74"/>
        <v>70347310</v>
      </c>
      <c r="C1686" s="2" t="s">
        <v>1757</v>
      </c>
      <c r="E1686" s="2" t="str">
        <f>F1686&amp;(VLOOKUP(G1686,编号表!$E$1:$G$8,2,0))&amp;H1686&amp;"_"&amp;I1686&amp;"_"&amp;J1686</f>
        <v>34N7_3_10</v>
      </c>
      <c r="F1686" s="2">
        <v>34</v>
      </c>
      <c r="G1686" s="2" t="s">
        <v>37</v>
      </c>
      <c r="H1686" s="2">
        <v>7</v>
      </c>
      <c r="I1686" s="2">
        <v>3</v>
      </c>
      <c r="J1686" s="2">
        <f>COUNTIFS($F$13:F1686,F1686,$I$13:I1686,I1686)</f>
        <v>10</v>
      </c>
      <c r="O1686" s="8">
        <v>1034201</v>
      </c>
      <c r="P1686" s="8">
        <f t="shared" si="75"/>
        <v>1034301</v>
      </c>
      <c r="Q1686" s="8">
        <f t="shared" si="76"/>
        <v>1034401</v>
      </c>
      <c r="R1686" s="8">
        <f t="shared" si="77"/>
        <v>1034501</v>
      </c>
      <c r="S1686" s="8">
        <f t="shared" si="78"/>
        <v>1034601</v>
      </c>
      <c r="T1686" s="8">
        <f t="shared" si="79"/>
        <v>1034701</v>
      </c>
    </row>
    <row r="1687" spans="1:20">
      <c r="A1687" s="14" t="s">
        <v>14</v>
      </c>
      <c r="B1687" s="8">
        <f t="shared" si="74"/>
        <v>70346401</v>
      </c>
      <c r="C1687" s="2" t="s">
        <v>1758</v>
      </c>
      <c r="E1687" s="2" t="str">
        <f>F1687&amp;(VLOOKUP(G1687,编号表!$E$1:$G$8,2,0))&amp;H1687&amp;"_"&amp;I1687&amp;"_"&amp;J1687</f>
        <v>34N6_4_1</v>
      </c>
      <c r="F1687" s="2">
        <v>34</v>
      </c>
      <c r="G1687" s="2" t="s">
        <v>37</v>
      </c>
      <c r="H1687" s="2">
        <v>6</v>
      </c>
      <c r="I1687" s="2">
        <v>4</v>
      </c>
      <c r="J1687" s="2">
        <f>COUNTIFS($F$13:F1687,F1687,$I$13:I1687,I1687)</f>
        <v>1</v>
      </c>
      <c r="O1687" s="8">
        <v>1034201</v>
      </c>
      <c r="P1687" s="8">
        <f t="shared" si="75"/>
        <v>1034301</v>
      </c>
      <c r="Q1687" s="8">
        <f t="shared" si="76"/>
        <v>1034401</v>
      </c>
      <c r="R1687" s="8">
        <f t="shared" si="77"/>
        <v>1034501</v>
      </c>
      <c r="S1687" s="8">
        <f t="shared" si="78"/>
        <v>1034601</v>
      </c>
      <c r="T1687" s="8">
        <f t="shared" si="79"/>
        <v>1034701</v>
      </c>
    </row>
    <row r="1688" spans="1:20">
      <c r="A1688" s="14" t="s">
        <v>14</v>
      </c>
      <c r="B1688" s="8">
        <f t="shared" si="74"/>
        <v>70346402</v>
      </c>
      <c r="C1688" s="2" t="s">
        <v>1759</v>
      </c>
      <c r="E1688" s="2" t="str">
        <f>F1688&amp;(VLOOKUP(G1688,编号表!$E$1:$G$8,2,0))&amp;H1688&amp;"_"&amp;I1688&amp;"_"&amp;J1688</f>
        <v>34N6_4_2</v>
      </c>
      <c r="F1688" s="2">
        <v>34</v>
      </c>
      <c r="G1688" s="2" t="s">
        <v>37</v>
      </c>
      <c r="H1688" s="2">
        <v>6</v>
      </c>
      <c r="I1688" s="2">
        <v>4</v>
      </c>
      <c r="J1688" s="2">
        <f>COUNTIFS($F$13:F1688,F1688,$I$13:I1688,I1688)</f>
        <v>2</v>
      </c>
      <c r="O1688" s="8">
        <v>1034201</v>
      </c>
      <c r="P1688" s="8">
        <f t="shared" si="75"/>
        <v>1034301</v>
      </c>
      <c r="Q1688" s="8">
        <f t="shared" si="76"/>
        <v>1034401</v>
      </c>
      <c r="R1688" s="8">
        <f t="shared" si="77"/>
        <v>1034501</v>
      </c>
      <c r="S1688" s="8">
        <f t="shared" si="78"/>
        <v>1034601</v>
      </c>
      <c r="T1688" s="8">
        <f t="shared" si="79"/>
        <v>1034701</v>
      </c>
    </row>
    <row r="1689" spans="1:20">
      <c r="A1689" s="14" t="s">
        <v>14</v>
      </c>
      <c r="B1689" s="8">
        <f t="shared" si="74"/>
        <v>70346403</v>
      </c>
      <c r="C1689" s="2" t="s">
        <v>1760</v>
      </c>
      <c r="E1689" s="2" t="str">
        <f>F1689&amp;(VLOOKUP(G1689,编号表!$E$1:$G$8,2,0))&amp;H1689&amp;"_"&amp;I1689&amp;"_"&amp;J1689</f>
        <v>34N6_4_3</v>
      </c>
      <c r="F1689" s="2">
        <v>34</v>
      </c>
      <c r="G1689" s="2" t="s">
        <v>37</v>
      </c>
      <c r="H1689" s="2">
        <v>6</v>
      </c>
      <c r="I1689" s="2">
        <v>4</v>
      </c>
      <c r="J1689" s="2">
        <f>COUNTIFS($F$13:F1689,F1689,$I$13:I1689,I1689)</f>
        <v>3</v>
      </c>
      <c r="O1689" s="8">
        <v>1034201</v>
      </c>
      <c r="P1689" s="8">
        <f t="shared" si="75"/>
        <v>1034301</v>
      </c>
      <c r="Q1689" s="8">
        <f t="shared" si="76"/>
        <v>1034401</v>
      </c>
      <c r="R1689" s="8">
        <f t="shared" si="77"/>
        <v>1034501</v>
      </c>
      <c r="S1689" s="8">
        <f t="shared" si="78"/>
        <v>1034601</v>
      </c>
      <c r="T1689" s="8">
        <f t="shared" si="79"/>
        <v>1034701</v>
      </c>
    </row>
    <row r="1690" spans="1:20">
      <c r="A1690" s="14" t="s">
        <v>14</v>
      </c>
      <c r="B1690" s="8">
        <f t="shared" si="74"/>
        <v>70346404</v>
      </c>
      <c r="C1690" s="2" t="s">
        <v>1761</v>
      </c>
      <c r="E1690" s="2" t="str">
        <f>F1690&amp;(VLOOKUP(G1690,编号表!$E$1:$G$8,2,0))&amp;H1690&amp;"_"&amp;I1690&amp;"_"&amp;J1690</f>
        <v>34N6_4_4</v>
      </c>
      <c r="F1690" s="2">
        <v>34</v>
      </c>
      <c r="G1690" s="2" t="s">
        <v>37</v>
      </c>
      <c r="H1690" s="2">
        <v>6</v>
      </c>
      <c r="I1690" s="2">
        <v>4</v>
      </c>
      <c r="J1690" s="2">
        <f>COUNTIFS($F$13:F1690,F1690,$I$13:I1690,I1690)</f>
        <v>4</v>
      </c>
      <c r="O1690" s="8">
        <v>1034201</v>
      </c>
      <c r="P1690" s="8">
        <f t="shared" si="75"/>
        <v>1034301</v>
      </c>
      <c r="Q1690" s="8">
        <f t="shared" si="76"/>
        <v>1034401</v>
      </c>
      <c r="R1690" s="8">
        <f t="shared" si="77"/>
        <v>1034501</v>
      </c>
      <c r="S1690" s="8">
        <f t="shared" si="78"/>
        <v>1034601</v>
      </c>
      <c r="T1690" s="8">
        <f t="shared" si="79"/>
        <v>1034701</v>
      </c>
    </row>
    <row r="1691" spans="1:20">
      <c r="A1691" s="14" t="s">
        <v>14</v>
      </c>
      <c r="B1691" s="8">
        <f t="shared" si="74"/>
        <v>70343405</v>
      </c>
      <c r="C1691" s="2" t="s">
        <v>1762</v>
      </c>
      <c r="E1691" s="2" t="str">
        <f>F1691&amp;(VLOOKUP(G1691,编号表!$E$1:$G$8,2,0))&amp;H1691&amp;"_"&amp;I1691&amp;"_"&amp;J1691</f>
        <v>34N3_4_5</v>
      </c>
      <c r="F1691" s="2">
        <v>34</v>
      </c>
      <c r="G1691" s="2" t="s">
        <v>37</v>
      </c>
      <c r="H1691" s="2">
        <v>3</v>
      </c>
      <c r="I1691" s="2">
        <v>4</v>
      </c>
      <c r="J1691" s="2">
        <f>COUNTIFS($F$13:F1691,F1691,$I$13:I1691,I1691)</f>
        <v>5</v>
      </c>
      <c r="O1691" s="8">
        <v>1034201</v>
      </c>
      <c r="P1691" s="8">
        <f t="shared" si="75"/>
        <v>1034301</v>
      </c>
      <c r="Q1691" s="8">
        <f t="shared" si="76"/>
        <v>1034401</v>
      </c>
      <c r="R1691" s="8">
        <f t="shared" si="77"/>
        <v>1034501</v>
      </c>
      <c r="S1691" s="8">
        <f t="shared" si="78"/>
        <v>1034601</v>
      </c>
      <c r="T1691" s="8">
        <f t="shared" si="79"/>
        <v>1034701</v>
      </c>
    </row>
    <row r="1692" spans="1:20">
      <c r="A1692" s="14" t="s">
        <v>14</v>
      </c>
      <c r="B1692" s="8">
        <f t="shared" si="74"/>
        <v>70347501</v>
      </c>
      <c r="C1692" s="2" t="s">
        <v>1763</v>
      </c>
      <c r="E1692" s="2" t="str">
        <f>F1692&amp;(VLOOKUP(G1692,编号表!$E$1:$G$8,2,0))&amp;H1692&amp;"_"&amp;I1692&amp;"_"&amp;J1692</f>
        <v>34N7_5_1</v>
      </c>
      <c r="F1692" s="2">
        <v>34</v>
      </c>
      <c r="G1692" s="2" t="s">
        <v>37</v>
      </c>
      <c r="H1692" s="2">
        <v>7</v>
      </c>
      <c r="I1692" s="2">
        <v>5</v>
      </c>
      <c r="J1692" s="2">
        <f>COUNTIFS($F$13:F1692,F1692,$I$13:I1692,I1692)</f>
        <v>1</v>
      </c>
      <c r="O1692" s="8">
        <v>1034201</v>
      </c>
      <c r="P1692" s="8">
        <f t="shared" si="75"/>
        <v>1034301</v>
      </c>
      <c r="Q1692" s="8">
        <f t="shared" si="76"/>
        <v>1034401</v>
      </c>
      <c r="R1692" s="8">
        <f t="shared" si="77"/>
        <v>1034501</v>
      </c>
      <c r="S1692" s="8">
        <f t="shared" si="78"/>
        <v>1034601</v>
      </c>
      <c r="T1692" s="8">
        <f t="shared" si="79"/>
        <v>1034701</v>
      </c>
    </row>
    <row r="1693" spans="1:20">
      <c r="A1693" s="14" t="s">
        <v>14</v>
      </c>
      <c r="B1693" s="8">
        <f t="shared" si="74"/>
        <v>70347502</v>
      </c>
      <c r="C1693" s="2" t="s">
        <v>1764</v>
      </c>
      <c r="E1693" s="2" t="str">
        <f>F1693&amp;(VLOOKUP(G1693,编号表!$E$1:$G$8,2,0))&amp;H1693&amp;"_"&amp;I1693&amp;"_"&amp;J1693</f>
        <v>34N7_5_2</v>
      </c>
      <c r="F1693" s="2">
        <v>34</v>
      </c>
      <c r="G1693" s="2" t="s">
        <v>37</v>
      </c>
      <c r="H1693" s="2">
        <v>7</v>
      </c>
      <c r="I1693" s="2">
        <v>5</v>
      </c>
      <c r="J1693" s="2">
        <f>COUNTIFS($F$13:F1693,F1693,$I$13:I1693,I1693)</f>
        <v>2</v>
      </c>
      <c r="O1693" s="8">
        <v>1034201</v>
      </c>
      <c r="P1693" s="8">
        <f t="shared" si="75"/>
        <v>1034301</v>
      </c>
      <c r="Q1693" s="8">
        <f t="shared" si="76"/>
        <v>1034401</v>
      </c>
      <c r="R1693" s="8">
        <f t="shared" si="77"/>
        <v>1034501</v>
      </c>
      <c r="S1693" s="8">
        <f t="shared" si="78"/>
        <v>1034601</v>
      </c>
      <c r="T1693" s="8">
        <f t="shared" si="79"/>
        <v>1034701</v>
      </c>
    </row>
    <row r="1694" spans="1:20">
      <c r="A1694" s="14" t="s">
        <v>14</v>
      </c>
      <c r="B1694" s="8">
        <f t="shared" si="74"/>
        <v>70340001</v>
      </c>
      <c r="C1694" s="18" t="s">
        <v>1765</v>
      </c>
      <c r="E1694" s="2" t="str">
        <f>F1694&amp;(VLOOKUP(G1694,编号表!$E$1:$G$8,2,0))&amp;H1694&amp;"_"&amp;I1694&amp;"_"&amp;J1694</f>
        <v>34J0_0_1</v>
      </c>
      <c r="F1694" s="2">
        <v>34</v>
      </c>
      <c r="G1694" s="2" t="s">
        <v>86</v>
      </c>
      <c r="H1694" s="2">
        <v>0</v>
      </c>
      <c r="I1694" s="2">
        <v>0</v>
      </c>
      <c r="J1694" s="2">
        <f>COUNTIFS($F$13:F1694,F1694,$I$13:I1694,I1694)</f>
        <v>1</v>
      </c>
      <c r="K1694" s="2">
        <v>1</v>
      </c>
    </row>
    <row r="1695" spans="1:20">
      <c r="A1695" s="14" t="s">
        <v>14</v>
      </c>
      <c r="B1695" s="8">
        <f t="shared" si="74"/>
        <v>70355101</v>
      </c>
      <c r="C1695" s="2" t="s">
        <v>1766</v>
      </c>
      <c r="E1695" s="2" t="str">
        <f>F1695&amp;(VLOOKUP(G1695,编号表!$E$1:$G$8,2,0))&amp;H1695&amp;"_"&amp;I1695&amp;"_"&amp;J1695</f>
        <v>35N5_1_1</v>
      </c>
      <c r="F1695" s="2">
        <v>35</v>
      </c>
      <c r="G1695" s="2" t="s">
        <v>37</v>
      </c>
      <c r="H1695" s="2">
        <v>5</v>
      </c>
      <c r="I1695" s="2">
        <v>1</v>
      </c>
      <c r="J1695" s="2">
        <f>COUNTIFS($F$13:F1695,F1695,$I$13:I1695,I1695)</f>
        <v>1</v>
      </c>
      <c r="O1695" s="8">
        <v>1035201</v>
      </c>
      <c r="P1695" s="8">
        <v>1035301</v>
      </c>
      <c r="Q1695" s="8">
        <v>1035401</v>
      </c>
      <c r="R1695" s="8">
        <v>1035501</v>
      </c>
      <c r="S1695" s="8">
        <v>1035601</v>
      </c>
      <c r="T1695" s="8">
        <v>1035001</v>
      </c>
    </row>
    <row r="1696" spans="1:20">
      <c r="A1696" s="14" t="s">
        <v>14</v>
      </c>
      <c r="B1696" s="8">
        <f t="shared" si="74"/>
        <v>70356102</v>
      </c>
      <c r="C1696" s="2" t="s">
        <v>1767</v>
      </c>
      <c r="E1696" s="2" t="str">
        <f>F1696&amp;(VLOOKUP(G1696,编号表!$E$1:$G$8,2,0))&amp;H1696&amp;"_"&amp;I1696&amp;"_"&amp;J1696</f>
        <v>35N6_1_2</v>
      </c>
      <c r="F1696" s="2">
        <v>35</v>
      </c>
      <c r="G1696" s="2" t="s">
        <v>37</v>
      </c>
      <c r="H1696" s="2">
        <v>6</v>
      </c>
      <c r="I1696" s="2">
        <v>1</v>
      </c>
      <c r="J1696" s="2">
        <f>COUNTIFS($F$13:F1696,F1696,$I$13:I1696,I1696)</f>
        <v>2</v>
      </c>
      <c r="O1696" s="8">
        <v>1035201</v>
      </c>
      <c r="P1696" s="8">
        <v>1035301</v>
      </c>
      <c r="Q1696" s="8">
        <v>1035401</v>
      </c>
      <c r="R1696" s="8">
        <v>1035501</v>
      </c>
      <c r="S1696" s="8">
        <v>1035101</v>
      </c>
    </row>
    <row r="1697" spans="1:18">
      <c r="A1697" s="14" t="s">
        <v>14</v>
      </c>
      <c r="B1697" s="8">
        <f t="shared" si="74"/>
        <v>70356103</v>
      </c>
      <c r="C1697" s="2" t="s">
        <v>1768</v>
      </c>
      <c r="E1697" s="2" t="str">
        <f>F1697&amp;(VLOOKUP(G1697,编号表!$E$1:$G$8,2,0))&amp;H1697&amp;"_"&amp;I1697&amp;"_"&amp;J1697</f>
        <v>35N6_1_3</v>
      </c>
      <c r="F1697" s="2">
        <v>35</v>
      </c>
      <c r="G1697" s="2" t="s">
        <v>37</v>
      </c>
      <c r="H1697" s="2">
        <v>6</v>
      </c>
      <c r="I1697" s="2">
        <v>1</v>
      </c>
      <c r="J1697" s="2">
        <f>COUNTIFS($F$13:F1697,F1697,$I$13:I1697,I1697)</f>
        <v>3</v>
      </c>
      <c r="O1697" s="8">
        <v>1035201</v>
      </c>
      <c r="P1697" s="8">
        <v>1035301</v>
      </c>
      <c r="Q1697" s="8">
        <v>1035401</v>
      </c>
      <c r="R1697" s="8">
        <v>1035501</v>
      </c>
    </row>
    <row r="1698" spans="1:18">
      <c r="A1698" s="14" t="s">
        <v>14</v>
      </c>
      <c r="B1698" s="8">
        <f t="shared" si="74"/>
        <v>70356104</v>
      </c>
      <c r="C1698" s="2" t="s">
        <v>1769</v>
      </c>
      <c r="E1698" s="2" t="str">
        <f>F1698&amp;(VLOOKUP(G1698,编号表!$E$1:$G$8,2,0))&amp;H1698&amp;"_"&amp;I1698&amp;"_"&amp;J1698</f>
        <v>35N6_1_4</v>
      </c>
      <c r="F1698" s="2">
        <v>35</v>
      </c>
      <c r="G1698" s="2" t="s">
        <v>37</v>
      </c>
      <c r="H1698" s="2">
        <v>6</v>
      </c>
      <c r="I1698" s="2">
        <v>1</v>
      </c>
      <c r="J1698" s="2">
        <f>COUNTIFS($F$13:F1698,F1698,$I$13:I1698,I1698)</f>
        <v>4</v>
      </c>
      <c r="O1698" s="8">
        <v>1035201</v>
      </c>
      <c r="P1698" s="8">
        <v>1035301</v>
      </c>
      <c r="Q1698" s="8">
        <v>1035401</v>
      </c>
      <c r="R1698" s="8">
        <v>1035501</v>
      </c>
    </row>
    <row r="1699" spans="1:18">
      <c r="A1699" s="14" t="s">
        <v>14</v>
      </c>
      <c r="B1699" s="8">
        <f t="shared" si="74"/>
        <v>70356105</v>
      </c>
      <c r="C1699" s="2" t="s">
        <v>1770</v>
      </c>
      <c r="E1699" s="2" t="str">
        <f>F1699&amp;(VLOOKUP(G1699,编号表!$E$1:$G$8,2,0))&amp;H1699&amp;"_"&amp;I1699&amp;"_"&amp;J1699</f>
        <v>35N6_1_5</v>
      </c>
      <c r="F1699" s="2">
        <v>35</v>
      </c>
      <c r="G1699" s="2" t="s">
        <v>37</v>
      </c>
      <c r="H1699" s="2">
        <v>6</v>
      </c>
      <c r="I1699" s="2">
        <v>1</v>
      </c>
      <c r="J1699" s="2">
        <f>COUNTIFS($F$13:F1699,F1699,$I$13:I1699,I1699)</f>
        <v>5</v>
      </c>
      <c r="O1699" s="8">
        <v>1035201</v>
      </c>
      <c r="P1699" s="8">
        <v>1035301</v>
      </c>
      <c r="Q1699" s="8">
        <v>1035401</v>
      </c>
      <c r="R1699" s="8">
        <v>1035501</v>
      </c>
    </row>
    <row r="1700" spans="1:18">
      <c r="A1700" s="14" t="s">
        <v>14</v>
      </c>
      <c r="B1700" s="8">
        <f t="shared" si="74"/>
        <v>70355106</v>
      </c>
      <c r="C1700" s="2" t="s">
        <v>1771</v>
      </c>
      <c r="E1700" s="2" t="str">
        <f>F1700&amp;(VLOOKUP(G1700,编号表!$E$1:$G$8,2,0))&amp;H1700&amp;"_"&amp;I1700&amp;"_"&amp;J1700</f>
        <v>35N5_1_6</v>
      </c>
      <c r="F1700" s="2">
        <v>35</v>
      </c>
      <c r="G1700" s="2" t="s">
        <v>37</v>
      </c>
      <c r="H1700" s="2">
        <v>5</v>
      </c>
      <c r="I1700" s="2">
        <v>1</v>
      </c>
      <c r="J1700" s="2">
        <f>COUNTIFS($F$13:F1700,F1700,$I$13:I1700,I1700)</f>
        <v>6</v>
      </c>
      <c r="O1700" s="8">
        <v>1035201</v>
      </c>
      <c r="P1700" s="8">
        <v>1035301</v>
      </c>
      <c r="Q1700" s="8">
        <v>1035401</v>
      </c>
      <c r="R1700" s="8">
        <v>1035501</v>
      </c>
    </row>
    <row r="1701" spans="1:18">
      <c r="A1701" s="14" t="s">
        <v>14</v>
      </c>
      <c r="B1701" s="8">
        <f t="shared" si="74"/>
        <v>70351107</v>
      </c>
      <c r="C1701" s="15" t="s">
        <v>1772</v>
      </c>
      <c r="E1701" s="2" t="str">
        <f>F1701&amp;(VLOOKUP(G1701,编号表!$E$1:$G$8,2,0))&amp;H1701&amp;"_"&amp;I1701&amp;"_"&amp;J1701</f>
        <v>35T1_1_7</v>
      </c>
      <c r="F1701" s="2">
        <v>35</v>
      </c>
      <c r="G1701" s="2" t="s">
        <v>53</v>
      </c>
      <c r="H1701" s="2">
        <v>1</v>
      </c>
      <c r="I1701" s="2">
        <v>1</v>
      </c>
      <c r="J1701" s="2">
        <f>COUNTIFS($F$13:F1701,F1701,$I$13:I1701,I1701)</f>
        <v>7</v>
      </c>
    </row>
    <row r="1702" spans="1:18">
      <c r="A1702" s="14" t="s">
        <v>14</v>
      </c>
      <c r="B1702" s="8">
        <f t="shared" si="74"/>
        <v>70353108</v>
      </c>
      <c r="C1702" s="16" t="s">
        <v>1773</v>
      </c>
      <c r="D1702" s="2" t="s">
        <v>1774</v>
      </c>
      <c r="E1702" s="2" t="str">
        <f>F1702&amp;(VLOOKUP(G1702,编号表!$E$1:$G$8,2,0))&amp;H1702&amp;"_"&amp;I1702&amp;"_"&amp;J1702</f>
        <v>35T3_1_8</v>
      </c>
      <c r="F1702" s="2">
        <v>35</v>
      </c>
      <c r="G1702" s="2" t="s">
        <v>53</v>
      </c>
      <c r="H1702" s="2">
        <v>3</v>
      </c>
      <c r="I1702" s="2">
        <v>1</v>
      </c>
      <c r="J1702" s="2">
        <f>COUNTIFS($F$13:F1702,F1702,$I$13:I1702,I1702)</f>
        <v>8</v>
      </c>
      <c r="M1702" s="2">
        <v>171</v>
      </c>
    </row>
    <row r="1703" spans="1:18">
      <c r="A1703" s="14" t="s">
        <v>14</v>
      </c>
      <c r="B1703" s="8">
        <f t="shared" si="74"/>
        <v>70356201</v>
      </c>
      <c r="C1703" s="2" t="s">
        <v>1775</v>
      </c>
      <c r="E1703" s="2" t="str">
        <f>F1703&amp;(VLOOKUP(G1703,编号表!$E$1:$G$8,2,0))&amp;H1703&amp;"_"&amp;I1703&amp;"_"&amp;J1703</f>
        <v>35N6_2_1</v>
      </c>
      <c r="F1703" s="2">
        <v>35</v>
      </c>
      <c r="G1703" s="2" t="s">
        <v>37</v>
      </c>
      <c r="H1703" s="2">
        <v>6</v>
      </c>
      <c r="I1703" s="2">
        <v>2</v>
      </c>
      <c r="J1703" s="2">
        <f>COUNTIFS($F$13:F1703,F1703,$I$13:I1703,I1703)</f>
        <v>1</v>
      </c>
      <c r="O1703" s="8">
        <v>1035201</v>
      </c>
      <c r="P1703" s="8">
        <v>1035301</v>
      </c>
      <c r="Q1703" s="8">
        <v>1035401</v>
      </c>
      <c r="R1703" s="8">
        <v>1035501</v>
      </c>
    </row>
    <row r="1704" spans="1:18">
      <c r="A1704" s="14" t="s">
        <v>14</v>
      </c>
      <c r="B1704" s="8">
        <f t="shared" si="74"/>
        <v>70355202</v>
      </c>
      <c r="C1704" s="2" t="s">
        <v>1776</v>
      </c>
      <c r="E1704" s="2" t="str">
        <f>F1704&amp;(VLOOKUP(G1704,编号表!$E$1:$G$8,2,0))&amp;H1704&amp;"_"&amp;I1704&amp;"_"&amp;J1704</f>
        <v>35N5_2_2</v>
      </c>
      <c r="F1704" s="2">
        <v>35</v>
      </c>
      <c r="G1704" s="2" t="s">
        <v>37</v>
      </c>
      <c r="H1704" s="2">
        <v>5</v>
      </c>
      <c r="I1704" s="2">
        <v>2</v>
      </c>
      <c r="J1704" s="2">
        <f>COUNTIFS($F$13:F1704,F1704,$I$13:I1704,I1704)</f>
        <v>2</v>
      </c>
      <c r="O1704" s="8">
        <v>1035201</v>
      </c>
      <c r="P1704" s="8">
        <v>1035301</v>
      </c>
      <c r="Q1704" s="8">
        <v>1035401</v>
      </c>
      <c r="R1704" s="8">
        <v>1035501</v>
      </c>
    </row>
    <row r="1705" spans="1:18">
      <c r="A1705" s="14" t="s">
        <v>14</v>
      </c>
      <c r="B1705" s="8">
        <f t="shared" si="74"/>
        <v>70353203</v>
      </c>
      <c r="C1705" s="2" t="s">
        <v>1777</v>
      </c>
      <c r="E1705" s="2" t="str">
        <f>F1705&amp;(VLOOKUP(G1705,编号表!$E$1:$G$8,2,0))&amp;H1705&amp;"_"&amp;I1705&amp;"_"&amp;J1705</f>
        <v>35N3_2_3</v>
      </c>
      <c r="F1705" s="2">
        <v>35</v>
      </c>
      <c r="G1705" s="2" t="s">
        <v>37</v>
      </c>
      <c r="H1705" s="2">
        <v>3</v>
      </c>
      <c r="I1705" s="2">
        <v>2</v>
      </c>
      <c r="J1705" s="2">
        <f>COUNTIFS($F$13:F1705,F1705,$I$13:I1705,I1705)</f>
        <v>3</v>
      </c>
      <c r="O1705" s="8">
        <v>1035201</v>
      </c>
      <c r="P1705" s="8">
        <v>1035301</v>
      </c>
      <c r="Q1705" s="8">
        <v>1035401</v>
      </c>
      <c r="R1705" s="8">
        <v>1035501</v>
      </c>
    </row>
    <row r="1706" spans="1:18">
      <c r="A1706" s="14" t="s">
        <v>14</v>
      </c>
      <c r="B1706" s="8">
        <f t="shared" si="74"/>
        <v>70354204</v>
      </c>
      <c r="C1706" s="2" t="s">
        <v>1778</v>
      </c>
      <c r="E1706" s="2" t="str">
        <f>F1706&amp;(VLOOKUP(G1706,编号表!$E$1:$G$8,2,0))&amp;H1706&amp;"_"&amp;I1706&amp;"_"&amp;J1706</f>
        <v>35N4_2_4</v>
      </c>
      <c r="F1706" s="2">
        <v>35</v>
      </c>
      <c r="G1706" s="2" t="s">
        <v>37</v>
      </c>
      <c r="H1706" s="2">
        <v>4</v>
      </c>
      <c r="I1706" s="2">
        <v>2</v>
      </c>
      <c r="J1706" s="2">
        <f>COUNTIFS($F$13:F1706,F1706,$I$13:I1706,I1706)</f>
        <v>4</v>
      </c>
      <c r="O1706" s="8">
        <v>1035201</v>
      </c>
      <c r="P1706" s="8">
        <v>1035301</v>
      </c>
      <c r="Q1706" s="8">
        <v>1035401</v>
      </c>
      <c r="R1706" s="8">
        <v>1035501</v>
      </c>
    </row>
    <row r="1707" spans="1:18">
      <c r="A1707" s="14" t="s">
        <v>14</v>
      </c>
      <c r="B1707" s="8">
        <f t="shared" si="74"/>
        <v>70355205</v>
      </c>
      <c r="C1707" s="2" t="s">
        <v>1779</v>
      </c>
      <c r="E1707" s="2" t="str">
        <f>F1707&amp;(VLOOKUP(G1707,编号表!$E$1:$G$8,2,0))&amp;H1707&amp;"_"&amp;I1707&amp;"_"&amp;J1707</f>
        <v>35N5_2_5</v>
      </c>
      <c r="F1707" s="2">
        <v>35</v>
      </c>
      <c r="G1707" s="2" t="s">
        <v>37</v>
      </c>
      <c r="H1707" s="2">
        <v>5</v>
      </c>
      <c r="I1707" s="2">
        <v>2</v>
      </c>
      <c r="J1707" s="2">
        <f>COUNTIFS($F$13:F1707,F1707,$I$13:I1707,I1707)</f>
        <v>5</v>
      </c>
      <c r="O1707" s="8">
        <v>1035201</v>
      </c>
      <c r="P1707" s="8">
        <v>1035301</v>
      </c>
      <c r="Q1707" s="8">
        <v>1035401</v>
      </c>
      <c r="R1707" s="8">
        <v>1035501</v>
      </c>
    </row>
    <row r="1708" spans="1:18">
      <c r="A1708" s="14" t="s">
        <v>14</v>
      </c>
      <c r="B1708" s="8">
        <f t="shared" si="74"/>
        <v>70355206</v>
      </c>
      <c r="C1708" s="2" t="s">
        <v>1780</v>
      </c>
      <c r="E1708" s="2" t="str">
        <f>F1708&amp;(VLOOKUP(G1708,编号表!$E$1:$G$8,2,0))&amp;H1708&amp;"_"&amp;I1708&amp;"_"&amp;J1708</f>
        <v>35N5_2_6</v>
      </c>
      <c r="F1708" s="2">
        <v>35</v>
      </c>
      <c r="G1708" s="2" t="s">
        <v>37</v>
      </c>
      <c r="H1708" s="2">
        <v>5</v>
      </c>
      <c r="I1708" s="2">
        <v>2</v>
      </c>
      <c r="J1708" s="2">
        <f>COUNTIFS($F$13:F1708,F1708,$I$13:I1708,I1708)</f>
        <v>6</v>
      </c>
      <c r="O1708" s="8">
        <v>1035201</v>
      </c>
      <c r="P1708" s="8">
        <v>1035301</v>
      </c>
      <c r="Q1708" s="8">
        <v>1035401</v>
      </c>
      <c r="R1708" s="8">
        <v>1035501</v>
      </c>
    </row>
    <row r="1709" spans="1:18">
      <c r="A1709" s="14" t="s">
        <v>14</v>
      </c>
      <c r="B1709" s="8">
        <f t="shared" si="74"/>
        <v>70355207</v>
      </c>
      <c r="C1709" s="2" t="s">
        <v>1781</v>
      </c>
      <c r="E1709" s="2" t="str">
        <f>F1709&amp;(VLOOKUP(G1709,编号表!$E$1:$G$8,2,0))&amp;H1709&amp;"_"&amp;I1709&amp;"_"&amp;J1709</f>
        <v>35N5_2_7</v>
      </c>
      <c r="F1709" s="2">
        <v>35</v>
      </c>
      <c r="G1709" s="2" t="s">
        <v>37</v>
      </c>
      <c r="H1709" s="2">
        <v>5</v>
      </c>
      <c r="I1709" s="2">
        <v>2</v>
      </c>
      <c r="J1709" s="2">
        <f>COUNTIFS($F$13:F1709,F1709,$I$13:I1709,I1709)</f>
        <v>7</v>
      </c>
      <c r="O1709" s="8">
        <v>1035201</v>
      </c>
      <c r="P1709" s="8">
        <v>1035301</v>
      </c>
      <c r="Q1709" s="8">
        <v>1035401</v>
      </c>
      <c r="R1709" s="8">
        <v>1035501</v>
      </c>
    </row>
    <row r="1710" spans="1:18">
      <c r="A1710" s="14" t="s">
        <v>14</v>
      </c>
      <c r="B1710" s="8">
        <f t="shared" si="74"/>
        <v>70354208</v>
      </c>
      <c r="C1710" s="2" t="s">
        <v>1782</v>
      </c>
      <c r="E1710" s="2" t="str">
        <f>F1710&amp;(VLOOKUP(G1710,编号表!$E$1:$G$8,2,0))&amp;H1710&amp;"_"&amp;I1710&amp;"_"&amp;J1710</f>
        <v>35N4_2_8</v>
      </c>
      <c r="F1710" s="2">
        <v>35</v>
      </c>
      <c r="G1710" s="2" t="s">
        <v>37</v>
      </c>
      <c r="H1710" s="2">
        <v>4</v>
      </c>
      <c r="I1710" s="2">
        <v>2</v>
      </c>
      <c r="J1710" s="2">
        <f>COUNTIFS($F$13:F1710,F1710,$I$13:I1710,I1710)</f>
        <v>8</v>
      </c>
      <c r="O1710" s="8">
        <v>1035201</v>
      </c>
      <c r="P1710" s="8">
        <v>1035301</v>
      </c>
      <c r="Q1710" s="8">
        <v>1035401</v>
      </c>
      <c r="R1710" s="8">
        <v>1035501</v>
      </c>
    </row>
    <row r="1711" spans="1:18">
      <c r="A1711" s="14" t="s">
        <v>14</v>
      </c>
      <c r="B1711" s="8">
        <f t="shared" si="74"/>
        <v>70353209</v>
      </c>
      <c r="C1711" s="2" t="s">
        <v>1783</v>
      </c>
      <c r="E1711" s="2" t="str">
        <f>F1711&amp;(VLOOKUP(G1711,编号表!$E$1:$G$8,2,0))&amp;H1711&amp;"_"&amp;I1711&amp;"_"&amp;J1711</f>
        <v>35N3_2_9</v>
      </c>
      <c r="F1711" s="2">
        <v>35</v>
      </c>
      <c r="G1711" s="2" t="s">
        <v>37</v>
      </c>
      <c r="H1711" s="2">
        <v>3</v>
      </c>
      <c r="I1711" s="2">
        <v>2</v>
      </c>
      <c r="J1711" s="2">
        <f>COUNTIFS($F$13:F1711,F1711,$I$13:I1711,I1711)</f>
        <v>9</v>
      </c>
      <c r="O1711" s="8">
        <v>1035201</v>
      </c>
      <c r="P1711" s="8">
        <v>1035301</v>
      </c>
      <c r="Q1711" s="8">
        <v>1035401</v>
      </c>
      <c r="R1711" s="8">
        <v>1035501</v>
      </c>
    </row>
    <row r="1712" spans="1:18">
      <c r="A1712" s="14" t="s">
        <v>14</v>
      </c>
      <c r="B1712" s="8">
        <f t="shared" si="74"/>
        <v>70356301</v>
      </c>
      <c r="C1712" s="2" t="s">
        <v>1784</v>
      </c>
      <c r="E1712" s="2" t="str">
        <f>F1712&amp;(VLOOKUP(G1712,编号表!$E$1:$G$8,2,0))&amp;H1712&amp;"_"&amp;I1712&amp;"_"&amp;J1712</f>
        <v>35N6_3_1</v>
      </c>
      <c r="F1712" s="2">
        <v>35</v>
      </c>
      <c r="G1712" s="2" t="s">
        <v>37</v>
      </c>
      <c r="H1712" s="2">
        <v>6</v>
      </c>
      <c r="I1712" s="2">
        <v>3</v>
      </c>
      <c r="J1712" s="2">
        <f>COUNTIFS($F$13:F1712,F1712,$I$13:I1712,I1712)</f>
        <v>1</v>
      </c>
      <c r="O1712" s="8">
        <v>1035201</v>
      </c>
      <c r="P1712" s="8">
        <v>1035301</v>
      </c>
      <c r="Q1712" s="8">
        <v>1035401</v>
      </c>
      <c r="R1712" s="8">
        <v>1035501</v>
      </c>
    </row>
    <row r="1713" spans="1:20">
      <c r="A1713" s="14" t="s">
        <v>14</v>
      </c>
      <c r="B1713" s="8">
        <f t="shared" si="74"/>
        <v>70353401</v>
      </c>
      <c r="C1713" s="16" t="s">
        <v>54</v>
      </c>
      <c r="D1713" s="2" t="s">
        <v>1785</v>
      </c>
      <c r="E1713" s="2" t="str">
        <f>F1713&amp;(VLOOKUP(G1713,编号表!$E$1:$G$8,2,0))&amp;H1713&amp;"_"&amp;I1713&amp;"_"&amp;J1713</f>
        <v>35T3_4_1</v>
      </c>
      <c r="F1713" s="2">
        <v>35</v>
      </c>
      <c r="G1713" s="2" t="s">
        <v>53</v>
      </c>
      <c r="H1713" s="2">
        <v>3</v>
      </c>
      <c r="I1713" s="2">
        <v>4</v>
      </c>
      <c r="J1713" s="2">
        <f>COUNTIFS($F$13:F1713,F1713,$I$13:I1713,I1713)</f>
        <v>1</v>
      </c>
    </row>
    <row r="1714" spans="1:20">
      <c r="A1714" s="14" t="s">
        <v>14</v>
      </c>
      <c r="B1714" s="8">
        <f t="shared" si="74"/>
        <v>70351402</v>
      </c>
      <c r="C1714" s="15" t="s">
        <v>1786</v>
      </c>
      <c r="E1714" s="2" t="str">
        <f>F1714&amp;(VLOOKUP(G1714,编号表!$E$1:$G$8,2,0))&amp;H1714&amp;"_"&amp;I1714&amp;"_"&amp;J1714</f>
        <v>35T1_4_2</v>
      </c>
      <c r="F1714" s="2">
        <v>35</v>
      </c>
      <c r="G1714" s="2" t="s">
        <v>53</v>
      </c>
      <c r="H1714" s="2">
        <v>1</v>
      </c>
      <c r="I1714" s="2">
        <v>4</v>
      </c>
      <c r="J1714" s="2">
        <f>COUNTIFS($F$13:F1714,F1714,$I$13:I1714,I1714)</f>
        <v>2</v>
      </c>
      <c r="L1714" s="2">
        <v>1</v>
      </c>
    </row>
    <row r="1715" spans="1:20">
      <c r="A1715" s="14" t="s">
        <v>14</v>
      </c>
      <c r="B1715" s="8">
        <f t="shared" si="74"/>
        <v>70353403</v>
      </c>
      <c r="C1715" s="2" t="s">
        <v>1787</v>
      </c>
      <c r="E1715" s="2" t="str">
        <f>F1715&amp;(VLOOKUP(G1715,编号表!$E$1:$G$8,2,0))&amp;H1715&amp;"_"&amp;I1715&amp;"_"&amp;J1715</f>
        <v>35N3_4_3</v>
      </c>
      <c r="F1715" s="2">
        <v>35</v>
      </c>
      <c r="G1715" s="2" t="s">
        <v>37</v>
      </c>
      <c r="H1715" s="2">
        <v>3</v>
      </c>
      <c r="I1715" s="2">
        <v>4</v>
      </c>
      <c r="J1715" s="2">
        <f>COUNTIFS($F$13:F1715,F1715,$I$13:I1715,I1715)</f>
        <v>3</v>
      </c>
      <c r="O1715" s="8">
        <v>1035201</v>
      </c>
      <c r="P1715" s="8">
        <v>1035301</v>
      </c>
      <c r="Q1715" s="8">
        <v>1035401</v>
      </c>
      <c r="R1715" s="8">
        <v>1035501</v>
      </c>
    </row>
    <row r="1716" spans="1:20">
      <c r="A1716" s="14" t="s">
        <v>14</v>
      </c>
      <c r="B1716" s="8">
        <f t="shared" si="74"/>
        <v>70353404</v>
      </c>
      <c r="C1716" s="2" t="s">
        <v>1788</v>
      </c>
      <c r="E1716" s="2" t="str">
        <f>F1716&amp;(VLOOKUP(G1716,编号表!$E$1:$G$8,2,0))&amp;H1716&amp;"_"&amp;I1716&amp;"_"&amp;J1716</f>
        <v>35N3_4_4</v>
      </c>
      <c r="F1716" s="2">
        <v>35</v>
      </c>
      <c r="G1716" s="2" t="s">
        <v>37</v>
      </c>
      <c r="H1716" s="2">
        <v>3</v>
      </c>
      <c r="I1716" s="2">
        <v>4</v>
      </c>
      <c r="J1716" s="2">
        <f>COUNTIFS($F$13:F1716,F1716,$I$13:I1716,I1716)</f>
        <v>4</v>
      </c>
      <c r="O1716" s="8">
        <v>1035201</v>
      </c>
      <c r="P1716" s="8">
        <v>1035301</v>
      </c>
      <c r="Q1716" s="8">
        <v>1035401</v>
      </c>
      <c r="R1716" s="8">
        <v>1035501</v>
      </c>
    </row>
    <row r="1717" spans="1:20">
      <c r="A1717" s="14" t="s">
        <v>14</v>
      </c>
      <c r="B1717" s="8">
        <f t="shared" si="74"/>
        <v>70354405</v>
      </c>
      <c r="C1717" s="2" t="s">
        <v>1789</v>
      </c>
      <c r="E1717" s="2" t="str">
        <f>F1717&amp;(VLOOKUP(G1717,编号表!$E$1:$G$8,2,0))&amp;H1717&amp;"_"&amp;I1717&amp;"_"&amp;J1717</f>
        <v>35N4_4_5</v>
      </c>
      <c r="F1717" s="2">
        <v>35</v>
      </c>
      <c r="G1717" s="2" t="s">
        <v>37</v>
      </c>
      <c r="H1717" s="2">
        <v>4</v>
      </c>
      <c r="I1717" s="2">
        <v>4</v>
      </c>
      <c r="J1717" s="2">
        <f>COUNTIFS($F$13:F1717,F1717,$I$13:I1717,I1717)</f>
        <v>5</v>
      </c>
      <c r="O1717" s="8">
        <v>1035201</v>
      </c>
      <c r="P1717" s="8">
        <v>1035301</v>
      </c>
      <c r="Q1717" s="8">
        <v>1035401</v>
      </c>
      <c r="R1717" s="8">
        <v>1035501</v>
      </c>
    </row>
    <row r="1718" spans="1:20">
      <c r="A1718" s="14" t="s">
        <v>14</v>
      </c>
      <c r="B1718" s="8">
        <f t="shared" si="74"/>
        <v>70350406</v>
      </c>
      <c r="C1718" s="2" t="s">
        <v>1790</v>
      </c>
      <c r="E1718" s="2" t="str">
        <f>F1718&amp;(VLOOKUP(G1718,编号表!$E$1:$G$8,2,0))&amp;H1718&amp;"_"&amp;I1718&amp;"_"&amp;J1718</f>
        <v>35N0_4_6</v>
      </c>
      <c r="F1718" s="2">
        <v>35</v>
      </c>
      <c r="G1718" s="2" t="s">
        <v>37</v>
      </c>
      <c r="H1718" s="2">
        <v>0</v>
      </c>
      <c r="I1718" s="2">
        <v>4</v>
      </c>
      <c r="J1718" s="2">
        <f>COUNTIFS($F$13:F1718,F1718,$I$13:I1718,I1718)</f>
        <v>6</v>
      </c>
      <c r="O1718" s="8">
        <v>1035201</v>
      </c>
      <c r="P1718" s="8">
        <v>1035301</v>
      </c>
      <c r="Q1718" s="8">
        <v>1035401</v>
      </c>
      <c r="R1718" s="8">
        <v>1035501</v>
      </c>
    </row>
    <row r="1719" spans="1:20">
      <c r="A1719" s="14" t="s">
        <v>14</v>
      </c>
      <c r="B1719" s="8">
        <f t="shared" si="74"/>
        <v>70355407</v>
      </c>
      <c r="C1719" s="2" t="s">
        <v>1791</v>
      </c>
      <c r="E1719" s="2" t="str">
        <f>F1719&amp;(VLOOKUP(G1719,编号表!$E$1:$G$8,2,0))&amp;H1719&amp;"_"&amp;I1719&amp;"_"&amp;J1719</f>
        <v>35N5_4_7</v>
      </c>
      <c r="F1719" s="2">
        <v>35</v>
      </c>
      <c r="G1719" s="2" t="s">
        <v>37</v>
      </c>
      <c r="H1719" s="2">
        <v>5</v>
      </c>
      <c r="I1719" s="2">
        <v>4</v>
      </c>
      <c r="J1719" s="2">
        <f>COUNTIFS($F$13:F1719,F1719,$I$13:I1719,I1719)</f>
        <v>7</v>
      </c>
      <c r="O1719" s="8">
        <v>1035201</v>
      </c>
      <c r="P1719" s="8">
        <v>1035301</v>
      </c>
      <c r="Q1719" s="8">
        <v>1035401</v>
      </c>
      <c r="R1719" s="8">
        <v>1035501</v>
      </c>
    </row>
    <row r="1720" spans="1:20">
      <c r="A1720" s="14" t="s">
        <v>14</v>
      </c>
      <c r="B1720" s="8">
        <f t="shared" si="74"/>
        <v>70354408</v>
      </c>
      <c r="C1720" s="2" t="s">
        <v>1792</v>
      </c>
      <c r="E1720" s="2" t="str">
        <f>F1720&amp;(VLOOKUP(G1720,编号表!$E$1:$G$8,2,0))&amp;H1720&amp;"_"&amp;I1720&amp;"_"&amp;J1720</f>
        <v>35N4_4_8</v>
      </c>
      <c r="F1720" s="2">
        <v>35</v>
      </c>
      <c r="G1720" s="2" t="s">
        <v>37</v>
      </c>
      <c r="H1720" s="2">
        <v>4</v>
      </c>
      <c r="I1720" s="2">
        <v>4</v>
      </c>
      <c r="J1720" s="2">
        <f>COUNTIFS($F$13:F1720,F1720,$I$13:I1720,I1720)</f>
        <v>8</v>
      </c>
      <c r="O1720" s="8">
        <v>1035201</v>
      </c>
      <c r="P1720" s="8">
        <v>1035301</v>
      </c>
      <c r="Q1720" s="8">
        <v>1035401</v>
      </c>
      <c r="R1720" s="8">
        <v>1035501</v>
      </c>
    </row>
    <row r="1721" spans="1:20">
      <c r="A1721" s="14" t="s">
        <v>14</v>
      </c>
      <c r="B1721" s="8">
        <f t="shared" si="74"/>
        <v>70354409</v>
      </c>
      <c r="C1721" s="2" t="s">
        <v>1793</v>
      </c>
      <c r="E1721" s="2" t="str">
        <f>F1721&amp;(VLOOKUP(G1721,编号表!$E$1:$G$8,2,0))&amp;H1721&amp;"_"&amp;I1721&amp;"_"&amp;J1721</f>
        <v>35N4_4_9</v>
      </c>
      <c r="F1721" s="2">
        <v>35</v>
      </c>
      <c r="G1721" s="2" t="s">
        <v>37</v>
      </c>
      <c r="H1721" s="2">
        <v>4</v>
      </c>
      <c r="I1721" s="2">
        <v>4</v>
      </c>
      <c r="J1721" s="2">
        <f>COUNTIFS($F$13:F1721,F1721,$I$13:I1721,I1721)</f>
        <v>9</v>
      </c>
      <c r="O1721" s="8">
        <v>1035201</v>
      </c>
      <c r="P1721" s="8">
        <v>1035301</v>
      </c>
      <c r="Q1721" s="8">
        <v>1035401</v>
      </c>
      <c r="R1721" s="8">
        <v>1035501</v>
      </c>
    </row>
    <row r="1722" spans="1:20">
      <c r="A1722" s="14" t="s">
        <v>14</v>
      </c>
      <c r="B1722" s="8">
        <f t="shared" si="74"/>
        <v>70354410</v>
      </c>
      <c r="C1722" s="2" t="s">
        <v>1794</v>
      </c>
      <c r="E1722" s="2" t="str">
        <f>F1722&amp;(VLOOKUP(G1722,编号表!$E$1:$G$8,2,0))&amp;H1722&amp;"_"&amp;I1722&amp;"_"&amp;J1722</f>
        <v>35N4_4_10</v>
      </c>
      <c r="F1722" s="2">
        <v>35</v>
      </c>
      <c r="G1722" s="2" t="s">
        <v>37</v>
      </c>
      <c r="H1722" s="2">
        <v>4</v>
      </c>
      <c r="I1722" s="2">
        <v>4</v>
      </c>
      <c r="J1722" s="2">
        <f>COUNTIFS($F$13:F1722,F1722,$I$13:I1722,I1722)</f>
        <v>10</v>
      </c>
      <c r="O1722" s="8">
        <v>1035201</v>
      </c>
      <c r="P1722" s="8">
        <v>1035301</v>
      </c>
      <c r="Q1722" s="8">
        <v>1035401</v>
      </c>
      <c r="R1722" s="8">
        <v>1035501</v>
      </c>
    </row>
    <row r="1723" spans="1:20">
      <c r="A1723" s="14" t="s">
        <v>14</v>
      </c>
      <c r="B1723" s="8">
        <f t="shared" si="74"/>
        <v>70354411</v>
      </c>
      <c r="C1723" s="2" t="s">
        <v>1795</v>
      </c>
      <c r="E1723" s="2" t="str">
        <f>F1723&amp;(VLOOKUP(G1723,编号表!$E$1:$G$8,2,0))&amp;H1723&amp;"_"&amp;I1723&amp;"_"&amp;J1723</f>
        <v>35N4_4_11</v>
      </c>
      <c r="F1723" s="2">
        <v>35</v>
      </c>
      <c r="G1723" s="2" t="s">
        <v>37</v>
      </c>
      <c r="H1723" s="2">
        <v>4</v>
      </c>
      <c r="I1723" s="2">
        <v>4</v>
      </c>
      <c r="J1723" s="2">
        <f>COUNTIFS($F$13:F1723,F1723,$I$13:I1723,I1723)</f>
        <v>11</v>
      </c>
      <c r="O1723" s="8">
        <v>1035201</v>
      </c>
      <c r="P1723" s="8">
        <v>1035301</v>
      </c>
      <c r="Q1723" s="8">
        <v>1035401</v>
      </c>
      <c r="R1723" s="8">
        <v>1035501</v>
      </c>
    </row>
    <row r="1724" spans="1:20">
      <c r="A1724" s="14" t="s">
        <v>14</v>
      </c>
      <c r="B1724" s="8">
        <f t="shared" si="74"/>
        <v>70353412</v>
      </c>
      <c r="C1724" s="2" t="s">
        <v>1796</v>
      </c>
      <c r="E1724" s="2" t="str">
        <f>F1724&amp;(VLOOKUP(G1724,编号表!$E$1:$G$8,2,0))&amp;H1724&amp;"_"&amp;I1724&amp;"_"&amp;J1724</f>
        <v>35N3_4_12</v>
      </c>
      <c r="F1724" s="2">
        <v>35</v>
      </c>
      <c r="G1724" s="2" t="s">
        <v>37</v>
      </c>
      <c r="H1724" s="2">
        <v>3</v>
      </c>
      <c r="I1724" s="2">
        <v>4</v>
      </c>
      <c r="J1724" s="2">
        <f>COUNTIFS($F$13:F1724,F1724,$I$13:I1724,I1724)</f>
        <v>12</v>
      </c>
      <c r="O1724" s="8">
        <v>1035201</v>
      </c>
      <c r="P1724" s="8">
        <v>1035301</v>
      </c>
      <c r="Q1724" s="8">
        <v>1035401</v>
      </c>
      <c r="R1724" s="8">
        <v>1035501</v>
      </c>
    </row>
    <row r="1725" spans="1:20">
      <c r="A1725" s="14" t="s">
        <v>14</v>
      </c>
      <c r="B1725" s="8">
        <f t="shared" si="74"/>
        <v>70351413</v>
      </c>
      <c r="C1725" s="15" t="s">
        <v>1797</v>
      </c>
      <c r="E1725" s="2" t="str">
        <f>F1725&amp;(VLOOKUP(G1725,编号表!$E$1:$G$8,2,0))&amp;H1725&amp;"_"&amp;I1725&amp;"_"&amp;J1725</f>
        <v>35T1_4_13</v>
      </c>
      <c r="F1725" s="2">
        <v>35</v>
      </c>
      <c r="G1725" s="2" t="s">
        <v>53</v>
      </c>
      <c r="H1725" s="2">
        <v>1</v>
      </c>
      <c r="I1725" s="2">
        <v>4</v>
      </c>
      <c r="J1725" s="2">
        <f>COUNTIFS($F$13:F1725,F1725,$I$13:I1725,I1725)</f>
        <v>13</v>
      </c>
    </row>
    <row r="1726" spans="1:20">
      <c r="A1726" s="14" t="s">
        <v>14</v>
      </c>
      <c r="B1726" s="8">
        <f t="shared" si="74"/>
        <v>70353414</v>
      </c>
      <c r="C1726" s="16" t="s">
        <v>1798</v>
      </c>
      <c r="D1726" s="2" t="s">
        <v>1799</v>
      </c>
      <c r="E1726" s="2" t="str">
        <f>F1726&amp;(VLOOKUP(G1726,编号表!$E$1:$G$8,2,0))&amp;H1726&amp;"_"&amp;I1726&amp;"_"&amp;J1726</f>
        <v>35T3_4_14</v>
      </c>
      <c r="F1726" s="2">
        <v>35</v>
      </c>
      <c r="G1726" s="2" t="s">
        <v>53</v>
      </c>
      <c r="H1726" s="2">
        <v>3</v>
      </c>
      <c r="I1726" s="2">
        <v>4</v>
      </c>
      <c r="J1726" s="2">
        <f>COUNTIFS($F$13:F1726,F1726,$I$13:I1726,I1726)</f>
        <v>14</v>
      </c>
      <c r="M1726" s="2">
        <v>172</v>
      </c>
    </row>
    <row r="1727" spans="1:20">
      <c r="A1727" s="14" t="s">
        <v>14</v>
      </c>
      <c r="B1727" s="8">
        <f t="shared" si="74"/>
        <v>70350001</v>
      </c>
      <c r="C1727" s="18" t="s">
        <v>1800</v>
      </c>
      <c r="E1727" s="2" t="str">
        <f>F1727&amp;(VLOOKUP(G1727,编号表!$E$1:$G$8,2,0))&amp;H1727&amp;"_"&amp;I1727&amp;"_"&amp;J1727</f>
        <v>35J0_0_1</v>
      </c>
      <c r="F1727" s="2">
        <v>35</v>
      </c>
      <c r="G1727" s="2" t="s">
        <v>86</v>
      </c>
      <c r="H1727" s="2">
        <v>0</v>
      </c>
      <c r="I1727" s="2">
        <v>0</v>
      </c>
      <c r="J1727" s="2">
        <f>COUNTIFS($F$13:F1727,F1727,$I$13:I1727,I1727)</f>
        <v>1</v>
      </c>
      <c r="K1727" s="2">
        <v>1</v>
      </c>
    </row>
    <row r="1728" spans="1:20">
      <c r="A1728" s="14" t="s">
        <v>14</v>
      </c>
      <c r="B1728" s="8">
        <f t="shared" si="74"/>
        <v>70363101</v>
      </c>
      <c r="C1728" s="2" t="s">
        <v>1801</v>
      </c>
      <c r="E1728" s="2" t="str">
        <f>F1728&amp;(VLOOKUP(G1728,编号表!$E$1:$G$8,2,0))&amp;H1728&amp;"_"&amp;I1728&amp;"_"&amp;J1728</f>
        <v>36N3_1_1</v>
      </c>
      <c r="F1728" s="2">
        <v>36</v>
      </c>
      <c r="G1728" s="2" t="s">
        <v>37</v>
      </c>
      <c r="H1728" s="2">
        <v>3</v>
      </c>
      <c r="I1728" s="2">
        <v>1</v>
      </c>
      <c r="J1728" s="2">
        <f>COUNTIFS($F$13:F1728,F1728,$I$13:I1728,I1728)</f>
        <v>1</v>
      </c>
      <c r="O1728" s="8">
        <v>1036201</v>
      </c>
      <c r="P1728" s="8">
        <v>1036301</v>
      </c>
      <c r="Q1728" s="8">
        <v>1036401</v>
      </c>
      <c r="R1728" s="8">
        <v>1036501</v>
      </c>
      <c r="S1728" s="8">
        <v>1036601</v>
      </c>
      <c r="T1728" s="8">
        <v>1036001</v>
      </c>
    </row>
    <row r="1729" spans="1:20">
      <c r="A1729" s="14" t="s">
        <v>14</v>
      </c>
      <c r="B1729" s="8">
        <f t="shared" si="74"/>
        <v>70363102</v>
      </c>
      <c r="C1729" s="2" t="s">
        <v>1802</v>
      </c>
      <c r="E1729" s="2" t="str">
        <f>F1729&amp;(VLOOKUP(G1729,编号表!$E$1:$G$8,2,0))&amp;H1729&amp;"_"&amp;I1729&amp;"_"&amp;J1729</f>
        <v>36N3_1_2</v>
      </c>
      <c r="F1729" s="2">
        <v>36</v>
      </c>
      <c r="G1729" s="2" t="s">
        <v>37</v>
      </c>
      <c r="H1729" s="2">
        <v>3</v>
      </c>
      <c r="I1729" s="2">
        <v>1</v>
      </c>
      <c r="J1729" s="2">
        <f>COUNTIFS($F$13:F1729,F1729,$I$13:I1729,I1729)</f>
        <v>2</v>
      </c>
      <c r="O1729" s="8">
        <v>1036201</v>
      </c>
      <c r="P1729" s="8">
        <v>1036301</v>
      </c>
      <c r="Q1729" s="8">
        <v>1036401</v>
      </c>
      <c r="R1729" s="8">
        <v>1036501</v>
      </c>
      <c r="S1729" s="8">
        <v>1036601</v>
      </c>
      <c r="T1729" s="8">
        <v>1036101</v>
      </c>
    </row>
    <row r="1730" spans="1:20">
      <c r="A1730" s="14" t="s">
        <v>14</v>
      </c>
      <c r="B1730" s="8">
        <f t="shared" si="74"/>
        <v>70363103</v>
      </c>
      <c r="C1730" s="2" t="s">
        <v>1803</v>
      </c>
      <c r="E1730" s="2" t="str">
        <f>F1730&amp;(VLOOKUP(G1730,编号表!$E$1:$G$8,2,0))&amp;H1730&amp;"_"&amp;I1730&amp;"_"&amp;J1730</f>
        <v>36N3_1_3</v>
      </c>
      <c r="F1730" s="2">
        <v>36</v>
      </c>
      <c r="G1730" s="2" t="s">
        <v>37</v>
      </c>
      <c r="H1730" s="2">
        <v>3</v>
      </c>
      <c r="I1730" s="2">
        <v>1</v>
      </c>
      <c r="J1730" s="2">
        <f>COUNTIFS($F$13:F1730,F1730,$I$13:I1730,I1730)</f>
        <v>3</v>
      </c>
      <c r="O1730" s="8">
        <v>1036201</v>
      </c>
      <c r="P1730" s="8">
        <v>1036301</v>
      </c>
      <c r="Q1730" s="8">
        <v>1036401</v>
      </c>
      <c r="R1730" s="8">
        <v>1036501</v>
      </c>
      <c r="S1730" s="8">
        <v>1036601</v>
      </c>
    </row>
    <row r="1731" spans="1:20">
      <c r="A1731" s="14" t="s">
        <v>14</v>
      </c>
      <c r="B1731" s="8">
        <f t="shared" si="74"/>
        <v>70364104</v>
      </c>
      <c r="C1731" s="2" t="s">
        <v>1804</v>
      </c>
      <c r="E1731" s="2" t="str">
        <f>F1731&amp;(VLOOKUP(G1731,编号表!$E$1:$G$8,2,0))&amp;H1731&amp;"_"&amp;I1731&amp;"_"&amp;J1731</f>
        <v>36N4_1_4</v>
      </c>
      <c r="F1731" s="2">
        <v>36</v>
      </c>
      <c r="G1731" s="2" t="s">
        <v>37</v>
      </c>
      <c r="H1731" s="2">
        <v>4</v>
      </c>
      <c r="I1731" s="2">
        <v>1</v>
      </c>
      <c r="J1731" s="2">
        <f>COUNTIFS($F$13:F1731,F1731,$I$13:I1731,I1731)</f>
        <v>4</v>
      </c>
      <c r="O1731" s="8">
        <v>1036201</v>
      </c>
      <c r="P1731" s="8">
        <v>1036301</v>
      </c>
      <c r="Q1731" s="8">
        <v>1036401</v>
      </c>
      <c r="R1731" s="8">
        <v>1036501</v>
      </c>
      <c r="S1731" s="8">
        <v>1036601</v>
      </c>
    </row>
    <row r="1732" spans="1:20">
      <c r="A1732" s="14" t="s">
        <v>14</v>
      </c>
      <c r="B1732" s="8">
        <f t="shared" si="74"/>
        <v>70364105</v>
      </c>
      <c r="C1732" s="2" t="s">
        <v>1805</v>
      </c>
      <c r="E1732" s="2" t="str">
        <f>F1732&amp;(VLOOKUP(G1732,编号表!$E$1:$G$8,2,0))&amp;H1732&amp;"_"&amp;I1732&amp;"_"&amp;J1732</f>
        <v>36N4_1_5</v>
      </c>
      <c r="F1732" s="2">
        <v>36</v>
      </c>
      <c r="G1732" s="2" t="s">
        <v>37</v>
      </c>
      <c r="H1732" s="2">
        <v>4</v>
      </c>
      <c r="I1732" s="2">
        <v>1</v>
      </c>
      <c r="J1732" s="2">
        <f>COUNTIFS($F$13:F1732,F1732,$I$13:I1732,I1732)</f>
        <v>5</v>
      </c>
      <c r="O1732" s="8">
        <v>1036201</v>
      </c>
      <c r="P1732" s="8">
        <v>1036301</v>
      </c>
      <c r="Q1732" s="8">
        <v>1036401</v>
      </c>
      <c r="R1732" s="8">
        <v>1036501</v>
      </c>
      <c r="S1732" s="8">
        <v>1036601</v>
      </c>
    </row>
    <row r="1733" spans="1:20">
      <c r="A1733" s="14" t="s">
        <v>14</v>
      </c>
      <c r="B1733" s="8">
        <f t="shared" si="74"/>
        <v>70364106</v>
      </c>
      <c r="C1733" s="2" t="s">
        <v>1806</v>
      </c>
      <c r="E1733" s="2" t="str">
        <f>F1733&amp;(VLOOKUP(G1733,编号表!$E$1:$G$8,2,0))&amp;H1733&amp;"_"&amp;I1733&amp;"_"&amp;J1733</f>
        <v>36N4_1_6</v>
      </c>
      <c r="F1733" s="2">
        <v>36</v>
      </c>
      <c r="G1733" s="2" t="s">
        <v>37</v>
      </c>
      <c r="H1733" s="2">
        <v>4</v>
      </c>
      <c r="I1733" s="2">
        <v>1</v>
      </c>
      <c r="J1733" s="2">
        <f>COUNTIFS($F$13:F1733,F1733,$I$13:I1733,I1733)</f>
        <v>6</v>
      </c>
      <c r="O1733" s="8">
        <v>1036201</v>
      </c>
      <c r="P1733" s="8">
        <v>1036301</v>
      </c>
      <c r="Q1733" s="8">
        <v>1036401</v>
      </c>
      <c r="R1733" s="8">
        <v>1036501</v>
      </c>
      <c r="S1733" s="8">
        <v>1036601</v>
      </c>
    </row>
    <row r="1734" spans="1:20">
      <c r="A1734" s="14" t="s">
        <v>14</v>
      </c>
      <c r="B1734" s="8">
        <f t="shared" si="74"/>
        <v>70363107</v>
      </c>
      <c r="C1734" s="16" t="s">
        <v>1798</v>
      </c>
      <c r="D1734" s="2" t="s">
        <v>1807</v>
      </c>
      <c r="E1734" s="2" t="str">
        <f>F1734&amp;(VLOOKUP(G1734,编号表!$E$1:$G$8,2,0))&amp;H1734&amp;"_"&amp;I1734&amp;"_"&amp;J1734</f>
        <v>36T3_1_7</v>
      </c>
      <c r="F1734" s="2">
        <v>36</v>
      </c>
      <c r="G1734" s="2" t="s">
        <v>53</v>
      </c>
      <c r="H1734" s="2">
        <v>3</v>
      </c>
      <c r="I1734" s="2">
        <v>1</v>
      </c>
      <c r="J1734" s="2">
        <f>COUNTIFS($F$13:F1734,F1734,$I$13:I1734,I1734)</f>
        <v>7</v>
      </c>
      <c r="M1734" s="2">
        <v>174</v>
      </c>
    </row>
    <row r="1735" spans="1:20">
      <c r="A1735" s="14" t="s">
        <v>14</v>
      </c>
      <c r="B1735" s="8">
        <f t="shared" si="74"/>
        <v>70361108</v>
      </c>
      <c r="C1735" s="15" t="s">
        <v>1808</v>
      </c>
      <c r="E1735" s="2" t="str">
        <f>F1735&amp;(VLOOKUP(G1735,编号表!$E$1:$G$8,2,0))&amp;H1735&amp;"_"&amp;I1735&amp;"_"&amp;J1735</f>
        <v>36T1_1_8</v>
      </c>
      <c r="F1735" s="2">
        <v>36</v>
      </c>
      <c r="G1735" s="2" t="s">
        <v>53</v>
      </c>
      <c r="H1735" s="2">
        <v>1</v>
      </c>
      <c r="I1735" s="2">
        <v>1</v>
      </c>
      <c r="J1735" s="2">
        <f>COUNTIFS($F$13:F1735,F1735,$I$13:I1735,I1735)</f>
        <v>8</v>
      </c>
    </row>
    <row r="1736" spans="1:20">
      <c r="A1736" s="14" t="s">
        <v>14</v>
      </c>
      <c r="B1736" s="8">
        <f t="shared" si="74"/>
        <v>70362201</v>
      </c>
      <c r="C1736" s="2" t="s">
        <v>1809</v>
      </c>
      <c r="E1736" s="2" t="str">
        <f>F1736&amp;(VLOOKUP(G1736,编号表!$E$1:$G$8,2,0))&amp;H1736&amp;"_"&amp;I1736&amp;"_"&amp;J1736</f>
        <v>36N2_2_1</v>
      </c>
      <c r="F1736" s="2">
        <v>36</v>
      </c>
      <c r="G1736" s="2" t="s">
        <v>37</v>
      </c>
      <c r="H1736" s="2">
        <v>2</v>
      </c>
      <c r="I1736" s="2">
        <v>2</v>
      </c>
      <c r="J1736" s="2">
        <f>COUNTIFS($F$13:F1736,F1736,$I$13:I1736,I1736)</f>
        <v>1</v>
      </c>
      <c r="O1736" s="8">
        <v>1036201</v>
      </c>
      <c r="P1736" s="8">
        <v>1036301</v>
      </c>
      <c r="Q1736" s="8">
        <v>1036401</v>
      </c>
      <c r="R1736" s="8">
        <v>1036501</v>
      </c>
      <c r="S1736" s="8">
        <v>1036601</v>
      </c>
    </row>
    <row r="1737" spans="1:20">
      <c r="A1737" s="14" t="s">
        <v>14</v>
      </c>
      <c r="B1737" s="8">
        <f t="shared" si="74"/>
        <v>70363202</v>
      </c>
      <c r="C1737" s="2" t="s">
        <v>1810</v>
      </c>
      <c r="E1737" s="2" t="str">
        <f>F1737&amp;(VLOOKUP(G1737,编号表!$E$1:$G$8,2,0))&amp;H1737&amp;"_"&amp;I1737&amp;"_"&amp;J1737</f>
        <v>36N3_2_2</v>
      </c>
      <c r="F1737" s="2">
        <v>36</v>
      </c>
      <c r="G1737" s="2" t="s">
        <v>37</v>
      </c>
      <c r="H1737" s="2">
        <v>3</v>
      </c>
      <c r="I1737" s="2">
        <v>2</v>
      </c>
      <c r="J1737" s="2">
        <f>COUNTIFS($F$13:F1737,F1737,$I$13:I1737,I1737)</f>
        <v>2</v>
      </c>
      <c r="O1737" s="8">
        <v>1036201</v>
      </c>
      <c r="P1737" s="8">
        <v>1036301</v>
      </c>
      <c r="Q1737" s="8">
        <v>1036401</v>
      </c>
      <c r="R1737" s="8">
        <v>1036501</v>
      </c>
      <c r="S1737" s="8">
        <v>1036601</v>
      </c>
    </row>
    <row r="1738" spans="1:20">
      <c r="A1738" s="14" t="s">
        <v>14</v>
      </c>
      <c r="B1738" s="8">
        <f t="shared" si="74"/>
        <v>70365203</v>
      </c>
      <c r="C1738" s="2" t="s">
        <v>1811</v>
      </c>
      <c r="E1738" s="2" t="str">
        <f>F1738&amp;(VLOOKUP(G1738,编号表!$E$1:$G$8,2,0))&amp;H1738&amp;"_"&amp;I1738&amp;"_"&amp;J1738</f>
        <v>36N5_2_3</v>
      </c>
      <c r="F1738" s="2">
        <v>36</v>
      </c>
      <c r="G1738" s="2" t="s">
        <v>37</v>
      </c>
      <c r="H1738" s="2">
        <v>5</v>
      </c>
      <c r="I1738" s="2">
        <v>2</v>
      </c>
      <c r="J1738" s="2">
        <f>COUNTIFS($F$13:F1738,F1738,$I$13:I1738,I1738)</f>
        <v>3</v>
      </c>
      <c r="O1738" s="8">
        <v>1036201</v>
      </c>
      <c r="P1738" s="8">
        <v>1036301</v>
      </c>
      <c r="Q1738" s="8">
        <v>1036401</v>
      </c>
      <c r="R1738" s="8">
        <v>1036501</v>
      </c>
      <c r="S1738" s="8">
        <v>1036601</v>
      </c>
    </row>
    <row r="1739" spans="1:20">
      <c r="A1739" s="14" t="s">
        <v>14</v>
      </c>
      <c r="B1739" s="8">
        <f t="shared" ref="B1739:B1802" si="80">70000000+F1739*10000+H1739*1000+I1739*100+J1739</f>
        <v>70364204</v>
      </c>
      <c r="C1739" s="2" t="s">
        <v>1812</v>
      </c>
      <c r="E1739" s="2" t="str">
        <f>F1739&amp;(VLOOKUP(G1739,编号表!$E$1:$G$8,2,0))&amp;H1739&amp;"_"&amp;I1739&amp;"_"&amp;J1739</f>
        <v>36N4_2_4</v>
      </c>
      <c r="F1739" s="2">
        <v>36</v>
      </c>
      <c r="G1739" s="2" t="s">
        <v>37</v>
      </c>
      <c r="H1739" s="2">
        <v>4</v>
      </c>
      <c r="I1739" s="2">
        <v>2</v>
      </c>
      <c r="J1739" s="2">
        <f>COUNTIFS($F$13:F1739,F1739,$I$13:I1739,I1739)</f>
        <v>4</v>
      </c>
      <c r="O1739" s="8">
        <v>1036201</v>
      </c>
      <c r="P1739" s="8">
        <v>1036301</v>
      </c>
      <c r="Q1739" s="8">
        <v>1036401</v>
      </c>
      <c r="R1739" s="8">
        <v>1036501</v>
      </c>
      <c r="S1739" s="8">
        <v>1036601</v>
      </c>
    </row>
    <row r="1740" spans="1:20">
      <c r="A1740" s="14" t="s">
        <v>14</v>
      </c>
      <c r="B1740" s="8">
        <f t="shared" si="80"/>
        <v>70364205</v>
      </c>
      <c r="C1740" s="2" t="s">
        <v>1813</v>
      </c>
      <c r="E1740" s="2" t="str">
        <f>F1740&amp;(VLOOKUP(G1740,编号表!$E$1:$G$8,2,0))&amp;H1740&amp;"_"&amp;I1740&amp;"_"&amp;J1740</f>
        <v>36N4_2_5</v>
      </c>
      <c r="F1740" s="2">
        <v>36</v>
      </c>
      <c r="G1740" s="2" t="s">
        <v>37</v>
      </c>
      <c r="H1740" s="2">
        <v>4</v>
      </c>
      <c r="I1740" s="2">
        <v>2</v>
      </c>
      <c r="J1740" s="2">
        <f>COUNTIFS($F$13:F1740,F1740,$I$13:I1740,I1740)</f>
        <v>5</v>
      </c>
      <c r="O1740" s="8">
        <v>1036201</v>
      </c>
      <c r="P1740" s="8">
        <v>1036301</v>
      </c>
      <c r="Q1740" s="8">
        <v>1036401</v>
      </c>
      <c r="R1740" s="8">
        <v>1036501</v>
      </c>
      <c r="S1740" s="8">
        <v>1036601</v>
      </c>
    </row>
    <row r="1741" spans="1:20">
      <c r="A1741" s="14" t="s">
        <v>14</v>
      </c>
      <c r="B1741" s="8">
        <f t="shared" si="80"/>
        <v>70363301</v>
      </c>
      <c r="C1741" s="2" t="s">
        <v>1814</v>
      </c>
      <c r="E1741" s="2" t="str">
        <f>F1741&amp;(VLOOKUP(G1741,编号表!$E$1:$G$8,2,0))&amp;H1741&amp;"_"&amp;I1741&amp;"_"&amp;J1741</f>
        <v>36N3_3_1</v>
      </c>
      <c r="F1741" s="2">
        <v>36</v>
      </c>
      <c r="G1741" s="2" t="s">
        <v>37</v>
      </c>
      <c r="H1741" s="2">
        <v>3</v>
      </c>
      <c r="I1741" s="2">
        <v>3</v>
      </c>
      <c r="J1741" s="2">
        <f>COUNTIFS($F$13:F1741,F1741,$I$13:I1741,I1741)</f>
        <v>1</v>
      </c>
      <c r="O1741" s="8">
        <v>1036201</v>
      </c>
      <c r="P1741" s="8">
        <v>1036301</v>
      </c>
      <c r="Q1741" s="8">
        <v>1036401</v>
      </c>
      <c r="R1741" s="8">
        <v>1036501</v>
      </c>
      <c r="S1741" s="8">
        <v>1036601</v>
      </c>
    </row>
    <row r="1742" spans="1:20">
      <c r="A1742" s="14" t="s">
        <v>14</v>
      </c>
      <c r="B1742" s="8">
        <f t="shared" si="80"/>
        <v>70363302</v>
      </c>
      <c r="C1742" s="2" t="s">
        <v>1815</v>
      </c>
      <c r="E1742" s="2" t="str">
        <f>F1742&amp;(VLOOKUP(G1742,编号表!$E$1:$G$8,2,0))&amp;H1742&amp;"_"&amp;I1742&amp;"_"&amp;J1742</f>
        <v>36N3_3_2</v>
      </c>
      <c r="F1742" s="2">
        <v>36</v>
      </c>
      <c r="G1742" s="2" t="s">
        <v>37</v>
      </c>
      <c r="H1742" s="2">
        <v>3</v>
      </c>
      <c r="I1742" s="2">
        <v>3</v>
      </c>
      <c r="J1742" s="2">
        <f>COUNTIFS($F$13:F1742,F1742,$I$13:I1742,I1742)</f>
        <v>2</v>
      </c>
      <c r="O1742" s="8">
        <v>1036201</v>
      </c>
      <c r="P1742" s="8">
        <v>1036301</v>
      </c>
      <c r="Q1742" s="8">
        <v>1036401</v>
      </c>
      <c r="R1742" s="8">
        <v>1036501</v>
      </c>
      <c r="S1742" s="8">
        <v>1036601</v>
      </c>
    </row>
    <row r="1743" spans="1:20">
      <c r="A1743" s="14" t="s">
        <v>14</v>
      </c>
      <c r="B1743" s="8">
        <f t="shared" si="80"/>
        <v>70363303</v>
      </c>
      <c r="C1743" s="2" t="s">
        <v>1816</v>
      </c>
      <c r="E1743" s="2" t="str">
        <f>F1743&amp;(VLOOKUP(G1743,编号表!$E$1:$G$8,2,0))&amp;H1743&amp;"_"&amp;I1743&amp;"_"&amp;J1743</f>
        <v>36N3_3_3</v>
      </c>
      <c r="F1743" s="2">
        <v>36</v>
      </c>
      <c r="G1743" s="2" t="s">
        <v>37</v>
      </c>
      <c r="H1743" s="2">
        <v>3</v>
      </c>
      <c r="I1743" s="2">
        <v>3</v>
      </c>
      <c r="J1743" s="2">
        <f>COUNTIFS($F$13:F1743,F1743,$I$13:I1743,I1743)</f>
        <v>3</v>
      </c>
      <c r="O1743" s="8">
        <v>1036201</v>
      </c>
      <c r="P1743" s="8">
        <v>1036301</v>
      </c>
      <c r="Q1743" s="8">
        <v>1036401</v>
      </c>
      <c r="R1743" s="8">
        <v>1036501</v>
      </c>
      <c r="S1743" s="8">
        <v>1036601</v>
      </c>
    </row>
    <row r="1744" spans="1:20">
      <c r="A1744" s="14" t="s">
        <v>14</v>
      </c>
      <c r="B1744" s="8">
        <f t="shared" si="80"/>
        <v>70364304</v>
      </c>
      <c r="C1744" s="2" t="s">
        <v>1817</v>
      </c>
      <c r="E1744" s="2" t="str">
        <f>F1744&amp;(VLOOKUP(G1744,编号表!$E$1:$G$8,2,0))&amp;H1744&amp;"_"&amp;I1744&amp;"_"&amp;J1744</f>
        <v>36N4_3_4</v>
      </c>
      <c r="F1744" s="2">
        <v>36</v>
      </c>
      <c r="G1744" s="2" t="s">
        <v>37</v>
      </c>
      <c r="H1744" s="2">
        <v>4</v>
      </c>
      <c r="I1744" s="2">
        <v>3</v>
      </c>
      <c r="J1744" s="2">
        <f>COUNTIFS($F$13:F1744,F1744,$I$13:I1744,I1744)</f>
        <v>4</v>
      </c>
      <c r="O1744" s="8">
        <v>1036201</v>
      </c>
      <c r="P1744" s="8">
        <v>1036301</v>
      </c>
      <c r="Q1744" s="8">
        <v>1036401</v>
      </c>
      <c r="R1744" s="8">
        <v>1036501</v>
      </c>
      <c r="S1744" s="8">
        <v>1036601</v>
      </c>
    </row>
    <row r="1745" spans="1:19">
      <c r="A1745" s="14" t="s">
        <v>14</v>
      </c>
      <c r="B1745" s="8">
        <f t="shared" si="80"/>
        <v>70363305</v>
      </c>
      <c r="C1745" s="2" t="s">
        <v>1818</v>
      </c>
      <c r="E1745" s="2" t="str">
        <f>F1745&amp;(VLOOKUP(G1745,编号表!$E$1:$G$8,2,0))&amp;H1745&amp;"_"&amp;I1745&amp;"_"&amp;J1745</f>
        <v>36N3_3_5</v>
      </c>
      <c r="F1745" s="2">
        <v>36</v>
      </c>
      <c r="G1745" s="2" t="s">
        <v>37</v>
      </c>
      <c r="H1745" s="2">
        <v>3</v>
      </c>
      <c r="I1745" s="2">
        <v>3</v>
      </c>
      <c r="J1745" s="2">
        <f>COUNTIFS($F$13:F1745,F1745,$I$13:I1745,I1745)</f>
        <v>5</v>
      </c>
      <c r="O1745" s="8">
        <v>1036201</v>
      </c>
      <c r="P1745" s="8">
        <v>1036301</v>
      </c>
      <c r="Q1745" s="8">
        <v>1036401</v>
      </c>
      <c r="R1745" s="8">
        <v>1036501</v>
      </c>
      <c r="S1745" s="8">
        <v>1036601</v>
      </c>
    </row>
    <row r="1746" spans="1:19">
      <c r="A1746" s="14" t="s">
        <v>14</v>
      </c>
      <c r="B1746" s="8">
        <f t="shared" si="80"/>
        <v>70362306</v>
      </c>
      <c r="C1746" s="2" t="s">
        <v>1819</v>
      </c>
      <c r="E1746" s="2" t="str">
        <f>F1746&amp;(VLOOKUP(G1746,编号表!$E$1:$G$8,2,0))&amp;H1746&amp;"_"&amp;I1746&amp;"_"&amp;J1746</f>
        <v>36N2_3_6</v>
      </c>
      <c r="F1746" s="2">
        <v>36</v>
      </c>
      <c r="G1746" s="2" t="s">
        <v>37</v>
      </c>
      <c r="H1746" s="2">
        <v>2</v>
      </c>
      <c r="I1746" s="2">
        <v>3</v>
      </c>
      <c r="J1746" s="2">
        <f>COUNTIFS($F$13:F1746,F1746,$I$13:I1746,I1746)</f>
        <v>6</v>
      </c>
      <c r="O1746" s="8">
        <v>1036201</v>
      </c>
      <c r="P1746" s="8">
        <v>1036301</v>
      </c>
      <c r="Q1746" s="8">
        <v>1036401</v>
      </c>
      <c r="R1746" s="8">
        <v>1036501</v>
      </c>
      <c r="S1746" s="8">
        <v>1036601</v>
      </c>
    </row>
    <row r="1747" spans="1:19">
      <c r="A1747" s="14" t="s">
        <v>14</v>
      </c>
      <c r="B1747" s="8">
        <f t="shared" si="80"/>
        <v>70363307</v>
      </c>
      <c r="C1747" s="2" t="s">
        <v>1820</v>
      </c>
      <c r="E1747" s="2" t="str">
        <f>F1747&amp;(VLOOKUP(G1747,编号表!$E$1:$G$8,2,0))&amp;H1747&amp;"_"&amp;I1747&amp;"_"&amp;J1747</f>
        <v>36N3_3_7</v>
      </c>
      <c r="F1747" s="2">
        <v>36</v>
      </c>
      <c r="G1747" s="2" t="s">
        <v>37</v>
      </c>
      <c r="H1747" s="2">
        <v>3</v>
      </c>
      <c r="I1747" s="2">
        <v>3</v>
      </c>
      <c r="J1747" s="2">
        <f>COUNTIFS($F$13:F1747,F1747,$I$13:I1747,I1747)</f>
        <v>7</v>
      </c>
      <c r="O1747" s="8">
        <v>1036201</v>
      </c>
      <c r="P1747" s="8">
        <v>1036301</v>
      </c>
      <c r="Q1747" s="8">
        <v>1036401</v>
      </c>
      <c r="R1747" s="8">
        <v>1036501</v>
      </c>
      <c r="S1747" s="8">
        <v>1036601</v>
      </c>
    </row>
    <row r="1748" spans="1:19">
      <c r="A1748" s="14" t="s">
        <v>14</v>
      </c>
      <c r="B1748" s="8">
        <f t="shared" si="80"/>
        <v>70364308</v>
      </c>
      <c r="C1748" s="2" t="s">
        <v>1821</v>
      </c>
      <c r="E1748" s="2" t="str">
        <f>F1748&amp;(VLOOKUP(G1748,编号表!$E$1:$G$8,2,0))&amp;H1748&amp;"_"&amp;I1748&amp;"_"&amp;J1748</f>
        <v>36N4_3_8</v>
      </c>
      <c r="F1748" s="2">
        <v>36</v>
      </c>
      <c r="G1748" s="2" t="s">
        <v>37</v>
      </c>
      <c r="H1748" s="2">
        <v>4</v>
      </c>
      <c r="I1748" s="2">
        <v>3</v>
      </c>
      <c r="J1748" s="2">
        <f>COUNTIFS($F$13:F1748,F1748,$I$13:I1748,I1748)</f>
        <v>8</v>
      </c>
      <c r="O1748" s="8">
        <v>1036201</v>
      </c>
      <c r="P1748" s="8">
        <v>1036301</v>
      </c>
      <c r="Q1748" s="8">
        <v>1036401</v>
      </c>
      <c r="R1748" s="8">
        <v>1036501</v>
      </c>
      <c r="S1748" s="8">
        <v>1036601</v>
      </c>
    </row>
    <row r="1749" spans="1:19">
      <c r="A1749" s="14" t="s">
        <v>14</v>
      </c>
      <c r="B1749" s="8">
        <f t="shared" si="80"/>
        <v>70363401</v>
      </c>
      <c r="C1749" s="2" t="s">
        <v>1822</v>
      </c>
      <c r="E1749" s="2" t="str">
        <f>F1749&amp;(VLOOKUP(G1749,编号表!$E$1:$G$8,2,0))&amp;H1749&amp;"_"&amp;I1749&amp;"_"&amp;J1749</f>
        <v>36N3_4_1</v>
      </c>
      <c r="F1749" s="2">
        <v>36</v>
      </c>
      <c r="G1749" s="2" t="s">
        <v>37</v>
      </c>
      <c r="H1749" s="2">
        <v>3</v>
      </c>
      <c r="I1749" s="2">
        <v>4</v>
      </c>
      <c r="J1749" s="2">
        <f>COUNTIFS($F$13:F1749,F1749,$I$13:I1749,I1749)</f>
        <v>1</v>
      </c>
      <c r="O1749" s="8">
        <v>1036201</v>
      </c>
      <c r="P1749" s="8">
        <v>1036301</v>
      </c>
      <c r="Q1749" s="8">
        <v>1036401</v>
      </c>
      <c r="R1749" s="8">
        <v>1036501</v>
      </c>
      <c r="S1749" s="8">
        <v>1036601</v>
      </c>
    </row>
    <row r="1750" spans="1:19">
      <c r="A1750" s="14" t="s">
        <v>14</v>
      </c>
      <c r="B1750" s="8">
        <f t="shared" si="80"/>
        <v>70361402</v>
      </c>
      <c r="C1750" s="2" t="s">
        <v>1823</v>
      </c>
      <c r="E1750" s="2" t="str">
        <f>F1750&amp;(VLOOKUP(G1750,编号表!$E$1:$G$8,2,0))&amp;H1750&amp;"_"&amp;I1750&amp;"_"&amp;J1750</f>
        <v>36N1_4_2</v>
      </c>
      <c r="F1750" s="2">
        <v>36</v>
      </c>
      <c r="G1750" s="2" t="s">
        <v>37</v>
      </c>
      <c r="H1750" s="2">
        <v>1</v>
      </c>
      <c r="I1750" s="2">
        <v>4</v>
      </c>
      <c r="J1750" s="2">
        <f>COUNTIFS($F$13:F1750,F1750,$I$13:I1750,I1750)</f>
        <v>2</v>
      </c>
      <c r="O1750" s="8">
        <v>1036201</v>
      </c>
      <c r="P1750" s="8">
        <v>1036301</v>
      </c>
      <c r="Q1750" s="8">
        <v>1036401</v>
      </c>
      <c r="R1750" s="8">
        <v>1036501</v>
      </c>
      <c r="S1750" s="8">
        <v>1036601</v>
      </c>
    </row>
    <row r="1751" spans="1:19">
      <c r="A1751" s="14" t="s">
        <v>14</v>
      </c>
      <c r="B1751" s="8">
        <f t="shared" si="80"/>
        <v>70364403</v>
      </c>
      <c r="C1751" s="2" t="s">
        <v>1824</v>
      </c>
      <c r="E1751" s="2" t="str">
        <f>F1751&amp;(VLOOKUP(G1751,编号表!$E$1:$G$8,2,0))&amp;H1751&amp;"_"&amp;I1751&amp;"_"&amp;J1751</f>
        <v>36N4_4_3</v>
      </c>
      <c r="F1751" s="2">
        <v>36</v>
      </c>
      <c r="G1751" s="2" t="s">
        <v>37</v>
      </c>
      <c r="H1751" s="2">
        <v>4</v>
      </c>
      <c r="I1751" s="2">
        <v>4</v>
      </c>
      <c r="J1751" s="2">
        <f>COUNTIFS($F$13:F1751,F1751,$I$13:I1751,I1751)</f>
        <v>3</v>
      </c>
      <c r="O1751" s="8">
        <v>1036201</v>
      </c>
      <c r="P1751" s="8">
        <v>1036301</v>
      </c>
      <c r="Q1751" s="8">
        <v>1036401</v>
      </c>
      <c r="R1751" s="8">
        <v>1036501</v>
      </c>
      <c r="S1751" s="8">
        <v>1036601</v>
      </c>
    </row>
    <row r="1752" spans="1:19">
      <c r="A1752" s="14" t="s">
        <v>14</v>
      </c>
      <c r="B1752" s="8">
        <f t="shared" si="80"/>
        <v>70363404</v>
      </c>
      <c r="C1752" s="2" t="s">
        <v>1825</v>
      </c>
      <c r="E1752" s="2" t="str">
        <f>F1752&amp;(VLOOKUP(G1752,编号表!$E$1:$G$8,2,0))&amp;H1752&amp;"_"&amp;I1752&amp;"_"&amp;J1752</f>
        <v>36N3_4_4</v>
      </c>
      <c r="F1752" s="2">
        <v>36</v>
      </c>
      <c r="G1752" s="2" t="s">
        <v>37</v>
      </c>
      <c r="H1752" s="2">
        <v>3</v>
      </c>
      <c r="I1752" s="2">
        <v>4</v>
      </c>
      <c r="J1752" s="2">
        <f>COUNTIFS($F$13:F1752,F1752,$I$13:I1752,I1752)</f>
        <v>4</v>
      </c>
      <c r="O1752" s="8">
        <v>1036201</v>
      </c>
      <c r="P1752" s="8">
        <v>1036301</v>
      </c>
      <c r="Q1752" s="8">
        <v>1036401</v>
      </c>
      <c r="R1752" s="8">
        <v>1036501</v>
      </c>
      <c r="S1752" s="8">
        <v>1036601</v>
      </c>
    </row>
    <row r="1753" spans="1:19">
      <c r="A1753" s="14" t="s">
        <v>14</v>
      </c>
      <c r="B1753" s="8">
        <f t="shared" si="80"/>
        <v>70364405</v>
      </c>
      <c r="C1753" s="2" t="s">
        <v>1826</v>
      </c>
      <c r="E1753" s="2" t="str">
        <f>F1753&amp;(VLOOKUP(G1753,编号表!$E$1:$G$8,2,0))&amp;H1753&amp;"_"&amp;I1753&amp;"_"&amp;J1753</f>
        <v>36N4_4_5</v>
      </c>
      <c r="F1753" s="2">
        <v>36</v>
      </c>
      <c r="G1753" s="2" t="s">
        <v>37</v>
      </c>
      <c r="H1753" s="2">
        <v>4</v>
      </c>
      <c r="I1753" s="2">
        <v>4</v>
      </c>
      <c r="J1753" s="2">
        <f>COUNTIFS($F$13:F1753,F1753,$I$13:I1753,I1753)</f>
        <v>5</v>
      </c>
      <c r="O1753" s="8">
        <v>1036201</v>
      </c>
      <c r="P1753" s="8">
        <v>1036301</v>
      </c>
      <c r="Q1753" s="8">
        <v>1036401</v>
      </c>
      <c r="R1753" s="8">
        <v>1036501</v>
      </c>
      <c r="S1753" s="8">
        <v>1036601</v>
      </c>
    </row>
    <row r="1754" spans="1:19">
      <c r="A1754" s="14" t="s">
        <v>14</v>
      </c>
      <c r="B1754" s="8">
        <f t="shared" si="80"/>
        <v>70363406</v>
      </c>
      <c r="C1754" s="2" t="s">
        <v>1827</v>
      </c>
      <c r="E1754" s="2" t="str">
        <f>F1754&amp;(VLOOKUP(G1754,编号表!$E$1:$G$8,2,0))&amp;H1754&amp;"_"&amp;I1754&amp;"_"&amp;J1754</f>
        <v>36N3_4_6</v>
      </c>
      <c r="F1754" s="2">
        <v>36</v>
      </c>
      <c r="G1754" s="2" t="s">
        <v>37</v>
      </c>
      <c r="H1754" s="2">
        <v>3</v>
      </c>
      <c r="I1754" s="2">
        <v>4</v>
      </c>
      <c r="J1754" s="2">
        <f>COUNTIFS($F$13:F1754,F1754,$I$13:I1754,I1754)</f>
        <v>6</v>
      </c>
      <c r="O1754" s="8">
        <v>1036201</v>
      </c>
      <c r="P1754" s="8">
        <v>1036301</v>
      </c>
      <c r="Q1754" s="8">
        <v>1036401</v>
      </c>
      <c r="R1754" s="8">
        <v>1036501</v>
      </c>
      <c r="S1754" s="8">
        <v>1036601</v>
      </c>
    </row>
    <row r="1755" spans="1:19">
      <c r="A1755" s="14" t="s">
        <v>14</v>
      </c>
      <c r="B1755" s="8">
        <f t="shared" si="80"/>
        <v>70363407</v>
      </c>
      <c r="C1755" s="2" t="s">
        <v>1828</v>
      </c>
      <c r="E1755" s="2" t="str">
        <f>F1755&amp;(VLOOKUP(G1755,编号表!$E$1:$G$8,2,0))&amp;H1755&amp;"_"&amp;I1755&amp;"_"&amp;J1755</f>
        <v>36N3_4_7</v>
      </c>
      <c r="F1755" s="2">
        <v>36</v>
      </c>
      <c r="G1755" s="2" t="s">
        <v>37</v>
      </c>
      <c r="H1755" s="2">
        <v>3</v>
      </c>
      <c r="I1755" s="2">
        <v>4</v>
      </c>
      <c r="J1755" s="2">
        <f>COUNTIFS($F$13:F1755,F1755,$I$13:I1755,I1755)</f>
        <v>7</v>
      </c>
      <c r="O1755" s="8">
        <v>1036201</v>
      </c>
      <c r="P1755" s="8">
        <v>1036301</v>
      </c>
      <c r="Q1755" s="8">
        <v>1036401</v>
      </c>
      <c r="R1755" s="8">
        <v>1036501</v>
      </c>
      <c r="S1755" s="8">
        <v>1036601</v>
      </c>
    </row>
    <row r="1756" spans="1:19">
      <c r="A1756" s="14" t="s">
        <v>14</v>
      </c>
      <c r="B1756" s="8">
        <f t="shared" si="80"/>
        <v>70365501</v>
      </c>
      <c r="C1756" s="2" t="s">
        <v>1829</v>
      </c>
      <c r="E1756" s="2" t="str">
        <f>F1756&amp;(VLOOKUP(G1756,编号表!$E$1:$G$8,2,0))&amp;H1756&amp;"_"&amp;I1756&amp;"_"&amp;J1756</f>
        <v>36N5_5_1</v>
      </c>
      <c r="F1756" s="2">
        <v>36</v>
      </c>
      <c r="G1756" s="2" t="s">
        <v>37</v>
      </c>
      <c r="H1756" s="2">
        <v>5</v>
      </c>
      <c r="I1756" s="2">
        <v>5</v>
      </c>
      <c r="J1756" s="2">
        <f>COUNTIFS($F$13:F1756,F1756,$I$13:I1756,I1756)</f>
        <v>1</v>
      </c>
      <c r="O1756" s="8">
        <v>1036201</v>
      </c>
      <c r="P1756" s="8">
        <v>1036301</v>
      </c>
      <c r="Q1756" s="8">
        <v>1036401</v>
      </c>
      <c r="R1756" s="8">
        <v>1036501</v>
      </c>
      <c r="S1756" s="8">
        <v>1036601</v>
      </c>
    </row>
    <row r="1757" spans="1:19">
      <c r="A1757" s="14" t="s">
        <v>14</v>
      </c>
      <c r="B1757" s="8">
        <f t="shared" si="80"/>
        <v>70363502</v>
      </c>
      <c r="C1757" s="2" t="s">
        <v>1830</v>
      </c>
      <c r="E1757" s="2" t="str">
        <f>F1757&amp;(VLOOKUP(G1757,编号表!$E$1:$G$8,2,0))&amp;H1757&amp;"_"&amp;I1757&amp;"_"&amp;J1757</f>
        <v>36N3_5_2</v>
      </c>
      <c r="F1757" s="2">
        <v>36</v>
      </c>
      <c r="G1757" s="2" t="s">
        <v>37</v>
      </c>
      <c r="H1757" s="2">
        <v>3</v>
      </c>
      <c r="I1757" s="2">
        <v>5</v>
      </c>
      <c r="J1757" s="2">
        <f>COUNTIFS($F$13:F1757,F1757,$I$13:I1757,I1757)</f>
        <v>2</v>
      </c>
      <c r="O1757" s="8">
        <v>1036201</v>
      </c>
      <c r="P1757" s="8">
        <v>1036301</v>
      </c>
      <c r="Q1757" s="8">
        <v>1036401</v>
      </c>
      <c r="R1757" s="8">
        <v>1036501</v>
      </c>
      <c r="S1757" s="8">
        <v>1036601</v>
      </c>
    </row>
    <row r="1758" spans="1:19">
      <c r="A1758" s="14" t="s">
        <v>14</v>
      </c>
      <c r="B1758" s="8">
        <f t="shared" si="80"/>
        <v>70366503</v>
      </c>
      <c r="C1758" s="2" t="s">
        <v>1831</v>
      </c>
      <c r="E1758" s="2" t="str">
        <f>F1758&amp;(VLOOKUP(G1758,编号表!$E$1:$G$8,2,0))&amp;H1758&amp;"_"&amp;I1758&amp;"_"&amp;J1758</f>
        <v>36N6_5_3</v>
      </c>
      <c r="F1758" s="2">
        <v>36</v>
      </c>
      <c r="G1758" s="2" t="s">
        <v>37</v>
      </c>
      <c r="H1758" s="2">
        <v>6</v>
      </c>
      <c r="I1758" s="2">
        <v>5</v>
      </c>
      <c r="J1758" s="2">
        <f>COUNTIFS($F$13:F1758,F1758,$I$13:I1758,I1758)</f>
        <v>3</v>
      </c>
      <c r="O1758" s="8">
        <v>1036201</v>
      </c>
      <c r="P1758" s="8">
        <v>1036301</v>
      </c>
      <c r="Q1758" s="8">
        <v>1036401</v>
      </c>
      <c r="R1758" s="8">
        <v>1036501</v>
      </c>
      <c r="S1758" s="8">
        <v>1036601</v>
      </c>
    </row>
    <row r="1759" spans="1:19">
      <c r="A1759" s="14" t="s">
        <v>14</v>
      </c>
      <c r="B1759" s="8">
        <f t="shared" si="80"/>
        <v>70364504</v>
      </c>
      <c r="C1759" s="2" t="s">
        <v>1832</v>
      </c>
      <c r="E1759" s="2" t="str">
        <f>F1759&amp;(VLOOKUP(G1759,编号表!$E$1:$G$8,2,0))&amp;H1759&amp;"_"&amp;I1759&amp;"_"&amp;J1759</f>
        <v>36N4_5_4</v>
      </c>
      <c r="F1759" s="2">
        <v>36</v>
      </c>
      <c r="G1759" s="2" t="s">
        <v>37</v>
      </c>
      <c r="H1759" s="2">
        <v>4</v>
      </c>
      <c r="I1759" s="2">
        <v>5</v>
      </c>
      <c r="J1759" s="2">
        <f>COUNTIFS($F$13:F1759,F1759,$I$13:I1759,I1759)</f>
        <v>4</v>
      </c>
      <c r="O1759" s="8">
        <v>1036201</v>
      </c>
      <c r="P1759" s="8">
        <v>1036301</v>
      </c>
      <c r="Q1759" s="8">
        <v>1036401</v>
      </c>
      <c r="R1759" s="8">
        <v>1036501</v>
      </c>
      <c r="S1759" s="8">
        <v>1036601</v>
      </c>
    </row>
    <row r="1760" spans="1:19">
      <c r="A1760" s="14" t="s">
        <v>14</v>
      </c>
      <c r="B1760" s="8">
        <f t="shared" si="80"/>
        <v>70364505</v>
      </c>
      <c r="C1760" s="2" t="s">
        <v>1833</v>
      </c>
      <c r="E1760" s="2" t="str">
        <f>F1760&amp;(VLOOKUP(G1760,编号表!$E$1:$G$8,2,0))&amp;H1760&amp;"_"&amp;I1760&amp;"_"&amp;J1760</f>
        <v>36N4_5_5</v>
      </c>
      <c r="F1760" s="2">
        <v>36</v>
      </c>
      <c r="G1760" s="2" t="s">
        <v>37</v>
      </c>
      <c r="H1760" s="2">
        <v>4</v>
      </c>
      <c r="I1760" s="2">
        <v>5</v>
      </c>
      <c r="J1760" s="2">
        <f>COUNTIFS($F$13:F1760,F1760,$I$13:I1760,I1760)</f>
        <v>5</v>
      </c>
      <c r="O1760" s="8">
        <v>1036201</v>
      </c>
      <c r="P1760" s="8">
        <v>1036301</v>
      </c>
      <c r="Q1760" s="8">
        <v>1036401</v>
      </c>
      <c r="R1760" s="8">
        <v>1036501</v>
      </c>
      <c r="S1760" s="8">
        <v>1036601</v>
      </c>
    </row>
    <row r="1761" spans="1:20">
      <c r="A1761" s="14" t="s">
        <v>14</v>
      </c>
      <c r="B1761" s="8">
        <f t="shared" si="80"/>
        <v>70363506</v>
      </c>
      <c r="C1761" s="2" t="s">
        <v>1834</v>
      </c>
      <c r="E1761" s="2" t="str">
        <f>F1761&amp;(VLOOKUP(G1761,编号表!$E$1:$G$8,2,0))&amp;H1761&amp;"_"&amp;I1761&amp;"_"&amp;J1761</f>
        <v>36N3_5_6</v>
      </c>
      <c r="F1761" s="2">
        <v>36</v>
      </c>
      <c r="G1761" s="2" t="s">
        <v>37</v>
      </c>
      <c r="H1761" s="2">
        <v>3</v>
      </c>
      <c r="I1761" s="2">
        <v>5</v>
      </c>
      <c r="J1761" s="2">
        <f>COUNTIFS($F$13:F1761,F1761,$I$13:I1761,I1761)</f>
        <v>6</v>
      </c>
      <c r="O1761" s="8">
        <v>1036201</v>
      </c>
      <c r="P1761" s="8">
        <v>1036301</v>
      </c>
      <c r="Q1761" s="8">
        <v>1036401</v>
      </c>
      <c r="R1761" s="8">
        <v>1036501</v>
      </c>
      <c r="S1761" s="8">
        <v>1036601</v>
      </c>
    </row>
    <row r="1762" spans="1:20">
      <c r="A1762" s="14" t="s">
        <v>14</v>
      </c>
      <c r="B1762" s="8">
        <f t="shared" si="80"/>
        <v>70364601</v>
      </c>
      <c r="C1762" s="2" t="s">
        <v>1835</v>
      </c>
      <c r="E1762" s="2" t="str">
        <f>F1762&amp;(VLOOKUP(G1762,编号表!$E$1:$G$8,2,0))&amp;H1762&amp;"_"&amp;I1762&amp;"_"&amp;J1762</f>
        <v>36N4_6_1</v>
      </c>
      <c r="F1762" s="2">
        <v>36</v>
      </c>
      <c r="G1762" s="2" t="s">
        <v>37</v>
      </c>
      <c r="H1762" s="2">
        <v>4</v>
      </c>
      <c r="I1762" s="2">
        <v>6</v>
      </c>
      <c r="J1762" s="2">
        <f>COUNTIFS($F$13:F1762,F1762,$I$13:I1762,I1762)</f>
        <v>1</v>
      </c>
      <c r="O1762" s="8">
        <v>1036201</v>
      </c>
      <c r="P1762" s="8">
        <v>1036301</v>
      </c>
      <c r="Q1762" s="8">
        <v>1036401</v>
      </c>
      <c r="R1762" s="8">
        <v>1036501</v>
      </c>
      <c r="S1762" s="8">
        <v>1036601</v>
      </c>
    </row>
    <row r="1763" spans="1:20">
      <c r="A1763" s="14" t="s">
        <v>14</v>
      </c>
      <c r="B1763" s="8">
        <f t="shared" si="80"/>
        <v>70362602</v>
      </c>
      <c r="C1763" s="2" t="s">
        <v>1836</v>
      </c>
      <c r="E1763" s="2" t="str">
        <f>F1763&amp;(VLOOKUP(G1763,编号表!$E$1:$G$8,2,0))&amp;H1763&amp;"_"&amp;I1763&amp;"_"&amp;J1763</f>
        <v>36N2_6_2</v>
      </c>
      <c r="F1763" s="2">
        <v>36</v>
      </c>
      <c r="G1763" s="2" t="s">
        <v>37</v>
      </c>
      <c r="H1763" s="2">
        <v>2</v>
      </c>
      <c r="I1763" s="2">
        <v>6</v>
      </c>
      <c r="J1763" s="2">
        <f>COUNTIFS($F$13:F1763,F1763,$I$13:I1763,I1763)</f>
        <v>2</v>
      </c>
      <c r="O1763" s="8">
        <v>1036201</v>
      </c>
      <c r="P1763" s="8">
        <v>1036301</v>
      </c>
      <c r="Q1763" s="8">
        <v>1036401</v>
      </c>
      <c r="R1763" s="8">
        <v>1036501</v>
      </c>
      <c r="S1763" s="8">
        <v>1036601</v>
      </c>
    </row>
    <row r="1764" spans="1:20">
      <c r="A1764" s="14" t="s">
        <v>14</v>
      </c>
      <c r="B1764" s="8">
        <f t="shared" si="80"/>
        <v>70361603</v>
      </c>
      <c r="C1764" s="15" t="s">
        <v>1774</v>
      </c>
      <c r="E1764" s="2" t="str">
        <f>F1764&amp;(VLOOKUP(G1764,编号表!$E$1:$G$8,2,0))&amp;H1764&amp;"_"&amp;I1764&amp;"_"&amp;J1764</f>
        <v>36T1_6_3</v>
      </c>
      <c r="F1764" s="2">
        <v>36</v>
      </c>
      <c r="G1764" s="2" t="s">
        <v>53</v>
      </c>
      <c r="H1764" s="2">
        <v>1</v>
      </c>
      <c r="I1764" s="2">
        <v>6</v>
      </c>
      <c r="J1764" s="2">
        <f>COUNTIFS($F$13:F1764,F1764,$I$13:I1764,I1764)</f>
        <v>3</v>
      </c>
      <c r="L1764" s="2">
        <v>1</v>
      </c>
    </row>
    <row r="1765" spans="1:20">
      <c r="A1765" s="14" t="s">
        <v>14</v>
      </c>
      <c r="B1765" s="8">
        <f t="shared" si="80"/>
        <v>70363604</v>
      </c>
      <c r="C1765" s="16" t="s">
        <v>1837</v>
      </c>
      <c r="D1765" s="2" t="s">
        <v>1772</v>
      </c>
      <c r="E1765" s="2" t="str">
        <f>F1765&amp;(VLOOKUP(G1765,编号表!$E$1:$G$8,2,0))&amp;H1765&amp;"_"&amp;I1765&amp;"_"&amp;J1765</f>
        <v>36T3_6_4</v>
      </c>
      <c r="F1765" s="2">
        <v>36</v>
      </c>
      <c r="G1765" s="2" t="s">
        <v>53</v>
      </c>
      <c r="H1765" s="2">
        <v>3</v>
      </c>
      <c r="I1765" s="2">
        <v>6</v>
      </c>
      <c r="J1765" s="2">
        <f>COUNTIFS($F$13:F1765,F1765,$I$13:I1765,I1765)</f>
        <v>4</v>
      </c>
      <c r="M1765" s="2">
        <v>173</v>
      </c>
    </row>
    <row r="1766" spans="1:20">
      <c r="A1766" s="14" t="s">
        <v>14</v>
      </c>
      <c r="B1766" s="8">
        <f t="shared" si="80"/>
        <v>70367605</v>
      </c>
      <c r="C1766" s="2" t="s">
        <v>1838</v>
      </c>
      <c r="E1766" s="2" t="str">
        <f>F1766&amp;(VLOOKUP(G1766,编号表!$E$1:$G$8,2,0))&amp;H1766&amp;"_"&amp;I1766&amp;"_"&amp;J1766</f>
        <v>36N7_6_5</v>
      </c>
      <c r="F1766" s="2">
        <v>36</v>
      </c>
      <c r="G1766" s="2" t="s">
        <v>37</v>
      </c>
      <c r="H1766" s="2">
        <v>7</v>
      </c>
      <c r="I1766" s="2">
        <v>6</v>
      </c>
      <c r="J1766" s="2">
        <f>COUNTIFS($F$13:F1766,F1766,$I$13:I1766,I1766)</f>
        <v>5</v>
      </c>
      <c r="O1766" s="8">
        <v>1036201</v>
      </c>
      <c r="P1766" s="8">
        <v>1036301</v>
      </c>
      <c r="Q1766" s="8">
        <v>1036401</v>
      </c>
      <c r="R1766" s="8">
        <v>1036501</v>
      </c>
      <c r="S1766" s="8">
        <v>1036601</v>
      </c>
    </row>
    <row r="1767" spans="1:20">
      <c r="A1767" s="14" t="s">
        <v>14</v>
      </c>
      <c r="B1767" s="8">
        <f t="shared" si="80"/>
        <v>70367606</v>
      </c>
      <c r="C1767" s="2" t="s">
        <v>1839</v>
      </c>
      <c r="E1767" s="2" t="str">
        <f>F1767&amp;(VLOOKUP(G1767,编号表!$E$1:$G$8,2,0))&amp;H1767&amp;"_"&amp;I1767&amp;"_"&amp;J1767</f>
        <v>36N7_6_6</v>
      </c>
      <c r="F1767" s="2">
        <v>36</v>
      </c>
      <c r="G1767" s="2" t="s">
        <v>37</v>
      </c>
      <c r="H1767" s="2">
        <v>7</v>
      </c>
      <c r="I1767" s="2">
        <v>6</v>
      </c>
      <c r="J1767" s="2">
        <f>COUNTIFS($F$13:F1767,F1767,$I$13:I1767,I1767)</f>
        <v>6</v>
      </c>
      <c r="O1767" s="8">
        <v>1036201</v>
      </c>
      <c r="P1767" s="8">
        <v>1036301</v>
      </c>
      <c r="Q1767" s="8">
        <v>1036401</v>
      </c>
      <c r="R1767" s="8">
        <v>1036501</v>
      </c>
      <c r="S1767" s="8">
        <v>1036601</v>
      </c>
    </row>
    <row r="1768" spans="1:20">
      <c r="A1768" s="14" t="s">
        <v>14</v>
      </c>
      <c r="B1768" s="8">
        <f t="shared" si="80"/>
        <v>70366607</v>
      </c>
      <c r="C1768" s="2" t="s">
        <v>1840</v>
      </c>
      <c r="E1768" s="2" t="str">
        <f>F1768&amp;(VLOOKUP(G1768,编号表!$E$1:$G$8,2,0))&amp;H1768&amp;"_"&amp;I1768&amp;"_"&amp;J1768</f>
        <v>36N6_6_7</v>
      </c>
      <c r="F1768" s="2">
        <v>36</v>
      </c>
      <c r="G1768" s="2" t="s">
        <v>37</v>
      </c>
      <c r="H1768" s="2">
        <v>6</v>
      </c>
      <c r="I1768" s="2">
        <v>6</v>
      </c>
      <c r="J1768" s="2">
        <f>COUNTIFS($F$13:F1768,F1768,$I$13:I1768,I1768)</f>
        <v>7</v>
      </c>
      <c r="O1768" s="8">
        <v>1036201</v>
      </c>
      <c r="P1768" s="8">
        <v>1036301</v>
      </c>
      <c r="Q1768" s="8">
        <v>1036401</v>
      </c>
      <c r="R1768" s="8">
        <v>1036501</v>
      </c>
      <c r="S1768" s="8">
        <v>1036601</v>
      </c>
    </row>
    <row r="1769" spans="1:20">
      <c r="A1769" s="14" t="s">
        <v>14</v>
      </c>
      <c r="B1769" s="8">
        <f t="shared" si="80"/>
        <v>70364608</v>
      </c>
      <c r="C1769" s="2" t="s">
        <v>1841</v>
      </c>
      <c r="E1769" s="2" t="str">
        <f>F1769&amp;(VLOOKUP(G1769,编号表!$E$1:$G$8,2,0))&amp;H1769&amp;"_"&amp;I1769&amp;"_"&amp;J1769</f>
        <v>36N4_6_8</v>
      </c>
      <c r="F1769" s="2">
        <v>36</v>
      </c>
      <c r="G1769" s="2" t="s">
        <v>37</v>
      </c>
      <c r="H1769" s="2">
        <v>4</v>
      </c>
      <c r="I1769" s="2">
        <v>6</v>
      </c>
      <c r="J1769" s="2">
        <f>COUNTIFS($F$13:F1769,F1769,$I$13:I1769,I1769)</f>
        <v>8</v>
      </c>
      <c r="O1769" s="8">
        <v>1036201</v>
      </c>
      <c r="P1769" s="8">
        <v>1036301</v>
      </c>
      <c r="Q1769" s="8">
        <v>1036401</v>
      </c>
      <c r="R1769" s="8">
        <v>1036501</v>
      </c>
      <c r="S1769" s="8">
        <v>1036601</v>
      </c>
    </row>
    <row r="1770" spans="1:20">
      <c r="A1770" s="14" t="s">
        <v>14</v>
      </c>
      <c r="B1770" s="8">
        <f t="shared" si="80"/>
        <v>70363609</v>
      </c>
      <c r="C1770" s="2" t="s">
        <v>1842</v>
      </c>
      <c r="E1770" s="2" t="str">
        <f>F1770&amp;(VLOOKUP(G1770,编号表!$E$1:$G$8,2,0))&amp;H1770&amp;"_"&amp;I1770&amp;"_"&amp;J1770</f>
        <v>36N3_6_9</v>
      </c>
      <c r="F1770" s="2">
        <v>36</v>
      </c>
      <c r="G1770" s="2" t="s">
        <v>37</v>
      </c>
      <c r="H1770" s="2">
        <v>3</v>
      </c>
      <c r="I1770" s="2">
        <v>6</v>
      </c>
      <c r="J1770" s="2">
        <f>COUNTIFS($F$13:F1770,F1770,$I$13:I1770,I1770)</f>
        <v>9</v>
      </c>
      <c r="O1770" s="8">
        <v>1036201</v>
      </c>
      <c r="P1770" s="8">
        <v>1036301</v>
      </c>
      <c r="Q1770" s="8">
        <v>1036401</v>
      </c>
      <c r="R1770" s="8">
        <v>1036501</v>
      </c>
      <c r="S1770" s="8">
        <v>1036601</v>
      </c>
    </row>
    <row r="1771" spans="1:20">
      <c r="A1771" s="14" t="s">
        <v>14</v>
      </c>
      <c r="B1771" s="8">
        <f t="shared" si="80"/>
        <v>70360001</v>
      </c>
      <c r="C1771" s="18" t="s">
        <v>1843</v>
      </c>
      <c r="E1771" s="2" t="str">
        <f>F1771&amp;(VLOOKUP(G1771,编号表!$E$1:$G$8,2,0))&amp;H1771&amp;"_"&amp;I1771&amp;"_"&amp;J1771</f>
        <v>36J0_0_1</v>
      </c>
      <c r="F1771" s="2">
        <v>36</v>
      </c>
      <c r="G1771" s="2" t="s">
        <v>86</v>
      </c>
      <c r="H1771" s="2">
        <v>0</v>
      </c>
      <c r="I1771" s="2">
        <v>0</v>
      </c>
      <c r="J1771" s="2">
        <f>COUNTIFS($F$13:F1771,F1771,$I$13:I1771,I1771)</f>
        <v>1</v>
      </c>
      <c r="K1771" s="2">
        <v>1</v>
      </c>
    </row>
    <row r="1772" spans="1:20">
      <c r="A1772" s="14" t="s">
        <v>14</v>
      </c>
      <c r="B1772" s="8">
        <f t="shared" si="80"/>
        <v>70373101</v>
      </c>
      <c r="C1772" s="16" t="s">
        <v>1773</v>
      </c>
      <c r="D1772" s="2" t="s">
        <v>1808</v>
      </c>
      <c r="E1772" s="2" t="str">
        <f>F1772&amp;(VLOOKUP(G1772,编号表!$E$1:$G$8,2,0))&amp;H1772&amp;"_"&amp;I1772&amp;"_"&amp;J1772</f>
        <v>37T3_1_1</v>
      </c>
      <c r="F1772" s="2">
        <v>37</v>
      </c>
      <c r="G1772" s="2" t="s">
        <v>53</v>
      </c>
      <c r="H1772" s="2">
        <v>3</v>
      </c>
      <c r="I1772" s="2">
        <v>1</v>
      </c>
      <c r="J1772" s="2">
        <f>COUNTIFS($F$13:F1772,F1772,$I$13:I1772,I1772)</f>
        <v>1</v>
      </c>
      <c r="M1772" s="2">
        <v>176</v>
      </c>
    </row>
    <row r="1773" spans="1:20">
      <c r="A1773" s="14" t="s">
        <v>14</v>
      </c>
      <c r="B1773" s="8">
        <f t="shared" si="80"/>
        <v>70371102</v>
      </c>
      <c r="C1773" s="15" t="s">
        <v>1807</v>
      </c>
      <c r="E1773" s="2" t="str">
        <f>F1773&amp;(VLOOKUP(G1773,编号表!$E$1:$G$8,2,0))&amp;H1773&amp;"_"&amp;I1773&amp;"_"&amp;J1773</f>
        <v>37T1_1_2</v>
      </c>
      <c r="F1773" s="2">
        <v>37</v>
      </c>
      <c r="G1773" s="2" t="s">
        <v>53</v>
      </c>
      <c r="H1773" s="2">
        <v>1</v>
      </c>
      <c r="I1773" s="2">
        <v>1</v>
      </c>
      <c r="J1773" s="2">
        <f>COUNTIFS($F$13:F1773,F1773,$I$13:I1773,I1773)</f>
        <v>2</v>
      </c>
    </row>
    <row r="1774" spans="1:20">
      <c r="A1774" s="14" t="s">
        <v>14</v>
      </c>
      <c r="B1774" s="8">
        <f t="shared" si="80"/>
        <v>70372103</v>
      </c>
      <c r="C1774" s="2" t="s">
        <v>1844</v>
      </c>
      <c r="E1774" s="2" t="str">
        <f>F1774&amp;(VLOOKUP(G1774,编号表!$E$1:$G$8,2,0))&amp;H1774&amp;"_"&amp;I1774&amp;"_"&amp;J1774</f>
        <v>37N2_1_3</v>
      </c>
      <c r="F1774" s="2">
        <v>37</v>
      </c>
      <c r="G1774" s="2" t="s">
        <v>37</v>
      </c>
      <c r="H1774" s="2">
        <v>2</v>
      </c>
      <c r="I1774" s="2">
        <v>1</v>
      </c>
      <c r="J1774" s="2">
        <f>COUNTIFS($F$13:F1774,F1774,$I$13:I1774,I1774)</f>
        <v>3</v>
      </c>
      <c r="O1774" s="8">
        <v>1037201</v>
      </c>
      <c r="P1774" s="8">
        <v>1037301</v>
      </c>
      <c r="Q1774" s="8">
        <v>1037401</v>
      </c>
      <c r="R1774" s="8">
        <v>1037501</v>
      </c>
      <c r="S1774" s="8">
        <v>1037601</v>
      </c>
      <c r="T1774" s="8">
        <v>1037001</v>
      </c>
    </row>
    <row r="1775" spans="1:20">
      <c r="A1775" s="14" t="s">
        <v>14</v>
      </c>
      <c r="B1775" s="8">
        <f t="shared" si="80"/>
        <v>70373104</v>
      </c>
      <c r="C1775" s="2" t="s">
        <v>1845</v>
      </c>
      <c r="E1775" s="2" t="str">
        <f>F1775&amp;(VLOOKUP(G1775,编号表!$E$1:$G$8,2,0))&amp;H1775&amp;"_"&amp;I1775&amp;"_"&amp;J1775</f>
        <v>37N3_1_4</v>
      </c>
      <c r="F1775" s="2">
        <v>37</v>
      </c>
      <c r="G1775" s="2" t="s">
        <v>37</v>
      </c>
      <c r="H1775" s="2">
        <v>3</v>
      </c>
      <c r="I1775" s="2">
        <v>1</v>
      </c>
      <c r="J1775" s="2">
        <f>COUNTIFS($F$13:F1775,F1775,$I$13:I1775,I1775)</f>
        <v>4</v>
      </c>
      <c r="O1775" s="8">
        <v>1037201</v>
      </c>
      <c r="P1775" s="8">
        <v>1037301</v>
      </c>
      <c r="Q1775" s="8">
        <v>1037401</v>
      </c>
      <c r="R1775" s="8">
        <v>1037501</v>
      </c>
      <c r="S1775" s="8">
        <v>1037601</v>
      </c>
      <c r="T1775" s="8">
        <v>1037101</v>
      </c>
    </row>
    <row r="1776" spans="1:20">
      <c r="A1776" s="14" t="s">
        <v>14</v>
      </c>
      <c r="B1776" s="8">
        <f t="shared" si="80"/>
        <v>70374105</v>
      </c>
      <c r="C1776" s="2" t="s">
        <v>1846</v>
      </c>
      <c r="E1776" s="2" t="str">
        <f>F1776&amp;(VLOOKUP(G1776,编号表!$E$1:$G$8,2,0))&amp;H1776&amp;"_"&amp;I1776&amp;"_"&amp;J1776</f>
        <v>37N4_1_5</v>
      </c>
      <c r="F1776" s="2">
        <v>37</v>
      </c>
      <c r="G1776" s="2" t="s">
        <v>37</v>
      </c>
      <c r="H1776" s="2">
        <v>4</v>
      </c>
      <c r="I1776" s="2">
        <v>1</v>
      </c>
      <c r="J1776" s="2">
        <f>COUNTIFS($F$13:F1776,F1776,$I$13:I1776,I1776)</f>
        <v>5</v>
      </c>
      <c r="O1776" s="8">
        <v>1037201</v>
      </c>
      <c r="P1776" s="8">
        <v>1037301</v>
      </c>
      <c r="Q1776" s="8">
        <v>1037401</v>
      </c>
      <c r="R1776" s="8">
        <v>1037501</v>
      </c>
      <c r="S1776" s="8">
        <v>1037601</v>
      </c>
    </row>
    <row r="1777" spans="1:19">
      <c r="A1777" s="14" t="s">
        <v>14</v>
      </c>
      <c r="B1777" s="8">
        <f t="shared" si="80"/>
        <v>70374201</v>
      </c>
      <c r="C1777" s="2" t="s">
        <v>1847</v>
      </c>
      <c r="E1777" s="2" t="str">
        <f>F1777&amp;(VLOOKUP(G1777,编号表!$E$1:$G$8,2,0))&amp;H1777&amp;"_"&amp;I1777&amp;"_"&amp;J1777</f>
        <v>37N4_2_1</v>
      </c>
      <c r="F1777" s="2">
        <v>37</v>
      </c>
      <c r="G1777" s="2" t="s">
        <v>37</v>
      </c>
      <c r="H1777" s="2">
        <v>4</v>
      </c>
      <c r="I1777" s="2">
        <v>2</v>
      </c>
      <c r="J1777" s="2">
        <f>COUNTIFS($F$13:F1777,F1777,$I$13:I1777,I1777)</f>
        <v>1</v>
      </c>
      <c r="O1777" s="8">
        <v>1037201</v>
      </c>
      <c r="P1777" s="8">
        <v>1037301</v>
      </c>
      <c r="Q1777" s="8">
        <v>1037401</v>
      </c>
      <c r="R1777" s="8">
        <v>1037501</v>
      </c>
      <c r="S1777" s="8">
        <v>1037601</v>
      </c>
    </row>
    <row r="1778" spans="1:19">
      <c r="A1778" s="14" t="s">
        <v>14</v>
      </c>
      <c r="B1778" s="8">
        <f t="shared" si="80"/>
        <v>70374202</v>
      </c>
      <c r="C1778" s="2" t="s">
        <v>1848</v>
      </c>
      <c r="E1778" s="2" t="str">
        <f>F1778&amp;(VLOOKUP(G1778,编号表!$E$1:$G$8,2,0))&amp;H1778&amp;"_"&amp;I1778&amp;"_"&amp;J1778</f>
        <v>37N4_2_2</v>
      </c>
      <c r="F1778" s="2">
        <v>37</v>
      </c>
      <c r="G1778" s="2" t="s">
        <v>37</v>
      </c>
      <c r="H1778" s="2">
        <v>4</v>
      </c>
      <c r="I1778" s="2">
        <v>2</v>
      </c>
      <c r="J1778" s="2">
        <f>COUNTIFS($F$13:F1778,F1778,$I$13:I1778,I1778)</f>
        <v>2</v>
      </c>
      <c r="O1778" s="8">
        <v>1037201</v>
      </c>
      <c r="P1778" s="8">
        <v>1037301</v>
      </c>
      <c r="Q1778" s="8">
        <v>1037401</v>
      </c>
      <c r="R1778" s="8">
        <v>1037501</v>
      </c>
      <c r="S1778" s="8">
        <v>1037601</v>
      </c>
    </row>
    <row r="1779" spans="1:19">
      <c r="A1779" s="14" t="s">
        <v>14</v>
      </c>
      <c r="B1779" s="8">
        <f t="shared" si="80"/>
        <v>70372203</v>
      </c>
      <c r="C1779" s="2" t="s">
        <v>1849</v>
      </c>
      <c r="E1779" s="2" t="str">
        <f>F1779&amp;(VLOOKUP(G1779,编号表!$E$1:$G$8,2,0))&amp;H1779&amp;"_"&amp;I1779&amp;"_"&amp;J1779</f>
        <v>37N2_2_3</v>
      </c>
      <c r="F1779" s="2">
        <v>37</v>
      </c>
      <c r="G1779" s="2" t="s">
        <v>37</v>
      </c>
      <c r="H1779" s="2">
        <v>2</v>
      </c>
      <c r="I1779" s="2">
        <v>2</v>
      </c>
      <c r="J1779" s="2">
        <f>COUNTIFS($F$13:F1779,F1779,$I$13:I1779,I1779)</f>
        <v>3</v>
      </c>
      <c r="O1779" s="8">
        <v>1037201</v>
      </c>
      <c r="P1779" s="8">
        <v>1037301</v>
      </c>
      <c r="Q1779" s="8">
        <v>1037401</v>
      </c>
      <c r="R1779" s="8">
        <v>1037501</v>
      </c>
      <c r="S1779" s="8">
        <v>1037601</v>
      </c>
    </row>
    <row r="1780" spans="1:19">
      <c r="A1780" s="14" t="s">
        <v>14</v>
      </c>
      <c r="B1780" s="8">
        <f t="shared" si="80"/>
        <v>70375204</v>
      </c>
      <c r="C1780" s="2" t="s">
        <v>1850</v>
      </c>
      <c r="E1780" s="2" t="str">
        <f>F1780&amp;(VLOOKUP(G1780,编号表!$E$1:$G$8,2,0))&amp;H1780&amp;"_"&amp;I1780&amp;"_"&amp;J1780</f>
        <v>37N5_2_4</v>
      </c>
      <c r="F1780" s="2">
        <v>37</v>
      </c>
      <c r="G1780" s="2" t="s">
        <v>37</v>
      </c>
      <c r="H1780" s="2">
        <v>5</v>
      </c>
      <c r="I1780" s="2">
        <v>2</v>
      </c>
      <c r="J1780" s="2">
        <f>COUNTIFS($F$13:F1780,F1780,$I$13:I1780,I1780)</f>
        <v>4</v>
      </c>
      <c r="O1780" s="8">
        <v>1037201</v>
      </c>
      <c r="P1780" s="8">
        <v>1037301</v>
      </c>
      <c r="Q1780" s="8">
        <v>1037401</v>
      </c>
      <c r="R1780" s="8">
        <v>1037501</v>
      </c>
      <c r="S1780" s="8">
        <v>1037601</v>
      </c>
    </row>
    <row r="1781" spans="1:19">
      <c r="A1781" s="14" t="s">
        <v>14</v>
      </c>
      <c r="B1781" s="8">
        <f t="shared" si="80"/>
        <v>70373205</v>
      </c>
      <c r="C1781" s="2" t="s">
        <v>1851</v>
      </c>
      <c r="E1781" s="2" t="str">
        <f>F1781&amp;(VLOOKUP(G1781,编号表!$E$1:$G$8,2,0))&amp;H1781&amp;"_"&amp;I1781&amp;"_"&amp;J1781</f>
        <v>37N3_2_5</v>
      </c>
      <c r="F1781" s="2">
        <v>37</v>
      </c>
      <c r="G1781" s="2" t="s">
        <v>37</v>
      </c>
      <c r="H1781" s="2">
        <v>3</v>
      </c>
      <c r="I1781" s="2">
        <v>2</v>
      </c>
      <c r="J1781" s="2">
        <f>COUNTIFS($F$13:F1781,F1781,$I$13:I1781,I1781)</f>
        <v>5</v>
      </c>
      <c r="O1781" s="8">
        <v>1037201</v>
      </c>
      <c r="P1781" s="8">
        <v>1037301</v>
      </c>
      <c r="Q1781" s="8">
        <v>1037401</v>
      </c>
      <c r="R1781" s="8">
        <v>1037501</v>
      </c>
      <c r="S1781" s="8">
        <v>1037601</v>
      </c>
    </row>
    <row r="1782" spans="1:19">
      <c r="A1782" s="14" t="s">
        <v>14</v>
      </c>
      <c r="B1782" s="8">
        <f t="shared" si="80"/>
        <v>70375206</v>
      </c>
      <c r="C1782" s="2" t="s">
        <v>1852</v>
      </c>
      <c r="E1782" s="2" t="str">
        <f>F1782&amp;(VLOOKUP(G1782,编号表!$E$1:$G$8,2,0))&amp;H1782&amp;"_"&amp;I1782&amp;"_"&amp;J1782</f>
        <v>37N5_2_6</v>
      </c>
      <c r="F1782" s="2">
        <v>37</v>
      </c>
      <c r="G1782" s="2" t="s">
        <v>37</v>
      </c>
      <c r="H1782" s="2">
        <v>5</v>
      </c>
      <c r="I1782" s="2">
        <v>2</v>
      </c>
      <c r="J1782" s="2">
        <f>COUNTIFS($F$13:F1782,F1782,$I$13:I1782,I1782)</f>
        <v>6</v>
      </c>
      <c r="O1782" s="8">
        <v>1037201</v>
      </c>
      <c r="P1782" s="8">
        <v>1037301</v>
      </c>
      <c r="Q1782" s="8">
        <v>1037401</v>
      </c>
      <c r="R1782" s="8">
        <v>1037501</v>
      </c>
      <c r="S1782" s="8">
        <v>1037601</v>
      </c>
    </row>
    <row r="1783" spans="1:19">
      <c r="A1783" s="14" t="s">
        <v>14</v>
      </c>
      <c r="B1783" s="8">
        <f t="shared" si="80"/>
        <v>70375207</v>
      </c>
      <c r="C1783" s="2" t="s">
        <v>1853</v>
      </c>
      <c r="E1783" s="2" t="str">
        <f>F1783&amp;(VLOOKUP(G1783,编号表!$E$1:$G$8,2,0))&amp;H1783&amp;"_"&amp;I1783&amp;"_"&amp;J1783</f>
        <v>37N5_2_7</v>
      </c>
      <c r="F1783" s="2">
        <v>37</v>
      </c>
      <c r="G1783" s="2" t="s">
        <v>37</v>
      </c>
      <c r="H1783" s="2">
        <v>5</v>
      </c>
      <c r="I1783" s="2">
        <v>2</v>
      </c>
      <c r="J1783" s="2">
        <f>COUNTIFS($F$13:F1783,F1783,$I$13:I1783,I1783)</f>
        <v>7</v>
      </c>
      <c r="O1783" s="8">
        <v>1037201</v>
      </c>
      <c r="P1783" s="8">
        <v>1037301</v>
      </c>
      <c r="Q1783" s="8">
        <v>1037401</v>
      </c>
      <c r="R1783" s="8">
        <v>1037501</v>
      </c>
      <c r="S1783" s="8">
        <v>1037601</v>
      </c>
    </row>
    <row r="1784" spans="1:19">
      <c r="A1784" s="14" t="s">
        <v>14</v>
      </c>
      <c r="B1784" s="8">
        <f t="shared" si="80"/>
        <v>70373208</v>
      </c>
      <c r="C1784" s="2" t="s">
        <v>1854</v>
      </c>
      <c r="E1784" s="2" t="str">
        <f>F1784&amp;(VLOOKUP(G1784,编号表!$E$1:$G$8,2,0))&amp;H1784&amp;"_"&amp;I1784&amp;"_"&amp;J1784</f>
        <v>37N3_2_8</v>
      </c>
      <c r="F1784" s="2">
        <v>37</v>
      </c>
      <c r="G1784" s="2" t="s">
        <v>37</v>
      </c>
      <c r="H1784" s="2">
        <v>3</v>
      </c>
      <c r="I1784" s="2">
        <v>2</v>
      </c>
      <c r="J1784" s="2">
        <f>COUNTIFS($F$13:F1784,F1784,$I$13:I1784,I1784)</f>
        <v>8</v>
      </c>
      <c r="O1784" s="8">
        <v>1037201</v>
      </c>
      <c r="P1784" s="8">
        <v>1037301</v>
      </c>
      <c r="Q1784" s="8">
        <v>1037401</v>
      </c>
      <c r="R1784" s="8">
        <v>1037501</v>
      </c>
      <c r="S1784" s="8">
        <v>1037601</v>
      </c>
    </row>
    <row r="1785" spans="1:19">
      <c r="A1785" s="14" t="s">
        <v>14</v>
      </c>
      <c r="B1785" s="8">
        <f t="shared" si="80"/>
        <v>70374301</v>
      </c>
      <c r="C1785" s="2" t="s">
        <v>1855</v>
      </c>
      <c r="E1785" s="2" t="str">
        <f>F1785&amp;(VLOOKUP(G1785,编号表!$E$1:$G$8,2,0))&amp;H1785&amp;"_"&amp;I1785&amp;"_"&amp;J1785</f>
        <v>37N4_3_1</v>
      </c>
      <c r="F1785" s="2">
        <v>37</v>
      </c>
      <c r="G1785" s="2" t="s">
        <v>37</v>
      </c>
      <c r="H1785" s="2">
        <v>4</v>
      </c>
      <c r="I1785" s="2">
        <v>3</v>
      </c>
      <c r="J1785" s="2">
        <f>COUNTIFS($F$13:F1785,F1785,$I$13:I1785,I1785)</f>
        <v>1</v>
      </c>
      <c r="O1785" s="8">
        <v>1037201</v>
      </c>
      <c r="P1785" s="8">
        <v>1037301</v>
      </c>
      <c r="Q1785" s="8">
        <v>1037401</v>
      </c>
      <c r="R1785" s="8">
        <v>1037501</v>
      </c>
      <c r="S1785" s="8">
        <v>1037601</v>
      </c>
    </row>
    <row r="1786" spans="1:19">
      <c r="A1786" s="14" t="s">
        <v>14</v>
      </c>
      <c r="B1786" s="8">
        <f t="shared" si="80"/>
        <v>70374302</v>
      </c>
      <c r="C1786" s="2" t="s">
        <v>1856</v>
      </c>
      <c r="E1786" s="2" t="str">
        <f>F1786&amp;(VLOOKUP(G1786,编号表!$E$1:$G$8,2,0))&amp;H1786&amp;"_"&amp;I1786&amp;"_"&amp;J1786</f>
        <v>37N4_3_2</v>
      </c>
      <c r="F1786" s="2">
        <v>37</v>
      </c>
      <c r="G1786" s="2" t="s">
        <v>37</v>
      </c>
      <c r="H1786" s="2">
        <v>4</v>
      </c>
      <c r="I1786" s="2">
        <v>3</v>
      </c>
      <c r="J1786" s="2">
        <f>COUNTIFS($F$13:F1786,F1786,$I$13:I1786,I1786)</f>
        <v>2</v>
      </c>
      <c r="O1786" s="8">
        <v>1037201</v>
      </c>
      <c r="P1786" s="8">
        <v>1037301</v>
      </c>
      <c r="Q1786" s="8">
        <v>1037401</v>
      </c>
      <c r="R1786" s="8">
        <v>1037501</v>
      </c>
      <c r="S1786" s="8">
        <v>1037601</v>
      </c>
    </row>
    <row r="1787" spans="1:19">
      <c r="A1787" s="14" t="s">
        <v>14</v>
      </c>
      <c r="B1787" s="8">
        <f t="shared" si="80"/>
        <v>70375303</v>
      </c>
      <c r="C1787" s="2" t="s">
        <v>1857</v>
      </c>
      <c r="E1787" s="2" t="str">
        <f>F1787&amp;(VLOOKUP(G1787,编号表!$E$1:$G$8,2,0))&amp;H1787&amp;"_"&amp;I1787&amp;"_"&amp;J1787</f>
        <v>37N5_3_3</v>
      </c>
      <c r="F1787" s="2">
        <v>37</v>
      </c>
      <c r="G1787" s="2" t="s">
        <v>37</v>
      </c>
      <c r="H1787" s="2">
        <v>5</v>
      </c>
      <c r="I1787" s="2">
        <v>3</v>
      </c>
      <c r="J1787" s="2">
        <f>COUNTIFS($F$13:F1787,F1787,$I$13:I1787,I1787)</f>
        <v>3</v>
      </c>
      <c r="O1787" s="8">
        <v>1037201</v>
      </c>
      <c r="P1787" s="8">
        <v>1037301</v>
      </c>
      <c r="Q1787" s="8">
        <v>1037401</v>
      </c>
      <c r="R1787" s="8">
        <v>1037501</v>
      </c>
      <c r="S1787" s="8">
        <v>1037601</v>
      </c>
    </row>
    <row r="1788" spans="1:19">
      <c r="A1788" s="14" t="s">
        <v>14</v>
      </c>
      <c r="B1788" s="8">
        <f t="shared" si="80"/>
        <v>70375304</v>
      </c>
      <c r="C1788" s="2" t="s">
        <v>1858</v>
      </c>
      <c r="E1788" s="2" t="str">
        <f>F1788&amp;(VLOOKUP(G1788,编号表!$E$1:$G$8,2,0))&amp;H1788&amp;"_"&amp;I1788&amp;"_"&amp;J1788</f>
        <v>37N5_3_4</v>
      </c>
      <c r="F1788" s="2">
        <v>37</v>
      </c>
      <c r="G1788" s="2" t="s">
        <v>37</v>
      </c>
      <c r="H1788" s="2">
        <v>5</v>
      </c>
      <c r="I1788" s="2">
        <v>3</v>
      </c>
      <c r="J1788" s="2">
        <f>COUNTIFS($F$13:F1788,F1788,$I$13:I1788,I1788)</f>
        <v>4</v>
      </c>
      <c r="O1788" s="8">
        <v>1037201</v>
      </c>
      <c r="P1788" s="8">
        <v>1037301</v>
      </c>
      <c r="Q1788" s="8">
        <v>1037401</v>
      </c>
      <c r="R1788" s="8">
        <v>1037501</v>
      </c>
      <c r="S1788" s="8">
        <v>1037601</v>
      </c>
    </row>
    <row r="1789" spans="1:19">
      <c r="A1789" s="14" t="s">
        <v>14</v>
      </c>
      <c r="B1789" s="8">
        <f t="shared" si="80"/>
        <v>70375305</v>
      </c>
      <c r="C1789" s="2" t="s">
        <v>1859</v>
      </c>
      <c r="E1789" s="2" t="str">
        <f>F1789&amp;(VLOOKUP(G1789,编号表!$E$1:$G$8,2,0))&amp;H1789&amp;"_"&amp;I1789&amp;"_"&amp;J1789</f>
        <v>37N5_3_5</v>
      </c>
      <c r="F1789" s="2">
        <v>37</v>
      </c>
      <c r="G1789" s="2" t="s">
        <v>37</v>
      </c>
      <c r="H1789" s="2">
        <v>5</v>
      </c>
      <c r="I1789" s="2">
        <v>3</v>
      </c>
      <c r="J1789" s="2">
        <f>COUNTIFS($F$13:F1789,F1789,$I$13:I1789,I1789)</f>
        <v>5</v>
      </c>
      <c r="O1789" s="8">
        <v>1037201</v>
      </c>
      <c r="P1789" s="8">
        <v>1037301</v>
      </c>
      <c r="Q1789" s="8">
        <v>1037401</v>
      </c>
      <c r="R1789" s="8">
        <v>1037501</v>
      </c>
      <c r="S1789" s="8">
        <v>1037601</v>
      </c>
    </row>
    <row r="1790" spans="1:19">
      <c r="A1790" s="14" t="s">
        <v>14</v>
      </c>
      <c r="B1790" s="8">
        <f t="shared" si="80"/>
        <v>70376306</v>
      </c>
      <c r="C1790" s="2" t="s">
        <v>1860</v>
      </c>
      <c r="E1790" s="2" t="str">
        <f>F1790&amp;(VLOOKUP(G1790,编号表!$E$1:$G$8,2,0))&amp;H1790&amp;"_"&amp;I1790&amp;"_"&amp;J1790</f>
        <v>37N6_3_6</v>
      </c>
      <c r="F1790" s="2">
        <v>37</v>
      </c>
      <c r="G1790" s="2" t="s">
        <v>37</v>
      </c>
      <c r="H1790" s="2">
        <v>6</v>
      </c>
      <c r="I1790" s="2">
        <v>3</v>
      </c>
      <c r="J1790" s="2">
        <f>COUNTIFS($F$13:F1790,F1790,$I$13:I1790,I1790)</f>
        <v>6</v>
      </c>
      <c r="O1790" s="8">
        <v>1037201</v>
      </c>
      <c r="P1790" s="8">
        <v>1037301</v>
      </c>
      <c r="Q1790" s="8">
        <v>1037401</v>
      </c>
      <c r="R1790" s="8">
        <v>1037501</v>
      </c>
      <c r="S1790" s="8">
        <v>1037601</v>
      </c>
    </row>
    <row r="1791" spans="1:19">
      <c r="A1791" s="14" t="s">
        <v>14</v>
      </c>
      <c r="B1791" s="8">
        <f t="shared" si="80"/>
        <v>70378307</v>
      </c>
      <c r="C1791" s="2" t="s">
        <v>1861</v>
      </c>
      <c r="E1791" s="2" t="str">
        <f>F1791&amp;(VLOOKUP(G1791,编号表!$E$1:$G$8,2,0))&amp;H1791&amp;"_"&amp;I1791&amp;"_"&amp;J1791</f>
        <v>37N8_3_7</v>
      </c>
      <c r="F1791" s="2">
        <v>37</v>
      </c>
      <c r="G1791" s="2" t="s">
        <v>37</v>
      </c>
      <c r="H1791" s="2">
        <v>8</v>
      </c>
      <c r="I1791" s="2">
        <v>3</v>
      </c>
      <c r="J1791" s="2">
        <f>COUNTIFS($F$13:F1791,F1791,$I$13:I1791,I1791)</f>
        <v>7</v>
      </c>
      <c r="O1791" s="8">
        <v>1037201</v>
      </c>
      <c r="P1791" s="8">
        <v>1037301</v>
      </c>
      <c r="Q1791" s="8">
        <v>1037401</v>
      </c>
      <c r="R1791" s="8">
        <v>1037501</v>
      </c>
      <c r="S1791" s="8">
        <v>1037601</v>
      </c>
    </row>
    <row r="1792" spans="1:19">
      <c r="A1792" s="14" t="s">
        <v>14</v>
      </c>
      <c r="B1792" s="8">
        <f t="shared" si="80"/>
        <v>70375308</v>
      </c>
      <c r="C1792" s="2" t="s">
        <v>1862</v>
      </c>
      <c r="E1792" s="2" t="str">
        <f>F1792&amp;(VLOOKUP(G1792,编号表!$E$1:$G$8,2,0))&amp;H1792&amp;"_"&amp;I1792&amp;"_"&amp;J1792</f>
        <v>37N5_3_8</v>
      </c>
      <c r="F1792" s="2">
        <v>37</v>
      </c>
      <c r="G1792" s="2" t="s">
        <v>37</v>
      </c>
      <c r="H1792" s="2">
        <v>5</v>
      </c>
      <c r="I1792" s="2">
        <v>3</v>
      </c>
      <c r="J1792" s="2">
        <f>COUNTIFS($F$13:F1792,F1792,$I$13:I1792,I1792)</f>
        <v>8</v>
      </c>
      <c r="O1792" s="8">
        <v>1037201</v>
      </c>
      <c r="P1792" s="8">
        <v>1037301</v>
      </c>
      <c r="Q1792" s="8">
        <v>1037401</v>
      </c>
      <c r="R1792" s="8">
        <v>1037501</v>
      </c>
      <c r="S1792" s="8">
        <v>1037601</v>
      </c>
    </row>
    <row r="1793" spans="1:20">
      <c r="A1793" s="14" t="s">
        <v>14</v>
      </c>
      <c r="B1793" s="8">
        <f t="shared" si="80"/>
        <v>70373401</v>
      </c>
      <c r="C1793" s="2" t="s">
        <v>1863</v>
      </c>
      <c r="E1793" s="2" t="str">
        <f>F1793&amp;(VLOOKUP(G1793,编号表!$E$1:$G$8,2,0))&amp;H1793&amp;"_"&amp;I1793&amp;"_"&amp;J1793</f>
        <v>37N3_4_1</v>
      </c>
      <c r="F1793" s="2">
        <v>37</v>
      </c>
      <c r="G1793" s="2" t="s">
        <v>37</v>
      </c>
      <c r="H1793" s="2">
        <v>3</v>
      </c>
      <c r="I1793" s="2">
        <v>4</v>
      </c>
      <c r="J1793" s="2">
        <f>COUNTIFS($F$13:F1793,F1793,$I$13:I1793,I1793)</f>
        <v>1</v>
      </c>
      <c r="O1793" s="8">
        <v>1037201</v>
      </c>
      <c r="P1793" s="8">
        <v>1037301</v>
      </c>
      <c r="Q1793" s="8">
        <v>1037401</v>
      </c>
      <c r="R1793" s="8">
        <v>1037501</v>
      </c>
      <c r="S1793" s="8">
        <v>1037601</v>
      </c>
    </row>
    <row r="1794" spans="1:20">
      <c r="A1794" s="14" t="s">
        <v>14</v>
      </c>
      <c r="B1794" s="8">
        <f t="shared" si="80"/>
        <v>70373402</v>
      </c>
      <c r="C1794" s="2" t="s">
        <v>1864</v>
      </c>
      <c r="E1794" s="2" t="str">
        <f>F1794&amp;(VLOOKUP(G1794,编号表!$E$1:$G$8,2,0))&amp;H1794&amp;"_"&amp;I1794&amp;"_"&amp;J1794</f>
        <v>37N3_4_2</v>
      </c>
      <c r="F1794" s="2">
        <v>37</v>
      </c>
      <c r="G1794" s="2" t="s">
        <v>37</v>
      </c>
      <c r="H1794" s="2">
        <v>3</v>
      </c>
      <c r="I1794" s="2">
        <v>4</v>
      </c>
      <c r="J1794" s="2">
        <f>COUNTIFS($F$13:F1794,F1794,$I$13:I1794,I1794)</f>
        <v>2</v>
      </c>
      <c r="O1794" s="8">
        <v>1037201</v>
      </c>
      <c r="P1794" s="8">
        <v>1037301</v>
      </c>
      <c r="Q1794" s="8">
        <v>1037401</v>
      </c>
      <c r="R1794" s="8">
        <v>1037501</v>
      </c>
      <c r="S1794" s="8">
        <v>1037601</v>
      </c>
    </row>
    <row r="1795" spans="1:20">
      <c r="A1795" s="14" t="s">
        <v>14</v>
      </c>
      <c r="B1795" s="8">
        <f t="shared" si="80"/>
        <v>70375403</v>
      </c>
      <c r="C1795" s="2" t="s">
        <v>1865</v>
      </c>
      <c r="E1795" s="2" t="str">
        <f>F1795&amp;(VLOOKUP(G1795,编号表!$E$1:$G$8,2,0))&amp;H1795&amp;"_"&amp;I1795&amp;"_"&amp;J1795</f>
        <v>37N5_4_3</v>
      </c>
      <c r="F1795" s="2">
        <v>37</v>
      </c>
      <c r="G1795" s="2" t="s">
        <v>37</v>
      </c>
      <c r="H1795" s="2">
        <v>5</v>
      </c>
      <c r="I1795" s="2">
        <v>4</v>
      </c>
      <c r="J1795" s="2">
        <f>COUNTIFS($F$13:F1795,F1795,$I$13:I1795,I1795)</f>
        <v>3</v>
      </c>
      <c r="O1795" s="8">
        <v>1037201</v>
      </c>
      <c r="P1795" s="8">
        <v>1037301</v>
      </c>
      <c r="Q1795" s="8">
        <v>1037401</v>
      </c>
      <c r="R1795" s="8">
        <v>1037501</v>
      </c>
      <c r="S1795" s="8">
        <v>1037601</v>
      </c>
    </row>
    <row r="1796" spans="1:20">
      <c r="A1796" s="14" t="s">
        <v>14</v>
      </c>
      <c r="B1796" s="8">
        <f t="shared" si="80"/>
        <v>70375404</v>
      </c>
      <c r="C1796" s="2" t="s">
        <v>1866</v>
      </c>
      <c r="E1796" s="2" t="str">
        <f>F1796&amp;(VLOOKUP(G1796,编号表!$E$1:$G$8,2,0))&amp;H1796&amp;"_"&amp;I1796&amp;"_"&amp;J1796</f>
        <v>37N5_4_4</v>
      </c>
      <c r="F1796" s="2">
        <v>37</v>
      </c>
      <c r="G1796" s="2" t="s">
        <v>37</v>
      </c>
      <c r="H1796" s="2">
        <v>5</v>
      </c>
      <c r="I1796" s="2">
        <v>4</v>
      </c>
      <c r="J1796" s="2">
        <f>COUNTIFS($F$13:F1796,F1796,$I$13:I1796,I1796)</f>
        <v>4</v>
      </c>
      <c r="O1796" s="8">
        <v>1037201</v>
      </c>
      <c r="P1796" s="8">
        <v>1037301</v>
      </c>
      <c r="Q1796" s="8">
        <v>1037401</v>
      </c>
      <c r="R1796" s="8">
        <v>1037501</v>
      </c>
      <c r="S1796" s="8">
        <v>1037601</v>
      </c>
    </row>
    <row r="1797" spans="1:20">
      <c r="A1797" s="14" t="s">
        <v>14</v>
      </c>
      <c r="B1797" s="8">
        <f t="shared" si="80"/>
        <v>70374405</v>
      </c>
      <c r="C1797" s="2" t="s">
        <v>1867</v>
      </c>
      <c r="E1797" s="2" t="str">
        <f>F1797&amp;(VLOOKUP(G1797,编号表!$E$1:$G$8,2,0))&amp;H1797&amp;"_"&amp;I1797&amp;"_"&amp;J1797</f>
        <v>37N4_4_5</v>
      </c>
      <c r="F1797" s="2">
        <v>37</v>
      </c>
      <c r="G1797" s="2" t="s">
        <v>37</v>
      </c>
      <c r="H1797" s="2">
        <v>4</v>
      </c>
      <c r="I1797" s="2">
        <v>4</v>
      </c>
      <c r="J1797" s="2">
        <f>COUNTIFS($F$13:F1797,F1797,$I$13:I1797,I1797)</f>
        <v>5</v>
      </c>
      <c r="O1797" s="8">
        <v>1037201</v>
      </c>
      <c r="P1797" s="8">
        <v>1037301</v>
      </c>
      <c r="Q1797" s="8">
        <v>1037401</v>
      </c>
      <c r="R1797" s="8">
        <v>1037501</v>
      </c>
      <c r="S1797" s="8">
        <v>1037601</v>
      </c>
    </row>
    <row r="1798" spans="1:20">
      <c r="A1798" s="14" t="s">
        <v>14</v>
      </c>
      <c r="B1798" s="8">
        <f t="shared" si="80"/>
        <v>70372501</v>
      </c>
      <c r="C1798" s="2" t="s">
        <v>1868</v>
      </c>
      <c r="E1798" s="2" t="str">
        <f>F1798&amp;(VLOOKUP(G1798,编号表!$E$1:$G$8,2,0))&amp;H1798&amp;"_"&amp;I1798&amp;"_"&amp;J1798</f>
        <v>37N2_5_1</v>
      </c>
      <c r="F1798" s="2">
        <v>37</v>
      </c>
      <c r="G1798" s="2" t="s">
        <v>37</v>
      </c>
      <c r="H1798" s="2">
        <v>2</v>
      </c>
      <c r="I1798" s="2">
        <v>5</v>
      </c>
      <c r="J1798" s="2">
        <f>COUNTIFS($F$13:F1798,F1798,$I$13:I1798,I1798)</f>
        <v>1</v>
      </c>
      <c r="O1798" s="8">
        <v>1037201</v>
      </c>
      <c r="P1798" s="8">
        <v>1037301</v>
      </c>
      <c r="Q1798" s="8">
        <v>1037401</v>
      </c>
      <c r="R1798" s="8">
        <v>1037501</v>
      </c>
      <c r="S1798" s="8">
        <v>1037601</v>
      </c>
    </row>
    <row r="1799" spans="1:20">
      <c r="A1799" s="14" t="s">
        <v>14</v>
      </c>
      <c r="B1799" s="8">
        <f t="shared" si="80"/>
        <v>70371502</v>
      </c>
      <c r="C1799" s="15" t="s">
        <v>1799</v>
      </c>
      <c r="E1799" s="2" t="str">
        <f>F1799&amp;(VLOOKUP(G1799,编号表!$E$1:$G$8,2,0))&amp;H1799&amp;"_"&amp;I1799&amp;"_"&amp;J1799</f>
        <v>37T1_5_2</v>
      </c>
      <c r="F1799" s="2">
        <v>37</v>
      </c>
      <c r="G1799" s="2" t="s">
        <v>53</v>
      </c>
      <c r="H1799" s="2">
        <v>1</v>
      </c>
      <c r="I1799" s="2">
        <v>5</v>
      </c>
      <c r="J1799" s="2">
        <f>COUNTIFS($F$13:F1799,F1799,$I$13:I1799,I1799)</f>
        <v>2</v>
      </c>
      <c r="L1799" s="2">
        <v>1</v>
      </c>
    </row>
    <row r="1800" spans="1:20">
      <c r="A1800" s="14" t="s">
        <v>14</v>
      </c>
      <c r="B1800" s="8">
        <f t="shared" si="80"/>
        <v>70373503</v>
      </c>
      <c r="C1800" s="16" t="s">
        <v>1837</v>
      </c>
      <c r="D1800" s="2" t="s">
        <v>1797</v>
      </c>
      <c r="E1800" s="2" t="str">
        <f>F1800&amp;(VLOOKUP(G1800,编号表!$E$1:$G$8,2,0))&amp;H1800&amp;"_"&amp;I1800&amp;"_"&amp;J1800</f>
        <v>37T3_5_3</v>
      </c>
      <c r="F1800" s="2">
        <v>37</v>
      </c>
      <c r="G1800" s="2" t="s">
        <v>53</v>
      </c>
      <c r="H1800" s="2">
        <v>3</v>
      </c>
      <c r="I1800" s="2">
        <v>5</v>
      </c>
      <c r="J1800" s="2">
        <f>COUNTIFS($F$13:F1800,F1800,$I$13:I1800,I1800)</f>
        <v>3</v>
      </c>
      <c r="M1800" s="2">
        <v>175</v>
      </c>
    </row>
    <row r="1801" spans="1:20">
      <c r="A1801" s="14" t="s">
        <v>14</v>
      </c>
      <c r="B1801" s="8">
        <f t="shared" si="80"/>
        <v>70375504</v>
      </c>
      <c r="C1801" s="2" t="s">
        <v>1869</v>
      </c>
      <c r="E1801" s="2" t="str">
        <f>F1801&amp;(VLOOKUP(G1801,编号表!$E$1:$G$8,2,0))&amp;H1801&amp;"_"&amp;I1801&amp;"_"&amp;J1801</f>
        <v>37N5_5_4</v>
      </c>
      <c r="F1801" s="2">
        <v>37</v>
      </c>
      <c r="G1801" s="2" t="s">
        <v>37</v>
      </c>
      <c r="H1801" s="2">
        <v>5</v>
      </c>
      <c r="I1801" s="2">
        <v>5</v>
      </c>
      <c r="J1801" s="2">
        <f>COUNTIFS($F$13:F1801,F1801,$I$13:I1801,I1801)</f>
        <v>4</v>
      </c>
      <c r="O1801" s="8">
        <v>1037201</v>
      </c>
      <c r="P1801" s="8">
        <v>1037301</v>
      </c>
      <c r="Q1801" s="8">
        <v>1037401</v>
      </c>
      <c r="R1801" s="8">
        <v>1037501</v>
      </c>
      <c r="S1801" s="8">
        <v>1037601</v>
      </c>
    </row>
    <row r="1802" spans="1:20">
      <c r="A1802" s="14" t="s">
        <v>14</v>
      </c>
      <c r="B1802" s="8">
        <f t="shared" si="80"/>
        <v>70376505</v>
      </c>
      <c r="C1802" s="2" t="s">
        <v>1870</v>
      </c>
      <c r="E1802" s="2" t="str">
        <f>F1802&amp;(VLOOKUP(G1802,编号表!$E$1:$G$8,2,0))&amp;H1802&amp;"_"&amp;I1802&amp;"_"&amp;J1802</f>
        <v>37N6_5_5</v>
      </c>
      <c r="F1802" s="2">
        <v>37</v>
      </c>
      <c r="G1802" s="2" t="s">
        <v>37</v>
      </c>
      <c r="H1802" s="2">
        <v>6</v>
      </c>
      <c r="I1802" s="2">
        <v>5</v>
      </c>
      <c r="J1802" s="2">
        <f>COUNTIFS($F$13:F1802,F1802,$I$13:I1802,I1802)</f>
        <v>5</v>
      </c>
      <c r="O1802" s="8">
        <v>1037201</v>
      </c>
      <c r="P1802" s="8">
        <v>1037301</v>
      </c>
      <c r="Q1802" s="8">
        <v>1037401</v>
      </c>
      <c r="R1802" s="8">
        <v>1037501</v>
      </c>
      <c r="S1802" s="8">
        <v>1037601</v>
      </c>
    </row>
    <row r="1803" spans="1:20">
      <c r="A1803" s="14" t="s">
        <v>14</v>
      </c>
      <c r="B1803" s="8">
        <f t="shared" ref="B1803:B1866" si="81">70000000+F1803*10000+H1803*1000+I1803*100+J1803</f>
        <v>70374506</v>
      </c>
      <c r="C1803" s="2" t="s">
        <v>1871</v>
      </c>
      <c r="E1803" s="2" t="str">
        <f>F1803&amp;(VLOOKUP(G1803,编号表!$E$1:$G$8,2,0))&amp;H1803&amp;"_"&amp;I1803&amp;"_"&amp;J1803</f>
        <v>37N4_5_6</v>
      </c>
      <c r="F1803" s="2">
        <v>37</v>
      </c>
      <c r="G1803" s="2" t="s">
        <v>37</v>
      </c>
      <c r="H1803" s="2">
        <v>4</v>
      </c>
      <c r="I1803" s="2">
        <v>5</v>
      </c>
      <c r="J1803" s="2">
        <f>COUNTIFS($F$13:F1803,F1803,$I$13:I1803,I1803)</f>
        <v>6</v>
      </c>
      <c r="O1803" s="8">
        <v>1037201</v>
      </c>
      <c r="P1803" s="8">
        <v>1037301</v>
      </c>
      <c r="Q1803" s="8">
        <v>1037401</v>
      </c>
      <c r="R1803" s="8">
        <v>1037501</v>
      </c>
      <c r="S1803" s="8">
        <v>1037601</v>
      </c>
    </row>
    <row r="1804" spans="1:20">
      <c r="A1804" s="14" t="s">
        <v>14</v>
      </c>
      <c r="B1804" s="8">
        <f t="shared" si="81"/>
        <v>70370507</v>
      </c>
      <c r="C1804" s="15" t="s">
        <v>1872</v>
      </c>
      <c r="E1804" s="2" t="str">
        <f>F1804&amp;(VLOOKUP(G1804,编号表!$E$1:$G$8,2,0))&amp;H1804&amp;"_"&amp;I1804&amp;"_"&amp;J1804</f>
        <v>37T0_5_7</v>
      </c>
      <c r="F1804" s="2">
        <v>37</v>
      </c>
      <c r="G1804" s="2" t="s">
        <v>53</v>
      </c>
      <c r="H1804" s="2">
        <v>0</v>
      </c>
      <c r="I1804" s="2">
        <v>5</v>
      </c>
      <c r="J1804" s="2">
        <f>COUNTIFS($F$13:F1804,F1804,$I$13:I1804,I1804)</f>
        <v>7</v>
      </c>
    </row>
    <row r="1805" spans="1:20">
      <c r="A1805" s="14" t="s">
        <v>14</v>
      </c>
      <c r="B1805" s="8">
        <f t="shared" si="81"/>
        <v>70370508</v>
      </c>
      <c r="C1805" s="16" t="s">
        <v>1873</v>
      </c>
      <c r="D1805" s="2" t="s">
        <v>1874</v>
      </c>
      <c r="E1805" s="2" t="str">
        <f>F1805&amp;(VLOOKUP(G1805,编号表!$E$1:$G$8,2,0))&amp;H1805&amp;"_"&amp;I1805&amp;"_"&amp;J1805</f>
        <v>37T0_5_8</v>
      </c>
      <c r="F1805" s="2">
        <v>37</v>
      </c>
      <c r="G1805" s="2" t="s">
        <v>53</v>
      </c>
      <c r="H1805" s="2">
        <v>0</v>
      </c>
      <c r="I1805" s="2">
        <v>5</v>
      </c>
      <c r="J1805" s="2">
        <f>COUNTIFS($F$13:F1805,F1805,$I$13:I1805,I1805)</f>
        <v>8</v>
      </c>
      <c r="M1805" s="2">
        <v>177</v>
      </c>
    </row>
    <row r="1806" spans="1:20">
      <c r="A1806" s="14" t="s">
        <v>14</v>
      </c>
      <c r="B1806" s="8">
        <f t="shared" si="81"/>
        <v>70370001</v>
      </c>
      <c r="C1806" s="18" t="s">
        <v>1875</v>
      </c>
      <c r="E1806" s="2" t="str">
        <f>F1806&amp;(VLOOKUP(G1806,编号表!$E$1:$G$8,2,0))&amp;H1806&amp;"_"&amp;I1806&amp;"_"&amp;J1806</f>
        <v>37J0_0_1</v>
      </c>
      <c r="F1806" s="2">
        <v>37</v>
      </c>
      <c r="G1806" s="2" t="s">
        <v>86</v>
      </c>
      <c r="H1806" s="2">
        <v>0</v>
      </c>
      <c r="I1806" s="2">
        <v>0</v>
      </c>
      <c r="J1806" s="2">
        <f>COUNTIFS($F$13:F1806,F1806,$I$13:I1806,I1806)</f>
        <v>1</v>
      </c>
      <c r="K1806" s="2">
        <v>1</v>
      </c>
    </row>
    <row r="1807" spans="1:20">
      <c r="A1807" s="14" t="s">
        <v>14</v>
      </c>
      <c r="B1807" s="8">
        <f t="shared" si="81"/>
        <v>70387101</v>
      </c>
      <c r="C1807" s="2" t="s">
        <v>1876</v>
      </c>
      <c r="E1807" s="2" t="str">
        <f>F1807&amp;(VLOOKUP(G1807,编号表!$E$1:$G$8,2,0))&amp;H1807&amp;"_"&amp;I1807&amp;"_"&amp;J1807</f>
        <v>38N7_1_1</v>
      </c>
      <c r="F1807" s="2">
        <v>38</v>
      </c>
      <c r="G1807" s="2" t="s">
        <v>37</v>
      </c>
      <c r="H1807" s="2">
        <v>7</v>
      </c>
      <c r="I1807" s="2">
        <v>1</v>
      </c>
      <c r="J1807" s="2">
        <f>COUNTIFS($F$13:F1807,F1807,$I$13:I1807,I1807)</f>
        <v>1</v>
      </c>
      <c r="O1807" s="8">
        <v>1038201</v>
      </c>
      <c r="P1807" s="8">
        <v>1038301</v>
      </c>
      <c r="Q1807" s="8">
        <v>1038401</v>
      </c>
      <c r="R1807" s="8">
        <v>1038501</v>
      </c>
      <c r="S1807" s="8">
        <v>1038601</v>
      </c>
      <c r="T1807" s="8">
        <v>1038001</v>
      </c>
    </row>
    <row r="1808" spans="1:20">
      <c r="A1808" s="14" t="s">
        <v>14</v>
      </c>
      <c r="B1808" s="8">
        <f t="shared" si="81"/>
        <v>70389102</v>
      </c>
      <c r="C1808" s="2" t="s">
        <v>1877</v>
      </c>
      <c r="E1808" s="2" t="str">
        <f>F1808&amp;(VLOOKUP(G1808,编号表!$E$1:$G$8,2,0))&amp;H1808&amp;"_"&amp;I1808&amp;"_"&amp;J1808</f>
        <v>38N9_1_2</v>
      </c>
      <c r="F1808" s="2">
        <v>38</v>
      </c>
      <c r="G1808" s="2" t="s">
        <v>37</v>
      </c>
      <c r="H1808" s="2">
        <v>9</v>
      </c>
      <c r="I1808" s="2">
        <v>1</v>
      </c>
      <c r="J1808" s="2">
        <f>COUNTIFS($F$13:F1808,F1808,$I$13:I1808,I1808)</f>
        <v>2</v>
      </c>
      <c r="O1808" s="8">
        <v>1038201</v>
      </c>
      <c r="P1808" s="8">
        <v>1038301</v>
      </c>
      <c r="Q1808" s="8">
        <v>1038401</v>
      </c>
      <c r="R1808" s="8">
        <v>1038501</v>
      </c>
      <c r="S1808" s="8">
        <v>1038601</v>
      </c>
      <c r="T1808" s="8">
        <v>1038101</v>
      </c>
    </row>
    <row r="1809" spans="1:19">
      <c r="A1809" s="14" t="s">
        <v>14</v>
      </c>
      <c r="B1809" s="8">
        <f t="shared" si="81"/>
        <v>70384103</v>
      </c>
      <c r="C1809" s="2" t="s">
        <v>1878</v>
      </c>
      <c r="E1809" s="2" t="str">
        <f>F1809&amp;(VLOOKUP(G1809,编号表!$E$1:$G$8,2,0))&amp;H1809&amp;"_"&amp;I1809&amp;"_"&amp;J1809</f>
        <v>38N4_1_3</v>
      </c>
      <c r="F1809" s="2">
        <v>38</v>
      </c>
      <c r="G1809" s="2" t="s">
        <v>37</v>
      </c>
      <c r="H1809" s="2">
        <v>4</v>
      </c>
      <c r="I1809" s="2">
        <v>1</v>
      </c>
      <c r="J1809" s="2">
        <f>COUNTIFS($F$13:F1809,F1809,$I$13:I1809,I1809)</f>
        <v>3</v>
      </c>
      <c r="O1809" s="8">
        <v>1038201</v>
      </c>
      <c r="P1809" s="8">
        <v>1038301</v>
      </c>
      <c r="Q1809" s="8">
        <v>1038401</v>
      </c>
      <c r="R1809" s="8">
        <v>1038501</v>
      </c>
      <c r="S1809" s="8">
        <v>1038601</v>
      </c>
    </row>
    <row r="1810" spans="1:19">
      <c r="A1810" s="14" t="s">
        <v>14</v>
      </c>
      <c r="B1810" s="8">
        <f t="shared" si="81"/>
        <v>70381104</v>
      </c>
      <c r="C1810" s="2" t="s">
        <v>1879</v>
      </c>
      <c r="E1810" s="2" t="str">
        <f>F1810&amp;(VLOOKUP(G1810,编号表!$E$1:$G$8,2,0))&amp;H1810&amp;"_"&amp;I1810&amp;"_"&amp;J1810</f>
        <v>38N1_1_4</v>
      </c>
      <c r="F1810" s="2">
        <v>38</v>
      </c>
      <c r="G1810" s="2" t="s">
        <v>37</v>
      </c>
      <c r="H1810" s="2">
        <v>1</v>
      </c>
      <c r="I1810" s="2">
        <v>1</v>
      </c>
      <c r="J1810" s="2">
        <f>COUNTIFS($F$13:F1810,F1810,$I$13:I1810,I1810)</f>
        <v>4</v>
      </c>
      <c r="O1810" s="8">
        <v>1038201</v>
      </c>
      <c r="P1810" s="8">
        <v>1038301</v>
      </c>
      <c r="Q1810" s="8">
        <v>1038401</v>
      </c>
      <c r="R1810" s="8">
        <v>1038501</v>
      </c>
      <c r="S1810" s="8">
        <v>1038601</v>
      </c>
    </row>
    <row r="1811" spans="1:19">
      <c r="A1811" s="14" t="s">
        <v>14</v>
      </c>
      <c r="B1811" s="8">
        <f t="shared" si="81"/>
        <v>70384105</v>
      </c>
      <c r="C1811" s="2" t="s">
        <v>1880</v>
      </c>
      <c r="E1811" s="2" t="str">
        <f>F1811&amp;(VLOOKUP(G1811,编号表!$E$1:$G$8,2,0))&amp;H1811&amp;"_"&amp;I1811&amp;"_"&amp;J1811</f>
        <v>38N4_1_5</v>
      </c>
      <c r="F1811" s="2">
        <v>38</v>
      </c>
      <c r="G1811" s="2" t="s">
        <v>37</v>
      </c>
      <c r="H1811" s="2">
        <v>4</v>
      </c>
      <c r="I1811" s="2">
        <v>1</v>
      </c>
      <c r="J1811" s="2">
        <f>COUNTIFS($F$13:F1811,F1811,$I$13:I1811,I1811)</f>
        <v>5</v>
      </c>
      <c r="O1811" s="8">
        <v>1038201</v>
      </c>
      <c r="P1811" s="8">
        <v>1038301</v>
      </c>
      <c r="Q1811" s="8">
        <v>1038401</v>
      </c>
      <c r="R1811" s="8">
        <v>1038501</v>
      </c>
      <c r="S1811" s="8">
        <v>1038601</v>
      </c>
    </row>
    <row r="1812" spans="1:19">
      <c r="A1812" s="14" t="s">
        <v>14</v>
      </c>
      <c r="B1812" s="8">
        <f t="shared" si="81"/>
        <v>70384106</v>
      </c>
      <c r="C1812" s="2" t="s">
        <v>1881</v>
      </c>
      <c r="E1812" s="2" t="str">
        <f>F1812&amp;(VLOOKUP(G1812,编号表!$E$1:$G$8,2,0))&amp;H1812&amp;"_"&amp;I1812&amp;"_"&amp;J1812</f>
        <v>38N4_1_6</v>
      </c>
      <c r="F1812" s="2">
        <v>38</v>
      </c>
      <c r="G1812" s="2" t="s">
        <v>37</v>
      </c>
      <c r="H1812" s="2">
        <v>4</v>
      </c>
      <c r="I1812" s="2">
        <v>1</v>
      </c>
      <c r="J1812" s="2">
        <f>COUNTIFS($F$13:F1812,F1812,$I$13:I1812,I1812)</f>
        <v>6</v>
      </c>
      <c r="O1812" s="8">
        <v>1038201</v>
      </c>
      <c r="P1812" s="8">
        <v>1038301</v>
      </c>
      <c r="Q1812" s="8">
        <v>1038401</v>
      </c>
      <c r="R1812" s="8">
        <v>1038501</v>
      </c>
      <c r="S1812" s="8">
        <v>1038601</v>
      </c>
    </row>
    <row r="1813" spans="1:19">
      <c r="A1813" s="14" t="s">
        <v>14</v>
      </c>
      <c r="B1813" s="8">
        <f t="shared" si="81"/>
        <v>70385201</v>
      </c>
      <c r="C1813" s="2" t="s">
        <v>1882</v>
      </c>
      <c r="E1813" s="2" t="str">
        <f>F1813&amp;(VLOOKUP(G1813,编号表!$E$1:$G$8,2,0))&amp;H1813&amp;"_"&amp;I1813&amp;"_"&amp;J1813</f>
        <v>38N5_2_1</v>
      </c>
      <c r="F1813" s="2">
        <v>38</v>
      </c>
      <c r="G1813" s="2" t="s">
        <v>37</v>
      </c>
      <c r="H1813" s="2">
        <v>5</v>
      </c>
      <c r="I1813" s="2">
        <v>2</v>
      </c>
      <c r="J1813" s="2">
        <f>COUNTIFS($F$13:F1813,F1813,$I$13:I1813,I1813)</f>
        <v>1</v>
      </c>
      <c r="O1813" s="8">
        <v>1038201</v>
      </c>
      <c r="P1813" s="8">
        <v>1038301</v>
      </c>
      <c r="Q1813" s="8">
        <v>1038401</v>
      </c>
      <c r="R1813" s="8">
        <v>1038501</v>
      </c>
      <c r="S1813" s="8">
        <v>1038601</v>
      </c>
    </row>
    <row r="1814" spans="1:19">
      <c r="A1814" s="14" t="s">
        <v>14</v>
      </c>
      <c r="B1814" s="8">
        <f t="shared" si="81"/>
        <v>70388202</v>
      </c>
      <c r="C1814" s="2" t="s">
        <v>1883</v>
      </c>
      <c r="E1814" s="2" t="str">
        <f>F1814&amp;(VLOOKUP(G1814,编号表!$E$1:$G$8,2,0))&amp;H1814&amp;"_"&amp;I1814&amp;"_"&amp;J1814</f>
        <v>38N8_2_2</v>
      </c>
      <c r="F1814" s="2">
        <v>38</v>
      </c>
      <c r="G1814" s="2" t="s">
        <v>37</v>
      </c>
      <c r="H1814" s="2">
        <v>8</v>
      </c>
      <c r="I1814" s="2">
        <v>2</v>
      </c>
      <c r="J1814" s="2">
        <f>COUNTIFS($F$13:F1814,F1814,$I$13:I1814,I1814)</f>
        <v>2</v>
      </c>
      <c r="O1814" s="8">
        <v>1038201</v>
      </c>
      <c r="P1814" s="8">
        <v>1038301</v>
      </c>
      <c r="Q1814" s="8">
        <v>1038401</v>
      </c>
      <c r="R1814" s="8">
        <v>1038501</v>
      </c>
      <c r="S1814" s="8">
        <v>1038601</v>
      </c>
    </row>
    <row r="1815" spans="1:19">
      <c r="A1815" s="14" t="s">
        <v>14</v>
      </c>
      <c r="B1815" s="8">
        <f t="shared" si="81"/>
        <v>70386203</v>
      </c>
      <c r="C1815" s="2" t="s">
        <v>1884</v>
      </c>
      <c r="E1815" s="2" t="str">
        <f>F1815&amp;(VLOOKUP(G1815,编号表!$E$1:$G$8,2,0))&amp;H1815&amp;"_"&amp;I1815&amp;"_"&amp;J1815</f>
        <v>38N6_2_3</v>
      </c>
      <c r="F1815" s="2">
        <v>38</v>
      </c>
      <c r="G1815" s="2" t="s">
        <v>37</v>
      </c>
      <c r="H1815" s="2">
        <v>6</v>
      </c>
      <c r="I1815" s="2">
        <v>2</v>
      </c>
      <c r="J1815" s="2">
        <f>COUNTIFS($F$13:F1815,F1815,$I$13:I1815,I1815)</f>
        <v>3</v>
      </c>
      <c r="O1815" s="8">
        <v>1038201</v>
      </c>
      <c r="P1815" s="8">
        <v>1038301</v>
      </c>
      <c r="Q1815" s="8">
        <v>1038401</v>
      </c>
      <c r="R1815" s="8">
        <v>1038501</v>
      </c>
      <c r="S1815" s="8">
        <v>1038601</v>
      </c>
    </row>
    <row r="1816" spans="1:19">
      <c r="A1816" s="14" t="s">
        <v>14</v>
      </c>
      <c r="B1816" s="8">
        <f t="shared" si="81"/>
        <v>70383204</v>
      </c>
      <c r="C1816" s="16" t="s">
        <v>1798</v>
      </c>
      <c r="D1816" s="2" t="s">
        <v>1872</v>
      </c>
      <c r="E1816" s="2" t="str">
        <f>F1816&amp;(VLOOKUP(G1816,编号表!$E$1:$G$8,2,0))&amp;H1816&amp;"_"&amp;I1816&amp;"_"&amp;J1816</f>
        <v>38T3_2_4</v>
      </c>
      <c r="F1816" s="2">
        <v>38</v>
      </c>
      <c r="G1816" s="2" t="s">
        <v>53</v>
      </c>
      <c r="H1816" s="2">
        <v>3</v>
      </c>
      <c r="I1816" s="2">
        <v>2</v>
      </c>
      <c r="J1816" s="2">
        <f>COUNTIFS($F$13:F1816,F1816,$I$13:I1816,I1816)</f>
        <v>4</v>
      </c>
      <c r="M1816" s="2">
        <v>178</v>
      </c>
    </row>
    <row r="1817" spans="1:19">
      <c r="A1817" s="14" t="s">
        <v>14</v>
      </c>
      <c r="B1817" s="8">
        <f t="shared" si="81"/>
        <v>70381205</v>
      </c>
      <c r="C1817" s="15" t="s">
        <v>1874</v>
      </c>
      <c r="E1817" s="2" t="str">
        <f>F1817&amp;(VLOOKUP(G1817,编号表!$E$1:$G$8,2,0))&amp;H1817&amp;"_"&amp;I1817&amp;"_"&amp;J1817</f>
        <v>38T1_2_5</v>
      </c>
      <c r="F1817" s="2">
        <v>38</v>
      </c>
      <c r="G1817" s="2" t="s">
        <v>53</v>
      </c>
      <c r="H1817" s="2">
        <v>1</v>
      </c>
      <c r="I1817" s="2">
        <v>2</v>
      </c>
      <c r="J1817" s="2">
        <f>COUNTIFS($F$13:F1817,F1817,$I$13:I1817,I1817)</f>
        <v>5</v>
      </c>
      <c r="L1817" s="2">
        <v>1</v>
      </c>
    </row>
    <row r="1818" spans="1:19">
      <c r="A1818" s="14" t="s">
        <v>14</v>
      </c>
      <c r="B1818" s="8">
        <f t="shared" si="81"/>
        <v>70385206</v>
      </c>
      <c r="C1818" s="2" t="s">
        <v>1885</v>
      </c>
      <c r="E1818" s="2" t="str">
        <f>F1818&amp;(VLOOKUP(G1818,编号表!$E$1:$G$8,2,0))&amp;H1818&amp;"_"&amp;I1818&amp;"_"&amp;J1818</f>
        <v>38N5_2_6</v>
      </c>
      <c r="F1818" s="2">
        <v>38</v>
      </c>
      <c r="G1818" s="2" t="s">
        <v>37</v>
      </c>
      <c r="H1818" s="2">
        <v>5</v>
      </c>
      <c r="I1818" s="2">
        <v>2</v>
      </c>
      <c r="J1818" s="2">
        <f>COUNTIFS($F$13:F1818,F1818,$I$13:I1818,I1818)</f>
        <v>6</v>
      </c>
      <c r="O1818" s="8">
        <v>1038201</v>
      </c>
      <c r="P1818" s="8">
        <v>1038301</v>
      </c>
      <c r="Q1818" s="8">
        <v>1038401</v>
      </c>
      <c r="R1818" s="8">
        <v>1038501</v>
      </c>
      <c r="S1818" s="8">
        <v>1038601</v>
      </c>
    </row>
    <row r="1819" spans="1:19">
      <c r="A1819" s="14" t="s">
        <v>14</v>
      </c>
      <c r="B1819" s="8">
        <f t="shared" si="81"/>
        <v>70384207</v>
      </c>
      <c r="C1819" s="2" t="s">
        <v>1886</v>
      </c>
      <c r="E1819" s="2" t="str">
        <f>F1819&amp;(VLOOKUP(G1819,编号表!$E$1:$G$8,2,0))&amp;H1819&amp;"_"&amp;I1819&amp;"_"&amp;J1819</f>
        <v>38N4_2_7</v>
      </c>
      <c r="F1819" s="2">
        <v>38</v>
      </c>
      <c r="G1819" s="2" t="s">
        <v>37</v>
      </c>
      <c r="H1819" s="2">
        <v>4</v>
      </c>
      <c r="I1819" s="2">
        <v>2</v>
      </c>
      <c r="J1819" s="2">
        <f>COUNTIFS($F$13:F1819,F1819,$I$13:I1819,I1819)</f>
        <v>7</v>
      </c>
      <c r="O1819" s="8">
        <v>1038201</v>
      </c>
      <c r="P1819" s="8">
        <v>1038301</v>
      </c>
      <c r="Q1819" s="8">
        <v>1038401</v>
      </c>
      <c r="R1819" s="8">
        <v>1038501</v>
      </c>
      <c r="S1819" s="8">
        <v>1038601</v>
      </c>
    </row>
    <row r="1820" spans="1:19">
      <c r="A1820" s="14" t="s">
        <v>14</v>
      </c>
      <c r="B1820" s="8">
        <f t="shared" si="81"/>
        <v>70385208</v>
      </c>
      <c r="C1820" s="2" t="s">
        <v>1887</v>
      </c>
      <c r="E1820" s="2" t="str">
        <f>F1820&amp;(VLOOKUP(G1820,编号表!$E$1:$G$8,2,0))&amp;H1820&amp;"_"&amp;I1820&amp;"_"&amp;J1820</f>
        <v>38N5_2_8</v>
      </c>
      <c r="F1820" s="2">
        <v>38</v>
      </c>
      <c r="G1820" s="2" t="s">
        <v>37</v>
      </c>
      <c r="H1820" s="2">
        <v>5</v>
      </c>
      <c r="I1820" s="2">
        <v>2</v>
      </c>
      <c r="J1820" s="2">
        <f>COUNTIFS($F$13:F1820,F1820,$I$13:I1820,I1820)</f>
        <v>8</v>
      </c>
      <c r="O1820" s="8">
        <v>1038201</v>
      </c>
      <c r="P1820" s="8">
        <v>1038301</v>
      </c>
      <c r="Q1820" s="8">
        <v>1038401</v>
      </c>
      <c r="R1820" s="8">
        <v>1038501</v>
      </c>
      <c r="S1820" s="8">
        <v>1038601</v>
      </c>
    </row>
    <row r="1821" spans="1:19">
      <c r="A1821" s="14" t="s">
        <v>14</v>
      </c>
      <c r="B1821" s="8">
        <f t="shared" si="81"/>
        <v>70385209</v>
      </c>
      <c r="C1821" s="2" t="s">
        <v>1888</v>
      </c>
      <c r="E1821" s="2" t="str">
        <f>F1821&amp;(VLOOKUP(G1821,编号表!$E$1:$G$8,2,0))&amp;H1821&amp;"_"&amp;I1821&amp;"_"&amp;J1821</f>
        <v>38N5_2_9</v>
      </c>
      <c r="F1821" s="2">
        <v>38</v>
      </c>
      <c r="G1821" s="2" t="s">
        <v>37</v>
      </c>
      <c r="H1821" s="2">
        <v>5</v>
      </c>
      <c r="I1821" s="2">
        <v>2</v>
      </c>
      <c r="J1821" s="2">
        <f>COUNTIFS($F$13:F1821,F1821,$I$13:I1821,I1821)</f>
        <v>9</v>
      </c>
      <c r="O1821" s="8">
        <v>1038201</v>
      </c>
      <c r="P1821" s="8">
        <v>1038301</v>
      </c>
      <c r="Q1821" s="8">
        <v>1038401</v>
      </c>
      <c r="R1821" s="8">
        <v>1038501</v>
      </c>
      <c r="S1821" s="8">
        <v>1038601</v>
      </c>
    </row>
    <row r="1822" spans="1:19">
      <c r="A1822" s="14" t="s">
        <v>14</v>
      </c>
      <c r="B1822" s="8">
        <f t="shared" si="81"/>
        <v>70387301</v>
      </c>
      <c r="C1822" s="2" t="s">
        <v>1889</v>
      </c>
      <c r="E1822" s="2" t="str">
        <f>F1822&amp;(VLOOKUP(G1822,编号表!$E$1:$G$8,2,0))&amp;H1822&amp;"_"&amp;I1822&amp;"_"&amp;J1822</f>
        <v>38N7_3_1</v>
      </c>
      <c r="F1822" s="2">
        <v>38</v>
      </c>
      <c r="G1822" s="2" t="s">
        <v>37</v>
      </c>
      <c r="H1822" s="2">
        <v>7</v>
      </c>
      <c r="I1822" s="2">
        <v>3</v>
      </c>
      <c r="J1822" s="2">
        <f>COUNTIFS($F$13:F1822,F1822,$I$13:I1822,I1822)</f>
        <v>1</v>
      </c>
      <c r="O1822" s="8">
        <v>1038201</v>
      </c>
      <c r="P1822" s="8">
        <v>1038301</v>
      </c>
      <c r="Q1822" s="8">
        <v>1038401</v>
      </c>
      <c r="R1822" s="8">
        <v>1038501</v>
      </c>
      <c r="S1822" s="8">
        <v>1038601</v>
      </c>
    </row>
    <row r="1823" spans="1:19">
      <c r="A1823" s="14" t="s">
        <v>14</v>
      </c>
      <c r="B1823" s="8">
        <f t="shared" si="81"/>
        <v>70385302</v>
      </c>
      <c r="C1823" s="2" t="s">
        <v>1890</v>
      </c>
      <c r="E1823" s="2" t="str">
        <f>F1823&amp;(VLOOKUP(G1823,编号表!$E$1:$G$8,2,0))&amp;H1823&amp;"_"&amp;I1823&amp;"_"&amp;J1823</f>
        <v>38N5_3_2</v>
      </c>
      <c r="F1823" s="2">
        <v>38</v>
      </c>
      <c r="G1823" s="2" t="s">
        <v>37</v>
      </c>
      <c r="H1823" s="2">
        <v>5</v>
      </c>
      <c r="I1823" s="2">
        <v>3</v>
      </c>
      <c r="J1823" s="2">
        <f>COUNTIFS($F$13:F1823,F1823,$I$13:I1823,I1823)</f>
        <v>2</v>
      </c>
      <c r="O1823" s="8">
        <v>1038201</v>
      </c>
      <c r="P1823" s="8">
        <v>1038301</v>
      </c>
      <c r="Q1823" s="8">
        <v>1038401</v>
      </c>
      <c r="R1823" s="8">
        <v>1038501</v>
      </c>
      <c r="S1823" s="8">
        <v>1038601</v>
      </c>
    </row>
    <row r="1824" spans="1:19">
      <c r="A1824" s="14" t="s">
        <v>14</v>
      </c>
      <c r="B1824" s="8">
        <f t="shared" si="81"/>
        <v>70384303</v>
      </c>
      <c r="C1824" s="2" t="s">
        <v>1891</v>
      </c>
      <c r="E1824" s="2" t="str">
        <f>F1824&amp;(VLOOKUP(G1824,编号表!$E$1:$G$8,2,0))&amp;H1824&amp;"_"&amp;I1824&amp;"_"&amp;J1824</f>
        <v>38N4_3_3</v>
      </c>
      <c r="F1824" s="2">
        <v>38</v>
      </c>
      <c r="G1824" s="2" t="s">
        <v>37</v>
      </c>
      <c r="H1824" s="2">
        <v>4</v>
      </c>
      <c r="I1824" s="2">
        <v>3</v>
      </c>
      <c r="J1824" s="2">
        <f>COUNTIFS($F$13:F1824,F1824,$I$13:I1824,I1824)</f>
        <v>3</v>
      </c>
      <c r="O1824" s="8">
        <v>1038201</v>
      </c>
      <c r="P1824" s="8">
        <v>1038301</v>
      </c>
      <c r="Q1824" s="8">
        <v>1038401</v>
      </c>
      <c r="R1824" s="8">
        <v>1038501</v>
      </c>
      <c r="S1824" s="8">
        <v>1038601</v>
      </c>
    </row>
    <row r="1825" spans="1:21">
      <c r="A1825" s="14" t="s">
        <v>14</v>
      </c>
      <c r="B1825" s="8">
        <f t="shared" si="81"/>
        <v>70386304</v>
      </c>
      <c r="C1825" s="2" t="s">
        <v>1892</v>
      </c>
      <c r="E1825" s="2" t="str">
        <f>F1825&amp;(VLOOKUP(G1825,编号表!$E$1:$G$8,2,0))&amp;H1825&amp;"_"&amp;I1825&amp;"_"&amp;J1825</f>
        <v>38N6_3_4</v>
      </c>
      <c r="F1825" s="2">
        <v>38</v>
      </c>
      <c r="G1825" s="2" t="s">
        <v>37</v>
      </c>
      <c r="H1825" s="2">
        <v>6</v>
      </c>
      <c r="I1825" s="2">
        <v>3</v>
      </c>
      <c r="J1825" s="2">
        <f>COUNTIFS($F$13:F1825,F1825,$I$13:I1825,I1825)</f>
        <v>4</v>
      </c>
      <c r="O1825" s="8">
        <v>1038201</v>
      </c>
      <c r="P1825" s="8">
        <v>1038301</v>
      </c>
      <c r="Q1825" s="8">
        <v>1038401</v>
      </c>
      <c r="R1825" s="8">
        <v>1038501</v>
      </c>
      <c r="S1825" s="8">
        <v>1038601</v>
      </c>
    </row>
    <row r="1826" spans="1:21">
      <c r="A1826" s="14" t="s">
        <v>14</v>
      </c>
      <c r="B1826" s="8">
        <f t="shared" si="81"/>
        <v>70383305</v>
      </c>
      <c r="C1826" s="2" t="s">
        <v>1893</v>
      </c>
      <c r="E1826" s="2" t="str">
        <f>F1826&amp;(VLOOKUP(G1826,编号表!$E$1:$G$8,2,0))&amp;H1826&amp;"_"&amp;I1826&amp;"_"&amp;J1826</f>
        <v>38N3_3_5</v>
      </c>
      <c r="F1826" s="2">
        <v>38</v>
      </c>
      <c r="G1826" s="2" t="s">
        <v>37</v>
      </c>
      <c r="H1826" s="2">
        <v>3</v>
      </c>
      <c r="I1826" s="2">
        <v>3</v>
      </c>
      <c r="J1826" s="2">
        <f>COUNTIFS($F$13:F1826,F1826,$I$13:I1826,I1826)</f>
        <v>5</v>
      </c>
      <c r="O1826" s="8">
        <v>1038201</v>
      </c>
      <c r="P1826" s="8">
        <v>1038301</v>
      </c>
      <c r="Q1826" s="8">
        <v>1038401</v>
      </c>
      <c r="R1826" s="8">
        <v>1038501</v>
      </c>
      <c r="S1826" s="8">
        <v>1038601</v>
      </c>
    </row>
    <row r="1827" spans="1:21">
      <c r="A1827" s="14" t="s">
        <v>14</v>
      </c>
      <c r="B1827" s="8">
        <f t="shared" si="81"/>
        <v>70387401</v>
      </c>
      <c r="C1827" s="2" t="s">
        <v>1894</v>
      </c>
      <c r="E1827" s="2" t="str">
        <f>F1827&amp;(VLOOKUP(G1827,编号表!$E$1:$G$8,2,0))&amp;H1827&amp;"_"&amp;I1827&amp;"_"&amp;J1827</f>
        <v>38N7_4_1</v>
      </c>
      <c r="F1827" s="2">
        <v>38</v>
      </c>
      <c r="G1827" s="2" t="s">
        <v>37</v>
      </c>
      <c r="H1827" s="2">
        <v>7</v>
      </c>
      <c r="I1827" s="2">
        <v>4</v>
      </c>
      <c r="J1827" s="2">
        <f>COUNTIFS($F$13:F1827,F1827,$I$13:I1827,I1827)</f>
        <v>1</v>
      </c>
      <c r="O1827" s="8">
        <v>1038201</v>
      </c>
      <c r="P1827" s="8">
        <v>1038301</v>
      </c>
      <c r="Q1827" s="8">
        <v>1038401</v>
      </c>
      <c r="R1827" s="8">
        <v>1038501</v>
      </c>
      <c r="S1827" s="8">
        <v>1038601</v>
      </c>
    </row>
    <row r="1828" spans="1:21">
      <c r="A1828" s="14" t="s">
        <v>14</v>
      </c>
      <c r="B1828" s="8">
        <f t="shared" si="81"/>
        <v>70385402</v>
      </c>
      <c r="C1828" s="2" t="s">
        <v>1895</v>
      </c>
      <c r="E1828" s="2" t="str">
        <f>F1828&amp;(VLOOKUP(G1828,编号表!$E$1:$G$8,2,0))&amp;H1828&amp;"_"&amp;I1828&amp;"_"&amp;J1828</f>
        <v>38N5_4_2</v>
      </c>
      <c r="F1828" s="2">
        <v>38</v>
      </c>
      <c r="G1828" s="2" t="s">
        <v>37</v>
      </c>
      <c r="H1828" s="2">
        <v>5</v>
      </c>
      <c r="I1828" s="2">
        <v>4</v>
      </c>
      <c r="J1828" s="2">
        <f>COUNTIFS($F$13:F1828,F1828,$I$13:I1828,I1828)</f>
        <v>2</v>
      </c>
      <c r="O1828" s="8">
        <v>1038201</v>
      </c>
      <c r="P1828" s="8">
        <v>1038301</v>
      </c>
      <c r="Q1828" s="8">
        <v>1038401</v>
      </c>
      <c r="R1828" s="8">
        <v>1038501</v>
      </c>
      <c r="S1828" s="8">
        <v>1038601</v>
      </c>
    </row>
    <row r="1829" spans="1:21">
      <c r="A1829" s="14" t="s">
        <v>14</v>
      </c>
      <c r="B1829" s="8">
        <f t="shared" si="81"/>
        <v>70382403</v>
      </c>
      <c r="C1829" s="2" t="s">
        <v>1896</v>
      </c>
      <c r="E1829" s="2" t="str">
        <f>F1829&amp;(VLOOKUP(G1829,编号表!$E$1:$G$8,2,0))&amp;H1829&amp;"_"&amp;I1829&amp;"_"&amp;J1829</f>
        <v>38N2_4_3</v>
      </c>
      <c r="F1829" s="2">
        <v>38</v>
      </c>
      <c r="G1829" s="2" t="s">
        <v>37</v>
      </c>
      <c r="H1829" s="2">
        <v>2</v>
      </c>
      <c r="I1829" s="2">
        <v>4</v>
      </c>
      <c r="J1829" s="2">
        <f>COUNTIFS($F$13:F1829,F1829,$I$13:I1829,I1829)</f>
        <v>3</v>
      </c>
      <c r="O1829" s="8">
        <v>1038201</v>
      </c>
      <c r="P1829" s="8">
        <v>1038301</v>
      </c>
      <c r="Q1829" s="8">
        <v>1038401</v>
      </c>
      <c r="R1829" s="8">
        <v>1038501</v>
      </c>
      <c r="S1829" s="8">
        <v>1038601</v>
      </c>
    </row>
    <row r="1830" spans="1:21">
      <c r="A1830" s="14" t="s">
        <v>14</v>
      </c>
      <c r="B1830" s="8">
        <f t="shared" si="81"/>
        <v>70384404</v>
      </c>
      <c r="C1830" s="2" t="s">
        <v>1897</v>
      </c>
      <c r="E1830" s="2" t="str">
        <f>F1830&amp;(VLOOKUP(G1830,编号表!$E$1:$G$8,2,0))&amp;H1830&amp;"_"&amp;I1830&amp;"_"&amp;J1830</f>
        <v>38N4_4_4</v>
      </c>
      <c r="F1830" s="2">
        <v>38</v>
      </c>
      <c r="G1830" s="2" t="s">
        <v>37</v>
      </c>
      <c r="H1830" s="2">
        <v>4</v>
      </c>
      <c r="I1830" s="2">
        <v>4</v>
      </c>
      <c r="J1830" s="2">
        <f>COUNTIFS($F$13:F1830,F1830,$I$13:I1830,I1830)</f>
        <v>4</v>
      </c>
      <c r="O1830" s="8">
        <v>1038201</v>
      </c>
      <c r="P1830" s="8">
        <v>1038301</v>
      </c>
      <c r="Q1830" s="8">
        <v>1038401</v>
      </c>
      <c r="R1830" s="8">
        <v>1038501</v>
      </c>
      <c r="S1830" s="8">
        <v>1038601</v>
      </c>
    </row>
    <row r="1831" spans="1:21">
      <c r="A1831" s="14" t="s">
        <v>14</v>
      </c>
      <c r="B1831" s="8">
        <f t="shared" si="81"/>
        <v>70385405</v>
      </c>
      <c r="C1831" s="2" t="s">
        <v>1898</v>
      </c>
      <c r="E1831" s="2" t="str">
        <f>F1831&amp;(VLOOKUP(G1831,编号表!$E$1:$G$8,2,0))&amp;H1831&amp;"_"&amp;I1831&amp;"_"&amp;J1831</f>
        <v>38N5_4_5</v>
      </c>
      <c r="F1831" s="2">
        <v>38</v>
      </c>
      <c r="G1831" s="2" t="s">
        <v>37</v>
      </c>
      <c r="H1831" s="2">
        <v>5</v>
      </c>
      <c r="I1831" s="2">
        <v>4</v>
      </c>
      <c r="J1831" s="2">
        <f>COUNTIFS($F$13:F1831,F1831,$I$13:I1831,I1831)</f>
        <v>5</v>
      </c>
      <c r="O1831" s="8">
        <v>1038201</v>
      </c>
      <c r="P1831" s="8">
        <v>1038301</v>
      </c>
      <c r="Q1831" s="8">
        <v>1038401</v>
      </c>
      <c r="R1831" s="8">
        <v>1038501</v>
      </c>
      <c r="S1831" s="8">
        <v>1038601</v>
      </c>
    </row>
    <row r="1832" spans="1:21">
      <c r="A1832" s="14" t="s">
        <v>14</v>
      </c>
      <c r="B1832" s="8">
        <f t="shared" si="81"/>
        <v>70385406</v>
      </c>
      <c r="C1832" s="2" t="s">
        <v>1899</v>
      </c>
      <c r="E1832" s="2" t="str">
        <f>F1832&amp;(VLOOKUP(G1832,编号表!$E$1:$G$8,2,0))&amp;H1832&amp;"_"&amp;I1832&amp;"_"&amp;J1832</f>
        <v>38N5_4_6</v>
      </c>
      <c r="F1832" s="2">
        <v>38</v>
      </c>
      <c r="G1832" s="2" t="s">
        <v>37</v>
      </c>
      <c r="H1832" s="2">
        <v>5</v>
      </c>
      <c r="I1832" s="2">
        <v>4</v>
      </c>
      <c r="J1832" s="2">
        <f>COUNTIFS($F$13:F1832,F1832,$I$13:I1832,I1832)</f>
        <v>6</v>
      </c>
      <c r="O1832" s="8">
        <v>1038201</v>
      </c>
      <c r="P1832" s="8">
        <v>1038301</v>
      </c>
      <c r="Q1832" s="8">
        <v>1038401</v>
      </c>
      <c r="R1832" s="8">
        <v>1038501</v>
      </c>
      <c r="S1832" s="8">
        <v>1038601</v>
      </c>
    </row>
    <row r="1833" spans="1:21">
      <c r="A1833" s="14" t="s">
        <v>14</v>
      </c>
      <c r="B1833" s="8">
        <f t="shared" si="81"/>
        <v>70381407</v>
      </c>
      <c r="C1833" s="15" t="s">
        <v>1900</v>
      </c>
      <c r="E1833" s="2" t="str">
        <f>F1833&amp;(VLOOKUP(G1833,编号表!$E$1:$G$8,2,0))&amp;H1833&amp;"_"&amp;I1833&amp;"_"&amp;J1833</f>
        <v>38T1_4_7</v>
      </c>
      <c r="F1833" s="2">
        <v>38</v>
      </c>
      <c r="G1833" s="2" t="s">
        <v>53</v>
      </c>
      <c r="H1833" s="2">
        <v>1</v>
      </c>
      <c r="I1833" s="2">
        <v>4</v>
      </c>
      <c r="J1833" s="2">
        <f>COUNTIFS($F$13:F1833,F1833,$I$13:I1833,I1833)</f>
        <v>7</v>
      </c>
    </row>
    <row r="1834" spans="1:21">
      <c r="A1834" s="14" t="s">
        <v>14</v>
      </c>
      <c r="B1834" s="8">
        <f t="shared" si="81"/>
        <v>70383408</v>
      </c>
      <c r="C1834" s="16" t="s">
        <v>1901</v>
      </c>
      <c r="D1834" s="2" t="s">
        <v>1902</v>
      </c>
      <c r="E1834" s="2" t="str">
        <f>F1834&amp;(VLOOKUP(G1834,编号表!$E$1:$G$8,2,0))&amp;H1834&amp;"_"&amp;I1834&amp;"_"&amp;J1834</f>
        <v>38T3_4_8</v>
      </c>
      <c r="F1834" s="2">
        <v>38</v>
      </c>
      <c r="G1834" s="2" t="s">
        <v>53</v>
      </c>
      <c r="H1834" s="2">
        <v>3</v>
      </c>
      <c r="I1834" s="2">
        <v>4</v>
      </c>
      <c r="J1834" s="2">
        <f>COUNTIFS($F$13:F1834,F1834,$I$13:I1834,I1834)</f>
        <v>8</v>
      </c>
      <c r="M1834" s="2">
        <v>179</v>
      </c>
    </row>
    <row r="1835" spans="1:21">
      <c r="A1835" s="14" t="s">
        <v>14</v>
      </c>
      <c r="B1835" s="8">
        <f t="shared" si="81"/>
        <v>70380001</v>
      </c>
      <c r="C1835" s="18" t="s">
        <v>1903</v>
      </c>
      <c r="E1835" s="2" t="str">
        <f>F1835&amp;(VLOOKUP(G1835,编号表!$E$1:$G$8,2,0))&amp;H1835&amp;"_"&amp;I1835&amp;"_"&amp;J1835</f>
        <v>38J0_0_1</v>
      </c>
      <c r="F1835" s="2">
        <v>38</v>
      </c>
      <c r="G1835" s="2" t="s">
        <v>86</v>
      </c>
      <c r="H1835" s="2">
        <v>0</v>
      </c>
      <c r="I1835" s="2">
        <v>0</v>
      </c>
      <c r="J1835" s="2">
        <f>COUNTIFS($F$13:F1835,F1835,$I$13:I1835,I1835)</f>
        <v>1</v>
      </c>
      <c r="K1835" s="2">
        <v>1</v>
      </c>
    </row>
    <row r="1836" spans="1:21">
      <c r="A1836" s="14" t="s">
        <v>14</v>
      </c>
      <c r="B1836" s="8">
        <f t="shared" si="81"/>
        <v>70394101</v>
      </c>
      <c r="C1836" s="2" t="s">
        <v>1904</v>
      </c>
      <c r="E1836" s="2" t="str">
        <f>F1836&amp;(VLOOKUP(G1836,编号表!$E$1:$G$8,2,0))&amp;H1836&amp;"_"&amp;I1836&amp;"_"&amp;J1836</f>
        <v>39N4_1_1</v>
      </c>
      <c r="F1836" s="2">
        <v>39</v>
      </c>
      <c r="G1836" s="2" t="s">
        <v>37</v>
      </c>
      <c r="H1836" s="2">
        <v>4</v>
      </c>
      <c r="I1836" s="2">
        <v>1</v>
      </c>
      <c r="J1836" s="2">
        <f>COUNTIFS($F$13:F1836,F1836,$I$13:I1836,I1836)</f>
        <v>1</v>
      </c>
      <c r="O1836" s="8">
        <v>1039201</v>
      </c>
      <c r="P1836" s="8">
        <v>1039301</v>
      </c>
      <c r="Q1836" s="8">
        <v>1039401</v>
      </c>
      <c r="R1836" s="8">
        <v>1039501</v>
      </c>
      <c r="S1836" s="8">
        <v>1039601</v>
      </c>
      <c r="T1836" s="8">
        <v>1039701</v>
      </c>
      <c r="U1836" s="8">
        <v>1039001</v>
      </c>
    </row>
    <row r="1837" spans="1:21">
      <c r="A1837" s="14" t="s">
        <v>14</v>
      </c>
      <c r="B1837" s="8">
        <f t="shared" si="81"/>
        <v>70393102</v>
      </c>
      <c r="C1837" s="2" t="s">
        <v>1905</v>
      </c>
      <c r="E1837" s="2" t="str">
        <f>F1837&amp;(VLOOKUP(G1837,编号表!$E$1:$G$8,2,0))&amp;H1837&amp;"_"&amp;I1837&amp;"_"&amp;J1837</f>
        <v>39N3_1_2</v>
      </c>
      <c r="F1837" s="2">
        <v>39</v>
      </c>
      <c r="G1837" s="2" t="s">
        <v>37</v>
      </c>
      <c r="H1837" s="2">
        <v>3</v>
      </c>
      <c r="I1837" s="2">
        <v>1</v>
      </c>
      <c r="J1837" s="2">
        <f>COUNTIFS($F$13:F1837,F1837,$I$13:I1837,I1837)</f>
        <v>2</v>
      </c>
      <c r="O1837" s="8">
        <v>1039201</v>
      </c>
      <c r="P1837" s="8">
        <v>1039301</v>
      </c>
      <c r="Q1837" s="8">
        <v>1039401</v>
      </c>
      <c r="R1837" s="8">
        <v>1039501</v>
      </c>
      <c r="S1837" s="8">
        <v>1039601</v>
      </c>
      <c r="T1837" s="8">
        <v>1039701</v>
      </c>
      <c r="U1837" s="8">
        <v>1039101</v>
      </c>
    </row>
    <row r="1838" spans="1:21">
      <c r="A1838" s="14" t="s">
        <v>14</v>
      </c>
      <c r="B1838" s="8">
        <f t="shared" si="81"/>
        <v>70395103</v>
      </c>
      <c r="C1838" s="2" t="s">
        <v>1906</v>
      </c>
      <c r="E1838" s="2" t="str">
        <f>F1838&amp;(VLOOKUP(G1838,编号表!$E$1:$G$8,2,0))&amp;H1838&amp;"_"&amp;I1838&amp;"_"&amp;J1838</f>
        <v>39N5_1_3</v>
      </c>
      <c r="F1838" s="2">
        <v>39</v>
      </c>
      <c r="G1838" s="2" t="s">
        <v>37</v>
      </c>
      <c r="H1838" s="2">
        <v>5</v>
      </c>
      <c r="I1838" s="2">
        <v>1</v>
      </c>
      <c r="J1838" s="2">
        <f>COUNTIFS($F$13:F1838,F1838,$I$13:I1838,I1838)</f>
        <v>3</v>
      </c>
      <c r="O1838" s="8">
        <v>1039201</v>
      </c>
      <c r="P1838" s="8">
        <v>1039301</v>
      </c>
      <c r="Q1838" s="8">
        <v>1039401</v>
      </c>
      <c r="R1838" s="8">
        <v>1039501</v>
      </c>
      <c r="S1838" s="8">
        <v>1039601</v>
      </c>
      <c r="T1838" s="8">
        <v>1039701</v>
      </c>
      <c r="U1838" s="8">
        <v>1039102</v>
      </c>
    </row>
    <row r="1839" spans="1:21">
      <c r="A1839" s="14" t="s">
        <v>14</v>
      </c>
      <c r="B1839" s="8">
        <f t="shared" si="81"/>
        <v>70398201</v>
      </c>
      <c r="C1839" s="2" t="s">
        <v>1907</v>
      </c>
      <c r="E1839" s="2" t="str">
        <f>F1839&amp;(VLOOKUP(G1839,编号表!$E$1:$G$8,2,0))&amp;H1839&amp;"_"&amp;I1839&amp;"_"&amp;J1839</f>
        <v>39N8_2_1</v>
      </c>
      <c r="F1839" s="2">
        <v>39</v>
      </c>
      <c r="G1839" s="2" t="s">
        <v>37</v>
      </c>
      <c r="H1839" s="2">
        <v>8</v>
      </c>
      <c r="I1839" s="2">
        <v>2</v>
      </c>
      <c r="J1839" s="2">
        <f>COUNTIFS($F$13:F1839,F1839,$I$13:I1839,I1839)</f>
        <v>1</v>
      </c>
      <c r="O1839" s="8">
        <v>1039201</v>
      </c>
      <c r="P1839" s="8">
        <v>1039301</v>
      </c>
      <c r="Q1839" s="8">
        <v>1039401</v>
      </c>
      <c r="R1839" s="8">
        <v>1039501</v>
      </c>
      <c r="S1839" s="8">
        <v>1039601</v>
      </c>
      <c r="T1839" s="8">
        <v>1039701</v>
      </c>
    </row>
    <row r="1840" spans="1:21">
      <c r="A1840" s="14" t="s">
        <v>14</v>
      </c>
      <c r="B1840" s="8">
        <f t="shared" si="81"/>
        <v>70398202</v>
      </c>
      <c r="C1840" s="2" t="s">
        <v>1908</v>
      </c>
      <c r="E1840" s="2" t="str">
        <f>F1840&amp;(VLOOKUP(G1840,编号表!$E$1:$G$8,2,0))&amp;H1840&amp;"_"&amp;I1840&amp;"_"&amp;J1840</f>
        <v>39N8_2_2</v>
      </c>
      <c r="F1840" s="2">
        <v>39</v>
      </c>
      <c r="G1840" s="2" t="s">
        <v>37</v>
      </c>
      <c r="H1840" s="2">
        <v>8</v>
      </c>
      <c r="I1840" s="2">
        <v>2</v>
      </c>
      <c r="J1840" s="2">
        <f>COUNTIFS($F$13:F1840,F1840,$I$13:I1840,I1840)</f>
        <v>2</v>
      </c>
      <c r="O1840" s="8">
        <v>1039201</v>
      </c>
      <c r="P1840" s="8">
        <v>1039301</v>
      </c>
      <c r="Q1840" s="8">
        <v>1039401</v>
      </c>
      <c r="R1840" s="8">
        <v>1039501</v>
      </c>
      <c r="S1840" s="8">
        <v>1039601</v>
      </c>
      <c r="T1840" s="8">
        <v>1039701</v>
      </c>
    </row>
    <row r="1841" spans="1:20">
      <c r="A1841" s="14" t="s">
        <v>14</v>
      </c>
      <c r="B1841" s="8">
        <f t="shared" si="81"/>
        <v>70395203</v>
      </c>
      <c r="C1841" s="2" t="s">
        <v>1909</v>
      </c>
      <c r="E1841" s="2" t="str">
        <f>F1841&amp;(VLOOKUP(G1841,编号表!$E$1:$G$8,2,0))&amp;H1841&amp;"_"&amp;I1841&amp;"_"&amp;J1841</f>
        <v>39N5_2_3</v>
      </c>
      <c r="F1841" s="2">
        <v>39</v>
      </c>
      <c r="G1841" s="2" t="s">
        <v>37</v>
      </c>
      <c r="H1841" s="2">
        <v>5</v>
      </c>
      <c r="I1841" s="2">
        <v>2</v>
      </c>
      <c r="J1841" s="2">
        <f>COUNTIFS($F$13:F1841,F1841,$I$13:I1841,I1841)</f>
        <v>3</v>
      </c>
      <c r="O1841" s="8">
        <v>1039201</v>
      </c>
      <c r="P1841" s="8">
        <v>1039301</v>
      </c>
      <c r="Q1841" s="8">
        <v>1039401</v>
      </c>
      <c r="R1841" s="8">
        <v>1039501</v>
      </c>
      <c r="S1841" s="8">
        <v>1039601</v>
      </c>
      <c r="T1841" s="8">
        <v>1039701</v>
      </c>
    </row>
    <row r="1842" spans="1:20">
      <c r="A1842" s="14" t="s">
        <v>14</v>
      </c>
      <c r="B1842" s="8">
        <f t="shared" si="81"/>
        <v>70395204</v>
      </c>
      <c r="C1842" s="2" t="s">
        <v>1910</v>
      </c>
      <c r="E1842" s="2" t="str">
        <f>F1842&amp;(VLOOKUP(G1842,编号表!$E$1:$G$8,2,0))&amp;H1842&amp;"_"&amp;I1842&amp;"_"&amp;J1842</f>
        <v>39N5_2_4</v>
      </c>
      <c r="F1842" s="2">
        <v>39</v>
      </c>
      <c r="G1842" s="2" t="s">
        <v>37</v>
      </c>
      <c r="H1842" s="2">
        <v>5</v>
      </c>
      <c r="I1842" s="2">
        <v>2</v>
      </c>
      <c r="J1842" s="2">
        <f>COUNTIFS($F$13:F1842,F1842,$I$13:I1842,I1842)</f>
        <v>4</v>
      </c>
      <c r="O1842" s="8">
        <v>1039201</v>
      </c>
      <c r="P1842" s="8">
        <v>1039301</v>
      </c>
      <c r="Q1842" s="8">
        <v>1039401</v>
      </c>
      <c r="R1842" s="8">
        <v>1039501</v>
      </c>
      <c r="S1842" s="8">
        <v>1039601</v>
      </c>
      <c r="T1842" s="8">
        <v>1039701</v>
      </c>
    </row>
    <row r="1843" spans="1:20">
      <c r="A1843" s="14" t="s">
        <v>14</v>
      </c>
      <c r="B1843" s="8">
        <f t="shared" si="81"/>
        <v>70393205</v>
      </c>
      <c r="C1843" s="16" t="s">
        <v>1911</v>
      </c>
      <c r="D1843" s="2" t="s">
        <v>1912</v>
      </c>
      <c r="E1843" s="2" t="str">
        <f>F1843&amp;(VLOOKUP(G1843,编号表!$E$1:$G$8,2,0))&amp;H1843&amp;"_"&amp;I1843&amp;"_"&amp;J1843</f>
        <v>39T3_2_5</v>
      </c>
      <c r="F1843" s="2">
        <v>39</v>
      </c>
      <c r="G1843" s="2" t="s">
        <v>53</v>
      </c>
      <c r="H1843" s="2">
        <v>3</v>
      </c>
      <c r="I1843" s="2">
        <v>2</v>
      </c>
      <c r="J1843" s="2">
        <f>COUNTIFS($F$13:F1843,F1843,$I$13:I1843,I1843)</f>
        <v>5</v>
      </c>
      <c r="M1843" s="2">
        <v>182</v>
      </c>
    </row>
    <row r="1844" spans="1:20">
      <c r="A1844" s="14" t="s">
        <v>14</v>
      </c>
      <c r="B1844" s="8">
        <f t="shared" si="81"/>
        <v>70391206</v>
      </c>
      <c r="C1844" s="15" t="s">
        <v>1913</v>
      </c>
      <c r="E1844" s="2" t="str">
        <f>F1844&amp;(VLOOKUP(G1844,编号表!$E$1:$G$8,2,0))&amp;H1844&amp;"_"&amp;I1844&amp;"_"&amp;J1844</f>
        <v>39T1_2_6</v>
      </c>
      <c r="F1844" s="2">
        <v>39</v>
      </c>
      <c r="G1844" s="2" t="s">
        <v>53</v>
      </c>
      <c r="H1844" s="2">
        <v>1</v>
      </c>
      <c r="I1844" s="2">
        <v>2</v>
      </c>
      <c r="J1844" s="2">
        <f>COUNTIFS($F$13:F1844,F1844,$I$13:I1844,I1844)</f>
        <v>6</v>
      </c>
    </row>
    <row r="1845" spans="1:20">
      <c r="A1845" s="14" t="s">
        <v>14</v>
      </c>
      <c r="B1845" s="8">
        <f t="shared" si="81"/>
        <v>70393207</v>
      </c>
      <c r="C1845" s="2" t="s">
        <v>1914</v>
      </c>
      <c r="E1845" s="2" t="str">
        <f>F1845&amp;(VLOOKUP(G1845,编号表!$E$1:$G$8,2,0))&amp;H1845&amp;"_"&amp;I1845&amp;"_"&amp;J1845</f>
        <v>39N3_2_7</v>
      </c>
      <c r="F1845" s="2">
        <v>39</v>
      </c>
      <c r="G1845" s="2" t="s">
        <v>37</v>
      </c>
      <c r="H1845" s="2">
        <v>3</v>
      </c>
      <c r="I1845" s="2">
        <v>2</v>
      </c>
      <c r="J1845" s="2">
        <f>COUNTIFS($F$13:F1845,F1845,$I$13:I1845,I1845)</f>
        <v>7</v>
      </c>
      <c r="O1845" s="8">
        <v>1039201</v>
      </c>
      <c r="P1845" s="8">
        <v>1039301</v>
      </c>
      <c r="Q1845" s="8">
        <v>1039401</v>
      </c>
      <c r="R1845" s="8">
        <v>1039501</v>
      </c>
      <c r="S1845" s="8">
        <v>1039601</v>
      </c>
      <c r="T1845" s="8">
        <v>1039701</v>
      </c>
    </row>
    <row r="1846" spans="1:20">
      <c r="A1846" s="14" t="s">
        <v>14</v>
      </c>
      <c r="B1846" s="8">
        <f t="shared" si="81"/>
        <v>70394301</v>
      </c>
      <c r="C1846" s="2" t="s">
        <v>1915</v>
      </c>
      <c r="E1846" s="2" t="str">
        <f>F1846&amp;(VLOOKUP(G1846,编号表!$E$1:$G$8,2,0))&amp;H1846&amp;"_"&amp;I1846&amp;"_"&amp;J1846</f>
        <v>39N4_3_1</v>
      </c>
      <c r="F1846" s="2">
        <v>39</v>
      </c>
      <c r="G1846" s="2" t="s">
        <v>37</v>
      </c>
      <c r="H1846" s="2">
        <v>4</v>
      </c>
      <c r="I1846" s="2">
        <v>3</v>
      </c>
      <c r="J1846" s="2">
        <f>COUNTIFS($F$13:F1846,F1846,$I$13:I1846,I1846)</f>
        <v>1</v>
      </c>
      <c r="O1846" s="8">
        <v>1039201</v>
      </c>
      <c r="P1846" s="8">
        <v>1039301</v>
      </c>
      <c r="Q1846" s="8">
        <v>1039401</v>
      </c>
      <c r="R1846" s="8">
        <v>1039501</v>
      </c>
      <c r="S1846" s="8">
        <v>1039601</v>
      </c>
      <c r="T1846" s="8">
        <v>1039701</v>
      </c>
    </row>
    <row r="1847" spans="1:20">
      <c r="A1847" s="14" t="s">
        <v>14</v>
      </c>
      <c r="B1847" s="8">
        <f t="shared" si="81"/>
        <v>70396302</v>
      </c>
      <c r="C1847" s="2" t="s">
        <v>1916</v>
      </c>
      <c r="E1847" s="2" t="str">
        <f>F1847&amp;(VLOOKUP(G1847,编号表!$E$1:$G$8,2,0))&amp;H1847&amp;"_"&amp;I1847&amp;"_"&amp;J1847</f>
        <v>39N6_3_2</v>
      </c>
      <c r="F1847" s="2">
        <v>39</v>
      </c>
      <c r="G1847" s="2" t="s">
        <v>37</v>
      </c>
      <c r="H1847" s="2">
        <v>6</v>
      </c>
      <c r="I1847" s="2">
        <v>3</v>
      </c>
      <c r="J1847" s="2">
        <f>COUNTIFS($F$13:F1847,F1847,$I$13:I1847,I1847)</f>
        <v>2</v>
      </c>
      <c r="O1847" s="8">
        <v>1039201</v>
      </c>
      <c r="P1847" s="8">
        <v>1039301</v>
      </c>
      <c r="Q1847" s="8">
        <v>1039401</v>
      </c>
      <c r="R1847" s="8">
        <v>1039501</v>
      </c>
      <c r="S1847" s="8">
        <v>1039601</v>
      </c>
      <c r="T1847" s="8">
        <v>1039701</v>
      </c>
    </row>
    <row r="1848" spans="1:20">
      <c r="A1848" s="14" t="s">
        <v>14</v>
      </c>
      <c r="B1848" s="8">
        <f t="shared" si="81"/>
        <v>70395303</v>
      </c>
      <c r="C1848" s="2" t="s">
        <v>1917</v>
      </c>
      <c r="E1848" s="2" t="str">
        <f>F1848&amp;(VLOOKUP(G1848,编号表!$E$1:$G$8,2,0))&amp;H1848&amp;"_"&amp;I1848&amp;"_"&amp;J1848</f>
        <v>39N5_3_3</v>
      </c>
      <c r="F1848" s="2">
        <v>39</v>
      </c>
      <c r="G1848" s="2" t="s">
        <v>37</v>
      </c>
      <c r="H1848" s="2">
        <v>5</v>
      </c>
      <c r="I1848" s="2">
        <v>3</v>
      </c>
      <c r="J1848" s="2">
        <f>COUNTIFS($F$13:F1848,F1848,$I$13:I1848,I1848)</f>
        <v>3</v>
      </c>
      <c r="O1848" s="8">
        <v>1039201</v>
      </c>
      <c r="P1848" s="8">
        <v>1039301</v>
      </c>
      <c r="Q1848" s="8">
        <v>1039401</v>
      </c>
      <c r="R1848" s="8">
        <v>1039501</v>
      </c>
      <c r="S1848" s="8">
        <v>1039601</v>
      </c>
      <c r="T1848" s="8">
        <v>1039701</v>
      </c>
    </row>
    <row r="1849" spans="1:20">
      <c r="A1849" s="14" t="s">
        <v>14</v>
      </c>
      <c r="B1849" s="8">
        <f t="shared" si="81"/>
        <v>70394304</v>
      </c>
      <c r="C1849" s="2" t="s">
        <v>1918</v>
      </c>
      <c r="E1849" s="2" t="str">
        <f>F1849&amp;(VLOOKUP(G1849,编号表!$E$1:$G$8,2,0))&amp;H1849&amp;"_"&amp;I1849&amp;"_"&amp;J1849</f>
        <v>39N4_3_4</v>
      </c>
      <c r="F1849" s="2">
        <v>39</v>
      </c>
      <c r="G1849" s="2" t="s">
        <v>37</v>
      </c>
      <c r="H1849" s="2">
        <v>4</v>
      </c>
      <c r="I1849" s="2">
        <v>3</v>
      </c>
      <c r="J1849" s="2">
        <f>COUNTIFS($F$13:F1849,F1849,$I$13:I1849,I1849)</f>
        <v>4</v>
      </c>
      <c r="O1849" s="8">
        <v>1039201</v>
      </c>
      <c r="P1849" s="8">
        <v>1039301</v>
      </c>
      <c r="Q1849" s="8">
        <v>1039401</v>
      </c>
      <c r="R1849" s="8">
        <v>1039501</v>
      </c>
      <c r="S1849" s="8">
        <v>1039601</v>
      </c>
      <c r="T1849" s="8">
        <v>1039701</v>
      </c>
    </row>
    <row r="1850" spans="1:20">
      <c r="A1850" s="14" t="s">
        <v>14</v>
      </c>
      <c r="B1850" s="8">
        <f t="shared" si="81"/>
        <v>70397305</v>
      </c>
      <c r="C1850" s="2" t="s">
        <v>1919</v>
      </c>
      <c r="E1850" s="2" t="str">
        <f>F1850&amp;(VLOOKUP(G1850,编号表!$E$1:$G$8,2,0))&amp;H1850&amp;"_"&amp;I1850&amp;"_"&amp;J1850</f>
        <v>39N7_3_5</v>
      </c>
      <c r="F1850" s="2">
        <v>39</v>
      </c>
      <c r="G1850" s="2" t="s">
        <v>37</v>
      </c>
      <c r="H1850" s="2">
        <v>7</v>
      </c>
      <c r="I1850" s="2">
        <v>3</v>
      </c>
      <c r="J1850" s="2">
        <f>COUNTIFS($F$13:F1850,F1850,$I$13:I1850,I1850)</f>
        <v>5</v>
      </c>
      <c r="O1850" s="8">
        <v>1039201</v>
      </c>
      <c r="P1850" s="8">
        <v>1039301</v>
      </c>
      <c r="Q1850" s="8">
        <v>1039401</v>
      </c>
      <c r="R1850" s="8">
        <v>1039501</v>
      </c>
      <c r="S1850" s="8">
        <v>1039601</v>
      </c>
      <c r="T1850" s="8">
        <v>1039701</v>
      </c>
    </row>
    <row r="1851" spans="1:20">
      <c r="A1851" s="14" t="s">
        <v>14</v>
      </c>
      <c r="B1851" s="8">
        <f t="shared" si="81"/>
        <v>70396401</v>
      </c>
      <c r="C1851" s="2" t="s">
        <v>1920</v>
      </c>
      <c r="E1851" s="2" t="str">
        <f>F1851&amp;(VLOOKUP(G1851,编号表!$E$1:$G$8,2,0))&amp;H1851&amp;"_"&amp;I1851&amp;"_"&amp;J1851</f>
        <v>39N6_4_1</v>
      </c>
      <c r="F1851" s="2">
        <v>39</v>
      </c>
      <c r="G1851" s="2" t="s">
        <v>37</v>
      </c>
      <c r="H1851" s="2">
        <v>6</v>
      </c>
      <c r="I1851" s="2">
        <v>4</v>
      </c>
      <c r="J1851" s="2">
        <f>COUNTIFS($F$13:F1851,F1851,$I$13:I1851,I1851)</f>
        <v>1</v>
      </c>
      <c r="O1851" s="8">
        <v>1039201</v>
      </c>
      <c r="P1851" s="8">
        <v>1039301</v>
      </c>
      <c r="Q1851" s="8">
        <v>1039401</v>
      </c>
      <c r="R1851" s="8">
        <v>1039501</v>
      </c>
      <c r="S1851" s="8">
        <v>1039601</v>
      </c>
      <c r="T1851" s="8">
        <v>1039701</v>
      </c>
    </row>
    <row r="1852" spans="1:20">
      <c r="A1852" s="14" t="s">
        <v>14</v>
      </c>
      <c r="B1852" s="8">
        <f t="shared" si="81"/>
        <v>70394402</v>
      </c>
      <c r="C1852" s="2" t="s">
        <v>1921</v>
      </c>
      <c r="E1852" s="2" t="str">
        <f>F1852&amp;(VLOOKUP(G1852,编号表!$E$1:$G$8,2,0))&amp;H1852&amp;"_"&amp;I1852&amp;"_"&amp;J1852</f>
        <v>39N4_4_2</v>
      </c>
      <c r="F1852" s="2">
        <v>39</v>
      </c>
      <c r="G1852" s="2" t="s">
        <v>37</v>
      </c>
      <c r="H1852" s="2">
        <v>4</v>
      </c>
      <c r="I1852" s="2">
        <v>4</v>
      </c>
      <c r="J1852" s="2">
        <f>COUNTIFS($F$13:F1852,F1852,$I$13:I1852,I1852)</f>
        <v>2</v>
      </c>
      <c r="O1852" s="8">
        <v>1039201</v>
      </c>
      <c r="P1852" s="8">
        <v>1039301</v>
      </c>
      <c r="Q1852" s="8">
        <v>1039401</v>
      </c>
      <c r="R1852" s="8">
        <v>1039501</v>
      </c>
      <c r="S1852" s="8">
        <v>1039601</v>
      </c>
      <c r="T1852" s="8">
        <v>1039701</v>
      </c>
    </row>
    <row r="1853" spans="1:20">
      <c r="A1853" s="14" t="s">
        <v>14</v>
      </c>
      <c r="B1853" s="8">
        <f t="shared" si="81"/>
        <v>70396403</v>
      </c>
      <c r="C1853" s="2" t="s">
        <v>1922</v>
      </c>
      <c r="E1853" s="2" t="str">
        <f>F1853&amp;(VLOOKUP(G1853,编号表!$E$1:$G$8,2,0))&amp;H1853&amp;"_"&amp;I1853&amp;"_"&amp;J1853</f>
        <v>39N6_4_3</v>
      </c>
      <c r="F1853" s="2">
        <v>39</v>
      </c>
      <c r="G1853" s="2" t="s">
        <v>37</v>
      </c>
      <c r="H1853" s="2">
        <v>6</v>
      </c>
      <c r="I1853" s="2">
        <v>4</v>
      </c>
      <c r="J1853" s="2">
        <f>COUNTIFS($F$13:F1853,F1853,$I$13:I1853,I1853)</f>
        <v>3</v>
      </c>
      <c r="O1853" s="8">
        <v>1039201</v>
      </c>
      <c r="P1853" s="8">
        <v>1039301</v>
      </c>
      <c r="Q1853" s="8">
        <v>1039401</v>
      </c>
      <c r="R1853" s="8">
        <v>1039501</v>
      </c>
      <c r="S1853" s="8">
        <v>1039601</v>
      </c>
      <c r="T1853" s="8">
        <v>1039701</v>
      </c>
    </row>
    <row r="1854" spans="1:20">
      <c r="A1854" s="14" t="s">
        <v>14</v>
      </c>
      <c r="B1854" s="8">
        <f t="shared" si="81"/>
        <v>70396404</v>
      </c>
      <c r="C1854" s="2" t="s">
        <v>1923</v>
      </c>
      <c r="E1854" s="2" t="str">
        <f>F1854&amp;(VLOOKUP(G1854,编号表!$E$1:$G$8,2,0))&amp;H1854&amp;"_"&amp;I1854&amp;"_"&amp;J1854</f>
        <v>39N6_4_4</v>
      </c>
      <c r="F1854" s="2">
        <v>39</v>
      </c>
      <c r="G1854" s="2" t="s">
        <v>37</v>
      </c>
      <c r="H1854" s="2">
        <v>6</v>
      </c>
      <c r="I1854" s="2">
        <v>4</v>
      </c>
      <c r="J1854" s="2">
        <f>COUNTIFS($F$13:F1854,F1854,$I$13:I1854,I1854)</f>
        <v>4</v>
      </c>
      <c r="O1854" s="8">
        <v>1039201</v>
      </c>
      <c r="P1854" s="8">
        <v>1039301</v>
      </c>
      <c r="Q1854" s="8">
        <v>1039401</v>
      </c>
      <c r="R1854" s="8">
        <v>1039501</v>
      </c>
      <c r="S1854" s="8">
        <v>1039601</v>
      </c>
      <c r="T1854" s="8">
        <v>1039701</v>
      </c>
    </row>
    <row r="1855" spans="1:20">
      <c r="A1855" s="14" t="s">
        <v>14</v>
      </c>
      <c r="B1855" s="8">
        <f t="shared" si="81"/>
        <v>70395405</v>
      </c>
      <c r="C1855" s="2" t="s">
        <v>1924</v>
      </c>
      <c r="E1855" s="2" t="str">
        <f>F1855&amp;(VLOOKUP(G1855,编号表!$E$1:$G$8,2,0))&amp;H1855&amp;"_"&amp;I1855&amp;"_"&amp;J1855</f>
        <v>39N5_4_5</v>
      </c>
      <c r="F1855" s="2">
        <v>39</v>
      </c>
      <c r="G1855" s="2" t="s">
        <v>37</v>
      </c>
      <c r="H1855" s="2">
        <v>5</v>
      </c>
      <c r="I1855" s="2">
        <v>4</v>
      </c>
      <c r="J1855" s="2">
        <f>COUNTIFS($F$13:F1855,F1855,$I$13:I1855,I1855)</f>
        <v>5</v>
      </c>
      <c r="O1855" s="8">
        <v>1039201</v>
      </c>
      <c r="P1855" s="8">
        <v>1039301</v>
      </c>
      <c r="Q1855" s="8">
        <v>1039401</v>
      </c>
      <c r="R1855" s="8">
        <v>1039501</v>
      </c>
      <c r="S1855" s="8">
        <v>1039601</v>
      </c>
      <c r="T1855" s="8">
        <v>1039701</v>
      </c>
    </row>
    <row r="1856" spans="1:20">
      <c r="A1856" s="14" t="s">
        <v>14</v>
      </c>
      <c r="B1856" s="8">
        <f t="shared" si="81"/>
        <v>70391406</v>
      </c>
      <c r="C1856" s="15" t="s">
        <v>1902</v>
      </c>
      <c r="E1856" s="2" t="str">
        <f>F1856&amp;(VLOOKUP(G1856,编号表!$E$1:$G$8,2,0))&amp;H1856&amp;"_"&amp;I1856&amp;"_"&amp;J1856</f>
        <v>39T1_4_6</v>
      </c>
      <c r="F1856" s="2">
        <v>39</v>
      </c>
      <c r="G1856" s="2" t="s">
        <v>53</v>
      </c>
      <c r="H1856" s="2">
        <v>1</v>
      </c>
      <c r="I1856" s="2">
        <v>4</v>
      </c>
      <c r="J1856" s="2">
        <f>COUNTIFS($F$13:F1856,F1856,$I$13:I1856,I1856)</f>
        <v>6</v>
      </c>
      <c r="L1856" s="2">
        <v>1</v>
      </c>
    </row>
    <row r="1857" spans="1:20">
      <c r="A1857" s="14" t="s">
        <v>14</v>
      </c>
      <c r="B1857" s="8">
        <f t="shared" si="81"/>
        <v>70393407</v>
      </c>
      <c r="C1857" s="16" t="s">
        <v>1873</v>
      </c>
      <c r="D1857" s="2" t="s">
        <v>1900</v>
      </c>
      <c r="E1857" s="2" t="str">
        <f>F1857&amp;(VLOOKUP(G1857,编号表!$E$1:$G$8,2,0))&amp;H1857&amp;"_"&amp;I1857&amp;"_"&amp;J1857</f>
        <v>39T3_4_7</v>
      </c>
      <c r="F1857" s="2">
        <v>39</v>
      </c>
      <c r="G1857" s="2" t="s">
        <v>53</v>
      </c>
      <c r="H1857" s="2">
        <v>3</v>
      </c>
      <c r="I1857" s="2">
        <v>4</v>
      </c>
      <c r="J1857" s="2">
        <f>COUNTIFS($F$13:F1857,F1857,$I$13:I1857,I1857)</f>
        <v>7</v>
      </c>
      <c r="M1857" s="2">
        <v>180</v>
      </c>
    </row>
    <row r="1858" spans="1:20">
      <c r="A1858" s="14" t="s">
        <v>14</v>
      </c>
      <c r="B1858" s="8">
        <f t="shared" si="81"/>
        <v>70398501</v>
      </c>
      <c r="C1858" s="2" t="s">
        <v>1925</v>
      </c>
      <c r="E1858" s="2" t="str">
        <f>F1858&amp;(VLOOKUP(G1858,编号表!$E$1:$G$8,2,0))&amp;H1858&amp;"_"&amp;I1858&amp;"_"&amp;J1858</f>
        <v>39N8_5_1</v>
      </c>
      <c r="F1858" s="2">
        <v>39</v>
      </c>
      <c r="G1858" s="2" t="s">
        <v>37</v>
      </c>
      <c r="H1858" s="2">
        <v>8</v>
      </c>
      <c r="I1858" s="2">
        <v>5</v>
      </c>
      <c r="J1858" s="2">
        <f>COUNTIFS($F$13:F1858,F1858,$I$13:I1858,I1858)</f>
        <v>1</v>
      </c>
      <c r="O1858" s="8">
        <v>1039201</v>
      </c>
      <c r="P1858" s="8">
        <v>1039301</v>
      </c>
      <c r="Q1858" s="8">
        <v>1039401</v>
      </c>
      <c r="R1858" s="8">
        <v>1039501</v>
      </c>
      <c r="S1858" s="8">
        <v>1039601</v>
      </c>
      <c r="T1858" s="8">
        <v>1039701</v>
      </c>
    </row>
    <row r="1859" spans="1:20">
      <c r="A1859" s="14" t="s">
        <v>14</v>
      </c>
      <c r="B1859" s="8">
        <f t="shared" si="81"/>
        <v>70398502</v>
      </c>
      <c r="C1859" s="2" t="s">
        <v>1926</v>
      </c>
      <c r="E1859" s="2" t="str">
        <f>F1859&amp;(VLOOKUP(G1859,编号表!$E$1:$G$8,2,0))&amp;H1859&amp;"_"&amp;I1859&amp;"_"&amp;J1859</f>
        <v>39N8_5_2</v>
      </c>
      <c r="F1859" s="2">
        <v>39</v>
      </c>
      <c r="G1859" s="2" t="s">
        <v>37</v>
      </c>
      <c r="H1859" s="2">
        <v>8</v>
      </c>
      <c r="I1859" s="2">
        <v>5</v>
      </c>
      <c r="J1859" s="2">
        <f>COUNTIFS($F$13:F1859,F1859,$I$13:I1859,I1859)</f>
        <v>2</v>
      </c>
      <c r="O1859" s="8">
        <v>1039201</v>
      </c>
      <c r="P1859" s="8">
        <v>1039301</v>
      </c>
      <c r="Q1859" s="8">
        <v>1039401</v>
      </c>
      <c r="R1859" s="8">
        <v>1039501</v>
      </c>
      <c r="S1859" s="8">
        <v>1039601</v>
      </c>
      <c r="T1859" s="8">
        <v>1039701</v>
      </c>
    </row>
    <row r="1860" spans="1:20">
      <c r="A1860" s="14" t="s">
        <v>14</v>
      </c>
      <c r="B1860" s="8">
        <f t="shared" si="81"/>
        <v>70397503</v>
      </c>
      <c r="C1860" s="2" t="s">
        <v>1927</v>
      </c>
      <c r="E1860" s="2" t="str">
        <f>F1860&amp;(VLOOKUP(G1860,编号表!$E$1:$G$8,2,0))&amp;H1860&amp;"_"&amp;I1860&amp;"_"&amp;J1860</f>
        <v>39N7_5_3</v>
      </c>
      <c r="F1860" s="2">
        <v>39</v>
      </c>
      <c r="G1860" s="2" t="s">
        <v>37</v>
      </c>
      <c r="H1860" s="2">
        <v>7</v>
      </c>
      <c r="I1860" s="2">
        <v>5</v>
      </c>
      <c r="J1860" s="2">
        <f>COUNTIFS($F$13:F1860,F1860,$I$13:I1860,I1860)</f>
        <v>3</v>
      </c>
      <c r="O1860" s="8">
        <v>1039201</v>
      </c>
      <c r="P1860" s="8">
        <v>1039301</v>
      </c>
      <c r="Q1860" s="8">
        <v>1039401</v>
      </c>
      <c r="R1860" s="8">
        <v>1039501</v>
      </c>
      <c r="S1860" s="8">
        <v>1039601</v>
      </c>
      <c r="T1860" s="8">
        <v>1039701</v>
      </c>
    </row>
    <row r="1861" spans="1:20">
      <c r="A1861" s="14" t="s">
        <v>14</v>
      </c>
      <c r="B1861" s="8">
        <f t="shared" si="81"/>
        <v>70395504</v>
      </c>
      <c r="C1861" s="2" t="s">
        <v>1928</v>
      </c>
      <c r="E1861" s="2" t="str">
        <f>F1861&amp;(VLOOKUP(G1861,编号表!$E$1:$G$8,2,0))&amp;H1861&amp;"_"&amp;I1861&amp;"_"&amp;J1861</f>
        <v>39N5_5_4</v>
      </c>
      <c r="F1861" s="2">
        <v>39</v>
      </c>
      <c r="G1861" s="2" t="s">
        <v>37</v>
      </c>
      <c r="H1861" s="2">
        <v>5</v>
      </c>
      <c r="I1861" s="2">
        <v>5</v>
      </c>
      <c r="J1861" s="2">
        <f>COUNTIFS($F$13:F1861,F1861,$I$13:I1861,I1861)</f>
        <v>4</v>
      </c>
      <c r="O1861" s="8">
        <v>1039201</v>
      </c>
      <c r="P1861" s="8">
        <v>1039301</v>
      </c>
      <c r="Q1861" s="8">
        <v>1039401</v>
      </c>
      <c r="R1861" s="8">
        <v>1039501</v>
      </c>
      <c r="S1861" s="8">
        <v>1039601</v>
      </c>
      <c r="T1861" s="8">
        <v>1039701</v>
      </c>
    </row>
    <row r="1862" spans="1:20">
      <c r="A1862" s="14" t="s">
        <v>14</v>
      </c>
      <c r="B1862" s="8">
        <f t="shared" si="81"/>
        <v>70395505</v>
      </c>
      <c r="C1862" s="2" t="s">
        <v>1929</v>
      </c>
      <c r="E1862" s="2" t="str">
        <f>F1862&amp;(VLOOKUP(G1862,编号表!$E$1:$G$8,2,0))&amp;H1862&amp;"_"&amp;I1862&amp;"_"&amp;J1862</f>
        <v>39N5_5_5</v>
      </c>
      <c r="F1862" s="2">
        <v>39</v>
      </c>
      <c r="G1862" s="2" t="s">
        <v>37</v>
      </c>
      <c r="H1862" s="2">
        <v>5</v>
      </c>
      <c r="I1862" s="2">
        <v>5</v>
      </c>
      <c r="J1862" s="2">
        <f>COUNTIFS($F$13:F1862,F1862,$I$13:I1862,I1862)</f>
        <v>5</v>
      </c>
      <c r="O1862" s="8">
        <v>1039201</v>
      </c>
      <c r="P1862" s="8">
        <v>1039301</v>
      </c>
      <c r="Q1862" s="8">
        <v>1039401</v>
      </c>
      <c r="R1862" s="8">
        <v>1039501</v>
      </c>
      <c r="S1862" s="8">
        <v>1039601</v>
      </c>
      <c r="T1862" s="8">
        <v>1039701</v>
      </c>
    </row>
    <row r="1863" spans="1:20">
      <c r="A1863" s="14" t="s">
        <v>14</v>
      </c>
      <c r="B1863" s="8">
        <f t="shared" si="81"/>
        <v>70391506</v>
      </c>
      <c r="C1863" s="15" t="s">
        <v>1930</v>
      </c>
      <c r="E1863" s="2" t="str">
        <f>F1863&amp;(VLOOKUP(G1863,编号表!$E$1:$G$8,2,0))&amp;H1863&amp;"_"&amp;I1863&amp;"_"&amp;J1863</f>
        <v>39T1_5_6</v>
      </c>
      <c r="F1863" s="2">
        <v>39</v>
      </c>
      <c r="G1863" s="2" t="s">
        <v>53</v>
      </c>
      <c r="H1863" s="2">
        <v>1</v>
      </c>
      <c r="I1863" s="2">
        <v>5</v>
      </c>
      <c r="J1863" s="2">
        <f>COUNTIFS($F$13:F1863,F1863,$I$13:I1863,I1863)</f>
        <v>6</v>
      </c>
    </row>
    <row r="1864" spans="1:20">
      <c r="A1864" s="14" t="s">
        <v>14</v>
      </c>
      <c r="B1864" s="8">
        <f t="shared" si="81"/>
        <v>70393507</v>
      </c>
      <c r="C1864" s="16" t="s">
        <v>1931</v>
      </c>
      <c r="D1864" s="2" t="s">
        <v>1932</v>
      </c>
      <c r="E1864" s="2" t="str">
        <f>F1864&amp;(VLOOKUP(G1864,编号表!$E$1:$G$8,2,0))&amp;H1864&amp;"_"&amp;I1864&amp;"_"&amp;J1864</f>
        <v>39T3_5_7</v>
      </c>
      <c r="F1864" s="2">
        <v>39</v>
      </c>
      <c r="G1864" s="2" t="s">
        <v>53</v>
      </c>
      <c r="H1864" s="2">
        <v>3</v>
      </c>
      <c r="I1864" s="2">
        <v>5</v>
      </c>
      <c r="J1864" s="2">
        <f>COUNTIFS($F$13:F1864,F1864,$I$13:I1864,I1864)</f>
        <v>7</v>
      </c>
      <c r="M1864" s="2">
        <v>181</v>
      </c>
    </row>
    <row r="1865" spans="1:20">
      <c r="A1865" s="14" t="s">
        <v>14</v>
      </c>
      <c r="B1865" s="8">
        <f t="shared" si="81"/>
        <v>70390001</v>
      </c>
      <c r="C1865" s="18" t="s">
        <v>1933</v>
      </c>
      <c r="E1865" s="2" t="str">
        <f>F1865&amp;(VLOOKUP(G1865,编号表!$E$1:$G$8,2,0))&amp;H1865&amp;"_"&amp;I1865&amp;"_"&amp;J1865</f>
        <v>39J0_0_1</v>
      </c>
      <c r="F1865" s="2">
        <v>39</v>
      </c>
      <c r="G1865" s="2" t="s">
        <v>86</v>
      </c>
      <c r="H1865" s="2">
        <v>0</v>
      </c>
      <c r="I1865" s="2">
        <v>0</v>
      </c>
      <c r="J1865" s="2">
        <f>COUNTIFS($F$13:F1865,F1865,$I$13:I1865,I1865)</f>
        <v>1</v>
      </c>
      <c r="K1865" s="2">
        <v>1</v>
      </c>
    </row>
    <row r="1866" spans="1:20">
      <c r="A1866" s="14" t="s">
        <v>14</v>
      </c>
      <c r="B1866" s="8">
        <f t="shared" si="81"/>
        <v>70404101</v>
      </c>
      <c r="C1866" s="2" t="s">
        <v>1934</v>
      </c>
      <c r="E1866" s="2" t="str">
        <f>F1866&amp;(VLOOKUP(G1866,编号表!$E$1:$G$8,2,0))&amp;H1866&amp;"_"&amp;I1866&amp;"_"&amp;J1866</f>
        <v>40N4_1_1</v>
      </c>
      <c r="F1866" s="2">
        <v>40</v>
      </c>
      <c r="G1866" s="2" t="s">
        <v>37</v>
      </c>
      <c r="H1866" s="2">
        <v>4</v>
      </c>
      <c r="I1866" s="2">
        <v>1</v>
      </c>
      <c r="J1866" s="2">
        <f>COUNTIFS($F$13:F1866,F1866,$I$13:I1866,I1866)</f>
        <v>1</v>
      </c>
      <c r="O1866" s="8">
        <v>1040201</v>
      </c>
      <c r="P1866" s="8">
        <v>1040301</v>
      </c>
      <c r="Q1866" s="8">
        <v>1040401</v>
      </c>
      <c r="R1866" s="8">
        <v>1040501</v>
      </c>
      <c r="S1866" s="8">
        <v>1040601</v>
      </c>
      <c r="T1866" s="8">
        <v>1040001</v>
      </c>
    </row>
    <row r="1867" spans="1:20">
      <c r="A1867" s="14" t="s">
        <v>14</v>
      </c>
      <c r="B1867" s="8">
        <f t="shared" ref="B1867:B1885" si="82">70000000+F1867*10000+H1867*1000+I1867*100+J1867</f>
        <v>70404102</v>
      </c>
      <c r="C1867" s="2" t="s">
        <v>1935</v>
      </c>
      <c r="E1867" s="2" t="str">
        <f>F1867&amp;(VLOOKUP(G1867,编号表!$E$1:$G$8,2,0))&amp;H1867&amp;"_"&amp;I1867&amp;"_"&amp;J1867</f>
        <v>40N4_1_2</v>
      </c>
      <c r="F1867" s="2">
        <v>40</v>
      </c>
      <c r="G1867" s="2" t="s">
        <v>37</v>
      </c>
      <c r="H1867" s="2">
        <v>4</v>
      </c>
      <c r="I1867" s="2">
        <v>1</v>
      </c>
      <c r="J1867" s="2">
        <f>COUNTIFS($F$13:F1867,F1867,$I$13:I1867,I1867)</f>
        <v>2</v>
      </c>
      <c r="O1867" s="8">
        <v>1040201</v>
      </c>
      <c r="P1867" s="8">
        <v>1040301</v>
      </c>
      <c r="Q1867" s="8">
        <v>1040401</v>
      </c>
      <c r="R1867" s="8">
        <v>1040501</v>
      </c>
      <c r="S1867" s="8">
        <v>1040601</v>
      </c>
      <c r="T1867" s="8">
        <v>1040002</v>
      </c>
    </row>
    <row r="1868" spans="1:20">
      <c r="A1868" s="14" t="s">
        <v>14</v>
      </c>
      <c r="B1868" s="8">
        <f t="shared" si="82"/>
        <v>70403103</v>
      </c>
      <c r="C1868" s="2" t="s">
        <v>1936</v>
      </c>
      <c r="E1868" s="2" t="str">
        <f>F1868&amp;(VLOOKUP(G1868,编号表!$E$1:$G$8,2,0))&amp;H1868&amp;"_"&amp;I1868&amp;"_"&amp;J1868</f>
        <v>40N3_1_3</v>
      </c>
      <c r="F1868" s="2">
        <v>40</v>
      </c>
      <c r="G1868" s="2" t="s">
        <v>37</v>
      </c>
      <c r="H1868" s="2">
        <v>3</v>
      </c>
      <c r="I1868" s="2">
        <v>1</v>
      </c>
      <c r="J1868" s="2">
        <f>COUNTIFS($F$13:F1868,F1868,$I$13:I1868,I1868)</f>
        <v>3</v>
      </c>
      <c r="O1868" s="8">
        <v>1040201</v>
      </c>
      <c r="P1868" s="8">
        <v>1040301</v>
      </c>
      <c r="Q1868" s="8">
        <v>1040401</v>
      </c>
      <c r="R1868" s="8">
        <v>1040501</v>
      </c>
      <c r="S1868" s="8">
        <v>1040601</v>
      </c>
      <c r="T1868" s="8">
        <v>1040101</v>
      </c>
    </row>
    <row r="1869" spans="1:20">
      <c r="A1869" s="14" t="s">
        <v>14</v>
      </c>
      <c r="B1869" s="8">
        <f t="shared" si="82"/>
        <v>70403201</v>
      </c>
      <c r="C1869" s="2" t="s">
        <v>1937</v>
      </c>
      <c r="E1869" s="2" t="str">
        <f>F1869&amp;(VLOOKUP(G1869,编号表!$E$1:$G$8,2,0))&amp;H1869&amp;"_"&amp;I1869&amp;"_"&amp;J1869</f>
        <v>40N3_2_1</v>
      </c>
      <c r="F1869" s="2">
        <v>40</v>
      </c>
      <c r="G1869" s="2" t="s">
        <v>37</v>
      </c>
      <c r="H1869" s="2">
        <v>3</v>
      </c>
      <c r="I1869" s="2">
        <v>2</v>
      </c>
      <c r="J1869" s="2">
        <f>COUNTIFS($F$13:F1869,F1869,$I$13:I1869,I1869)</f>
        <v>1</v>
      </c>
      <c r="O1869" s="8">
        <v>1040201</v>
      </c>
      <c r="P1869" s="8">
        <v>1040301</v>
      </c>
      <c r="Q1869" s="8">
        <v>1040401</v>
      </c>
      <c r="R1869" s="8">
        <v>1040501</v>
      </c>
      <c r="S1869" s="8">
        <v>1040601</v>
      </c>
    </row>
    <row r="1870" spans="1:20">
      <c r="A1870" s="14" t="s">
        <v>14</v>
      </c>
      <c r="B1870" s="8">
        <f t="shared" si="82"/>
        <v>70403202</v>
      </c>
      <c r="C1870" s="2" t="s">
        <v>1938</v>
      </c>
      <c r="E1870" s="2" t="str">
        <f>F1870&amp;(VLOOKUP(G1870,编号表!$E$1:$G$8,2,0))&amp;H1870&amp;"_"&amp;I1870&amp;"_"&amp;J1870</f>
        <v>40N3_2_2</v>
      </c>
      <c r="F1870" s="2">
        <v>40</v>
      </c>
      <c r="G1870" s="2" t="s">
        <v>37</v>
      </c>
      <c r="H1870" s="2">
        <v>3</v>
      </c>
      <c r="I1870" s="2">
        <v>2</v>
      </c>
      <c r="J1870" s="2">
        <f>COUNTIFS($F$13:F1870,F1870,$I$13:I1870,I1870)</f>
        <v>2</v>
      </c>
      <c r="O1870" s="8">
        <v>1040201</v>
      </c>
      <c r="P1870" s="8">
        <v>1040301</v>
      </c>
      <c r="Q1870" s="8">
        <v>1040401</v>
      </c>
      <c r="R1870" s="8">
        <v>1040501</v>
      </c>
      <c r="S1870" s="8">
        <v>1040601</v>
      </c>
    </row>
    <row r="1871" spans="1:20">
      <c r="A1871" s="14" t="s">
        <v>14</v>
      </c>
      <c r="B1871" s="8">
        <f t="shared" si="82"/>
        <v>70402203</v>
      </c>
      <c r="C1871" s="2" t="s">
        <v>1939</v>
      </c>
      <c r="E1871" s="2" t="str">
        <f>F1871&amp;(VLOOKUP(G1871,编号表!$E$1:$G$8,2,0))&amp;H1871&amp;"_"&amp;I1871&amp;"_"&amp;J1871</f>
        <v>40N2_2_3</v>
      </c>
      <c r="F1871" s="2">
        <v>40</v>
      </c>
      <c r="G1871" s="2" t="s">
        <v>37</v>
      </c>
      <c r="H1871" s="2">
        <v>2</v>
      </c>
      <c r="I1871" s="2">
        <v>2</v>
      </c>
      <c r="J1871" s="2">
        <f>COUNTIFS($F$13:F1871,F1871,$I$13:I1871,I1871)</f>
        <v>3</v>
      </c>
      <c r="O1871" s="8">
        <v>1040201</v>
      </c>
      <c r="P1871" s="8">
        <v>1040301</v>
      </c>
      <c r="Q1871" s="8">
        <v>1040401</v>
      </c>
      <c r="R1871" s="8">
        <v>1040501</v>
      </c>
      <c r="S1871" s="8">
        <v>1040601</v>
      </c>
    </row>
    <row r="1872" spans="1:20">
      <c r="A1872" s="14" t="s">
        <v>14</v>
      </c>
      <c r="B1872" s="8">
        <f t="shared" si="82"/>
        <v>70403204</v>
      </c>
      <c r="C1872" s="2" t="s">
        <v>1940</v>
      </c>
      <c r="E1872" s="2" t="str">
        <f>F1872&amp;(VLOOKUP(G1872,编号表!$E$1:$G$8,2,0))&amp;H1872&amp;"_"&amp;I1872&amp;"_"&amp;J1872</f>
        <v>40N3_2_4</v>
      </c>
      <c r="F1872" s="2">
        <v>40</v>
      </c>
      <c r="G1872" s="2" t="s">
        <v>37</v>
      </c>
      <c r="H1872" s="2">
        <v>3</v>
      </c>
      <c r="I1872" s="2">
        <v>2</v>
      </c>
      <c r="J1872" s="2">
        <f>COUNTIFS($F$13:F1872,F1872,$I$13:I1872,I1872)</f>
        <v>4</v>
      </c>
      <c r="O1872" s="8">
        <v>1040201</v>
      </c>
      <c r="P1872" s="8">
        <v>1040301</v>
      </c>
      <c r="Q1872" s="8">
        <v>1040401</v>
      </c>
      <c r="R1872" s="8">
        <v>1040501</v>
      </c>
      <c r="S1872" s="8">
        <v>1040601</v>
      </c>
    </row>
    <row r="1873" spans="1:20">
      <c r="A1873" s="14" t="s">
        <v>14</v>
      </c>
      <c r="B1873" s="8">
        <f t="shared" si="82"/>
        <v>70401205</v>
      </c>
      <c r="C1873" s="15" t="s">
        <v>1941</v>
      </c>
      <c r="E1873" s="2" t="str">
        <f>F1873&amp;(VLOOKUP(G1873,编号表!$E$1:$G$8,2,0))&amp;H1873&amp;"_"&amp;I1873&amp;"_"&amp;J1873</f>
        <v>40T1_2_5</v>
      </c>
      <c r="F1873" s="2">
        <v>40</v>
      </c>
      <c r="G1873" s="2" t="s">
        <v>53</v>
      </c>
      <c r="H1873" s="2">
        <v>1</v>
      </c>
      <c r="I1873" s="2">
        <v>2</v>
      </c>
      <c r="J1873" s="2">
        <f>COUNTIFS($F$13:F1873,F1873,$I$13:I1873,I1873)</f>
        <v>5</v>
      </c>
      <c r="L1873" s="2">
        <v>1</v>
      </c>
    </row>
    <row r="1874" spans="1:20">
      <c r="A1874" s="14" t="s">
        <v>14</v>
      </c>
      <c r="B1874" s="8">
        <f t="shared" si="82"/>
        <v>70403206</v>
      </c>
      <c r="C1874" s="16" t="s">
        <v>1942</v>
      </c>
      <c r="D1874" s="2" t="s">
        <v>1943</v>
      </c>
      <c r="E1874" s="2" t="str">
        <f>F1874&amp;(VLOOKUP(G1874,编号表!$E$1:$G$8,2,0))&amp;H1874&amp;"_"&amp;I1874&amp;"_"&amp;J1874</f>
        <v>40T3_2_6</v>
      </c>
      <c r="F1874" s="2">
        <v>40</v>
      </c>
      <c r="G1874" s="2" t="s">
        <v>53</v>
      </c>
      <c r="H1874" s="2">
        <v>3</v>
      </c>
      <c r="I1874" s="2">
        <v>2</v>
      </c>
      <c r="J1874" s="2">
        <f>COUNTIFS($F$13:F1874,F1874,$I$13:I1874,I1874)</f>
        <v>6</v>
      </c>
      <c r="M1874" s="2">
        <v>183</v>
      </c>
    </row>
    <row r="1875" spans="1:20">
      <c r="A1875" s="14" t="s">
        <v>14</v>
      </c>
      <c r="B1875" s="8">
        <f t="shared" si="82"/>
        <v>70400001</v>
      </c>
      <c r="C1875" s="18" t="s">
        <v>1944</v>
      </c>
      <c r="E1875" s="2" t="str">
        <f>F1875&amp;(VLOOKUP(G1875,编号表!$E$1:$G$8,2,0))&amp;H1875&amp;"_"&amp;I1875&amp;"_"&amp;J1875</f>
        <v>40J0_0_1</v>
      </c>
      <c r="F1875" s="2">
        <v>40</v>
      </c>
      <c r="G1875" s="2" t="s">
        <v>86</v>
      </c>
      <c r="H1875" s="2">
        <v>0</v>
      </c>
      <c r="I1875" s="2">
        <v>0</v>
      </c>
      <c r="J1875" s="2">
        <f>COUNTIFS($F$13:F1875,F1875,$I$13:I1875,I1875)</f>
        <v>1</v>
      </c>
      <c r="K1875" s="2">
        <v>1</v>
      </c>
    </row>
    <row r="1876" spans="1:20">
      <c r="A1876" s="14" t="s">
        <v>14</v>
      </c>
      <c r="B1876" s="8">
        <f t="shared" si="82"/>
        <v>70413101</v>
      </c>
      <c r="C1876" s="2" t="s">
        <v>1945</v>
      </c>
      <c r="E1876" s="2" t="str">
        <f>F1876&amp;(VLOOKUP(G1876,编号表!$E$1:$G$8,2,0))&amp;H1876&amp;"_"&amp;I1876&amp;"_"&amp;J1876</f>
        <v>41N3_1_1</v>
      </c>
      <c r="F1876" s="2">
        <v>41</v>
      </c>
      <c r="G1876" s="2" t="s">
        <v>37</v>
      </c>
      <c r="H1876" s="2">
        <v>3</v>
      </c>
      <c r="I1876" s="2">
        <v>1</v>
      </c>
      <c r="J1876" s="2">
        <f>COUNTIFS($F$13:F1876,F1876,$I$13:I1876,I1876)</f>
        <v>1</v>
      </c>
      <c r="O1876" s="8">
        <v>1041201</v>
      </c>
      <c r="P1876" s="8">
        <v>1041301</v>
      </c>
      <c r="Q1876" s="8">
        <v>1041401</v>
      </c>
      <c r="R1876" s="8">
        <v>1041501</v>
      </c>
      <c r="S1876" s="8">
        <v>1041601</v>
      </c>
      <c r="T1876" s="8">
        <v>1041001</v>
      </c>
    </row>
    <row r="1877" spans="1:20">
      <c r="A1877" s="14" t="s">
        <v>14</v>
      </c>
      <c r="B1877" s="8">
        <f t="shared" si="82"/>
        <v>70412102</v>
      </c>
      <c r="C1877" s="2" t="s">
        <v>1946</v>
      </c>
      <c r="E1877" s="2" t="str">
        <f>F1877&amp;(VLOOKUP(G1877,编号表!$E$1:$G$8,2,0))&amp;H1877&amp;"_"&amp;I1877&amp;"_"&amp;J1877</f>
        <v>41N2_1_2</v>
      </c>
      <c r="F1877" s="2">
        <v>41</v>
      </c>
      <c r="G1877" s="2" t="s">
        <v>37</v>
      </c>
      <c r="H1877" s="2">
        <v>2</v>
      </c>
      <c r="I1877" s="2">
        <v>1</v>
      </c>
      <c r="J1877" s="2">
        <f>COUNTIFS($F$13:F1877,F1877,$I$13:I1877,I1877)</f>
        <v>2</v>
      </c>
      <c r="O1877" s="8">
        <v>1041201</v>
      </c>
      <c r="P1877" s="8">
        <v>1041301</v>
      </c>
      <c r="Q1877" s="8">
        <v>1041401</v>
      </c>
      <c r="R1877" s="8">
        <v>1041501</v>
      </c>
      <c r="S1877" s="8">
        <v>1041601</v>
      </c>
      <c r="T1877" s="8">
        <v>1041002</v>
      </c>
    </row>
    <row r="1878" spans="1:20">
      <c r="A1878" s="14" t="s">
        <v>14</v>
      </c>
      <c r="B1878" s="8">
        <f t="shared" si="82"/>
        <v>70412103</v>
      </c>
      <c r="C1878" s="2" t="s">
        <v>1947</v>
      </c>
      <c r="E1878" s="2" t="str">
        <f>F1878&amp;(VLOOKUP(G1878,编号表!$E$1:$G$8,2,0))&amp;H1878&amp;"_"&amp;I1878&amp;"_"&amp;J1878</f>
        <v>41N2_1_3</v>
      </c>
      <c r="F1878" s="2">
        <v>41</v>
      </c>
      <c r="G1878" s="2" t="s">
        <v>37</v>
      </c>
      <c r="H1878" s="2">
        <v>2</v>
      </c>
      <c r="I1878" s="2">
        <v>1</v>
      </c>
      <c r="J1878" s="2">
        <f>COUNTIFS($F$13:F1878,F1878,$I$13:I1878,I1878)</f>
        <v>3</v>
      </c>
      <c r="O1878" s="8">
        <v>1041201</v>
      </c>
      <c r="P1878" s="8">
        <v>1041301</v>
      </c>
      <c r="Q1878" s="8">
        <v>1041401</v>
      </c>
      <c r="R1878" s="8">
        <v>1041501</v>
      </c>
      <c r="S1878" s="8">
        <v>1041601</v>
      </c>
      <c r="T1878" s="8">
        <v>1041003</v>
      </c>
    </row>
    <row r="1879" spans="1:20">
      <c r="A1879" s="14" t="s">
        <v>14</v>
      </c>
      <c r="B1879" s="8">
        <f t="shared" si="82"/>
        <v>70413104</v>
      </c>
      <c r="C1879" s="2" t="s">
        <v>1948</v>
      </c>
      <c r="E1879" s="2" t="str">
        <f>F1879&amp;(VLOOKUP(G1879,编号表!$E$1:$G$8,2,0))&amp;H1879&amp;"_"&amp;I1879&amp;"_"&amp;J1879</f>
        <v>41N3_1_4</v>
      </c>
      <c r="F1879" s="2">
        <v>41</v>
      </c>
      <c r="G1879" s="2" t="s">
        <v>37</v>
      </c>
      <c r="H1879" s="2">
        <v>3</v>
      </c>
      <c r="I1879" s="2">
        <v>1</v>
      </c>
      <c r="J1879" s="2">
        <f>COUNTIFS($F$13:F1879,F1879,$I$13:I1879,I1879)</f>
        <v>4</v>
      </c>
      <c r="O1879" s="8">
        <v>1041201</v>
      </c>
      <c r="P1879" s="8">
        <v>1041301</v>
      </c>
      <c r="Q1879" s="8">
        <v>1041401</v>
      </c>
      <c r="R1879" s="8">
        <v>1041501</v>
      </c>
      <c r="S1879" s="8">
        <v>1041601</v>
      </c>
      <c r="T1879" s="8">
        <v>1041101</v>
      </c>
    </row>
    <row r="1880" spans="1:20">
      <c r="A1880" s="14" t="s">
        <v>14</v>
      </c>
      <c r="B1880" s="8">
        <f t="shared" si="82"/>
        <v>70413201</v>
      </c>
      <c r="C1880" s="16" t="s">
        <v>1942</v>
      </c>
      <c r="D1880" s="2" t="s">
        <v>1949</v>
      </c>
      <c r="E1880" s="2" t="str">
        <f>F1880&amp;(VLOOKUP(G1880,编号表!$E$1:$G$8,2,0))&amp;H1880&amp;"_"&amp;I1880&amp;"_"&amp;J1880</f>
        <v>41T3_2_1</v>
      </c>
      <c r="F1880" s="2">
        <v>41</v>
      </c>
      <c r="G1880" s="2" t="s">
        <v>53</v>
      </c>
      <c r="H1880" s="2">
        <v>3</v>
      </c>
      <c r="I1880" s="2">
        <v>2</v>
      </c>
      <c r="J1880" s="2">
        <f>COUNTIFS($F$13:F1880,F1880,$I$13:I1880,I1880)</f>
        <v>1</v>
      </c>
      <c r="M1880" s="2">
        <v>185</v>
      </c>
    </row>
    <row r="1881" spans="1:20">
      <c r="A1881" s="14" t="s">
        <v>14</v>
      </c>
      <c r="B1881" s="8">
        <f t="shared" si="82"/>
        <v>70411202</v>
      </c>
      <c r="C1881" s="15" t="s">
        <v>1950</v>
      </c>
      <c r="E1881" s="2" t="str">
        <f>F1881&amp;(VLOOKUP(G1881,编号表!$E$1:$G$8,2,0))&amp;H1881&amp;"_"&amp;I1881&amp;"_"&amp;J1881</f>
        <v>41T1_2_2</v>
      </c>
      <c r="F1881" s="2">
        <v>41</v>
      </c>
      <c r="G1881" s="2" t="s">
        <v>53</v>
      </c>
      <c r="H1881" s="2">
        <v>1</v>
      </c>
      <c r="I1881" s="2">
        <v>2</v>
      </c>
      <c r="J1881" s="2">
        <f>COUNTIFS($F$13:F1881,F1881,$I$13:I1881,I1881)</f>
        <v>2</v>
      </c>
      <c r="L1881" s="2">
        <v>1</v>
      </c>
    </row>
    <row r="1882" spans="1:20">
      <c r="A1882" s="14" t="s">
        <v>14</v>
      </c>
      <c r="B1882" s="8">
        <f t="shared" si="82"/>
        <v>70413203</v>
      </c>
      <c r="C1882" s="2" t="s">
        <v>1951</v>
      </c>
      <c r="E1882" s="2" t="str">
        <f>F1882&amp;(VLOOKUP(G1882,编号表!$E$1:$G$8,2,0))&amp;H1882&amp;"_"&amp;I1882&amp;"_"&amp;J1882</f>
        <v>41N3_2_3</v>
      </c>
      <c r="F1882" s="2">
        <v>41</v>
      </c>
      <c r="G1882" s="2" t="s">
        <v>37</v>
      </c>
      <c r="H1882" s="2">
        <v>3</v>
      </c>
      <c r="I1882" s="2">
        <v>2</v>
      </c>
      <c r="J1882" s="2">
        <f>COUNTIFS($F$13:F1882,F1882,$I$13:I1882,I1882)</f>
        <v>3</v>
      </c>
      <c r="O1882" s="8">
        <v>1041201</v>
      </c>
      <c r="P1882" s="8">
        <v>1041301</v>
      </c>
      <c r="Q1882" s="8">
        <v>1041401</v>
      </c>
      <c r="R1882" s="8">
        <v>1041501</v>
      </c>
      <c r="S1882" s="8">
        <v>1041601</v>
      </c>
    </row>
    <row r="1883" spans="1:20">
      <c r="A1883" s="14" t="s">
        <v>14</v>
      </c>
      <c r="B1883" s="8">
        <f t="shared" si="82"/>
        <v>70413204</v>
      </c>
      <c r="C1883" s="2" t="s">
        <v>1952</v>
      </c>
      <c r="E1883" s="2" t="str">
        <f>F1883&amp;(VLOOKUP(G1883,编号表!$E$1:$G$8,2,0))&amp;H1883&amp;"_"&amp;I1883&amp;"_"&amp;J1883</f>
        <v>41N3_2_4</v>
      </c>
      <c r="F1883" s="2">
        <v>41</v>
      </c>
      <c r="G1883" s="2" t="s">
        <v>37</v>
      </c>
      <c r="H1883" s="2">
        <v>3</v>
      </c>
      <c r="I1883" s="2">
        <v>2</v>
      </c>
      <c r="J1883" s="2">
        <f>COUNTIFS($F$13:F1883,F1883,$I$13:I1883,I1883)</f>
        <v>4</v>
      </c>
      <c r="O1883" s="8">
        <v>1041201</v>
      </c>
      <c r="P1883" s="8">
        <v>1041301</v>
      </c>
      <c r="Q1883" s="8">
        <v>1041401</v>
      </c>
      <c r="R1883" s="8">
        <v>1041501</v>
      </c>
      <c r="S1883" s="8">
        <v>1041601</v>
      </c>
    </row>
    <row r="1884" spans="1:20">
      <c r="A1884" s="14" t="s">
        <v>14</v>
      </c>
      <c r="B1884" s="8">
        <f t="shared" si="82"/>
        <v>70412205</v>
      </c>
      <c r="C1884" s="2" t="s">
        <v>1953</v>
      </c>
      <c r="E1884" s="2" t="str">
        <f>F1884&amp;(VLOOKUP(G1884,编号表!$E$1:$G$8,2,0))&amp;H1884&amp;"_"&amp;I1884&amp;"_"&amp;J1884</f>
        <v>41N2_2_5</v>
      </c>
      <c r="F1884" s="2">
        <v>41</v>
      </c>
      <c r="G1884" s="2" t="s">
        <v>37</v>
      </c>
      <c r="H1884" s="2">
        <v>2</v>
      </c>
      <c r="I1884" s="2">
        <v>2</v>
      </c>
      <c r="J1884" s="2">
        <f>COUNTIFS($F$13:F1884,F1884,$I$13:I1884,I1884)</f>
        <v>5</v>
      </c>
      <c r="O1884" s="8">
        <v>1041201</v>
      </c>
      <c r="P1884" s="8">
        <v>1041301</v>
      </c>
      <c r="Q1884" s="8">
        <v>1041401</v>
      </c>
      <c r="R1884" s="8">
        <v>1041501</v>
      </c>
      <c r="S1884" s="8">
        <v>1041601</v>
      </c>
    </row>
    <row r="1885" spans="1:20">
      <c r="A1885" s="14" t="s">
        <v>14</v>
      </c>
      <c r="B1885" s="8">
        <f t="shared" si="82"/>
        <v>70410001</v>
      </c>
      <c r="C1885" s="18" t="s">
        <v>1954</v>
      </c>
      <c r="E1885" s="2" t="str">
        <f>F1885&amp;(VLOOKUP(G1885,编号表!$E$1:$G$8,2,0))&amp;H1885&amp;"_"&amp;I1885&amp;"_"&amp;J1885</f>
        <v>41J0_0_1</v>
      </c>
      <c r="F1885" s="2">
        <v>41</v>
      </c>
      <c r="G1885" s="2" t="s">
        <v>86</v>
      </c>
      <c r="H1885" s="2">
        <v>0</v>
      </c>
      <c r="I1885" s="2">
        <v>0</v>
      </c>
      <c r="J1885" s="2">
        <f>COUNTIFS($F$13:F1885,F1885,$I$13:I1885,I1885)</f>
        <v>1</v>
      </c>
      <c r="K1885" s="2">
        <v>1</v>
      </c>
    </row>
  </sheetData>
  <autoFilter ref="B1:V1885" xr:uid="{00000000-0009-0000-0000-000000000000}"/>
  <mergeCells count="3">
    <mergeCell ref="O1:V1"/>
    <mergeCell ref="O2:V2"/>
    <mergeCell ref="O3:V3"/>
  </mergeCells>
  <phoneticPr fontId="8" type="noConversion"/>
  <conditionalFormatting sqref="D61">
    <cfRule type="duplicateValues" dxfId="72" priority="30"/>
  </conditionalFormatting>
  <conditionalFormatting sqref="D63">
    <cfRule type="duplicateValues" dxfId="71" priority="29"/>
  </conditionalFormatting>
  <conditionalFormatting sqref="D65">
    <cfRule type="duplicateValues" dxfId="70" priority="28"/>
  </conditionalFormatting>
  <conditionalFormatting sqref="D67">
    <cfRule type="duplicateValues" dxfId="69" priority="2"/>
  </conditionalFormatting>
  <conditionalFormatting sqref="D118:D121 D123:D127 D130:D139 D144:D148 D151:D158">
    <cfRule type="duplicateValues" dxfId="68" priority="143"/>
  </conditionalFormatting>
  <conditionalFormatting sqref="D129">
    <cfRule type="duplicateValues" dxfId="67" priority="141"/>
  </conditionalFormatting>
  <conditionalFormatting sqref="D160:D290 D311:D331 D334:D372 D375:D376 D379:D380">
    <cfRule type="duplicateValues" dxfId="66" priority="142"/>
  </conditionalFormatting>
  <conditionalFormatting sqref="D291:D310">
    <cfRule type="duplicateValues" dxfId="65" priority="3"/>
  </conditionalFormatting>
  <conditionalFormatting sqref="D333">
    <cfRule type="duplicateValues" dxfId="64" priority="27"/>
  </conditionalFormatting>
  <conditionalFormatting sqref="D373 D377">
    <cfRule type="duplicateValues" dxfId="63" priority="139"/>
  </conditionalFormatting>
  <conditionalFormatting sqref="D393">
    <cfRule type="duplicateValues" dxfId="62" priority="25"/>
  </conditionalFormatting>
  <conditionalFormatting sqref="D437:D442 D445:D446 D449:D450">
    <cfRule type="duplicateValues" dxfId="61" priority="138"/>
  </conditionalFormatting>
  <conditionalFormatting sqref="D443 D447">
    <cfRule type="duplicateValues" dxfId="60" priority="136"/>
  </conditionalFormatting>
  <conditionalFormatting sqref="D469">
    <cfRule type="duplicateValues" dxfId="59" priority="145"/>
  </conditionalFormatting>
  <conditionalFormatting sqref="D490">
    <cfRule type="duplicateValues" dxfId="58" priority="23"/>
  </conditionalFormatting>
  <conditionalFormatting sqref="D507:D512 D515:D516 D519:D520">
    <cfRule type="duplicateValues" dxfId="57" priority="135"/>
  </conditionalFormatting>
  <conditionalFormatting sqref="D513 D517">
    <cfRule type="duplicateValues" dxfId="56" priority="133"/>
  </conditionalFormatting>
  <conditionalFormatting sqref="D529">
    <cfRule type="duplicateValues" dxfId="55" priority="24"/>
  </conditionalFormatting>
  <conditionalFormatting sqref="D544">
    <cfRule type="duplicateValues" dxfId="54" priority="21"/>
  </conditionalFormatting>
  <conditionalFormatting sqref="D572">
    <cfRule type="duplicateValues" dxfId="53" priority="19"/>
  </conditionalFormatting>
  <conditionalFormatting sqref="D578:D583 D586:D587 D590:D591">
    <cfRule type="duplicateValues" dxfId="52" priority="132"/>
  </conditionalFormatting>
  <conditionalFormatting sqref="D584 D588">
    <cfRule type="duplicateValues" dxfId="51" priority="130"/>
  </conditionalFormatting>
  <conditionalFormatting sqref="D602">
    <cfRule type="duplicateValues" dxfId="50" priority="17"/>
  </conditionalFormatting>
  <conditionalFormatting sqref="D604">
    <cfRule type="duplicateValues" dxfId="49" priority="16"/>
  </conditionalFormatting>
  <conditionalFormatting sqref="D648:D653 D656:D657 D660:D661">
    <cfRule type="duplicateValues" dxfId="48" priority="129"/>
  </conditionalFormatting>
  <conditionalFormatting sqref="D654 D658">
    <cfRule type="duplicateValues" dxfId="47" priority="127"/>
  </conditionalFormatting>
  <conditionalFormatting sqref="D669">
    <cfRule type="duplicateValues" dxfId="46" priority="12"/>
  </conditionalFormatting>
  <conditionalFormatting sqref="D718:D723 D726:D727 D730:D731">
    <cfRule type="duplicateValues" dxfId="45" priority="126"/>
  </conditionalFormatting>
  <conditionalFormatting sqref="D724 D728">
    <cfRule type="duplicateValues" dxfId="44" priority="124"/>
  </conditionalFormatting>
  <conditionalFormatting sqref="D785:D790 D793:D794 D797:D798">
    <cfRule type="duplicateValues" dxfId="43" priority="123"/>
  </conditionalFormatting>
  <conditionalFormatting sqref="D791 D795">
    <cfRule type="duplicateValues" dxfId="42" priority="121"/>
  </conditionalFormatting>
  <conditionalFormatting sqref="D855:D860 D863:D864 D867:D868">
    <cfRule type="duplicateValues" dxfId="41" priority="120"/>
  </conditionalFormatting>
  <conditionalFormatting sqref="D861 D865">
    <cfRule type="duplicateValues" dxfId="40" priority="118"/>
  </conditionalFormatting>
  <conditionalFormatting sqref="D925:D928 D931:D932 D935:D936">
    <cfRule type="duplicateValues" dxfId="39" priority="111"/>
  </conditionalFormatting>
  <conditionalFormatting sqref="D929 D933">
    <cfRule type="duplicateValues" dxfId="38" priority="109"/>
  </conditionalFormatting>
  <conditionalFormatting sqref="D993:D998 D1001:D1002 D1005:D1006">
    <cfRule type="duplicateValues" dxfId="37" priority="117"/>
  </conditionalFormatting>
  <conditionalFormatting sqref="D999 D1003">
    <cfRule type="duplicateValues" dxfId="36" priority="116"/>
  </conditionalFormatting>
  <conditionalFormatting sqref="D1063:D1068 D1071:D1072 D1075:D1076">
    <cfRule type="duplicateValues" dxfId="35" priority="114"/>
  </conditionalFormatting>
  <conditionalFormatting sqref="D1073">
    <cfRule type="duplicateValues" dxfId="34" priority="113"/>
  </conditionalFormatting>
  <conditionalFormatting sqref="D1135:D1138 D1141:D1142 D1145:D1146">
    <cfRule type="duplicateValues" dxfId="33" priority="108"/>
  </conditionalFormatting>
  <conditionalFormatting sqref="D1139 D1143">
    <cfRule type="duplicateValues" dxfId="32" priority="107"/>
  </conditionalFormatting>
  <conditionalFormatting sqref="D1203:D1208 D1211:D1212 D1215:D1216">
    <cfRule type="duplicateValues" dxfId="31" priority="105"/>
  </conditionalFormatting>
  <conditionalFormatting sqref="D1209 D1213">
    <cfRule type="duplicateValues" dxfId="30" priority="104"/>
  </conditionalFormatting>
  <conditionalFormatting sqref="D1273:D1278 D1282 D1285:D1286">
    <cfRule type="duplicateValues" dxfId="29" priority="102"/>
  </conditionalFormatting>
  <conditionalFormatting sqref="D1279 D1283">
    <cfRule type="duplicateValues" dxfId="28" priority="101"/>
  </conditionalFormatting>
  <conditionalFormatting sqref="D1343:D1344 D1347:D1348 D1351:D1352 D1355:D1356">
    <cfRule type="duplicateValues" dxfId="27" priority="99"/>
  </conditionalFormatting>
  <conditionalFormatting sqref="D1345:D1346">
    <cfRule type="duplicateValues" dxfId="26" priority="96"/>
  </conditionalFormatting>
  <conditionalFormatting sqref="D1349 D1353">
    <cfRule type="duplicateValues" dxfId="25" priority="98"/>
  </conditionalFormatting>
  <conditionalFormatting sqref="D1476:D1477 D1480:D1481 D1484:D1485 D1488:D1489">
    <cfRule type="duplicateValues" dxfId="24" priority="95"/>
  </conditionalFormatting>
  <conditionalFormatting sqref="D1478:D1479">
    <cfRule type="duplicateValues" dxfId="23" priority="92"/>
  </conditionalFormatting>
  <conditionalFormatting sqref="D1482 D1486">
    <cfRule type="duplicateValues" dxfId="22" priority="94"/>
  </conditionalFormatting>
  <conditionalFormatting sqref="D1552:D1553 D1557 D1560:D1561 D1564:D1565">
    <cfRule type="duplicateValues" dxfId="21" priority="91"/>
  </conditionalFormatting>
  <conditionalFormatting sqref="D1554">
    <cfRule type="duplicateValues" dxfId="20" priority="88"/>
  </conditionalFormatting>
  <conditionalFormatting sqref="D1558 D1562">
    <cfRule type="duplicateValues" dxfId="19" priority="90"/>
  </conditionalFormatting>
  <conditionalFormatting sqref="D1624:D1625 D1628:D1629 D1632:D1633">
    <cfRule type="duplicateValues" dxfId="18" priority="87"/>
  </conditionalFormatting>
  <conditionalFormatting sqref="D1626 D1630">
    <cfRule type="duplicateValues" dxfId="17" priority="86"/>
  </conditionalFormatting>
  <conditionalFormatting sqref="D1690:D1695 D1698:D1699 D1703">
    <cfRule type="duplicateValues" dxfId="16" priority="84"/>
  </conditionalFormatting>
  <conditionalFormatting sqref="D1696 D1700">
    <cfRule type="duplicateValues" dxfId="15" priority="83"/>
  </conditionalFormatting>
  <conditionalFormatting sqref="D1760:D1764 D1768:D1769 D1773">
    <cfRule type="duplicateValues" dxfId="14" priority="81"/>
  </conditionalFormatting>
  <conditionalFormatting sqref="D1766 D1770">
    <cfRule type="duplicateValues" dxfId="13" priority="80"/>
  </conditionalFormatting>
  <conditionalFormatting sqref="D1772">
    <cfRule type="duplicateValues" dxfId="12" priority="9"/>
  </conditionalFormatting>
  <conditionalFormatting sqref="D1830:D1831 D1835 D1838:D1839 D1842">
    <cfRule type="duplicateValues" dxfId="11" priority="78"/>
  </conditionalFormatting>
  <conditionalFormatting sqref="D1832:D1833">
    <cfRule type="duplicateValues" dxfId="10" priority="75"/>
  </conditionalFormatting>
  <conditionalFormatting sqref="D1836 D1840">
    <cfRule type="duplicateValues" dxfId="9" priority="77"/>
  </conditionalFormatting>
  <conditionalFormatting sqref="D1:E1 D2 D3:E4 D13:E35 E36:E290 E311:E1367 E1431:E1885">
    <cfRule type="duplicateValues" dxfId="8" priority="144"/>
  </conditionalFormatting>
  <conditionalFormatting sqref="D5:E12">
    <cfRule type="duplicateValues" dxfId="7" priority="1"/>
  </conditionalFormatting>
  <conditionalFormatting sqref="E291:E310">
    <cfRule type="duplicateValues" dxfId="6" priority="4"/>
  </conditionalFormatting>
  <conditionalFormatting sqref="E1368:E1430">
    <cfRule type="duplicateValues" dxfId="5" priority="5"/>
  </conditionalFormatting>
  <conditionalFormatting sqref="Q181">
    <cfRule type="duplicateValues" dxfId="4" priority="6"/>
  </conditionalFormatting>
  <conditionalFormatting sqref="R138">
    <cfRule type="duplicateValues" dxfId="3" priority="8"/>
  </conditionalFormatting>
  <conditionalFormatting sqref="R139">
    <cfRule type="duplicateValues" dxfId="2" priority="7"/>
  </conditionalFormatting>
  <pageMargins left="0.75" right="0.75" top="1" bottom="1" header="0.5" footer="0.5"/>
  <pageSetup paperSize="9" orientation="portrait"/>
  <ignoredErrors>
    <ignoredError sqref="J226:V226 J96:V222 F1366:V1367 B1367:D1367 J332:V347 J371:V371 C1570:D1570 J69:S95 B263:B264 B65:B66 B265:V310 B67:G67 I67:V67 B68:V68 J227:Q264 B14:T22 B13:V13 B312:V331 V14 J65:Q65 J223:S225 V69:V70 E264:H264 F1365:Q1365 C1365:D1366 C347 G332 B602:D602 C749:C753 H749:T753 C754:C759 B372:V379 B573:C573 F573:V573 C785:T786 B1341:D1341 B760:D760 F760:Q760 J370:Q370 F1570:Q1570 C1571:Q1571 H1543:S1554 B1596:D1596 C1678:Q1678 B1726:D1726 C1577:D1577 H1572:R1575 J311:Q311 C1555:D1556 C1558:C1559 V1558:V1559 C1560:C1569 E1 B730:C734 C729 C726:S728 C683:F725 H683:S725 C682:Q682 C681:D681 F681:Q681 B674:C676 C673 I673:Q673 C668:D669 C606:C667 H606:T608 C605 F605:V605 F606:F667 C670:F672 H670:S672 C604:D604 F604:V604 F668:V669 C603 I603:Q603 F603:G603 H609:S667 V606:V608 C748 B735:C747 B677:C680 V674:V676 B599:C600 H730:V734 H735:T747 H674:T676 H677:S680 F674:F676 F673:G673 F677:F680 F749:F753 F754:T759 F730:F734 F729:Q729 F748:Q748 F735:F747 B601:C601 F601:V601 F599:R599 F602:V602 F600 H600:R600 B411:V413 B410:D410 J410:V410 C491 C483:C489 C469:D469 C439 B549:C551 C548 B530:V530 B527:C527 B572:D572 B552:C571 V549:V551 B544:V544 B535:C542 B532:C534 V531:V534 H483:U489 C473:C482 H473:V482 F483:F489 C470:C472 F472:G472 F473:F482 B404:C409 J404:V409 B414:C438 J414:V438 J439:Q439 H549:S551 H552:R571 F549:F551 F548:Q548 F552:F571 B545:F547 C440:C468 F464:V464 H535:Q542 H531:R534 F535:F542 F531:F534 B396:V403 J380:V394 C492:C526 B395:C395 J395:V395 C531 F440:F442 J440:V442 F443:F463 H443:V463 H440:H442 H492:U526 C490:D490 F490:V490 F470:F471 H470:V471 I472:Q472 F469:V469 F491:V491 F492:F526 F465:F468 H465:V468 C528 F572:V572 H545:Q547 B543:D543 F543:V543 C529:D529 F529:V529 E527:U527 F528:V528 B1343:C1364 H1343:T1364 B1023:C1023 C1012:C1022 B1032:F1034 B1031:C1031 F1031:V1031 B1030:D1030 F1030:V1030 B1029:C1029 F1029:V1029 B1028:D1028 F1028:V1028 B1027:C1027 F1027:V1027 B1026:D1026 F1026:V1026 B1025:C1025 F1025:V1025 B1024:D1024 F1024:V1024 F1023:Q1023 F1012:F1022 B1330:F1330 B1326:Q1326 C1329 C1327:C1328 H1327:S1328 F1329:Q1329 F1327:F1328 S1329 B1339:C1340 H1332:T1340 H1330:V1331 B1331:C1331 F1331 B1332:C1338 F1332:F1338 E1339:F1340 B1342:C1342 F1342:Q1342 F1343:F1364 F1341:Q1341 S1342:T1342 S1341:T1341 S1325:S1326 B1325:D1325 F1325:Q1325 C1181:V1188 C1180 V1180 C1069:D1069 B1056:C1068 F1056:F1068 H1056:V1068 B1259:D1259 B1248:D1248 F1248:Q1248 B1321:C1324 C1318:D1318 F1318:Q1318 C1249:C1257 H1249:R1257 B1310:D1310 C1282:C1302 H1282:R1302 B1099:V1099 C1097 B1096:V1096 C1081:F1094 C1079:F1080 C1078 F1078:Q1078 B1055:V1055 B1053:C1054 H1053:V1054 F1053:F1054 C1165:Q1165 C1164:D1164 F1164:Q1164 C1148:F1152 C1145 F1145:Q1145 C1114:R1123 C1112:D1112 F1112:Q1112 C1111:Q1111 C1179 B1172:F1178 H1172:Q1178 C1102:C1110 B1052:D1052 B1035:F1050 B1319:C1320 V1319:V1320 B1314:C1317 B1312:C1313 V1312:V1313 B1281:D1281 B1263:C1279 B1261:C1262 V1261:V1262 C1247 B1216:F1246 B1214:D1214 B1198:F1205 C1196:C1197 V1196:V1197 C1171:D1171 F1171:Q1171 C1146:F1147 V1146:V1147 B1051:C1051 F1051:Q1051 F1052:Q1052 V1079:V1080 C1071:F1077 H1032:V1034 H1035:T1050 B1303:C1303 F1303:Q1303 F1282:F1302 F1180 F1179:Q1179 C1101 F1102:F1110 F1101:Q1101 B1100:D1100 H1148:Q1163 H1146:R1147 C1166:C1170 F1170:Q1170 C1195 F1195:Q1195 F1196:F1197 B1258:C1258 F1258:Q1258 F1249:F1257 B1260:C1260 F1260:Q1260 B1280:C1280 F1280:Q1280 F1263:F1279 F1261:F1262 B1311:C1311 F1311:Q1311 F1314:F1317 F1312:F1313 F1321:F1324 F1319:F1320 H1198:R1213 H1196:S1197 H1263:R1279 H1261:S1262 H1321:V1324 H1319:T1320 H1314:T1317 H1312:T1313 H1081:R1094 H1079:S1080 S1318:T1318 H1102:R1110 F1100:Q1100 F1247:Q1247 C1070 F1070:Q1070 B1215:C1215 F1215:Q1215 H1180:Q1180 B1095:C1095 E1095:V1095 B1098:C1098 E1098:R1098 F1097 H1097:R1097 C1113 H1113:R1113 F1113 C1135:R1144 C1134:F1134 H1124:R1134 C1124:C1133 F1124:F1133 C1153:C1163 F1153:F1163 F1166:F1169 H1166:Q1169 C1194:D1194 F1194:V1194 B1206:C1213 F1206:F1213 F1214:Q1214 F1259:Q1259 F1281:Q1281 B1304:D1304 F1304:Q1304 B1305:C1305 F1305:Q1305 B1306:D1306 F1306:Q1306 B1307:C1307 F1307:Q1307 B1308:D1308 F1308:Q1308 B1309:C1309 F1309:Q1309 F1310:Q1310 C1193:V1193 C1189:F1192 H1189:V1192 H1216:R1246 F1069:Q1069 H1071:U1077 B905:C906 B893:F903 H893:S903 B892:Q892 B872:C890 H872:S890 F872:F890 B891:D891 F891:Q891 B904:C904 C870:D871 F870:Q871 C850:C869 H850:T851 C849 C842:D842 F842:Q842 C843 C814:C841 H814:S841 F814:F841 B788:C789 C787 C761:F784 H761:T784 B1011:D1011 F1011:Q1011 B1010:C1010 B953:C953 C951:D951 F951:Q951 B952:Q952 C942:F943 B941:Q941 H852:S869 V850:V851 C813:D813 F813:Q813 C911:C940 C909:D909 B907:C908 V905:V906 B844:C848 C812 B790:C811 V788:V789 B954:C1009 V953 C944:F950 V942:V943 H905:T906 H907:S908 H788:T789 H790:S811 F905:F906 F904:Q904 F907:F908 F850:F869 F849:Q849 F843:Q843 F844:F848 F1010:Q1010 F953 F954:F1009 F911:F940 C910 F910:Q910 H953:R953 H954:R1009 H942:S943 H944:R950 F788:F789 F787:Q787 F812:Q812 F790:F811 F909:Q909 H844:S848 H1012:R1022 H911:S940 B1679:C1693 F1679:F1693 B1642:C1666 C1641:Q1641 B1805:D1805 C1799:D1800 B1816:D1816 B1806:C1815 F1806:Q1806 F1807:F1815 H1807:T1808 B1834:D1834 B1817:C1833 F1833:Q1833 C1765:D1765 C1735:Q1735 B1736:C1763 F1736:F1763 B1607:C1607 C1605:D1605 B1874:D1874 B1865:C1873 F1865:Q1865 B1882:F1884 B1876:F1879 V1876:V1879 H1876:T1879 B1875:C1875 F1875:Q1875 B1880:D1880 B1881:C1881 F1881:Q1881 F1880:Q1880 C1885 F1885:Q1885 H1882:S1884 C1622:D1623 C1608:C1621 H1608:V1610 H1611:T1621 B1624:C1639 H1624:T1639 F1624:F1639 B1668:C1676 H1668:V1670 H1671:T1676 C1677:D1677 F1677:Q1677 B1714:C1714 F1701:R1701 F1695:F1696 V1695:V1696 B1695:C1701 C1694 F1694:Q1694 F1697:F1700 H1697:R1700 H1695:T1696 B1702:D1702 F1702:R1702 B1703:C1712 F1703:F1712 B1713:D1713 F1713:R1713 H1703:R1712 C1667 C1640:D1640 F1640:Q1640 H1642:T1666 F1642:F1666 F1668:F1676 F1667:Q1667 H1679:T1693 B1716:C1717 B1715:C1715 H1715:R1715 B1718:C1724 H1718:R1724 B1725:C1725 F1725:Q1725 F1714:R1714 F1716:R1717 F1715 F1718:F1724 B1772:D1772 B1766:C1770 H1766:S1770 C1801:C1803 H1801:S1803 H1809:S1815 F1817:S1817 F1816:S1816 F1818:F1832 H1818:S1832 B1843:D1843 B1839:C1842 B1835:C1838 F1836:V1838 F1839:F1842 H1839:T1842 F1834:Q1834 F1835:Q1835 V1807:V1808 B1804:C1804 F1804:Q1804 F1801:F1803 F1805:Q1805 B1776:C1798 B1774:C1775 H1774:T1775 H1776:S1798 V1774:V1775 B1773:C1773 F1773:Q1773 F1776:F1798 F1774:F1775 F1799:Q1800 B1771:C1771 F1771:Q1771 F1766:F1770 F1772:Q1772 C1734:D1734 F1734:Q1734 B1730:C1733 B1728:C1729 H1728:T1729 H1730:S1733 V1728:V1729 B1727:C1727 F1727:Q1727 F1730:F1733 F1728:F1729 F1764:Q1764 C1764 F1765:Q1765 H1736:S1763 F1622:Q1623 F1726:Q1726 B1606:F1606 H1606:S1606 C1604 F1604:Q1604 F1605:Q1605 B1600:F1603 B1598:F1599 V1598:V1599 H1600:S1603 H1598:T1599 F1607:Q1607 F1608:F1621 B1578:C1595 F1578:F1594 B1597:C1597 F1597:Q1597 F1596:Q1596 F1595:Q1595 B1864:D1864 B1858:C1863 F1863:Q1863 F1858:F1862 H1858:T1862 C1857:D1857 C1856 F1856:Q1856 F1857:Q1857 B1845:F1855 H1845:T1855 F1873:Q1873 F1869:F1872 F1867:F1868 H1867:T1868 H1869:S1872 F1874:Q1874 F1866:T1866 V1866 V1867:V1868 F1864:Q1864 B1844:C1844 F1844:Q1844 F1843:Q1843 H1578:R1594 C1557 F1557:Q1557 F1558:F1559 F1560:F1569 H1558:S1559 H1560:R1569 F1555:Q1556" formulaRange="1"/>
    <ignoredError sqref="U14 U15:V22 C65:I65 T223:V225 T69:U70 T71:V95 I264 C264:D264 C263:I263 R1365:V1365 B1365:B1366 D347:I347 B332:F332 H332:I332 B333:I346 G749:G753 R729:V729 G683:G725 E681 R681:V682 H673 R673:V673 G606:G667 D605:E667 G670:G672 E604 E668:E669 H603 D603:E603 R603:V603 T609:V667 U606:U608 U749:V759 R748:V748 U735:V747 T683:V728 T677:V680 U674:U676 T670:V672 S599:V600 B748:B759 B681:B729 B603:B673 G730:G747 G674:G680 D673:E680 D729:E759 D599:E601 E602 G600 E410:I410 V483:V489 R439:V439 B548 V492:V527 S552:V571 T549:U551 R535:V542 S531:U534 G473:G489 D470:E489 D404:I409 D414:I439 G549:G571 D548:E571 R545:V548 D440:E468 G531:G542 D531:E542 B380:I394 B439:B526 D395:I395 B531 I440:I442 G440:G463 G492:G526 E490 G470:G471 H472 E469 D491:E526 G465:G468 B528:B529 E572 G545:G547 E543 E529 D527 R472:V472 D528:E528 U1332:V1364 G1343:G1364 B1012:B1022 D1031:E1031 E1030 D1029:E1029 E1028 D1027:E1027 E1026 D1025:E1025 E1024 R1023:V1023 D1012:E1023 T1325:V1329 B1327:B1329 G1327:G1328 D1327:E1329 R1329 G1330:G1340 D1331:E1338 D1339:D1340 D1342:E1364 E1341 R1341:R1342 R1325:R1326 E1325 R1180:U1180 D1056:E1068 G1056:G1068 E1248 E1318 B1318 G1249:G1257 G1282:G1302 B1282:B1302 S1097:V1098 S1081:V1094 D1078:E1078 R1078:V1078 G1053:G1054 D1053:E1054 E1164 D1145:E1145 R1145:V1145 E1112 R1111:V1112 G1172:G1178 S1102:V1110 U1035:V1050 U1319:U1320 U1312:U1313 S1282:V1302 S1263:V1279 T1261:U1262 S1249:V1257 S1216:V1246 S1198:V1213 T1196:U1197 E1171 S1146:U1147 S1113:V1144 D1051:E1051 E1052 T1079:U1080 V1071:V1077 R1051:V1052 G1032:G1050 R1247:V1248 B1247 B1249:B1257 D1282:E1303 B1069:B1094 D1179:E1180 R1148:V1179 B1101:B1171 D1101:E1110 R1100:V1101 G1146:G1163 D1166:E1170 D1195:E1197 D1249:E1258 D1260:E1280 D1311:E1317 D1319:E1324 G1196:G1213 G1261:G1279 G1319:G1324 G1312:G1317 G1079:G1094 B1179:B1197 R1318 U1314:V1318 G1102:G1110 E1100 D1247:E1247 D1070:E1070 D1215:E1215 G1180 R1303:V1311 R1280:V1281 R1258:V1260 R1214:V1215 R1195:V1195 D1095 D1098 D1097:E1097 G1097 B1097 G1113 D1113:E1113 G1124:G1134 D1124:E1133 D1153:E1163 G1166:G1169 E1194 D1206:E1213 E1214 E1259 E1281 E1304 D1305:E1305 E1306 D1307:E1307 E1308 D1309:E1309 E1310 G1189:G1192 G1216:G1246 E1069 G1071:G1077 R1069:V1070 G893:G903 G872:G890 D872:E890 E891 R891:V892 R904:V904 R870:V871 E870:E871 G850:G869 E842 R842:V843 G814:G841 D814:E841 R787:V787 G761:G784 E1011 R1010:V1011 E951 R951:V952 R941:V941 T852:V869 U850:U851 E813 T911:V940 T907:V908 U905:U906 T893:V903 T872:V890 T844:V848 T814:V841 R812:V813 T790:V811 U788:U789 U761:V786 B909:B940 B849:B871 B812:B843 B761:B787 S1012:V1022 S954:V1009 S953:U953 S944:V950 T942:U943 G905:G908 G788:G811 D904:E908 D843:E869 D953:E1010 B942:B951 D910:E940 G953:G1009 G942:G950 D787:E812 R849:V849 E909 G844:G848 G1012:G1022 G911:G940 R909:V910 E760 R760:V760 R370:V370 E1570 R1571:V1571 T1543:V1554 G1543:G1554 B1677:B1678 D1679:E1701 B1640:B1641 B1799:B1803 D1806:E1815 G1807:G1815 D1817:E1833 R1734:V1735 D1736:E1764 R1604:V1605 D1865:E1873 U1876:U1879 G1876:G1879 D1875:E1875 R1880:V1881 D1881:E1881 E1880 D1885:E1885 B1885 R1885:V1885 T1882:V1884 G1882:G1884 G1608:G1621 U1611:V1621 G1624:G1639 D1624:E1639 U1624:V1639 G1668:G1676 U1671:V1676 R1677:V1678 E1677 S1697:V1724 U1695:U1696 B1694 R1694:V1694 G1695:G1700 E1702 D1703:E1712 E1713 G1703:G1712 U1679:V1693 R1667:V1667 B1667 R1640:V1641 E1640 U1642:V1666 G1642:G1666 D1642:E1676 G1679:G1693 G1715 G1718:G1724 D1714:E1725 G1766:G1770 T1766:V1770 G1801:G1803 T1801:V1803 T1809:V1832 E1816 G1818:G1832 U1839:V1842 D1835:E1842 G1839:G1842 E1834 R1833:V1835 U1807:U1808 D1801:E1804 E1805 R1804:V1806 T1776:V1798 G1774:G1798 R1799:V1800 U1774:U1775 D1773:E1798 E1799:E1800 D1766:E1771 E1772 R1771:V1773 E1734 B1734:B1735 T1730:V1733 G1728:G1733 U1728:U1729 D1727:E1733 R1764:V1765 B1764:B1765 E1765 T1736:V1763 G1736:G1763 B1608:B1623 R1622:V1623 E1622:E1623 E1726 R1725:V1727 G1606 T1606:V1606 D1604:E1604 E1605 B1604:B1605 T1600:V1603 U1598:U1599 G1598:G1603 D1607:E1621 R1607:V1607 D1578:E1595 D1597:E1597 E1596 R1595:V1597 D1858:E1863 G1858:G1862 U1858:V1862 R1856:V1857 D1856:E1856 B1856:B1857 E1857 U1845:V1855 G1845:G1855 R1873:V1875 T1869:V1872 G1867:G1872 E1874 U1866:U1868 E1864 R1863:V1865 D1844:E1844 E1843 R1843:V1844 G1578:G1594 S1578:V1594 B1577 E1577 S1572:V1575 G1572:G1575 B311:I311 R311:V311 B1516:B1571 B1516:B1554 T1558:U1559 S1560:V1569 D1557:E1569 G1558:G1569 R1555:V1557 E1555:E1556 R1576:V1577 F1:N1 B1:D1 B370:I371 G574:G598 E1365:E1367 E348:I348 T23:V27 T44:V57 R32:V40 B32:I64 C66:D66 B69:I262 R58:V64 B347:B348 D1524:E1542 D1576:E1576 R263:V264" formula="1" formulaRange="1"/>
    <ignoredError sqref="G1475:G1482 R1523:V1524 E1523 R1516:V1516 T1525:V1532 D1508 B1507 E1507 B1433:B1434 E1433 R1431:U1432 T1519:V1522 T1517:U1518 R1484:U1485 B1473:B1482 D1475:E1490 D1516:E1522 D1434:E1472 D1492:E1506 D1431:E1432 G1431:G1432 G1484:G1490 R1491:V1507 R1435:V1483 E1473:E1474 G1525:G1541 E1491 G1435:G1472 G1493:G1506 G1518:G1522 S574:V598 D573:E598 R1570:V1570 B1576 D1543:E1554 D1572:E1575 R227:V26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9" style="8"/>
    <col min="2" max="2" width="10.7265625" style="8" customWidth="1"/>
    <col min="3" max="3" width="12.08984375" style="2" customWidth="1"/>
    <col min="4" max="4" width="14.54296875" style="2" customWidth="1"/>
    <col min="5" max="5" width="12.7265625" style="2" customWidth="1"/>
    <col min="6" max="6" width="13.90625" style="2" customWidth="1"/>
    <col min="7" max="7" width="22.54296875" style="2" customWidth="1"/>
    <col min="8" max="8" width="15.36328125" style="2" customWidth="1"/>
    <col min="9" max="9" width="15.90625" style="8" customWidth="1"/>
    <col min="11" max="16384" width="9" style="8"/>
  </cols>
  <sheetData>
    <row r="1" spans="1:11" s="2" customFormat="1" ht="13">
      <c r="A1" s="8" t="s">
        <v>0</v>
      </c>
      <c r="B1" s="2" t="s">
        <v>2149</v>
      </c>
      <c r="C1" s="2" t="s">
        <v>2150</v>
      </c>
      <c r="D1" s="2" t="s">
        <v>2151</v>
      </c>
      <c r="E1" s="2" t="s">
        <v>2152</v>
      </c>
      <c r="F1" s="2" t="s">
        <v>2146</v>
      </c>
      <c r="G1" s="2" t="s">
        <v>2147</v>
      </c>
      <c r="H1" s="2" t="s">
        <v>2148</v>
      </c>
    </row>
    <row r="2" spans="1:11" s="2" customFormat="1" ht="13.5">
      <c r="A2" s="8" t="s">
        <v>8</v>
      </c>
      <c r="B2" s="2" t="s">
        <v>9</v>
      </c>
      <c r="C2" s="9" t="s">
        <v>10</v>
      </c>
      <c r="D2" s="2" t="s">
        <v>9</v>
      </c>
      <c r="E2" s="2" t="s">
        <v>9</v>
      </c>
      <c r="F2" s="9" t="s">
        <v>10</v>
      </c>
      <c r="G2" s="9" t="s">
        <v>10</v>
      </c>
      <c r="H2" s="2" t="s">
        <v>9</v>
      </c>
    </row>
    <row r="3" spans="1:11" s="2" customFormat="1" ht="13">
      <c r="A3" s="8" t="s">
        <v>12</v>
      </c>
    </row>
    <row r="4" spans="1:11" s="2" customFormat="1" ht="13">
      <c r="A4" s="8" t="s">
        <v>14</v>
      </c>
      <c r="B4" s="2" t="s">
        <v>1955</v>
      </c>
      <c r="C4" s="2" t="s">
        <v>1956</v>
      </c>
      <c r="D4" s="2" t="s">
        <v>1957</v>
      </c>
      <c r="E4" s="2" t="s">
        <v>1958</v>
      </c>
      <c r="F4" s="2" t="s">
        <v>1959</v>
      </c>
      <c r="G4" s="10" t="s">
        <v>1960</v>
      </c>
      <c r="H4" s="2" t="s">
        <v>1961</v>
      </c>
    </row>
    <row r="5" spans="1:11" s="2" customFormat="1" ht="13">
      <c r="A5" s="8"/>
      <c r="B5" s="2">
        <v>1</v>
      </c>
      <c r="C5" s="2" t="s">
        <v>1962</v>
      </c>
      <c r="D5" s="2">
        <v>900</v>
      </c>
      <c r="E5" s="2">
        <v>315</v>
      </c>
      <c r="F5" s="2" t="s">
        <v>1963</v>
      </c>
      <c r="G5" s="2" t="s">
        <v>1964</v>
      </c>
      <c r="H5" s="2">
        <v>0</v>
      </c>
    </row>
    <row r="8" spans="1:11">
      <c r="A8" s="8" t="s">
        <v>14</v>
      </c>
      <c r="B8" s="8">
        <v>1</v>
      </c>
      <c r="C8" s="2" t="s">
        <v>99</v>
      </c>
      <c r="D8" s="2">
        <v>900</v>
      </c>
      <c r="E8" s="2">
        <v>315</v>
      </c>
      <c r="F8" s="2" t="s">
        <v>1965</v>
      </c>
      <c r="G8" s="2" t="s">
        <v>1966</v>
      </c>
      <c r="H8" s="2">
        <v>0</v>
      </c>
      <c r="I8" s="2" t="s">
        <v>1967</v>
      </c>
      <c r="K8" s="2"/>
    </row>
    <row r="9" spans="1:11">
      <c r="A9" s="8" t="s">
        <v>14</v>
      </c>
      <c r="B9" s="8">
        <v>2</v>
      </c>
      <c r="C9" s="2" t="s">
        <v>54</v>
      </c>
      <c r="D9" s="2">
        <v>900</v>
      </c>
      <c r="E9" s="2">
        <v>315</v>
      </c>
      <c r="F9" s="2" t="s">
        <v>1968</v>
      </c>
      <c r="G9" s="2" t="s">
        <v>1969</v>
      </c>
      <c r="H9" s="2">
        <v>1</v>
      </c>
      <c r="I9" s="2" t="s">
        <v>1970</v>
      </c>
      <c r="K9" s="2"/>
    </row>
    <row r="10" spans="1:11">
      <c r="A10" s="8" t="s">
        <v>14</v>
      </c>
      <c r="B10" s="8">
        <v>3</v>
      </c>
      <c r="C10" s="2" t="s">
        <v>87</v>
      </c>
      <c r="D10" s="2">
        <v>1000</v>
      </c>
      <c r="E10" s="2">
        <v>303</v>
      </c>
      <c r="F10" s="2" t="s">
        <v>1971</v>
      </c>
      <c r="G10" s="2" t="s">
        <v>1972</v>
      </c>
      <c r="H10" s="2">
        <v>1</v>
      </c>
      <c r="I10" s="2">
        <v>90</v>
      </c>
      <c r="K10" s="2"/>
    </row>
    <row r="11" spans="1:11">
      <c r="A11" s="8" t="s">
        <v>14</v>
      </c>
      <c r="B11" s="8">
        <v>4</v>
      </c>
      <c r="C11" s="2" t="s">
        <v>377</v>
      </c>
      <c r="D11" s="2">
        <v>1000</v>
      </c>
      <c r="E11" s="2">
        <v>303</v>
      </c>
      <c r="F11" s="2" t="s">
        <v>1973</v>
      </c>
      <c r="G11" s="2" t="s">
        <v>1974</v>
      </c>
      <c r="H11" s="2">
        <v>1</v>
      </c>
      <c r="I11" s="2">
        <v>90</v>
      </c>
      <c r="K11" s="2"/>
    </row>
    <row r="12" spans="1:11">
      <c r="A12" s="8" t="s">
        <v>14</v>
      </c>
      <c r="B12" s="8">
        <v>5</v>
      </c>
      <c r="C12" s="2" t="s">
        <v>438</v>
      </c>
      <c r="D12" s="2">
        <v>1000</v>
      </c>
      <c r="E12" s="2">
        <v>303</v>
      </c>
      <c r="F12" s="2" t="s">
        <v>1975</v>
      </c>
      <c r="G12" s="2" t="s">
        <v>1976</v>
      </c>
      <c r="H12" s="2">
        <v>1</v>
      </c>
      <c r="I12" s="2">
        <v>50</v>
      </c>
      <c r="K12" s="2"/>
    </row>
    <row r="13" spans="1:11">
      <c r="A13" s="8" t="s">
        <v>14</v>
      </c>
      <c r="B13" s="8">
        <v>6</v>
      </c>
      <c r="C13" s="2" t="s">
        <v>96</v>
      </c>
      <c r="D13" s="2">
        <v>1000</v>
      </c>
      <c r="E13" s="2">
        <v>303</v>
      </c>
      <c r="F13" s="2" t="s">
        <v>1977</v>
      </c>
      <c r="G13" s="2" t="s">
        <v>1978</v>
      </c>
      <c r="H13" s="2">
        <v>1</v>
      </c>
      <c r="I13" s="2">
        <v>50</v>
      </c>
      <c r="K13" s="2"/>
    </row>
    <row r="14" spans="1:11">
      <c r="A14" s="8" t="s">
        <v>14</v>
      </c>
      <c r="B14" s="8">
        <v>7</v>
      </c>
      <c r="C14" s="2" t="s">
        <v>554</v>
      </c>
      <c r="D14" s="2">
        <v>1000</v>
      </c>
      <c r="E14" s="2">
        <v>303</v>
      </c>
      <c r="F14" s="2" t="s">
        <v>1979</v>
      </c>
      <c r="G14" s="2" t="s">
        <v>1980</v>
      </c>
      <c r="H14" s="2">
        <v>2</v>
      </c>
      <c r="I14" s="2">
        <v>120</v>
      </c>
      <c r="K14" s="2"/>
    </row>
    <row r="15" spans="1:11">
      <c r="A15" s="8" t="s">
        <v>14</v>
      </c>
      <c r="B15" s="8">
        <v>8</v>
      </c>
      <c r="C15" s="2" t="s">
        <v>90</v>
      </c>
      <c r="D15" s="2">
        <v>1000</v>
      </c>
      <c r="E15" s="2">
        <v>303</v>
      </c>
      <c r="F15" s="2" t="s">
        <v>1981</v>
      </c>
      <c r="G15" s="2" t="s">
        <v>1982</v>
      </c>
      <c r="H15" s="2">
        <v>2</v>
      </c>
      <c r="I15" s="2">
        <v>50</v>
      </c>
      <c r="K15" s="2"/>
    </row>
    <row r="16" spans="1:11">
      <c r="A16" s="8" t="s">
        <v>14</v>
      </c>
      <c r="B16" s="8">
        <v>9</v>
      </c>
      <c r="C16" s="2" t="s">
        <v>624</v>
      </c>
      <c r="D16" s="2">
        <v>1000</v>
      </c>
      <c r="E16" s="2">
        <v>303</v>
      </c>
      <c r="F16" s="2" t="s">
        <v>1983</v>
      </c>
      <c r="G16" s="2" t="s">
        <v>1984</v>
      </c>
      <c r="H16" s="2">
        <v>2</v>
      </c>
      <c r="I16" s="2">
        <v>60</v>
      </c>
      <c r="K16" s="2"/>
    </row>
    <row r="17" spans="1:11">
      <c r="A17" s="8" t="s">
        <v>14</v>
      </c>
      <c r="B17" s="8">
        <v>10</v>
      </c>
      <c r="C17" s="2" t="s">
        <v>690</v>
      </c>
      <c r="D17" s="2">
        <v>1000</v>
      </c>
      <c r="E17" s="2">
        <v>303</v>
      </c>
      <c r="F17" s="2" t="s">
        <v>1985</v>
      </c>
      <c r="G17" s="2" t="s">
        <v>1986</v>
      </c>
      <c r="H17" s="2">
        <v>2</v>
      </c>
      <c r="K17" s="2"/>
    </row>
    <row r="18" spans="1:11">
      <c r="A18" s="8" t="s">
        <v>14</v>
      </c>
      <c r="B18" s="8">
        <v>11</v>
      </c>
      <c r="C18" s="2" t="s">
        <v>1987</v>
      </c>
      <c r="D18" s="2">
        <v>1000</v>
      </c>
      <c r="E18" s="2">
        <v>303</v>
      </c>
      <c r="F18" s="2" t="s">
        <v>1988</v>
      </c>
      <c r="G18" s="2" t="s">
        <v>1989</v>
      </c>
      <c r="H18" s="2">
        <v>2</v>
      </c>
      <c r="K18" s="2"/>
    </row>
    <row r="19" spans="1:11">
      <c r="A19" s="8" t="s">
        <v>14</v>
      </c>
      <c r="B19" s="8">
        <v>12</v>
      </c>
      <c r="C19" s="2" t="s">
        <v>93</v>
      </c>
      <c r="D19" s="2">
        <v>1000</v>
      </c>
      <c r="E19" s="2">
        <v>303</v>
      </c>
      <c r="F19" s="2" t="s">
        <v>1990</v>
      </c>
      <c r="G19" s="2" t="s">
        <v>1991</v>
      </c>
      <c r="H19" s="2">
        <v>2</v>
      </c>
      <c r="K19" s="2"/>
    </row>
    <row r="20" spans="1:11">
      <c r="A20" s="8" t="s">
        <v>14</v>
      </c>
      <c r="B20" s="8">
        <v>13</v>
      </c>
      <c r="C20" s="2" t="s">
        <v>833</v>
      </c>
      <c r="D20" s="2">
        <v>1000</v>
      </c>
      <c r="E20" s="2">
        <v>303</v>
      </c>
      <c r="F20" s="2" t="s">
        <v>1992</v>
      </c>
      <c r="G20" s="2" t="s">
        <v>1993</v>
      </c>
      <c r="H20" s="2">
        <v>2</v>
      </c>
      <c r="K20" s="2"/>
    </row>
    <row r="21" spans="1:11">
      <c r="A21" s="8" t="s">
        <v>14</v>
      </c>
      <c r="B21" s="8">
        <v>14</v>
      </c>
      <c r="C21" s="2" t="s">
        <v>890</v>
      </c>
      <c r="D21" s="2">
        <v>1000</v>
      </c>
      <c r="E21" s="2">
        <v>303</v>
      </c>
      <c r="F21" s="2" t="s">
        <v>1994</v>
      </c>
      <c r="G21" s="2" t="s">
        <v>1995</v>
      </c>
      <c r="H21" s="2">
        <v>3</v>
      </c>
      <c r="K21" s="2"/>
    </row>
    <row r="22" spans="1:11">
      <c r="A22" s="8" t="s">
        <v>14</v>
      </c>
      <c r="B22" s="8">
        <v>15</v>
      </c>
      <c r="C22" s="2" t="s">
        <v>1041</v>
      </c>
      <c r="D22" s="2">
        <v>1000</v>
      </c>
      <c r="E22" s="2">
        <v>303</v>
      </c>
      <c r="F22" s="2" t="s">
        <v>1996</v>
      </c>
      <c r="G22" s="2" t="s">
        <v>1997</v>
      </c>
      <c r="H22" s="2">
        <v>3</v>
      </c>
      <c r="K22" s="2"/>
    </row>
    <row r="23" spans="1:11">
      <c r="A23" s="8" t="s">
        <v>14</v>
      </c>
      <c r="B23" s="8">
        <v>16</v>
      </c>
      <c r="C23" s="2" t="s">
        <v>1998</v>
      </c>
      <c r="D23" s="2">
        <v>1000</v>
      </c>
      <c r="E23" s="2">
        <v>303</v>
      </c>
      <c r="F23" s="2" t="s">
        <v>1999</v>
      </c>
      <c r="G23" s="2" t="s">
        <v>2000</v>
      </c>
      <c r="H23" s="2">
        <v>3</v>
      </c>
      <c r="K23" s="2"/>
    </row>
    <row r="24" spans="1:11">
      <c r="A24" s="8" t="s">
        <v>14</v>
      </c>
      <c r="B24" s="8">
        <v>17</v>
      </c>
      <c r="C24" s="2" t="s">
        <v>2001</v>
      </c>
      <c r="D24" s="2">
        <v>1000</v>
      </c>
      <c r="E24" s="2">
        <v>303</v>
      </c>
      <c r="F24" s="2" t="s">
        <v>2002</v>
      </c>
      <c r="G24" s="2" t="s">
        <v>2003</v>
      </c>
      <c r="H24" s="2">
        <v>3</v>
      </c>
      <c r="K24" s="2"/>
    </row>
    <row r="25" spans="1:11">
      <c r="A25" s="8" t="s">
        <v>14</v>
      </c>
      <c r="B25" s="8">
        <v>18</v>
      </c>
      <c r="C25" s="2" t="s">
        <v>1086</v>
      </c>
      <c r="D25" s="2">
        <v>1000</v>
      </c>
      <c r="E25" s="2">
        <v>303</v>
      </c>
      <c r="F25" s="2" t="s">
        <v>2004</v>
      </c>
      <c r="G25" s="2" t="s">
        <v>2005</v>
      </c>
      <c r="H25" s="2">
        <v>3</v>
      </c>
      <c r="K25" s="2"/>
    </row>
    <row r="26" spans="1:11">
      <c r="A26" s="8" t="s">
        <v>14</v>
      </c>
      <c r="B26" s="8">
        <v>19</v>
      </c>
      <c r="C26" s="2" t="s">
        <v>1128</v>
      </c>
      <c r="D26" s="2">
        <v>1000</v>
      </c>
      <c r="E26" s="2">
        <v>303</v>
      </c>
      <c r="F26" s="2" t="s">
        <v>2006</v>
      </c>
      <c r="G26" s="2" t="s">
        <v>2007</v>
      </c>
      <c r="H26" s="2">
        <v>3</v>
      </c>
      <c r="K26" s="2"/>
    </row>
    <row r="27" spans="1:11">
      <c r="A27" s="8" t="s">
        <v>14</v>
      </c>
      <c r="B27" s="8">
        <v>20</v>
      </c>
      <c r="C27" s="2" t="s">
        <v>1181</v>
      </c>
      <c r="D27" s="2">
        <v>1000</v>
      </c>
      <c r="E27" s="2">
        <v>303</v>
      </c>
      <c r="F27" s="2" t="s">
        <v>2008</v>
      </c>
      <c r="G27" s="2" t="s">
        <v>2009</v>
      </c>
      <c r="H27" s="2">
        <v>3</v>
      </c>
      <c r="K27" s="2"/>
    </row>
    <row r="28" spans="1:11">
      <c r="A28" s="8" t="s">
        <v>14</v>
      </c>
      <c r="B28" s="8">
        <v>21</v>
      </c>
      <c r="C28" s="2" t="s">
        <v>1296</v>
      </c>
      <c r="D28" s="2">
        <v>1000</v>
      </c>
      <c r="E28" s="2">
        <v>303</v>
      </c>
      <c r="F28" s="2" t="s">
        <v>2010</v>
      </c>
      <c r="G28" s="2" t="s">
        <v>2011</v>
      </c>
      <c r="H28" s="2">
        <v>3</v>
      </c>
      <c r="K28" s="2"/>
    </row>
    <row r="29" spans="1:11">
      <c r="A29" s="8" t="s">
        <v>14</v>
      </c>
      <c r="B29" s="8">
        <v>22</v>
      </c>
      <c r="C29" s="2" t="s">
        <v>1262</v>
      </c>
      <c r="D29" s="2">
        <v>1000</v>
      </c>
      <c r="E29" s="2">
        <v>303</v>
      </c>
      <c r="F29" s="2" t="s">
        <v>2012</v>
      </c>
      <c r="G29" s="2" t="s">
        <v>2013</v>
      </c>
      <c r="H29" s="2">
        <v>4</v>
      </c>
      <c r="K29" s="2"/>
    </row>
    <row r="30" spans="1:11">
      <c r="A30" s="8" t="s">
        <v>14</v>
      </c>
      <c r="B30" s="8">
        <v>23</v>
      </c>
      <c r="C30" s="2" t="s">
        <v>1274</v>
      </c>
      <c r="D30" s="2">
        <v>1000</v>
      </c>
      <c r="E30" s="2">
        <v>303</v>
      </c>
      <c r="F30" s="2" t="s">
        <v>2014</v>
      </c>
      <c r="G30" s="2" t="s">
        <v>2015</v>
      </c>
      <c r="H30" s="2">
        <v>4</v>
      </c>
      <c r="K30" s="2"/>
    </row>
    <row r="31" spans="1:11">
      <c r="A31" s="8" t="s">
        <v>14</v>
      </c>
      <c r="B31" s="8">
        <v>24</v>
      </c>
      <c r="C31" s="2" t="s">
        <v>1319</v>
      </c>
      <c r="D31" s="2">
        <v>1000</v>
      </c>
      <c r="E31" s="2">
        <v>303</v>
      </c>
      <c r="F31" s="2" t="s">
        <v>2016</v>
      </c>
      <c r="G31" s="2" t="s">
        <v>2017</v>
      </c>
      <c r="H31" s="2">
        <v>4</v>
      </c>
      <c r="K31" s="2"/>
    </row>
    <row r="32" spans="1:11">
      <c r="A32" s="8" t="s">
        <v>14</v>
      </c>
      <c r="B32" s="8">
        <v>25</v>
      </c>
      <c r="C32" s="2" t="s">
        <v>1438</v>
      </c>
      <c r="D32" s="2">
        <v>1000</v>
      </c>
      <c r="E32" s="2">
        <v>303</v>
      </c>
      <c r="F32" s="2" t="s">
        <v>2018</v>
      </c>
      <c r="G32" s="2" t="s">
        <v>2019</v>
      </c>
      <c r="H32" s="2">
        <v>4</v>
      </c>
      <c r="K32" s="2"/>
    </row>
    <row r="33" spans="1:11">
      <c r="A33" s="8" t="s">
        <v>14</v>
      </c>
      <c r="B33" s="8">
        <v>26</v>
      </c>
      <c r="C33" s="2" t="s">
        <v>1379</v>
      </c>
      <c r="D33" s="2">
        <v>1000</v>
      </c>
      <c r="E33" s="2">
        <v>303</v>
      </c>
      <c r="F33" s="2" t="s">
        <v>2020</v>
      </c>
      <c r="G33" s="2" t="s">
        <v>2021</v>
      </c>
      <c r="H33" s="2">
        <v>4</v>
      </c>
      <c r="K33" s="2"/>
    </row>
    <row r="34" spans="1:11">
      <c r="A34" s="8" t="s">
        <v>14</v>
      </c>
      <c r="B34" s="8">
        <v>27</v>
      </c>
      <c r="C34" s="2" t="s">
        <v>1386</v>
      </c>
      <c r="D34" s="2">
        <v>1000</v>
      </c>
      <c r="E34" s="2">
        <v>303</v>
      </c>
      <c r="F34" s="2" t="s">
        <v>2022</v>
      </c>
      <c r="G34" s="2" t="s">
        <v>2023</v>
      </c>
      <c r="H34" s="2">
        <v>4</v>
      </c>
      <c r="K34" s="2"/>
    </row>
    <row r="35" spans="1:11">
      <c r="A35" s="8" t="s">
        <v>14</v>
      </c>
      <c r="B35" s="8">
        <v>28</v>
      </c>
      <c r="C35" s="2" t="s">
        <v>1568</v>
      </c>
      <c r="D35" s="2">
        <v>1000</v>
      </c>
      <c r="E35" s="2">
        <v>303</v>
      </c>
      <c r="F35" s="2" t="s">
        <v>2024</v>
      </c>
      <c r="G35" s="2" t="s">
        <v>2025</v>
      </c>
      <c r="H35" s="2">
        <v>4</v>
      </c>
      <c r="K35" s="2"/>
    </row>
    <row r="36" spans="1:11">
      <c r="A36" s="8" t="s">
        <v>14</v>
      </c>
      <c r="B36" s="8">
        <v>29</v>
      </c>
      <c r="C36" s="2" t="s">
        <v>1549</v>
      </c>
      <c r="D36" s="2">
        <v>1000</v>
      </c>
      <c r="E36" s="2">
        <v>303</v>
      </c>
      <c r="F36" s="2" t="s">
        <v>2026</v>
      </c>
      <c r="G36" s="2" t="s">
        <v>2027</v>
      </c>
      <c r="H36" s="2">
        <v>4</v>
      </c>
      <c r="K36" s="2"/>
    </row>
    <row r="37" spans="1:11">
      <c r="A37" s="8" t="s">
        <v>14</v>
      </c>
      <c r="B37" s="8">
        <v>30</v>
      </c>
      <c r="C37" s="2" t="s">
        <v>1583</v>
      </c>
      <c r="D37" s="2">
        <v>1000</v>
      </c>
      <c r="E37" s="2">
        <v>303</v>
      </c>
      <c r="F37" s="2" t="s">
        <v>2028</v>
      </c>
      <c r="G37" s="2" t="s">
        <v>2029</v>
      </c>
      <c r="H37" s="2">
        <v>4</v>
      </c>
      <c r="K37" s="2"/>
    </row>
    <row r="38" spans="1:11">
      <c r="A38" s="8" t="s">
        <v>14</v>
      </c>
      <c r="B38" s="8">
        <v>31</v>
      </c>
      <c r="C38" s="2" t="s">
        <v>1600</v>
      </c>
      <c r="D38" s="2">
        <v>1000</v>
      </c>
      <c r="E38" s="2">
        <v>303</v>
      </c>
      <c r="F38" s="2" t="s">
        <v>2030</v>
      </c>
      <c r="G38" s="2" t="s">
        <v>2031</v>
      </c>
      <c r="H38" s="2">
        <v>5</v>
      </c>
      <c r="K38" s="2"/>
    </row>
    <row r="39" spans="1:11">
      <c r="A39" s="8" t="s">
        <v>14</v>
      </c>
      <c r="B39" s="8">
        <v>32</v>
      </c>
      <c r="C39" s="2" t="s">
        <v>1646</v>
      </c>
      <c r="D39" s="2">
        <v>1000</v>
      </c>
      <c r="E39" s="2">
        <v>303</v>
      </c>
      <c r="F39" s="2" t="s">
        <v>2032</v>
      </c>
      <c r="G39" s="2" t="s">
        <v>2033</v>
      </c>
      <c r="H39" s="2">
        <v>5</v>
      </c>
      <c r="K39" s="2"/>
    </row>
    <row r="40" spans="1:11">
      <c r="A40" s="8" t="s">
        <v>14</v>
      </c>
      <c r="B40" s="8">
        <v>33</v>
      </c>
      <c r="C40" s="2" t="s">
        <v>1670</v>
      </c>
      <c r="D40" s="2">
        <v>1000</v>
      </c>
      <c r="E40" s="2">
        <v>303</v>
      </c>
      <c r="F40" s="2" t="s">
        <v>2034</v>
      </c>
      <c r="G40" s="2" t="s">
        <v>2035</v>
      </c>
      <c r="H40" s="2">
        <v>5</v>
      </c>
      <c r="K40" s="2"/>
    </row>
    <row r="41" spans="1:11">
      <c r="A41" s="8" t="s">
        <v>14</v>
      </c>
      <c r="B41" s="8">
        <v>34</v>
      </c>
      <c r="C41" s="2" t="s">
        <v>1712</v>
      </c>
      <c r="D41" s="2">
        <v>1000</v>
      </c>
      <c r="E41" s="2">
        <v>303</v>
      </c>
      <c r="F41" s="2" t="s">
        <v>2036</v>
      </c>
      <c r="G41" s="2" t="s">
        <v>2037</v>
      </c>
      <c r="H41" s="2">
        <v>5</v>
      </c>
      <c r="K41" s="2"/>
    </row>
    <row r="42" spans="1:11">
      <c r="A42" s="8" t="s">
        <v>14</v>
      </c>
      <c r="B42" s="8">
        <v>35</v>
      </c>
      <c r="C42" s="2" t="s">
        <v>1837</v>
      </c>
      <c r="D42" s="2">
        <v>1000</v>
      </c>
      <c r="E42" s="2">
        <v>303</v>
      </c>
      <c r="F42" s="2" t="s">
        <v>2038</v>
      </c>
      <c r="G42" s="2" t="s">
        <v>2039</v>
      </c>
      <c r="H42" s="2">
        <v>5</v>
      </c>
      <c r="K42" s="2"/>
    </row>
    <row r="43" spans="1:11">
      <c r="A43" s="8" t="s">
        <v>14</v>
      </c>
      <c r="B43" s="8">
        <v>36</v>
      </c>
      <c r="C43" s="2" t="s">
        <v>1773</v>
      </c>
      <c r="D43" s="2">
        <v>1000</v>
      </c>
      <c r="E43" s="2">
        <v>303</v>
      </c>
      <c r="F43" s="2" t="s">
        <v>2040</v>
      </c>
      <c r="G43" s="2" t="s">
        <v>2041</v>
      </c>
      <c r="H43" s="2">
        <v>5</v>
      </c>
      <c r="K43" s="2"/>
    </row>
    <row r="44" spans="1:11">
      <c r="A44" s="8" t="s">
        <v>14</v>
      </c>
      <c r="B44" s="8">
        <v>37</v>
      </c>
      <c r="C44" s="2" t="s">
        <v>1798</v>
      </c>
      <c r="D44" s="2">
        <v>1000</v>
      </c>
      <c r="E44" s="2">
        <v>303</v>
      </c>
      <c r="F44" s="2" t="s">
        <v>2042</v>
      </c>
      <c r="G44" s="2" t="s">
        <v>2043</v>
      </c>
      <c r="H44" s="2">
        <v>5</v>
      </c>
      <c r="K44" s="2"/>
    </row>
    <row r="45" spans="1:11">
      <c r="A45" s="8" t="s">
        <v>14</v>
      </c>
      <c r="B45" s="8">
        <v>38</v>
      </c>
      <c r="C45" s="2" t="s">
        <v>1873</v>
      </c>
      <c r="D45" s="2">
        <v>1000</v>
      </c>
      <c r="E45" s="2">
        <v>303</v>
      </c>
      <c r="F45" s="2" t="s">
        <v>2044</v>
      </c>
      <c r="G45" s="2" t="s">
        <v>2045</v>
      </c>
      <c r="H45" s="2">
        <v>5</v>
      </c>
      <c r="K45" s="2"/>
    </row>
    <row r="46" spans="1:11">
      <c r="A46" s="8" t="s">
        <v>14</v>
      </c>
      <c r="B46" s="8">
        <v>39</v>
      </c>
      <c r="C46" s="2" t="s">
        <v>1901</v>
      </c>
      <c r="D46" s="2">
        <v>1000</v>
      </c>
      <c r="E46" s="2">
        <v>303</v>
      </c>
      <c r="F46" s="2" t="s">
        <v>2046</v>
      </c>
      <c r="G46" s="2" t="s">
        <v>2047</v>
      </c>
      <c r="H46" s="2">
        <v>5</v>
      </c>
      <c r="K46" s="2"/>
    </row>
    <row r="47" spans="1:11">
      <c r="A47" s="8" t="s">
        <v>14</v>
      </c>
      <c r="B47" s="8">
        <v>40</v>
      </c>
      <c r="C47" s="2" t="s">
        <v>1931</v>
      </c>
      <c r="D47" s="2">
        <v>1000</v>
      </c>
      <c r="E47" s="2">
        <v>303</v>
      </c>
      <c r="F47" s="2" t="s">
        <v>2048</v>
      </c>
      <c r="G47" s="2" t="s">
        <v>2049</v>
      </c>
      <c r="H47" s="2">
        <v>5</v>
      </c>
      <c r="K47" s="2"/>
    </row>
    <row r="48" spans="1:11">
      <c r="A48" s="8" t="s">
        <v>14</v>
      </c>
      <c r="B48" s="8">
        <v>41</v>
      </c>
      <c r="C48" s="2" t="s">
        <v>1911</v>
      </c>
      <c r="D48" s="2">
        <v>1000</v>
      </c>
      <c r="E48" s="2">
        <v>303</v>
      </c>
      <c r="F48" s="2" t="s">
        <v>2050</v>
      </c>
      <c r="G48" s="2" t="s">
        <v>2051</v>
      </c>
      <c r="H48" s="2">
        <v>5</v>
      </c>
    </row>
  </sheetData>
  <phoneticPr fontId="8" type="noConversion"/>
  <conditionalFormatting sqref="C1 C4:C5 C8:C11 C13:C1048576">
    <cfRule type="duplicateValues" dxfId="1" priority="1"/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workbookViewId="0">
      <selection activeCell="F47" sqref="F47"/>
    </sheetView>
  </sheetViews>
  <sheetFormatPr defaultColWidth="8.7265625" defaultRowHeight="14"/>
  <cols>
    <col min="1" max="1" width="12.90625" customWidth="1"/>
    <col min="13" max="16" width="13.08984375" customWidth="1"/>
    <col min="17" max="17" width="19.7265625" customWidth="1"/>
    <col min="18" max="21" width="13.08984375" customWidth="1"/>
  </cols>
  <sheetData>
    <row r="1" spans="1:20">
      <c r="A1" t="s">
        <v>1956</v>
      </c>
      <c r="B1" t="s">
        <v>23</v>
      </c>
      <c r="C1" t="s">
        <v>18</v>
      </c>
      <c r="D1" t="s">
        <v>23</v>
      </c>
      <c r="E1" t="s">
        <v>20</v>
      </c>
      <c r="F1" t="s">
        <v>2052</v>
      </c>
      <c r="G1" t="s">
        <v>23</v>
      </c>
    </row>
    <row r="2" spans="1:20">
      <c r="A2" s="2" t="s">
        <v>54</v>
      </c>
      <c r="B2" s="2">
        <v>1</v>
      </c>
      <c r="C2" s="2" t="s">
        <v>2053</v>
      </c>
      <c r="D2" s="2">
        <v>1</v>
      </c>
      <c r="E2" t="s">
        <v>37</v>
      </c>
      <c r="F2" t="s">
        <v>2054</v>
      </c>
      <c r="G2">
        <v>1</v>
      </c>
      <c r="I2" t="str">
        <f>F4&amp;"-"&amp;E3</f>
        <v>P-传送</v>
      </c>
    </row>
    <row r="3" spans="1:20">
      <c r="A3" s="2" t="s">
        <v>87</v>
      </c>
      <c r="B3" s="2">
        <v>2</v>
      </c>
      <c r="C3" s="2" t="s">
        <v>2055</v>
      </c>
      <c r="D3" s="2">
        <v>2</v>
      </c>
      <c r="E3" t="s">
        <v>53</v>
      </c>
      <c r="F3" t="s">
        <v>2056</v>
      </c>
      <c r="G3">
        <v>2</v>
      </c>
      <c r="I3" t="str">
        <f>F3&amp;"-"&amp;E4</f>
        <v>T-NPC</v>
      </c>
    </row>
    <row r="4" spans="1:20">
      <c r="A4" s="2" t="s">
        <v>377</v>
      </c>
      <c r="B4" s="2">
        <v>3</v>
      </c>
      <c r="C4" s="2" t="s">
        <v>2057</v>
      </c>
      <c r="D4" s="2">
        <v>3</v>
      </c>
      <c r="E4" t="s">
        <v>57</v>
      </c>
      <c r="F4" t="s">
        <v>2058</v>
      </c>
      <c r="G4">
        <v>3</v>
      </c>
      <c r="I4" t="str">
        <f>F2&amp;"-"&amp;E2</f>
        <v>N-怪物</v>
      </c>
      <c r="O4" s="3"/>
      <c r="P4" s="3"/>
      <c r="Q4" s="3"/>
      <c r="R4" s="3"/>
      <c r="S4" s="3"/>
      <c r="T4" s="3"/>
    </row>
    <row r="5" spans="1:20">
      <c r="A5" s="2" t="s">
        <v>438</v>
      </c>
      <c r="B5" s="2">
        <v>4</v>
      </c>
      <c r="C5" s="2" t="s">
        <v>2059</v>
      </c>
      <c r="D5" s="2">
        <v>4</v>
      </c>
      <c r="E5" t="s">
        <v>2060</v>
      </c>
      <c r="F5" t="s">
        <v>2061</v>
      </c>
      <c r="G5">
        <v>4</v>
      </c>
      <c r="I5" t="str">
        <f>F5&amp;"-"&amp;E5</f>
        <v>M-音效</v>
      </c>
      <c r="O5" s="3"/>
      <c r="P5" s="3"/>
      <c r="Q5" s="3"/>
      <c r="R5" s="3"/>
      <c r="S5" s="3"/>
      <c r="T5" s="3"/>
    </row>
    <row r="6" spans="1:20">
      <c r="A6" s="2" t="s">
        <v>96</v>
      </c>
      <c r="B6" s="2">
        <v>5</v>
      </c>
      <c r="C6" s="2" t="s">
        <v>2062</v>
      </c>
      <c r="D6" s="2">
        <v>5</v>
      </c>
      <c r="E6" t="s">
        <v>86</v>
      </c>
      <c r="F6" t="s">
        <v>2063</v>
      </c>
      <c r="G6">
        <v>5</v>
      </c>
      <c r="I6" t="str">
        <f>F6&amp;"-"&amp;E6</f>
        <v>J-镜头</v>
      </c>
      <c r="O6" s="3"/>
      <c r="P6" s="3"/>
      <c r="Q6" s="3"/>
      <c r="R6" s="3"/>
      <c r="S6" s="3"/>
      <c r="T6" s="3"/>
    </row>
    <row r="7" spans="1:20">
      <c r="A7" s="2" t="s">
        <v>554</v>
      </c>
      <c r="B7" s="2">
        <v>6</v>
      </c>
      <c r="C7" s="2" t="s">
        <v>2064</v>
      </c>
      <c r="D7" s="2">
        <v>6</v>
      </c>
      <c r="O7" s="3"/>
      <c r="P7" s="3"/>
      <c r="Q7" s="3"/>
      <c r="R7" s="3"/>
      <c r="S7" s="3"/>
      <c r="T7" s="3"/>
    </row>
    <row r="8" spans="1:20">
      <c r="A8" s="2" t="s">
        <v>90</v>
      </c>
      <c r="B8" s="2">
        <v>7</v>
      </c>
      <c r="C8" s="2" t="s">
        <v>2065</v>
      </c>
      <c r="D8" s="2">
        <v>7</v>
      </c>
      <c r="O8" s="3"/>
      <c r="P8" s="3"/>
      <c r="Q8" s="3"/>
      <c r="R8" s="3"/>
      <c r="S8" s="3"/>
      <c r="T8" s="3"/>
    </row>
    <row r="9" spans="1:20">
      <c r="A9" s="2" t="s">
        <v>624</v>
      </c>
      <c r="B9" s="2">
        <v>8</v>
      </c>
      <c r="C9" s="2" t="s">
        <v>2066</v>
      </c>
      <c r="D9" s="2">
        <v>8</v>
      </c>
      <c r="O9" s="3"/>
      <c r="P9" s="3"/>
      <c r="Q9" s="3"/>
      <c r="R9" s="3"/>
      <c r="S9" s="3"/>
      <c r="T9" s="3"/>
    </row>
    <row r="10" spans="1:20">
      <c r="A10" s="2" t="s">
        <v>690</v>
      </c>
      <c r="B10" s="2">
        <v>9</v>
      </c>
      <c r="C10" s="2" t="s">
        <v>2067</v>
      </c>
      <c r="D10" s="2">
        <v>9</v>
      </c>
      <c r="O10" s="3"/>
      <c r="P10" s="3"/>
      <c r="Q10" s="3"/>
      <c r="R10" s="3"/>
      <c r="S10" s="3"/>
      <c r="T10" s="3"/>
    </row>
    <row r="11" spans="1:20">
      <c r="A11" s="2" t="s">
        <v>1987</v>
      </c>
      <c r="B11" s="2">
        <v>10</v>
      </c>
      <c r="C11" s="2" t="s">
        <v>2068</v>
      </c>
      <c r="D11" s="2">
        <v>10</v>
      </c>
    </row>
    <row r="12" spans="1:20">
      <c r="A12" s="2" t="s">
        <v>93</v>
      </c>
      <c r="B12" s="2">
        <v>11</v>
      </c>
      <c r="C12" s="2" t="s">
        <v>2069</v>
      </c>
      <c r="D12" s="2">
        <v>11</v>
      </c>
    </row>
    <row r="13" spans="1:20">
      <c r="A13" s="2" t="s">
        <v>833</v>
      </c>
      <c r="B13" s="2">
        <v>12</v>
      </c>
      <c r="C13" s="2" t="s">
        <v>2070</v>
      </c>
      <c r="D13" s="2">
        <v>12</v>
      </c>
    </row>
    <row r="14" spans="1:20">
      <c r="A14" s="2" t="s">
        <v>890</v>
      </c>
      <c r="B14" s="2">
        <v>13</v>
      </c>
      <c r="C14" s="2" t="s">
        <v>2071</v>
      </c>
      <c r="D14" s="2">
        <v>13</v>
      </c>
    </row>
    <row r="15" spans="1:20">
      <c r="A15" s="2" t="s">
        <v>1041</v>
      </c>
      <c r="B15" s="2">
        <v>14</v>
      </c>
      <c r="C15" s="2" t="s">
        <v>2072</v>
      </c>
      <c r="D15" s="2">
        <v>14</v>
      </c>
    </row>
    <row r="16" spans="1:20">
      <c r="A16" s="2" t="s">
        <v>1998</v>
      </c>
      <c r="B16" s="2">
        <v>15</v>
      </c>
      <c r="C16" s="2" t="s">
        <v>2073</v>
      </c>
      <c r="D16" s="2">
        <v>15</v>
      </c>
    </row>
    <row r="17" spans="1:21">
      <c r="A17" s="2" t="s">
        <v>2001</v>
      </c>
      <c r="B17" s="2">
        <v>16</v>
      </c>
      <c r="C17" s="2" t="s">
        <v>2074</v>
      </c>
      <c r="D17" s="2">
        <v>16</v>
      </c>
    </row>
    <row r="18" spans="1:21">
      <c r="A18" s="2" t="s">
        <v>1086</v>
      </c>
      <c r="B18" s="2">
        <v>17</v>
      </c>
      <c r="C18" s="2" t="s">
        <v>2075</v>
      </c>
      <c r="D18" s="2">
        <v>17</v>
      </c>
    </row>
    <row r="19" spans="1:21">
      <c r="A19" s="2" t="s">
        <v>1128</v>
      </c>
      <c r="B19" s="2">
        <v>18</v>
      </c>
      <c r="C19" s="2" t="s">
        <v>2076</v>
      </c>
      <c r="D19" s="2">
        <v>18</v>
      </c>
    </row>
    <row r="20" spans="1:21">
      <c r="A20" s="2" t="s">
        <v>1181</v>
      </c>
      <c r="B20" s="2">
        <v>19</v>
      </c>
      <c r="C20" s="2" t="s">
        <v>2077</v>
      </c>
      <c r="D20" s="2">
        <v>19</v>
      </c>
    </row>
    <row r="21" spans="1:21">
      <c r="A21" s="2" t="s">
        <v>1296</v>
      </c>
      <c r="B21" s="2">
        <v>20</v>
      </c>
      <c r="C21" s="2" t="s">
        <v>2078</v>
      </c>
      <c r="D21" s="2">
        <v>20</v>
      </c>
    </row>
    <row r="22" spans="1:21">
      <c r="A22" s="2" t="s">
        <v>1262</v>
      </c>
      <c r="B22" s="2">
        <v>21</v>
      </c>
      <c r="C22" s="2" t="s">
        <v>2079</v>
      </c>
      <c r="D22" s="2">
        <v>21</v>
      </c>
    </row>
    <row r="23" spans="1:21">
      <c r="A23" s="2" t="s">
        <v>1274</v>
      </c>
      <c r="B23" s="2">
        <v>22</v>
      </c>
      <c r="C23" s="2" t="s">
        <v>2080</v>
      </c>
      <c r="D23" s="2">
        <v>22</v>
      </c>
    </row>
    <row r="24" spans="1:21">
      <c r="A24" s="2" t="s">
        <v>1319</v>
      </c>
      <c r="B24" s="2">
        <v>23</v>
      </c>
      <c r="C24" s="2" t="s">
        <v>2081</v>
      </c>
      <c r="D24" s="2">
        <v>23</v>
      </c>
    </row>
    <row r="25" spans="1:21">
      <c r="A25" s="2" t="s">
        <v>1438</v>
      </c>
      <c r="B25" s="2">
        <v>24</v>
      </c>
      <c r="C25" s="2" t="s">
        <v>2082</v>
      </c>
      <c r="D25" s="2">
        <v>24</v>
      </c>
      <c r="N25" s="4"/>
      <c r="O25" s="4"/>
      <c r="P25" s="4"/>
      <c r="Q25" s="4"/>
      <c r="R25" s="4"/>
      <c r="S25" s="4"/>
      <c r="T25" s="4"/>
      <c r="U25" s="4"/>
    </row>
    <row r="26" spans="1:21">
      <c r="A26" s="2" t="s">
        <v>1379</v>
      </c>
      <c r="B26" s="2">
        <v>25</v>
      </c>
      <c r="C26" s="2" t="s">
        <v>2083</v>
      </c>
      <c r="D26" s="2">
        <v>25</v>
      </c>
      <c r="M26" s="5" t="s">
        <v>2084</v>
      </c>
      <c r="N26" s="5">
        <v>1</v>
      </c>
      <c r="O26" s="5">
        <v>2</v>
      </c>
      <c r="P26" s="5">
        <v>3</v>
      </c>
      <c r="Q26" s="5">
        <v>4</v>
      </c>
      <c r="R26" s="5">
        <v>5</v>
      </c>
      <c r="S26" s="5">
        <v>6</v>
      </c>
      <c r="T26" s="5">
        <v>7</v>
      </c>
      <c r="U26" s="5">
        <v>8</v>
      </c>
    </row>
    <row r="27" spans="1:21">
      <c r="A27" s="2" t="s">
        <v>1386</v>
      </c>
      <c r="B27" s="2">
        <v>26</v>
      </c>
      <c r="C27" s="2" t="s">
        <v>2085</v>
      </c>
      <c r="D27" s="2">
        <v>26</v>
      </c>
      <c r="M27" s="30"/>
      <c r="N27" s="30" t="s">
        <v>2086</v>
      </c>
      <c r="O27" s="30" t="s">
        <v>2087</v>
      </c>
      <c r="P27" s="30"/>
      <c r="Q27" s="30"/>
      <c r="R27" s="30" t="s">
        <v>2088</v>
      </c>
      <c r="S27" s="29" t="s">
        <v>2089</v>
      </c>
      <c r="T27" s="30" t="s">
        <v>2090</v>
      </c>
      <c r="U27" s="30"/>
    </row>
    <row r="28" spans="1:21">
      <c r="A28" s="2" t="s">
        <v>1568</v>
      </c>
      <c r="B28" s="2">
        <v>27</v>
      </c>
      <c r="C28" s="2" t="s">
        <v>2091</v>
      </c>
      <c r="D28" s="2">
        <v>27</v>
      </c>
      <c r="M28" s="30"/>
      <c r="N28" s="30"/>
      <c r="O28" s="30"/>
      <c r="P28" s="30"/>
      <c r="Q28" s="30"/>
      <c r="R28" s="30"/>
      <c r="S28" s="29"/>
      <c r="T28" s="30"/>
      <c r="U28" s="30"/>
    </row>
    <row r="29" spans="1:21">
      <c r="A29" s="2" t="s">
        <v>1549</v>
      </c>
      <c r="B29" s="2">
        <v>28</v>
      </c>
      <c r="C29" s="2" t="s">
        <v>2092</v>
      </c>
      <c r="D29" s="2">
        <v>28</v>
      </c>
      <c r="M29" s="30" t="s">
        <v>2093</v>
      </c>
      <c r="N29" s="30"/>
      <c r="O29" s="30"/>
      <c r="P29" s="30"/>
      <c r="Q29" s="30"/>
      <c r="R29" s="30"/>
      <c r="S29" s="30"/>
      <c r="T29" s="30"/>
      <c r="U29" s="30"/>
    </row>
    <row r="30" spans="1:21">
      <c r="A30" s="2" t="s">
        <v>1583</v>
      </c>
      <c r="B30" s="2">
        <v>29</v>
      </c>
      <c r="C30" s="2" t="s">
        <v>2094</v>
      </c>
      <c r="D30" s="2">
        <v>29</v>
      </c>
      <c r="M30" s="30"/>
      <c r="N30" s="30"/>
      <c r="O30" s="30"/>
      <c r="P30" s="30"/>
      <c r="Q30" s="30"/>
      <c r="R30" s="30"/>
      <c r="S30" s="30"/>
      <c r="T30" s="30"/>
      <c r="U30" s="30"/>
    </row>
    <row r="31" spans="1:21">
      <c r="A31" s="2" t="s">
        <v>1600</v>
      </c>
      <c r="B31" s="2">
        <v>30</v>
      </c>
      <c r="C31" s="2" t="s">
        <v>2095</v>
      </c>
      <c r="D31" s="2">
        <v>30</v>
      </c>
      <c r="M31" s="31" t="s">
        <v>2096</v>
      </c>
      <c r="N31" s="31"/>
      <c r="O31" s="31"/>
      <c r="P31" s="31"/>
      <c r="Q31" s="31"/>
      <c r="R31" s="31"/>
      <c r="S31" s="31"/>
      <c r="T31" s="31"/>
      <c r="U31" s="31"/>
    </row>
    <row r="32" spans="1:21">
      <c r="A32" s="2" t="s">
        <v>1646</v>
      </c>
      <c r="B32" s="2">
        <v>31</v>
      </c>
      <c r="C32" s="2" t="s">
        <v>2097</v>
      </c>
      <c r="D32" s="2">
        <v>31</v>
      </c>
      <c r="M32" s="31"/>
      <c r="N32" s="31"/>
      <c r="O32" s="31"/>
      <c r="P32" s="31"/>
      <c r="Q32" s="31"/>
      <c r="R32" s="31"/>
      <c r="S32" s="31"/>
      <c r="T32" s="31"/>
      <c r="U32" s="31"/>
    </row>
    <row r="33" spans="1:21">
      <c r="A33" s="2" t="s">
        <v>1670</v>
      </c>
      <c r="B33" s="2">
        <v>32</v>
      </c>
      <c r="C33" s="2" t="s">
        <v>2098</v>
      </c>
      <c r="D33" s="2">
        <v>32</v>
      </c>
    </row>
    <row r="34" spans="1:21">
      <c r="A34" s="2" t="s">
        <v>1712</v>
      </c>
      <c r="B34" s="2">
        <v>33</v>
      </c>
      <c r="C34" s="2" t="s">
        <v>2099</v>
      </c>
      <c r="D34" s="2">
        <v>33</v>
      </c>
      <c r="M34" s="5" t="s">
        <v>2100</v>
      </c>
      <c r="N34" s="6">
        <v>1</v>
      </c>
      <c r="O34" s="6">
        <v>2</v>
      </c>
      <c r="P34" s="6">
        <v>3</v>
      </c>
      <c r="Q34" s="6">
        <v>4</v>
      </c>
      <c r="R34" s="6">
        <v>5</v>
      </c>
    </row>
    <row r="35" spans="1:21">
      <c r="A35" s="2" t="s">
        <v>1837</v>
      </c>
      <c r="B35" s="2">
        <v>34</v>
      </c>
      <c r="C35" s="2" t="s">
        <v>2101</v>
      </c>
      <c r="D35" s="2">
        <v>34</v>
      </c>
      <c r="M35" s="6"/>
      <c r="N35" s="5" t="s">
        <v>2087</v>
      </c>
      <c r="O35" s="7" t="s">
        <v>2102</v>
      </c>
      <c r="P35" s="30" t="s">
        <v>2088</v>
      </c>
      <c r="Q35" s="30" t="s">
        <v>2103</v>
      </c>
      <c r="R35" s="30" t="s">
        <v>2090</v>
      </c>
    </row>
    <row r="36" spans="1:21">
      <c r="A36" s="2" t="s">
        <v>1773</v>
      </c>
      <c r="B36" s="2">
        <v>35</v>
      </c>
      <c r="C36" s="2" t="s">
        <v>2104</v>
      </c>
      <c r="D36" s="2">
        <v>35</v>
      </c>
      <c r="O36" t="s">
        <v>2105</v>
      </c>
      <c r="P36" s="30"/>
      <c r="Q36" s="30"/>
      <c r="R36" s="30"/>
    </row>
    <row r="37" spans="1:21">
      <c r="A37" s="2" t="s">
        <v>1798</v>
      </c>
      <c r="B37" s="2">
        <v>36</v>
      </c>
      <c r="C37" s="2" t="s">
        <v>2106</v>
      </c>
      <c r="D37" s="2">
        <v>36</v>
      </c>
      <c r="O37" t="s">
        <v>2107</v>
      </c>
    </row>
    <row r="38" spans="1:21">
      <c r="A38" s="2" t="s">
        <v>1873</v>
      </c>
      <c r="B38" s="2">
        <v>37</v>
      </c>
      <c r="C38" s="2" t="s">
        <v>2108</v>
      </c>
      <c r="D38" s="2">
        <v>37</v>
      </c>
      <c r="O38" t="s">
        <v>2109</v>
      </c>
    </row>
    <row r="39" spans="1:21">
      <c r="A39" s="2" t="s">
        <v>1901</v>
      </c>
      <c r="B39" s="2">
        <v>38</v>
      </c>
      <c r="C39" s="2" t="s">
        <v>2110</v>
      </c>
      <c r="D39" s="2">
        <v>38</v>
      </c>
      <c r="O39" t="s">
        <v>2111</v>
      </c>
    </row>
    <row r="40" spans="1:21">
      <c r="A40" s="2" t="s">
        <v>1931</v>
      </c>
      <c r="B40" s="2">
        <v>39</v>
      </c>
      <c r="C40" s="2" t="s">
        <v>2112</v>
      </c>
      <c r="D40" s="2">
        <v>39</v>
      </c>
      <c r="O40" t="s">
        <v>2113</v>
      </c>
    </row>
    <row r="41" spans="1:21">
      <c r="A41" s="2" t="s">
        <v>1911</v>
      </c>
      <c r="B41" s="2">
        <v>40</v>
      </c>
      <c r="C41" s="2" t="s">
        <v>2114</v>
      </c>
      <c r="D41" s="2">
        <v>40</v>
      </c>
      <c r="M41" s="30" t="s">
        <v>2115</v>
      </c>
      <c r="N41" s="30"/>
      <c r="O41" s="30"/>
      <c r="P41" s="30"/>
      <c r="Q41" s="30"/>
      <c r="R41" s="30"/>
      <c r="S41" s="30"/>
      <c r="T41" s="30"/>
      <c r="U41" s="30"/>
    </row>
    <row r="42" spans="1:21">
      <c r="A42" s="2" t="s">
        <v>2116</v>
      </c>
      <c r="B42" s="2">
        <v>41</v>
      </c>
      <c r="C42" s="2" t="s">
        <v>2117</v>
      </c>
      <c r="D42" s="2">
        <v>41</v>
      </c>
      <c r="M42" s="30"/>
      <c r="N42" s="30"/>
      <c r="O42" s="30"/>
      <c r="P42" s="30"/>
      <c r="Q42" s="30"/>
      <c r="R42" s="30"/>
      <c r="S42" s="30"/>
      <c r="T42" s="30"/>
      <c r="U42" s="30"/>
    </row>
    <row r="43" spans="1:21">
      <c r="A43" s="2"/>
      <c r="B43" s="2"/>
      <c r="C43" s="2"/>
      <c r="D43" s="2">
        <v>42</v>
      </c>
    </row>
    <row r="44" spans="1:21">
      <c r="A44" s="2"/>
      <c r="B44" s="2"/>
      <c r="C44" s="2"/>
      <c r="D44" s="2">
        <v>43</v>
      </c>
    </row>
    <row r="45" spans="1:21">
      <c r="D45" s="2">
        <v>44</v>
      </c>
    </row>
    <row r="46" spans="1:21">
      <c r="D46" s="2">
        <v>45</v>
      </c>
    </row>
  </sheetData>
  <mergeCells count="12">
    <mergeCell ref="S27:S28"/>
    <mergeCell ref="O27:Q28"/>
    <mergeCell ref="M29:U30"/>
    <mergeCell ref="T27:U28"/>
    <mergeCell ref="M41:U42"/>
    <mergeCell ref="M31:U32"/>
    <mergeCell ref="M27:M28"/>
    <mergeCell ref="N27:N28"/>
    <mergeCell ref="P35:P36"/>
    <mergeCell ref="Q35:Q36"/>
    <mergeCell ref="R27:R28"/>
    <mergeCell ref="R35:R36"/>
  </mergeCells>
  <phoneticPr fontId="8" type="noConversion"/>
  <conditionalFormatting sqref="A2:D44 D45:D46">
    <cfRule type="duplicateValues" dxfId="0" priority="1"/>
  </conditionalFormatting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16" sqref="B16"/>
    </sheetView>
  </sheetViews>
  <sheetFormatPr defaultColWidth="9" defaultRowHeight="14"/>
  <cols>
    <col min="2" max="2" width="90.36328125" customWidth="1"/>
  </cols>
  <sheetData>
    <row r="1" spans="1:2">
      <c r="A1" t="s">
        <v>2118</v>
      </c>
      <c r="B1" t="s">
        <v>2119</v>
      </c>
    </row>
    <row r="2" spans="1:2">
      <c r="A2" t="s">
        <v>2120</v>
      </c>
      <c r="B2" t="s">
        <v>2121</v>
      </c>
    </row>
    <row r="3" spans="1:2">
      <c r="A3" t="s">
        <v>2122</v>
      </c>
      <c r="B3" t="s">
        <v>2123</v>
      </c>
    </row>
    <row r="4" spans="1:2">
      <c r="A4" t="s">
        <v>2124</v>
      </c>
    </row>
    <row r="5" spans="1:2">
      <c r="A5" t="s">
        <v>2125</v>
      </c>
    </row>
    <row r="6" spans="1:2">
      <c r="A6" t="s">
        <v>2126</v>
      </c>
      <c r="B6" t="s">
        <v>2127</v>
      </c>
    </row>
    <row r="7" spans="1:2">
      <c r="A7" t="s">
        <v>2128</v>
      </c>
      <c r="B7" t="s">
        <v>2129</v>
      </c>
    </row>
    <row r="8" spans="1:2">
      <c r="A8" t="s">
        <v>2130</v>
      </c>
      <c r="B8" t="s">
        <v>2131</v>
      </c>
    </row>
    <row r="9" spans="1:2">
      <c r="A9" t="s">
        <v>2132</v>
      </c>
      <c r="B9" t="s">
        <v>2133</v>
      </c>
    </row>
    <row r="10" spans="1:2">
      <c r="A10" t="s">
        <v>2134</v>
      </c>
      <c r="B10" t="s">
        <v>2135</v>
      </c>
    </row>
    <row r="11" spans="1:2">
      <c r="A11" t="s">
        <v>2136</v>
      </c>
      <c r="B11" t="s">
        <v>2137</v>
      </c>
    </row>
    <row r="12" spans="1:2">
      <c r="A12" t="s">
        <v>2138</v>
      </c>
      <c r="B12" t="s">
        <v>2139</v>
      </c>
    </row>
    <row r="13" spans="1:2">
      <c r="A13" t="s">
        <v>2140</v>
      </c>
      <c r="B13" t="s">
        <v>2141</v>
      </c>
    </row>
    <row r="14" spans="1:2" ht="42">
      <c r="A14" t="s">
        <v>2142</v>
      </c>
      <c r="B14" s="1" t="s">
        <v>2143</v>
      </c>
    </row>
    <row r="15" spans="1:2" ht="56">
      <c r="A15" t="s">
        <v>2144</v>
      </c>
      <c r="B15" s="1" t="s">
        <v>2145</v>
      </c>
    </row>
  </sheetData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region_config</vt:lpstr>
      <vt:lpstr>ConfigScene</vt:lpstr>
      <vt:lpstr>编号表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leo yan</cp:lastModifiedBy>
  <dcterms:created xsi:type="dcterms:W3CDTF">2025-12-18T11:49:00Z</dcterms:created>
  <dcterms:modified xsi:type="dcterms:W3CDTF">2026-07-08T12:04:50Z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BADAFDCB91E74D1DB231BCD7E2D4C591_13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