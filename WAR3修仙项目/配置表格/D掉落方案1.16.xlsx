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6605" firstSheet="3"/>
  </bookViews>
  <sheets>
    <sheet name="drop_config" sheetId="3" r:id="rId1"/>
    <sheet name="编号表" sheetId="7" r:id="rId2"/>
    <sheet name="名称表" sheetId="5" r:id="rId3"/>
    <sheet name="字段说明" sheetId="4" r:id="rId4"/>
    <sheet name="掉落方式说明" sheetId="6" r:id="rId5"/>
    <sheet name="更新说明" sheetId="8" r:id="rId6"/>
  </sheets>
  <definedNames>
    <definedName name="_xlnm._FilterDatabase" localSheetId="0" hidden="1">drop_config!$A$1:$JF$252</definedName>
    <definedName name="掉落方式">名称表!$A$1:$A$3</definedName>
    <definedName name="礼包类型">名称表!$J$2:$J$135</definedName>
    <definedName name="频率">名称表!$D$2:$D$7</definedName>
    <definedName name="是否礼包中心">名称表!$Q$2:$Q$7</definedName>
    <definedName name="显示方式">名称表!$O$2:$O$7</definedName>
    <definedName name="装备绑定类型">名称表!$C$2:$C$4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<sst xmlns="http://schemas.openxmlformats.org/spreadsheetml/2006/main" count="2422" uniqueCount="1052">
  <si>
    <t>0掉落方案ID</t>
  </si>
  <si>
    <t>0内部名</t>
  </si>
  <si>
    <t>0编号</t>
  </si>
  <si>
    <t>0方案说明</t>
  </si>
  <si>
    <t>0掉落方式</t>
  </si>
  <si>
    <t>0权重验证</t>
  </si>
  <si>
    <t>0掉落时间限制ID</t>
  </si>
  <si>
    <t>0最小掉落数</t>
  </si>
  <si>
    <t>0最大掉落数</t>
  </si>
  <si>
    <t>0掉落物数量</t>
  </si>
  <si>
    <t>0掉落物ID1</t>
  </si>
  <si>
    <t>0掉落物名称1</t>
  </si>
  <si>
    <t>0掉落物大类</t>
  </si>
  <si>
    <t>0掉落物子类</t>
  </si>
  <si>
    <t>0掉落物档次1</t>
  </si>
  <si>
    <t>0掉落物概率1</t>
  </si>
  <si>
    <t>0掉落物数量1</t>
  </si>
  <si>
    <t>0系统提示概率1</t>
  </si>
  <si>
    <t>0掉落物ID2</t>
  </si>
  <si>
    <t>0掉落物名称2</t>
  </si>
  <si>
    <t>0掉落物</t>
  </si>
  <si>
    <t>0掉落物档次2</t>
  </si>
  <si>
    <t>0掉落物概率2</t>
  </si>
  <si>
    <t>0掉落物数量2</t>
  </si>
  <si>
    <t>0系统提示概率2</t>
  </si>
  <si>
    <t>0掉落物ID3</t>
  </si>
  <si>
    <t>0掉落物名称3</t>
  </si>
  <si>
    <t>0掉落物档次3</t>
  </si>
  <si>
    <t>0掉落物概率3</t>
  </si>
  <si>
    <t>0掉落物数量3</t>
  </si>
  <si>
    <t>0系统提示概率3</t>
  </si>
  <si>
    <t>0掉落物ID4</t>
  </si>
  <si>
    <t>0掉落物名称4</t>
  </si>
  <si>
    <t>0掉落物档次4</t>
  </si>
  <si>
    <t>0掉落物概率4</t>
  </si>
  <si>
    <t>0掉落物数量4</t>
  </si>
  <si>
    <t>0系统提示概率4</t>
  </si>
  <si>
    <t>0掉落物ID5</t>
  </si>
  <si>
    <t>0掉落物名称5</t>
  </si>
  <si>
    <t>0掉落物档次5</t>
  </si>
  <si>
    <t>0掉落物概率5</t>
  </si>
  <si>
    <t>0掉落物数量5</t>
  </si>
  <si>
    <t>0系统提示概率5</t>
  </si>
  <si>
    <t>0掉落物ID6</t>
  </si>
  <si>
    <t>0掉落物名称6</t>
  </si>
  <si>
    <t>0掉落物档次6</t>
  </si>
  <si>
    <t>0掉落物概率6</t>
  </si>
  <si>
    <t>0掉落物数量6</t>
  </si>
  <si>
    <t>0系统提示概率6</t>
  </si>
  <si>
    <t>0掉落物ID7</t>
  </si>
  <si>
    <t>0掉落物名称7</t>
  </si>
  <si>
    <t>0掉落物档次7</t>
  </si>
  <si>
    <t>0掉落物概率7</t>
  </si>
  <si>
    <t>0掉落物数量7</t>
  </si>
  <si>
    <t>0系统提示概率7</t>
  </si>
  <si>
    <t>0掉落物ID8</t>
  </si>
  <si>
    <t>0掉落物名称8</t>
  </si>
  <si>
    <t>0掉落物档次8</t>
  </si>
  <si>
    <t>0掉落物概率8</t>
  </si>
  <si>
    <t>0掉落物数量8</t>
  </si>
  <si>
    <t>0系统提示概率8</t>
  </si>
  <si>
    <t>0掉落物ID9</t>
  </si>
  <si>
    <t>0掉落物名称9</t>
  </si>
  <si>
    <t>0掉落物档次9</t>
  </si>
  <si>
    <t>0掉落物概率9</t>
  </si>
  <si>
    <t>0掉落物数量9</t>
  </si>
  <si>
    <t>0系统提示概率9</t>
  </si>
  <si>
    <t>0掉落物ID10</t>
  </si>
  <si>
    <t>0掉落物名称10</t>
  </si>
  <si>
    <t>0掉落物档次10</t>
  </si>
  <si>
    <t>0掉落物概率10</t>
  </si>
  <si>
    <t>0掉落物数量10</t>
  </si>
  <si>
    <t>0系统提示概率10</t>
  </si>
  <si>
    <t>0掉落物ID11</t>
  </si>
  <si>
    <t>0掉落物名称11</t>
  </si>
  <si>
    <t>0掉落物档次11</t>
  </si>
  <si>
    <t>0掉落物概率11</t>
  </si>
  <si>
    <t>0掉落物数量11</t>
  </si>
  <si>
    <t>0系统提示概率11</t>
  </si>
  <si>
    <t>0掉落物ID12</t>
  </si>
  <si>
    <t>0掉落物名称12</t>
  </si>
  <si>
    <t>0掉落物档次12</t>
  </si>
  <si>
    <t>0掉落物概率12</t>
  </si>
  <si>
    <t>0掉落物数量12</t>
  </si>
  <si>
    <t>0系统提示概率12</t>
  </si>
  <si>
    <t>0掉落物ID13</t>
  </si>
  <si>
    <t>0掉落物名称13</t>
  </si>
  <si>
    <t>0掉落物档次13</t>
  </si>
  <si>
    <t>0掉落物概率13</t>
  </si>
  <si>
    <t>0掉落物数量13</t>
  </si>
  <si>
    <t>0系统提示概率13</t>
  </si>
  <si>
    <t>0掉落物ID14</t>
  </si>
  <si>
    <t>0掉落物名称14</t>
  </si>
  <si>
    <t>0掉落物档次14</t>
  </si>
  <si>
    <t>0掉落物概率14</t>
  </si>
  <si>
    <t>0掉落物数量14</t>
  </si>
  <si>
    <t>0系统提示概率14</t>
  </si>
  <si>
    <t>0掉落物ID15</t>
  </si>
  <si>
    <t>0掉落物名称15</t>
  </si>
  <si>
    <t>0掉落物档次15</t>
  </si>
  <si>
    <t>0掉落物概率15</t>
  </si>
  <si>
    <t>0掉落物数量15</t>
  </si>
  <si>
    <t>0系统提示概率15</t>
  </si>
  <si>
    <t>0掉落物ID16</t>
  </si>
  <si>
    <t>0掉落物名称16</t>
  </si>
  <si>
    <t>0掉落物档次16</t>
  </si>
  <si>
    <t>0掉落物概率16</t>
  </si>
  <si>
    <t>0掉落物数量16</t>
  </si>
  <si>
    <t>0系统提示概率16</t>
  </si>
  <si>
    <t>0掉落物ID17</t>
  </si>
  <si>
    <t>0掉落物名称17</t>
  </si>
  <si>
    <t>0掉落物档次17</t>
  </si>
  <si>
    <t>0掉落物概率17</t>
  </si>
  <si>
    <t>0掉落物数量17</t>
  </si>
  <si>
    <t>0系统提示概率17</t>
  </si>
  <si>
    <t>0掉落物ID18</t>
  </si>
  <si>
    <t>0掉落物名称18</t>
  </si>
  <si>
    <t>0掉落物档次18</t>
  </si>
  <si>
    <t>0掉落物概率18</t>
  </si>
  <si>
    <t>0掉落物数量18</t>
  </si>
  <si>
    <t>0系统提示概率18</t>
  </si>
  <si>
    <t>0掉落物ID19</t>
  </si>
  <si>
    <t>0掉落物名称19</t>
  </si>
  <si>
    <t>0掉落物档次19</t>
  </si>
  <si>
    <t>0掉落物概率19</t>
  </si>
  <si>
    <t>0掉落物数量19</t>
  </si>
  <si>
    <t>0系统提示概率19</t>
  </si>
  <si>
    <t>0掉落物ID20</t>
  </si>
  <si>
    <t>0掉落物名称20</t>
  </si>
  <si>
    <t>0掉落物档次20</t>
  </si>
  <si>
    <t>0掉落物概率20</t>
  </si>
  <si>
    <t>0掉落物数量20</t>
  </si>
  <si>
    <t>0系统提示概率20</t>
  </si>
  <si>
    <t>0掉落物ID21</t>
  </si>
  <si>
    <t>0掉落物名称21</t>
  </si>
  <si>
    <t>0掉落物档次21</t>
  </si>
  <si>
    <t>0掉落物概率21</t>
  </si>
  <si>
    <t>0掉落物数量21</t>
  </si>
  <si>
    <t>0系统提示概率21</t>
  </si>
  <si>
    <t>0掉落物ID22</t>
  </si>
  <si>
    <t>0掉落物名称22</t>
  </si>
  <si>
    <t>0掉落物档次22</t>
  </si>
  <si>
    <t>0掉落物概率22</t>
  </si>
  <si>
    <t>0掉落物数量22</t>
  </si>
  <si>
    <t>0系统提示概率22</t>
  </si>
  <si>
    <t>0掉落物ID23</t>
  </si>
  <si>
    <t>0掉落物名称23</t>
  </si>
  <si>
    <t>0掉落物档次23</t>
  </si>
  <si>
    <t>0掉落物概率23</t>
  </si>
  <si>
    <t>0掉落物数量23</t>
  </si>
  <si>
    <t>0系统提示概率23</t>
  </si>
  <si>
    <t>0掉落物ID24</t>
  </si>
  <si>
    <t>0掉落物名称24</t>
  </si>
  <si>
    <t>0掉落物档次24</t>
  </si>
  <si>
    <t>0掉落物概率24</t>
  </si>
  <si>
    <t>0掉落物数量24</t>
  </si>
  <si>
    <t>0系统提示概率24</t>
  </si>
  <si>
    <t>0掉落物ID25</t>
  </si>
  <si>
    <t>0掉落物名称25</t>
  </si>
  <si>
    <t>0掉落物档次25</t>
  </si>
  <si>
    <t>0掉落物概率25</t>
  </si>
  <si>
    <t>0掉落物数量25</t>
  </si>
  <si>
    <t>0系统提示概率25</t>
  </si>
  <si>
    <t>0掉落物ID26</t>
  </si>
  <si>
    <t>0掉落物名称26</t>
  </si>
  <si>
    <t>0掉落物档次26</t>
  </si>
  <si>
    <t>0掉落物概率26</t>
  </si>
  <si>
    <t>0掉落物数量26</t>
  </si>
  <si>
    <t>0系统提示概率26</t>
  </si>
  <si>
    <t>0掉落物ID27</t>
  </si>
  <si>
    <t>0掉落物名称27</t>
  </si>
  <si>
    <t>0掉落物档次27</t>
  </si>
  <si>
    <t>0掉落物概率27</t>
  </si>
  <si>
    <t>0掉落物数量27</t>
  </si>
  <si>
    <t>0系统提示概率27</t>
  </si>
  <si>
    <t>0掉落物ID28</t>
  </si>
  <si>
    <t>0掉落物名称28</t>
  </si>
  <si>
    <t>0掉落物档次28</t>
  </si>
  <si>
    <t>0掉落物概率28</t>
  </si>
  <si>
    <t>0掉落物数量28</t>
  </si>
  <si>
    <t>0系统提示概率28</t>
  </si>
  <si>
    <t>0掉落物ID29</t>
  </si>
  <si>
    <t>0掉落物名称29</t>
  </si>
  <si>
    <t>0掉落物档次29</t>
  </si>
  <si>
    <t>0掉落物概率29</t>
  </si>
  <si>
    <t>0掉落物数量29</t>
  </si>
  <si>
    <t>0系统提示概率29</t>
  </si>
  <si>
    <t>0掉落物ID30</t>
  </si>
  <si>
    <t>0掉落物名称30</t>
  </si>
  <si>
    <t>0掉落物档次30</t>
  </si>
  <si>
    <t>0掉落物概率30</t>
  </si>
  <si>
    <t>0掉落物数量30</t>
  </si>
  <si>
    <t>0系统提示概率30</t>
  </si>
  <si>
    <t>0掉落物ID31</t>
  </si>
  <si>
    <t>0掉落物名称31</t>
  </si>
  <si>
    <t>0掉落物档次31</t>
  </si>
  <si>
    <t>0掉落物概率31</t>
  </si>
  <si>
    <t>0掉落物数量31</t>
  </si>
  <si>
    <t>0系统提示概率31</t>
  </si>
  <si>
    <t>0掉落物ID32</t>
  </si>
  <si>
    <t>0掉落物名称32</t>
  </si>
  <si>
    <t>0掉落物档次32</t>
  </si>
  <si>
    <t>0掉落物概率32</t>
  </si>
  <si>
    <t>0掉落物数量32</t>
  </si>
  <si>
    <t>0系统提示概率32</t>
  </si>
  <si>
    <t>ID</t>
  </si>
  <si>
    <t>DropType</t>
  </si>
  <si>
    <t>TimeLimitID</t>
  </si>
  <si>
    <t>MinDropNumber</t>
  </si>
  <si>
    <t>MaxDropNumber</t>
  </si>
  <si>
    <t>DropNumber</t>
  </si>
  <si>
    <t>Drop1ID</t>
  </si>
  <si>
    <t>Drop1MainClass</t>
  </si>
  <si>
    <t>Drop1SubClass</t>
  </si>
  <si>
    <t>Drop1Level</t>
  </si>
  <si>
    <t>Drop1Prob</t>
  </si>
  <si>
    <t>Drop1Num</t>
  </si>
  <si>
    <t>Drop1TipsProb</t>
  </si>
  <si>
    <t>Drop2ID</t>
  </si>
  <si>
    <t>Drop2MainClass</t>
  </si>
  <si>
    <t>Drop2SubClass</t>
  </si>
  <si>
    <t>Drop2Level</t>
  </si>
  <si>
    <t>Drop2Prob</t>
  </si>
  <si>
    <t>Drop2Num</t>
  </si>
  <si>
    <t>Drop2TipsProb</t>
  </si>
  <si>
    <t>Drop3ID</t>
  </si>
  <si>
    <t>Drop3MainClass</t>
  </si>
  <si>
    <t>Drop3SubClass</t>
  </si>
  <si>
    <t>Drop3Level</t>
  </si>
  <si>
    <t>Drop3Prob</t>
  </si>
  <si>
    <t>Drop3Num</t>
  </si>
  <si>
    <t>Drop3TipsProb</t>
  </si>
  <si>
    <t>Drop4ID</t>
  </si>
  <si>
    <t>Drop4MainClass</t>
  </si>
  <si>
    <t>Drop4SubClass</t>
  </si>
  <si>
    <t>Drop4Level</t>
  </si>
  <si>
    <t>Drop4Prob</t>
  </si>
  <si>
    <t>Drop4Num</t>
  </si>
  <si>
    <t>Drop4TipsProb</t>
  </si>
  <si>
    <t>Drop5ID</t>
  </si>
  <si>
    <t>Drop5MainClass</t>
  </si>
  <si>
    <t>Drop5SubClass</t>
  </si>
  <si>
    <t>Drop5Level</t>
  </si>
  <si>
    <t>Drop5Prob</t>
  </si>
  <si>
    <t>Drop5Num</t>
  </si>
  <si>
    <t>Drop5TipsProb</t>
  </si>
  <si>
    <t>Drop6ID</t>
  </si>
  <si>
    <t>Drop6MainClass</t>
  </si>
  <si>
    <t>Drop6SubClass</t>
  </si>
  <si>
    <t>Drop6Level</t>
  </si>
  <si>
    <t>Drop6Prob</t>
  </si>
  <si>
    <t>Drop6Num</t>
  </si>
  <si>
    <t>Drop6TipsProb</t>
  </si>
  <si>
    <t>Drop7ID</t>
  </si>
  <si>
    <t>Drop7MainClass</t>
  </si>
  <si>
    <t>Drop7SubClass</t>
  </si>
  <si>
    <t>Drop7Level</t>
  </si>
  <si>
    <t>Drop7Prob</t>
  </si>
  <si>
    <t>Drop7Num</t>
  </si>
  <si>
    <t>Drop7TipsProb</t>
  </si>
  <si>
    <t>Drop8ID</t>
  </si>
  <si>
    <t>Drop8MainClass</t>
  </si>
  <si>
    <t>Drop8SubClass</t>
  </si>
  <si>
    <t>Drop8Level</t>
  </si>
  <si>
    <t>Drop8Prob</t>
  </si>
  <si>
    <t>Drop8Num</t>
  </si>
  <si>
    <t>Drop8TipsProb</t>
  </si>
  <si>
    <t>Drop9ID</t>
  </si>
  <si>
    <t>Drop9MainClass</t>
  </si>
  <si>
    <t>Drop9SubClass</t>
  </si>
  <si>
    <t>Drop9Level</t>
  </si>
  <si>
    <t>Drop9Prob</t>
  </si>
  <si>
    <t>Drop9Num</t>
  </si>
  <si>
    <t>Drop9TipsProb</t>
  </si>
  <si>
    <t>Drop10ID</t>
  </si>
  <si>
    <t>Drop10MainClass</t>
  </si>
  <si>
    <t>Drop10SubClass</t>
  </si>
  <si>
    <t>Drop10Level</t>
  </si>
  <si>
    <t>Drop10Prob</t>
  </si>
  <si>
    <t>Drop10Num</t>
  </si>
  <si>
    <t>Drop10TipsProb</t>
  </si>
  <si>
    <t>Drop11ID</t>
  </si>
  <si>
    <t>Drop11MainClass</t>
  </si>
  <si>
    <t>Drop11SubClass</t>
  </si>
  <si>
    <t>Drop11Level</t>
  </si>
  <si>
    <t>Drop11Prob</t>
  </si>
  <si>
    <t>Drop11Num</t>
  </si>
  <si>
    <t>Drop11TipsProb</t>
  </si>
  <si>
    <t>Drop12ID</t>
  </si>
  <si>
    <t>Drop12MainClass</t>
  </si>
  <si>
    <t>Drop12SubClass</t>
  </si>
  <si>
    <t>Drop12Level</t>
  </si>
  <si>
    <t>Drop12Prob</t>
  </si>
  <si>
    <t>Drop12Num</t>
  </si>
  <si>
    <t>Drop12TipsProb</t>
  </si>
  <si>
    <t>Drop13ID</t>
  </si>
  <si>
    <t>Drop13MainClass</t>
  </si>
  <si>
    <t>Drop13SubClass</t>
  </si>
  <si>
    <t>Drop13Level</t>
  </si>
  <si>
    <t>Drop13Prob</t>
  </si>
  <si>
    <t>Drop13Num</t>
  </si>
  <si>
    <t>Drop13TipsProb</t>
  </si>
  <si>
    <t>Drop14ID</t>
  </si>
  <si>
    <t>Drop14MainClass</t>
  </si>
  <si>
    <t>Drop14SubClass</t>
  </si>
  <si>
    <t>Drop14Level</t>
  </si>
  <si>
    <t>Drop14Prob</t>
  </si>
  <si>
    <t>Drop14Num</t>
  </si>
  <si>
    <t>Drop14TipsProb</t>
  </si>
  <si>
    <t>Drop15ID</t>
  </si>
  <si>
    <t>Drop15MainClass</t>
  </si>
  <si>
    <t>Drop15SubClass</t>
  </si>
  <si>
    <t>Drop15Level</t>
  </si>
  <si>
    <t>Drop15Prob</t>
  </si>
  <si>
    <t>Drop15Num</t>
  </si>
  <si>
    <t>Drop15TipsProb</t>
  </si>
  <si>
    <t>Drop16ID</t>
  </si>
  <si>
    <t>Drop16MainClass</t>
  </si>
  <si>
    <t>Drop16SubClass</t>
  </si>
  <si>
    <t>Drop16Level</t>
  </si>
  <si>
    <t>Drop16Prob</t>
  </si>
  <si>
    <t>Drop16Num</t>
  </si>
  <si>
    <t>Drop16TipsProb</t>
  </si>
  <si>
    <t>Drop17ID</t>
  </si>
  <si>
    <t>Drop17MainClass</t>
  </si>
  <si>
    <t>Drop17SubClass</t>
  </si>
  <si>
    <t>Drop17Level</t>
  </si>
  <si>
    <t>Drop17Prob</t>
  </si>
  <si>
    <t>Drop17Num</t>
  </si>
  <si>
    <t>Drop17TipsProb</t>
  </si>
  <si>
    <t>Drop18ID</t>
  </si>
  <si>
    <t>Drop18MainClass</t>
  </si>
  <si>
    <t>Drop18SubClass</t>
  </si>
  <si>
    <t>Drop18Level</t>
  </si>
  <si>
    <t>Drop18Prob</t>
  </si>
  <si>
    <t>Drop18Num</t>
  </si>
  <si>
    <t>Drop18TipsProb</t>
  </si>
  <si>
    <t>Drop19ID</t>
  </si>
  <si>
    <t>Drop19MainClass</t>
  </si>
  <si>
    <t>Drop19SubClass</t>
  </si>
  <si>
    <t>Drop19Level</t>
  </si>
  <si>
    <t>Drop19Prob</t>
  </si>
  <si>
    <t>Drop19Num</t>
  </si>
  <si>
    <t>Drop19TipsProb</t>
  </si>
  <si>
    <t>Drop20ID</t>
  </si>
  <si>
    <t>Drop20MainClass</t>
  </si>
  <si>
    <t>Drop20SubClass</t>
  </si>
  <si>
    <t>Drop20Level</t>
  </si>
  <si>
    <t>Drop20Prob</t>
  </si>
  <si>
    <t>Drop20Num</t>
  </si>
  <si>
    <t>Drop20TipsProb</t>
  </si>
  <si>
    <t>Drop21ID</t>
  </si>
  <si>
    <t>Drop21MainClass</t>
  </si>
  <si>
    <t>Drop21SubClass</t>
  </si>
  <si>
    <t>Drop21Level</t>
  </si>
  <si>
    <t>Drop21Prob</t>
  </si>
  <si>
    <t>Drop21Num</t>
  </si>
  <si>
    <t>Drop21TipsProb</t>
  </si>
  <si>
    <t>Drop22ID</t>
  </si>
  <si>
    <t>Drop22MainClass</t>
  </si>
  <si>
    <t>Drop22SubClass</t>
  </si>
  <si>
    <t>Drop22Level</t>
  </si>
  <si>
    <t>Drop22Prob</t>
  </si>
  <si>
    <t>Drop22Num</t>
  </si>
  <si>
    <t>Drop22TipsProb</t>
  </si>
  <si>
    <t>Drop23ID</t>
  </si>
  <si>
    <t>Drop23MainClass</t>
  </si>
  <si>
    <t>Drop23SubClass</t>
  </si>
  <si>
    <t>Drop23Level</t>
  </si>
  <si>
    <t>Drop23Prob</t>
  </si>
  <si>
    <t>Drop23Num</t>
  </si>
  <si>
    <t>Drop23TipsProb</t>
  </si>
  <si>
    <t>Drop24ID</t>
  </si>
  <si>
    <t>Drop24MainClass</t>
  </si>
  <si>
    <t>Drop24SubClass</t>
  </si>
  <si>
    <t>Drop24Level</t>
  </si>
  <si>
    <t>Drop24Prob</t>
  </si>
  <si>
    <t>Drop24Num</t>
  </si>
  <si>
    <t>Drop24TipsProb</t>
  </si>
  <si>
    <t>Drop25ID</t>
  </si>
  <si>
    <t>Drop25MainClass</t>
  </si>
  <si>
    <t>Drop25SubClass</t>
  </si>
  <si>
    <t>Drop25Level</t>
  </si>
  <si>
    <t>Drop25Prob</t>
  </si>
  <si>
    <t>Drop25Num</t>
  </si>
  <si>
    <t>Drop25TipsProb</t>
  </si>
  <si>
    <t>Drop26ID</t>
  </si>
  <si>
    <t>Drop26MainClass</t>
  </si>
  <si>
    <t>Drop26SubClass</t>
  </si>
  <si>
    <t>Drop26Level</t>
  </si>
  <si>
    <t>Drop26Prob</t>
  </si>
  <si>
    <t>Drop26Num</t>
  </si>
  <si>
    <t>Drop26TipsProb</t>
  </si>
  <si>
    <t>Drop27ID</t>
  </si>
  <si>
    <t>Drop27MainClass</t>
  </si>
  <si>
    <t>Drop27SubClass</t>
  </si>
  <si>
    <t>Drop27Level</t>
  </si>
  <si>
    <t>Drop27Prob</t>
  </si>
  <si>
    <t>Drop27Num</t>
  </si>
  <si>
    <t>Drop27TipsProb</t>
  </si>
  <si>
    <t>Drop28ID</t>
  </si>
  <si>
    <t>Drop28MainClass</t>
  </si>
  <si>
    <t>Drop28SubClass</t>
  </si>
  <si>
    <t>Drop28Level</t>
  </si>
  <si>
    <t>Drop28Prob</t>
  </si>
  <si>
    <t>Drop28Num</t>
  </si>
  <si>
    <t>Drop28TipsProb</t>
  </si>
  <si>
    <t>Drop29ID</t>
  </si>
  <si>
    <t>Drop29MainClass</t>
  </si>
  <si>
    <t>Drop29SubClass</t>
  </si>
  <si>
    <t>Drop29Level</t>
  </si>
  <si>
    <t>Drop29Prob</t>
  </si>
  <si>
    <t>Drop29Num</t>
  </si>
  <si>
    <t>Drop29TipsProb</t>
  </si>
  <si>
    <t>Drop30ID</t>
  </si>
  <si>
    <t>Drop30MainClass</t>
  </si>
  <si>
    <t>Drop30SubClass</t>
  </si>
  <si>
    <t>Drop30Level</t>
  </si>
  <si>
    <t>Drop30Prob</t>
  </si>
  <si>
    <t>Drop30Num</t>
  </si>
  <si>
    <t>Drop30TipsProb</t>
  </si>
  <si>
    <t>Drop31ID</t>
  </si>
  <si>
    <t>Drop31MainClass</t>
  </si>
  <si>
    <t>Drop31SubClass</t>
  </si>
  <si>
    <t>Drop31Level</t>
  </si>
  <si>
    <t>Drop31Prob</t>
  </si>
  <si>
    <t>Drop31Num</t>
  </si>
  <si>
    <t>Drop31TipsProb</t>
  </si>
  <si>
    <t>Drop32ID</t>
  </si>
  <si>
    <t>Drop32MainClass</t>
  </si>
  <si>
    <t>Drop32SubClass</t>
  </si>
  <si>
    <t>Drop32Level</t>
  </si>
  <si>
    <t>Drop32Prob</t>
  </si>
  <si>
    <t>Drop32Num</t>
  </si>
  <si>
    <t>Drop32TipsProb</t>
  </si>
  <si>
    <t>金币</t>
  </si>
  <si>
    <t>5级普怪金币50</t>
  </si>
  <si>
    <t>掉落方式_按概率</t>
  </si>
  <si>
    <t>10级普怪金币100</t>
  </si>
  <si>
    <t>15级普怪金币150</t>
  </si>
  <si>
    <t>20级普怪金币200</t>
  </si>
  <si>
    <t>25级普怪金币250</t>
  </si>
  <si>
    <t>30级普怪金币300</t>
  </si>
  <si>
    <t>35级普怪金币350</t>
  </si>
  <si>
    <t>40级普怪金币400</t>
  </si>
  <si>
    <t>45级普怪金币450</t>
  </si>
  <si>
    <t>50级普怪金币500</t>
  </si>
  <si>
    <t>55级普怪金币550</t>
  </si>
  <si>
    <t>60级普怪金币600</t>
  </si>
  <si>
    <t>65级普怪金币650</t>
  </si>
  <si>
    <t>70级普怪金币700</t>
  </si>
  <si>
    <t>75级普怪金币750</t>
  </si>
  <si>
    <t>80级普怪金币800</t>
  </si>
  <si>
    <t>85级普怪金币850</t>
  </si>
  <si>
    <t>5级精英金币150</t>
  </si>
  <si>
    <t>10级精英金币300</t>
  </si>
  <si>
    <t>15级精英金币450</t>
  </si>
  <si>
    <t>20级精英金币600</t>
  </si>
  <si>
    <t>25级精英金币750</t>
  </si>
  <si>
    <t>30级精英金币900</t>
  </si>
  <si>
    <t>35级精英金币1050</t>
  </si>
  <si>
    <t>40级精英金币1200</t>
  </si>
  <si>
    <t>45级精英金币1350</t>
  </si>
  <si>
    <t>50级精英金币1500</t>
  </si>
  <si>
    <t>55级精英金币1650</t>
  </si>
  <si>
    <t>60级精英金币1800</t>
  </si>
  <si>
    <t>65级精英金币1950</t>
  </si>
  <si>
    <t>70级精英金币2100</t>
  </si>
  <si>
    <t>75级精英金币2250</t>
  </si>
  <si>
    <t>80级精英金币2400</t>
  </si>
  <si>
    <t>85级精英金币2550</t>
  </si>
  <si>
    <t>5级BOSS金币450</t>
  </si>
  <si>
    <t>10级BOSS金币900</t>
  </si>
  <si>
    <t>15级BOSS金币1350</t>
  </si>
  <si>
    <t>20级BOSS金币1800</t>
  </si>
  <si>
    <t>25级BOSS金币2250</t>
  </si>
  <si>
    <t>30级BOSS金币2700</t>
  </si>
  <si>
    <t>35级BOSS金币3150</t>
  </si>
  <si>
    <t>40级BOSS金币3600</t>
  </si>
  <si>
    <t>45级BOSS金币4050</t>
  </si>
  <si>
    <t>50级BOSS金币4500</t>
  </si>
  <si>
    <t>55级BOSS金币4950</t>
  </si>
  <si>
    <t>60级BOSS金币5400</t>
  </si>
  <si>
    <t>65级BOSS金币5850</t>
  </si>
  <si>
    <t>70级BOSS金币6300</t>
  </si>
  <si>
    <t>75级BOSS金币6750</t>
  </si>
  <si>
    <t>80级BOSS金币7200</t>
  </si>
  <si>
    <t>85级BOSS金币7650</t>
  </si>
  <si>
    <t>灵符</t>
  </si>
  <si>
    <t>5级精英灵符5</t>
  </si>
  <si>
    <t>10级精英灵符10</t>
  </si>
  <si>
    <t>15级精英灵符15</t>
  </si>
  <si>
    <t>20级精英灵符20</t>
  </si>
  <si>
    <t>25级精英灵符25</t>
  </si>
  <si>
    <t>30级精英灵符30</t>
  </si>
  <si>
    <t>35级精英灵符35</t>
  </si>
  <si>
    <t>40级精英灵符40</t>
  </si>
  <si>
    <t>45级精英灵符45</t>
  </si>
  <si>
    <t>50级精英灵符50</t>
  </si>
  <si>
    <t>55级精英灵符55</t>
  </si>
  <si>
    <t>60级精英灵符60</t>
  </si>
  <si>
    <t>65级精英灵符65</t>
  </si>
  <si>
    <t>70级精英灵符70</t>
  </si>
  <si>
    <t>75级精英灵符75</t>
  </si>
  <si>
    <t>80级精英灵符80</t>
  </si>
  <si>
    <t>85级精英灵符85</t>
  </si>
  <si>
    <t>5级BOSS灵符15</t>
  </si>
  <si>
    <t>10级BOSS灵符30</t>
  </si>
  <si>
    <t>15级BOSS灵符45</t>
  </si>
  <si>
    <t>20级BOSS灵符60</t>
  </si>
  <si>
    <t>25级BOSS灵符75</t>
  </si>
  <si>
    <t>30级BOSS灵符90</t>
  </si>
  <si>
    <t>35级BOSS灵符105</t>
  </si>
  <si>
    <t>40级BOSS灵符120</t>
  </si>
  <si>
    <t>45级BOSS灵符135</t>
  </si>
  <si>
    <t>50级BOSS灵符150</t>
  </si>
  <si>
    <t>55级BOSS灵符165</t>
  </si>
  <si>
    <t>60级BOSS灵符180</t>
  </si>
  <si>
    <t>65级BOSS灵符195</t>
  </si>
  <si>
    <t>70级BOSS灵符210</t>
  </si>
  <si>
    <t>75级BOSS灵符225</t>
  </si>
  <si>
    <t>80级BOSS灵符240</t>
  </si>
  <si>
    <t>85级BOSS灵符255</t>
  </si>
  <si>
    <t>六格</t>
  </si>
  <si>
    <t>前10级六格</t>
  </si>
  <si>
    <t>大类_六格</t>
  </si>
  <si>
    <t>小类_B沃玛级C</t>
  </si>
  <si>
    <t>白色</t>
  </si>
  <si>
    <t>11到20级六格</t>
  </si>
  <si>
    <t>21到30级六格</t>
  </si>
  <si>
    <t>31到35级六格</t>
  </si>
  <si>
    <t>35到40级六格</t>
  </si>
  <si>
    <t>小类_C祖玛级A</t>
  </si>
  <si>
    <t>绿色</t>
  </si>
  <si>
    <t>41到45级六格</t>
  </si>
  <si>
    <t>46到50级六格</t>
  </si>
  <si>
    <t>小类_D苍月级</t>
  </si>
  <si>
    <t>紫色</t>
  </si>
  <si>
    <t>51到55级六格</t>
  </si>
  <si>
    <t>小类_E赤月级</t>
  </si>
  <si>
    <t>56到60级六格</t>
  </si>
  <si>
    <t>小类_F魔龙级</t>
  </si>
  <si>
    <t>橙色</t>
  </si>
  <si>
    <t>61到65级六格</t>
  </si>
  <si>
    <t>小类_G雷炎级</t>
  </si>
  <si>
    <t>66到70级六格</t>
  </si>
  <si>
    <t>小类_H卧龙级</t>
  </si>
  <si>
    <t>红色</t>
  </si>
  <si>
    <t>71到75级六格</t>
  </si>
  <si>
    <t>小类_I魔王级</t>
  </si>
  <si>
    <t>76到80级六格</t>
  </si>
  <si>
    <t>小类_J狐月级</t>
  </si>
  <si>
    <t>81到85级六格</t>
  </si>
  <si>
    <t>小类_K雪域级</t>
  </si>
  <si>
    <t>基础装备</t>
  </si>
  <si>
    <t>前10级装备</t>
  </si>
  <si>
    <t>大类_基础装备</t>
  </si>
  <si>
    <t>小类_A新手</t>
  </si>
  <si>
    <t>11到20级装备</t>
  </si>
  <si>
    <t>小类_B沃玛级A</t>
  </si>
  <si>
    <t>小类_B沃玛级B</t>
  </si>
  <si>
    <t>21到30级装备</t>
  </si>
  <si>
    <t>31到35级装备</t>
  </si>
  <si>
    <t>35到40级装备</t>
  </si>
  <si>
    <t>41到45级装备</t>
  </si>
  <si>
    <t>小类_C祖玛级B</t>
  </si>
  <si>
    <t>46到50级装备</t>
  </si>
  <si>
    <t>51到55级装备</t>
  </si>
  <si>
    <t>56到60级装备</t>
  </si>
  <si>
    <t>61到65级装备</t>
  </si>
  <si>
    <t>66到70级装备</t>
  </si>
  <si>
    <t>71到75级装备</t>
  </si>
  <si>
    <t>76到80级装备</t>
  </si>
  <si>
    <t>81到85级装备</t>
  </si>
  <si>
    <t>四格</t>
  </si>
  <si>
    <t>前10级四格</t>
  </si>
  <si>
    <t>大类_四格</t>
  </si>
  <si>
    <t>11到20级四格</t>
  </si>
  <si>
    <t>21到30级四格</t>
  </si>
  <si>
    <t>31到35级四格</t>
  </si>
  <si>
    <t>35到40级四格</t>
  </si>
  <si>
    <t>41到45级四格</t>
  </si>
  <si>
    <t>46到50级四格</t>
  </si>
  <si>
    <t>51到55级四格</t>
  </si>
  <si>
    <t>56到60级四格</t>
  </si>
  <si>
    <t>61到65级四格</t>
  </si>
  <si>
    <t>66到70级四格</t>
  </si>
  <si>
    <t>71到75级四格</t>
  </si>
  <si>
    <t>76到80级四格</t>
  </si>
  <si>
    <t>81到85级四格</t>
  </si>
  <si>
    <t>配饰</t>
  </si>
  <si>
    <t>大类_配饰</t>
  </si>
  <si>
    <t>珍惜道具</t>
  </si>
  <si>
    <t>战士技能书</t>
  </si>
  <si>
    <t>法师技能书</t>
  </si>
  <si>
    <t>道士技能数</t>
  </si>
  <si>
    <t>杂货道具</t>
  </si>
  <si>
    <t>大类_基础</t>
  </si>
  <si>
    <t>子类_技能书</t>
  </si>
  <si>
    <t>子类_贵重品</t>
  </si>
  <si>
    <t>子类_药品</t>
  </si>
  <si>
    <t>综合掉落</t>
  </si>
  <si>
    <t>41到45级</t>
  </si>
  <si>
    <t>掉落方式_按个数和概率不可重复</t>
  </si>
  <si>
    <t>46到50级</t>
  </si>
  <si>
    <t>51到55级</t>
  </si>
  <si>
    <t>56到60级</t>
  </si>
  <si>
    <t>61到65级</t>
  </si>
  <si>
    <t>66到70级</t>
  </si>
  <si>
    <t>71到75级</t>
  </si>
  <si>
    <t>76到80级</t>
  </si>
  <si>
    <t>81到85级</t>
  </si>
  <si>
    <t>普通道具</t>
  </si>
  <si>
    <t>前20级</t>
  </si>
  <si>
    <t>21到30级</t>
  </si>
  <si>
    <t>31到40级</t>
  </si>
  <si>
    <t>低级药品</t>
  </si>
  <si>
    <t>掉落方式_按个数和概率可重复</t>
  </si>
  <si>
    <t>中级药品</t>
  </si>
  <si>
    <t>高级药品</t>
  </si>
  <si>
    <t>BOSS掉落</t>
  </si>
  <si>
    <t>前20级BOSS怪最终掉落</t>
  </si>
  <si>
    <t>21到30级BOSS怪最终掉落</t>
  </si>
  <si>
    <t>31到40级BOSS怪最终掉落</t>
  </si>
  <si>
    <t>41到45级BOSS怪最终掉落</t>
  </si>
  <si>
    <t>46到50级BOSS怪最终掉落</t>
  </si>
  <si>
    <t>51到55级BOSS怪最终掉落</t>
  </si>
  <si>
    <t>56到60级BOSS怪最终掉落</t>
  </si>
  <si>
    <t>61到65级BOSS怪最终掉落</t>
  </si>
  <si>
    <t>66到70级BOSS怪最终掉落</t>
  </si>
  <si>
    <t>71到75级BOSS怪最终掉落</t>
  </si>
  <si>
    <t>76到80级BOSS怪最终掉落</t>
  </si>
  <si>
    <t>81到85级BOSS怪最终掉落</t>
  </si>
  <si>
    <t>精英掉落</t>
  </si>
  <si>
    <t>前20级精英最终掉落</t>
  </si>
  <si>
    <t>21到30级精英最终掉落</t>
  </si>
  <si>
    <t>31到40级精英最终掉落</t>
  </si>
  <si>
    <t>41到45级精英最终掉落</t>
  </si>
  <si>
    <t>46到50级精英最终掉落</t>
  </si>
  <si>
    <t>51到55级精英最终掉落</t>
  </si>
  <si>
    <t>56到60级精英最终掉落</t>
  </si>
  <si>
    <t>61到65级精英最终掉落</t>
  </si>
  <si>
    <t>66到70级精英最终掉落</t>
  </si>
  <si>
    <t>71到75级精英最终掉落</t>
  </si>
  <si>
    <t>76到80级精英最终掉落</t>
  </si>
  <si>
    <t>81到85级精英最终掉落</t>
  </si>
  <si>
    <t>普通掉落</t>
  </si>
  <si>
    <t>前10级普通怪最终掉落</t>
  </si>
  <si>
    <t>11到20级普通怪最终掉落</t>
  </si>
  <si>
    <t>21到30级普通怪最终掉落</t>
  </si>
  <si>
    <t>31到35级普通怪最终掉落</t>
  </si>
  <si>
    <t>35到40级普通怪最终掉落</t>
  </si>
  <si>
    <t>41到45级普通怪最终掉落</t>
  </si>
  <si>
    <t>46到50级普通怪最终掉落</t>
  </si>
  <si>
    <t>51到55级普通怪最终掉落</t>
  </si>
  <si>
    <t>56到60级普通怪最终掉落</t>
  </si>
  <si>
    <t>61到65级普通怪最终掉落</t>
  </si>
  <si>
    <t>66到70级普通怪最终掉落</t>
  </si>
  <si>
    <t>71到75级普通怪最终掉落</t>
  </si>
  <si>
    <t>76到80级普通怪最终掉落</t>
  </si>
  <si>
    <t>81到85级普通怪最终掉落</t>
  </si>
  <si>
    <t>任务掉落</t>
  </si>
  <si>
    <t>临时性鹿掉落</t>
  </si>
  <si>
    <t>临时性羊掉落</t>
  </si>
  <si>
    <t>临时性猫掉落</t>
  </si>
  <si>
    <t>临时性狼掉落</t>
  </si>
  <si>
    <t>内部名</t>
  </si>
  <si>
    <t>编号</t>
  </si>
  <si>
    <t>道具ID</t>
  </si>
  <si>
    <t>0名称</t>
  </si>
  <si>
    <t>Name</t>
  </si>
  <si>
    <t>一小袋金币</t>
  </si>
  <si>
    <t>一小袋灵符</t>
  </si>
  <si>
    <t>一袋金币</t>
  </si>
  <si>
    <t>一袋灵符</t>
  </si>
  <si>
    <t>一大袋金币</t>
  </si>
  <si>
    <t>斗盾</t>
  </si>
  <si>
    <t>一大袋灵符</t>
  </si>
  <si>
    <t>一箱金币</t>
  </si>
  <si>
    <t>一箱灵符</t>
  </si>
  <si>
    <t>一大箱金币</t>
  </si>
  <si>
    <t>一大箱灵符</t>
  </si>
  <si>
    <t>道具ID必须下拉，使用公式自动生成ID！！！</t>
  </si>
  <si>
    <t>一车金币</t>
  </si>
  <si>
    <t>一车灵符</t>
  </si>
  <si>
    <t>一卡车金币</t>
  </si>
  <si>
    <t>一卡车灵符</t>
  </si>
  <si>
    <t>活跃丹</t>
  </si>
  <si>
    <t>声望丹</t>
  </si>
  <si>
    <t>基础剑术</t>
  </si>
  <si>
    <t>攻杀剑术</t>
  </si>
  <si>
    <t>刺杀剑术</t>
  </si>
  <si>
    <t>半月弯刀</t>
  </si>
  <si>
    <t>野蛮冲撞</t>
  </si>
  <si>
    <t>烈火剑法</t>
  </si>
  <si>
    <t>火球术</t>
  </si>
  <si>
    <t>抗拒火环</t>
  </si>
  <si>
    <t>雷电术</t>
  </si>
  <si>
    <t>火墙</t>
  </si>
  <si>
    <t>疾光电影</t>
  </si>
  <si>
    <t>魔法盾</t>
  </si>
  <si>
    <t>冰咆哮</t>
  </si>
  <si>
    <t>灵魂火符</t>
  </si>
  <si>
    <t>治愈术</t>
  </si>
  <si>
    <t>施毒术</t>
  </si>
  <si>
    <t>召唤骷髅</t>
  </si>
  <si>
    <t>幽灵盾</t>
  </si>
  <si>
    <t>神圣战甲术</t>
  </si>
  <si>
    <t>隐身术</t>
  </si>
  <si>
    <t>召唤神兽</t>
  </si>
  <si>
    <t>技能书</t>
  </si>
  <si>
    <t>祝福油</t>
  </si>
  <si>
    <t>强化石</t>
  </si>
  <si>
    <t>强化特权</t>
  </si>
  <si>
    <t>命格洗练石</t>
  </si>
  <si>
    <t>羽毛</t>
  </si>
  <si>
    <t>背包解锁格</t>
  </si>
  <si>
    <t>背包解锁页</t>
  </si>
  <si>
    <t>魂之精髓</t>
  </si>
  <si>
    <t>魄之散华</t>
  </si>
  <si>
    <t>超级祝福油</t>
  </si>
  <si>
    <t>1转神石</t>
  </si>
  <si>
    <t>2转神石</t>
  </si>
  <si>
    <t>3转神石</t>
  </si>
  <si>
    <t>4转神石</t>
  </si>
  <si>
    <t>合成符</t>
  </si>
  <si>
    <t>马牌</t>
  </si>
  <si>
    <t>基础铭文</t>
  </si>
  <si>
    <t>攻杀铭文</t>
  </si>
  <si>
    <t>刺杀铭文</t>
  </si>
  <si>
    <t>半月铭文</t>
  </si>
  <si>
    <t>烈火铭文</t>
  </si>
  <si>
    <t>野蛮铭文</t>
  </si>
  <si>
    <t>开天铭文</t>
  </si>
  <si>
    <t>逐日铭文</t>
  </si>
  <si>
    <t>战神纹</t>
  </si>
  <si>
    <t>火球铭文</t>
  </si>
  <si>
    <t>雷电铭文</t>
  </si>
  <si>
    <t>抗拒铭文</t>
  </si>
  <si>
    <t>火墙铭文</t>
  </si>
  <si>
    <t>法盾铭文</t>
  </si>
  <si>
    <t>疾光铭文</t>
  </si>
  <si>
    <t>地狱铭文</t>
  </si>
  <si>
    <t>咆哮铭文</t>
  </si>
  <si>
    <t>法神纹</t>
  </si>
  <si>
    <t>火符铭文</t>
  </si>
  <si>
    <t>治愈铭文</t>
  </si>
  <si>
    <t>施毒铭文</t>
  </si>
  <si>
    <t>骷髅铭文</t>
  </si>
  <si>
    <t>隐身铭文</t>
  </si>
  <si>
    <t>幽灵铭文</t>
  </si>
  <si>
    <t>神圣铭文</t>
  </si>
  <si>
    <t>神兽铭文</t>
  </si>
  <si>
    <t>困魔铭文</t>
  </si>
  <si>
    <t>道神纹</t>
  </si>
  <si>
    <t>鹿茸</t>
  </si>
  <si>
    <t>羊腰子</t>
  </si>
  <si>
    <t>猫粮</t>
  </si>
  <si>
    <t>狼肉</t>
  </si>
  <si>
    <t>小魔法药</t>
  </si>
  <si>
    <t>强效魔法药</t>
  </si>
  <si>
    <t>特级魔法药</t>
  </si>
  <si>
    <t>小金创药</t>
  </si>
  <si>
    <t>强效金创药</t>
  </si>
  <si>
    <t>特级金创药</t>
  </si>
  <si>
    <t>太阳水</t>
  </si>
  <si>
    <t>强效太阳水</t>
  </si>
  <si>
    <t>特效太阳水</t>
  </si>
  <si>
    <t>疗伤药</t>
  </si>
  <si>
    <t>屠龙刀</t>
  </si>
  <si>
    <t>不屈战士</t>
  </si>
  <si>
    <t>大魔法师</t>
  </si>
  <si>
    <t>天尊道士</t>
  </si>
  <si>
    <t>龙虾</t>
  </si>
  <si>
    <t>AI管家</t>
  </si>
  <si>
    <t>战神白起</t>
  </si>
  <si>
    <t>法神刘秀</t>
  </si>
  <si>
    <t>道神老子</t>
  </si>
  <si>
    <t>斗战马喽</t>
  </si>
  <si>
    <t>测试斗笠皮肤</t>
  </si>
  <si>
    <t>测试武器皮肤</t>
  </si>
  <si>
    <t>称号碎片</t>
  </si>
  <si>
    <t>戒指碎片·左</t>
  </si>
  <si>
    <t>戒指碎片·右</t>
  </si>
  <si>
    <t>玄晶</t>
  </si>
  <si>
    <t>时空晶石</t>
  </si>
  <si>
    <t>金刚晶石</t>
  </si>
  <si>
    <t>魔法晶石</t>
  </si>
  <si>
    <t>生命晶石</t>
  </si>
  <si>
    <t>穿透晶石</t>
  </si>
  <si>
    <t>元素晶石</t>
  </si>
  <si>
    <t>雷霆晶石</t>
  </si>
  <si>
    <t>不死晶石</t>
  </si>
  <si>
    <t>疾风晶石</t>
  </si>
  <si>
    <t>割裂晶石</t>
  </si>
  <si>
    <t>秒杀晶石</t>
  </si>
  <si>
    <t>幸运晶石</t>
  </si>
  <si>
    <t>传送特戒</t>
  </si>
  <si>
    <t>护体特戒</t>
  </si>
  <si>
    <t>召唤特戒</t>
  </si>
  <si>
    <t>恢复特戒</t>
  </si>
  <si>
    <t>破防特戒</t>
  </si>
  <si>
    <t>元素特戒</t>
  </si>
  <si>
    <t>麻痹特戒</t>
  </si>
  <si>
    <t>复活特戒</t>
  </si>
  <si>
    <t>攻速特戒</t>
  </si>
  <si>
    <t>切割特戒</t>
  </si>
  <si>
    <t>斩杀特戒</t>
  </si>
  <si>
    <t>幸运特戒</t>
  </si>
  <si>
    <t>传送神戒</t>
  </si>
  <si>
    <t>护体神戒</t>
  </si>
  <si>
    <t>召唤神戒</t>
  </si>
  <si>
    <t>恢复神戒</t>
  </si>
  <si>
    <t>破防神戒</t>
  </si>
  <si>
    <t>元素神戒</t>
  </si>
  <si>
    <t>麻痹神戒</t>
  </si>
  <si>
    <t>复活神戒</t>
  </si>
  <si>
    <t>攻速神戒</t>
  </si>
  <si>
    <t>切割神戒</t>
  </si>
  <si>
    <t>斩杀神戒</t>
  </si>
  <si>
    <t>幸运神戒</t>
  </si>
  <si>
    <t>阎罗王碎片</t>
  </si>
  <si>
    <t>秦广王碎片</t>
  </si>
  <si>
    <t>楚江王碎片</t>
  </si>
  <si>
    <t>酆都大帝碎片</t>
  </si>
  <si>
    <t>钟馗碎片</t>
  </si>
  <si>
    <t>黑无常碎片</t>
  </si>
  <si>
    <t>白无常碎片</t>
  </si>
  <si>
    <t>孟婆碎片</t>
  </si>
  <si>
    <t>阴天子碎片</t>
  </si>
  <si>
    <t>1级生命宝石</t>
  </si>
  <si>
    <t>2级生命宝石</t>
  </si>
  <si>
    <t>1级攻魔道宝石</t>
  </si>
  <si>
    <t>2级攻魔道宝石</t>
  </si>
  <si>
    <t>1级物防宝石</t>
  </si>
  <si>
    <t>2级物防宝石</t>
  </si>
  <si>
    <t>1级魔防宝石</t>
  </si>
  <si>
    <t>2级魔防宝石</t>
  </si>
  <si>
    <t>开孔锥</t>
  </si>
  <si>
    <t>宝石碎片</t>
  </si>
  <si>
    <t>随机装备绑定类型</t>
  </si>
  <si>
    <t>频率</t>
  </si>
  <si>
    <t>怪物等级开始</t>
  </si>
  <si>
    <t>怪物等级结束</t>
  </si>
  <si>
    <t>怪物等级</t>
  </si>
  <si>
    <t>礼包类型</t>
  </si>
  <si>
    <t>副本等级</t>
  </si>
  <si>
    <t>掉落方案尾数</t>
  </si>
  <si>
    <t>显示方式</t>
  </si>
  <si>
    <t>是否礼包中心</t>
  </si>
  <si>
    <t>不绑定</t>
  </si>
  <si>
    <t>一日</t>
  </si>
  <si>
    <t>礼包类型_升级礼包</t>
  </si>
  <si>
    <t>显示为系统消息</t>
  </si>
  <si>
    <t>是</t>
  </si>
  <si>
    <t>拾取绑定</t>
  </si>
  <si>
    <t>一周</t>
  </si>
  <si>
    <t>礼包类型_每周礼包</t>
  </si>
  <si>
    <t>显示为提示消息</t>
  </si>
  <si>
    <t>否</t>
  </si>
  <si>
    <t>使用绑定</t>
  </si>
  <si>
    <t>一月</t>
  </si>
  <si>
    <t>礼包类型_特别礼包</t>
  </si>
  <si>
    <t>左下角显示为系统消息</t>
  </si>
  <si>
    <t>一年</t>
  </si>
  <si>
    <t>礼包类型_每日赠送</t>
  </si>
  <si>
    <t>中间滚动显示系统消息</t>
  </si>
  <si>
    <t>礼包类型_充值狂欢大返利</t>
  </si>
  <si>
    <t>中间显示信息</t>
  </si>
  <si>
    <t>礼包类型_首次充值赠好礼</t>
  </si>
  <si>
    <t>礼包类型_在线奖励拿不完</t>
  </si>
  <si>
    <t>礼包类型_收藏桌面喜开怀</t>
  </si>
  <si>
    <t>礼包类型_累积签到礼包</t>
  </si>
  <si>
    <t>礼包类型_开服签到</t>
  </si>
  <si>
    <t>礼包类型_消费狂欢大返利</t>
  </si>
  <si>
    <t>礼包类型_360卫士特权礼包</t>
  </si>
  <si>
    <t>转表</t>
  </si>
  <si>
    <t>掉落方案ID</t>
  </si>
  <si>
    <t>掉落方案的唯一标识ID</t>
  </si>
  <si>
    <t>√</t>
  </si>
  <si>
    <t>分类</t>
  </si>
  <si>
    <t>部位</t>
  </si>
  <si>
    <t>开放等级来约束前期基础数值（参考）</t>
  </si>
  <si>
    <t>级别</t>
  </si>
  <si>
    <t>0-9</t>
  </si>
  <si>
    <t>方案说明</t>
  </si>
  <si>
    <t>方案的用途</t>
  </si>
  <si>
    <t>武器</t>
  </si>
  <si>
    <t>新手级</t>
  </si>
  <si>
    <t>大类_特殊C</t>
  </si>
  <si>
    <t>等级10-20</t>
  </si>
  <si>
    <t>掉落方式</t>
  </si>
  <si>
    <t>按何种方式掉落
为了满足不同掉落情况，请参见“掉落方式说明”页</t>
  </si>
  <si>
    <t>戒指</t>
  </si>
  <si>
    <t>等级20-30</t>
  </si>
  <si>
    <t>最小掉落数</t>
  </si>
  <si>
    <t>最小必须掉落的个数，为0时表示可以不掉落</t>
  </si>
  <si>
    <t>项链</t>
  </si>
  <si>
    <t>大类_斗盾</t>
  </si>
  <si>
    <t>等级31-35</t>
  </si>
  <si>
    <t>最大掉落数</t>
  </si>
  <si>
    <t>最多掉落的个数</t>
  </si>
  <si>
    <t>手镯</t>
  </si>
  <si>
    <t>36-40</t>
  </si>
  <si>
    <t>随机装备白色概率</t>
  </si>
  <si>
    <t>掉落方案中的随机装备白色出现几率</t>
  </si>
  <si>
    <t>头盔</t>
  </si>
  <si>
    <t>41-45</t>
  </si>
  <si>
    <t>随机装备绿色概率</t>
  </si>
  <si>
    <t>掉落方案中的随机装备绿色出现几率</t>
  </si>
  <si>
    <t>衣服</t>
  </si>
  <si>
    <t>46-50</t>
  </si>
  <si>
    <t>随机装备蓝色概率</t>
  </si>
  <si>
    <t>掉落方案中的随机装备蓝色出现几率</t>
  </si>
  <si>
    <t>鞋子</t>
  </si>
  <si>
    <t>B沃玛级</t>
  </si>
  <si>
    <t>51-55</t>
  </si>
  <si>
    <t>随机装备紫色概率</t>
  </si>
  <si>
    <t>掉落方案中的随机装备紫色出现几率</t>
  </si>
  <si>
    <t>腰带</t>
  </si>
  <si>
    <t>56-60</t>
  </si>
  <si>
    <t>掉落方案中的随机装备的绑定类型</t>
  </si>
  <si>
    <t>斗笠</t>
  </si>
  <si>
    <t>61-65</t>
  </si>
  <si>
    <t>是否按职业掉落</t>
  </si>
  <si>
    <t>掉落方案中的随机装备是否需要根据获得者的职业生成</t>
  </si>
  <si>
    <t>盾牌</t>
  </si>
  <si>
    <t>66-70</t>
  </si>
  <si>
    <t>掉落物数量</t>
  </si>
  <si>
    <t>掉落方案中总共填些了多少个掉落物</t>
  </si>
  <si>
    <t>71-75</t>
  </si>
  <si>
    <t>掉落物ID1</t>
  </si>
  <si>
    <t>掉落物1的ID，掉落物分两种方式掉落——按ID、按大类子类档次
填写了ID时必然按ID掉落，此时大类子类档次的填写无效</t>
  </si>
  <si>
    <t>特殊C</t>
  </si>
  <si>
    <t>翅膀</t>
  </si>
  <si>
    <t>不管</t>
  </si>
  <si>
    <t>76-80</t>
  </si>
  <si>
    <t>掉落物名称1</t>
  </si>
  <si>
    <t>掉落物1的名称</t>
  </si>
  <si>
    <t>勋章</t>
  </si>
  <si>
    <t>81-85</t>
  </si>
  <si>
    <t>掉落物大类1</t>
  </si>
  <si>
    <t>掉落物1的大类</t>
  </si>
  <si>
    <t>血符</t>
  </si>
  <si>
    <t>小类_B沃玛级</t>
  </si>
  <si>
    <t>10-35</t>
  </si>
  <si>
    <t>掉落物子类1</t>
  </si>
  <si>
    <t>掉落物1的子类</t>
  </si>
  <si>
    <t>晶石</t>
  </si>
  <si>
    <t>小类_C祖玛级</t>
  </si>
  <si>
    <t>36-45</t>
  </si>
  <si>
    <t>掉落物档次1</t>
  </si>
  <si>
    <t>掉落物1的档次</t>
  </si>
  <si>
    <t>马匹</t>
  </si>
  <si>
    <t>掉落物概率1</t>
  </si>
  <si>
    <t>掉落物1的掉落概率，亿分比</t>
  </si>
  <si>
    <t>虎符</t>
  </si>
  <si>
    <t>C祖玛级</t>
  </si>
  <si>
    <t>系统提示概率1</t>
  </si>
  <si>
    <t>掉落物1掉落后全服广播的概率</t>
  </si>
  <si>
    <t>宝珠</t>
  </si>
  <si>
    <t>军鼓</t>
  </si>
  <si>
    <t>军旗</t>
  </si>
  <si>
    <t>印章</t>
  </si>
  <si>
    <t>装备</t>
  </si>
  <si>
    <t>大类档次必须指定，子类和职业可以随机</t>
  </si>
  <si>
    <t>玉佩</t>
  </si>
  <si>
    <t>物品</t>
  </si>
  <si>
    <t>大类必须指定，子类和档次可以随机</t>
  </si>
  <si>
    <t>掉落方式_完全随机可重复</t>
  </si>
  <si>
    <t>1、</t>
  </si>
  <si>
    <t>在掉落个数【Min, Max】内随机一个掉落数Select。</t>
  </si>
  <si>
    <t>2、</t>
  </si>
  <si>
    <t>如果有衰减，则对Select进行衰减，newSelect=Select*（1-衰减系数）</t>
  </si>
  <si>
    <t>3、</t>
  </si>
  <si>
    <t>如果newSelect大于1，则向下取整，newSelect=int（Select）</t>
  </si>
  <si>
    <t>4、</t>
  </si>
  <si>
    <t>如果newSelect小于1，则从【0，1】中随机抽一个小数，如果该小数小于newSelect，则掉落1个物品（newSelect = 1），否则 newSelect = 0</t>
  </si>
  <si>
    <t>5、</t>
  </si>
  <si>
    <t>从该方案的总物品数目Total中，以完全随机的方式，抽取newSelect次，每次抽取1个进行掉落，方案中的每个物品机会均等。</t>
  </si>
  <si>
    <t>6、</t>
  </si>
  <si>
    <t>每个掉落物配置的都是自己的掉落几率，总和不限</t>
  </si>
  <si>
    <t>掉落方式_完全随机不可重复</t>
  </si>
  <si>
    <t>从该方案的总物品数目Total中，以完全随机的方式，抽取newSelect个进行掉落，方案中的每个物品机会均等。</t>
  </si>
  <si>
    <t>如果方案的总物品个数Total小于随机选择的掉落个数newSelect，那么实际掉落数目为Total。</t>
  </si>
  <si>
    <t>7、</t>
  </si>
  <si>
    <t>如果有衰减，则各物品的实际掉落概率=原概率*（1-衰减系数）</t>
  </si>
  <si>
    <t>对方案中的每个物品，按照亿分之的概率进行随机，将所有符合该概率的物品筛选出来。</t>
  </si>
  <si>
    <t>如果符合概率的物品个数小于Max，那么则筛选出的物品全部掉落</t>
  </si>
  <si>
    <t>如果符合概率的物品个数大于Max，则从其中随机选择Max个。</t>
  </si>
  <si>
    <t>允许一个物品都不掉落</t>
  </si>
  <si>
    <t>每个掉落物配置掉落几率，总和不限</t>
  </si>
  <si>
    <t>说明：</t>
  </si>
  <si>
    <t>此掉落方式中MinDropNumber无效</t>
  </si>
  <si>
    <t>（a，掉落个数为[Min, Max] 。 b， 该掉落方式中，策划表中每个物品的配置概率数值之和不可超过1亿）</t>
  </si>
  <si>
    <t>对掉落方案中的每个（类）物品，按其填写的概率组合成一个【m,n】的掉落区间，每个物品按其填写的概率（X）占有其中一个掉落区间段</t>
  </si>
  <si>
    <t>其中，m=上一个物品的n+1，n=m+X。如果是第一个物品，则m=1（相当于第0个物品的n=0），n=X。最后一个物品的n=100000000</t>
  </si>
  <si>
    <t>在【1,100000000】的区间内随机一个掉落数</t>
  </si>
  <si>
    <t>8、</t>
  </si>
  <si>
    <t>掉落数落在哪个物品的掉落区间段，则掉落此物品</t>
  </si>
  <si>
    <t>9、</t>
  </si>
  <si>
    <t>如此反复，直到掉完newSelect个物品</t>
  </si>
  <si>
    <t>10、</t>
  </si>
  <si>
    <t>每个物品配置一个权重，加总需要=100000000（个位数±有点误差可以接受）</t>
  </si>
  <si>
    <t>对掉落方案中的每个物品，按其填写的概率组合成一个【m,n】的掉落区间，每个物品按其填写的概率占有其中一个掉落区间段</t>
  </si>
  <si>
    <t>物品掉落后，在掉落池子里删掉该物品，同时，掉落权重重新进行计算</t>
  </si>
  <si>
    <t>在剩下的物品中如此反复，直到掉完newSelect个物品</t>
  </si>
  <si>
    <t>11、</t>
  </si>
  <si>
    <t>如果物品总数小于newSelect，则全部掉落</t>
  </si>
  <si>
    <t>12、</t>
  </si>
  <si>
    <t>只做标黄的三种掉落方式   1.掉落方式_按概率；2.掉落方式_按个数和概率可重复；3.掉落方式_按个数和概率不可重复</t>
  </si>
  <si>
    <t>掉落内容的配置分三种</t>
  </si>
  <si>
    <t>1.配置掉落物ID，这个ID可以商量是物编ID还是物品ID，决定该掉落物的几率/权重，数量；</t>
  </si>
  <si>
    <t>2.配置大类/子类/掉落档次，从这个大类子类掉落档次种R选数量个物品，R的时候，本大类子类档次种所有东西的权重相同，如果是多个数量，那就R对应数量，这里头可以重复。大类子类档次三个配置项在物品表和装备表中；</t>
  </si>
  <si>
    <t>3.配置掉落物ID的地方配置掉落方案ID。</t>
  </si>
  <si>
    <t>4.最终的掉落方案应该是一个嵌套的掉落方案，就是首先配置若干个掉落方案，然后最终掉落方案是配置若干个掉落方案的ID。</t>
  </si>
  <si>
    <t>5.要求一个掉落方案中，可以同时配置物品ID+掉落方案ID+大类子类档次</t>
  </si>
  <si>
    <r>
      <rPr>
        <sz val="9"/>
        <color rgb="FFFF0000"/>
        <rFont val="微软雅黑"/>
        <charset val="134"/>
      </rPr>
      <t>6.读取掉落个数【Min, Max】的时候需要读取特权，系统参数等表格，一般会有对MAX值的增加，需要加进来（做特权的时候再考虑，先不管）增加掉落数量和增加掉落极品几率都在做的时候再考虑</t>
    </r>
    <r>
      <rPr>
        <sz val="9"/>
        <rFont val="微软雅黑"/>
        <charset val="134"/>
      </rPr>
      <t>。</t>
    </r>
  </si>
  <si>
    <t>大类，子类，掉落档次三个配置项锁定的物品/装备最大值为100</t>
  </si>
  <si>
    <t>最小最大确保一般情况的体验，首先获得一个掉落数量，然后按照掉落方案计算具体掉落。
获得掉落数量增加以后，在之前的基础上重复R，并且掉落数量固定取增加数量。
如果一个怪配置了多个掉落方案，第一次会分别计算A,B,C掉落方案掉落，掉落数量+2，则使用相同的方式，再算一次</t>
  </si>
  <si>
    <t>版本号</t>
  </si>
  <si>
    <t>改动内容</t>
  </si>
  <si>
    <t>V1.0</t>
  </si>
  <si>
    <t>编号规则，基础配置</t>
  </si>
  <si>
    <t>V1.01</t>
  </si>
  <si>
    <t>更新基础配置</t>
  </si>
  <si>
    <t>V1.11</t>
  </si>
  <si>
    <t>红色掉落方案是策划用，计算的。绿色页签掉落表.ts的是给程序用的</t>
  </si>
  <si>
    <t>V1.12</t>
  </si>
  <si>
    <t>物品表更改编号，掉落表对应更改</t>
  </si>
  <si>
    <t>V1.13</t>
  </si>
  <si>
    <t>V1.14</t>
  </si>
  <si>
    <t>更新掉落方式说明中的信息。</t>
  </si>
  <si>
    <t>V1.15</t>
  </si>
  <si>
    <t>新增任务类的掉落，并对应新增4个掉落物</t>
  </si>
  <si>
    <t>V1.16</t>
  </si>
  <si>
    <t>V1.17</t>
  </si>
  <si>
    <t>V1.18</t>
  </si>
  <si>
    <t>V1.19</t>
  </si>
  <si>
    <t>V1.20</t>
  </si>
  <si>
    <t>V1.21</t>
  </si>
  <si>
    <t>V1.22</t>
  </si>
  <si>
    <t>V1.23</t>
  </si>
  <si>
    <t>V1.24</t>
  </si>
  <si>
    <t>V1.25</t>
  </si>
  <si>
    <t>V1.26</t>
  </si>
  <si>
    <t>V1.27</t>
  </si>
  <si>
    <t>V1.28</t>
  </si>
  <si>
    <t>V1.29</t>
  </si>
  <si>
    <t>V1.30</t>
  </si>
  <si>
    <t>V1.31</t>
  </si>
  <si>
    <t>V1.32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</si>
</sst>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2"/>
      <name val="宋体"/>
      <charset val="134"/>
    </font>
    <font>
      <sz val="11"/>
      <color indexed="8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b/>
      <sz val="9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微软雅黑"/>
      <charset val="134"/>
    </font>
    <font>
      <sz val="12"/>
      <name val="微软雅黑"/>
      <charset val="134"/>
    </font>
    <font>
      <sz val="36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8"/>
      <color indexed="54"/>
      <name val="宋体"/>
      <charset val="134"/>
    </font>
    <font>
      <sz val="11"/>
      <color indexed="20"/>
      <name val="宋体"/>
      <charset val="134"/>
    </font>
    <font>
      <sz val="11"/>
      <color rgb="FF9C0006"/>
      <name val="宋体"/>
      <charset val="134"/>
      <scheme val="minor"/>
    </font>
    <font>
      <sz val="9"/>
      <color indexed="8"/>
      <name val="微软雅黑"/>
      <charset val="134"/>
    </font>
    <font>
      <sz val="11"/>
      <color indexed="8"/>
      <name val="Tahoma"/>
      <charset val="134"/>
    </font>
    <font>
      <u/>
      <sz val="11"/>
      <color indexed="12"/>
      <name val="宋体"/>
      <charset val="134"/>
    </font>
    <font>
      <u/>
      <sz val="11"/>
      <color theme="10"/>
      <name val="宋体"/>
      <charset val="134"/>
    </font>
    <font>
      <sz val="11"/>
      <color indexed="17"/>
      <name val="宋体"/>
      <charset val="134"/>
    </font>
    <font>
      <sz val="11"/>
      <color rgb="FF006100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rgb="FF9C6500"/>
      <name val="宋体"/>
      <charset val="134"/>
      <scheme val="minor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B1B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8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0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2" borderId="5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/>
    <xf numFmtId="0" fontId="8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6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3" fillId="46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0" borderId="13" applyNumberFormat="0" applyFill="0" applyAlignment="0" applyProtection="0">
      <alignment vertical="center"/>
    </xf>
    <xf numFmtId="0" fontId="46" fillId="48" borderId="14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48" borderId="17" applyNumberFormat="0" applyAlignment="0" applyProtection="0">
      <alignment vertical="center"/>
    </xf>
    <xf numFmtId="0" fontId="54" fillId="42" borderId="14" applyNumberFormat="0" applyAlignment="0" applyProtection="0">
      <alignment vertical="center"/>
    </xf>
    <xf numFmtId="0" fontId="0" fillId="44" borderId="18" applyNumberFormat="0" applyFont="0" applyAlignment="0" applyProtection="0">
      <alignment vertical="center"/>
    </xf>
  </cellStyleXfs>
  <cellXfs count="37">
    <xf numFmtId="0" fontId="0" fillId="0" borderId="0" xfId="0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right"/>
    </xf>
    <xf numFmtId="0" fontId="2" fillId="3" borderId="0" xfId="0" applyFont="1" applyFill="1" applyAlignment="1"/>
    <xf numFmtId="0" fontId="2" fillId="0" borderId="0" xfId="0" applyFont="1" applyAlignment="1">
      <alignment horizontal="right"/>
    </xf>
    <xf numFmtId="0" fontId="2" fillId="4" borderId="0" xfId="0" applyFont="1" applyFill="1" applyAlignment="1"/>
    <xf numFmtId="0" fontId="3" fillId="0" borderId="0" xfId="0" applyFont="1" applyAlignment="1"/>
    <xf numFmtId="0" fontId="2" fillId="5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8" fillId="0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9" fillId="0" borderId="1" xfId="0" applyFont="1" applyBorder="1" applyAlignment="1"/>
    <xf numFmtId="0" fontId="10" fillId="8" borderId="0" xfId="0" applyFont="1" applyFill="1" applyAlignment="1">
      <alignment horizontal="left" vertical="center"/>
    </xf>
    <xf numFmtId="0" fontId="0" fillId="8" borderId="0" xfId="0" applyFill="1" applyAlignment="1"/>
    <xf numFmtId="0" fontId="11" fillId="9" borderId="1" xfId="0" applyFont="1" applyFill="1" applyBorder="1" applyAlignment="1"/>
    <xf numFmtId="0" fontId="0" fillId="0" borderId="1" xfId="0" applyBorder="1" applyAlignment="1"/>
    <xf numFmtId="0" fontId="11" fillId="0" borderId="1" xfId="0" applyFont="1" applyBorder="1" applyAlignment="1"/>
    <xf numFmtId="0" fontId="11" fillId="8" borderId="1" xfId="0" applyFont="1" applyFill="1" applyBorder="1" applyAlignment="1"/>
    <xf numFmtId="0" fontId="9" fillId="8" borderId="1" xfId="0" applyFont="1" applyFill="1" applyBorder="1" applyAlignment="1"/>
    <xf numFmtId="0" fontId="8" fillId="0" borderId="0" xfId="0" applyFont="1" applyFill="1" applyAlignment="1">
      <alignment horizontal="center" vertical="center"/>
    </xf>
    <xf numFmtId="0" fontId="0" fillId="8" borderId="1" xfId="0" applyFill="1" applyBorder="1" applyAlignment="1"/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3 2" xfId="56"/>
    <cellStyle name="40% - 强调文字颜色 4 2" xfId="57"/>
    <cellStyle name="60% - 强调文字颜色 1 2" xfId="58"/>
    <cellStyle name="60% - 强调文字颜色 2 2" xfId="59"/>
    <cellStyle name="60% - 强调文字颜色 3 2" xfId="60"/>
    <cellStyle name="60% - 强调文字颜色 4 2" xfId="61"/>
    <cellStyle name="60% - 强调文字颜色 5 2" xfId="62"/>
    <cellStyle name="60% - 强调文字颜色 6 2" xfId="63"/>
    <cellStyle name="百分比 2" xfId="64"/>
    <cellStyle name="标题 1 2" xfId="65"/>
    <cellStyle name="标题 2 2" xfId="66"/>
    <cellStyle name="标题 3 2" xfId="67"/>
    <cellStyle name="标题 4 2" xfId="68"/>
    <cellStyle name="标题 5" xfId="69"/>
    <cellStyle name="差 2" xfId="70"/>
    <cellStyle name="差 3" xfId="71"/>
    <cellStyle name="常规 10" xfId="72"/>
    <cellStyle name="常规 2 13 2 2 2" xfId="73"/>
    <cellStyle name="常规 2 20" xfId="74"/>
    <cellStyle name="常规 2 6 2" xfId="75"/>
    <cellStyle name="常规 43" xfId="76"/>
    <cellStyle name="常规 68" xfId="77"/>
    <cellStyle name="常规 72" xfId="78"/>
    <cellStyle name="超链接 4" xfId="79"/>
    <cellStyle name="超链接 4 10 2 2" xfId="80"/>
    <cellStyle name="好 2" xfId="81"/>
    <cellStyle name="好 2 11" xfId="82"/>
    <cellStyle name="汇总 2" xfId="83"/>
    <cellStyle name="计算 2" xfId="84"/>
    <cellStyle name="检查单元格 2" xfId="85"/>
    <cellStyle name="解释性文本 2" xfId="86"/>
    <cellStyle name="警告文本 2" xfId="87"/>
    <cellStyle name="链接单元格 2" xfId="88"/>
    <cellStyle name="强调文字颜色 2 2" xfId="89"/>
    <cellStyle name="强调文字颜色 3 2" xfId="90"/>
    <cellStyle name="强调文字颜色 4 2" xfId="91"/>
    <cellStyle name="强调文字颜色 5 2" xfId="92"/>
    <cellStyle name="适中 2" xfId="93"/>
    <cellStyle name="适中 2 11" xfId="94"/>
    <cellStyle name="输出 2" xfId="95"/>
    <cellStyle name="输入 2" xfId="96"/>
    <cellStyle name="注释 2" xfId="97"/>
  </cellStyles>
  <dxfs count="8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B0F0"/>
      </font>
      <fill>
        <patternFill patternType="none"/>
      </fill>
    </dxf>
    <dxf>
      <font>
        <color rgb="FF7030A0"/>
      </font>
    </dxf>
    <dxf>
      <font>
        <color theme="9" tint="-0.249947"/>
      </font>
    </dxf>
    <dxf>
      <font>
        <color rgb="FFFF0000"/>
      </font>
    </dxf>
    <dxf>
      <font>
        <color rgb="FFCC9900"/>
      </font>
      <fill>
        <patternFill patternType="none"/>
      </fill>
    </dxf>
  </dxfs>
  <tableStyles count="0" defaultTableStyle="TableStyleMedium2"/>
  <colors>
    <mruColors>
      <color rgb="00FFFF99"/>
      <color rgb="0092D050"/>
      <color rgb="00000000"/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</sheetPr>
  <dimension ref="A1:JF277"/>
  <sheetViews>
    <sheetView showGridLines="0" tabSelected="1" workbookViewId="0">
      <pane xSplit="4" ySplit="2" topLeftCell="E222" activePane="bottomRight" state="frozen"/>
      <selection/>
      <selection pane="topRight"/>
      <selection pane="bottomLeft"/>
      <selection pane="bottomRight" activeCell="B265" sqref="B265"/>
    </sheetView>
  </sheetViews>
  <sheetFormatPr defaultColWidth="8.33333333333333" defaultRowHeight="14.25"/>
  <cols>
    <col min="1" max="1" width="10.8333333333333" customWidth="1"/>
    <col min="2" max="2" width="14.6083333333333" customWidth="1"/>
    <col min="3" max="3" width="10.8333333333333" customWidth="1"/>
    <col min="4" max="4" width="19.7083333333333" customWidth="1"/>
    <col min="5" max="5" width="24.4166666666667" customWidth="1"/>
    <col min="6" max="6" width="11.85" customWidth="1"/>
    <col min="7" max="7" width="15.5833333333333" customWidth="1"/>
    <col min="8" max="9" width="10.3916666666667" customWidth="1"/>
    <col min="10" max="10" width="11.6666666666667" customWidth="1"/>
    <col min="11" max="11" width="11.275" customWidth="1"/>
    <col min="12" max="12" width="12.5833333333333" customWidth="1"/>
    <col min="13" max="13" width="15.8833333333333" customWidth="1"/>
    <col min="14" max="14" width="22.6666666666667" customWidth="1"/>
    <col min="15" max="17" width="18.8333333333333" customWidth="1"/>
    <col min="18" max="18" width="10.0833333333333" customWidth="1"/>
    <col min="19" max="25" width="18.8333333333333" customWidth="1"/>
    <col min="26" max="26" width="11.5833333333333" customWidth="1"/>
    <col min="27" max="33" width="18.8333333333333" customWidth="1"/>
    <col min="34" max="34" width="15.0833333333333" customWidth="1"/>
    <col min="35" max="41" width="18.8333333333333" customWidth="1"/>
    <col min="42" max="42" width="10.25" customWidth="1"/>
    <col min="43" max="267" width="18.8333333333333" customWidth="1"/>
  </cols>
  <sheetData>
    <row r="1" customFormat="1" ht="13.5" customHeight="1" spans="1:266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0" t="s">
        <v>25</v>
      </c>
      <c r="AB1" s="30" t="s">
        <v>26</v>
      </c>
      <c r="AC1" s="30" t="s">
        <v>20</v>
      </c>
      <c r="AD1" s="30" t="s">
        <v>20</v>
      </c>
      <c r="AE1" s="30" t="s">
        <v>27</v>
      </c>
      <c r="AF1" s="30" t="s">
        <v>28</v>
      </c>
      <c r="AG1" s="30" t="s">
        <v>29</v>
      </c>
      <c r="AH1" s="30" t="s">
        <v>30</v>
      </c>
      <c r="AI1" s="30" t="s">
        <v>31</v>
      </c>
      <c r="AJ1" s="30" t="s">
        <v>32</v>
      </c>
      <c r="AK1" s="30" t="s">
        <v>20</v>
      </c>
      <c r="AL1" s="30" t="s">
        <v>20</v>
      </c>
      <c r="AM1" s="30" t="s">
        <v>33</v>
      </c>
      <c r="AN1" s="30" t="s">
        <v>34</v>
      </c>
      <c r="AO1" s="30" t="s">
        <v>35</v>
      </c>
      <c r="AP1" s="30" t="s">
        <v>36</v>
      </c>
      <c r="AQ1" s="30" t="s">
        <v>37</v>
      </c>
      <c r="AR1" s="30" t="s">
        <v>38</v>
      </c>
      <c r="AS1" s="30" t="s">
        <v>20</v>
      </c>
      <c r="AT1" s="30" t="s">
        <v>20</v>
      </c>
      <c r="AU1" s="30" t="s">
        <v>39</v>
      </c>
      <c r="AV1" s="30" t="s">
        <v>40</v>
      </c>
      <c r="AW1" s="30" t="s">
        <v>41</v>
      </c>
      <c r="AX1" s="30" t="s">
        <v>42</v>
      </c>
      <c r="AY1" s="30" t="s">
        <v>43</v>
      </c>
      <c r="AZ1" s="30" t="s">
        <v>44</v>
      </c>
      <c r="BA1" s="30" t="s">
        <v>20</v>
      </c>
      <c r="BB1" s="30" t="s">
        <v>20</v>
      </c>
      <c r="BC1" s="30" t="s">
        <v>45</v>
      </c>
      <c r="BD1" s="30" t="s">
        <v>46</v>
      </c>
      <c r="BE1" s="30" t="s">
        <v>47</v>
      </c>
      <c r="BF1" s="30" t="s">
        <v>48</v>
      </c>
      <c r="BG1" s="30" t="s">
        <v>49</v>
      </c>
      <c r="BH1" s="30" t="s">
        <v>50</v>
      </c>
      <c r="BI1" s="30" t="s">
        <v>20</v>
      </c>
      <c r="BJ1" s="30" t="s">
        <v>20</v>
      </c>
      <c r="BK1" s="30" t="s">
        <v>51</v>
      </c>
      <c r="BL1" s="30" t="s">
        <v>52</v>
      </c>
      <c r="BM1" s="30" t="s">
        <v>53</v>
      </c>
      <c r="BN1" s="30" t="s">
        <v>54</v>
      </c>
      <c r="BO1" s="30" t="s">
        <v>55</v>
      </c>
      <c r="BP1" s="30" t="s">
        <v>56</v>
      </c>
      <c r="BQ1" s="30" t="s">
        <v>20</v>
      </c>
      <c r="BR1" s="30" t="s">
        <v>20</v>
      </c>
      <c r="BS1" s="30" t="s">
        <v>57</v>
      </c>
      <c r="BT1" s="30" t="s">
        <v>58</v>
      </c>
      <c r="BU1" s="30" t="s">
        <v>59</v>
      </c>
      <c r="BV1" s="30" t="s">
        <v>60</v>
      </c>
      <c r="BW1" s="30" t="s">
        <v>61</v>
      </c>
      <c r="BX1" s="30" t="s">
        <v>62</v>
      </c>
      <c r="BY1" s="30" t="s">
        <v>20</v>
      </c>
      <c r="BZ1" s="30" t="s">
        <v>20</v>
      </c>
      <c r="CA1" s="30" t="s">
        <v>63</v>
      </c>
      <c r="CB1" s="30" t="s">
        <v>64</v>
      </c>
      <c r="CC1" s="30" t="s">
        <v>65</v>
      </c>
      <c r="CD1" s="30" t="s">
        <v>66</v>
      </c>
      <c r="CE1" s="30" t="s">
        <v>67</v>
      </c>
      <c r="CF1" s="30" t="s">
        <v>68</v>
      </c>
      <c r="CG1" s="30" t="s">
        <v>20</v>
      </c>
      <c r="CH1" s="30" t="s">
        <v>20</v>
      </c>
      <c r="CI1" s="30" t="s">
        <v>69</v>
      </c>
      <c r="CJ1" s="30" t="s">
        <v>70</v>
      </c>
      <c r="CK1" s="30" t="s">
        <v>71</v>
      </c>
      <c r="CL1" s="30" t="s">
        <v>72</v>
      </c>
      <c r="CM1" s="30" t="s">
        <v>73</v>
      </c>
      <c r="CN1" s="30" t="s">
        <v>74</v>
      </c>
      <c r="CO1" s="30" t="s">
        <v>20</v>
      </c>
      <c r="CP1" s="30" t="s">
        <v>20</v>
      </c>
      <c r="CQ1" s="30" t="s">
        <v>75</v>
      </c>
      <c r="CR1" s="30" t="s">
        <v>76</v>
      </c>
      <c r="CS1" s="30" t="s">
        <v>77</v>
      </c>
      <c r="CT1" s="30" t="s">
        <v>78</v>
      </c>
      <c r="CU1" s="30" t="s">
        <v>79</v>
      </c>
      <c r="CV1" s="30" t="s">
        <v>80</v>
      </c>
      <c r="CW1" s="30" t="s">
        <v>20</v>
      </c>
      <c r="CX1" s="30" t="s">
        <v>20</v>
      </c>
      <c r="CY1" s="30" t="s">
        <v>81</v>
      </c>
      <c r="CZ1" s="30" t="s">
        <v>82</v>
      </c>
      <c r="DA1" s="30" t="s">
        <v>83</v>
      </c>
      <c r="DB1" s="30" t="s">
        <v>84</v>
      </c>
      <c r="DC1" s="30" t="s">
        <v>85</v>
      </c>
      <c r="DD1" s="30" t="s">
        <v>86</v>
      </c>
      <c r="DE1" s="30" t="s">
        <v>20</v>
      </c>
      <c r="DF1" s="30" t="s">
        <v>20</v>
      </c>
      <c r="DG1" s="30" t="s">
        <v>87</v>
      </c>
      <c r="DH1" s="30" t="s">
        <v>88</v>
      </c>
      <c r="DI1" s="30" t="s">
        <v>89</v>
      </c>
      <c r="DJ1" s="30" t="s">
        <v>90</v>
      </c>
      <c r="DK1" s="30" t="s">
        <v>91</v>
      </c>
      <c r="DL1" s="30" t="s">
        <v>92</v>
      </c>
      <c r="DM1" s="30" t="s">
        <v>20</v>
      </c>
      <c r="DN1" s="30" t="s">
        <v>20</v>
      </c>
      <c r="DO1" s="30" t="s">
        <v>93</v>
      </c>
      <c r="DP1" s="30" t="s">
        <v>94</v>
      </c>
      <c r="DQ1" s="30" t="s">
        <v>95</v>
      </c>
      <c r="DR1" s="30" t="s">
        <v>96</v>
      </c>
      <c r="DS1" s="30" t="s">
        <v>97</v>
      </c>
      <c r="DT1" s="30" t="s">
        <v>98</v>
      </c>
      <c r="DU1" s="30" t="s">
        <v>20</v>
      </c>
      <c r="DV1" s="30" t="s">
        <v>20</v>
      </c>
      <c r="DW1" s="30" t="s">
        <v>99</v>
      </c>
      <c r="DX1" s="30" t="s">
        <v>100</v>
      </c>
      <c r="DY1" s="30" t="s">
        <v>101</v>
      </c>
      <c r="DZ1" s="30" t="s">
        <v>102</v>
      </c>
      <c r="EA1" s="30" t="s">
        <v>103</v>
      </c>
      <c r="EB1" s="30" t="s">
        <v>104</v>
      </c>
      <c r="EC1" s="30" t="s">
        <v>20</v>
      </c>
      <c r="ED1" s="30" t="s">
        <v>20</v>
      </c>
      <c r="EE1" s="30" t="s">
        <v>105</v>
      </c>
      <c r="EF1" s="30" t="s">
        <v>106</v>
      </c>
      <c r="EG1" s="30" t="s">
        <v>107</v>
      </c>
      <c r="EH1" s="30" t="s">
        <v>108</v>
      </c>
      <c r="EI1" s="30" t="s">
        <v>109</v>
      </c>
      <c r="EJ1" s="30" t="s">
        <v>110</v>
      </c>
      <c r="EK1" s="30" t="s">
        <v>20</v>
      </c>
      <c r="EL1" s="30" t="s">
        <v>20</v>
      </c>
      <c r="EM1" s="30" t="s">
        <v>111</v>
      </c>
      <c r="EN1" s="30" t="s">
        <v>112</v>
      </c>
      <c r="EO1" s="30" t="s">
        <v>113</v>
      </c>
      <c r="EP1" s="30" t="s">
        <v>114</v>
      </c>
      <c r="EQ1" s="30" t="s">
        <v>115</v>
      </c>
      <c r="ER1" s="30" t="s">
        <v>116</v>
      </c>
      <c r="ES1" s="30" t="s">
        <v>20</v>
      </c>
      <c r="ET1" s="30" t="s">
        <v>20</v>
      </c>
      <c r="EU1" s="30" t="s">
        <v>117</v>
      </c>
      <c r="EV1" s="30" t="s">
        <v>118</v>
      </c>
      <c r="EW1" s="30" t="s">
        <v>119</v>
      </c>
      <c r="EX1" s="30" t="s">
        <v>120</v>
      </c>
      <c r="EY1" s="30" t="s">
        <v>121</v>
      </c>
      <c r="EZ1" s="30" t="s">
        <v>122</v>
      </c>
      <c r="FA1" s="30" t="s">
        <v>20</v>
      </c>
      <c r="FB1" s="30" t="s">
        <v>20</v>
      </c>
      <c r="FC1" s="30" t="s">
        <v>123</v>
      </c>
      <c r="FD1" s="30" t="s">
        <v>124</v>
      </c>
      <c r="FE1" s="30" t="s">
        <v>125</v>
      </c>
      <c r="FF1" s="30" t="s">
        <v>126</v>
      </c>
      <c r="FG1" s="30" t="s">
        <v>127</v>
      </c>
      <c r="FH1" s="30" t="s">
        <v>128</v>
      </c>
      <c r="FI1" s="30" t="s">
        <v>20</v>
      </c>
      <c r="FJ1" s="30" t="s">
        <v>20</v>
      </c>
      <c r="FK1" s="30" t="s">
        <v>129</v>
      </c>
      <c r="FL1" s="30" t="s">
        <v>130</v>
      </c>
      <c r="FM1" s="30" t="s">
        <v>131</v>
      </c>
      <c r="FN1" s="30" t="s">
        <v>132</v>
      </c>
      <c r="FO1" s="30" t="s">
        <v>133</v>
      </c>
      <c r="FP1" s="30" t="s">
        <v>134</v>
      </c>
      <c r="FQ1" s="30" t="s">
        <v>20</v>
      </c>
      <c r="FR1" s="30" t="s">
        <v>20</v>
      </c>
      <c r="FS1" s="30" t="s">
        <v>135</v>
      </c>
      <c r="FT1" s="30" t="s">
        <v>136</v>
      </c>
      <c r="FU1" s="30" t="s">
        <v>137</v>
      </c>
      <c r="FV1" s="30" t="s">
        <v>138</v>
      </c>
      <c r="FW1" s="30" t="s">
        <v>139</v>
      </c>
      <c r="FX1" s="30" t="s">
        <v>140</v>
      </c>
      <c r="FY1" s="30" t="s">
        <v>20</v>
      </c>
      <c r="FZ1" s="30" t="s">
        <v>20</v>
      </c>
      <c r="GA1" s="30" t="s">
        <v>141</v>
      </c>
      <c r="GB1" s="30" t="s">
        <v>142</v>
      </c>
      <c r="GC1" s="30" t="s">
        <v>143</v>
      </c>
      <c r="GD1" s="30" t="s">
        <v>144</v>
      </c>
      <c r="GE1" s="30" t="s">
        <v>145</v>
      </c>
      <c r="GF1" s="30" t="s">
        <v>146</v>
      </c>
      <c r="GG1" s="30" t="s">
        <v>20</v>
      </c>
      <c r="GH1" s="30" t="s">
        <v>20</v>
      </c>
      <c r="GI1" s="30" t="s">
        <v>147</v>
      </c>
      <c r="GJ1" s="30" t="s">
        <v>148</v>
      </c>
      <c r="GK1" s="30" t="s">
        <v>149</v>
      </c>
      <c r="GL1" s="30" t="s">
        <v>150</v>
      </c>
      <c r="GM1" s="30" t="s">
        <v>151</v>
      </c>
      <c r="GN1" s="30" t="s">
        <v>152</v>
      </c>
      <c r="GO1" s="30" t="s">
        <v>20</v>
      </c>
      <c r="GP1" s="30" t="s">
        <v>20</v>
      </c>
      <c r="GQ1" s="30" t="s">
        <v>153</v>
      </c>
      <c r="GR1" s="30" t="s">
        <v>154</v>
      </c>
      <c r="GS1" s="30" t="s">
        <v>155</v>
      </c>
      <c r="GT1" s="30" t="s">
        <v>156</v>
      </c>
      <c r="GU1" s="30" t="s">
        <v>157</v>
      </c>
      <c r="GV1" s="30" t="s">
        <v>158</v>
      </c>
      <c r="GW1" s="30" t="s">
        <v>20</v>
      </c>
      <c r="GX1" s="30" t="s">
        <v>20</v>
      </c>
      <c r="GY1" s="30" t="s">
        <v>159</v>
      </c>
      <c r="GZ1" s="30" t="s">
        <v>160</v>
      </c>
      <c r="HA1" s="30" t="s">
        <v>161</v>
      </c>
      <c r="HB1" s="30" t="s">
        <v>162</v>
      </c>
      <c r="HC1" s="30" t="s">
        <v>163</v>
      </c>
      <c r="HD1" s="30" t="s">
        <v>164</v>
      </c>
      <c r="HE1" s="30" t="s">
        <v>20</v>
      </c>
      <c r="HF1" s="30" t="s">
        <v>20</v>
      </c>
      <c r="HG1" s="30" t="s">
        <v>165</v>
      </c>
      <c r="HH1" s="30" t="s">
        <v>166</v>
      </c>
      <c r="HI1" s="30" t="s">
        <v>167</v>
      </c>
      <c r="HJ1" s="30" t="s">
        <v>168</v>
      </c>
      <c r="HK1" s="30" t="s">
        <v>169</v>
      </c>
      <c r="HL1" s="30" t="s">
        <v>170</v>
      </c>
      <c r="HM1" s="30" t="s">
        <v>20</v>
      </c>
      <c r="HN1" s="30" t="s">
        <v>20</v>
      </c>
      <c r="HO1" s="30" t="s">
        <v>171</v>
      </c>
      <c r="HP1" s="30" t="s">
        <v>172</v>
      </c>
      <c r="HQ1" s="30" t="s">
        <v>173</v>
      </c>
      <c r="HR1" s="30" t="s">
        <v>174</v>
      </c>
      <c r="HS1" s="30" t="s">
        <v>175</v>
      </c>
      <c r="HT1" s="30" t="s">
        <v>176</v>
      </c>
      <c r="HU1" s="30" t="s">
        <v>20</v>
      </c>
      <c r="HV1" s="30" t="s">
        <v>20</v>
      </c>
      <c r="HW1" s="30" t="s">
        <v>177</v>
      </c>
      <c r="HX1" s="30" t="s">
        <v>178</v>
      </c>
      <c r="HY1" s="30" t="s">
        <v>179</v>
      </c>
      <c r="HZ1" s="30" t="s">
        <v>180</v>
      </c>
      <c r="IA1" s="30" t="s">
        <v>181</v>
      </c>
      <c r="IB1" s="30" t="s">
        <v>182</v>
      </c>
      <c r="IC1" s="30" t="s">
        <v>20</v>
      </c>
      <c r="ID1" s="30" t="s">
        <v>20</v>
      </c>
      <c r="IE1" s="30" t="s">
        <v>183</v>
      </c>
      <c r="IF1" s="30" t="s">
        <v>184</v>
      </c>
      <c r="IG1" s="30" t="s">
        <v>185</v>
      </c>
      <c r="IH1" s="30" t="s">
        <v>186</v>
      </c>
      <c r="II1" s="30" t="s">
        <v>187</v>
      </c>
      <c r="IJ1" s="30" t="s">
        <v>188</v>
      </c>
      <c r="IK1" s="30" t="s">
        <v>20</v>
      </c>
      <c r="IL1" s="30" t="s">
        <v>20</v>
      </c>
      <c r="IM1" s="30" t="s">
        <v>189</v>
      </c>
      <c r="IN1" s="30" t="s">
        <v>190</v>
      </c>
      <c r="IO1" s="30" t="s">
        <v>191</v>
      </c>
      <c r="IP1" s="30" t="s">
        <v>192</v>
      </c>
      <c r="IQ1" s="30" t="s">
        <v>193</v>
      </c>
      <c r="IR1" s="30" t="s">
        <v>194</v>
      </c>
      <c r="IS1" s="30" t="s">
        <v>20</v>
      </c>
      <c r="IT1" s="30" t="s">
        <v>20</v>
      </c>
      <c r="IU1" s="30" t="s">
        <v>195</v>
      </c>
      <c r="IV1" s="30" t="s">
        <v>196</v>
      </c>
      <c r="IW1" s="30" t="s">
        <v>197</v>
      </c>
      <c r="IX1" s="30" t="s">
        <v>198</v>
      </c>
      <c r="IY1" s="30" t="s">
        <v>199</v>
      </c>
      <c r="IZ1" s="30" t="s">
        <v>200</v>
      </c>
      <c r="JA1" s="30" t="s">
        <v>20</v>
      </c>
      <c r="JB1" s="30" t="s">
        <v>20</v>
      </c>
      <c r="JC1" s="30" t="s">
        <v>201</v>
      </c>
      <c r="JD1" s="30" t="s">
        <v>202</v>
      </c>
      <c r="JE1" s="30" t="s">
        <v>203</v>
      </c>
      <c r="JF1" s="30" t="s">
        <v>204</v>
      </c>
    </row>
    <row r="2" customFormat="1" ht="15.75" customHeight="1" spans="1:266">
      <c r="A2" s="30" t="s">
        <v>205</v>
      </c>
      <c r="B2" s="30"/>
      <c r="C2" s="30"/>
      <c r="D2" s="30"/>
      <c r="E2" s="30" t="s">
        <v>206</v>
      </c>
      <c r="F2" s="31"/>
      <c r="G2" s="30" t="s">
        <v>207</v>
      </c>
      <c r="H2" s="30" t="s">
        <v>208</v>
      </c>
      <c r="I2" s="30" t="s">
        <v>209</v>
      </c>
      <c r="J2" s="30" t="s">
        <v>210</v>
      </c>
      <c r="K2" s="30" t="s">
        <v>211</v>
      </c>
      <c r="L2" s="30"/>
      <c r="M2" s="30" t="s">
        <v>212</v>
      </c>
      <c r="N2" s="30" t="s">
        <v>213</v>
      </c>
      <c r="O2" s="30" t="s">
        <v>214</v>
      </c>
      <c r="P2" s="30" t="s">
        <v>215</v>
      </c>
      <c r="Q2" s="30" t="s">
        <v>216</v>
      </c>
      <c r="R2" s="30" t="s">
        <v>217</v>
      </c>
      <c r="S2" s="30" t="s">
        <v>218</v>
      </c>
      <c r="T2" s="30"/>
      <c r="U2" s="30" t="s">
        <v>219</v>
      </c>
      <c r="V2" s="30" t="s">
        <v>220</v>
      </c>
      <c r="W2" s="30" t="s">
        <v>221</v>
      </c>
      <c r="X2" s="30" t="s">
        <v>222</v>
      </c>
      <c r="Y2" s="30" t="s">
        <v>223</v>
      </c>
      <c r="Z2" s="30" t="s">
        <v>224</v>
      </c>
      <c r="AA2" s="30" t="s">
        <v>225</v>
      </c>
      <c r="AB2" s="30"/>
      <c r="AC2" s="30" t="s">
        <v>226</v>
      </c>
      <c r="AD2" s="30" t="s">
        <v>227</v>
      </c>
      <c r="AE2" s="30" t="s">
        <v>228</v>
      </c>
      <c r="AF2" s="30" t="s">
        <v>229</v>
      </c>
      <c r="AG2" s="30" t="s">
        <v>230</v>
      </c>
      <c r="AH2" s="30" t="s">
        <v>231</v>
      </c>
      <c r="AI2" s="30" t="s">
        <v>232</v>
      </c>
      <c r="AJ2" s="30"/>
      <c r="AK2" s="30" t="s">
        <v>233</v>
      </c>
      <c r="AL2" s="30" t="s">
        <v>234</v>
      </c>
      <c r="AM2" s="30" t="s">
        <v>235</v>
      </c>
      <c r="AN2" s="30" t="s">
        <v>236</v>
      </c>
      <c r="AO2" s="30" t="s">
        <v>237</v>
      </c>
      <c r="AP2" s="30" t="s">
        <v>238</v>
      </c>
      <c r="AQ2" s="30" t="s">
        <v>239</v>
      </c>
      <c r="AR2" s="30"/>
      <c r="AS2" s="30" t="s">
        <v>240</v>
      </c>
      <c r="AT2" s="30" t="s">
        <v>241</v>
      </c>
      <c r="AU2" s="30" t="s">
        <v>242</v>
      </c>
      <c r="AV2" s="30" t="s">
        <v>243</v>
      </c>
      <c r="AW2" s="30" t="s">
        <v>244</v>
      </c>
      <c r="AX2" s="30" t="s">
        <v>245</v>
      </c>
      <c r="AY2" s="30" t="s">
        <v>246</v>
      </c>
      <c r="AZ2" s="30"/>
      <c r="BA2" s="30" t="s">
        <v>247</v>
      </c>
      <c r="BB2" s="30" t="s">
        <v>248</v>
      </c>
      <c r="BC2" s="30" t="s">
        <v>249</v>
      </c>
      <c r="BD2" s="30" t="s">
        <v>250</v>
      </c>
      <c r="BE2" s="30" t="s">
        <v>251</v>
      </c>
      <c r="BF2" s="30" t="s">
        <v>252</v>
      </c>
      <c r="BG2" s="30" t="s">
        <v>253</v>
      </c>
      <c r="BH2" s="30"/>
      <c r="BI2" s="30" t="s">
        <v>254</v>
      </c>
      <c r="BJ2" s="30" t="s">
        <v>255</v>
      </c>
      <c r="BK2" s="30" t="s">
        <v>256</v>
      </c>
      <c r="BL2" s="30" t="s">
        <v>257</v>
      </c>
      <c r="BM2" s="30" t="s">
        <v>258</v>
      </c>
      <c r="BN2" s="30" t="s">
        <v>259</v>
      </c>
      <c r="BO2" s="30" t="s">
        <v>260</v>
      </c>
      <c r="BP2" s="30"/>
      <c r="BQ2" s="30" t="s">
        <v>261</v>
      </c>
      <c r="BR2" s="30" t="s">
        <v>262</v>
      </c>
      <c r="BS2" s="30" t="s">
        <v>263</v>
      </c>
      <c r="BT2" s="30" t="s">
        <v>264</v>
      </c>
      <c r="BU2" s="30" t="s">
        <v>265</v>
      </c>
      <c r="BV2" s="30" t="s">
        <v>266</v>
      </c>
      <c r="BW2" s="30" t="s">
        <v>267</v>
      </c>
      <c r="BX2" s="30"/>
      <c r="BY2" s="30" t="s">
        <v>268</v>
      </c>
      <c r="BZ2" s="30" t="s">
        <v>269</v>
      </c>
      <c r="CA2" s="30" t="s">
        <v>270</v>
      </c>
      <c r="CB2" s="30" t="s">
        <v>271</v>
      </c>
      <c r="CC2" s="30" t="s">
        <v>272</v>
      </c>
      <c r="CD2" s="30" t="s">
        <v>273</v>
      </c>
      <c r="CE2" s="30" t="s">
        <v>274</v>
      </c>
      <c r="CF2" s="30"/>
      <c r="CG2" s="30" t="s">
        <v>275</v>
      </c>
      <c r="CH2" s="30" t="s">
        <v>276</v>
      </c>
      <c r="CI2" s="30" t="s">
        <v>277</v>
      </c>
      <c r="CJ2" s="30" t="s">
        <v>278</v>
      </c>
      <c r="CK2" s="30" t="s">
        <v>279</v>
      </c>
      <c r="CL2" s="30" t="s">
        <v>280</v>
      </c>
      <c r="CM2" s="30" t="s">
        <v>281</v>
      </c>
      <c r="CN2" s="30"/>
      <c r="CO2" s="30" t="s">
        <v>282</v>
      </c>
      <c r="CP2" s="30" t="s">
        <v>283</v>
      </c>
      <c r="CQ2" s="30" t="s">
        <v>284</v>
      </c>
      <c r="CR2" s="30" t="s">
        <v>285</v>
      </c>
      <c r="CS2" s="30" t="s">
        <v>286</v>
      </c>
      <c r="CT2" s="30" t="s">
        <v>287</v>
      </c>
      <c r="CU2" s="30" t="s">
        <v>288</v>
      </c>
      <c r="CV2" s="30"/>
      <c r="CW2" s="30" t="s">
        <v>289</v>
      </c>
      <c r="CX2" s="30" t="s">
        <v>290</v>
      </c>
      <c r="CY2" s="30" t="s">
        <v>291</v>
      </c>
      <c r="CZ2" s="30" t="s">
        <v>292</v>
      </c>
      <c r="DA2" s="30" t="s">
        <v>293</v>
      </c>
      <c r="DB2" s="30" t="s">
        <v>294</v>
      </c>
      <c r="DC2" s="30" t="s">
        <v>295</v>
      </c>
      <c r="DD2" s="30"/>
      <c r="DE2" s="30" t="s">
        <v>296</v>
      </c>
      <c r="DF2" s="30" t="s">
        <v>297</v>
      </c>
      <c r="DG2" s="30" t="s">
        <v>298</v>
      </c>
      <c r="DH2" s="30" t="s">
        <v>299</v>
      </c>
      <c r="DI2" s="30" t="s">
        <v>300</v>
      </c>
      <c r="DJ2" s="30" t="s">
        <v>301</v>
      </c>
      <c r="DK2" s="30" t="s">
        <v>302</v>
      </c>
      <c r="DL2" s="30"/>
      <c r="DM2" s="30" t="s">
        <v>303</v>
      </c>
      <c r="DN2" s="30" t="s">
        <v>304</v>
      </c>
      <c r="DO2" s="30" t="s">
        <v>305</v>
      </c>
      <c r="DP2" s="30" t="s">
        <v>306</v>
      </c>
      <c r="DQ2" s="30" t="s">
        <v>307</v>
      </c>
      <c r="DR2" s="30" t="s">
        <v>308</v>
      </c>
      <c r="DS2" s="30" t="s">
        <v>309</v>
      </c>
      <c r="DT2" s="30"/>
      <c r="DU2" s="30" t="s">
        <v>310</v>
      </c>
      <c r="DV2" s="30" t="s">
        <v>311</v>
      </c>
      <c r="DW2" s="30" t="s">
        <v>312</v>
      </c>
      <c r="DX2" s="30" t="s">
        <v>313</v>
      </c>
      <c r="DY2" s="30" t="s">
        <v>314</v>
      </c>
      <c r="DZ2" s="30" t="s">
        <v>315</v>
      </c>
      <c r="EA2" s="30" t="s">
        <v>316</v>
      </c>
      <c r="EB2" s="30"/>
      <c r="EC2" s="30" t="s">
        <v>317</v>
      </c>
      <c r="ED2" s="30" t="s">
        <v>318</v>
      </c>
      <c r="EE2" s="30" t="s">
        <v>319</v>
      </c>
      <c r="EF2" s="30" t="s">
        <v>320</v>
      </c>
      <c r="EG2" s="30" t="s">
        <v>321</v>
      </c>
      <c r="EH2" s="30" t="s">
        <v>322</v>
      </c>
      <c r="EI2" s="30" t="s">
        <v>323</v>
      </c>
      <c r="EJ2" s="30"/>
      <c r="EK2" s="30" t="s">
        <v>324</v>
      </c>
      <c r="EL2" s="30" t="s">
        <v>325</v>
      </c>
      <c r="EM2" s="30" t="s">
        <v>326</v>
      </c>
      <c r="EN2" s="30" t="s">
        <v>327</v>
      </c>
      <c r="EO2" s="30" t="s">
        <v>328</v>
      </c>
      <c r="EP2" s="30" t="s">
        <v>329</v>
      </c>
      <c r="EQ2" s="30" t="s">
        <v>330</v>
      </c>
      <c r="ER2" s="30"/>
      <c r="ES2" s="30" t="s">
        <v>331</v>
      </c>
      <c r="ET2" s="30" t="s">
        <v>332</v>
      </c>
      <c r="EU2" s="30" t="s">
        <v>333</v>
      </c>
      <c r="EV2" s="30" t="s">
        <v>334</v>
      </c>
      <c r="EW2" s="30" t="s">
        <v>335</v>
      </c>
      <c r="EX2" s="30" t="s">
        <v>336</v>
      </c>
      <c r="EY2" s="30" t="s">
        <v>337</v>
      </c>
      <c r="EZ2" s="30"/>
      <c r="FA2" s="30" t="s">
        <v>338</v>
      </c>
      <c r="FB2" s="30" t="s">
        <v>339</v>
      </c>
      <c r="FC2" s="30" t="s">
        <v>340</v>
      </c>
      <c r="FD2" s="30" t="s">
        <v>341</v>
      </c>
      <c r="FE2" s="30" t="s">
        <v>342</v>
      </c>
      <c r="FF2" s="30" t="s">
        <v>343</v>
      </c>
      <c r="FG2" s="30" t="s">
        <v>344</v>
      </c>
      <c r="FH2" s="30"/>
      <c r="FI2" s="30" t="s">
        <v>345</v>
      </c>
      <c r="FJ2" s="30" t="s">
        <v>346</v>
      </c>
      <c r="FK2" s="30" t="s">
        <v>347</v>
      </c>
      <c r="FL2" s="30" t="s">
        <v>348</v>
      </c>
      <c r="FM2" s="30" t="s">
        <v>349</v>
      </c>
      <c r="FN2" s="30" t="s">
        <v>350</v>
      </c>
      <c r="FO2" s="30" t="s">
        <v>351</v>
      </c>
      <c r="FP2" s="30"/>
      <c r="FQ2" s="30" t="s">
        <v>352</v>
      </c>
      <c r="FR2" s="30" t="s">
        <v>353</v>
      </c>
      <c r="FS2" s="30" t="s">
        <v>354</v>
      </c>
      <c r="FT2" s="30" t="s">
        <v>355</v>
      </c>
      <c r="FU2" s="30" t="s">
        <v>356</v>
      </c>
      <c r="FV2" s="30" t="s">
        <v>357</v>
      </c>
      <c r="FW2" s="30" t="s">
        <v>358</v>
      </c>
      <c r="FX2" s="30"/>
      <c r="FY2" s="30" t="s">
        <v>359</v>
      </c>
      <c r="FZ2" s="30" t="s">
        <v>360</v>
      </c>
      <c r="GA2" s="30" t="s">
        <v>361</v>
      </c>
      <c r="GB2" s="30" t="s">
        <v>362</v>
      </c>
      <c r="GC2" s="30" t="s">
        <v>363</v>
      </c>
      <c r="GD2" s="30" t="s">
        <v>364</v>
      </c>
      <c r="GE2" s="30" t="s">
        <v>365</v>
      </c>
      <c r="GF2" s="30"/>
      <c r="GG2" s="30" t="s">
        <v>366</v>
      </c>
      <c r="GH2" s="30" t="s">
        <v>367</v>
      </c>
      <c r="GI2" s="30" t="s">
        <v>368</v>
      </c>
      <c r="GJ2" s="30" t="s">
        <v>369</v>
      </c>
      <c r="GK2" s="30" t="s">
        <v>370</v>
      </c>
      <c r="GL2" s="30" t="s">
        <v>371</v>
      </c>
      <c r="GM2" s="30" t="s">
        <v>372</v>
      </c>
      <c r="GN2" s="30"/>
      <c r="GO2" s="30" t="s">
        <v>373</v>
      </c>
      <c r="GP2" s="30" t="s">
        <v>374</v>
      </c>
      <c r="GQ2" s="30" t="s">
        <v>375</v>
      </c>
      <c r="GR2" s="30" t="s">
        <v>376</v>
      </c>
      <c r="GS2" s="30" t="s">
        <v>377</v>
      </c>
      <c r="GT2" s="30" t="s">
        <v>378</v>
      </c>
      <c r="GU2" s="30" t="s">
        <v>379</v>
      </c>
      <c r="GV2" s="30"/>
      <c r="GW2" s="30" t="s">
        <v>380</v>
      </c>
      <c r="GX2" s="30" t="s">
        <v>381</v>
      </c>
      <c r="GY2" s="30" t="s">
        <v>382</v>
      </c>
      <c r="GZ2" s="30" t="s">
        <v>383</v>
      </c>
      <c r="HA2" s="30" t="s">
        <v>384</v>
      </c>
      <c r="HB2" s="30" t="s">
        <v>385</v>
      </c>
      <c r="HC2" s="30" t="s">
        <v>386</v>
      </c>
      <c r="HD2" s="30"/>
      <c r="HE2" s="30" t="s">
        <v>387</v>
      </c>
      <c r="HF2" s="30" t="s">
        <v>388</v>
      </c>
      <c r="HG2" s="30" t="s">
        <v>389</v>
      </c>
      <c r="HH2" s="30" t="s">
        <v>390</v>
      </c>
      <c r="HI2" s="30" t="s">
        <v>391</v>
      </c>
      <c r="HJ2" s="30" t="s">
        <v>392</v>
      </c>
      <c r="HK2" s="30" t="s">
        <v>393</v>
      </c>
      <c r="HL2" s="30"/>
      <c r="HM2" s="30" t="s">
        <v>394</v>
      </c>
      <c r="HN2" s="30" t="s">
        <v>395</v>
      </c>
      <c r="HO2" s="30" t="s">
        <v>396</v>
      </c>
      <c r="HP2" s="30" t="s">
        <v>397</v>
      </c>
      <c r="HQ2" s="30" t="s">
        <v>398</v>
      </c>
      <c r="HR2" s="30" t="s">
        <v>399</v>
      </c>
      <c r="HS2" s="30" t="s">
        <v>400</v>
      </c>
      <c r="HT2" s="30"/>
      <c r="HU2" s="30" t="s">
        <v>401</v>
      </c>
      <c r="HV2" s="30" t="s">
        <v>402</v>
      </c>
      <c r="HW2" s="30" t="s">
        <v>403</v>
      </c>
      <c r="HX2" s="30" t="s">
        <v>404</v>
      </c>
      <c r="HY2" s="30" t="s">
        <v>405</v>
      </c>
      <c r="HZ2" s="30" t="s">
        <v>406</v>
      </c>
      <c r="IA2" s="30" t="s">
        <v>407</v>
      </c>
      <c r="IB2" s="30"/>
      <c r="IC2" s="30" t="s">
        <v>408</v>
      </c>
      <c r="ID2" s="30" t="s">
        <v>409</v>
      </c>
      <c r="IE2" s="30" t="s">
        <v>410</v>
      </c>
      <c r="IF2" s="30" t="s">
        <v>411</v>
      </c>
      <c r="IG2" s="30" t="s">
        <v>412</v>
      </c>
      <c r="IH2" s="30" t="s">
        <v>413</v>
      </c>
      <c r="II2" s="30" t="s">
        <v>414</v>
      </c>
      <c r="IJ2" s="30"/>
      <c r="IK2" s="30" t="s">
        <v>415</v>
      </c>
      <c r="IL2" s="30" t="s">
        <v>416</v>
      </c>
      <c r="IM2" s="30" t="s">
        <v>417</v>
      </c>
      <c r="IN2" s="30" t="s">
        <v>418</v>
      </c>
      <c r="IO2" s="30" t="s">
        <v>419</v>
      </c>
      <c r="IP2" s="30" t="s">
        <v>420</v>
      </c>
      <c r="IQ2" s="30" t="s">
        <v>421</v>
      </c>
      <c r="IR2" s="30"/>
      <c r="IS2" s="30" t="s">
        <v>422</v>
      </c>
      <c r="IT2" s="30" t="s">
        <v>423</v>
      </c>
      <c r="IU2" s="30" t="s">
        <v>424</v>
      </c>
      <c r="IV2" s="30" t="s">
        <v>425</v>
      </c>
      <c r="IW2" s="30" t="s">
        <v>426</v>
      </c>
      <c r="IX2" s="30" t="s">
        <v>427</v>
      </c>
      <c r="IY2" s="30" t="s">
        <v>428</v>
      </c>
      <c r="IZ2" s="30"/>
      <c r="JA2" s="30" t="s">
        <v>429</v>
      </c>
      <c r="JB2" s="30" t="s">
        <v>430</v>
      </c>
      <c r="JC2" s="30" t="s">
        <v>431</v>
      </c>
      <c r="JD2" s="30" t="s">
        <v>432</v>
      </c>
      <c r="JE2" s="30" t="s">
        <v>433</v>
      </c>
      <c r="JF2" s="30" t="s">
        <v>434</v>
      </c>
    </row>
    <row r="3" customFormat="1" ht="17.25" spans="1:266">
      <c r="A3" s="32">
        <f>40000000+INDEX(编号表!$B:$B,MATCH(B3,编号表!$A:$A,0))*10000+C3</f>
        <v>40010001</v>
      </c>
      <c r="B3" s="27" t="s">
        <v>435</v>
      </c>
      <c r="C3" s="32">
        <v>1</v>
      </c>
      <c r="D3" s="32" t="s">
        <v>436</v>
      </c>
      <c r="E3" s="32" t="s">
        <v>437</v>
      </c>
      <c r="F3" s="31">
        <f>P3+X3+AF3+AN3+AV3+BD3+BL3+BT3</f>
        <v>100000000</v>
      </c>
      <c r="G3" s="31"/>
      <c r="H3" s="32"/>
      <c r="I3" s="32"/>
      <c r="J3" s="32">
        <f t="shared" ref="J3:J19" si="0">COUNT(P3,X3,AF3,AN3,AV3,BD3,BL3,BT3,CB3,CJ3,CR3,CZ3,DH3,DP3,DX3,EF3,EN3,EV3,FD3,FL3,FT3,GB3,GJ3,GR3,GZ3,HH3,HP3,HX3,IF3,IN3,IV3,JD3)</f>
        <v>1</v>
      </c>
      <c r="K3" s="32">
        <v>31010001</v>
      </c>
      <c r="L3" s="32" t="str" cm="1">
        <f t="array" ref="L3">INDEX(编号表!$E:$E,MATCH(K3,编号表!$D:$D,0))</f>
        <v>一小袋金币</v>
      </c>
      <c r="M3" s="31"/>
      <c r="N3" s="31"/>
      <c r="O3" s="31"/>
      <c r="P3" s="32">
        <v>100000000</v>
      </c>
      <c r="Q3" s="32">
        <v>1</v>
      </c>
      <c r="R3" s="31"/>
      <c r="S3" s="32"/>
      <c r="T3" s="32"/>
      <c r="U3" s="31"/>
      <c r="V3" s="31"/>
      <c r="W3" s="31"/>
      <c r="X3" s="32"/>
      <c r="Y3" s="32"/>
      <c r="Z3" s="31"/>
      <c r="AA3" s="32"/>
      <c r="AB3" s="32"/>
      <c r="AC3" s="31"/>
      <c r="AD3" s="31"/>
      <c r="AE3" s="31"/>
      <c r="AF3" s="32"/>
      <c r="AG3" s="32"/>
      <c r="AH3" s="31"/>
      <c r="AI3" s="32"/>
      <c r="AJ3" s="32"/>
      <c r="AK3" s="31"/>
      <c r="AL3" s="31"/>
      <c r="AM3" s="31"/>
      <c r="AN3" s="32"/>
      <c r="AO3" s="32"/>
      <c r="AP3" s="31"/>
      <c r="AQ3" s="32"/>
      <c r="AR3" s="32"/>
      <c r="AS3" s="31"/>
      <c r="AT3" s="31"/>
      <c r="AU3" s="31"/>
      <c r="AV3" s="32"/>
      <c r="AW3" s="32"/>
      <c r="AX3" s="31"/>
      <c r="AY3" s="32"/>
      <c r="AZ3" s="32"/>
      <c r="BA3" s="31"/>
      <c r="BB3" s="31"/>
      <c r="BC3" s="31"/>
      <c r="BD3" s="32"/>
      <c r="BE3" s="32"/>
      <c r="BF3" s="31"/>
      <c r="BG3" s="31"/>
      <c r="BH3" s="32"/>
      <c r="BI3" s="31"/>
      <c r="BJ3" s="31"/>
      <c r="BK3" s="31"/>
      <c r="BL3" s="31"/>
      <c r="BM3" s="31"/>
      <c r="BN3" s="31"/>
      <c r="BO3" s="31"/>
      <c r="BP3" s="32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</row>
    <row r="4" customFormat="1" ht="17.25" spans="1:266">
      <c r="A4" s="32">
        <f>40000000+INDEX(编号表!$B:$B,MATCH(B4,编号表!$A:$A,0))*10000+C4</f>
        <v>40010002</v>
      </c>
      <c r="B4" s="27" t="s">
        <v>435</v>
      </c>
      <c r="C4" s="32">
        <v>2</v>
      </c>
      <c r="D4" s="32" t="s">
        <v>438</v>
      </c>
      <c r="E4" s="32" t="s">
        <v>437</v>
      </c>
      <c r="F4" s="31">
        <f t="shared" ref="F4:F35" si="1">P4+X4+AF4+AN4+AV4+BD4+BL4+BT4</f>
        <v>100000000</v>
      </c>
      <c r="G4" s="31"/>
      <c r="H4" s="32"/>
      <c r="I4" s="32"/>
      <c r="J4" s="32">
        <f t="shared" si="0"/>
        <v>1</v>
      </c>
      <c r="K4" s="32">
        <v>31010001</v>
      </c>
      <c r="L4" s="32" t="str" cm="1">
        <f t="array" ref="L4">INDEX(编号表!$E:$E,MATCH(K4,编号表!$D:$D,0))</f>
        <v>一小袋金币</v>
      </c>
      <c r="M4" s="31"/>
      <c r="N4" s="31"/>
      <c r="O4" s="31"/>
      <c r="P4" s="32">
        <v>100000000</v>
      </c>
      <c r="Q4" s="32">
        <v>2</v>
      </c>
      <c r="R4" s="31"/>
      <c r="S4" s="32"/>
      <c r="T4" s="32"/>
      <c r="U4" s="31"/>
      <c r="V4" s="31"/>
      <c r="W4" s="31"/>
      <c r="X4" s="32"/>
      <c r="Y4" s="32"/>
      <c r="Z4" s="31"/>
      <c r="AA4" s="32"/>
      <c r="AB4" s="32"/>
      <c r="AC4" s="31"/>
      <c r="AD4" s="31"/>
      <c r="AE4" s="31"/>
      <c r="AF4" s="32"/>
      <c r="AG4" s="32"/>
      <c r="AH4" s="31"/>
      <c r="AI4" s="32"/>
      <c r="AJ4" s="32"/>
      <c r="AK4" s="31"/>
      <c r="AL4" s="31"/>
      <c r="AM4" s="31"/>
      <c r="AN4" s="32"/>
      <c r="AO4" s="32"/>
      <c r="AP4" s="31"/>
      <c r="AQ4" s="32"/>
      <c r="AR4" s="32"/>
      <c r="AS4" s="31"/>
      <c r="AT4" s="31"/>
      <c r="AU4" s="31"/>
      <c r="AV4" s="32"/>
      <c r="AW4" s="32"/>
      <c r="AX4" s="31"/>
      <c r="AY4" s="32"/>
      <c r="AZ4" s="32"/>
      <c r="BA4" s="31"/>
      <c r="BB4" s="31"/>
      <c r="BC4" s="31"/>
      <c r="BD4" s="32"/>
      <c r="BE4" s="32"/>
      <c r="BF4" s="31"/>
      <c r="BG4" s="31"/>
      <c r="BH4" s="32"/>
      <c r="BI4" s="31"/>
      <c r="BJ4" s="31"/>
      <c r="BK4" s="31"/>
      <c r="BL4" s="31"/>
      <c r="BM4" s="31"/>
      <c r="BN4" s="31"/>
      <c r="BO4" s="31"/>
      <c r="BP4" s="32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</row>
    <row r="5" customFormat="1" ht="17.25" spans="1:266">
      <c r="A5" s="32">
        <f>40000000+INDEX(编号表!$B:$B,MATCH(B5,编号表!$A:$A,0))*10000+C5</f>
        <v>40010003</v>
      </c>
      <c r="B5" s="27" t="s">
        <v>435</v>
      </c>
      <c r="C5" s="32">
        <v>3</v>
      </c>
      <c r="D5" s="32" t="s">
        <v>439</v>
      </c>
      <c r="E5" s="32" t="s">
        <v>437</v>
      </c>
      <c r="F5" s="31">
        <f t="shared" si="1"/>
        <v>100000000</v>
      </c>
      <c r="G5" s="31"/>
      <c r="H5" s="32"/>
      <c r="I5" s="32"/>
      <c r="J5" s="32">
        <f t="shared" si="0"/>
        <v>1</v>
      </c>
      <c r="K5" s="32">
        <v>31010001</v>
      </c>
      <c r="L5" s="32" t="str" cm="1">
        <f t="array" ref="L5">INDEX(编号表!$E:$E,MATCH(K5,编号表!$D:$D,0))</f>
        <v>一小袋金币</v>
      </c>
      <c r="M5" s="31"/>
      <c r="N5" s="31"/>
      <c r="O5" s="31"/>
      <c r="P5" s="32">
        <v>100000000</v>
      </c>
      <c r="Q5" s="32">
        <v>3</v>
      </c>
      <c r="R5" s="31"/>
      <c r="S5" s="32"/>
      <c r="T5" s="32"/>
      <c r="U5" s="31"/>
      <c r="V5" s="31"/>
      <c r="W5" s="31"/>
      <c r="X5" s="32"/>
      <c r="Y5" s="32"/>
      <c r="Z5" s="31"/>
      <c r="AA5" s="32"/>
      <c r="AB5" s="32"/>
      <c r="AC5" s="31"/>
      <c r="AD5" s="31"/>
      <c r="AE5" s="31"/>
      <c r="AF5" s="32"/>
      <c r="AG5" s="32"/>
      <c r="AH5" s="31"/>
      <c r="AI5" s="32"/>
      <c r="AJ5" s="32"/>
      <c r="AK5" s="31"/>
      <c r="AL5" s="31"/>
      <c r="AM5" s="31"/>
      <c r="AN5" s="32"/>
      <c r="AO5" s="32"/>
      <c r="AP5" s="31"/>
      <c r="AQ5" s="32"/>
      <c r="AR5" s="32"/>
      <c r="AS5" s="31"/>
      <c r="AT5" s="31"/>
      <c r="AU5" s="31"/>
      <c r="AV5" s="32"/>
      <c r="AW5" s="32"/>
      <c r="AX5" s="31"/>
      <c r="AY5" s="32"/>
      <c r="AZ5" s="32"/>
      <c r="BA5" s="31"/>
      <c r="BB5" s="31"/>
      <c r="BC5" s="31"/>
      <c r="BD5" s="32"/>
      <c r="BE5" s="32"/>
      <c r="BF5" s="31"/>
      <c r="BG5" s="31"/>
      <c r="BH5" s="32"/>
      <c r="BI5" s="31"/>
      <c r="BJ5" s="31"/>
      <c r="BK5" s="31"/>
      <c r="BL5" s="31"/>
      <c r="BM5" s="31"/>
      <c r="BN5" s="31"/>
      <c r="BO5" s="31"/>
      <c r="BP5" s="32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</row>
    <row r="6" customFormat="1" ht="17.25" spans="1:266">
      <c r="A6" s="32">
        <f>40000000+INDEX(编号表!$B:$B,MATCH(B6,编号表!$A:$A,0))*10000+C6</f>
        <v>40010004</v>
      </c>
      <c r="B6" s="27" t="s">
        <v>435</v>
      </c>
      <c r="C6" s="32">
        <v>4</v>
      </c>
      <c r="D6" s="32" t="s">
        <v>440</v>
      </c>
      <c r="E6" s="32" t="s">
        <v>437</v>
      </c>
      <c r="F6" s="31">
        <f t="shared" si="1"/>
        <v>100000000</v>
      </c>
      <c r="G6" s="31"/>
      <c r="H6" s="32"/>
      <c r="I6" s="32"/>
      <c r="J6" s="32">
        <f t="shared" si="0"/>
        <v>1</v>
      </c>
      <c r="K6" s="32">
        <v>31010001</v>
      </c>
      <c r="L6" s="32" t="str" cm="1">
        <f t="array" ref="L6">INDEX(编号表!$E:$E,MATCH(K6,编号表!$D:$D,0))</f>
        <v>一小袋金币</v>
      </c>
      <c r="M6" s="31"/>
      <c r="N6" s="31"/>
      <c r="O6" s="31"/>
      <c r="P6" s="32">
        <v>100000000</v>
      </c>
      <c r="Q6" s="32">
        <v>4</v>
      </c>
      <c r="R6" s="31"/>
      <c r="S6" s="32"/>
      <c r="T6" s="32"/>
      <c r="U6" s="31"/>
      <c r="V6" s="31"/>
      <c r="W6" s="31"/>
      <c r="X6" s="32"/>
      <c r="Y6" s="32"/>
      <c r="Z6" s="31"/>
      <c r="AA6" s="32"/>
      <c r="AB6" s="32"/>
      <c r="AC6" s="31"/>
      <c r="AD6" s="31"/>
      <c r="AE6" s="31"/>
      <c r="AF6" s="32"/>
      <c r="AG6" s="32"/>
      <c r="AH6" s="31"/>
      <c r="AI6" s="32"/>
      <c r="AJ6" s="32"/>
      <c r="AK6" s="31"/>
      <c r="AL6" s="31"/>
      <c r="AM6" s="31"/>
      <c r="AN6" s="32"/>
      <c r="AO6" s="32"/>
      <c r="AP6" s="31"/>
      <c r="AQ6" s="32"/>
      <c r="AR6" s="32"/>
      <c r="AS6" s="31"/>
      <c r="AT6" s="31"/>
      <c r="AU6" s="31"/>
      <c r="AV6" s="32"/>
      <c r="AW6" s="32"/>
      <c r="AX6" s="31"/>
      <c r="AY6" s="32"/>
      <c r="AZ6" s="32"/>
      <c r="BA6" s="31"/>
      <c r="BB6" s="31"/>
      <c r="BC6" s="31"/>
      <c r="BD6" s="32"/>
      <c r="BE6" s="32"/>
      <c r="BF6" s="31"/>
      <c r="BG6" s="31"/>
      <c r="BH6" s="32"/>
      <c r="BI6" s="31"/>
      <c r="BJ6" s="31"/>
      <c r="BK6" s="31"/>
      <c r="BL6" s="31"/>
      <c r="BM6" s="31"/>
      <c r="BN6" s="31"/>
      <c r="BO6" s="31"/>
      <c r="BP6" s="32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</row>
    <row r="7" customFormat="1" ht="17.25" spans="1:266">
      <c r="A7" s="32">
        <f>40000000+INDEX(编号表!$B:$B,MATCH(B7,编号表!$A:$A,0))*10000+C7</f>
        <v>40010005</v>
      </c>
      <c r="B7" s="27" t="s">
        <v>435</v>
      </c>
      <c r="C7" s="32">
        <v>5</v>
      </c>
      <c r="D7" s="32" t="s">
        <v>441</v>
      </c>
      <c r="E7" s="32" t="s">
        <v>437</v>
      </c>
      <c r="F7" s="31">
        <f t="shared" si="1"/>
        <v>100000000</v>
      </c>
      <c r="G7" s="31"/>
      <c r="H7" s="32"/>
      <c r="I7" s="32"/>
      <c r="J7" s="32">
        <f t="shared" si="0"/>
        <v>1</v>
      </c>
      <c r="K7" s="32">
        <v>31010001</v>
      </c>
      <c r="L7" s="32" t="str" cm="1">
        <f t="array" ref="L7">INDEX(编号表!$E:$E,MATCH(K7,编号表!$D:$D,0))</f>
        <v>一小袋金币</v>
      </c>
      <c r="M7" s="31"/>
      <c r="N7" s="31"/>
      <c r="O7" s="31"/>
      <c r="P7" s="32">
        <v>100000000</v>
      </c>
      <c r="Q7" s="32">
        <v>5</v>
      </c>
      <c r="R7" s="31"/>
      <c r="S7" s="32"/>
      <c r="T7" s="32"/>
      <c r="U7" s="31"/>
      <c r="V7" s="31"/>
      <c r="W7" s="31"/>
      <c r="X7" s="32"/>
      <c r="Y7" s="32"/>
      <c r="Z7" s="31"/>
      <c r="AA7" s="32"/>
      <c r="AB7" s="32"/>
      <c r="AC7" s="31"/>
      <c r="AD7" s="31"/>
      <c r="AE7" s="31"/>
      <c r="AF7" s="32"/>
      <c r="AG7" s="32"/>
      <c r="AH7" s="31"/>
      <c r="AI7" s="32"/>
      <c r="AJ7" s="32"/>
      <c r="AK7" s="31"/>
      <c r="AL7" s="31"/>
      <c r="AM7" s="31"/>
      <c r="AN7" s="32"/>
      <c r="AO7" s="32"/>
      <c r="AP7" s="31"/>
      <c r="AQ7" s="32"/>
      <c r="AR7" s="32"/>
      <c r="AS7" s="31"/>
      <c r="AT7" s="31"/>
      <c r="AU7" s="31"/>
      <c r="AV7" s="32"/>
      <c r="AW7" s="32"/>
      <c r="AX7" s="31"/>
      <c r="AY7" s="32"/>
      <c r="AZ7" s="32"/>
      <c r="BA7" s="31"/>
      <c r="BB7" s="31"/>
      <c r="BC7" s="31"/>
      <c r="BD7" s="32"/>
      <c r="BE7" s="32"/>
      <c r="BF7" s="31"/>
      <c r="BG7" s="31"/>
      <c r="BH7" s="32"/>
      <c r="BI7" s="31"/>
      <c r="BJ7" s="31"/>
      <c r="BK7" s="31"/>
      <c r="BL7" s="31"/>
      <c r="BM7" s="31"/>
      <c r="BN7" s="31"/>
      <c r="BO7" s="31"/>
      <c r="BP7" s="32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</row>
    <row r="8" customFormat="1" ht="17.25" spans="1:266">
      <c r="A8" s="32">
        <f>40000000+INDEX(编号表!$B:$B,MATCH(B8,编号表!$A:$A,0))*10000+C8</f>
        <v>40010006</v>
      </c>
      <c r="B8" s="27" t="s">
        <v>435</v>
      </c>
      <c r="C8" s="32">
        <v>6</v>
      </c>
      <c r="D8" s="32" t="s">
        <v>442</v>
      </c>
      <c r="E8" s="32" t="s">
        <v>437</v>
      </c>
      <c r="F8" s="31">
        <f t="shared" si="1"/>
        <v>100000000</v>
      </c>
      <c r="G8" s="31"/>
      <c r="H8" s="32"/>
      <c r="I8" s="32"/>
      <c r="J8" s="32">
        <f t="shared" si="0"/>
        <v>1</v>
      </c>
      <c r="K8" s="32">
        <v>31010001</v>
      </c>
      <c r="L8" s="32" t="str" cm="1">
        <f t="array" ref="L8">INDEX(编号表!$E:$E,MATCH(K8,编号表!$D:$D,0))</f>
        <v>一小袋金币</v>
      </c>
      <c r="M8" s="31"/>
      <c r="N8" s="31"/>
      <c r="O8" s="31"/>
      <c r="P8" s="32">
        <v>100000000</v>
      </c>
      <c r="Q8" s="32">
        <v>6</v>
      </c>
      <c r="R8" s="31"/>
      <c r="S8" s="32"/>
      <c r="T8" s="32"/>
      <c r="U8" s="31"/>
      <c r="V8" s="31"/>
      <c r="W8" s="31"/>
      <c r="X8" s="32"/>
      <c r="Y8" s="32"/>
      <c r="Z8" s="31"/>
      <c r="AA8" s="32"/>
      <c r="AB8" s="32"/>
      <c r="AC8" s="31"/>
      <c r="AD8" s="31"/>
      <c r="AE8" s="31"/>
      <c r="AF8" s="32"/>
      <c r="AG8" s="32"/>
      <c r="AH8" s="31"/>
      <c r="AI8" s="32"/>
      <c r="AJ8" s="32"/>
      <c r="AK8" s="31"/>
      <c r="AL8" s="31"/>
      <c r="AM8" s="31"/>
      <c r="AN8" s="32"/>
      <c r="AO8" s="32"/>
      <c r="AP8" s="31"/>
      <c r="AQ8" s="32"/>
      <c r="AR8" s="32"/>
      <c r="AS8" s="31"/>
      <c r="AT8" s="31"/>
      <c r="AU8" s="31"/>
      <c r="AV8" s="32"/>
      <c r="AW8" s="32"/>
      <c r="AX8" s="31"/>
      <c r="AY8" s="32"/>
      <c r="AZ8" s="32"/>
      <c r="BA8" s="31"/>
      <c r="BB8" s="31"/>
      <c r="BC8" s="31"/>
      <c r="BD8" s="32"/>
      <c r="BE8" s="32"/>
      <c r="BF8" s="31"/>
      <c r="BG8" s="31"/>
      <c r="BH8" s="32"/>
      <c r="BI8" s="31"/>
      <c r="BJ8" s="31"/>
      <c r="BK8" s="31"/>
      <c r="BL8" s="31"/>
      <c r="BM8" s="31"/>
      <c r="BN8" s="31"/>
      <c r="BO8" s="31"/>
      <c r="BP8" s="32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</row>
    <row r="9" customFormat="1" ht="17.25" spans="1:266">
      <c r="A9" s="32">
        <f>40000000+INDEX(编号表!$B:$B,MATCH(B9,编号表!$A:$A,0))*10000+C9</f>
        <v>40010007</v>
      </c>
      <c r="B9" s="27" t="s">
        <v>435</v>
      </c>
      <c r="C9" s="32">
        <v>7</v>
      </c>
      <c r="D9" s="32" t="s">
        <v>443</v>
      </c>
      <c r="E9" s="32" t="s">
        <v>437</v>
      </c>
      <c r="F9" s="31">
        <f t="shared" si="1"/>
        <v>100000000</v>
      </c>
      <c r="G9" s="31"/>
      <c r="H9" s="32"/>
      <c r="I9" s="32"/>
      <c r="J9" s="32">
        <f t="shared" si="0"/>
        <v>1</v>
      </c>
      <c r="K9" s="32">
        <v>31010001</v>
      </c>
      <c r="L9" s="32" t="str" cm="1">
        <f t="array" ref="L9">INDEX(编号表!$E:$E,MATCH(K9,编号表!$D:$D,0))</f>
        <v>一小袋金币</v>
      </c>
      <c r="M9" s="31"/>
      <c r="N9" s="31"/>
      <c r="O9" s="31"/>
      <c r="P9" s="32">
        <v>100000000</v>
      </c>
      <c r="Q9" s="32">
        <v>7</v>
      </c>
      <c r="R9" s="31"/>
      <c r="S9" s="32"/>
      <c r="T9" s="32"/>
      <c r="U9" s="31"/>
      <c r="V9" s="31"/>
      <c r="W9" s="31"/>
      <c r="X9" s="32"/>
      <c r="Y9" s="32"/>
      <c r="Z9" s="31"/>
      <c r="AA9" s="32"/>
      <c r="AB9" s="32"/>
      <c r="AC9" s="31"/>
      <c r="AD9" s="31"/>
      <c r="AE9" s="31"/>
      <c r="AF9" s="32"/>
      <c r="AG9" s="32"/>
      <c r="AH9" s="31"/>
      <c r="AI9" s="32"/>
      <c r="AJ9" s="32"/>
      <c r="AK9" s="31"/>
      <c r="AL9" s="31"/>
      <c r="AM9" s="31"/>
      <c r="AN9" s="32"/>
      <c r="AO9" s="32"/>
      <c r="AP9" s="31"/>
      <c r="AQ9" s="32"/>
      <c r="AR9" s="32"/>
      <c r="AS9" s="31"/>
      <c r="AT9" s="31"/>
      <c r="AU9" s="31"/>
      <c r="AV9" s="32"/>
      <c r="AW9" s="32"/>
      <c r="AX9" s="31"/>
      <c r="AY9" s="32"/>
      <c r="AZ9" s="32"/>
      <c r="BA9" s="31"/>
      <c r="BB9" s="31"/>
      <c r="BC9" s="31"/>
      <c r="BD9" s="32"/>
      <c r="BE9" s="32"/>
      <c r="BF9" s="31"/>
      <c r="BG9" s="31"/>
      <c r="BH9" s="32"/>
      <c r="BI9" s="31"/>
      <c r="BJ9" s="31"/>
      <c r="BK9" s="31"/>
      <c r="BL9" s="31"/>
      <c r="BM9" s="31"/>
      <c r="BN9" s="31"/>
      <c r="BO9" s="31"/>
      <c r="BP9" s="32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</row>
    <row r="10" customFormat="1" ht="17.25" spans="1:266">
      <c r="A10" s="32">
        <f>40000000+INDEX(编号表!$B:$B,MATCH(B10,编号表!$A:$A,0))*10000+C10</f>
        <v>40010008</v>
      </c>
      <c r="B10" s="27" t="s">
        <v>435</v>
      </c>
      <c r="C10" s="32">
        <v>8</v>
      </c>
      <c r="D10" s="32" t="s">
        <v>444</v>
      </c>
      <c r="E10" s="32" t="s">
        <v>437</v>
      </c>
      <c r="F10" s="31">
        <f t="shared" si="1"/>
        <v>100000000</v>
      </c>
      <c r="G10" s="31"/>
      <c r="H10" s="32"/>
      <c r="I10" s="32"/>
      <c r="J10" s="32">
        <f t="shared" si="0"/>
        <v>1</v>
      </c>
      <c r="K10" s="32">
        <v>31010001</v>
      </c>
      <c r="L10" s="32" t="str" cm="1">
        <f t="array" ref="L10">INDEX(编号表!$E:$E,MATCH(K10,编号表!$D:$D,0))</f>
        <v>一小袋金币</v>
      </c>
      <c r="M10" s="31"/>
      <c r="N10" s="31"/>
      <c r="O10" s="31"/>
      <c r="P10" s="32">
        <v>100000000</v>
      </c>
      <c r="Q10" s="32">
        <v>8</v>
      </c>
      <c r="R10" s="31"/>
      <c r="S10" s="32"/>
      <c r="T10" s="32"/>
      <c r="U10" s="31"/>
      <c r="V10" s="31"/>
      <c r="W10" s="31"/>
      <c r="X10" s="32"/>
      <c r="Y10" s="32"/>
      <c r="Z10" s="31"/>
      <c r="AA10" s="32"/>
      <c r="AB10" s="32"/>
      <c r="AC10" s="31"/>
      <c r="AD10" s="31"/>
      <c r="AE10" s="31"/>
      <c r="AF10" s="32"/>
      <c r="AG10" s="32"/>
      <c r="AH10" s="31"/>
      <c r="AI10" s="32"/>
      <c r="AJ10" s="32"/>
      <c r="AK10" s="31"/>
      <c r="AL10" s="31"/>
      <c r="AM10" s="31"/>
      <c r="AN10" s="32"/>
      <c r="AO10" s="32"/>
      <c r="AP10" s="31"/>
      <c r="AQ10" s="32"/>
      <c r="AR10" s="32"/>
      <c r="AS10" s="31"/>
      <c r="AT10" s="31"/>
      <c r="AU10" s="31"/>
      <c r="AV10" s="32"/>
      <c r="AW10" s="32"/>
      <c r="AX10" s="31"/>
      <c r="AY10" s="32"/>
      <c r="AZ10" s="32"/>
      <c r="BA10" s="31"/>
      <c r="BB10" s="31"/>
      <c r="BC10" s="31"/>
      <c r="BD10" s="32"/>
      <c r="BE10" s="32"/>
      <c r="BF10" s="31"/>
      <c r="BG10" s="31"/>
      <c r="BH10" s="32"/>
      <c r="BI10" s="31"/>
      <c r="BJ10" s="31"/>
      <c r="BK10" s="31"/>
      <c r="BL10" s="31"/>
      <c r="BM10" s="31"/>
      <c r="BN10" s="31"/>
      <c r="BO10" s="31"/>
      <c r="BP10" s="32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</row>
    <row r="11" customFormat="1" ht="17.25" spans="1:266">
      <c r="A11" s="32">
        <f>40000000+INDEX(编号表!$B:$B,MATCH(B11,编号表!$A:$A,0))*10000+C11</f>
        <v>40010009</v>
      </c>
      <c r="B11" s="27" t="s">
        <v>435</v>
      </c>
      <c r="C11" s="32">
        <v>9</v>
      </c>
      <c r="D11" s="32" t="s">
        <v>445</v>
      </c>
      <c r="E11" s="32" t="s">
        <v>437</v>
      </c>
      <c r="F11" s="31">
        <f t="shared" si="1"/>
        <v>100000000</v>
      </c>
      <c r="G11" s="31"/>
      <c r="H11" s="32"/>
      <c r="I11" s="32"/>
      <c r="J11" s="32">
        <f t="shared" si="0"/>
        <v>1</v>
      </c>
      <c r="K11" s="32">
        <v>31010001</v>
      </c>
      <c r="L11" s="32" t="str" cm="1">
        <f t="array" ref="L11">INDEX(编号表!$E:$E,MATCH(K11,编号表!$D:$D,0))</f>
        <v>一小袋金币</v>
      </c>
      <c r="M11" s="31"/>
      <c r="N11" s="31"/>
      <c r="O11" s="31"/>
      <c r="P11" s="32">
        <v>100000000</v>
      </c>
      <c r="Q11" s="32">
        <v>9</v>
      </c>
      <c r="R11" s="31"/>
      <c r="S11" s="32"/>
      <c r="T11" s="32"/>
      <c r="U11" s="31"/>
      <c r="V11" s="31"/>
      <c r="W11" s="31"/>
      <c r="X11" s="32"/>
      <c r="Y11" s="32"/>
      <c r="Z11" s="31"/>
      <c r="AA11" s="32"/>
      <c r="AB11" s="32"/>
      <c r="AC11" s="31"/>
      <c r="AD11" s="31"/>
      <c r="AE11" s="31"/>
      <c r="AF11" s="32"/>
      <c r="AG11" s="32"/>
      <c r="AH11" s="31"/>
      <c r="AI11" s="32"/>
      <c r="AJ11" s="32"/>
      <c r="AK11" s="31"/>
      <c r="AL11" s="31"/>
      <c r="AM11" s="31"/>
      <c r="AN11" s="32"/>
      <c r="AO11" s="32"/>
      <c r="AP11" s="31"/>
      <c r="AQ11" s="32"/>
      <c r="AR11" s="32"/>
      <c r="AS11" s="31"/>
      <c r="AT11" s="31"/>
      <c r="AU11" s="31"/>
      <c r="AV11" s="32"/>
      <c r="AW11" s="32"/>
      <c r="AX11" s="31"/>
      <c r="AY11" s="32"/>
      <c r="AZ11" s="32"/>
      <c r="BA11" s="31"/>
      <c r="BB11" s="31"/>
      <c r="BC11" s="31"/>
      <c r="BD11" s="32"/>
      <c r="BE11" s="32"/>
      <c r="BF11" s="31"/>
      <c r="BG11" s="31"/>
      <c r="BH11" s="32"/>
      <c r="BI11" s="31"/>
      <c r="BJ11" s="31"/>
      <c r="BK11" s="31"/>
      <c r="BL11" s="31"/>
      <c r="BM11" s="31"/>
      <c r="BN11" s="31"/>
      <c r="BO11" s="31"/>
      <c r="BP11" s="32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</row>
    <row r="12" customFormat="1" ht="17.25" spans="1:266">
      <c r="A12" s="32">
        <f>40000000+INDEX(编号表!$B:$B,MATCH(B12,编号表!$A:$A,0))*10000+C12</f>
        <v>40010010</v>
      </c>
      <c r="B12" s="27" t="s">
        <v>435</v>
      </c>
      <c r="C12" s="32">
        <v>10</v>
      </c>
      <c r="D12" s="32" t="s">
        <v>446</v>
      </c>
      <c r="E12" s="32" t="s">
        <v>437</v>
      </c>
      <c r="F12" s="31">
        <f t="shared" si="1"/>
        <v>100000000</v>
      </c>
      <c r="G12" s="31"/>
      <c r="H12" s="32"/>
      <c r="I12" s="32"/>
      <c r="J12" s="32">
        <f t="shared" si="0"/>
        <v>1</v>
      </c>
      <c r="K12" s="32">
        <v>31010001</v>
      </c>
      <c r="L12" s="32" t="str" cm="1">
        <f t="array" ref="L12">INDEX(编号表!$E:$E,MATCH(K12,编号表!$D:$D,0))</f>
        <v>一小袋金币</v>
      </c>
      <c r="M12" s="31"/>
      <c r="N12" s="31"/>
      <c r="O12" s="31"/>
      <c r="P12" s="32">
        <v>100000000</v>
      </c>
      <c r="Q12" s="32">
        <v>10</v>
      </c>
      <c r="R12" s="31"/>
      <c r="S12" s="32"/>
      <c r="T12" s="32"/>
      <c r="U12" s="31"/>
      <c r="V12" s="31"/>
      <c r="W12" s="31"/>
      <c r="X12" s="32"/>
      <c r="Y12" s="32"/>
      <c r="Z12" s="31"/>
      <c r="AA12" s="32"/>
      <c r="AB12" s="32"/>
      <c r="AC12" s="31"/>
      <c r="AD12" s="31"/>
      <c r="AE12" s="31"/>
      <c r="AF12" s="32"/>
      <c r="AG12" s="32"/>
      <c r="AH12" s="31"/>
      <c r="AI12" s="32"/>
      <c r="AJ12" s="32"/>
      <c r="AK12" s="31"/>
      <c r="AL12" s="31"/>
      <c r="AM12" s="31"/>
      <c r="AN12" s="32"/>
      <c r="AO12" s="32"/>
      <c r="AP12" s="31"/>
      <c r="AQ12" s="32"/>
      <c r="AR12" s="32"/>
      <c r="AS12" s="31"/>
      <c r="AT12" s="31"/>
      <c r="AU12" s="31"/>
      <c r="AV12" s="32"/>
      <c r="AW12" s="32"/>
      <c r="AX12" s="31"/>
      <c r="AY12" s="32"/>
      <c r="AZ12" s="32"/>
      <c r="BA12" s="31"/>
      <c r="BB12" s="31"/>
      <c r="BC12" s="31"/>
      <c r="BD12" s="32"/>
      <c r="BE12" s="32"/>
      <c r="BF12" s="31"/>
      <c r="BG12" s="31"/>
      <c r="BH12" s="32"/>
      <c r="BI12" s="31"/>
      <c r="BJ12" s="31"/>
      <c r="BK12" s="31"/>
      <c r="BL12" s="31"/>
      <c r="BM12" s="31"/>
      <c r="BN12" s="31"/>
      <c r="BO12" s="31"/>
      <c r="BP12" s="32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</row>
    <row r="13" customFormat="1" ht="17.25" spans="1:266">
      <c r="A13" s="32">
        <f>40000000+INDEX(编号表!$B:$B,MATCH(B13,编号表!$A:$A,0))*10000+C13</f>
        <v>40010011</v>
      </c>
      <c r="B13" s="27" t="s">
        <v>435</v>
      </c>
      <c r="C13" s="32">
        <v>11</v>
      </c>
      <c r="D13" s="32" t="s">
        <v>447</v>
      </c>
      <c r="E13" s="32" t="s">
        <v>437</v>
      </c>
      <c r="F13" s="31">
        <f t="shared" si="1"/>
        <v>100000000</v>
      </c>
      <c r="G13" s="31"/>
      <c r="H13" s="32"/>
      <c r="I13" s="32"/>
      <c r="J13" s="32">
        <f t="shared" si="0"/>
        <v>1</v>
      </c>
      <c r="K13" s="32">
        <v>31010001</v>
      </c>
      <c r="L13" s="32" t="str" cm="1">
        <f t="array" ref="L13">INDEX(编号表!$E:$E,MATCH(K13,编号表!$D:$D,0))</f>
        <v>一小袋金币</v>
      </c>
      <c r="M13" s="31"/>
      <c r="N13" s="31"/>
      <c r="O13" s="31"/>
      <c r="P13" s="32">
        <v>100000000</v>
      </c>
      <c r="Q13" s="32">
        <v>11</v>
      </c>
      <c r="R13" s="31"/>
      <c r="S13" s="32"/>
      <c r="T13" s="32"/>
      <c r="U13" s="31"/>
      <c r="V13" s="31"/>
      <c r="W13" s="31"/>
      <c r="X13" s="32"/>
      <c r="Y13" s="32"/>
      <c r="Z13" s="31"/>
      <c r="AA13" s="32"/>
      <c r="AB13" s="32"/>
      <c r="AC13" s="31"/>
      <c r="AD13" s="31"/>
      <c r="AE13" s="31"/>
      <c r="AF13" s="32"/>
      <c r="AG13" s="32"/>
      <c r="AH13" s="31"/>
      <c r="AI13" s="32"/>
      <c r="AJ13" s="32"/>
      <c r="AK13" s="31"/>
      <c r="AL13" s="31"/>
      <c r="AM13" s="31"/>
      <c r="AN13" s="32"/>
      <c r="AO13" s="32"/>
      <c r="AP13" s="31"/>
      <c r="AQ13" s="32"/>
      <c r="AR13" s="32"/>
      <c r="AS13" s="31"/>
      <c r="AT13" s="31"/>
      <c r="AU13" s="31"/>
      <c r="AV13" s="32"/>
      <c r="AW13" s="32"/>
      <c r="AX13" s="31"/>
      <c r="AY13" s="32"/>
      <c r="AZ13" s="32"/>
      <c r="BA13" s="31"/>
      <c r="BB13" s="31"/>
      <c r="BC13" s="31"/>
      <c r="BD13" s="32"/>
      <c r="BE13" s="32"/>
      <c r="BF13" s="31"/>
      <c r="BG13" s="31"/>
      <c r="BH13" s="32"/>
      <c r="BI13" s="31"/>
      <c r="BJ13" s="31"/>
      <c r="BK13" s="31"/>
      <c r="BL13" s="31"/>
      <c r="BM13" s="31"/>
      <c r="BN13" s="31"/>
      <c r="BO13" s="31"/>
      <c r="BP13" s="32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</row>
    <row r="14" customFormat="1" ht="17.25" spans="1:266">
      <c r="A14" s="32">
        <f>40000000+INDEX(编号表!$B:$B,MATCH(B14,编号表!$A:$A,0))*10000+C14</f>
        <v>40010012</v>
      </c>
      <c r="B14" s="27" t="s">
        <v>435</v>
      </c>
      <c r="C14" s="32">
        <v>12</v>
      </c>
      <c r="D14" s="32" t="s">
        <v>448</v>
      </c>
      <c r="E14" s="32" t="s">
        <v>437</v>
      </c>
      <c r="F14" s="31">
        <f t="shared" si="1"/>
        <v>100000000</v>
      </c>
      <c r="G14" s="31"/>
      <c r="H14" s="32"/>
      <c r="I14" s="32"/>
      <c r="J14" s="32">
        <f t="shared" si="0"/>
        <v>1</v>
      </c>
      <c r="K14" s="32">
        <v>31010001</v>
      </c>
      <c r="L14" s="32" t="str" cm="1">
        <f t="array" ref="L14">INDEX(编号表!$E:$E,MATCH(K14,编号表!$D:$D,0))</f>
        <v>一小袋金币</v>
      </c>
      <c r="M14" s="31"/>
      <c r="N14" s="31"/>
      <c r="O14" s="31"/>
      <c r="P14" s="32">
        <v>100000000</v>
      </c>
      <c r="Q14" s="32">
        <v>12</v>
      </c>
      <c r="R14" s="31"/>
      <c r="S14" s="32"/>
      <c r="T14" s="32"/>
      <c r="U14" s="31"/>
      <c r="V14" s="31"/>
      <c r="W14" s="31"/>
      <c r="X14" s="32"/>
      <c r="Y14" s="32"/>
      <c r="Z14" s="31"/>
      <c r="AA14" s="32"/>
      <c r="AB14" s="32"/>
      <c r="AC14" s="31"/>
      <c r="AD14" s="31"/>
      <c r="AE14" s="31"/>
      <c r="AF14" s="32"/>
      <c r="AG14" s="32"/>
      <c r="AH14" s="31"/>
      <c r="AI14" s="32"/>
      <c r="AJ14" s="32"/>
      <c r="AK14" s="31"/>
      <c r="AL14" s="31"/>
      <c r="AM14" s="31"/>
      <c r="AN14" s="32"/>
      <c r="AO14" s="32"/>
      <c r="AP14" s="31"/>
      <c r="AQ14" s="32"/>
      <c r="AR14" s="32"/>
      <c r="AS14" s="31"/>
      <c r="AT14" s="31"/>
      <c r="AU14" s="31"/>
      <c r="AV14" s="32"/>
      <c r="AW14" s="32"/>
      <c r="AX14" s="31"/>
      <c r="AY14" s="32"/>
      <c r="AZ14" s="32"/>
      <c r="BA14" s="31"/>
      <c r="BB14" s="31"/>
      <c r="BC14" s="31"/>
      <c r="BD14" s="32"/>
      <c r="BE14" s="32"/>
      <c r="BF14" s="31"/>
      <c r="BG14" s="31"/>
      <c r="BH14" s="32"/>
      <c r="BI14" s="31"/>
      <c r="BJ14" s="31"/>
      <c r="BK14" s="31"/>
      <c r="BL14" s="31"/>
      <c r="BM14" s="31"/>
      <c r="BN14" s="31"/>
      <c r="BO14" s="31"/>
      <c r="BP14" s="32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</row>
    <row r="15" customFormat="1" ht="17.25" spans="1:266">
      <c r="A15" s="32">
        <f>40000000+INDEX(编号表!$B:$B,MATCH(B15,编号表!$A:$A,0))*10000+C15</f>
        <v>40010013</v>
      </c>
      <c r="B15" s="27" t="s">
        <v>435</v>
      </c>
      <c r="C15" s="32">
        <v>13</v>
      </c>
      <c r="D15" s="32" t="s">
        <v>449</v>
      </c>
      <c r="E15" s="32" t="s">
        <v>437</v>
      </c>
      <c r="F15" s="31">
        <f t="shared" si="1"/>
        <v>100000000</v>
      </c>
      <c r="G15" s="31"/>
      <c r="H15" s="32"/>
      <c r="I15" s="32"/>
      <c r="J15" s="32">
        <f t="shared" si="0"/>
        <v>1</v>
      </c>
      <c r="K15" s="32">
        <v>31010001</v>
      </c>
      <c r="L15" s="32" t="str" cm="1">
        <f t="array" ref="L15">INDEX(编号表!$E:$E,MATCH(K15,编号表!$D:$D,0))</f>
        <v>一小袋金币</v>
      </c>
      <c r="M15" s="31"/>
      <c r="N15" s="31"/>
      <c r="O15" s="31"/>
      <c r="P15" s="32">
        <v>100000000</v>
      </c>
      <c r="Q15" s="32">
        <v>13</v>
      </c>
      <c r="R15" s="31"/>
      <c r="S15" s="32"/>
      <c r="T15" s="32"/>
      <c r="U15" s="31"/>
      <c r="V15" s="31"/>
      <c r="W15" s="31"/>
      <c r="X15" s="32"/>
      <c r="Y15" s="32"/>
      <c r="Z15" s="31"/>
      <c r="AA15" s="32"/>
      <c r="AB15" s="32"/>
      <c r="AC15" s="31"/>
      <c r="AD15" s="31"/>
      <c r="AE15" s="31"/>
      <c r="AF15" s="32"/>
      <c r="AG15" s="32"/>
      <c r="AH15" s="31"/>
      <c r="AI15" s="32"/>
      <c r="AJ15" s="32"/>
      <c r="AK15" s="31"/>
      <c r="AL15" s="31"/>
      <c r="AM15" s="31"/>
      <c r="AN15" s="32"/>
      <c r="AO15" s="32"/>
      <c r="AP15" s="31"/>
      <c r="AQ15" s="32"/>
      <c r="AR15" s="32"/>
      <c r="AS15" s="31"/>
      <c r="AT15" s="31"/>
      <c r="AU15" s="31"/>
      <c r="AV15" s="32"/>
      <c r="AW15" s="32"/>
      <c r="AX15" s="31"/>
      <c r="AY15" s="32"/>
      <c r="AZ15" s="32"/>
      <c r="BA15" s="31"/>
      <c r="BB15" s="31"/>
      <c r="BC15" s="31"/>
      <c r="BD15" s="32"/>
      <c r="BE15" s="32"/>
      <c r="BF15" s="31"/>
      <c r="BG15" s="31"/>
      <c r="BH15" s="32"/>
      <c r="BI15" s="31"/>
      <c r="BJ15" s="31"/>
      <c r="BK15" s="31"/>
      <c r="BL15" s="31"/>
      <c r="BM15" s="31"/>
      <c r="BN15" s="31"/>
      <c r="BO15" s="31"/>
      <c r="BP15" s="32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</row>
    <row r="16" customFormat="1" ht="17.25" spans="1:266">
      <c r="A16" s="32">
        <f>40000000+INDEX(编号表!$B:$B,MATCH(B16,编号表!$A:$A,0))*10000+C16</f>
        <v>40010014</v>
      </c>
      <c r="B16" s="27" t="s">
        <v>435</v>
      </c>
      <c r="C16" s="32">
        <v>14</v>
      </c>
      <c r="D16" s="32" t="s">
        <v>450</v>
      </c>
      <c r="E16" s="32" t="s">
        <v>437</v>
      </c>
      <c r="F16" s="31">
        <f t="shared" si="1"/>
        <v>100000000</v>
      </c>
      <c r="G16" s="31"/>
      <c r="H16" s="32"/>
      <c r="I16" s="32"/>
      <c r="J16" s="32">
        <f t="shared" si="0"/>
        <v>1</v>
      </c>
      <c r="K16" s="32">
        <v>31010001</v>
      </c>
      <c r="L16" s="32" t="str" cm="1">
        <f t="array" ref="L16">INDEX(编号表!$E:$E,MATCH(K16,编号表!$D:$D,0))</f>
        <v>一小袋金币</v>
      </c>
      <c r="M16" s="31"/>
      <c r="N16" s="31"/>
      <c r="O16" s="31"/>
      <c r="P16" s="32">
        <v>100000000</v>
      </c>
      <c r="Q16" s="32">
        <v>14</v>
      </c>
      <c r="R16" s="31"/>
      <c r="S16" s="32"/>
      <c r="T16" s="32"/>
      <c r="U16" s="31"/>
      <c r="V16" s="31"/>
      <c r="W16" s="31"/>
      <c r="X16" s="32"/>
      <c r="Y16" s="32"/>
      <c r="Z16" s="31"/>
      <c r="AA16" s="32"/>
      <c r="AB16" s="32"/>
      <c r="AC16" s="31"/>
      <c r="AD16" s="31"/>
      <c r="AE16" s="31"/>
      <c r="AF16" s="32"/>
      <c r="AG16" s="32"/>
      <c r="AH16" s="31"/>
      <c r="AI16" s="32"/>
      <c r="AJ16" s="32"/>
      <c r="AK16" s="31"/>
      <c r="AL16" s="31"/>
      <c r="AM16" s="31"/>
      <c r="AN16" s="32"/>
      <c r="AO16" s="32"/>
      <c r="AP16" s="31"/>
      <c r="AQ16" s="32"/>
      <c r="AR16" s="32"/>
      <c r="AS16" s="31"/>
      <c r="AT16" s="31"/>
      <c r="AU16" s="31"/>
      <c r="AV16" s="32"/>
      <c r="AW16" s="32"/>
      <c r="AX16" s="31"/>
      <c r="AY16" s="32"/>
      <c r="AZ16" s="32"/>
      <c r="BA16" s="31"/>
      <c r="BB16" s="31"/>
      <c r="BC16" s="31"/>
      <c r="BD16" s="32"/>
      <c r="BE16" s="32"/>
      <c r="BF16" s="31"/>
      <c r="BG16" s="31"/>
      <c r="BH16" s="32"/>
      <c r="BI16" s="31"/>
      <c r="BJ16" s="31"/>
      <c r="BK16" s="31"/>
      <c r="BL16" s="31"/>
      <c r="BM16" s="31"/>
      <c r="BN16" s="31"/>
      <c r="BO16" s="31"/>
      <c r="BP16" s="32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</row>
    <row r="17" customFormat="1" ht="17.25" spans="1:266">
      <c r="A17" s="32">
        <f>40000000+INDEX(编号表!$B:$B,MATCH(B17,编号表!$A:$A,0))*10000+C17</f>
        <v>40010015</v>
      </c>
      <c r="B17" s="27" t="s">
        <v>435</v>
      </c>
      <c r="C17" s="32">
        <v>15</v>
      </c>
      <c r="D17" s="32" t="s">
        <v>451</v>
      </c>
      <c r="E17" s="32" t="s">
        <v>437</v>
      </c>
      <c r="F17" s="31">
        <f t="shared" si="1"/>
        <v>100000000</v>
      </c>
      <c r="G17" s="31"/>
      <c r="H17" s="32"/>
      <c r="I17" s="32"/>
      <c r="J17" s="32">
        <f t="shared" si="0"/>
        <v>1</v>
      </c>
      <c r="K17" s="32">
        <v>31010001</v>
      </c>
      <c r="L17" s="32" t="str" cm="1">
        <f t="array" ref="L17">INDEX(编号表!$E:$E,MATCH(K17,编号表!$D:$D,0))</f>
        <v>一小袋金币</v>
      </c>
      <c r="M17" s="31"/>
      <c r="N17" s="31"/>
      <c r="O17" s="31"/>
      <c r="P17" s="32">
        <v>100000000</v>
      </c>
      <c r="Q17" s="32">
        <v>15</v>
      </c>
      <c r="R17" s="31"/>
      <c r="S17" s="32"/>
      <c r="T17" s="32"/>
      <c r="U17" s="31"/>
      <c r="V17" s="31"/>
      <c r="W17" s="31"/>
      <c r="X17" s="32"/>
      <c r="Y17" s="32"/>
      <c r="Z17" s="31"/>
      <c r="AA17" s="32"/>
      <c r="AB17" s="32"/>
      <c r="AC17" s="31"/>
      <c r="AD17" s="31"/>
      <c r="AE17" s="31"/>
      <c r="AF17" s="32"/>
      <c r="AG17" s="32"/>
      <c r="AH17" s="31"/>
      <c r="AI17" s="32"/>
      <c r="AJ17" s="32"/>
      <c r="AK17" s="31"/>
      <c r="AL17" s="31"/>
      <c r="AM17" s="31"/>
      <c r="AN17" s="32"/>
      <c r="AO17" s="32"/>
      <c r="AP17" s="31"/>
      <c r="AQ17" s="32"/>
      <c r="AR17" s="32"/>
      <c r="AS17" s="31"/>
      <c r="AT17" s="31"/>
      <c r="AU17" s="31"/>
      <c r="AV17" s="32"/>
      <c r="AW17" s="32"/>
      <c r="AX17" s="31"/>
      <c r="AY17" s="32"/>
      <c r="AZ17" s="32"/>
      <c r="BA17" s="31"/>
      <c r="BB17" s="31"/>
      <c r="BC17" s="31"/>
      <c r="BD17" s="32"/>
      <c r="BE17" s="32"/>
      <c r="BF17" s="31"/>
      <c r="BG17" s="31"/>
      <c r="BH17" s="32"/>
      <c r="BI17" s="31"/>
      <c r="BJ17" s="31"/>
      <c r="BK17" s="31"/>
      <c r="BL17" s="31"/>
      <c r="BM17" s="31"/>
      <c r="BN17" s="31"/>
      <c r="BO17" s="31"/>
      <c r="BP17" s="32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</row>
    <row r="18" customFormat="1" ht="17.25" spans="1:266">
      <c r="A18" s="32">
        <f>40000000+INDEX(编号表!$B:$B,MATCH(B18,编号表!$A:$A,0))*10000+C18</f>
        <v>40010016</v>
      </c>
      <c r="B18" s="27" t="s">
        <v>435</v>
      </c>
      <c r="C18" s="32">
        <v>16</v>
      </c>
      <c r="D18" s="32" t="s">
        <v>452</v>
      </c>
      <c r="E18" s="32" t="s">
        <v>437</v>
      </c>
      <c r="F18" s="31">
        <f t="shared" si="1"/>
        <v>100000000</v>
      </c>
      <c r="G18" s="31"/>
      <c r="H18" s="32"/>
      <c r="I18" s="32"/>
      <c r="J18" s="32">
        <f t="shared" si="0"/>
        <v>1</v>
      </c>
      <c r="K18" s="32">
        <v>31010001</v>
      </c>
      <c r="L18" s="32" t="str" cm="1">
        <f t="array" ref="L18">INDEX(编号表!$E:$E,MATCH(K18,编号表!$D:$D,0))</f>
        <v>一小袋金币</v>
      </c>
      <c r="M18" s="31"/>
      <c r="N18" s="31"/>
      <c r="O18" s="31"/>
      <c r="P18" s="32">
        <v>100000000</v>
      </c>
      <c r="Q18" s="32">
        <v>16</v>
      </c>
      <c r="R18" s="31"/>
      <c r="S18" s="32"/>
      <c r="T18" s="32"/>
      <c r="U18" s="31"/>
      <c r="V18" s="31"/>
      <c r="W18" s="31"/>
      <c r="X18" s="32"/>
      <c r="Y18" s="32"/>
      <c r="Z18" s="31"/>
      <c r="AA18" s="32"/>
      <c r="AB18" s="32"/>
      <c r="AC18" s="31"/>
      <c r="AD18" s="31"/>
      <c r="AE18" s="31"/>
      <c r="AF18" s="32"/>
      <c r="AG18" s="32"/>
      <c r="AH18" s="31"/>
      <c r="AI18" s="32"/>
      <c r="AJ18" s="32"/>
      <c r="AK18" s="31"/>
      <c r="AL18" s="31"/>
      <c r="AM18" s="31"/>
      <c r="AN18" s="32"/>
      <c r="AO18" s="32"/>
      <c r="AP18" s="31"/>
      <c r="AQ18" s="32"/>
      <c r="AR18" s="32"/>
      <c r="AS18" s="31"/>
      <c r="AT18" s="31"/>
      <c r="AU18" s="31"/>
      <c r="AV18" s="32"/>
      <c r="AW18" s="32"/>
      <c r="AX18" s="31"/>
      <c r="AY18" s="32"/>
      <c r="AZ18" s="32"/>
      <c r="BA18" s="31"/>
      <c r="BB18" s="31"/>
      <c r="BC18" s="31"/>
      <c r="BD18" s="32"/>
      <c r="BE18" s="32"/>
      <c r="BF18" s="31"/>
      <c r="BG18" s="31"/>
      <c r="BH18" s="32"/>
      <c r="BI18" s="31"/>
      <c r="BJ18" s="31"/>
      <c r="BK18" s="31"/>
      <c r="BL18" s="31"/>
      <c r="BM18" s="31"/>
      <c r="BN18" s="31"/>
      <c r="BO18" s="31"/>
      <c r="BP18" s="32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</row>
    <row r="19" customFormat="1" ht="17.25" spans="1:266">
      <c r="A19" s="32">
        <f>40000000+INDEX(编号表!$B:$B,MATCH(B19,编号表!$A:$A,0))*10000+C19</f>
        <v>40010017</v>
      </c>
      <c r="B19" s="27" t="s">
        <v>435</v>
      </c>
      <c r="C19" s="32">
        <v>17</v>
      </c>
      <c r="D19" s="32" t="s">
        <v>453</v>
      </c>
      <c r="E19" s="32" t="s">
        <v>437</v>
      </c>
      <c r="F19" s="31">
        <f t="shared" si="1"/>
        <v>100000000</v>
      </c>
      <c r="G19" s="31"/>
      <c r="H19" s="32"/>
      <c r="I19" s="32"/>
      <c r="J19" s="32">
        <f t="shared" si="0"/>
        <v>1</v>
      </c>
      <c r="K19" s="32">
        <v>31010001</v>
      </c>
      <c r="L19" s="32" t="str" cm="1">
        <f t="array" ref="L19">INDEX(编号表!$E:$E,MATCH(K19,编号表!$D:$D,0))</f>
        <v>一小袋金币</v>
      </c>
      <c r="M19" s="31"/>
      <c r="N19" s="31"/>
      <c r="O19" s="31"/>
      <c r="P19" s="32">
        <v>100000000</v>
      </c>
      <c r="Q19" s="32">
        <v>17</v>
      </c>
      <c r="R19" s="31"/>
      <c r="S19" s="32"/>
      <c r="T19" s="32"/>
      <c r="U19" s="31"/>
      <c r="V19" s="31"/>
      <c r="W19" s="31"/>
      <c r="X19" s="32"/>
      <c r="Y19" s="32"/>
      <c r="Z19" s="31"/>
      <c r="AA19" s="32"/>
      <c r="AB19" s="32"/>
      <c r="AC19" s="31"/>
      <c r="AD19" s="31"/>
      <c r="AE19" s="31"/>
      <c r="AF19" s="32"/>
      <c r="AG19" s="32"/>
      <c r="AH19" s="31"/>
      <c r="AI19" s="32"/>
      <c r="AJ19" s="32"/>
      <c r="AK19" s="31"/>
      <c r="AL19" s="31"/>
      <c r="AM19" s="31"/>
      <c r="AN19" s="32"/>
      <c r="AO19" s="32"/>
      <c r="AP19" s="31"/>
      <c r="AQ19" s="32"/>
      <c r="AR19" s="32"/>
      <c r="AS19" s="31"/>
      <c r="AT19" s="31"/>
      <c r="AU19" s="31"/>
      <c r="AV19" s="32"/>
      <c r="AW19" s="32"/>
      <c r="AX19" s="31"/>
      <c r="AY19" s="32"/>
      <c r="AZ19" s="32"/>
      <c r="BA19" s="31"/>
      <c r="BB19" s="31"/>
      <c r="BC19" s="31"/>
      <c r="BD19" s="32"/>
      <c r="BE19" s="32"/>
      <c r="BF19" s="31"/>
      <c r="BG19" s="31"/>
      <c r="BH19" s="32"/>
      <c r="BI19" s="31"/>
      <c r="BJ19" s="31"/>
      <c r="BK19" s="31"/>
      <c r="BL19" s="31"/>
      <c r="BM19" s="31"/>
      <c r="BN19" s="31"/>
      <c r="BO19" s="31"/>
      <c r="BP19" s="32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  <c r="HG19" s="31"/>
      <c r="HH19" s="31"/>
      <c r="HI19" s="31"/>
      <c r="HJ19" s="31"/>
      <c r="HK19" s="31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1"/>
      <c r="HX19" s="31"/>
      <c r="HY19" s="31"/>
      <c r="HZ19" s="31"/>
      <c r="IA19" s="31"/>
      <c r="IB19" s="31"/>
      <c r="IC19" s="31"/>
      <c r="ID19" s="31"/>
      <c r="IE19" s="31"/>
      <c r="IF19" s="31"/>
      <c r="IG19" s="31"/>
      <c r="IH19" s="31"/>
      <c r="II19" s="31"/>
      <c r="IJ19" s="31"/>
      <c r="IK19" s="31"/>
      <c r="IL19" s="31"/>
      <c r="IM19" s="31"/>
      <c r="IN19" s="31"/>
      <c r="IO19" s="31"/>
      <c r="IP19" s="31"/>
      <c r="IQ19" s="31"/>
      <c r="IR19" s="31"/>
      <c r="IS19" s="31"/>
      <c r="IT19" s="31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</row>
    <row r="20" customFormat="1" ht="17.25" spans="1:266">
      <c r="A20" s="32">
        <f>40000000+INDEX(编号表!$B:$B,MATCH(B20,编号表!$A:$A,0))*10000+C20</f>
        <v>40010018</v>
      </c>
      <c r="B20" s="27" t="s">
        <v>435</v>
      </c>
      <c r="C20" s="32">
        <v>18</v>
      </c>
      <c r="D20" s="32" t="s">
        <v>454</v>
      </c>
      <c r="E20" s="32" t="s">
        <v>437</v>
      </c>
      <c r="F20" s="31">
        <f t="shared" si="1"/>
        <v>100000000</v>
      </c>
      <c r="G20" s="31"/>
      <c r="H20" s="32"/>
      <c r="I20" s="32"/>
      <c r="J20" s="32">
        <f t="shared" ref="J20:J36" si="2">COUNT(P20,X20,AF20,AN20,AV20,BD20,BL20,BT20,CB20,CJ20,CR20,CZ20,DH20,DP20,DX20,EF20,EN20,EV20,FD20,FL20,FT20,GB20,GJ20,GR20,GZ20,HH20,HP20,HX20,IF20,IN20,IV20,JD20)</f>
        <v>1</v>
      </c>
      <c r="K20" s="32">
        <v>31010001</v>
      </c>
      <c r="L20" s="32" t="str" cm="1">
        <f t="array" ref="L20">INDEX(编号表!$E:$E,MATCH(K20,编号表!$D:$D,0))</f>
        <v>一小袋金币</v>
      </c>
      <c r="M20" s="31"/>
      <c r="N20" s="31"/>
      <c r="O20" s="31"/>
      <c r="P20" s="32">
        <v>100000000</v>
      </c>
      <c r="Q20" s="32">
        <v>3</v>
      </c>
      <c r="R20" s="31"/>
      <c r="S20" s="32"/>
      <c r="T20" s="32"/>
      <c r="U20" s="31"/>
      <c r="V20" s="31"/>
      <c r="W20" s="31"/>
      <c r="X20" s="32"/>
      <c r="Y20" s="32"/>
      <c r="Z20" s="31"/>
      <c r="AA20" s="32"/>
      <c r="AB20" s="32"/>
      <c r="AC20" s="31"/>
      <c r="AD20" s="31"/>
      <c r="AE20" s="31"/>
      <c r="AF20" s="32"/>
      <c r="AG20" s="32"/>
      <c r="AH20" s="31"/>
      <c r="AI20" s="32"/>
      <c r="AJ20" s="32"/>
      <c r="AK20" s="31"/>
      <c r="AL20" s="31"/>
      <c r="AM20" s="31"/>
      <c r="AN20" s="32"/>
      <c r="AO20" s="32"/>
      <c r="AP20" s="31"/>
      <c r="AQ20" s="32"/>
      <c r="AR20" s="32"/>
      <c r="AS20" s="31"/>
      <c r="AT20" s="31"/>
      <c r="AU20" s="31"/>
      <c r="AV20" s="32"/>
      <c r="AW20" s="32"/>
      <c r="AX20" s="31"/>
      <c r="AY20" s="32"/>
      <c r="AZ20" s="32"/>
      <c r="BA20" s="31"/>
      <c r="BB20" s="31"/>
      <c r="BC20" s="31"/>
      <c r="BD20" s="32"/>
      <c r="BE20" s="32"/>
      <c r="BF20" s="31"/>
      <c r="BG20" s="31"/>
      <c r="BH20" s="32"/>
      <c r="BI20" s="31"/>
      <c r="BJ20" s="31"/>
      <c r="BK20" s="31"/>
      <c r="BL20" s="31"/>
      <c r="BM20" s="31"/>
      <c r="BN20" s="31"/>
      <c r="BO20" s="31"/>
      <c r="BP20" s="32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  <c r="IN20" s="31"/>
      <c r="IO20" s="31"/>
      <c r="IP20" s="31"/>
      <c r="IQ20" s="31"/>
      <c r="IR20" s="31"/>
      <c r="IS20" s="31"/>
      <c r="IT20" s="31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</row>
    <row r="21" customFormat="1" ht="17.25" spans="1:266">
      <c r="A21" s="32">
        <f>40000000+INDEX(编号表!$B:$B,MATCH(B21,编号表!$A:$A,0))*10000+C21</f>
        <v>40010019</v>
      </c>
      <c r="B21" s="27" t="s">
        <v>435</v>
      </c>
      <c r="C21" s="32">
        <v>19</v>
      </c>
      <c r="D21" s="32" t="s">
        <v>455</v>
      </c>
      <c r="E21" s="32" t="s">
        <v>437</v>
      </c>
      <c r="F21" s="31">
        <f t="shared" si="1"/>
        <v>100000000</v>
      </c>
      <c r="G21" s="31"/>
      <c r="H21" s="32"/>
      <c r="I21" s="32"/>
      <c r="J21" s="32">
        <f t="shared" si="2"/>
        <v>1</v>
      </c>
      <c r="K21" s="32">
        <v>31010001</v>
      </c>
      <c r="L21" s="32" t="str" cm="1">
        <f t="array" ref="L21">INDEX(编号表!$E:$E,MATCH(K21,编号表!$D:$D,0))</f>
        <v>一小袋金币</v>
      </c>
      <c r="M21" s="31"/>
      <c r="N21" s="31"/>
      <c r="O21" s="31"/>
      <c r="P21" s="32">
        <v>100000000</v>
      </c>
      <c r="Q21" s="32">
        <v>6</v>
      </c>
      <c r="R21" s="31"/>
      <c r="S21" s="32"/>
      <c r="T21" s="32"/>
      <c r="U21" s="31"/>
      <c r="V21" s="31"/>
      <c r="W21" s="31"/>
      <c r="X21" s="32"/>
      <c r="Y21" s="32"/>
      <c r="Z21" s="31"/>
      <c r="AA21" s="32"/>
      <c r="AB21" s="32"/>
      <c r="AC21" s="31"/>
      <c r="AD21" s="31"/>
      <c r="AE21" s="31"/>
      <c r="AF21" s="32"/>
      <c r="AG21" s="32"/>
      <c r="AH21" s="31"/>
      <c r="AI21" s="32"/>
      <c r="AJ21" s="32"/>
      <c r="AK21" s="31"/>
      <c r="AL21" s="31"/>
      <c r="AM21" s="31"/>
      <c r="AN21" s="32"/>
      <c r="AO21" s="32"/>
      <c r="AP21" s="31"/>
      <c r="AQ21" s="32"/>
      <c r="AR21" s="32"/>
      <c r="AS21" s="31"/>
      <c r="AT21" s="31"/>
      <c r="AU21" s="31"/>
      <c r="AV21" s="32"/>
      <c r="AW21" s="32"/>
      <c r="AX21" s="31"/>
      <c r="AY21" s="32"/>
      <c r="AZ21" s="32"/>
      <c r="BA21" s="31"/>
      <c r="BB21" s="31"/>
      <c r="BC21" s="31"/>
      <c r="BD21" s="32"/>
      <c r="BE21" s="32"/>
      <c r="BF21" s="31"/>
      <c r="BG21" s="31"/>
      <c r="BH21" s="32"/>
      <c r="BI21" s="31"/>
      <c r="BJ21" s="31"/>
      <c r="BK21" s="31"/>
      <c r="BL21" s="31"/>
      <c r="BM21" s="31"/>
      <c r="BN21" s="31"/>
      <c r="BO21" s="31"/>
      <c r="BP21" s="32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  <c r="IN21" s="31"/>
      <c r="IO21" s="31"/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</row>
    <row r="22" customFormat="1" ht="17.25" spans="1:266">
      <c r="A22" s="32">
        <f>40000000+INDEX(编号表!$B:$B,MATCH(B22,编号表!$A:$A,0))*10000+C22</f>
        <v>40010020</v>
      </c>
      <c r="B22" s="27" t="s">
        <v>435</v>
      </c>
      <c r="C22" s="32">
        <v>20</v>
      </c>
      <c r="D22" s="32" t="s">
        <v>456</v>
      </c>
      <c r="E22" s="32" t="s">
        <v>437</v>
      </c>
      <c r="F22" s="31">
        <f t="shared" si="1"/>
        <v>100000000</v>
      </c>
      <c r="G22" s="31"/>
      <c r="H22" s="32"/>
      <c r="I22" s="32"/>
      <c r="J22" s="32">
        <f t="shared" si="2"/>
        <v>1</v>
      </c>
      <c r="K22" s="32">
        <v>31010001</v>
      </c>
      <c r="L22" s="32" t="str" cm="1">
        <f t="array" ref="L22">INDEX(编号表!$E:$E,MATCH(K22,编号表!$D:$D,0))</f>
        <v>一小袋金币</v>
      </c>
      <c r="M22" s="31"/>
      <c r="N22" s="31"/>
      <c r="O22" s="31"/>
      <c r="P22" s="32">
        <v>100000000</v>
      </c>
      <c r="Q22" s="32">
        <v>9</v>
      </c>
      <c r="R22" s="31"/>
      <c r="S22" s="32"/>
      <c r="T22" s="32"/>
      <c r="U22" s="31"/>
      <c r="V22" s="31"/>
      <c r="W22" s="31"/>
      <c r="X22" s="32"/>
      <c r="Y22" s="32"/>
      <c r="Z22" s="31"/>
      <c r="AA22" s="32"/>
      <c r="AB22" s="32"/>
      <c r="AC22" s="31"/>
      <c r="AD22" s="31"/>
      <c r="AE22" s="31"/>
      <c r="AF22" s="32"/>
      <c r="AG22" s="32"/>
      <c r="AH22" s="31"/>
      <c r="AI22" s="32"/>
      <c r="AJ22" s="32"/>
      <c r="AK22" s="31"/>
      <c r="AL22" s="31"/>
      <c r="AM22" s="31"/>
      <c r="AN22" s="32"/>
      <c r="AO22" s="32"/>
      <c r="AP22" s="31"/>
      <c r="AQ22" s="32"/>
      <c r="AR22" s="32"/>
      <c r="AS22" s="31"/>
      <c r="AT22" s="31"/>
      <c r="AU22" s="31"/>
      <c r="AV22" s="32"/>
      <c r="AW22" s="32"/>
      <c r="AX22" s="31"/>
      <c r="AY22" s="32"/>
      <c r="AZ22" s="32"/>
      <c r="BA22" s="31"/>
      <c r="BB22" s="31"/>
      <c r="BC22" s="31"/>
      <c r="BD22" s="32"/>
      <c r="BE22" s="32"/>
      <c r="BF22" s="31"/>
      <c r="BG22" s="31"/>
      <c r="BH22" s="32"/>
      <c r="BI22" s="31"/>
      <c r="BJ22" s="31"/>
      <c r="BK22" s="31"/>
      <c r="BL22" s="31"/>
      <c r="BM22" s="31"/>
      <c r="BN22" s="31"/>
      <c r="BO22" s="31"/>
      <c r="BP22" s="32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</row>
    <row r="23" customFormat="1" ht="17.25" spans="1:266">
      <c r="A23" s="32">
        <f>40000000+INDEX(编号表!$B:$B,MATCH(B23,编号表!$A:$A,0))*10000+C23</f>
        <v>40010021</v>
      </c>
      <c r="B23" s="27" t="s">
        <v>435</v>
      </c>
      <c r="C23" s="32">
        <v>21</v>
      </c>
      <c r="D23" s="32" t="s">
        <v>457</v>
      </c>
      <c r="E23" s="32" t="s">
        <v>437</v>
      </c>
      <c r="F23" s="31">
        <f t="shared" si="1"/>
        <v>100000000</v>
      </c>
      <c r="G23" s="31"/>
      <c r="H23" s="32"/>
      <c r="I23" s="32"/>
      <c r="J23" s="32">
        <f t="shared" si="2"/>
        <v>1</v>
      </c>
      <c r="K23" s="32">
        <v>31010001</v>
      </c>
      <c r="L23" s="32" t="str" cm="1">
        <f t="array" ref="L23">INDEX(编号表!$E:$E,MATCH(K23,编号表!$D:$D,0))</f>
        <v>一小袋金币</v>
      </c>
      <c r="M23" s="31"/>
      <c r="N23" s="31"/>
      <c r="O23" s="31"/>
      <c r="P23" s="32">
        <v>100000000</v>
      </c>
      <c r="Q23" s="32">
        <v>12</v>
      </c>
      <c r="R23" s="31"/>
      <c r="S23" s="32"/>
      <c r="T23" s="32"/>
      <c r="U23" s="31"/>
      <c r="V23" s="31"/>
      <c r="W23" s="31"/>
      <c r="X23" s="32"/>
      <c r="Y23" s="32"/>
      <c r="Z23" s="31"/>
      <c r="AA23" s="32"/>
      <c r="AB23" s="32"/>
      <c r="AC23" s="31"/>
      <c r="AD23" s="31"/>
      <c r="AE23" s="31"/>
      <c r="AF23" s="32"/>
      <c r="AG23" s="32"/>
      <c r="AH23" s="31"/>
      <c r="AI23" s="32"/>
      <c r="AJ23" s="32"/>
      <c r="AK23" s="31"/>
      <c r="AL23" s="31"/>
      <c r="AM23" s="31"/>
      <c r="AN23" s="32"/>
      <c r="AO23" s="32"/>
      <c r="AP23" s="31"/>
      <c r="AQ23" s="32"/>
      <c r="AR23" s="32"/>
      <c r="AS23" s="31"/>
      <c r="AT23" s="31"/>
      <c r="AU23" s="31"/>
      <c r="AV23" s="32"/>
      <c r="AW23" s="32"/>
      <c r="AX23" s="31"/>
      <c r="AY23" s="32"/>
      <c r="AZ23" s="32"/>
      <c r="BA23" s="31"/>
      <c r="BB23" s="31"/>
      <c r="BC23" s="31"/>
      <c r="BD23" s="32"/>
      <c r="BE23" s="32"/>
      <c r="BF23" s="31"/>
      <c r="BG23" s="31"/>
      <c r="BH23" s="32"/>
      <c r="BI23" s="31"/>
      <c r="BJ23" s="31"/>
      <c r="BK23" s="31"/>
      <c r="BL23" s="31"/>
      <c r="BM23" s="31"/>
      <c r="BN23" s="31"/>
      <c r="BO23" s="31"/>
      <c r="BP23" s="32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</row>
    <row r="24" customFormat="1" ht="17.25" spans="1:266">
      <c r="A24" s="32">
        <f>40000000+INDEX(编号表!$B:$B,MATCH(B24,编号表!$A:$A,0))*10000+C24</f>
        <v>40010022</v>
      </c>
      <c r="B24" s="27" t="s">
        <v>435</v>
      </c>
      <c r="C24" s="32">
        <v>22</v>
      </c>
      <c r="D24" s="32" t="s">
        <v>458</v>
      </c>
      <c r="E24" s="32" t="s">
        <v>437</v>
      </c>
      <c r="F24" s="31">
        <f t="shared" si="1"/>
        <v>100000000</v>
      </c>
      <c r="G24" s="31"/>
      <c r="H24" s="32"/>
      <c r="I24" s="32"/>
      <c r="J24" s="32">
        <f t="shared" si="2"/>
        <v>1</v>
      </c>
      <c r="K24" s="32">
        <v>31010001</v>
      </c>
      <c r="L24" s="32" t="str" cm="1">
        <f t="array" ref="L24">INDEX(编号表!$E:$E,MATCH(K24,编号表!$D:$D,0))</f>
        <v>一小袋金币</v>
      </c>
      <c r="M24" s="31"/>
      <c r="N24" s="31"/>
      <c r="O24" s="31"/>
      <c r="P24" s="32">
        <v>100000000</v>
      </c>
      <c r="Q24" s="32">
        <v>15</v>
      </c>
      <c r="R24" s="31"/>
      <c r="S24" s="32"/>
      <c r="T24" s="32"/>
      <c r="U24" s="31"/>
      <c r="V24" s="31"/>
      <c r="W24" s="31"/>
      <c r="X24" s="32"/>
      <c r="Y24" s="32"/>
      <c r="Z24" s="31"/>
      <c r="AA24" s="32"/>
      <c r="AB24" s="32"/>
      <c r="AC24" s="31"/>
      <c r="AD24" s="31"/>
      <c r="AE24" s="31"/>
      <c r="AF24" s="32"/>
      <c r="AG24" s="32"/>
      <c r="AH24" s="31"/>
      <c r="AI24" s="32"/>
      <c r="AJ24" s="32"/>
      <c r="AK24" s="31"/>
      <c r="AL24" s="31"/>
      <c r="AM24" s="31"/>
      <c r="AN24" s="32"/>
      <c r="AO24" s="32"/>
      <c r="AP24" s="31"/>
      <c r="AQ24" s="32"/>
      <c r="AR24" s="32"/>
      <c r="AS24" s="31"/>
      <c r="AT24" s="31"/>
      <c r="AU24" s="31"/>
      <c r="AV24" s="32"/>
      <c r="AW24" s="32"/>
      <c r="AX24" s="31"/>
      <c r="AY24" s="32"/>
      <c r="AZ24" s="32"/>
      <c r="BA24" s="31"/>
      <c r="BB24" s="31"/>
      <c r="BC24" s="31"/>
      <c r="BD24" s="32"/>
      <c r="BE24" s="32"/>
      <c r="BF24" s="31"/>
      <c r="BG24" s="31"/>
      <c r="BH24" s="32"/>
      <c r="BI24" s="31"/>
      <c r="BJ24" s="31"/>
      <c r="BK24" s="31"/>
      <c r="BL24" s="31"/>
      <c r="BM24" s="31"/>
      <c r="BN24" s="31"/>
      <c r="BO24" s="31"/>
      <c r="BP24" s="32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</row>
    <row r="25" customFormat="1" ht="17.25" spans="1:266">
      <c r="A25" s="32">
        <f>40000000+INDEX(编号表!$B:$B,MATCH(B25,编号表!$A:$A,0))*10000+C25</f>
        <v>40010023</v>
      </c>
      <c r="B25" s="27" t="s">
        <v>435</v>
      </c>
      <c r="C25" s="32">
        <v>23</v>
      </c>
      <c r="D25" s="32" t="s">
        <v>459</v>
      </c>
      <c r="E25" s="32" t="s">
        <v>437</v>
      </c>
      <c r="F25" s="31">
        <f t="shared" si="1"/>
        <v>100000000</v>
      </c>
      <c r="G25" s="31"/>
      <c r="H25" s="32"/>
      <c r="I25" s="32"/>
      <c r="J25" s="32">
        <f t="shared" si="2"/>
        <v>1</v>
      </c>
      <c r="K25" s="32">
        <v>31010001</v>
      </c>
      <c r="L25" s="32" t="str" cm="1">
        <f t="array" ref="L25">INDEX(编号表!$E:$E,MATCH(K25,编号表!$D:$D,0))</f>
        <v>一小袋金币</v>
      </c>
      <c r="M25" s="31"/>
      <c r="N25" s="31"/>
      <c r="O25" s="31"/>
      <c r="P25" s="32">
        <v>100000000</v>
      </c>
      <c r="Q25" s="32">
        <v>18</v>
      </c>
      <c r="R25" s="31"/>
      <c r="S25" s="32"/>
      <c r="T25" s="32"/>
      <c r="U25" s="31"/>
      <c r="V25" s="31"/>
      <c r="W25" s="31"/>
      <c r="X25" s="32"/>
      <c r="Y25" s="32"/>
      <c r="Z25" s="31"/>
      <c r="AA25" s="32"/>
      <c r="AB25" s="32"/>
      <c r="AC25" s="31"/>
      <c r="AD25" s="31"/>
      <c r="AE25" s="31"/>
      <c r="AF25" s="32"/>
      <c r="AG25" s="32"/>
      <c r="AH25" s="31"/>
      <c r="AI25" s="32"/>
      <c r="AJ25" s="32"/>
      <c r="AK25" s="31"/>
      <c r="AL25" s="31"/>
      <c r="AM25" s="31"/>
      <c r="AN25" s="32"/>
      <c r="AO25" s="32"/>
      <c r="AP25" s="31"/>
      <c r="AQ25" s="32"/>
      <c r="AR25" s="32"/>
      <c r="AS25" s="31"/>
      <c r="AT25" s="31"/>
      <c r="AU25" s="31"/>
      <c r="AV25" s="32"/>
      <c r="AW25" s="32"/>
      <c r="AX25" s="31"/>
      <c r="AY25" s="32"/>
      <c r="AZ25" s="32"/>
      <c r="BA25" s="31"/>
      <c r="BB25" s="31"/>
      <c r="BC25" s="31"/>
      <c r="BD25" s="32"/>
      <c r="BE25" s="32"/>
      <c r="BF25" s="31"/>
      <c r="BG25" s="31"/>
      <c r="BH25" s="32"/>
      <c r="BI25" s="31"/>
      <c r="BJ25" s="31"/>
      <c r="BK25" s="31"/>
      <c r="BL25" s="31"/>
      <c r="BM25" s="31"/>
      <c r="BN25" s="31"/>
      <c r="BO25" s="31"/>
      <c r="BP25" s="32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</row>
    <row r="26" customFormat="1" ht="17.25" spans="1:266">
      <c r="A26" s="32">
        <f>40000000+INDEX(编号表!$B:$B,MATCH(B26,编号表!$A:$A,0))*10000+C26</f>
        <v>40010024</v>
      </c>
      <c r="B26" s="27" t="s">
        <v>435</v>
      </c>
      <c r="C26" s="32">
        <v>24</v>
      </c>
      <c r="D26" s="32" t="s">
        <v>460</v>
      </c>
      <c r="E26" s="32" t="s">
        <v>437</v>
      </c>
      <c r="F26" s="31">
        <f t="shared" si="1"/>
        <v>100000000</v>
      </c>
      <c r="G26" s="31"/>
      <c r="H26" s="32"/>
      <c r="I26" s="32"/>
      <c r="J26" s="32">
        <f t="shared" si="2"/>
        <v>1</v>
      </c>
      <c r="K26" s="32">
        <v>31010001</v>
      </c>
      <c r="L26" s="32" t="str" cm="1">
        <f t="array" ref="L26">INDEX(编号表!$E:$E,MATCH(K26,编号表!$D:$D,0))</f>
        <v>一小袋金币</v>
      </c>
      <c r="M26" s="31"/>
      <c r="N26" s="31"/>
      <c r="O26" s="31"/>
      <c r="P26" s="32">
        <v>100000000</v>
      </c>
      <c r="Q26" s="32">
        <v>21</v>
      </c>
      <c r="R26" s="31"/>
      <c r="S26" s="32"/>
      <c r="T26" s="32"/>
      <c r="U26" s="31"/>
      <c r="V26" s="31"/>
      <c r="W26" s="31"/>
      <c r="X26" s="32"/>
      <c r="Y26" s="32"/>
      <c r="Z26" s="31"/>
      <c r="AA26" s="32"/>
      <c r="AB26" s="32"/>
      <c r="AC26" s="31"/>
      <c r="AD26" s="31"/>
      <c r="AE26" s="31"/>
      <c r="AF26" s="32"/>
      <c r="AG26" s="32"/>
      <c r="AH26" s="31"/>
      <c r="AI26" s="32"/>
      <c r="AJ26" s="32"/>
      <c r="AK26" s="31"/>
      <c r="AL26" s="31"/>
      <c r="AM26" s="31"/>
      <c r="AN26" s="32"/>
      <c r="AO26" s="32"/>
      <c r="AP26" s="31"/>
      <c r="AQ26" s="32"/>
      <c r="AR26" s="32"/>
      <c r="AS26" s="31"/>
      <c r="AT26" s="31"/>
      <c r="AU26" s="31"/>
      <c r="AV26" s="32"/>
      <c r="AW26" s="32"/>
      <c r="AX26" s="31"/>
      <c r="AY26" s="32"/>
      <c r="AZ26" s="32"/>
      <c r="BA26" s="31"/>
      <c r="BB26" s="31"/>
      <c r="BC26" s="31"/>
      <c r="BD26" s="32"/>
      <c r="BE26" s="32"/>
      <c r="BF26" s="31"/>
      <c r="BG26" s="31"/>
      <c r="BH26" s="32"/>
      <c r="BI26" s="31"/>
      <c r="BJ26" s="31"/>
      <c r="BK26" s="31"/>
      <c r="BL26" s="31"/>
      <c r="BM26" s="31"/>
      <c r="BN26" s="31"/>
      <c r="BO26" s="31"/>
      <c r="BP26" s="32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</row>
    <row r="27" customFormat="1" ht="17.25" spans="1:266">
      <c r="A27" s="32">
        <f>40000000+INDEX(编号表!$B:$B,MATCH(B27,编号表!$A:$A,0))*10000+C27</f>
        <v>40010025</v>
      </c>
      <c r="B27" s="27" t="s">
        <v>435</v>
      </c>
      <c r="C27" s="32">
        <v>25</v>
      </c>
      <c r="D27" s="32" t="s">
        <v>461</v>
      </c>
      <c r="E27" s="32" t="s">
        <v>437</v>
      </c>
      <c r="F27" s="31">
        <f t="shared" si="1"/>
        <v>100000000</v>
      </c>
      <c r="G27" s="31"/>
      <c r="H27" s="32"/>
      <c r="I27" s="32"/>
      <c r="J27" s="32">
        <f t="shared" si="2"/>
        <v>1</v>
      </c>
      <c r="K27" s="32">
        <v>31010001</v>
      </c>
      <c r="L27" s="32" t="str" cm="1">
        <f t="array" ref="L27">INDEX(编号表!$E:$E,MATCH(K27,编号表!$D:$D,0))</f>
        <v>一小袋金币</v>
      </c>
      <c r="M27" s="31"/>
      <c r="N27" s="31"/>
      <c r="O27" s="31"/>
      <c r="P27" s="32">
        <v>100000000</v>
      </c>
      <c r="Q27" s="32">
        <v>24</v>
      </c>
      <c r="R27" s="31"/>
      <c r="S27" s="32"/>
      <c r="T27" s="32"/>
      <c r="U27" s="31"/>
      <c r="V27" s="31"/>
      <c r="W27" s="31"/>
      <c r="X27" s="32"/>
      <c r="Y27" s="32"/>
      <c r="Z27" s="31"/>
      <c r="AA27" s="32"/>
      <c r="AB27" s="32"/>
      <c r="AC27" s="31"/>
      <c r="AD27" s="31"/>
      <c r="AE27" s="31"/>
      <c r="AF27" s="32"/>
      <c r="AG27" s="32"/>
      <c r="AH27" s="31"/>
      <c r="AI27" s="32"/>
      <c r="AJ27" s="32"/>
      <c r="AK27" s="31"/>
      <c r="AL27" s="31"/>
      <c r="AM27" s="31"/>
      <c r="AN27" s="32"/>
      <c r="AO27" s="32"/>
      <c r="AP27" s="31"/>
      <c r="AQ27" s="32"/>
      <c r="AR27" s="32"/>
      <c r="AS27" s="31"/>
      <c r="AT27" s="31"/>
      <c r="AU27" s="31"/>
      <c r="AV27" s="32"/>
      <c r="AW27" s="32"/>
      <c r="AX27" s="31"/>
      <c r="AY27" s="32"/>
      <c r="AZ27" s="32"/>
      <c r="BA27" s="31"/>
      <c r="BB27" s="31"/>
      <c r="BC27" s="31"/>
      <c r="BD27" s="32"/>
      <c r="BE27" s="32"/>
      <c r="BF27" s="31"/>
      <c r="BG27" s="31"/>
      <c r="BH27" s="32"/>
      <c r="BI27" s="31"/>
      <c r="BJ27" s="31"/>
      <c r="BK27" s="31"/>
      <c r="BL27" s="31"/>
      <c r="BM27" s="31"/>
      <c r="BN27" s="31"/>
      <c r="BO27" s="31"/>
      <c r="BP27" s="32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  <c r="IB27" s="31"/>
      <c r="IC27" s="31"/>
      <c r="ID27" s="31"/>
      <c r="IE27" s="31"/>
      <c r="IF27" s="31"/>
      <c r="IG27" s="31"/>
      <c r="IH27" s="31"/>
      <c r="II27" s="31"/>
      <c r="IJ27" s="31"/>
      <c r="IK27" s="31"/>
      <c r="IL27" s="31"/>
      <c r="IM27" s="31"/>
      <c r="IN27" s="31"/>
      <c r="IO27" s="31"/>
      <c r="IP27" s="31"/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</row>
    <row r="28" customFormat="1" ht="17.25" spans="1:266">
      <c r="A28" s="32">
        <f>40000000+INDEX(编号表!$B:$B,MATCH(B28,编号表!$A:$A,0))*10000+C28</f>
        <v>40010026</v>
      </c>
      <c r="B28" s="27" t="s">
        <v>435</v>
      </c>
      <c r="C28" s="32">
        <v>26</v>
      </c>
      <c r="D28" s="32" t="s">
        <v>462</v>
      </c>
      <c r="E28" s="32" t="s">
        <v>437</v>
      </c>
      <c r="F28" s="31">
        <f t="shared" si="1"/>
        <v>100000000</v>
      </c>
      <c r="G28" s="31"/>
      <c r="H28" s="32"/>
      <c r="I28" s="32"/>
      <c r="J28" s="32">
        <f t="shared" si="2"/>
        <v>1</v>
      </c>
      <c r="K28" s="32">
        <v>31010001</v>
      </c>
      <c r="L28" s="32" t="str" cm="1">
        <f t="array" ref="L28">INDEX(编号表!$E:$E,MATCH(K28,编号表!$D:$D,0))</f>
        <v>一小袋金币</v>
      </c>
      <c r="M28" s="31"/>
      <c r="N28" s="31"/>
      <c r="O28" s="31"/>
      <c r="P28" s="32">
        <v>100000000</v>
      </c>
      <c r="Q28" s="32">
        <v>27</v>
      </c>
      <c r="R28" s="31"/>
      <c r="S28" s="32"/>
      <c r="T28" s="32"/>
      <c r="U28" s="31"/>
      <c r="V28" s="31"/>
      <c r="W28" s="31"/>
      <c r="X28" s="32"/>
      <c r="Y28" s="32"/>
      <c r="Z28" s="31"/>
      <c r="AA28" s="32"/>
      <c r="AB28" s="32"/>
      <c r="AC28" s="31"/>
      <c r="AD28" s="31"/>
      <c r="AE28" s="31"/>
      <c r="AF28" s="32"/>
      <c r="AG28" s="32"/>
      <c r="AH28" s="31"/>
      <c r="AI28" s="32"/>
      <c r="AJ28" s="32"/>
      <c r="AK28" s="31"/>
      <c r="AL28" s="31"/>
      <c r="AM28" s="31"/>
      <c r="AN28" s="32"/>
      <c r="AO28" s="32"/>
      <c r="AP28" s="31"/>
      <c r="AQ28" s="32"/>
      <c r="AR28" s="32"/>
      <c r="AS28" s="31"/>
      <c r="AT28" s="31"/>
      <c r="AU28" s="31"/>
      <c r="AV28" s="32"/>
      <c r="AW28" s="32"/>
      <c r="AX28" s="31"/>
      <c r="AY28" s="32"/>
      <c r="AZ28" s="32"/>
      <c r="BA28" s="31"/>
      <c r="BB28" s="31"/>
      <c r="BC28" s="31"/>
      <c r="BD28" s="32"/>
      <c r="BE28" s="32"/>
      <c r="BF28" s="31"/>
      <c r="BG28" s="31"/>
      <c r="BH28" s="32"/>
      <c r="BI28" s="31"/>
      <c r="BJ28" s="31"/>
      <c r="BK28" s="31"/>
      <c r="BL28" s="31"/>
      <c r="BM28" s="31"/>
      <c r="BN28" s="31"/>
      <c r="BO28" s="31"/>
      <c r="BP28" s="32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</row>
    <row r="29" customFormat="1" ht="17.25" spans="1:266">
      <c r="A29" s="32">
        <f>40000000+INDEX(编号表!$B:$B,MATCH(B29,编号表!$A:$A,0))*10000+C29</f>
        <v>40010027</v>
      </c>
      <c r="B29" s="27" t="s">
        <v>435</v>
      </c>
      <c r="C29" s="32">
        <v>27</v>
      </c>
      <c r="D29" s="32" t="s">
        <v>463</v>
      </c>
      <c r="E29" s="32" t="s">
        <v>437</v>
      </c>
      <c r="F29" s="31">
        <f t="shared" si="1"/>
        <v>100000000</v>
      </c>
      <c r="G29" s="31"/>
      <c r="H29" s="32"/>
      <c r="I29" s="32"/>
      <c r="J29" s="32">
        <f t="shared" si="2"/>
        <v>1</v>
      </c>
      <c r="K29" s="32">
        <v>31010001</v>
      </c>
      <c r="L29" s="32" t="str" cm="1">
        <f t="array" ref="L29">INDEX(编号表!$E:$E,MATCH(K29,编号表!$D:$D,0))</f>
        <v>一小袋金币</v>
      </c>
      <c r="M29" s="31"/>
      <c r="N29" s="31"/>
      <c r="O29" s="31"/>
      <c r="P29" s="32">
        <v>100000000</v>
      </c>
      <c r="Q29" s="32">
        <v>30</v>
      </c>
      <c r="R29" s="31"/>
      <c r="S29" s="32"/>
      <c r="T29" s="32"/>
      <c r="U29" s="31"/>
      <c r="V29" s="31"/>
      <c r="W29" s="31"/>
      <c r="X29" s="32"/>
      <c r="Y29" s="32"/>
      <c r="Z29" s="31"/>
      <c r="AA29" s="32"/>
      <c r="AB29" s="32"/>
      <c r="AC29" s="31"/>
      <c r="AD29" s="31"/>
      <c r="AE29" s="31"/>
      <c r="AF29" s="32"/>
      <c r="AG29" s="32"/>
      <c r="AH29" s="31"/>
      <c r="AI29" s="32"/>
      <c r="AJ29" s="32"/>
      <c r="AK29" s="31"/>
      <c r="AL29" s="31"/>
      <c r="AM29" s="31"/>
      <c r="AN29" s="32"/>
      <c r="AO29" s="32"/>
      <c r="AP29" s="31"/>
      <c r="AQ29" s="32"/>
      <c r="AR29" s="32"/>
      <c r="AS29" s="31"/>
      <c r="AT29" s="31"/>
      <c r="AU29" s="31"/>
      <c r="AV29" s="32"/>
      <c r="AW29" s="32"/>
      <c r="AX29" s="31"/>
      <c r="AY29" s="32"/>
      <c r="AZ29" s="32"/>
      <c r="BA29" s="31"/>
      <c r="BB29" s="31"/>
      <c r="BC29" s="31"/>
      <c r="BD29" s="32"/>
      <c r="BE29" s="32"/>
      <c r="BF29" s="31"/>
      <c r="BG29" s="31"/>
      <c r="BH29" s="32"/>
      <c r="BI29" s="31"/>
      <c r="BJ29" s="31"/>
      <c r="BK29" s="31"/>
      <c r="BL29" s="31"/>
      <c r="BM29" s="31"/>
      <c r="BN29" s="31"/>
      <c r="BO29" s="31"/>
      <c r="BP29" s="32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  <c r="IB29" s="31"/>
      <c r="IC29" s="31"/>
      <c r="ID29" s="31"/>
      <c r="IE29" s="31"/>
      <c r="IF29" s="31"/>
      <c r="IG29" s="31"/>
      <c r="IH29" s="31"/>
      <c r="II29" s="31"/>
      <c r="IJ29" s="31"/>
      <c r="IK29" s="31"/>
      <c r="IL29" s="31"/>
      <c r="IM29" s="31"/>
      <c r="IN29" s="31"/>
      <c r="IO29" s="31"/>
      <c r="IP29" s="31"/>
      <c r="IQ29" s="31"/>
      <c r="IR29" s="31"/>
      <c r="IS29" s="31"/>
      <c r="IT29" s="31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</row>
    <row r="30" customFormat="1" ht="17.25" spans="1:266">
      <c r="A30" s="32">
        <f>40000000+INDEX(编号表!$B:$B,MATCH(B30,编号表!$A:$A,0))*10000+C30</f>
        <v>40010028</v>
      </c>
      <c r="B30" s="27" t="s">
        <v>435</v>
      </c>
      <c r="C30" s="32">
        <v>28</v>
      </c>
      <c r="D30" s="32" t="s">
        <v>464</v>
      </c>
      <c r="E30" s="32" t="s">
        <v>437</v>
      </c>
      <c r="F30" s="31">
        <f t="shared" si="1"/>
        <v>100000000</v>
      </c>
      <c r="G30" s="31"/>
      <c r="H30" s="32"/>
      <c r="I30" s="32"/>
      <c r="J30" s="32">
        <f t="shared" si="2"/>
        <v>1</v>
      </c>
      <c r="K30" s="32">
        <v>31010001</v>
      </c>
      <c r="L30" s="32" t="str" cm="1">
        <f t="array" ref="L30">INDEX(编号表!$E:$E,MATCH(K30,编号表!$D:$D,0))</f>
        <v>一小袋金币</v>
      </c>
      <c r="M30" s="31"/>
      <c r="N30" s="31"/>
      <c r="O30" s="31"/>
      <c r="P30" s="32">
        <v>100000000</v>
      </c>
      <c r="Q30" s="32">
        <v>33</v>
      </c>
      <c r="R30" s="31"/>
      <c r="S30" s="32"/>
      <c r="T30" s="32"/>
      <c r="U30" s="31"/>
      <c r="V30" s="31"/>
      <c r="W30" s="31"/>
      <c r="X30" s="32"/>
      <c r="Y30" s="32"/>
      <c r="Z30" s="31"/>
      <c r="AA30" s="32"/>
      <c r="AB30" s="32"/>
      <c r="AC30" s="31"/>
      <c r="AD30" s="31"/>
      <c r="AE30" s="31"/>
      <c r="AF30" s="32"/>
      <c r="AG30" s="32"/>
      <c r="AH30" s="31"/>
      <c r="AI30" s="32"/>
      <c r="AJ30" s="32"/>
      <c r="AK30" s="31"/>
      <c r="AL30" s="31"/>
      <c r="AM30" s="31"/>
      <c r="AN30" s="32"/>
      <c r="AO30" s="32"/>
      <c r="AP30" s="31"/>
      <c r="AQ30" s="32"/>
      <c r="AR30" s="32"/>
      <c r="AS30" s="31"/>
      <c r="AT30" s="31"/>
      <c r="AU30" s="31"/>
      <c r="AV30" s="32"/>
      <c r="AW30" s="32"/>
      <c r="AX30" s="31"/>
      <c r="AY30" s="32"/>
      <c r="AZ30" s="32"/>
      <c r="BA30" s="31"/>
      <c r="BB30" s="31"/>
      <c r="BC30" s="31"/>
      <c r="BD30" s="32"/>
      <c r="BE30" s="32"/>
      <c r="BF30" s="31"/>
      <c r="BG30" s="31"/>
      <c r="BH30" s="32"/>
      <c r="BI30" s="31"/>
      <c r="BJ30" s="31"/>
      <c r="BK30" s="31"/>
      <c r="BL30" s="31"/>
      <c r="BM30" s="31"/>
      <c r="BN30" s="31"/>
      <c r="BO30" s="31"/>
      <c r="BP30" s="32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  <c r="HG30" s="31"/>
      <c r="HH30" s="31"/>
      <c r="HI30" s="31"/>
      <c r="HJ30" s="31"/>
      <c r="HK30" s="31"/>
      <c r="HL30" s="31"/>
      <c r="HM30" s="31"/>
      <c r="HN30" s="31"/>
      <c r="HO30" s="31"/>
      <c r="HP30" s="31"/>
      <c r="HQ30" s="31"/>
      <c r="HR30" s="31"/>
      <c r="HS30" s="31"/>
      <c r="HT30" s="31"/>
      <c r="HU30" s="31"/>
      <c r="HV30" s="31"/>
      <c r="HW30" s="31"/>
      <c r="HX30" s="31"/>
      <c r="HY30" s="31"/>
      <c r="HZ30" s="31"/>
      <c r="IA30" s="31"/>
      <c r="IB30" s="31"/>
      <c r="IC30" s="31"/>
      <c r="ID30" s="31"/>
      <c r="IE30" s="31"/>
      <c r="IF30" s="31"/>
      <c r="IG30" s="31"/>
      <c r="IH30" s="31"/>
      <c r="II30" s="31"/>
      <c r="IJ30" s="31"/>
      <c r="IK30" s="31"/>
      <c r="IL30" s="31"/>
      <c r="IM30" s="31"/>
      <c r="IN30" s="31"/>
      <c r="IO30" s="31"/>
      <c r="IP30" s="31"/>
      <c r="IQ30" s="31"/>
      <c r="IR30" s="31"/>
      <c r="IS30" s="31"/>
      <c r="IT30" s="31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</row>
    <row r="31" customFormat="1" ht="17.25" spans="1:266">
      <c r="A31" s="32">
        <f>40000000+INDEX(编号表!$B:$B,MATCH(B31,编号表!$A:$A,0))*10000+C31</f>
        <v>40010029</v>
      </c>
      <c r="B31" s="27" t="s">
        <v>435</v>
      </c>
      <c r="C31" s="32">
        <v>29</v>
      </c>
      <c r="D31" s="32" t="s">
        <v>465</v>
      </c>
      <c r="E31" s="32" t="s">
        <v>437</v>
      </c>
      <c r="F31" s="31">
        <f t="shared" si="1"/>
        <v>100000000</v>
      </c>
      <c r="G31" s="31"/>
      <c r="H31" s="32"/>
      <c r="I31" s="32"/>
      <c r="J31" s="32">
        <f t="shared" si="2"/>
        <v>1</v>
      </c>
      <c r="K31" s="32">
        <v>31010001</v>
      </c>
      <c r="L31" s="32" t="str" cm="1">
        <f t="array" ref="L31">INDEX(编号表!$E:$E,MATCH(K31,编号表!$D:$D,0))</f>
        <v>一小袋金币</v>
      </c>
      <c r="M31" s="31"/>
      <c r="N31" s="31"/>
      <c r="O31" s="31"/>
      <c r="P31" s="32">
        <v>100000000</v>
      </c>
      <c r="Q31" s="32">
        <v>36</v>
      </c>
      <c r="R31" s="31"/>
      <c r="S31" s="32"/>
      <c r="T31" s="32"/>
      <c r="U31" s="31"/>
      <c r="V31" s="31"/>
      <c r="W31" s="31"/>
      <c r="X31" s="32"/>
      <c r="Y31" s="32"/>
      <c r="Z31" s="31"/>
      <c r="AA31" s="32"/>
      <c r="AB31" s="32"/>
      <c r="AC31" s="31"/>
      <c r="AD31" s="31"/>
      <c r="AE31" s="31"/>
      <c r="AF31" s="32"/>
      <c r="AG31" s="32"/>
      <c r="AH31" s="31"/>
      <c r="AI31" s="32"/>
      <c r="AJ31" s="32"/>
      <c r="AK31" s="31"/>
      <c r="AL31" s="31"/>
      <c r="AM31" s="31"/>
      <c r="AN31" s="32"/>
      <c r="AO31" s="32"/>
      <c r="AP31" s="31"/>
      <c r="AQ31" s="32"/>
      <c r="AR31" s="32"/>
      <c r="AS31" s="31"/>
      <c r="AT31" s="31"/>
      <c r="AU31" s="31"/>
      <c r="AV31" s="32"/>
      <c r="AW31" s="32"/>
      <c r="AX31" s="31"/>
      <c r="AY31" s="32"/>
      <c r="AZ31" s="32"/>
      <c r="BA31" s="31"/>
      <c r="BB31" s="31"/>
      <c r="BC31" s="31"/>
      <c r="BD31" s="32"/>
      <c r="BE31" s="32"/>
      <c r="BF31" s="31"/>
      <c r="BG31" s="31"/>
      <c r="BH31" s="32"/>
      <c r="BI31" s="31"/>
      <c r="BJ31" s="31"/>
      <c r="BK31" s="31"/>
      <c r="BL31" s="31"/>
      <c r="BM31" s="31"/>
      <c r="BN31" s="31"/>
      <c r="BO31" s="31"/>
      <c r="BP31" s="32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  <c r="HA31" s="31"/>
      <c r="HB31" s="31"/>
      <c r="HC31" s="31"/>
      <c r="HD31" s="31"/>
      <c r="HE31" s="31"/>
      <c r="HF31" s="31"/>
      <c r="HG31" s="31"/>
      <c r="HH31" s="31"/>
      <c r="HI31" s="31"/>
      <c r="HJ31" s="31"/>
      <c r="HK31" s="31"/>
      <c r="HL31" s="31"/>
      <c r="HM31" s="31"/>
      <c r="HN31" s="31"/>
      <c r="HO31" s="31"/>
      <c r="HP31" s="31"/>
      <c r="HQ31" s="31"/>
      <c r="HR31" s="31"/>
      <c r="HS31" s="31"/>
      <c r="HT31" s="31"/>
      <c r="HU31" s="31"/>
      <c r="HV31" s="31"/>
      <c r="HW31" s="31"/>
      <c r="HX31" s="31"/>
      <c r="HY31" s="31"/>
      <c r="HZ31" s="31"/>
      <c r="IA31" s="31"/>
      <c r="IB31" s="31"/>
      <c r="IC31" s="31"/>
      <c r="ID31" s="31"/>
      <c r="IE31" s="31"/>
      <c r="IF31" s="31"/>
      <c r="IG31" s="31"/>
      <c r="IH31" s="31"/>
      <c r="II31" s="31"/>
      <c r="IJ31" s="31"/>
      <c r="IK31" s="31"/>
      <c r="IL31" s="31"/>
      <c r="IM31" s="31"/>
      <c r="IN31" s="31"/>
      <c r="IO31" s="31"/>
      <c r="IP31" s="31"/>
      <c r="IQ31" s="31"/>
      <c r="IR31" s="31"/>
      <c r="IS31" s="31"/>
      <c r="IT31" s="31"/>
      <c r="IU31" s="31"/>
      <c r="IV31" s="31"/>
      <c r="IW31" s="31"/>
      <c r="IX31" s="31"/>
      <c r="IY31" s="31"/>
      <c r="IZ31" s="31"/>
      <c r="JA31" s="31"/>
      <c r="JB31" s="31"/>
      <c r="JC31" s="31"/>
      <c r="JD31" s="31"/>
      <c r="JE31" s="31"/>
      <c r="JF31" s="31"/>
    </row>
    <row r="32" customFormat="1" ht="17.25" spans="1:266">
      <c r="A32" s="32">
        <f>40000000+INDEX(编号表!$B:$B,MATCH(B32,编号表!$A:$A,0))*10000+C32</f>
        <v>40010030</v>
      </c>
      <c r="B32" s="27" t="s">
        <v>435</v>
      </c>
      <c r="C32" s="32">
        <v>30</v>
      </c>
      <c r="D32" s="32" t="s">
        <v>466</v>
      </c>
      <c r="E32" s="32" t="s">
        <v>437</v>
      </c>
      <c r="F32" s="31">
        <f t="shared" si="1"/>
        <v>100000000</v>
      </c>
      <c r="G32" s="31"/>
      <c r="H32" s="32"/>
      <c r="I32" s="32"/>
      <c r="J32" s="32">
        <f t="shared" si="2"/>
        <v>1</v>
      </c>
      <c r="K32" s="32">
        <v>31010001</v>
      </c>
      <c r="L32" s="32" t="str" cm="1">
        <f t="array" ref="L32">INDEX(编号表!$E:$E,MATCH(K32,编号表!$D:$D,0))</f>
        <v>一小袋金币</v>
      </c>
      <c r="M32" s="31"/>
      <c r="N32" s="31"/>
      <c r="O32" s="31"/>
      <c r="P32" s="32">
        <v>100000000</v>
      </c>
      <c r="Q32" s="32">
        <v>39</v>
      </c>
      <c r="R32" s="31"/>
      <c r="S32" s="32"/>
      <c r="T32" s="32"/>
      <c r="U32" s="31"/>
      <c r="V32" s="31"/>
      <c r="W32" s="31"/>
      <c r="X32" s="32"/>
      <c r="Y32" s="32"/>
      <c r="Z32" s="31"/>
      <c r="AA32" s="32"/>
      <c r="AB32" s="32"/>
      <c r="AC32" s="31"/>
      <c r="AD32" s="31"/>
      <c r="AE32" s="31"/>
      <c r="AF32" s="32"/>
      <c r="AG32" s="32"/>
      <c r="AH32" s="31"/>
      <c r="AI32" s="32"/>
      <c r="AJ32" s="32"/>
      <c r="AK32" s="31"/>
      <c r="AL32" s="31"/>
      <c r="AM32" s="31"/>
      <c r="AN32" s="32"/>
      <c r="AO32" s="32"/>
      <c r="AP32" s="31"/>
      <c r="AQ32" s="32"/>
      <c r="AR32" s="32"/>
      <c r="AS32" s="31"/>
      <c r="AT32" s="31"/>
      <c r="AU32" s="31"/>
      <c r="AV32" s="32"/>
      <c r="AW32" s="32"/>
      <c r="AX32" s="31"/>
      <c r="AY32" s="32"/>
      <c r="AZ32" s="32"/>
      <c r="BA32" s="31"/>
      <c r="BB32" s="31"/>
      <c r="BC32" s="31"/>
      <c r="BD32" s="32"/>
      <c r="BE32" s="32"/>
      <c r="BF32" s="31"/>
      <c r="BG32" s="31"/>
      <c r="BH32" s="32"/>
      <c r="BI32" s="31"/>
      <c r="BJ32" s="31"/>
      <c r="BK32" s="31"/>
      <c r="BL32" s="31"/>
      <c r="BM32" s="31"/>
      <c r="BN32" s="31"/>
      <c r="BO32" s="31"/>
      <c r="BP32" s="32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</row>
    <row r="33" customFormat="1" ht="17.25" spans="1:266">
      <c r="A33" s="32">
        <f>40000000+INDEX(编号表!$B:$B,MATCH(B33,编号表!$A:$A,0))*10000+C33</f>
        <v>40010031</v>
      </c>
      <c r="B33" s="27" t="s">
        <v>435</v>
      </c>
      <c r="C33" s="32">
        <v>31</v>
      </c>
      <c r="D33" s="32" t="s">
        <v>467</v>
      </c>
      <c r="E33" s="32" t="s">
        <v>437</v>
      </c>
      <c r="F33" s="31">
        <f t="shared" si="1"/>
        <v>100000000</v>
      </c>
      <c r="G33" s="31"/>
      <c r="H33" s="32"/>
      <c r="I33" s="32"/>
      <c r="J33" s="32">
        <f t="shared" si="2"/>
        <v>1</v>
      </c>
      <c r="K33" s="32">
        <v>31010001</v>
      </c>
      <c r="L33" s="32" t="str" cm="1">
        <f t="array" ref="L33">INDEX(编号表!$E:$E,MATCH(K33,编号表!$D:$D,0))</f>
        <v>一小袋金币</v>
      </c>
      <c r="M33" s="31"/>
      <c r="N33" s="31"/>
      <c r="O33" s="31"/>
      <c r="P33" s="32">
        <v>100000000</v>
      </c>
      <c r="Q33" s="32">
        <v>42</v>
      </c>
      <c r="R33" s="31"/>
      <c r="S33" s="32"/>
      <c r="T33" s="32"/>
      <c r="U33" s="31"/>
      <c r="V33" s="31"/>
      <c r="W33" s="31"/>
      <c r="X33" s="32"/>
      <c r="Y33" s="32"/>
      <c r="Z33" s="31"/>
      <c r="AA33" s="32"/>
      <c r="AB33" s="32"/>
      <c r="AC33" s="31"/>
      <c r="AD33" s="31"/>
      <c r="AE33" s="31"/>
      <c r="AF33" s="32"/>
      <c r="AG33" s="32"/>
      <c r="AH33" s="31"/>
      <c r="AI33" s="32"/>
      <c r="AJ33" s="32"/>
      <c r="AK33" s="31"/>
      <c r="AL33" s="31"/>
      <c r="AM33" s="31"/>
      <c r="AN33" s="32"/>
      <c r="AO33" s="32"/>
      <c r="AP33" s="31"/>
      <c r="AQ33" s="32"/>
      <c r="AR33" s="32"/>
      <c r="AS33" s="31"/>
      <c r="AT33" s="31"/>
      <c r="AU33" s="31"/>
      <c r="AV33" s="32"/>
      <c r="AW33" s="32"/>
      <c r="AX33" s="31"/>
      <c r="AY33" s="32"/>
      <c r="AZ33" s="32"/>
      <c r="BA33" s="31"/>
      <c r="BB33" s="31"/>
      <c r="BC33" s="31"/>
      <c r="BD33" s="32"/>
      <c r="BE33" s="32"/>
      <c r="BF33" s="31"/>
      <c r="BG33" s="31"/>
      <c r="BH33" s="32"/>
      <c r="BI33" s="31"/>
      <c r="BJ33" s="31"/>
      <c r="BK33" s="31"/>
      <c r="BL33" s="31"/>
      <c r="BM33" s="31"/>
      <c r="BN33" s="31"/>
      <c r="BO33" s="31"/>
      <c r="BP33" s="32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</row>
    <row r="34" customFormat="1" ht="17.25" spans="1:266">
      <c r="A34" s="32">
        <f>40000000+INDEX(编号表!$B:$B,MATCH(B34,编号表!$A:$A,0))*10000+C34</f>
        <v>40010032</v>
      </c>
      <c r="B34" s="27" t="s">
        <v>435</v>
      </c>
      <c r="C34" s="32">
        <v>32</v>
      </c>
      <c r="D34" s="32" t="s">
        <v>468</v>
      </c>
      <c r="E34" s="32" t="s">
        <v>437</v>
      </c>
      <c r="F34" s="31">
        <f t="shared" si="1"/>
        <v>100000000</v>
      </c>
      <c r="G34" s="31"/>
      <c r="H34" s="32"/>
      <c r="I34" s="32"/>
      <c r="J34" s="32">
        <f t="shared" si="2"/>
        <v>1</v>
      </c>
      <c r="K34" s="32">
        <v>31010001</v>
      </c>
      <c r="L34" s="32" t="str" cm="1">
        <f t="array" ref="L34">INDEX(编号表!$E:$E,MATCH(K34,编号表!$D:$D,0))</f>
        <v>一小袋金币</v>
      </c>
      <c r="M34" s="31"/>
      <c r="N34" s="31"/>
      <c r="O34" s="31"/>
      <c r="P34" s="32">
        <v>100000000</v>
      </c>
      <c r="Q34" s="32">
        <f>2250/50</f>
        <v>45</v>
      </c>
      <c r="R34" s="31"/>
      <c r="S34" s="32"/>
      <c r="T34" s="32"/>
      <c r="U34" s="31"/>
      <c r="V34" s="31"/>
      <c r="W34" s="31"/>
      <c r="X34" s="32"/>
      <c r="Y34" s="32"/>
      <c r="Z34" s="31"/>
      <c r="AA34" s="32"/>
      <c r="AB34" s="32"/>
      <c r="AC34" s="31"/>
      <c r="AD34" s="31"/>
      <c r="AE34" s="31"/>
      <c r="AF34" s="32"/>
      <c r="AG34" s="32"/>
      <c r="AH34" s="31"/>
      <c r="AI34" s="32"/>
      <c r="AJ34" s="32"/>
      <c r="AK34" s="31"/>
      <c r="AL34" s="31"/>
      <c r="AM34" s="31"/>
      <c r="AN34" s="32"/>
      <c r="AO34" s="32"/>
      <c r="AP34" s="31"/>
      <c r="AQ34" s="32"/>
      <c r="AR34" s="32"/>
      <c r="AS34" s="31"/>
      <c r="AT34" s="31"/>
      <c r="AU34" s="31"/>
      <c r="AV34" s="32"/>
      <c r="AW34" s="32"/>
      <c r="AX34" s="31"/>
      <c r="AY34" s="32"/>
      <c r="AZ34" s="32"/>
      <c r="BA34" s="31"/>
      <c r="BB34" s="31"/>
      <c r="BC34" s="31"/>
      <c r="BD34" s="32"/>
      <c r="BE34" s="32"/>
      <c r="BF34" s="31"/>
      <c r="BG34" s="31"/>
      <c r="BH34" s="32"/>
      <c r="BI34" s="31"/>
      <c r="BJ34" s="31"/>
      <c r="BK34" s="31"/>
      <c r="BL34" s="31"/>
      <c r="BM34" s="31"/>
      <c r="BN34" s="31"/>
      <c r="BO34" s="31"/>
      <c r="BP34" s="32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</row>
    <row r="35" customFormat="1" ht="17.25" spans="1:266">
      <c r="A35" s="32">
        <f>40000000+INDEX(编号表!$B:$B,MATCH(B35,编号表!$A:$A,0))*10000+C35</f>
        <v>40010033</v>
      </c>
      <c r="B35" s="27" t="s">
        <v>435</v>
      </c>
      <c r="C35" s="32">
        <v>33</v>
      </c>
      <c r="D35" s="32" t="s">
        <v>469</v>
      </c>
      <c r="E35" s="32" t="s">
        <v>437</v>
      </c>
      <c r="F35" s="31">
        <f t="shared" si="1"/>
        <v>100000000</v>
      </c>
      <c r="G35" s="31"/>
      <c r="H35" s="32"/>
      <c r="I35" s="32"/>
      <c r="J35" s="32">
        <f t="shared" si="2"/>
        <v>1</v>
      </c>
      <c r="K35" s="32">
        <v>31010001</v>
      </c>
      <c r="L35" s="32" t="str" cm="1">
        <f t="array" ref="L35">INDEX(编号表!$E:$E,MATCH(K35,编号表!$D:$D,0))</f>
        <v>一小袋金币</v>
      </c>
      <c r="M35" s="31"/>
      <c r="N35" s="31"/>
      <c r="O35" s="31"/>
      <c r="P35" s="32">
        <v>100000000</v>
      </c>
      <c r="Q35" s="32">
        <v>48</v>
      </c>
      <c r="R35" s="31"/>
      <c r="S35" s="32"/>
      <c r="T35" s="32"/>
      <c r="U35" s="31"/>
      <c r="V35" s="31"/>
      <c r="W35" s="31"/>
      <c r="X35" s="32"/>
      <c r="Y35" s="32"/>
      <c r="Z35" s="31"/>
      <c r="AA35" s="32"/>
      <c r="AB35" s="32"/>
      <c r="AC35" s="31"/>
      <c r="AD35" s="31"/>
      <c r="AE35" s="31"/>
      <c r="AF35" s="32"/>
      <c r="AG35" s="32"/>
      <c r="AH35" s="31"/>
      <c r="AI35" s="32"/>
      <c r="AJ35" s="32"/>
      <c r="AK35" s="31"/>
      <c r="AL35" s="31"/>
      <c r="AM35" s="31"/>
      <c r="AN35" s="32"/>
      <c r="AO35" s="32"/>
      <c r="AP35" s="31"/>
      <c r="AQ35" s="32"/>
      <c r="AR35" s="32"/>
      <c r="AS35" s="31"/>
      <c r="AT35" s="31"/>
      <c r="AU35" s="31"/>
      <c r="AV35" s="32"/>
      <c r="AW35" s="32"/>
      <c r="AX35" s="31"/>
      <c r="AY35" s="32"/>
      <c r="AZ35" s="32"/>
      <c r="BA35" s="31"/>
      <c r="BB35" s="31"/>
      <c r="BC35" s="31"/>
      <c r="BD35" s="32"/>
      <c r="BE35" s="32"/>
      <c r="BF35" s="31"/>
      <c r="BG35" s="31"/>
      <c r="BH35" s="32"/>
      <c r="BI35" s="31"/>
      <c r="BJ35" s="31"/>
      <c r="BK35" s="31"/>
      <c r="BL35" s="31"/>
      <c r="BM35" s="31"/>
      <c r="BN35" s="31"/>
      <c r="BO35" s="31"/>
      <c r="BP35" s="32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</row>
    <row r="36" customFormat="1" ht="17.25" spans="1:266">
      <c r="A36" s="32">
        <f>40000000+INDEX(编号表!$B:$B,MATCH(B36,编号表!$A:$A,0))*10000+C36</f>
        <v>40010034</v>
      </c>
      <c r="B36" s="27" t="s">
        <v>435</v>
      </c>
      <c r="C36" s="32">
        <v>34</v>
      </c>
      <c r="D36" s="32" t="s">
        <v>470</v>
      </c>
      <c r="E36" s="32" t="s">
        <v>437</v>
      </c>
      <c r="F36" s="31">
        <f t="shared" ref="F36:F67" si="3">P36+X36+AF36+AN36+AV36+BD36+BL36+BT36</f>
        <v>100000000</v>
      </c>
      <c r="G36" s="31"/>
      <c r="H36" s="32"/>
      <c r="I36" s="32"/>
      <c r="J36" s="32">
        <f t="shared" si="2"/>
        <v>1</v>
      </c>
      <c r="K36" s="32">
        <v>31010001</v>
      </c>
      <c r="L36" s="32" t="str" cm="1">
        <f t="array" ref="L36">INDEX(编号表!$E:$E,MATCH(K36,编号表!$D:$D,0))</f>
        <v>一小袋金币</v>
      </c>
      <c r="M36" s="31"/>
      <c r="N36" s="31"/>
      <c r="O36" s="31"/>
      <c r="P36" s="32">
        <v>100000000</v>
      </c>
      <c r="Q36" s="32">
        <v>51</v>
      </c>
      <c r="R36" s="31"/>
      <c r="S36" s="32"/>
      <c r="T36" s="32"/>
      <c r="U36" s="31"/>
      <c r="V36" s="31"/>
      <c r="W36" s="31"/>
      <c r="X36" s="32"/>
      <c r="Y36" s="32"/>
      <c r="Z36" s="31"/>
      <c r="AA36" s="32"/>
      <c r="AB36" s="32"/>
      <c r="AC36" s="31"/>
      <c r="AD36" s="31"/>
      <c r="AE36" s="31"/>
      <c r="AF36" s="32"/>
      <c r="AG36" s="32"/>
      <c r="AH36" s="31"/>
      <c r="AI36" s="32"/>
      <c r="AJ36" s="32"/>
      <c r="AK36" s="31"/>
      <c r="AL36" s="31"/>
      <c r="AM36" s="31"/>
      <c r="AN36" s="32"/>
      <c r="AO36" s="32"/>
      <c r="AP36" s="31"/>
      <c r="AQ36" s="32"/>
      <c r="AR36" s="32"/>
      <c r="AS36" s="31"/>
      <c r="AT36" s="31"/>
      <c r="AU36" s="31"/>
      <c r="AV36" s="32"/>
      <c r="AW36" s="32"/>
      <c r="AX36" s="31"/>
      <c r="AY36" s="32"/>
      <c r="AZ36" s="32"/>
      <c r="BA36" s="31"/>
      <c r="BB36" s="31"/>
      <c r="BC36" s="31"/>
      <c r="BD36" s="32"/>
      <c r="BE36" s="32"/>
      <c r="BF36" s="31"/>
      <c r="BG36" s="31"/>
      <c r="BH36" s="32"/>
      <c r="BI36" s="31"/>
      <c r="BJ36" s="31"/>
      <c r="BK36" s="31"/>
      <c r="BL36" s="31"/>
      <c r="BM36" s="31"/>
      <c r="BN36" s="31"/>
      <c r="BO36" s="31"/>
      <c r="BP36" s="32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</row>
    <row r="37" customFormat="1" ht="17.25" spans="1:266">
      <c r="A37" s="32">
        <f>40000000+INDEX(编号表!$B:$B,MATCH(B37,编号表!$A:$A,0))*10000+C37</f>
        <v>40010035</v>
      </c>
      <c r="B37" s="27" t="s">
        <v>435</v>
      </c>
      <c r="C37" s="32">
        <v>35</v>
      </c>
      <c r="D37" s="32" t="s">
        <v>471</v>
      </c>
      <c r="E37" s="32" t="s">
        <v>437</v>
      </c>
      <c r="F37" s="31">
        <f t="shared" si="3"/>
        <v>100000000</v>
      </c>
      <c r="G37" s="31"/>
      <c r="H37" s="32"/>
      <c r="I37" s="32"/>
      <c r="J37" s="32">
        <f t="shared" ref="J37:J53" si="4">COUNT(P37,X37,AF37,AN37,AV37,BD37,BL37,BT37,CB37,CJ37,CR37,CZ37,DH37,DP37,DX37,EF37,EN37,EV37,FD37,FL37,FT37,GB37,GJ37,GR37,GZ37,HH37,HP37,HX37,IF37,IN37,IV37,JD37)</f>
        <v>1</v>
      </c>
      <c r="K37" s="32">
        <v>31010001</v>
      </c>
      <c r="L37" s="32" t="str" cm="1">
        <f t="array" ref="L37">INDEX(编号表!$E:$E,MATCH(K37,编号表!$D:$D,0))</f>
        <v>一小袋金币</v>
      </c>
      <c r="M37" s="31"/>
      <c r="N37" s="31"/>
      <c r="O37" s="31"/>
      <c r="P37" s="32">
        <v>100000000</v>
      </c>
      <c r="Q37" s="32">
        <v>9</v>
      </c>
      <c r="R37" s="31"/>
      <c r="S37" s="32"/>
      <c r="T37" s="32"/>
      <c r="U37" s="31"/>
      <c r="V37" s="31"/>
      <c r="W37" s="31"/>
      <c r="X37" s="32"/>
      <c r="Y37" s="32"/>
      <c r="Z37" s="31"/>
      <c r="AA37" s="32"/>
      <c r="AB37" s="32"/>
      <c r="AC37" s="31"/>
      <c r="AD37" s="31"/>
      <c r="AE37" s="31"/>
      <c r="AF37" s="32"/>
      <c r="AG37" s="32"/>
      <c r="AH37" s="31"/>
      <c r="AI37" s="32"/>
      <c r="AJ37" s="32"/>
      <c r="AK37" s="31"/>
      <c r="AL37" s="31"/>
      <c r="AM37" s="31"/>
      <c r="AN37" s="32"/>
      <c r="AO37" s="32"/>
      <c r="AP37" s="31"/>
      <c r="AQ37" s="32"/>
      <c r="AR37" s="32"/>
      <c r="AS37" s="31"/>
      <c r="AT37" s="31"/>
      <c r="AU37" s="31"/>
      <c r="AV37" s="32"/>
      <c r="AW37" s="32"/>
      <c r="AX37" s="31"/>
      <c r="AY37" s="32"/>
      <c r="AZ37" s="32"/>
      <c r="BA37" s="31"/>
      <c r="BB37" s="31"/>
      <c r="BC37" s="31"/>
      <c r="BD37" s="32"/>
      <c r="BE37" s="32"/>
      <c r="BF37" s="31"/>
      <c r="BG37" s="31"/>
      <c r="BH37" s="32"/>
      <c r="BI37" s="31"/>
      <c r="BJ37" s="31"/>
      <c r="BK37" s="31"/>
      <c r="BL37" s="31"/>
      <c r="BM37" s="31"/>
      <c r="BN37" s="31"/>
      <c r="BO37" s="31"/>
      <c r="BP37" s="32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</row>
    <row r="38" customFormat="1" ht="17.25" spans="1:266">
      <c r="A38" s="32">
        <f>40000000+INDEX(编号表!$B:$B,MATCH(B38,编号表!$A:$A,0))*10000+C38</f>
        <v>40010036</v>
      </c>
      <c r="B38" s="27" t="s">
        <v>435</v>
      </c>
      <c r="C38" s="32">
        <v>36</v>
      </c>
      <c r="D38" s="32" t="s">
        <v>472</v>
      </c>
      <c r="E38" s="32" t="s">
        <v>437</v>
      </c>
      <c r="F38" s="31">
        <f t="shared" si="3"/>
        <v>100000000</v>
      </c>
      <c r="G38" s="31"/>
      <c r="H38" s="32"/>
      <c r="I38" s="32"/>
      <c r="J38" s="32">
        <f t="shared" si="4"/>
        <v>1</v>
      </c>
      <c r="K38" s="32">
        <v>31010001</v>
      </c>
      <c r="L38" s="32" t="str" cm="1">
        <f t="array" ref="L38">INDEX(编号表!$E:$E,MATCH(K38,编号表!$D:$D,0))</f>
        <v>一小袋金币</v>
      </c>
      <c r="M38" s="31"/>
      <c r="N38" s="31"/>
      <c r="O38" s="31"/>
      <c r="P38" s="32">
        <v>100000000</v>
      </c>
      <c r="Q38" s="32">
        <v>18</v>
      </c>
      <c r="R38" s="31"/>
      <c r="S38" s="32"/>
      <c r="T38" s="32"/>
      <c r="U38" s="31"/>
      <c r="V38" s="31"/>
      <c r="W38" s="31"/>
      <c r="X38" s="32"/>
      <c r="Y38" s="32"/>
      <c r="Z38" s="31"/>
      <c r="AA38" s="32"/>
      <c r="AB38" s="32"/>
      <c r="AC38" s="31"/>
      <c r="AD38" s="31"/>
      <c r="AE38" s="31"/>
      <c r="AF38" s="32"/>
      <c r="AG38" s="32"/>
      <c r="AH38" s="31"/>
      <c r="AI38" s="32"/>
      <c r="AJ38" s="32"/>
      <c r="AK38" s="31"/>
      <c r="AL38" s="31"/>
      <c r="AM38" s="31"/>
      <c r="AN38" s="32"/>
      <c r="AO38" s="32"/>
      <c r="AP38" s="31"/>
      <c r="AQ38" s="32"/>
      <c r="AR38" s="32"/>
      <c r="AS38" s="31"/>
      <c r="AT38" s="31"/>
      <c r="AU38" s="31"/>
      <c r="AV38" s="32"/>
      <c r="AW38" s="32"/>
      <c r="AX38" s="31"/>
      <c r="AY38" s="32"/>
      <c r="AZ38" s="32"/>
      <c r="BA38" s="31"/>
      <c r="BB38" s="31"/>
      <c r="BC38" s="31"/>
      <c r="BD38" s="32"/>
      <c r="BE38" s="32"/>
      <c r="BF38" s="31"/>
      <c r="BG38" s="31"/>
      <c r="BH38" s="32"/>
      <c r="BI38" s="31"/>
      <c r="BJ38" s="31"/>
      <c r="BK38" s="31"/>
      <c r="BL38" s="31"/>
      <c r="BM38" s="31"/>
      <c r="BN38" s="31"/>
      <c r="BO38" s="31"/>
      <c r="BP38" s="32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31"/>
      <c r="IL38" s="31"/>
      <c r="IM38" s="31"/>
      <c r="IN38" s="31"/>
      <c r="IO38" s="31"/>
      <c r="IP38" s="31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</row>
    <row r="39" customFormat="1" ht="17.25" spans="1:266">
      <c r="A39" s="32">
        <f>40000000+INDEX(编号表!$B:$B,MATCH(B39,编号表!$A:$A,0))*10000+C39</f>
        <v>40010037</v>
      </c>
      <c r="B39" s="27" t="s">
        <v>435</v>
      </c>
      <c r="C39" s="32">
        <v>37</v>
      </c>
      <c r="D39" s="32" t="s">
        <v>473</v>
      </c>
      <c r="E39" s="32" t="s">
        <v>437</v>
      </c>
      <c r="F39" s="31">
        <f t="shared" si="3"/>
        <v>100000000</v>
      </c>
      <c r="G39" s="31"/>
      <c r="H39" s="32"/>
      <c r="I39" s="32"/>
      <c r="J39" s="32">
        <f t="shared" si="4"/>
        <v>1</v>
      </c>
      <c r="K39" s="32">
        <v>31010001</v>
      </c>
      <c r="L39" s="32" t="str" cm="1">
        <f t="array" ref="L39">INDEX(编号表!$E:$E,MATCH(K39,编号表!$D:$D,0))</f>
        <v>一小袋金币</v>
      </c>
      <c r="M39" s="31"/>
      <c r="N39" s="31"/>
      <c r="O39" s="31"/>
      <c r="P39" s="32">
        <v>100000000</v>
      </c>
      <c r="Q39" s="32">
        <v>27</v>
      </c>
      <c r="R39" s="31"/>
      <c r="S39" s="32"/>
      <c r="T39" s="32"/>
      <c r="U39" s="31"/>
      <c r="V39" s="31"/>
      <c r="W39" s="31"/>
      <c r="X39" s="32"/>
      <c r="Y39" s="32"/>
      <c r="Z39" s="31"/>
      <c r="AA39" s="32"/>
      <c r="AB39" s="32"/>
      <c r="AC39" s="31"/>
      <c r="AD39" s="31"/>
      <c r="AE39" s="31"/>
      <c r="AF39" s="32"/>
      <c r="AG39" s="32"/>
      <c r="AH39" s="31"/>
      <c r="AI39" s="32"/>
      <c r="AJ39" s="32"/>
      <c r="AK39" s="31"/>
      <c r="AL39" s="31"/>
      <c r="AM39" s="31"/>
      <c r="AN39" s="32"/>
      <c r="AO39" s="32"/>
      <c r="AP39" s="31"/>
      <c r="AQ39" s="32"/>
      <c r="AR39" s="32"/>
      <c r="AS39" s="31"/>
      <c r="AT39" s="31"/>
      <c r="AU39" s="31"/>
      <c r="AV39" s="32"/>
      <c r="AW39" s="32"/>
      <c r="AX39" s="31"/>
      <c r="AY39" s="32"/>
      <c r="AZ39" s="32"/>
      <c r="BA39" s="31"/>
      <c r="BB39" s="31"/>
      <c r="BC39" s="31"/>
      <c r="BD39" s="32"/>
      <c r="BE39" s="32"/>
      <c r="BF39" s="31"/>
      <c r="BG39" s="31"/>
      <c r="BH39" s="32"/>
      <c r="BI39" s="31"/>
      <c r="BJ39" s="31"/>
      <c r="BK39" s="31"/>
      <c r="BL39" s="31"/>
      <c r="BM39" s="31"/>
      <c r="BN39" s="31"/>
      <c r="BO39" s="31"/>
      <c r="BP39" s="32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  <c r="HE39" s="31"/>
      <c r="HF39" s="31"/>
      <c r="HG39" s="31"/>
      <c r="HH39" s="31"/>
      <c r="HI39" s="31"/>
      <c r="HJ39" s="31"/>
      <c r="HK39" s="31"/>
      <c r="HL39" s="31"/>
      <c r="HM39" s="31"/>
      <c r="HN39" s="31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  <c r="IB39" s="31"/>
      <c r="IC39" s="31"/>
      <c r="ID39" s="31"/>
      <c r="IE39" s="31"/>
      <c r="IF39" s="31"/>
      <c r="IG39" s="31"/>
      <c r="IH39" s="31"/>
      <c r="II39" s="31"/>
      <c r="IJ39" s="31"/>
      <c r="IK39" s="31"/>
      <c r="IL39" s="31"/>
      <c r="IM39" s="31"/>
      <c r="IN39" s="31"/>
      <c r="IO39" s="31"/>
      <c r="IP39" s="31"/>
      <c r="IQ39" s="31"/>
      <c r="IR39" s="31"/>
      <c r="IS39" s="31"/>
      <c r="IT39" s="31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</row>
    <row r="40" customFormat="1" ht="17.25" spans="1:266">
      <c r="A40" s="32">
        <f>40000000+INDEX(编号表!$B:$B,MATCH(B40,编号表!$A:$A,0))*10000+C40</f>
        <v>40010038</v>
      </c>
      <c r="B40" s="27" t="s">
        <v>435</v>
      </c>
      <c r="C40" s="32">
        <v>38</v>
      </c>
      <c r="D40" s="32" t="s">
        <v>474</v>
      </c>
      <c r="E40" s="32" t="s">
        <v>437</v>
      </c>
      <c r="F40" s="31">
        <f t="shared" si="3"/>
        <v>100000000</v>
      </c>
      <c r="G40" s="31"/>
      <c r="H40" s="32"/>
      <c r="I40" s="32"/>
      <c r="J40" s="32">
        <f t="shared" si="4"/>
        <v>1</v>
      </c>
      <c r="K40" s="32">
        <v>31010001</v>
      </c>
      <c r="L40" s="32" t="str" cm="1">
        <f t="array" ref="L40">INDEX(编号表!$E:$E,MATCH(K40,编号表!$D:$D,0))</f>
        <v>一小袋金币</v>
      </c>
      <c r="M40" s="31"/>
      <c r="N40" s="31"/>
      <c r="O40" s="31"/>
      <c r="P40" s="32">
        <v>100000000</v>
      </c>
      <c r="Q40" s="32">
        <v>36</v>
      </c>
      <c r="R40" s="31"/>
      <c r="S40" s="32"/>
      <c r="T40" s="32"/>
      <c r="U40" s="31"/>
      <c r="V40" s="31"/>
      <c r="W40" s="31"/>
      <c r="X40" s="32"/>
      <c r="Y40" s="32"/>
      <c r="Z40" s="31"/>
      <c r="AA40" s="32"/>
      <c r="AB40" s="32"/>
      <c r="AC40" s="31"/>
      <c r="AD40" s="31"/>
      <c r="AE40" s="31"/>
      <c r="AF40" s="32"/>
      <c r="AG40" s="32"/>
      <c r="AH40" s="31"/>
      <c r="AI40" s="32"/>
      <c r="AJ40" s="32"/>
      <c r="AK40" s="31"/>
      <c r="AL40" s="31"/>
      <c r="AM40" s="31"/>
      <c r="AN40" s="32"/>
      <c r="AO40" s="32"/>
      <c r="AP40" s="31"/>
      <c r="AQ40" s="32"/>
      <c r="AR40" s="32"/>
      <c r="AS40" s="31"/>
      <c r="AT40" s="31"/>
      <c r="AU40" s="31"/>
      <c r="AV40" s="32"/>
      <c r="AW40" s="32"/>
      <c r="AX40" s="31"/>
      <c r="AY40" s="32"/>
      <c r="AZ40" s="32"/>
      <c r="BA40" s="31"/>
      <c r="BB40" s="31"/>
      <c r="BC40" s="31"/>
      <c r="BD40" s="32"/>
      <c r="BE40" s="32"/>
      <c r="BF40" s="31"/>
      <c r="BG40" s="31"/>
      <c r="BH40" s="32"/>
      <c r="BI40" s="31"/>
      <c r="BJ40" s="31"/>
      <c r="BK40" s="31"/>
      <c r="BL40" s="31"/>
      <c r="BM40" s="31"/>
      <c r="BN40" s="31"/>
      <c r="BO40" s="31"/>
      <c r="BP40" s="32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</row>
    <row r="41" customFormat="1" ht="17.25" spans="1:266">
      <c r="A41" s="32">
        <f>40000000+INDEX(编号表!$B:$B,MATCH(B41,编号表!$A:$A,0))*10000+C41</f>
        <v>40010039</v>
      </c>
      <c r="B41" s="27" t="s">
        <v>435</v>
      </c>
      <c r="C41" s="32">
        <v>39</v>
      </c>
      <c r="D41" s="32" t="s">
        <v>475</v>
      </c>
      <c r="E41" s="32" t="s">
        <v>437</v>
      </c>
      <c r="F41" s="31">
        <f t="shared" si="3"/>
        <v>100000000</v>
      </c>
      <c r="G41" s="31"/>
      <c r="H41" s="32"/>
      <c r="I41" s="32"/>
      <c r="J41" s="32">
        <f t="shared" si="4"/>
        <v>1</v>
      </c>
      <c r="K41" s="32">
        <v>31010001</v>
      </c>
      <c r="L41" s="32" t="str" cm="1">
        <f t="array" ref="L41">INDEX(编号表!$E:$E,MATCH(K41,编号表!$D:$D,0))</f>
        <v>一小袋金币</v>
      </c>
      <c r="M41" s="31"/>
      <c r="N41" s="31"/>
      <c r="O41" s="31"/>
      <c r="P41" s="32">
        <v>100000000</v>
      </c>
      <c r="Q41" s="32">
        <v>45</v>
      </c>
      <c r="R41" s="31"/>
      <c r="S41" s="32"/>
      <c r="T41" s="32"/>
      <c r="U41" s="31"/>
      <c r="V41" s="31"/>
      <c r="W41" s="31"/>
      <c r="X41" s="32"/>
      <c r="Y41" s="32"/>
      <c r="Z41" s="31"/>
      <c r="AA41" s="32"/>
      <c r="AB41" s="32"/>
      <c r="AC41" s="31"/>
      <c r="AD41" s="31"/>
      <c r="AE41" s="31"/>
      <c r="AF41" s="32"/>
      <c r="AG41" s="32"/>
      <c r="AH41" s="31"/>
      <c r="AI41" s="32"/>
      <c r="AJ41" s="32"/>
      <c r="AK41" s="31"/>
      <c r="AL41" s="31"/>
      <c r="AM41" s="31"/>
      <c r="AN41" s="32"/>
      <c r="AO41" s="32"/>
      <c r="AP41" s="31"/>
      <c r="AQ41" s="32"/>
      <c r="AR41" s="32"/>
      <c r="AS41" s="31"/>
      <c r="AT41" s="31"/>
      <c r="AU41" s="31"/>
      <c r="AV41" s="32"/>
      <c r="AW41" s="32"/>
      <c r="AX41" s="31"/>
      <c r="AY41" s="32"/>
      <c r="AZ41" s="32"/>
      <c r="BA41" s="31"/>
      <c r="BB41" s="31"/>
      <c r="BC41" s="31"/>
      <c r="BD41" s="32"/>
      <c r="BE41" s="32"/>
      <c r="BF41" s="31"/>
      <c r="BG41" s="31"/>
      <c r="BH41" s="32"/>
      <c r="BI41" s="31"/>
      <c r="BJ41" s="31"/>
      <c r="BK41" s="31"/>
      <c r="BL41" s="31"/>
      <c r="BM41" s="31"/>
      <c r="BN41" s="31"/>
      <c r="BO41" s="31"/>
      <c r="BP41" s="32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</row>
    <row r="42" customFormat="1" ht="17.25" spans="1:266">
      <c r="A42" s="32">
        <f>40000000+INDEX(编号表!$B:$B,MATCH(B42,编号表!$A:$A,0))*10000+C42</f>
        <v>40010040</v>
      </c>
      <c r="B42" s="27" t="s">
        <v>435</v>
      </c>
      <c r="C42" s="32">
        <v>40</v>
      </c>
      <c r="D42" s="32" t="s">
        <v>476</v>
      </c>
      <c r="E42" s="32" t="s">
        <v>437</v>
      </c>
      <c r="F42" s="31">
        <f t="shared" si="3"/>
        <v>100000000</v>
      </c>
      <c r="G42" s="31"/>
      <c r="H42" s="32"/>
      <c r="I42" s="32"/>
      <c r="J42" s="32">
        <f t="shared" si="4"/>
        <v>1</v>
      </c>
      <c r="K42" s="32">
        <v>31010001</v>
      </c>
      <c r="L42" s="32" t="str" cm="1">
        <f t="array" ref="L42">INDEX(编号表!$E:$E,MATCH(K42,编号表!$D:$D,0))</f>
        <v>一小袋金币</v>
      </c>
      <c r="M42" s="31"/>
      <c r="N42" s="31"/>
      <c r="O42" s="31"/>
      <c r="P42" s="32">
        <v>100000000</v>
      </c>
      <c r="Q42" s="32">
        <v>54</v>
      </c>
      <c r="R42" s="31"/>
      <c r="S42" s="32"/>
      <c r="T42" s="32"/>
      <c r="U42" s="31"/>
      <c r="V42" s="31"/>
      <c r="W42" s="31"/>
      <c r="X42" s="32"/>
      <c r="Y42" s="32"/>
      <c r="Z42" s="31"/>
      <c r="AA42" s="32"/>
      <c r="AB42" s="32"/>
      <c r="AC42" s="31"/>
      <c r="AD42" s="31"/>
      <c r="AE42" s="31"/>
      <c r="AF42" s="32"/>
      <c r="AG42" s="32"/>
      <c r="AH42" s="31"/>
      <c r="AI42" s="32"/>
      <c r="AJ42" s="32"/>
      <c r="AK42" s="31"/>
      <c r="AL42" s="31"/>
      <c r="AM42" s="31"/>
      <c r="AN42" s="32"/>
      <c r="AO42" s="32"/>
      <c r="AP42" s="31"/>
      <c r="AQ42" s="32"/>
      <c r="AR42" s="32"/>
      <c r="AS42" s="31"/>
      <c r="AT42" s="31"/>
      <c r="AU42" s="31"/>
      <c r="AV42" s="32"/>
      <c r="AW42" s="32"/>
      <c r="AX42" s="31"/>
      <c r="AY42" s="32"/>
      <c r="AZ42" s="32"/>
      <c r="BA42" s="31"/>
      <c r="BB42" s="31"/>
      <c r="BC42" s="31"/>
      <c r="BD42" s="32"/>
      <c r="BE42" s="32"/>
      <c r="BF42" s="31"/>
      <c r="BG42" s="31"/>
      <c r="BH42" s="32"/>
      <c r="BI42" s="31"/>
      <c r="BJ42" s="31"/>
      <c r="BK42" s="31"/>
      <c r="BL42" s="31"/>
      <c r="BM42" s="31"/>
      <c r="BN42" s="31"/>
      <c r="BO42" s="31"/>
      <c r="BP42" s="32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</row>
    <row r="43" customFormat="1" ht="17.25" spans="1:266">
      <c r="A43" s="32">
        <f>40000000+INDEX(编号表!$B:$B,MATCH(B43,编号表!$A:$A,0))*10000+C43</f>
        <v>40010041</v>
      </c>
      <c r="B43" s="27" t="s">
        <v>435</v>
      </c>
      <c r="C43" s="32">
        <v>41</v>
      </c>
      <c r="D43" s="32" t="s">
        <v>477</v>
      </c>
      <c r="E43" s="32" t="s">
        <v>437</v>
      </c>
      <c r="F43" s="31">
        <f t="shared" si="3"/>
        <v>100000000</v>
      </c>
      <c r="G43" s="31"/>
      <c r="H43" s="32"/>
      <c r="I43" s="32"/>
      <c r="J43" s="32">
        <f t="shared" si="4"/>
        <v>1</v>
      </c>
      <c r="K43" s="32">
        <v>31010001</v>
      </c>
      <c r="L43" s="32" t="str" cm="1">
        <f t="array" ref="L43">INDEX(编号表!$E:$E,MATCH(K43,编号表!$D:$D,0))</f>
        <v>一小袋金币</v>
      </c>
      <c r="M43" s="31"/>
      <c r="N43" s="31"/>
      <c r="O43" s="31"/>
      <c r="P43" s="32">
        <v>100000000</v>
      </c>
      <c r="Q43" s="32">
        <v>63</v>
      </c>
      <c r="R43" s="31"/>
      <c r="S43" s="32"/>
      <c r="T43" s="32"/>
      <c r="U43" s="31"/>
      <c r="V43" s="31"/>
      <c r="W43" s="31"/>
      <c r="X43" s="32"/>
      <c r="Y43" s="32"/>
      <c r="Z43" s="31"/>
      <c r="AA43" s="32"/>
      <c r="AB43" s="32"/>
      <c r="AC43" s="31"/>
      <c r="AD43" s="31"/>
      <c r="AE43" s="31"/>
      <c r="AF43" s="32"/>
      <c r="AG43" s="32"/>
      <c r="AH43" s="31"/>
      <c r="AI43" s="32"/>
      <c r="AJ43" s="32"/>
      <c r="AK43" s="31"/>
      <c r="AL43" s="31"/>
      <c r="AM43" s="31"/>
      <c r="AN43" s="32"/>
      <c r="AO43" s="32"/>
      <c r="AP43" s="31"/>
      <c r="AQ43" s="32"/>
      <c r="AR43" s="32"/>
      <c r="AS43" s="31"/>
      <c r="AT43" s="31"/>
      <c r="AU43" s="31"/>
      <c r="AV43" s="32"/>
      <c r="AW43" s="32"/>
      <c r="AX43" s="31"/>
      <c r="AY43" s="32"/>
      <c r="AZ43" s="32"/>
      <c r="BA43" s="31"/>
      <c r="BB43" s="31"/>
      <c r="BC43" s="31"/>
      <c r="BD43" s="32"/>
      <c r="BE43" s="32"/>
      <c r="BF43" s="31"/>
      <c r="BG43" s="31"/>
      <c r="BH43" s="32"/>
      <c r="BI43" s="31"/>
      <c r="BJ43" s="31"/>
      <c r="BK43" s="31"/>
      <c r="BL43" s="31"/>
      <c r="BM43" s="31"/>
      <c r="BN43" s="31"/>
      <c r="BO43" s="31"/>
      <c r="BP43" s="32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  <c r="JB43" s="31"/>
      <c r="JC43" s="31"/>
      <c r="JD43" s="31"/>
      <c r="JE43" s="31"/>
      <c r="JF43" s="31"/>
    </row>
    <row r="44" customFormat="1" ht="17.25" spans="1:266">
      <c r="A44" s="32">
        <f>40000000+INDEX(编号表!$B:$B,MATCH(B44,编号表!$A:$A,0))*10000+C44</f>
        <v>40010042</v>
      </c>
      <c r="B44" s="27" t="s">
        <v>435</v>
      </c>
      <c r="C44" s="32">
        <v>42</v>
      </c>
      <c r="D44" s="32" t="s">
        <v>478</v>
      </c>
      <c r="E44" s="32" t="s">
        <v>437</v>
      </c>
      <c r="F44" s="31">
        <f t="shared" si="3"/>
        <v>100000000</v>
      </c>
      <c r="G44" s="31"/>
      <c r="H44" s="32"/>
      <c r="I44" s="32"/>
      <c r="J44" s="32">
        <f t="shared" si="4"/>
        <v>1</v>
      </c>
      <c r="K44" s="32">
        <v>31010001</v>
      </c>
      <c r="L44" s="32" t="str" cm="1">
        <f t="array" ref="L44">INDEX(编号表!$E:$E,MATCH(K44,编号表!$D:$D,0))</f>
        <v>一小袋金币</v>
      </c>
      <c r="M44" s="31"/>
      <c r="N44" s="31"/>
      <c r="O44" s="31"/>
      <c r="P44" s="32">
        <v>100000000</v>
      </c>
      <c r="Q44" s="32">
        <v>72</v>
      </c>
      <c r="R44" s="31"/>
      <c r="S44" s="32"/>
      <c r="T44" s="32"/>
      <c r="U44" s="31"/>
      <c r="V44" s="31"/>
      <c r="W44" s="31"/>
      <c r="X44" s="32"/>
      <c r="Y44" s="32"/>
      <c r="Z44" s="31"/>
      <c r="AA44" s="32"/>
      <c r="AB44" s="32"/>
      <c r="AC44" s="31"/>
      <c r="AD44" s="31"/>
      <c r="AE44" s="31"/>
      <c r="AF44" s="32"/>
      <c r="AG44" s="32"/>
      <c r="AH44" s="31"/>
      <c r="AI44" s="32"/>
      <c r="AJ44" s="32"/>
      <c r="AK44" s="31"/>
      <c r="AL44" s="31"/>
      <c r="AM44" s="31"/>
      <c r="AN44" s="32"/>
      <c r="AO44" s="32"/>
      <c r="AP44" s="31"/>
      <c r="AQ44" s="32"/>
      <c r="AR44" s="32"/>
      <c r="AS44" s="31"/>
      <c r="AT44" s="31"/>
      <c r="AU44" s="31"/>
      <c r="AV44" s="32"/>
      <c r="AW44" s="32"/>
      <c r="AX44" s="31"/>
      <c r="AY44" s="32"/>
      <c r="AZ44" s="32"/>
      <c r="BA44" s="31"/>
      <c r="BB44" s="31"/>
      <c r="BC44" s="31"/>
      <c r="BD44" s="32"/>
      <c r="BE44" s="32"/>
      <c r="BF44" s="31"/>
      <c r="BG44" s="31"/>
      <c r="BH44" s="32"/>
      <c r="BI44" s="31"/>
      <c r="BJ44" s="31"/>
      <c r="BK44" s="31"/>
      <c r="BL44" s="31"/>
      <c r="BM44" s="31"/>
      <c r="BN44" s="31"/>
      <c r="BO44" s="31"/>
      <c r="BP44" s="32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  <c r="JB44" s="31"/>
      <c r="JC44" s="31"/>
      <c r="JD44" s="31"/>
      <c r="JE44" s="31"/>
      <c r="JF44" s="31"/>
    </row>
    <row r="45" customFormat="1" ht="17.25" spans="1:266">
      <c r="A45" s="32">
        <f>40000000+INDEX(编号表!$B:$B,MATCH(B45,编号表!$A:$A,0))*10000+C45</f>
        <v>40010043</v>
      </c>
      <c r="B45" s="27" t="s">
        <v>435</v>
      </c>
      <c r="C45" s="32">
        <v>43</v>
      </c>
      <c r="D45" s="32" t="s">
        <v>479</v>
      </c>
      <c r="E45" s="32" t="s">
        <v>437</v>
      </c>
      <c r="F45" s="31">
        <f t="shared" si="3"/>
        <v>100000000</v>
      </c>
      <c r="G45" s="31"/>
      <c r="H45" s="32"/>
      <c r="I45" s="32"/>
      <c r="J45" s="32">
        <f t="shared" si="4"/>
        <v>1</v>
      </c>
      <c r="K45" s="32">
        <v>31010001</v>
      </c>
      <c r="L45" s="32" t="str" cm="1">
        <f t="array" ref="L45">INDEX(编号表!$E:$E,MATCH(K45,编号表!$D:$D,0))</f>
        <v>一小袋金币</v>
      </c>
      <c r="M45" s="31"/>
      <c r="N45" s="31"/>
      <c r="O45" s="31"/>
      <c r="P45" s="32">
        <v>100000000</v>
      </c>
      <c r="Q45" s="32">
        <v>81</v>
      </c>
      <c r="R45" s="31"/>
      <c r="S45" s="32"/>
      <c r="T45" s="32"/>
      <c r="U45" s="31"/>
      <c r="V45" s="31"/>
      <c r="W45" s="31"/>
      <c r="X45" s="32"/>
      <c r="Y45" s="32"/>
      <c r="Z45" s="31"/>
      <c r="AA45" s="32"/>
      <c r="AB45" s="32"/>
      <c r="AC45" s="31"/>
      <c r="AD45" s="31"/>
      <c r="AE45" s="31"/>
      <c r="AF45" s="32"/>
      <c r="AG45" s="32"/>
      <c r="AH45" s="31"/>
      <c r="AI45" s="32"/>
      <c r="AJ45" s="32"/>
      <c r="AK45" s="31"/>
      <c r="AL45" s="31"/>
      <c r="AM45" s="31"/>
      <c r="AN45" s="32"/>
      <c r="AO45" s="32"/>
      <c r="AP45" s="31"/>
      <c r="AQ45" s="32"/>
      <c r="AR45" s="32"/>
      <c r="AS45" s="31"/>
      <c r="AT45" s="31"/>
      <c r="AU45" s="31"/>
      <c r="AV45" s="32"/>
      <c r="AW45" s="32"/>
      <c r="AX45" s="31"/>
      <c r="AY45" s="32"/>
      <c r="AZ45" s="32"/>
      <c r="BA45" s="31"/>
      <c r="BB45" s="31"/>
      <c r="BC45" s="31"/>
      <c r="BD45" s="32"/>
      <c r="BE45" s="32"/>
      <c r="BF45" s="31"/>
      <c r="BG45" s="31"/>
      <c r="BH45" s="32"/>
      <c r="BI45" s="31"/>
      <c r="BJ45" s="31"/>
      <c r="BK45" s="31"/>
      <c r="BL45" s="31"/>
      <c r="BM45" s="31"/>
      <c r="BN45" s="31"/>
      <c r="BO45" s="31"/>
      <c r="BP45" s="32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  <c r="JB45" s="31"/>
      <c r="JC45" s="31"/>
      <c r="JD45" s="31"/>
      <c r="JE45" s="31"/>
      <c r="JF45" s="31"/>
    </row>
    <row r="46" customFormat="1" ht="17.25" spans="1:266">
      <c r="A46" s="32">
        <f>40000000+INDEX(编号表!$B:$B,MATCH(B46,编号表!$A:$A,0))*10000+C46</f>
        <v>40010044</v>
      </c>
      <c r="B46" s="27" t="s">
        <v>435</v>
      </c>
      <c r="C46" s="32">
        <v>44</v>
      </c>
      <c r="D46" s="32" t="s">
        <v>480</v>
      </c>
      <c r="E46" s="32" t="s">
        <v>437</v>
      </c>
      <c r="F46" s="31">
        <f t="shared" si="3"/>
        <v>100000000</v>
      </c>
      <c r="G46" s="31"/>
      <c r="H46" s="32"/>
      <c r="I46" s="32"/>
      <c r="J46" s="32">
        <f t="shared" si="4"/>
        <v>1</v>
      </c>
      <c r="K46" s="32">
        <v>31010001</v>
      </c>
      <c r="L46" s="32" t="str" cm="1">
        <f t="array" ref="L46">INDEX(编号表!$E:$E,MATCH(K46,编号表!$D:$D,0))</f>
        <v>一小袋金币</v>
      </c>
      <c r="M46" s="31"/>
      <c r="N46" s="31"/>
      <c r="O46" s="31"/>
      <c r="P46" s="32">
        <v>100000000</v>
      </c>
      <c r="Q46" s="32">
        <v>90</v>
      </c>
      <c r="R46" s="31"/>
      <c r="S46" s="32"/>
      <c r="T46" s="32"/>
      <c r="U46" s="31"/>
      <c r="V46" s="31"/>
      <c r="W46" s="31"/>
      <c r="X46" s="32"/>
      <c r="Y46" s="32"/>
      <c r="Z46" s="31"/>
      <c r="AA46" s="32"/>
      <c r="AB46" s="32"/>
      <c r="AC46" s="31"/>
      <c r="AD46" s="31"/>
      <c r="AE46" s="31"/>
      <c r="AF46" s="32"/>
      <c r="AG46" s="32"/>
      <c r="AH46" s="31"/>
      <c r="AI46" s="32"/>
      <c r="AJ46" s="32"/>
      <c r="AK46" s="31"/>
      <c r="AL46" s="31"/>
      <c r="AM46" s="31"/>
      <c r="AN46" s="32"/>
      <c r="AO46" s="32"/>
      <c r="AP46" s="31"/>
      <c r="AQ46" s="32"/>
      <c r="AR46" s="32"/>
      <c r="AS46" s="31"/>
      <c r="AT46" s="31"/>
      <c r="AU46" s="31"/>
      <c r="AV46" s="32"/>
      <c r="AW46" s="32"/>
      <c r="AX46" s="31"/>
      <c r="AY46" s="32"/>
      <c r="AZ46" s="32"/>
      <c r="BA46" s="31"/>
      <c r="BB46" s="31"/>
      <c r="BC46" s="31"/>
      <c r="BD46" s="32"/>
      <c r="BE46" s="32"/>
      <c r="BF46" s="31"/>
      <c r="BG46" s="31"/>
      <c r="BH46" s="32"/>
      <c r="BI46" s="31"/>
      <c r="BJ46" s="31"/>
      <c r="BK46" s="31"/>
      <c r="BL46" s="31"/>
      <c r="BM46" s="31"/>
      <c r="BN46" s="31"/>
      <c r="BO46" s="31"/>
      <c r="BP46" s="32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  <c r="IV46" s="31"/>
      <c r="IW46" s="31"/>
      <c r="IX46" s="31"/>
      <c r="IY46" s="31"/>
      <c r="IZ46" s="31"/>
      <c r="JA46" s="31"/>
      <c r="JB46" s="31"/>
      <c r="JC46" s="31"/>
      <c r="JD46" s="31"/>
      <c r="JE46" s="31"/>
      <c r="JF46" s="31"/>
    </row>
    <row r="47" customFormat="1" ht="17.25" spans="1:266">
      <c r="A47" s="32">
        <f>40000000+INDEX(编号表!$B:$B,MATCH(B47,编号表!$A:$A,0))*10000+C47</f>
        <v>40010045</v>
      </c>
      <c r="B47" s="27" t="s">
        <v>435</v>
      </c>
      <c r="C47" s="32">
        <v>45</v>
      </c>
      <c r="D47" s="32" t="s">
        <v>481</v>
      </c>
      <c r="E47" s="32" t="s">
        <v>437</v>
      </c>
      <c r="F47" s="31">
        <f t="shared" si="3"/>
        <v>100000000</v>
      </c>
      <c r="G47" s="31"/>
      <c r="H47" s="32"/>
      <c r="I47" s="32"/>
      <c r="J47" s="32">
        <f t="shared" si="4"/>
        <v>1</v>
      </c>
      <c r="K47" s="32">
        <v>31010001</v>
      </c>
      <c r="L47" s="32" t="str" cm="1">
        <f t="array" ref="L47">INDEX(编号表!$E:$E,MATCH(K47,编号表!$D:$D,0))</f>
        <v>一小袋金币</v>
      </c>
      <c r="M47" s="31"/>
      <c r="N47" s="31"/>
      <c r="O47" s="31"/>
      <c r="P47" s="32">
        <v>100000000</v>
      </c>
      <c r="Q47" s="32">
        <v>99</v>
      </c>
      <c r="R47" s="31"/>
      <c r="S47" s="32"/>
      <c r="T47" s="32"/>
      <c r="U47" s="31"/>
      <c r="V47" s="31"/>
      <c r="W47" s="31"/>
      <c r="X47" s="32"/>
      <c r="Y47" s="32"/>
      <c r="Z47" s="31"/>
      <c r="AA47" s="32"/>
      <c r="AB47" s="32"/>
      <c r="AC47" s="31"/>
      <c r="AD47" s="31"/>
      <c r="AE47" s="31"/>
      <c r="AF47" s="32"/>
      <c r="AG47" s="32"/>
      <c r="AH47" s="31"/>
      <c r="AI47" s="32"/>
      <c r="AJ47" s="32"/>
      <c r="AK47" s="31"/>
      <c r="AL47" s="31"/>
      <c r="AM47" s="31"/>
      <c r="AN47" s="32"/>
      <c r="AO47" s="32"/>
      <c r="AP47" s="31"/>
      <c r="AQ47" s="32"/>
      <c r="AR47" s="32"/>
      <c r="AS47" s="31"/>
      <c r="AT47" s="31"/>
      <c r="AU47" s="31"/>
      <c r="AV47" s="32"/>
      <c r="AW47" s="32"/>
      <c r="AX47" s="31"/>
      <c r="AY47" s="32"/>
      <c r="AZ47" s="32"/>
      <c r="BA47" s="31"/>
      <c r="BB47" s="31"/>
      <c r="BC47" s="31"/>
      <c r="BD47" s="32"/>
      <c r="BE47" s="32"/>
      <c r="BF47" s="31"/>
      <c r="BG47" s="31"/>
      <c r="BH47" s="32"/>
      <c r="BI47" s="31"/>
      <c r="BJ47" s="31"/>
      <c r="BK47" s="31"/>
      <c r="BL47" s="31"/>
      <c r="BM47" s="31"/>
      <c r="BN47" s="31"/>
      <c r="BO47" s="31"/>
      <c r="BP47" s="32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</row>
    <row r="48" customFormat="1" ht="17.25" spans="1:266">
      <c r="A48" s="32">
        <f>40000000+INDEX(编号表!$B:$B,MATCH(B48,编号表!$A:$A,0))*10000+C48</f>
        <v>40010046</v>
      </c>
      <c r="B48" s="27" t="s">
        <v>435</v>
      </c>
      <c r="C48" s="32">
        <v>46</v>
      </c>
      <c r="D48" s="32" t="s">
        <v>482</v>
      </c>
      <c r="E48" s="32" t="s">
        <v>437</v>
      </c>
      <c r="F48" s="31">
        <f t="shared" si="3"/>
        <v>100000000</v>
      </c>
      <c r="G48" s="31"/>
      <c r="H48" s="32"/>
      <c r="I48" s="32"/>
      <c r="J48" s="32">
        <f t="shared" si="4"/>
        <v>1</v>
      </c>
      <c r="K48" s="32">
        <v>31010001</v>
      </c>
      <c r="L48" s="32" t="str" cm="1">
        <f t="array" ref="L48">INDEX(编号表!$E:$E,MATCH(K48,编号表!$D:$D,0))</f>
        <v>一小袋金币</v>
      </c>
      <c r="M48" s="31"/>
      <c r="N48" s="31"/>
      <c r="O48" s="31"/>
      <c r="P48" s="32">
        <v>100000000</v>
      </c>
      <c r="Q48" s="32">
        <v>108</v>
      </c>
      <c r="R48" s="31"/>
      <c r="S48" s="32"/>
      <c r="T48" s="32"/>
      <c r="U48" s="31"/>
      <c r="V48" s="31"/>
      <c r="W48" s="31"/>
      <c r="X48" s="32"/>
      <c r="Y48" s="32"/>
      <c r="Z48" s="31"/>
      <c r="AA48" s="32"/>
      <c r="AB48" s="32"/>
      <c r="AC48" s="31"/>
      <c r="AD48" s="31"/>
      <c r="AE48" s="31"/>
      <c r="AF48" s="32"/>
      <c r="AG48" s="32"/>
      <c r="AH48" s="31"/>
      <c r="AI48" s="32"/>
      <c r="AJ48" s="32"/>
      <c r="AK48" s="31"/>
      <c r="AL48" s="31"/>
      <c r="AM48" s="31"/>
      <c r="AN48" s="32"/>
      <c r="AO48" s="32"/>
      <c r="AP48" s="31"/>
      <c r="AQ48" s="32"/>
      <c r="AR48" s="32"/>
      <c r="AS48" s="31"/>
      <c r="AT48" s="31"/>
      <c r="AU48" s="31"/>
      <c r="AV48" s="32"/>
      <c r="AW48" s="32"/>
      <c r="AX48" s="31"/>
      <c r="AY48" s="32"/>
      <c r="AZ48" s="32"/>
      <c r="BA48" s="31"/>
      <c r="BB48" s="31"/>
      <c r="BC48" s="31"/>
      <c r="BD48" s="32"/>
      <c r="BE48" s="32"/>
      <c r="BF48" s="31"/>
      <c r="BG48" s="31"/>
      <c r="BH48" s="32"/>
      <c r="BI48" s="31"/>
      <c r="BJ48" s="31"/>
      <c r="BK48" s="31"/>
      <c r="BL48" s="31"/>
      <c r="BM48" s="31"/>
      <c r="BN48" s="31"/>
      <c r="BO48" s="31"/>
      <c r="BP48" s="32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</row>
    <row r="49" customFormat="1" ht="17.25" spans="1:266">
      <c r="A49" s="32">
        <f>40000000+INDEX(编号表!$B:$B,MATCH(B49,编号表!$A:$A,0))*10000+C49</f>
        <v>40010047</v>
      </c>
      <c r="B49" s="27" t="s">
        <v>435</v>
      </c>
      <c r="C49" s="32">
        <v>47</v>
      </c>
      <c r="D49" s="32" t="s">
        <v>483</v>
      </c>
      <c r="E49" s="32" t="s">
        <v>437</v>
      </c>
      <c r="F49" s="31">
        <f t="shared" si="3"/>
        <v>100000000</v>
      </c>
      <c r="G49" s="31"/>
      <c r="H49" s="32"/>
      <c r="I49" s="32"/>
      <c r="J49" s="32">
        <f t="shared" si="4"/>
        <v>1</v>
      </c>
      <c r="K49" s="32">
        <v>31010001</v>
      </c>
      <c r="L49" s="32" t="str" cm="1">
        <f t="array" ref="L49">INDEX(编号表!$E:$E,MATCH(K49,编号表!$D:$D,0))</f>
        <v>一小袋金币</v>
      </c>
      <c r="M49" s="31"/>
      <c r="N49" s="31"/>
      <c r="O49" s="31"/>
      <c r="P49" s="32">
        <v>100000000</v>
      </c>
      <c r="Q49" s="32">
        <v>117</v>
      </c>
      <c r="R49" s="31"/>
      <c r="S49" s="32"/>
      <c r="T49" s="32"/>
      <c r="U49" s="31"/>
      <c r="V49" s="31"/>
      <c r="W49" s="31"/>
      <c r="X49" s="32"/>
      <c r="Y49" s="32"/>
      <c r="Z49" s="31"/>
      <c r="AA49" s="32"/>
      <c r="AB49" s="32"/>
      <c r="AC49" s="31"/>
      <c r="AD49" s="31"/>
      <c r="AE49" s="31"/>
      <c r="AF49" s="32"/>
      <c r="AG49" s="32"/>
      <c r="AH49" s="31"/>
      <c r="AI49" s="32"/>
      <c r="AJ49" s="32"/>
      <c r="AK49" s="31"/>
      <c r="AL49" s="31"/>
      <c r="AM49" s="31"/>
      <c r="AN49" s="32"/>
      <c r="AO49" s="32"/>
      <c r="AP49" s="31"/>
      <c r="AQ49" s="32"/>
      <c r="AR49" s="32"/>
      <c r="AS49" s="31"/>
      <c r="AT49" s="31"/>
      <c r="AU49" s="31"/>
      <c r="AV49" s="32"/>
      <c r="AW49" s="32"/>
      <c r="AX49" s="31"/>
      <c r="AY49" s="32"/>
      <c r="AZ49" s="32"/>
      <c r="BA49" s="31"/>
      <c r="BB49" s="31"/>
      <c r="BC49" s="31"/>
      <c r="BD49" s="32"/>
      <c r="BE49" s="32"/>
      <c r="BF49" s="31"/>
      <c r="BG49" s="31"/>
      <c r="BH49" s="32"/>
      <c r="BI49" s="31"/>
      <c r="BJ49" s="31"/>
      <c r="BK49" s="31"/>
      <c r="BL49" s="31"/>
      <c r="BM49" s="31"/>
      <c r="BN49" s="31"/>
      <c r="BO49" s="31"/>
      <c r="BP49" s="32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  <c r="IV49" s="31"/>
      <c r="IW49" s="31"/>
      <c r="IX49" s="31"/>
      <c r="IY49" s="31"/>
      <c r="IZ49" s="31"/>
      <c r="JA49" s="31"/>
      <c r="JB49" s="31"/>
      <c r="JC49" s="31"/>
      <c r="JD49" s="31"/>
      <c r="JE49" s="31"/>
      <c r="JF49" s="31"/>
    </row>
    <row r="50" customFormat="1" ht="17.25" spans="1:266">
      <c r="A50" s="32">
        <f>40000000+INDEX(编号表!$B:$B,MATCH(B50,编号表!$A:$A,0))*10000+C50</f>
        <v>40010048</v>
      </c>
      <c r="B50" s="27" t="s">
        <v>435</v>
      </c>
      <c r="C50" s="32">
        <v>48</v>
      </c>
      <c r="D50" s="32" t="s">
        <v>484</v>
      </c>
      <c r="E50" s="32" t="s">
        <v>437</v>
      </c>
      <c r="F50" s="31">
        <f t="shared" si="3"/>
        <v>100000000</v>
      </c>
      <c r="G50" s="31"/>
      <c r="H50" s="32"/>
      <c r="I50" s="32"/>
      <c r="J50" s="32">
        <f t="shared" si="4"/>
        <v>1</v>
      </c>
      <c r="K50" s="32">
        <v>31010001</v>
      </c>
      <c r="L50" s="32" t="str" cm="1">
        <f t="array" ref="L50">INDEX(编号表!$E:$E,MATCH(K50,编号表!$D:$D,0))</f>
        <v>一小袋金币</v>
      </c>
      <c r="M50" s="31"/>
      <c r="N50" s="31"/>
      <c r="O50" s="31"/>
      <c r="P50" s="32">
        <v>100000000</v>
      </c>
      <c r="Q50" s="32">
        <v>126</v>
      </c>
      <c r="R50" s="31"/>
      <c r="S50" s="32"/>
      <c r="T50" s="32"/>
      <c r="U50" s="31"/>
      <c r="V50" s="31"/>
      <c r="W50" s="31"/>
      <c r="X50" s="32"/>
      <c r="Y50" s="32"/>
      <c r="Z50" s="31"/>
      <c r="AA50" s="32"/>
      <c r="AB50" s="32"/>
      <c r="AC50" s="31"/>
      <c r="AD50" s="31"/>
      <c r="AE50" s="31"/>
      <c r="AF50" s="32"/>
      <c r="AG50" s="32"/>
      <c r="AH50" s="31"/>
      <c r="AI50" s="32"/>
      <c r="AJ50" s="32"/>
      <c r="AK50" s="31"/>
      <c r="AL50" s="31"/>
      <c r="AM50" s="31"/>
      <c r="AN50" s="32"/>
      <c r="AO50" s="32"/>
      <c r="AP50" s="31"/>
      <c r="AQ50" s="32"/>
      <c r="AR50" s="32"/>
      <c r="AS50" s="31"/>
      <c r="AT50" s="31"/>
      <c r="AU50" s="31"/>
      <c r="AV50" s="32"/>
      <c r="AW50" s="32"/>
      <c r="AX50" s="31"/>
      <c r="AY50" s="32"/>
      <c r="AZ50" s="32"/>
      <c r="BA50" s="31"/>
      <c r="BB50" s="31"/>
      <c r="BC50" s="31"/>
      <c r="BD50" s="32"/>
      <c r="BE50" s="32"/>
      <c r="BF50" s="31"/>
      <c r="BG50" s="31"/>
      <c r="BH50" s="32"/>
      <c r="BI50" s="31"/>
      <c r="BJ50" s="31"/>
      <c r="BK50" s="31"/>
      <c r="BL50" s="31"/>
      <c r="BM50" s="31"/>
      <c r="BN50" s="31"/>
      <c r="BO50" s="31"/>
      <c r="BP50" s="32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</row>
    <row r="51" customFormat="1" ht="17.25" spans="1:266">
      <c r="A51" s="32">
        <f>40000000+INDEX(编号表!$B:$B,MATCH(B51,编号表!$A:$A,0))*10000+C51</f>
        <v>40010049</v>
      </c>
      <c r="B51" s="27" t="s">
        <v>435</v>
      </c>
      <c r="C51" s="32">
        <v>49</v>
      </c>
      <c r="D51" s="32" t="s">
        <v>485</v>
      </c>
      <c r="E51" s="32" t="s">
        <v>437</v>
      </c>
      <c r="F51" s="31">
        <f t="shared" si="3"/>
        <v>100000000</v>
      </c>
      <c r="G51" s="31"/>
      <c r="H51" s="32"/>
      <c r="I51" s="32"/>
      <c r="J51" s="32">
        <f t="shared" si="4"/>
        <v>1</v>
      </c>
      <c r="K51" s="32">
        <v>31010001</v>
      </c>
      <c r="L51" s="32" t="str" cm="1">
        <f t="array" ref="L51">INDEX(编号表!$E:$E,MATCH(K51,编号表!$D:$D,0))</f>
        <v>一小袋金币</v>
      </c>
      <c r="M51" s="31"/>
      <c r="N51" s="31"/>
      <c r="O51" s="31"/>
      <c r="P51" s="32">
        <v>100000000</v>
      </c>
      <c r="Q51" s="32">
        <v>135</v>
      </c>
      <c r="R51" s="31"/>
      <c r="S51" s="32"/>
      <c r="T51" s="32"/>
      <c r="U51" s="31"/>
      <c r="V51" s="31"/>
      <c r="W51" s="31"/>
      <c r="X51" s="32"/>
      <c r="Y51" s="32"/>
      <c r="Z51" s="31"/>
      <c r="AA51" s="32"/>
      <c r="AB51" s="32"/>
      <c r="AC51" s="31"/>
      <c r="AD51" s="31"/>
      <c r="AE51" s="31"/>
      <c r="AF51" s="32"/>
      <c r="AG51" s="32"/>
      <c r="AH51" s="31"/>
      <c r="AI51" s="32"/>
      <c r="AJ51" s="32"/>
      <c r="AK51" s="31"/>
      <c r="AL51" s="31"/>
      <c r="AM51" s="31"/>
      <c r="AN51" s="32"/>
      <c r="AO51" s="32"/>
      <c r="AP51" s="31"/>
      <c r="AQ51" s="32"/>
      <c r="AR51" s="32"/>
      <c r="AS51" s="31"/>
      <c r="AT51" s="31"/>
      <c r="AU51" s="31"/>
      <c r="AV51" s="32"/>
      <c r="AW51" s="32"/>
      <c r="AX51" s="31"/>
      <c r="AY51" s="32"/>
      <c r="AZ51" s="32"/>
      <c r="BA51" s="31"/>
      <c r="BB51" s="31"/>
      <c r="BC51" s="31"/>
      <c r="BD51" s="32"/>
      <c r="BE51" s="32"/>
      <c r="BF51" s="31"/>
      <c r="BG51" s="31"/>
      <c r="BH51" s="32"/>
      <c r="BI51" s="31"/>
      <c r="BJ51" s="31"/>
      <c r="BK51" s="31"/>
      <c r="BL51" s="31"/>
      <c r="BM51" s="31"/>
      <c r="BN51" s="31"/>
      <c r="BO51" s="31"/>
      <c r="BP51" s="32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</row>
    <row r="52" customFormat="1" ht="17.25" spans="1:266">
      <c r="A52" s="32">
        <f>40000000+INDEX(编号表!$B:$B,MATCH(B52,编号表!$A:$A,0))*10000+C52</f>
        <v>40010050</v>
      </c>
      <c r="B52" s="27" t="s">
        <v>435</v>
      </c>
      <c r="C52" s="32">
        <v>50</v>
      </c>
      <c r="D52" s="32" t="s">
        <v>486</v>
      </c>
      <c r="E52" s="32" t="s">
        <v>437</v>
      </c>
      <c r="F52" s="31">
        <f t="shared" si="3"/>
        <v>100000000</v>
      </c>
      <c r="G52" s="31"/>
      <c r="H52" s="32"/>
      <c r="I52" s="32"/>
      <c r="J52" s="32">
        <f t="shared" si="4"/>
        <v>1</v>
      </c>
      <c r="K52" s="32">
        <v>31010001</v>
      </c>
      <c r="L52" s="32" t="str" cm="1">
        <f t="array" ref="L52">INDEX(编号表!$E:$E,MATCH(K52,编号表!$D:$D,0))</f>
        <v>一小袋金币</v>
      </c>
      <c r="M52" s="31"/>
      <c r="N52" s="31"/>
      <c r="O52" s="31"/>
      <c r="P52" s="32">
        <v>100000000</v>
      </c>
      <c r="Q52" s="32">
        <v>144</v>
      </c>
      <c r="R52" s="31"/>
      <c r="S52" s="32"/>
      <c r="T52" s="32"/>
      <c r="U52" s="31"/>
      <c r="V52" s="31"/>
      <c r="W52" s="31"/>
      <c r="X52" s="32"/>
      <c r="Y52" s="32"/>
      <c r="Z52" s="31"/>
      <c r="AA52" s="32"/>
      <c r="AB52" s="32"/>
      <c r="AC52" s="31"/>
      <c r="AD52" s="31"/>
      <c r="AE52" s="31"/>
      <c r="AF52" s="32"/>
      <c r="AG52" s="32"/>
      <c r="AH52" s="31"/>
      <c r="AI52" s="32"/>
      <c r="AJ52" s="32"/>
      <c r="AK52" s="31"/>
      <c r="AL52" s="31"/>
      <c r="AM52" s="31"/>
      <c r="AN52" s="32"/>
      <c r="AO52" s="32"/>
      <c r="AP52" s="31"/>
      <c r="AQ52" s="32"/>
      <c r="AR52" s="32"/>
      <c r="AS52" s="31"/>
      <c r="AT52" s="31"/>
      <c r="AU52" s="31"/>
      <c r="AV52" s="32"/>
      <c r="AW52" s="32"/>
      <c r="AX52" s="31"/>
      <c r="AY52" s="32"/>
      <c r="AZ52" s="32"/>
      <c r="BA52" s="31"/>
      <c r="BB52" s="31"/>
      <c r="BC52" s="31"/>
      <c r="BD52" s="32"/>
      <c r="BE52" s="32"/>
      <c r="BF52" s="31"/>
      <c r="BG52" s="31"/>
      <c r="BH52" s="32"/>
      <c r="BI52" s="31"/>
      <c r="BJ52" s="31"/>
      <c r="BK52" s="31"/>
      <c r="BL52" s="31"/>
      <c r="BM52" s="31"/>
      <c r="BN52" s="31"/>
      <c r="BO52" s="31"/>
      <c r="BP52" s="32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</row>
    <row r="53" customFormat="1" ht="17.25" spans="1:266">
      <c r="A53" s="32">
        <f>40000000+INDEX(编号表!$B:$B,MATCH(B53,编号表!$A:$A,0))*10000+C53</f>
        <v>40010051</v>
      </c>
      <c r="B53" s="27" t="s">
        <v>435</v>
      </c>
      <c r="C53" s="32">
        <v>51</v>
      </c>
      <c r="D53" s="32" t="s">
        <v>487</v>
      </c>
      <c r="E53" s="32" t="s">
        <v>437</v>
      </c>
      <c r="F53" s="31">
        <f t="shared" si="3"/>
        <v>100000000</v>
      </c>
      <c r="G53" s="31"/>
      <c r="H53" s="32"/>
      <c r="I53" s="32"/>
      <c r="J53" s="32">
        <f t="shared" si="4"/>
        <v>1</v>
      </c>
      <c r="K53" s="32">
        <v>31010001</v>
      </c>
      <c r="L53" s="32" t="str" cm="1">
        <f t="array" ref="L53">INDEX(编号表!$E:$E,MATCH(K53,编号表!$D:$D,0))</f>
        <v>一小袋金币</v>
      </c>
      <c r="M53" s="31"/>
      <c r="N53" s="31"/>
      <c r="O53" s="31"/>
      <c r="P53" s="32">
        <v>100000000</v>
      </c>
      <c r="Q53" s="32">
        <v>153</v>
      </c>
      <c r="R53" s="31"/>
      <c r="S53" s="32"/>
      <c r="T53" s="32"/>
      <c r="U53" s="31"/>
      <c r="V53" s="31"/>
      <c r="W53" s="31"/>
      <c r="X53" s="32"/>
      <c r="Y53" s="32"/>
      <c r="Z53" s="31"/>
      <c r="AA53" s="32"/>
      <c r="AB53" s="32"/>
      <c r="AC53" s="31"/>
      <c r="AD53" s="31"/>
      <c r="AE53" s="31"/>
      <c r="AF53" s="32"/>
      <c r="AG53" s="32"/>
      <c r="AH53" s="31"/>
      <c r="AI53" s="32"/>
      <c r="AJ53" s="32"/>
      <c r="AK53" s="31"/>
      <c r="AL53" s="31"/>
      <c r="AM53" s="31"/>
      <c r="AN53" s="32"/>
      <c r="AO53" s="32"/>
      <c r="AP53" s="31"/>
      <c r="AQ53" s="32"/>
      <c r="AR53" s="32"/>
      <c r="AS53" s="31"/>
      <c r="AT53" s="31"/>
      <c r="AU53" s="31"/>
      <c r="AV53" s="32"/>
      <c r="AW53" s="32"/>
      <c r="AX53" s="31"/>
      <c r="AY53" s="32"/>
      <c r="AZ53" s="32"/>
      <c r="BA53" s="31"/>
      <c r="BB53" s="31"/>
      <c r="BC53" s="31"/>
      <c r="BD53" s="32"/>
      <c r="BE53" s="32"/>
      <c r="BF53" s="31"/>
      <c r="BG53" s="31"/>
      <c r="BH53" s="32"/>
      <c r="BI53" s="31"/>
      <c r="BJ53" s="31"/>
      <c r="BK53" s="31"/>
      <c r="BL53" s="31"/>
      <c r="BM53" s="31"/>
      <c r="BN53" s="31"/>
      <c r="BO53" s="31"/>
      <c r="BP53" s="32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</row>
    <row r="54" customFormat="1" ht="17.25" spans="1:266">
      <c r="A54" s="32">
        <f>40000000+INDEX(编号表!$B:$B,MATCH(B54,编号表!$A:$A,0))*10000+C54</f>
        <v>40020001</v>
      </c>
      <c r="B54" s="27" t="s">
        <v>488</v>
      </c>
      <c r="C54" s="32">
        <v>1</v>
      </c>
      <c r="D54" s="32" t="s">
        <v>489</v>
      </c>
      <c r="E54" s="32" t="s">
        <v>437</v>
      </c>
      <c r="F54" s="31">
        <f t="shared" si="3"/>
        <v>100000000</v>
      </c>
      <c r="G54" s="31"/>
      <c r="H54" s="32"/>
      <c r="I54" s="32"/>
      <c r="J54" s="32">
        <f t="shared" ref="J54:J117" si="5">COUNT(P54,X54,AF54,AN54,AV54,BD54,BL54,BT54,CB54,CJ54,CR54,CZ54,DH54,DP54,DX54,EF54,EN54,EV54,FD54,FL54,FT54,GB54,GJ54,GR54,GZ54,HH54,HP54,HX54,IF54,IN54,IV54,JD54)</f>
        <v>1</v>
      </c>
      <c r="K54" s="32">
        <v>31010002</v>
      </c>
      <c r="L54" s="32" t="str" cm="1">
        <f t="array" ref="L54">INDEX(编号表!$E:$E,MATCH(K54,编号表!$D:$D,0))</f>
        <v>一小袋灵符</v>
      </c>
      <c r="M54" s="31"/>
      <c r="N54" s="31"/>
      <c r="O54" s="31"/>
      <c r="P54" s="32">
        <v>100000000</v>
      </c>
      <c r="Q54" s="32">
        <v>1</v>
      </c>
      <c r="R54" s="31"/>
      <c r="S54" s="32"/>
      <c r="T54" s="32"/>
      <c r="U54" s="31"/>
      <c r="V54" s="31"/>
      <c r="W54" s="31"/>
      <c r="X54" s="32"/>
      <c r="Y54" s="32"/>
      <c r="Z54" s="31"/>
      <c r="AA54" s="32"/>
      <c r="AB54" s="32"/>
      <c r="AC54" s="31"/>
      <c r="AD54" s="31"/>
      <c r="AE54" s="31"/>
      <c r="AF54" s="32"/>
      <c r="AG54" s="32"/>
      <c r="AH54" s="31"/>
      <c r="AI54" s="32"/>
      <c r="AJ54" s="32"/>
      <c r="AK54" s="31"/>
      <c r="AL54" s="31"/>
      <c r="AM54" s="31"/>
      <c r="AN54" s="32"/>
      <c r="AO54" s="32"/>
      <c r="AP54" s="31"/>
      <c r="AQ54" s="32"/>
      <c r="AR54" s="32"/>
      <c r="AS54" s="31"/>
      <c r="AT54" s="31"/>
      <c r="AU54" s="31"/>
      <c r="AV54" s="32"/>
      <c r="AW54" s="32"/>
      <c r="AX54" s="31"/>
      <c r="AY54" s="32"/>
      <c r="AZ54" s="32"/>
      <c r="BA54" s="31"/>
      <c r="BB54" s="31"/>
      <c r="BC54" s="31"/>
      <c r="BD54" s="32"/>
      <c r="BE54" s="32"/>
      <c r="BF54" s="31"/>
      <c r="BG54" s="31"/>
      <c r="BH54" s="32"/>
      <c r="BI54" s="31"/>
      <c r="BJ54" s="31"/>
      <c r="BK54" s="31"/>
      <c r="BL54" s="31"/>
      <c r="BM54" s="31"/>
      <c r="BN54" s="31"/>
      <c r="BO54" s="31"/>
      <c r="BP54" s="32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</row>
    <row r="55" customFormat="1" ht="17.25" spans="1:266">
      <c r="A55" s="32">
        <f>40000000+INDEX(编号表!$B:$B,MATCH(B55,编号表!$A:$A,0))*10000+C55</f>
        <v>40020002</v>
      </c>
      <c r="B55" s="27" t="s">
        <v>488</v>
      </c>
      <c r="C55" s="32">
        <v>2</v>
      </c>
      <c r="D55" s="32" t="s">
        <v>490</v>
      </c>
      <c r="E55" s="32" t="s">
        <v>437</v>
      </c>
      <c r="F55" s="31">
        <f t="shared" si="3"/>
        <v>100000000</v>
      </c>
      <c r="G55" s="31"/>
      <c r="H55" s="32"/>
      <c r="I55" s="32"/>
      <c r="J55" s="32">
        <f t="shared" si="5"/>
        <v>1</v>
      </c>
      <c r="K55" s="32">
        <v>31010002</v>
      </c>
      <c r="L55" s="32" t="str" cm="1">
        <f t="array" ref="L55">INDEX(编号表!$E:$E,MATCH(K55,编号表!$D:$D,0))</f>
        <v>一小袋灵符</v>
      </c>
      <c r="M55" s="31"/>
      <c r="N55" s="31"/>
      <c r="O55" s="31"/>
      <c r="P55" s="32">
        <v>100000000</v>
      </c>
      <c r="Q55" s="32">
        <v>2</v>
      </c>
      <c r="R55" s="31"/>
      <c r="S55" s="32"/>
      <c r="T55" s="32"/>
      <c r="U55" s="31"/>
      <c r="V55" s="31"/>
      <c r="W55" s="31"/>
      <c r="X55" s="32"/>
      <c r="Y55" s="32"/>
      <c r="Z55" s="31"/>
      <c r="AA55" s="32"/>
      <c r="AB55" s="32"/>
      <c r="AC55" s="31"/>
      <c r="AD55" s="31"/>
      <c r="AE55" s="31"/>
      <c r="AF55" s="32"/>
      <c r="AG55" s="32"/>
      <c r="AH55" s="31"/>
      <c r="AI55" s="32"/>
      <c r="AJ55" s="32"/>
      <c r="AK55" s="31"/>
      <c r="AL55" s="31"/>
      <c r="AM55" s="31"/>
      <c r="AN55" s="32"/>
      <c r="AO55" s="32"/>
      <c r="AP55" s="31"/>
      <c r="AQ55" s="32"/>
      <c r="AR55" s="32"/>
      <c r="AS55" s="31"/>
      <c r="AT55" s="31"/>
      <c r="AU55" s="31"/>
      <c r="AV55" s="32"/>
      <c r="AW55" s="32"/>
      <c r="AX55" s="31"/>
      <c r="AY55" s="32"/>
      <c r="AZ55" s="32"/>
      <c r="BA55" s="31"/>
      <c r="BB55" s="31"/>
      <c r="BC55" s="31"/>
      <c r="BD55" s="32"/>
      <c r="BE55" s="32"/>
      <c r="BF55" s="31"/>
      <c r="BG55" s="31"/>
      <c r="BH55" s="32"/>
      <c r="BI55" s="31"/>
      <c r="BJ55" s="31"/>
      <c r="BK55" s="31"/>
      <c r="BL55" s="31"/>
      <c r="BM55" s="31"/>
      <c r="BN55" s="31"/>
      <c r="BO55" s="31"/>
      <c r="BP55" s="32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  <c r="IZ55" s="31"/>
      <c r="JA55" s="31"/>
      <c r="JB55" s="31"/>
      <c r="JC55" s="31"/>
      <c r="JD55" s="31"/>
      <c r="JE55" s="31"/>
      <c r="JF55" s="31"/>
    </row>
    <row r="56" customFormat="1" ht="17.25" spans="1:266">
      <c r="A56" s="32">
        <f>40000000+INDEX(编号表!$B:$B,MATCH(B56,编号表!$A:$A,0))*10000+C56</f>
        <v>40020003</v>
      </c>
      <c r="B56" s="27" t="s">
        <v>488</v>
      </c>
      <c r="C56" s="32">
        <v>3</v>
      </c>
      <c r="D56" s="32" t="s">
        <v>491</v>
      </c>
      <c r="E56" s="32" t="s">
        <v>437</v>
      </c>
      <c r="F56" s="31">
        <f t="shared" si="3"/>
        <v>100000000</v>
      </c>
      <c r="G56" s="31"/>
      <c r="H56" s="32"/>
      <c r="I56" s="32"/>
      <c r="J56" s="32">
        <f t="shared" si="5"/>
        <v>1</v>
      </c>
      <c r="K56" s="32">
        <v>31010002</v>
      </c>
      <c r="L56" s="32" t="str" cm="1">
        <f t="array" ref="L56">INDEX(编号表!$E:$E,MATCH(K56,编号表!$D:$D,0))</f>
        <v>一小袋灵符</v>
      </c>
      <c r="M56" s="31"/>
      <c r="N56" s="31"/>
      <c r="O56" s="31"/>
      <c r="P56" s="32">
        <v>100000000</v>
      </c>
      <c r="Q56" s="32">
        <v>3</v>
      </c>
      <c r="R56" s="31"/>
      <c r="S56" s="32"/>
      <c r="T56" s="32"/>
      <c r="U56" s="31"/>
      <c r="V56" s="31"/>
      <c r="W56" s="31"/>
      <c r="X56" s="32"/>
      <c r="Y56" s="32"/>
      <c r="Z56" s="31"/>
      <c r="AA56" s="32"/>
      <c r="AB56" s="32"/>
      <c r="AC56" s="31"/>
      <c r="AD56" s="31"/>
      <c r="AE56" s="31"/>
      <c r="AF56" s="32"/>
      <c r="AG56" s="32"/>
      <c r="AH56" s="31"/>
      <c r="AI56" s="32"/>
      <c r="AJ56" s="32"/>
      <c r="AK56" s="31"/>
      <c r="AL56" s="31"/>
      <c r="AM56" s="31"/>
      <c r="AN56" s="32"/>
      <c r="AO56" s="32"/>
      <c r="AP56" s="31"/>
      <c r="AQ56" s="32"/>
      <c r="AR56" s="32"/>
      <c r="AS56" s="31"/>
      <c r="AT56" s="31"/>
      <c r="AU56" s="31"/>
      <c r="AV56" s="32"/>
      <c r="AW56" s="32"/>
      <c r="AX56" s="31"/>
      <c r="AY56" s="32"/>
      <c r="AZ56" s="32"/>
      <c r="BA56" s="31"/>
      <c r="BB56" s="31"/>
      <c r="BC56" s="31"/>
      <c r="BD56" s="32"/>
      <c r="BE56" s="32"/>
      <c r="BF56" s="31"/>
      <c r="BG56" s="31"/>
      <c r="BH56" s="32"/>
      <c r="BI56" s="31"/>
      <c r="BJ56" s="31"/>
      <c r="BK56" s="31"/>
      <c r="BL56" s="31"/>
      <c r="BM56" s="31"/>
      <c r="BN56" s="31"/>
      <c r="BO56" s="31"/>
      <c r="BP56" s="32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</row>
    <row r="57" customFormat="1" ht="17.25" spans="1:266">
      <c r="A57" s="32">
        <f>40000000+INDEX(编号表!$B:$B,MATCH(B57,编号表!$A:$A,0))*10000+C57</f>
        <v>40020004</v>
      </c>
      <c r="B57" s="27" t="s">
        <v>488</v>
      </c>
      <c r="C57" s="32">
        <v>4</v>
      </c>
      <c r="D57" s="32" t="s">
        <v>492</v>
      </c>
      <c r="E57" s="32" t="s">
        <v>437</v>
      </c>
      <c r="F57" s="31">
        <f t="shared" si="3"/>
        <v>100000000</v>
      </c>
      <c r="G57" s="31"/>
      <c r="H57" s="32"/>
      <c r="I57" s="32"/>
      <c r="J57" s="32">
        <f t="shared" si="5"/>
        <v>1</v>
      </c>
      <c r="K57" s="32">
        <v>31010002</v>
      </c>
      <c r="L57" s="32" t="str" cm="1">
        <f t="array" ref="L57">INDEX(编号表!$E:$E,MATCH(K57,编号表!$D:$D,0))</f>
        <v>一小袋灵符</v>
      </c>
      <c r="M57" s="31"/>
      <c r="N57" s="31"/>
      <c r="O57" s="31"/>
      <c r="P57" s="32">
        <v>100000000</v>
      </c>
      <c r="Q57" s="32">
        <v>4</v>
      </c>
      <c r="R57" s="31"/>
      <c r="S57" s="32"/>
      <c r="T57" s="32"/>
      <c r="U57" s="31"/>
      <c r="V57" s="31"/>
      <c r="W57" s="31"/>
      <c r="X57" s="32"/>
      <c r="Y57" s="32"/>
      <c r="Z57" s="31"/>
      <c r="AA57" s="32"/>
      <c r="AB57" s="32"/>
      <c r="AC57" s="31"/>
      <c r="AD57" s="31"/>
      <c r="AE57" s="31"/>
      <c r="AF57" s="32"/>
      <c r="AG57" s="32"/>
      <c r="AH57" s="31"/>
      <c r="AI57" s="32"/>
      <c r="AJ57" s="32"/>
      <c r="AK57" s="31"/>
      <c r="AL57" s="31"/>
      <c r="AM57" s="31"/>
      <c r="AN57" s="32"/>
      <c r="AO57" s="32"/>
      <c r="AP57" s="31"/>
      <c r="AQ57" s="32"/>
      <c r="AR57" s="32"/>
      <c r="AS57" s="31"/>
      <c r="AT57" s="31"/>
      <c r="AU57" s="31"/>
      <c r="AV57" s="32"/>
      <c r="AW57" s="32"/>
      <c r="AX57" s="31"/>
      <c r="AY57" s="32"/>
      <c r="AZ57" s="32"/>
      <c r="BA57" s="31"/>
      <c r="BB57" s="31"/>
      <c r="BC57" s="31"/>
      <c r="BD57" s="32"/>
      <c r="BE57" s="32"/>
      <c r="BF57" s="31"/>
      <c r="BG57" s="31"/>
      <c r="BH57" s="32"/>
      <c r="BI57" s="31"/>
      <c r="BJ57" s="31"/>
      <c r="BK57" s="31"/>
      <c r="BL57" s="31"/>
      <c r="BM57" s="31"/>
      <c r="BN57" s="31"/>
      <c r="BO57" s="31"/>
      <c r="BP57" s="32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</row>
    <row r="58" customFormat="1" ht="17.25" spans="1:266">
      <c r="A58" s="32">
        <f>40000000+INDEX(编号表!$B:$B,MATCH(B58,编号表!$A:$A,0))*10000+C58</f>
        <v>40020005</v>
      </c>
      <c r="B58" s="27" t="s">
        <v>488</v>
      </c>
      <c r="C58" s="32">
        <v>5</v>
      </c>
      <c r="D58" s="32" t="s">
        <v>493</v>
      </c>
      <c r="E58" s="32" t="s">
        <v>437</v>
      </c>
      <c r="F58" s="31">
        <f t="shared" si="3"/>
        <v>100000000</v>
      </c>
      <c r="G58" s="31"/>
      <c r="H58" s="32"/>
      <c r="I58" s="32"/>
      <c r="J58" s="32">
        <f t="shared" si="5"/>
        <v>1</v>
      </c>
      <c r="K58" s="32">
        <v>31010002</v>
      </c>
      <c r="L58" s="32" t="str" cm="1">
        <f t="array" ref="L58">INDEX(编号表!$E:$E,MATCH(K58,编号表!$D:$D,0))</f>
        <v>一小袋灵符</v>
      </c>
      <c r="M58" s="31"/>
      <c r="N58" s="31"/>
      <c r="O58" s="31"/>
      <c r="P58" s="32">
        <v>100000000</v>
      </c>
      <c r="Q58" s="32">
        <v>5</v>
      </c>
      <c r="R58" s="31"/>
      <c r="S58" s="32"/>
      <c r="T58" s="32"/>
      <c r="U58" s="31"/>
      <c r="V58" s="31"/>
      <c r="W58" s="31"/>
      <c r="X58" s="32"/>
      <c r="Y58" s="32"/>
      <c r="Z58" s="31"/>
      <c r="AA58" s="32"/>
      <c r="AB58" s="32"/>
      <c r="AC58" s="31"/>
      <c r="AD58" s="31"/>
      <c r="AE58" s="31"/>
      <c r="AF58" s="32"/>
      <c r="AG58" s="32"/>
      <c r="AH58" s="31"/>
      <c r="AI58" s="32"/>
      <c r="AJ58" s="32"/>
      <c r="AK58" s="31"/>
      <c r="AL58" s="31"/>
      <c r="AM58" s="31"/>
      <c r="AN58" s="32"/>
      <c r="AO58" s="32"/>
      <c r="AP58" s="31"/>
      <c r="AQ58" s="32"/>
      <c r="AR58" s="32"/>
      <c r="AS58" s="31"/>
      <c r="AT58" s="31"/>
      <c r="AU58" s="31"/>
      <c r="AV58" s="32"/>
      <c r="AW58" s="32"/>
      <c r="AX58" s="31"/>
      <c r="AY58" s="32"/>
      <c r="AZ58" s="32"/>
      <c r="BA58" s="31"/>
      <c r="BB58" s="31"/>
      <c r="BC58" s="31"/>
      <c r="BD58" s="32"/>
      <c r="BE58" s="32"/>
      <c r="BF58" s="31"/>
      <c r="BG58" s="31"/>
      <c r="BH58" s="32"/>
      <c r="BI58" s="31"/>
      <c r="BJ58" s="31"/>
      <c r="BK58" s="31"/>
      <c r="BL58" s="31"/>
      <c r="BM58" s="31"/>
      <c r="BN58" s="31"/>
      <c r="BO58" s="31"/>
      <c r="BP58" s="32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  <c r="II58" s="31"/>
      <c r="IJ58" s="31"/>
      <c r="IK58" s="31"/>
      <c r="IL58" s="31"/>
      <c r="IM58" s="31"/>
      <c r="IN58" s="31"/>
      <c r="IO58" s="31"/>
      <c r="IP58" s="31"/>
      <c r="IQ58" s="31"/>
      <c r="IR58" s="31"/>
      <c r="IS58" s="31"/>
      <c r="IT58" s="31"/>
      <c r="IU58" s="31"/>
      <c r="IV58" s="31"/>
      <c r="IW58" s="31"/>
      <c r="IX58" s="31"/>
      <c r="IY58" s="31"/>
      <c r="IZ58" s="31"/>
      <c r="JA58" s="31"/>
      <c r="JB58" s="31"/>
      <c r="JC58" s="31"/>
      <c r="JD58" s="31"/>
      <c r="JE58" s="31"/>
      <c r="JF58" s="31"/>
    </row>
    <row r="59" customFormat="1" ht="17.25" spans="1:266">
      <c r="A59" s="32">
        <f>40000000+INDEX(编号表!$B:$B,MATCH(B59,编号表!$A:$A,0))*10000+C59</f>
        <v>40020006</v>
      </c>
      <c r="B59" s="27" t="s">
        <v>488</v>
      </c>
      <c r="C59" s="32">
        <v>6</v>
      </c>
      <c r="D59" s="32" t="s">
        <v>494</v>
      </c>
      <c r="E59" s="32" t="s">
        <v>437</v>
      </c>
      <c r="F59" s="31">
        <f t="shared" si="3"/>
        <v>100000000</v>
      </c>
      <c r="G59" s="31"/>
      <c r="H59" s="32"/>
      <c r="I59" s="32"/>
      <c r="J59" s="32">
        <f t="shared" si="5"/>
        <v>1</v>
      </c>
      <c r="K59" s="32">
        <v>31010002</v>
      </c>
      <c r="L59" s="32" t="str" cm="1">
        <f t="array" ref="L59">INDEX(编号表!$E:$E,MATCH(K59,编号表!$D:$D,0))</f>
        <v>一小袋灵符</v>
      </c>
      <c r="M59" s="31"/>
      <c r="N59" s="31"/>
      <c r="O59" s="31"/>
      <c r="P59" s="32">
        <v>100000000</v>
      </c>
      <c r="Q59" s="32">
        <v>6</v>
      </c>
      <c r="R59" s="31"/>
      <c r="S59" s="32"/>
      <c r="T59" s="32"/>
      <c r="U59" s="31"/>
      <c r="V59" s="31"/>
      <c r="W59" s="31"/>
      <c r="X59" s="32"/>
      <c r="Y59" s="32"/>
      <c r="Z59" s="31"/>
      <c r="AA59" s="32"/>
      <c r="AB59" s="32"/>
      <c r="AC59" s="31"/>
      <c r="AD59" s="31"/>
      <c r="AE59" s="31"/>
      <c r="AF59" s="32"/>
      <c r="AG59" s="32"/>
      <c r="AH59" s="31"/>
      <c r="AI59" s="32"/>
      <c r="AJ59" s="32"/>
      <c r="AK59" s="31"/>
      <c r="AL59" s="31"/>
      <c r="AM59" s="31"/>
      <c r="AN59" s="32"/>
      <c r="AO59" s="32"/>
      <c r="AP59" s="31"/>
      <c r="AQ59" s="32"/>
      <c r="AR59" s="32"/>
      <c r="AS59" s="31"/>
      <c r="AT59" s="31"/>
      <c r="AU59" s="31"/>
      <c r="AV59" s="32"/>
      <c r="AW59" s="32"/>
      <c r="AX59" s="31"/>
      <c r="AY59" s="32"/>
      <c r="AZ59" s="32"/>
      <c r="BA59" s="31"/>
      <c r="BB59" s="31"/>
      <c r="BC59" s="31"/>
      <c r="BD59" s="32"/>
      <c r="BE59" s="32"/>
      <c r="BF59" s="31"/>
      <c r="BG59" s="31"/>
      <c r="BH59" s="32"/>
      <c r="BI59" s="31"/>
      <c r="BJ59" s="31"/>
      <c r="BK59" s="31"/>
      <c r="BL59" s="31"/>
      <c r="BM59" s="31"/>
      <c r="BN59" s="31"/>
      <c r="BO59" s="31"/>
      <c r="BP59" s="32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</row>
    <row r="60" customFormat="1" ht="17.25" spans="1:266">
      <c r="A60" s="32">
        <f>40000000+INDEX(编号表!$B:$B,MATCH(B60,编号表!$A:$A,0))*10000+C60</f>
        <v>40020007</v>
      </c>
      <c r="B60" s="27" t="s">
        <v>488</v>
      </c>
      <c r="C60" s="32">
        <v>7</v>
      </c>
      <c r="D60" s="32" t="s">
        <v>495</v>
      </c>
      <c r="E60" s="32" t="s">
        <v>437</v>
      </c>
      <c r="F60" s="31">
        <f t="shared" si="3"/>
        <v>100000000</v>
      </c>
      <c r="G60" s="31"/>
      <c r="H60" s="32"/>
      <c r="I60" s="32"/>
      <c r="J60" s="32">
        <f t="shared" si="5"/>
        <v>1</v>
      </c>
      <c r="K60" s="32">
        <v>31010002</v>
      </c>
      <c r="L60" s="32" t="str" cm="1">
        <f t="array" ref="L60">INDEX(编号表!$E:$E,MATCH(K60,编号表!$D:$D,0))</f>
        <v>一小袋灵符</v>
      </c>
      <c r="M60" s="31"/>
      <c r="N60" s="31"/>
      <c r="O60" s="31"/>
      <c r="P60" s="32">
        <v>100000000</v>
      </c>
      <c r="Q60" s="32">
        <v>7</v>
      </c>
      <c r="R60" s="31"/>
      <c r="S60" s="32"/>
      <c r="T60" s="32"/>
      <c r="U60" s="31"/>
      <c r="V60" s="31"/>
      <c r="W60" s="31"/>
      <c r="X60" s="32"/>
      <c r="Y60" s="32"/>
      <c r="Z60" s="31"/>
      <c r="AA60" s="32"/>
      <c r="AB60" s="32"/>
      <c r="AC60" s="31"/>
      <c r="AD60" s="31"/>
      <c r="AE60" s="31"/>
      <c r="AF60" s="32"/>
      <c r="AG60" s="32"/>
      <c r="AH60" s="31"/>
      <c r="AI60" s="32"/>
      <c r="AJ60" s="32"/>
      <c r="AK60" s="31"/>
      <c r="AL60" s="31"/>
      <c r="AM60" s="31"/>
      <c r="AN60" s="32"/>
      <c r="AO60" s="32"/>
      <c r="AP60" s="31"/>
      <c r="AQ60" s="32"/>
      <c r="AR60" s="32"/>
      <c r="AS60" s="31"/>
      <c r="AT60" s="31"/>
      <c r="AU60" s="31"/>
      <c r="AV60" s="32"/>
      <c r="AW60" s="32"/>
      <c r="AX60" s="31"/>
      <c r="AY60" s="32"/>
      <c r="AZ60" s="32"/>
      <c r="BA60" s="31"/>
      <c r="BB60" s="31"/>
      <c r="BC60" s="31"/>
      <c r="BD60" s="32"/>
      <c r="BE60" s="32"/>
      <c r="BF60" s="31"/>
      <c r="BG60" s="31"/>
      <c r="BH60" s="32"/>
      <c r="BI60" s="31"/>
      <c r="BJ60" s="31"/>
      <c r="BK60" s="31"/>
      <c r="BL60" s="31"/>
      <c r="BM60" s="31"/>
      <c r="BN60" s="31"/>
      <c r="BO60" s="31"/>
      <c r="BP60" s="32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</row>
    <row r="61" customFormat="1" ht="17.25" spans="1:266">
      <c r="A61" s="32">
        <f>40000000+INDEX(编号表!$B:$B,MATCH(B61,编号表!$A:$A,0))*10000+C61</f>
        <v>40020008</v>
      </c>
      <c r="B61" s="27" t="s">
        <v>488</v>
      </c>
      <c r="C61" s="32">
        <v>8</v>
      </c>
      <c r="D61" s="32" t="s">
        <v>496</v>
      </c>
      <c r="E61" s="32" t="s">
        <v>437</v>
      </c>
      <c r="F61" s="31">
        <f t="shared" si="3"/>
        <v>100000000</v>
      </c>
      <c r="G61" s="31"/>
      <c r="H61" s="32"/>
      <c r="I61" s="32"/>
      <c r="J61" s="32">
        <f t="shared" si="5"/>
        <v>1</v>
      </c>
      <c r="K61" s="32">
        <v>31010002</v>
      </c>
      <c r="L61" s="32" t="str" cm="1">
        <f t="array" ref="L61">INDEX(编号表!$E:$E,MATCH(K61,编号表!$D:$D,0))</f>
        <v>一小袋灵符</v>
      </c>
      <c r="M61" s="31"/>
      <c r="N61" s="31"/>
      <c r="O61" s="31"/>
      <c r="P61" s="32">
        <v>100000000</v>
      </c>
      <c r="Q61" s="32">
        <v>8</v>
      </c>
      <c r="R61" s="31"/>
      <c r="S61" s="32"/>
      <c r="T61" s="32"/>
      <c r="U61" s="31"/>
      <c r="V61" s="31"/>
      <c r="W61" s="31"/>
      <c r="X61" s="32"/>
      <c r="Y61" s="32"/>
      <c r="Z61" s="31"/>
      <c r="AA61" s="32"/>
      <c r="AB61" s="32"/>
      <c r="AC61" s="31"/>
      <c r="AD61" s="31"/>
      <c r="AE61" s="31"/>
      <c r="AF61" s="32"/>
      <c r="AG61" s="32"/>
      <c r="AH61" s="31"/>
      <c r="AI61" s="32"/>
      <c r="AJ61" s="32"/>
      <c r="AK61" s="31"/>
      <c r="AL61" s="31"/>
      <c r="AM61" s="31"/>
      <c r="AN61" s="32"/>
      <c r="AO61" s="32"/>
      <c r="AP61" s="31"/>
      <c r="AQ61" s="32"/>
      <c r="AR61" s="32"/>
      <c r="AS61" s="31"/>
      <c r="AT61" s="31"/>
      <c r="AU61" s="31"/>
      <c r="AV61" s="32"/>
      <c r="AW61" s="32"/>
      <c r="AX61" s="31"/>
      <c r="AY61" s="32"/>
      <c r="AZ61" s="32"/>
      <c r="BA61" s="31"/>
      <c r="BB61" s="31"/>
      <c r="BC61" s="31"/>
      <c r="BD61" s="32"/>
      <c r="BE61" s="32"/>
      <c r="BF61" s="31"/>
      <c r="BG61" s="31"/>
      <c r="BH61" s="32"/>
      <c r="BI61" s="31"/>
      <c r="BJ61" s="31"/>
      <c r="BK61" s="31"/>
      <c r="BL61" s="31"/>
      <c r="BM61" s="31"/>
      <c r="BN61" s="31"/>
      <c r="BO61" s="31"/>
      <c r="BP61" s="32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</row>
    <row r="62" customFormat="1" ht="17.25" spans="1:266">
      <c r="A62" s="32">
        <f>40000000+INDEX(编号表!$B:$B,MATCH(B62,编号表!$A:$A,0))*10000+C62</f>
        <v>40020009</v>
      </c>
      <c r="B62" s="27" t="s">
        <v>488</v>
      </c>
      <c r="C62" s="32">
        <v>9</v>
      </c>
      <c r="D62" s="32" t="s">
        <v>497</v>
      </c>
      <c r="E62" s="32" t="s">
        <v>437</v>
      </c>
      <c r="F62" s="31">
        <f t="shared" si="3"/>
        <v>100000000</v>
      </c>
      <c r="G62" s="31"/>
      <c r="H62" s="32"/>
      <c r="I62" s="32"/>
      <c r="J62" s="32">
        <f t="shared" si="5"/>
        <v>1</v>
      </c>
      <c r="K62" s="32">
        <v>31010002</v>
      </c>
      <c r="L62" s="32" t="str" cm="1">
        <f t="array" ref="L62">INDEX(编号表!$E:$E,MATCH(K62,编号表!$D:$D,0))</f>
        <v>一小袋灵符</v>
      </c>
      <c r="M62" s="31"/>
      <c r="N62" s="31"/>
      <c r="O62" s="31"/>
      <c r="P62" s="32">
        <v>100000000</v>
      </c>
      <c r="Q62" s="32">
        <v>9</v>
      </c>
      <c r="R62" s="31"/>
      <c r="S62" s="32"/>
      <c r="T62" s="32"/>
      <c r="U62" s="31"/>
      <c r="V62" s="31"/>
      <c r="W62" s="31"/>
      <c r="X62" s="32"/>
      <c r="Y62" s="32"/>
      <c r="Z62" s="31"/>
      <c r="AA62" s="32"/>
      <c r="AB62" s="32"/>
      <c r="AC62" s="31"/>
      <c r="AD62" s="31"/>
      <c r="AE62" s="31"/>
      <c r="AF62" s="32"/>
      <c r="AG62" s="32"/>
      <c r="AH62" s="31"/>
      <c r="AI62" s="32"/>
      <c r="AJ62" s="32"/>
      <c r="AK62" s="31"/>
      <c r="AL62" s="31"/>
      <c r="AM62" s="31"/>
      <c r="AN62" s="32"/>
      <c r="AO62" s="32"/>
      <c r="AP62" s="31"/>
      <c r="AQ62" s="32"/>
      <c r="AR62" s="32"/>
      <c r="AS62" s="31"/>
      <c r="AT62" s="31"/>
      <c r="AU62" s="31"/>
      <c r="AV62" s="32"/>
      <c r="AW62" s="32"/>
      <c r="AX62" s="31"/>
      <c r="AY62" s="32"/>
      <c r="AZ62" s="32"/>
      <c r="BA62" s="31"/>
      <c r="BB62" s="31"/>
      <c r="BC62" s="31"/>
      <c r="BD62" s="32"/>
      <c r="BE62" s="32"/>
      <c r="BF62" s="31"/>
      <c r="BG62" s="31"/>
      <c r="BH62" s="32"/>
      <c r="BI62" s="31"/>
      <c r="BJ62" s="31"/>
      <c r="BK62" s="31"/>
      <c r="BL62" s="31"/>
      <c r="BM62" s="31"/>
      <c r="BN62" s="31"/>
      <c r="BO62" s="31"/>
      <c r="BP62" s="32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  <c r="IH62" s="31"/>
      <c r="II62" s="31"/>
      <c r="IJ62" s="31"/>
      <c r="IK62" s="31"/>
      <c r="IL62" s="31"/>
      <c r="IM62" s="31"/>
      <c r="IN62" s="31"/>
      <c r="IO62" s="31"/>
      <c r="IP62" s="31"/>
      <c r="IQ62" s="31"/>
      <c r="IR62" s="31"/>
      <c r="IS62" s="31"/>
      <c r="IT62" s="31"/>
      <c r="IU62" s="31"/>
      <c r="IV62" s="31"/>
      <c r="IW62" s="31"/>
      <c r="IX62" s="31"/>
      <c r="IY62" s="31"/>
      <c r="IZ62" s="31"/>
      <c r="JA62" s="31"/>
      <c r="JB62" s="31"/>
      <c r="JC62" s="31"/>
      <c r="JD62" s="31"/>
      <c r="JE62" s="31"/>
      <c r="JF62" s="31"/>
    </row>
    <row r="63" customFormat="1" ht="17.25" spans="1:266">
      <c r="A63" s="32">
        <f>40000000+INDEX(编号表!$B:$B,MATCH(B63,编号表!$A:$A,0))*10000+C63</f>
        <v>40020010</v>
      </c>
      <c r="B63" s="27" t="s">
        <v>488</v>
      </c>
      <c r="C63" s="32">
        <v>10</v>
      </c>
      <c r="D63" s="32" t="s">
        <v>498</v>
      </c>
      <c r="E63" s="32" t="s">
        <v>437</v>
      </c>
      <c r="F63" s="31">
        <f t="shared" si="3"/>
        <v>100000000</v>
      </c>
      <c r="G63" s="31"/>
      <c r="H63" s="32"/>
      <c r="I63" s="32"/>
      <c r="J63" s="32">
        <f t="shared" si="5"/>
        <v>1</v>
      </c>
      <c r="K63" s="32">
        <v>31010002</v>
      </c>
      <c r="L63" s="32" t="str" cm="1">
        <f t="array" ref="L63">INDEX(编号表!$E:$E,MATCH(K63,编号表!$D:$D,0))</f>
        <v>一小袋灵符</v>
      </c>
      <c r="M63" s="31"/>
      <c r="N63" s="31"/>
      <c r="O63" s="31"/>
      <c r="P63" s="32">
        <v>100000000</v>
      </c>
      <c r="Q63" s="32">
        <v>10</v>
      </c>
      <c r="R63" s="31"/>
      <c r="S63" s="32"/>
      <c r="T63" s="32"/>
      <c r="U63" s="31"/>
      <c r="V63" s="31"/>
      <c r="W63" s="31"/>
      <c r="X63" s="32"/>
      <c r="Y63" s="32"/>
      <c r="Z63" s="31"/>
      <c r="AA63" s="32"/>
      <c r="AB63" s="32"/>
      <c r="AC63" s="31"/>
      <c r="AD63" s="31"/>
      <c r="AE63" s="31"/>
      <c r="AF63" s="32"/>
      <c r="AG63" s="32"/>
      <c r="AH63" s="31"/>
      <c r="AI63" s="32"/>
      <c r="AJ63" s="32"/>
      <c r="AK63" s="31"/>
      <c r="AL63" s="31"/>
      <c r="AM63" s="31"/>
      <c r="AN63" s="32"/>
      <c r="AO63" s="32"/>
      <c r="AP63" s="31"/>
      <c r="AQ63" s="32"/>
      <c r="AR63" s="32"/>
      <c r="AS63" s="31"/>
      <c r="AT63" s="31"/>
      <c r="AU63" s="31"/>
      <c r="AV63" s="32"/>
      <c r="AW63" s="32"/>
      <c r="AX63" s="31"/>
      <c r="AY63" s="32"/>
      <c r="AZ63" s="32"/>
      <c r="BA63" s="31"/>
      <c r="BB63" s="31"/>
      <c r="BC63" s="31"/>
      <c r="BD63" s="32"/>
      <c r="BE63" s="32"/>
      <c r="BF63" s="31"/>
      <c r="BG63" s="31"/>
      <c r="BH63" s="32"/>
      <c r="BI63" s="31"/>
      <c r="BJ63" s="31"/>
      <c r="BK63" s="31"/>
      <c r="BL63" s="31"/>
      <c r="BM63" s="31"/>
      <c r="BN63" s="31"/>
      <c r="BO63" s="31"/>
      <c r="BP63" s="32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  <c r="HI63" s="31"/>
      <c r="HJ63" s="31"/>
      <c r="HK63" s="31"/>
      <c r="HL63" s="31"/>
      <c r="HM63" s="31"/>
      <c r="HN63" s="31"/>
      <c r="HO63" s="31"/>
      <c r="HP63" s="31"/>
      <c r="HQ63" s="31"/>
      <c r="HR63" s="31"/>
      <c r="HS63" s="31"/>
      <c r="HT63" s="31"/>
      <c r="HU63" s="31"/>
      <c r="HV63" s="31"/>
      <c r="HW63" s="31"/>
      <c r="HX63" s="31"/>
      <c r="HY63" s="31"/>
      <c r="HZ63" s="31"/>
      <c r="IA63" s="31"/>
      <c r="IB63" s="31"/>
      <c r="IC63" s="31"/>
      <c r="ID63" s="31"/>
      <c r="IE63" s="31"/>
      <c r="IF63" s="31"/>
      <c r="IG63" s="31"/>
      <c r="IH63" s="31"/>
      <c r="II63" s="31"/>
      <c r="IJ63" s="31"/>
      <c r="IK63" s="31"/>
      <c r="IL63" s="31"/>
      <c r="IM63" s="31"/>
      <c r="IN63" s="31"/>
      <c r="IO63" s="31"/>
      <c r="IP63" s="31"/>
      <c r="IQ63" s="31"/>
      <c r="IR63" s="31"/>
      <c r="IS63" s="31"/>
      <c r="IT63" s="31"/>
      <c r="IU63" s="31"/>
      <c r="IV63" s="31"/>
      <c r="IW63" s="31"/>
      <c r="IX63" s="31"/>
      <c r="IY63" s="31"/>
      <c r="IZ63" s="31"/>
      <c r="JA63" s="31"/>
      <c r="JB63" s="31"/>
      <c r="JC63" s="31"/>
      <c r="JD63" s="31"/>
      <c r="JE63" s="31"/>
      <c r="JF63" s="31"/>
    </row>
    <row r="64" customFormat="1" ht="17.25" spans="1:266">
      <c r="A64" s="32">
        <f>40000000+INDEX(编号表!$B:$B,MATCH(B64,编号表!$A:$A,0))*10000+C64</f>
        <v>40020011</v>
      </c>
      <c r="B64" s="27" t="s">
        <v>488</v>
      </c>
      <c r="C64" s="32">
        <v>11</v>
      </c>
      <c r="D64" s="32" t="s">
        <v>499</v>
      </c>
      <c r="E64" s="32" t="s">
        <v>437</v>
      </c>
      <c r="F64" s="31">
        <f t="shared" si="3"/>
        <v>100000000</v>
      </c>
      <c r="G64" s="31"/>
      <c r="H64" s="32"/>
      <c r="I64" s="32"/>
      <c r="J64" s="32">
        <f t="shared" si="5"/>
        <v>1</v>
      </c>
      <c r="K64" s="32">
        <v>31010002</v>
      </c>
      <c r="L64" s="32" t="str" cm="1">
        <f t="array" ref="L64">INDEX(编号表!$E:$E,MATCH(K64,编号表!$D:$D,0))</f>
        <v>一小袋灵符</v>
      </c>
      <c r="M64" s="31"/>
      <c r="N64" s="31"/>
      <c r="O64" s="31"/>
      <c r="P64" s="32">
        <v>100000000</v>
      </c>
      <c r="Q64" s="32">
        <v>11</v>
      </c>
      <c r="R64" s="31"/>
      <c r="S64" s="32"/>
      <c r="T64" s="32"/>
      <c r="U64" s="31"/>
      <c r="V64" s="31"/>
      <c r="W64" s="31"/>
      <c r="X64" s="32"/>
      <c r="Y64" s="32"/>
      <c r="Z64" s="31"/>
      <c r="AA64" s="32"/>
      <c r="AB64" s="32"/>
      <c r="AC64" s="31"/>
      <c r="AD64" s="31"/>
      <c r="AE64" s="31"/>
      <c r="AF64" s="32"/>
      <c r="AG64" s="32"/>
      <c r="AH64" s="31"/>
      <c r="AI64" s="32"/>
      <c r="AJ64" s="32"/>
      <c r="AK64" s="31"/>
      <c r="AL64" s="31"/>
      <c r="AM64" s="31"/>
      <c r="AN64" s="32"/>
      <c r="AO64" s="32"/>
      <c r="AP64" s="31"/>
      <c r="AQ64" s="32"/>
      <c r="AR64" s="32"/>
      <c r="AS64" s="31"/>
      <c r="AT64" s="31"/>
      <c r="AU64" s="31"/>
      <c r="AV64" s="32"/>
      <c r="AW64" s="32"/>
      <c r="AX64" s="31"/>
      <c r="AY64" s="32"/>
      <c r="AZ64" s="32"/>
      <c r="BA64" s="31"/>
      <c r="BB64" s="31"/>
      <c r="BC64" s="31"/>
      <c r="BD64" s="32"/>
      <c r="BE64" s="32"/>
      <c r="BF64" s="31"/>
      <c r="BG64" s="31"/>
      <c r="BH64" s="32"/>
      <c r="BI64" s="31"/>
      <c r="BJ64" s="31"/>
      <c r="BK64" s="31"/>
      <c r="BL64" s="31"/>
      <c r="BM64" s="31"/>
      <c r="BN64" s="31"/>
      <c r="BO64" s="31"/>
      <c r="BP64" s="32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  <c r="HE64" s="31"/>
      <c r="HF64" s="31"/>
      <c r="HG64" s="31"/>
      <c r="HH64" s="31"/>
      <c r="HI64" s="31"/>
      <c r="HJ64" s="31"/>
      <c r="HK64" s="31"/>
      <c r="HL64" s="31"/>
      <c r="HM64" s="31"/>
      <c r="HN64" s="31"/>
      <c r="HO64" s="31"/>
      <c r="HP64" s="31"/>
      <c r="HQ64" s="31"/>
      <c r="HR64" s="31"/>
      <c r="HS64" s="31"/>
      <c r="HT64" s="31"/>
      <c r="HU64" s="31"/>
      <c r="HV64" s="31"/>
      <c r="HW64" s="31"/>
      <c r="HX64" s="31"/>
      <c r="HY64" s="31"/>
      <c r="HZ64" s="31"/>
      <c r="IA64" s="31"/>
      <c r="IB64" s="31"/>
      <c r="IC64" s="31"/>
      <c r="ID64" s="31"/>
      <c r="IE64" s="31"/>
      <c r="IF64" s="31"/>
      <c r="IG64" s="31"/>
      <c r="IH64" s="31"/>
      <c r="II64" s="31"/>
      <c r="IJ64" s="31"/>
      <c r="IK64" s="31"/>
      <c r="IL64" s="31"/>
      <c r="IM64" s="31"/>
      <c r="IN64" s="31"/>
      <c r="IO64" s="31"/>
      <c r="IP64" s="31"/>
      <c r="IQ64" s="31"/>
      <c r="IR64" s="31"/>
      <c r="IS64" s="31"/>
      <c r="IT64" s="31"/>
      <c r="IU64" s="31"/>
      <c r="IV64" s="31"/>
      <c r="IW64" s="31"/>
      <c r="IX64" s="31"/>
      <c r="IY64" s="31"/>
      <c r="IZ64" s="31"/>
      <c r="JA64" s="31"/>
      <c r="JB64" s="31"/>
      <c r="JC64" s="31"/>
      <c r="JD64" s="31"/>
      <c r="JE64" s="31"/>
      <c r="JF64" s="31"/>
    </row>
    <row r="65" customFormat="1" ht="17.25" spans="1:266">
      <c r="A65" s="32">
        <f>40000000+INDEX(编号表!$B:$B,MATCH(B65,编号表!$A:$A,0))*10000+C65</f>
        <v>40020012</v>
      </c>
      <c r="B65" s="27" t="s">
        <v>488</v>
      </c>
      <c r="C65" s="32">
        <v>12</v>
      </c>
      <c r="D65" s="32" t="s">
        <v>500</v>
      </c>
      <c r="E65" s="32" t="s">
        <v>437</v>
      </c>
      <c r="F65" s="31">
        <f t="shared" si="3"/>
        <v>100000000</v>
      </c>
      <c r="G65" s="31"/>
      <c r="H65" s="32"/>
      <c r="I65" s="32"/>
      <c r="J65" s="32">
        <f t="shared" si="5"/>
        <v>1</v>
      </c>
      <c r="K65" s="32">
        <v>31010002</v>
      </c>
      <c r="L65" s="32" t="str" cm="1">
        <f t="array" ref="L65">INDEX(编号表!$E:$E,MATCH(K65,编号表!$D:$D,0))</f>
        <v>一小袋灵符</v>
      </c>
      <c r="M65" s="31"/>
      <c r="N65" s="31"/>
      <c r="O65" s="31"/>
      <c r="P65" s="32">
        <v>100000000</v>
      </c>
      <c r="Q65" s="32">
        <v>12</v>
      </c>
      <c r="R65" s="31"/>
      <c r="S65" s="32"/>
      <c r="T65" s="32"/>
      <c r="U65" s="31"/>
      <c r="V65" s="31"/>
      <c r="W65" s="31"/>
      <c r="X65" s="32"/>
      <c r="Y65" s="32"/>
      <c r="Z65" s="31"/>
      <c r="AA65" s="32"/>
      <c r="AB65" s="32"/>
      <c r="AC65" s="31"/>
      <c r="AD65" s="31"/>
      <c r="AE65" s="31"/>
      <c r="AF65" s="32"/>
      <c r="AG65" s="32"/>
      <c r="AH65" s="31"/>
      <c r="AI65" s="32"/>
      <c r="AJ65" s="32"/>
      <c r="AK65" s="31"/>
      <c r="AL65" s="31"/>
      <c r="AM65" s="31"/>
      <c r="AN65" s="32"/>
      <c r="AO65" s="32"/>
      <c r="AP65" s="31"/>
      <c r="AQ65" s="32"/>
      <c r="AR65" s="32"/>
      <c r="AS65" s="31"/>
      <c r="AT65" s="31"/>
      <c r="AU65" s="31"/>
      <c r="AV65" s="32"/>
      <c r="AW65" s="32"/>
      <c r="AX65" s="31"/>
      <c r="AY65" s="32"/>
      <c r="AZ65" s="32"/>
      <c r="BA65" s="31"/>
      <c r="BB65" s="31"/>
      <c r="BC65" s="31"/>
      <c r="BD65" s="32"/>
      <c r="BE65" s="32"/>
      <c r="BF65" s="31"/>
      <c r="BG65" s="31"/>
      <c r="BH65" s="32"/>
      <c r="BI65" s="31"/>
      <c r="BJ65" s="31"/>
      <c r="BK65" s="31"/>
      <c r="BL65" s="31"/>
      <c r="BM65" s="31"/>
      <c r="BN65" s="31"/>
      <c r="BO65" s="31"/>
      <c r="BP65" s="32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  <c r="IH65" s="31"/>
      <c r="II65" s="31"/>
      <c r="IJ65" s="31"/>
      <c r="IK65" s="31"/>
      <c r="IL65" s="31"/>
      <c r="IM65" s="31"/>
      <c r="IN65" s="31"/>
      <c r="IO65" s="31"/>
      <c r="IP65" s="31"/>
      <c r="IQ65" s="31"/>
      <c r="IR65" s="31"/>
      <c r="IS65" s="31"/>
      <c r="IT65" s="31"/>
      <c r="IU65" s="31"/>
      <c r="IV65" s="31"/>
      <c r="IW65" s="31"/>
      <c r="IX65" s="31"/>
      <c r="IY65" s="31"/>
      <c r="IZ65" s="31"/>
      <c r="JA65" s="31"/>
      <c r="JB65" s="31"/>
      <c r="JC65" s="31"/>
      <c r="JD65" s="31"/>
      <c r="JE65" s="31"/>
      <c r="JF65" s="31"/>
    </row>
    <row r="66" customFormat="1" ht="17.25" spans="1:266">
      <c r="A66" s="32">
        <f>40000000+INDEX(编号表!$B:$B,MATCH(B66,编号表!$A:$A,0))*10000+C66</f>
        <v>40020013</v>
      </c>
      <c r="B66" s="27" t="s">
        <v>488</v>
      </c>
      <c r="C66" s="32">
        <v>13</v>
      </c>
      <c r="D66" s="32" t="s">
        <v>501</v>
      </c>
      <c r="E66" s="32" t="s">
        <v>437</v>
      </c>
      <c r="F66" s="31">
        <f t="shared" si="3"/>
        <v>100000000</v>
      </c>
      <c r="G66" s="31"/>
      <c r="H66" s="32"/>
      <c r="I66" s="32"/>
      <c r="J66" s="32">
        <f t="shared" si="5"/>
        <v>1</v>
      </c>
      <c r="K66" s="32">
        <v>31010002</v>
      </c>
      <c r="L66" s="32" t="str" cm="1">
        <f t="array" ref="L66">INDEX(编号表!$E:$E,MATCH(K66,编号表!$D:$D,0))</f>
        <v>一小袋灵符</v>
      </c>
      <c r="M66" s="31"/>
      <c r="N66" s="31"/>
      <c r="O66" s="31"/>
      <c r="P66" s="32">
        <v>100000000</v>
      </c>
      <c r="Q66" s="32">
        <v>13</v>
      </c>
      <c r="R66" s="31"/>
      <c r="S66" s="32"/>
      <c r="T66" s="32"/>
      <c r="U66" s="31"/>
      <c r="V66" s="31"/>
      <c r="W66" s="31"/>
      <c r="X66" s="32"/>
      <c r="Y66" s="32"/>
      <c r="Z66" s="31"/>
      <c r="AA66" s="32"/>
      <c r="AB66" s="32"/>
      <c r="AC66" s="31"/>
      <c r="AD66" s="31"/>
      <c r="AE66" s="31"/>
      <c r="AF66" s="32"/>
      <c r="AG66" s="32"/>
      <c r="AH66" s="31"/>
      <c r="AI66" s="32"/>
      <c r="AJ66" s="32"/>
      <c r="AK66" s="31"/>
      <c r="AL66" s="31"/>
      <c r="AM66" s="31"/>
      <c r="AN66" s="32"/>
      <c r="AO66" s="32"/>
      <c r="AP66" s="31"/>
      <c r="AQ66" s="32"/>
      <c r="AR66" s="32"/>
      <c r="AS66" s="31"/>
      <c r="AT66" s="31"/>
      <c r="AU66" s="31"/>
      <c r="AV66" s="32"/>
      <c r="AW66" s="32"/>
      <c r="AX66" s="31"/>
      <c r="AY66" s="32"/>
      <c r="AZ66" s="32"/>
      <c r="BA66" s="31"/>
      <c r="BB66" s="31"/>
      <c r="BC66" s="31"/>
      <c r="BD66" s="32"/>
      <c r="BE66" s="32"/>
      <c r="BF66" s="31"/>
      <c r="BG66" s="31"/>
      <c r="BH66" s="32"/>
      <c r="BI66" s="31"/>
      <c r="BJ66" s="31"/>
      <c r="BK66" s="31"/>
      <c r="BL66" s="31"/>
      <c r="BM66" s="31"/>
      <c r="BN66" s="31"/>
      <c r="BO66" s="31"/>
      <c r="BP66" s="32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  <c r="HG66" s="31"/>
      <c r="HH66" s="31"/>
      <c r="HI66" s="31"/>
      <c r="HJ66" s="31"/>
      <c r="HK66" s="31"/>
      <c r="HL66" s="31"/>
      <c r="HM66" s="31"/>
      <c r="HN66" s="31"/>
      <c r="HO66" s="31"/>
      <c r="HP66" s="31"/>
      <c r="HQ66" s="31"/>
      <c r="HR66" s="31"/>
      <c r="HS66" s="31"/>
      <c r="HT66" s="31"/>
      <c r="HU66" s="31"/>
      <c r="HV66" s="31"/>
      <c r="HW66" s="31"/>
      <c r="HX66" s="31"/>
      <c r="HY66" s="31"/>
      <c r="HZ66" s="31"/>
      <c r="IA66" s="31"/>
      <c r="IB66" s="31"/>
      <c r="IC66" s="31"/>
      <c r="ID66" s="31"/>
      <c r="IE66" s="31"/>
      <c r="IF66" s="31"/>
      <c r="IG66" s="31"/>
      <c r="IH66" s="31"/>
      <c r="II66" s="31"/>
      <c r="IJ66" s="31"/>
      <c r="IK66" s="31"/>
      <c r="IL66" s="31"/>
      <c r="IM66" s="31"/>
      <c r="IN66" s="31"/>
      <c r="IO66" s="31"/>
      <c r="IP66" s="31"/>
      <c r="IQ66" s="31"/>
      <c r="IR66" s="31"/>
      <c r="IS66" s="31"/>
      <c r="IT66" s="31"/>
      <c r="IU66" s="31"/>
      <c r="IV66" s="31"/>
      <c r="IW66" s="31"/>
      <c r="IX66" s="31"/>
      <c r="IY66" s="31"/>
      <c r="IZ66" s="31"/>
      <c r="JA66" s="31"/>
      <c r="JB66" s="31"/>
      <c r="JC66" s="31"/>
      <c r="JD66" s="31"/>
      <c r="JE66" s="31"/>
      <c r="JF66" s="31"/>
    </row>
    <row r="67" customFormat="1" ht="17.25" spans="1:266">
      <c r="A67" s="32">
        <f>40000000+INDEX(编号表!$B:$B,MATCH(B67,编号表!$A:$A,0))*10000+C67</f>
        <v>40020014</v>
      </c>
      <c r="B67" s="27" t="s">
        <v>488</v>
      </c>
      <c r="C67" s="32">
        <v>14</v>
      </c>
      <c r="D67" s="32" t="s">
        <v>502</v>
      </c>
      <c r="E67" s="32" t="s">
        <v>437</v>
      </c>
      <c r="F67" s="31">
        <f t="shared" si="3"/>
        <v>100000000</v>
      </c>
      <c r="G67" s="31"/>
      <c r="H67" s="32"/>
      <c r="I67" s="32"/>
      <c r="J67" s="32">
        <f t="shared" si="5"/>
        <v>1</v>
      </c>
      <c r="K67" s="32">
        <v>31010002</v>
      </c>
      <c r="L67" s="32" t="str" cm="1">
        <f t="array" ref="L67">INDEX(编号表!$E:$E,MATCH(K67,编号表!$D:$D,0))</f>
        <v>一小袋灵符</v>
      </c>
      <c r="M67" s="31"/>
      <c r="N67" s="31"/>
      <c r="O67" s="31"/>
      <c r="P67" s="32">
        <v>100000000</v>
      </c>
      <c r="Q67" s="32">
        <v>14</v>
      </c>
      <c r="R67" s="31"/>
      <c r="S67" s="32"/>
      <c r="T67" s="32"/>
      <c r="U67" s="31"/>
      <c r="V67" s="31"/>
      <c r="W67" s="31"/>
      <c r="X67" s="32"/>
      <c r="Y67" s="32"/>
      <c r="Z67" s="31"/>
      <c r="AA67" s="32"/>
      <c r="AB67" s="32"/>
      <c r="AC67" s="31"/>
      <c r="AD67" s="31"/>
      <c r="AE67" s="31"/>
      <c r="AF67" s="32"/>
      <c r="AG67" s="32"/>
      <c r="AH67" s="31"/>
      <c r="AI67" s="32"/>
      <c r="AJ67" s="32"/>
      <c r="AK67" s="31"/>
      <c r="AL67" s="31"/>
      <c r="AM67" s="31"/>
      <c r="AN67" s="32"/>
      <c r="AO67" s="32"/>
      <c r="AP67" s="31"/>
      <c r="AQ67" s="32"/>
      <c r="AR67" s="32"/>
      <c r="AS67" s="31"/>
      <c r="AT67" s="31"/>
      <c r="AU67" s="31"/>
      <c r="AV67" s="32"/>
      <c r="AW67" s="32"/>
      <c r="AX67" s="31"/>
      <c r="AY67" s="32"/>
      <c r="AZ67" s="32"/>
      <c r="BA67" s="31"/>
      <c r="BB67" s="31"/>
      <c r="BC67" s="31"/>
      <c r="BD67" s="32"/>
      <c r="BE67" s="32"/>
      <c r="BF67" s="31"/>
      <c r="BG67" s="31"/>
      <c r="BH67" s="32"/>
      <c r="BI67" s="31"/>
      <c r="BJ67" s="31"/>
      <c r="BK67" s="31"/>
      <c r="BL67" s="31"/>
      <c r="BM67" s="31"/>
      <c r="BN67" s="31"/>
      <c r="BO67" s="31"/>
      <c r="BP67" s="32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  <c r="HG67" s="31"/>
      <c r="HH67" s="31"/>
      <c r="HI67" s="31"/>
      <c r="HJ67" s="31"/>
      <c r="HK67" s="31"/>
      <c r="HL67" s="31"/>
      <c r="HM67" s="31"/>
      <c r="HN67" s="31"/>
      <c r="HO67" s="31"/>
      <c r="HP67" s="31"/>
      <c r="HQ67" s="31"/>
      <c r="HR67" s="31"/>
      <c r="HS67" s="31"/>
      <c r="HT67" s="31"/>
      <c r="HU67" s="31"/>
      <c r="HV67" s="31"/>
      <c r="HW67" s="31"/>
      <c r="HX67" s="31"/>
      <c r="HY67" s="31"/>
      <c r="HZ67" s="31"/>
      <c r="IA67" s="31"/>
      <c r="IB67" s="31"/>
      <c r="IC67" s="31"/>
      <c r="ID67" s="31"/>
      <c r="IE67" s="31"/>
      <c r="IF67" s="31"/>
      <c r="IG67" s="31"/>
      <c r="IH67" s="31"/>
      <c r="II67" s="31"/>
      <c r="IJ67" s="31"/>
      <c r="IK67" s="31"/>
      <c r="IL67" s="31"/>
      <c r="IM67" s="31"/>
      <c r="IN67" s="31"/>
      <c r="IO67" s="31"/>
      <c r="IP67" s="31"/>
      <c r="IQ67" s="31"/>
      <c r="IR67" s="31"/>
      <c r="IS67" s="31"/>
      <c r="IT67" s="31"/>
      <c r="IU67" s="31"/>
      <c r="IV67" s="31"/>
      <c r="IW67" s="31"/>
      <c r="IX67" s="31"/>
      <c r="IY67" s="31"/>
      <c r="IZ67" s="31"/>
      <c r="JA67" s="31"/>
      <c r="JB67" s="31"/>
      <c r="JC67" s="31"/>
      <c r="JD67" s="31"/>
      <c r="JE67" s="31"/>
      <c r="JF67" s="31"/>
    </row>
    <row r="68" customFormat="1" ht="17.25" spans="1:266">
      <c r="A68" s="32">
        <f>40000000+INDEX(编号表!$B:$B,MATCH(B68,编号表!$A:$A,0))*10000+C68</f>
        <v>40020015</v>
      </c>
      <c r="B68" s="27" t="s">
        <v>488</v>
      </c>
      <c r="C68" s="32">
        <v>15</v>
      </c>
      <c r="D68" s="32" t="s">
        <v>503</v>
      </c>
      <c r="E68" s="32" t="s">
        <v>437</v>
      </c>
      <c r="F68" s="31">
        <f t="shared" ref="F68:F120" si="6">P68+X68+AF68+AN68+AV68+BD68+BL68+BT68</f>
        <v>100000000</v>
      </c>
      <c r="G68" s="31"/>
      <c r="H68" s="32"/>
      <c r="I68" s="32"/>
      <c r="J68" s="32">
        <f t="shared" si="5"/>
        <v>1</v>
      </c>
      <c r="K68" s="32">
        <v>31010002</v>
      </c>
      <c r="L68" s="32" t="str" cm="1">
        <f t="array" ref="L68">INDEX(编号表!$E:$E,MATCH(K68,编号表!$D:$D,0))</f>
        <v>一小袋灵符</v>
      </c>
      <c r="M68" s="31"/>
      <c r="N68" s="31"/>
      <c r="O68" s="31"/>
      <c r="P68" s="32">
        <v>100000000</v>
      </c>
      <c r="Q68" s="32">
        <v>15</v>
      </c>
      <c r="R68" s="31"/>
      <c r="S68" s="32"/>
      <c r="T68" s="32"/>
      <c r="U68" s="31"/>
      <c r="V68" s="31"/>
      <c r="W68" s="31"/>
      <c r="X68" s="32"/>
      <c r="Y68" s="32"/>
      <c r="Z68" s="31"/>
      <c r="AA68" s="32"/>
      <c r="AB68" s="32"/>
      <c r="AC68" s="31"/>
      <c r="AD68" s="31"/>
      <c r="AE68" s="31"/>
      <c r="AF68" s="32"/>
      <c r="AG68" s="32"/>
      <c r="AH68" s="31"/>
      <c r="AI68" s="32"/>
      <c r="AJ68" s="32"/>
      <c r="AK68" s="31"/>
      <c r="AL68" s="31"/>
      <c r="AM68" s="31"/>
      <c r="AN68" s="32"/>
      <c r="AO68" s="32"/>
      <c r="AP68" s="31"/>
      <c r="AQ68" s="32"/>
      <c r="AR68" s="32"/>
      <c r="AS68" s="31"/>
      <c r="AT68" s="31"/>
      <c r="AU68" s="31"/>
      <c r="AV68" s="32"/>
      <c r="AW68" s="32"/>
      <c r="AX68" s="31"/>
      <c r="AY68" s="32"/>
      <c r="AZ68" s="32"/>
      <c r="BA68" s="31"/>
      <c r="BB68" s="31"/>
      <c r="BC68" s="31"/>
      <c r="BD68" s="32"/>
      <c r="BE68" s="32"/>
      <c r="BF68" s="31"/>
      <c r="BG68" s="31"/>
      <c r="BH68" s="32"/>
      <c r="BI68" s="31"/>
      <c r="BJ68" s="31"/>
      <c r="BK68" s="31"/>
      <c r="BL68" s="31"/>
      <c r="BM68" s="31"/>
      <c r="BN68" s="31"/>
      <c r="BO68" s="31"/>
      <c r="BP68" s="32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  <c r="II68" s="31"/>
      <c r="IJ68" s="31"/>
      <c r="IK68" s="31"/>
      <c r="IL68" s="31"/>
      <c r="IM68" s="31"/>
      <c r="IN68" s="31"/>
      <c r="IO68" s="31"/>
      <c r="IP68" s="31"/>
      <c r="IQ68" s="31"/>
      <c r="IR68" s="31"/>
      <c r="IS68" s="31"/>
      <c r="IT68" s="31"/>
      <c r="IU68" s="31"/>
      <c r="IV68" s="31"/>
      <c r="IW68" s="31"/>
      <c r="IX68" s="31"/>
      <c r="IY68" s="31"/>
      <c r="IZ68" s="31"/>
      <c r="JA68" s="31"/>
      <c r="JB68" s="31"/>
      <c r="JC68" s="31"/>
      <c r="JD68" s="31"/>
      <c r="JE68" s="31"/>
      <c r="JF68" s="31"/>
    </row>
    <row r="69" customFormat="1" ht="17.25" spans="1:266">
      <c r="A69" s="32">
        <f>40000000+INDEX(编号表!$B:$B,MATCH(B69,编号表!$A:$A,0))*10000+C69</f>
        <v>40020016</v>
      </c>
      <c r="B69" s="27" t="s">
        <v>488</v>
      </c>
      <c r="C69" s="32">
        <v>16</v>
      </c>
      <c r="D69" s="32" t="s">
        <v>504</v>
      </c>
      <c r="E69" s="32" t="s">
        <v>437</v>
      </c>
      <c r="F69" s="31">
        <f t="shared" si="6"/>
        <v>100000000</v>
      </c>
      <c r="G69" s="31"/>
      <c r="H69" s="32"/>
      <c r="I69" s="32"/>
      <c r="J69" s="32">
        <f t="shared" si="5"/>
        <v>1</v>
      </c>
      <c r="K69" s="32">
        <v>31010002</v>
      </c>
      <c r="L69" s="32" t="str" cm="1">
        <f t="array" ref="L69">INDEX(编号表!$E:$E,MATCH(K69,编号表!$D:$D,0))</f>
        <v>一小袋灵符</v>
      </c>
      <c r="M69" s="31"/>
      <c r="N69" s="31"/>
      <c r="O69" s="31"/>
      <c r="P69" s="32">
        <v>100000000</v>
      </c>
      <c r="Q69" s="32">
        <v>16</v>
      </c>
      <c r="R69" s="31"/>
      <c r="S69" s="32"/>
      <c r="T69" s="32"/>
      <c r="U69" s="31"/>
      <c r="V69" s="31"/>
      <c r="W69" s="31"/>
      <c r="X69" s="32"/>
      <c r="Y69" s="32"/>
      <c r="Z69" s="31"/>
      <c r="AA69" s="32"/>
      <c r="AB69" s="32"/>
      <c r="AC69" s="31"/>
      <c r="AD69" s="31"/>
      <c r="AE69" s="31"/>
      <c r="AF69" s="32"/>
      <c r="AG69" s="32"/>
      <c r="AH69" s="31"/>
      <c r="AI69" s="32"/>
      <c r="AJ69" s="32"/>
      <c r="AK69" s="31"/>
      <c r="AL69" s="31"/>
      <c r="AM69" s="31"/>
      <c r="AN69" s="32"/>
      <c r="AO69" s="32"/>
      <c r="AP69" s="31"/>
      <c r="AQ69" s="32"/>
      <c r="AR69" s="32"/>
      <c r="AS69" s="31"/>
      <c r="AT69" s="31"/>
      <c r="AU69" s="31"/>
      <c r="AV69" s="32"/>
      <c r="AW69" s="32"/>
      <c r="AX69" s="31"/>
      <c r="AY69" s="32"/>
      <c r="AZ69" s="32"/>
      <c r="BA69" s="31"/>
      <c r="BB69" s="31"/>
      <c r="BC69" s="31"/>
      <c r="BD69" s="32"/>
      <c r="BE69" s="32"/>
      <c r="BF69" s="31"/>
      <c r="BG69" s="31"/>
      <c r="BH69" s="32"/>
      <c r="BI69" s="31"/>
      <c r="BJ69" s="31"/>
      <c r="BK69" s="31"/>
      <c r="BL69" s="31"/>
      <c r="BM69" s="31"/>
      <c r="BN69" s="31"/>
      <c r="BO69" s="31"/>
      <c r="BP69" s="32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  <c r="HI69" s="31"/>
      <c r="HJ69" s="31"/>
      <c r="HK69" s="31"/>
      <c r="HL69" s="31"/>
      <c r="HM69" s="31"/>
      <c r="HN69" s="31"/>
      <c r="HO69" s="31"/>
      <c r="HP69" s="31"/>
      <c r="HQ69" s="31"/>
      <c r="HR69" s="31"/>
      <c r="HS69" s="31"/>
      <c r="HT69" s="31"/>
      <c r="HU69" s="31"/>
      <c r="HV69" s="31"/>
      <c r="HW69" s="31"/>
      <c r="HX69" s="31"/>
      <c r="HY69" s="31"/>
      <c r="HZ69" s="31"/>
      <c r="IA69" s="31"/>
      <c r="IB69" s="31"/>
      <c r="IC69" s="31"/>
      <c r="ID69" s="31"/>
      <c r="IE69" s="31"/>
      <c r="IF69" s="31"/>
      <c r="IG69" s="31"/>
      <c r="IH69" s="31"/>
      <c r="II69" s="31"/>
      <c r="IJ69" s="31"/>
      <c r="IK69" s="31"/>
      <c r="IL69" s="31"/>
      <c r="IM69" s="31"/>
      <c r="IN69" s="31"/>
      <c r="IO69" s="31"/>
      <c r="IP69" s="31"/>
      <c r="IQ69" s="31"/>
      <c r="IR69" s="31"/>
      <c r="IS69" s="31"/>
      <c r="IT69" s="31"/>
      <c r="IU69" s="31"/>
      <c r="IV69" s="31"/>
      <c r="IW69" s="31"/>
      <c r="IX69" s="31"/>
      <c r="IY69" s="31"/>
      <c r="IZ69" s="31"/>
      <c r="JA69" s="31"/>
      <c r="JB69" s="31"/>
      <c r="JC69" s="31"/>
      <c r="JD69" s="31"/>
      <c r="JE69" s="31"/>
      <c r="JF69" s="31"/>
    </row>
    <row r="70" customFormat="1" ht="17.25" spans="1:266">
      <c r="A70" s="32">
        <f>40000000+INDEX(编号表!$B:$B,MATCH(B70,编号表!$A:$A,0))*10000+C70</f>
        <v>40020017</v>
      </c>
      <c r="B70" s="27" t="s">
        <v>488</v>
      </c>
      <c r="C70" s="32">
        <v>17</v>
      </c>
      <c r="D70" s="32" t="s">
        <v>505</v>
      </c>
      <c r="E70" s="32" t="s">
        <v>437</v>
      </c>
      <c r="F70" s="31">
        <f t="shared" si="6"/>
        <v>100000000</v>
      </c>
      <c r="G70" s="31"/>
      <c r="H70" s="32"/>
      <c r="I70" s="32"/>
      <c r="J70" s="32">
        <f t="shared" si="5"/>
        <v>1</v>
      </c>
      <c r="K70" s="32">
        <v>31010002</v>
      </c>
      <c r="L70" s="32" t="str" cm="1">
        <f t="array" ref="L70">INDEX(编号表!$E:$E,MATCH(K70,编号表!$D:$D,0))</f>
        <v>一小袋灵符</v>
      </c>
      <c r="M70" s="31"/>
      <c r="N70" s="31"/>
      <c r="O70" s="31"/>
      <c r="P70" s="32">
        <v>100000000</v>
      </c>
      <c r="Q70" s="32">
        <v>17</v>
      </c>
      <c r="R70" s="31"/>
      <c r="S70" s="32"/>
      <c r="T70" s="32"/>
      <c r="U70" s="31"/>
      <c r="V70" s="31"/>
      <c r="W70" s="31"/>
      <c r="X70" s="32"/>
      <c r="Y70" s="32"/>
      <c r="Z70" s="31"/>
      <c r="AA70" s="32"/>
      <c r="AB70" s="32"/>
      <c r="AC70" s="31"/>
      <c r="AD70" s="31"/>
      <c r="AE70" s="31"/>
      <c r="AF70" s="32"/>
      <c r="AG70" s="32"/>
      <c r="AH70" s="31"/>
      <c r="AI70" s="32"/>
      <c r="AJ70" s="32"/>
      <c r="AK70" s="31"/>
      <c r="AL70" s="31"/>
      <c r="AM70" s="31"/>
      <c r="AN70" s="32"/>
      <c r="AO70" s="32"/>
      <c r="AP70" s="31"/>
      <c r="AQ70" s="32"/>
      <c r="AR70" s="32"/>
      <c r="AS70" s="31"/>
      <c r="AT70" s="31"/>
      <c r="AU70" s="31"/>
      <c r="AV70" s="32"/>
      <c r="AW70" s="32"/>
      <c r="AX70" s="31"/>
      <c r="AY70" s="32"/>
      <c r="AZ70" s="32"/>
      <c r="BA70" s="31"/>
      <c r="BB70" s="31"/>
      <c r="BC70" s="31"/>
      <c r="BD70" s="32"/>
      <c r="BE70" s="32"/>
      <c r="BF70" s="31"/>
      <c r="BG70" s="31"/>
      <c r="BH70" s="32"/>
      <c r="BI70" s="31"/>
      <c r="BJ70" s="31"/>
      <c r="BK70" s="31"/>
      <c r="BL70" s="31"/>
      <c r="BM70" s="31"/>
      <c r="BN70" s="31"/>
      <c r="BO70" s="31"/>
      <c r="BP70" s="32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  <c r="HE70" s="31"/>
      <c r="HF70" s="31"/>
      <c r="HG70" s="31"/>
      <c r="HH70" s="31"/>
      <c r="HI70" s="31"/>
      <c r="HJ70" s="31"/>
      <c r="HK70" s="31"/>
      <c r="HL70" s="31"/>
      <c r="HM70" s="31"/>
      <c r="HN70" s="31"/>
      <c r="HO70" s="31"/>
      <c r="HP70" s="31"/>
      <c r="HQ70" s="31"/>
      <c r="HR70" s="31"/>
      <c r="HS70" s="31"/>
      <c r="HT70" s="31"/>
      <c r="HU70" s="31"/>
      <c r="HV70" s="31"/>
      <c r="HW70" s="31"/>
      <c r="HX70" s="31"/>
      <c r="HY70" s="31"/>
      <c r="HZ70" s="31"/>
      <c r="IA70" s="31"/>
      <c r="IB70" s="31"/>
      <c r="IC70" s="31"/>
      <c r="ID70" s="31"/>
      <c r="IE70" s="31"/>
      <c r="IF70" s="31"/>
      <c r="IG70" s="31"/>
      <c r="IH70" s="31"/>
      <c r="II70" s="31"/>
      <c r="IJ70" s="31"/>
      <c r="IK70" s="31"/>
      <c r="IL70" s="31"/>
      <c r="IM70" s="31"/>
      <c r="IN70" s="31"/>
      <c r="IO70" s="31"/>
      <c r="IP70" s="31"/>
      <c r="IQ70" s="31"/>
      <c r="IR70" s="31"/>
      <c r="IS70" s="31"/>
      <c r="IT70" s="31"/>
      <c r="IU70" s="31"/>
      <c r="IV70" s="31"/>
      <c r="IW70" s="31"/>
      <c r="IX70" s="31"/>
      <c r="IY70" s="31"/>
      <c r="IZ70" s="31"/>
      <c r="JA70" s="31"/>
      <c r="JB70" s="31"/>
      <c r="JC70" s="31"/>
      <c r="JD70" s="31"/>
      <c r="JE70" s="31"/>
      <c r="JF70" s="31"/>
    </row>
    <row r="71" customFormat="1" ht="17.25" spans="1:266">
      <c r="A71" s="32">
        <f>40000000+INDEX(编号表!$B:$B,MATCH(B71,编号表!$A:$A,0))*10000+C71</f>
        <v>40020018</v>
      </c>
      <c r="B71" s="27" t="s">
        <v>488</v>
      </c>
      <c r="C71" s="32">
        <v>18</v>
      </c>
      <c r="D71" s="32" t="s">
        <v>506</v>
      </c>
      <c r="E71" s="32" t="s">
        <v>437</v>
      </c>
      <c r="F71" s="31">
        <f t="shared" si="6"/>
        <v>100000000</v>
      </c>
      <c r="G71" s="31"/>
      <c r="H71" s="32"/>
      <c r="I71" s="32"/>
      <c r="J71" s="32">
        <f t="shared" si="5"/>
        <v>1</v>
      </c>
      <c r="K71" s="32">
        <v>31010002</v>
      </c>
      <c r="L71" s="32" t="str" cm="1">
        <f t="array" ref="L71">INDEX(编号表!$E:$E,MATCH(K71,编号表!$D:$D,0))</f>
        <v>一小袋灵符</v>
      </c>
      <c r="M71" s="31"/>
      <c r="N71" s="31"/>
      <c r="O71" s="31"/>
      <c r="P71" s="32">
        <v>100000000</v>
      </c>
      <c r="Q71" s="32">
        <v>3</v>
      </c>
      <c r="R71" s="31"/>
      <c r="S71" s="32"/>
      <c r="T71" s="32"/>
      <c r="U71" s="31"/>
      <c r="V71" s="31"/>
      <c r="W71" s="31"/>
      <c r="X71" s="32"/>
      <c r="Y71" s="32"/>
      <c r="Z71" s="31"/>
      <c r="AA71" s="32"/>
      <c r="AB71" s="32"/>
      <c r="AC71" s="31"/>
      <c r="AD71" s="31"/>
      <c r="AE71" s="31"/>
      <c r="AF71" s="32"/>
      <c r="AG71" s="32"/>
      <c r="AH71" s="31"/>
      <c r="AI71" s="32"/>
      <c r="AJ71" s="32"/>
      <c r="AK71" s="31"/>
      <c r="AL71" s="31"/>
      <c r="AM71" s="31"/>
      <c r="AN71" s="32"/>
      <c r="AO71" s="32"/>
      <c r="AP71" s="31"/>
      <c r="AQ71" s="32"/>
      <c r="AR71" s="32"/>
      <c r="AS71" s="31"/>
      <c r="AT71" s="31"/>
      <c r="AU71" s="31"/>
      <c r="AV71" s="32"/>
      <c r="AW71" s="32"/>
      <c r="AX71" s="31"/>
      <c r="AY71" s="32"/>
      <c r="AZ71" s="32"/>
      <c r="BA71" s="31"/>
      <c r="BB71" s="31"/>
      <c r="BC71" s="31"/>
      <c r="BD71" s="32"/>
      <c r="BE71" s="32"/>
      <c r="BF71" s="31"/>
      <c r="BG71" s="31"/>
      <c r="BH71" s="32"/>
      <c r="BI71" s="31"/>
      <c r="BJ71" s="31"/>
      <c r="BK71" s="31"/>
      <c r="BL71" s="31"/>
      <c r="BM71" s="31"/>
      <c r="BN71" s="31"/>
      <c r="BO71" s="31"/>
      <c r="BP71" s="32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  <c r="IA71" s="31"/>
      <c r="IB71" s="31"/>
      <c r="IC71" s="31"/>
      <c r="ID71" s="31"/>
      <c r="IE71" s="31"/>
      <c r="IF71" s="31"/>
      <c r="IG71" s="31"/>
      <c r="IH71" s="31"/>
      <c r="II71" s="31"/>
      <c r="IJ71" s="31"/>
      <c r="IK71" s="31"/>
      <c r="IL71" s="31"/>
      <c r="IM71" s="31"/>
      <c r="IN71" s="31"/>
      <c r="IO71" s="31"/>
      <c r="IP71" s="31"/>
      <c r="IQ71" s="31"/>
      <c r="IR71" s="31"/>
      <c r="IS71" s="31"/>
      <c r="IT71" s="31"/>
      <c r="IU71" s="31"/>
      <c r="IV71" s="31"/>
      <c r="IW71" s="31"/>
      <c r="IX71" s="31"/>
      <c r="IY71" s="31"/>
      <c r="IZ71" s="31"/>
      <c r="JA71" s="31"/>
      <c r="JB71" s="31"/>
      <c r="JC71" s="31"/>
      <c r="JD71" s="31"/>
      <c r="JE71" s="31"/>
      <c r="JF71" s="31"/>
    </row>
    <row r="72" customFormat="1" ht="17.25" spans="1:266">
      <c r="A72" s="32">
        <f>40000000+INDEX(编号表!$B:$B,MATCH(B72,编号表!$A:$A,0))*10000+C72</f>
        <v>40020019</v>
      </c>
      <c r="B72" s="27" t="s">
        <v>488</v>
      </c>
      <c r="C72" s="32">
        <v>19</v>
      </c>
      <c r="D72" s="32" t="s">
        <v>507</v>
      </c>
      <c r="E72" s="32" t="s">
        <v>437</v>
      </c>
      <c r="F72" s="31">
        <f t="shared" si="6"/>
        <v>100000000</v>
      </c>
      <c r="G72" s="31"/>
      <c r="H72" s="32"/>
      <c r="I72" s="32"/>
      <c r="J72" s="32">
        <f t="shared" si="5"/>
        <v>1</v>
      </c>
      <c r="K72" s="32">
        <v>31010002</v>
      </c>
      <c r="L72" s="32" t="str" cm="1">
        <f t="array" ref="L72">INDEX(编号表!$E:$E,MATCH(K72,编号表!$D:$D,0))</f>
        <v>一小袋灵符</v>
      </c>
      <c r="M72" s="31"/>
      <c r="N72" s="31"/>
      <c r="O72" s="31"/>
      <c r="P72" s="32">
        <v>100000000</v>
      </c>
      <c r="Q72" s="32">
        <v>6</v>
      </c>
      <c r="R72" s="31"/>
      <c r="S72" s="32"/>
      <c r="T72" s="32"/>
      <c r="U72" s="31"/>
      <c r="V72" s="31"/>
      <c r="W72" s="31"/>
      <c r="X72" s="32"/>
      <c r="Y72" s="32"/>
      <c r="Z72" s="31"/>
      <c r="AA72" s="32"/>
      <c r="AB72" s="32"/>
      <c r="AC72" s="31"/>
      <c r="AD72" s="31"/>
      <c r="AE72" s="31"/>
      <c r="AF72" s="32"/>
      <c r="AG72" s="32"/>
      <c r="AH72" s="31"/>
      <c r="AI72" s="32"/>
      <c r="AJ72" s="32"/>
      <c r="AK72" s="31"/>
      <c r="AL72" s="31"/>
      <c r="AM72" s="31"/>
      <c r="AN72" s="32"/>
      <c r="AO72" s="32"/>
      <c r="AP72" s="31"/>
      <c r="AQ72" s="32"/>
      <c r="AR72" s="32"/>
      <c r="AS72" s="31"/>
      <c r="AT72" s="31"/>
      <c r="AU72" s="31"/>
      <c r="AV72" s="32"/>
      <c r="AW72" s="32"/>
      <c r="AX72" s="31"/>
      <c r="AY72" s="32"/>
      <c r="AZ72" s="32"/>
      <c r="BA72" s="31"/>
      <c r="BB72" s="31"/>
      <c r="BC72" s="31"/>
      <c r="BD72" s="32"/>
      <c r="BE72" s="32"/>
      <c r="BF72" s="31"/>
      <c r="BG72" s="31"/>
      <c r="BH72" s="32"/>
      <c r="BI72" s="31"/>
      <c r="BJ72" s="31"/>
      <c r="BK72" s="31"/>
      <c r="BL72" s="31"/>
      <c r="BM72" s="31"/>
      <c r="BN72" s="31"/>
      <c r="BO72" s="31"/>
      <c r="BP72" s="32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  <c r="HI72" s="31"/>
      <c r="HJ72" s="31"/>
      <c r="HK72" s="31"/>
      <c r="HL72" s="31"/>
      <c r="HM72" s="31"/>
      <c r="HN72" s="31"/>
      <c r="HO72" s="31"/>
      <c r="HP72" s="31"/>
      <c r="HQ72" s="31"/>
      <c r="HR72" s="31"/>
      <c r="HS72" s="31"/>
      <c r="HT72" s="31"/>
      <c r="HU72" s="31"/>
      <c r="HV72" s="31"/>
      <c r="HW72" s="31"/>
      <c r="HX72" s="31"/>
      <c r="HY72" s="31"/>
      <c r="HZ72" s="31"/>
      <c r="IA72" s="31"/>
      <c r="IB72" s="31"/>
      <c r="IC72" s="31"/>
      <c r="ID72" s="31"/>
      <c r="IE72" s="31"/>
      <c r="IF72" s="31"/>
      <c r="IG72" s="31"/>
      <c r="IH72" s="31"/>
      <c r="II72" s="31"/>
      <c r="IJ72" s="31"/>
      <c r="IK72" s="31"/>
      <c r="IL72" s="31"/>
      <c r="IM72" s="31"/>
      <c r="IN72" s="31"/>
      <c r="IO72" s="31"/>
      <c r="IP72" s="31"/>
      <c r="IQ72" s="31"/>
      <c r="IR72" s="31"/>
      <c r="IS72" s="31"/>
      <c r="IT72" s="31"/>
      <c r="IU72" s="31"/>
      <c r="IV72" s="31"/>
      <c r="IW72" s="31"/>
      <c r="IX72" s="31"/>
      <c r="IY72" s="31"/>
      <c r="IZ72" s="31"/>
      <c r="JA72" s="31"/>
      <c r="JB72" s="31"/>
      <c r="JC72" s="31"/>
      <c r="JD72" s="31"/>
      <c r="JE72" s="31"/>
      <c r="JF72" s="31"/>
    </row>
    <row r="73" customFormat="1" ht="17.25" spans="1:266">
      <c r="A73" s="32">
        <f>40000000+INDEX(编号表!$B:$B,MATCH(B73,编号表!$A:$A,0))*10000+C73</f>
        <v>40020020</v>
      </c>
      <c r="B73" s="27" t="s">
        <v>488</v>
      </c>
      <c r="C73" s="32">
        <v>20</v>
      </c>
      <c r="D73" s="32" t="s">
        <v>508</v>
      </c>
      <c r="E73" s="32" t="s">
        <v>437</v>
      </c>
      <c r="F73" s="31">
        <f t="shared" si="6"/>
        <v>100000000</v>
      </c>
      <c r="G73" s="31"/>
      <c r="H73" s="32"/>
      <c r="I73" s="32"/>
      <c r="J73" s="32">
        <f t="shared" si="5"/>
        <v>1</v>
      </c>
      <c r="K73" s="32">
        <v>31010002</v>
      </c>
      <c r="L73" s="32" t="str" cm="1">
        <f t="array" ref="L73">INDEX(编号表!$E:$E,MATCH(K73,编号表!$D:$D,0))</f>
        <v>一小袋灵符</v>
      </c>
      <c r="M73" s="31"/>
      <c r="N73" s="31"/>
      <c r="O73" s="31"/>
      <c r="P73" s="32">
        <v>100000000</v>
      </c>
      <c r="Q73" s="32">
        <v>9</v>
      </c>
      <c r="R73" s="31"/>
      <c r="S73" s="32"/>
      <c r="T73" s="32"/>
      <c r="U73" s="31"/>
      <c r="V73" s="31"/>
      <c r="W73" s="31"/>
      <c r="X73" s="32"/>
      <c r="Y73" s="32"/>
      <c r="Z73" s="31"/>
      <c r="AA73" s="32"/>
      <c r="AB73" s="32"/>
      <c r="AC73" s="31"/>
      <c r="AD73" s="31"/>
      <c r="AE73" s="31"/>
      <c r="AF73" s="32"/>
      <c r="AG73" s="32"/>
      <c r="AH73" s="31"/>
      <c r="AI73" s="32"/>
      <c r="AJ73" s="32"/>
      <c r="AK73" s="31"/>
      <c r="AL73" s="31"/>
      <c r="AM73" s="31"/>
      <c r="AN73" s="32"/>
      <c r="AO73" s="32"/>
      <c r="AP73" s="31"/>
      <c r="AQ73" s="32"/>
      <c r="AR73" s="32"/>
      <c r="AS73" s="31"/>
      <c r="AT73" s="31"/>
      <c r="AU73" s="31"/>
      <c r="AV73" s="32"/>
      <c r="AW73" s="32"/>
      <c r="AX73" s="31"/>
      <c r="AY73" s="32"/>
      <c r="AZ73" s="32"/>
      <c r="BA73" s="31"/>
      <c r="BB73" s="31"/>
      <c r="BC73" s="31"/>
      <c r="BD73" s="32"/>
      <c r="BE73" s="32"/>
      <c r="BF73" s="31"/>
      <c r="BG73" s="31"/>
      <c r="BH73" s="32"/>
      <c r="BI73" s="31"/>
      <c r="BJ73" s="31"/>
      <c r="BK73" s="31"/>
      <c r="BL73" s="31"/>
      <c r="BM73" s="31"/>
      <c r="BN73" s="31"/>
      <c r="BO73" s="31"/>
      <c r="BP73" s="32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  <c r="HG73" s="31"/>
      <c r="HH73" s="31"/>
      <c r="HI73" s="31"/>
      <c r="HJ73" s="31"/>
      <c r="HK73" s="31"/>
      <c r="HL73" s="31"/>
      <c r="HM73" s="31"/>
      <c r="HN73" s="31"/>
      <c r="HO73" s="31"/>
      <c r="HP73" s="31"/>
      <c r="HQ73" s="31"/>
      <c r="HR73" s="31"/>
      <c r="HS73" s="31"/>
      <c r="HT73" s="31"/>
      <c r="HU73" s="31"/>
      <c r="HV73" s="31"/>
      <c r="HW73" s="31"/>
      <c r="HX73" s="31"/>
      <c r="HY73" s="31"/>
      <c r="HZ73" s="31"/>
      <c r="IA73" s="31"/>
      <c r="IB73" s="31"/>
      <c r="IC73" s="31"/>
      <c r="ID73" s="31"/>
      <c r="IE73" s="31"/>
      <c r="IF73" s="31"/>
      <c r="IG73" s="31"/>
      <c r="IH73" s="31"/>
      <c r="II73" s="31"/>
      <c r="IJ73" s="31"/>
      <c r="IK73" s="31"/>
      <c r="IL73" s="31"/>
      <c r="IM73" s="31"/>
      <c r="IN73" s="31"/>
      <c r="IO73" s="31"/>
      <c r="IP73" s="31"/>
      <c r="IQ73" s="31"/>
      <c r="IR73" s="31"/>
      <c r="IS73" s="31"/>
      <c r="IT73" s="31"/>
      <c r="IU73" s="31"/>
      <c r="IV73" s="31"/>
      <c r="IW73" s="31"/>
      <c r="IX73" s="31"/>
      <c r="IY73" s="31"/>
      <c r="IZ73" s="31"/>
      <c r="JA73" s="31"/>
      <c r="JB73" s="31"/>
      <c r="JC73" s="31"/>
      <c r="JD73" s="31"/>
      <c r="JE73" s="31"/>
      <c r="JF73" s="31"/>
    </row>
    <row r="74" customFormat="1" ht="17.25" spans="1:266">
      <c r="A74" s="32">
        <f>40000000+INDEX(编号表!$B:$B,MATCH(B74,编号表!$A:$A,0))*10000+C74</f>
        <v>40020021</v>
      </c>
      <c r="B74" s="27" t="s">
        <v>488</v>
      </c>
      <c r="C74" s="32">
        <v>21</v>
      </c>
      <c r="D74" s="32" t="s">
        <v>509</v>
      </c>
      <c r="E74" s="32" t="s">
        <v>437</v>
      </c>
      <c r="F74" s="31">
        <f t="shared" si="6"/>
        <v>100000000</v>
      </c>
      <c r="G74" s="31"/>
      <c r="H74" s="32"/>
      <c r="I74" s="32"/>
      <c r="J74" s="32">
        <f t="shared" si="5"/>
        <v>1</v>
      </c>
      <c r="K74" s="32">
        <v>31010002</v>
      </c>
      <c r="L74" s="32" t="str" cm="1">
        <f t="array" ref="L74">INDEX(编号表!$E:$E,MATCH(K74,编号表!$D:$D,0))</f>
        <v>一小袋灵符</v>
      </c>
      <c r="M74" s="31"/>
      <c r="N74" s="31"/>
      <c r="O74" s="31"/>
      <c r="P74" s="32">
        <v>100000000</v>
      </c>
      <c r="Q74" s="32">
        <v>12</v>
      </c>
      <c r="R74" s="31"/>
      <c r="S74" s="32"/>
      <c r="T74" s="32"/>
      <c r="U74" s="31"/>
      <c r="V74" s="31"/>
      <c r="W74" s="31"/>
      <c r="X74" s="32"/>
      <c r="Y74" s="32"/>
      <c r="Z74" s="31"/>
      <c r="AA74" s="32"/>
      <c r="AB74" s="32"/>
      <c r="AC74" s="31"/>
      <c r="AD74" s="31"/>
      <c r="AE74" s="31"/>
      <c r="AF74" s="32"/>
      <c r="AG74" s="32"/>
      <c r="AH74" s="31"/>
      <c r="AI74" s="32"/>
      <c r="AJ74" s="32"/>
      <c r="AK74" s="31"/>
      <c r="AL74" s="31"/>
      <c r="AM74" s="31"/>
      <c r="AN74" s="32"/>
      <c r="AO74" s="32"/>
      <c r="AP74" s="31"/>
      <c r="AQ74" s="32"/>
      <c r="AR74" s="32"/>
      <c r="AS74" s="31"/>
      <c r="AT74" s="31"/>
      <c r="AU74" s="31"/>
      <c r="AV74" s="32"/>
      <c r="AW74" s="32"/>
      <c r="AX74" s="31"/>
      <c r="AY74" s="32"/>
      <c r="AZ74" s="32"/>
      <c r="BA74" s="31"/>
      <c r="BB74" s="31"/>
      <c r="BC74" s="31"/>
      <c r="BD74" s="32"/>
      <c r="BE74" s="32"/>
      <c r="BF74" s="31"/>
      <c r="BG74" s="31"/>
      <c r="BH74" s="32"/>
      <c r="BI74" s="31"/>
      <c r="BJ74" s="31"/>
      <c r="BK74" s="31"/>
      <c r="BL74" s="31"/>
      <c r="BM74" s="31"/>
      <c r="BN74" s="31"/>
      <c r="BO74" s="31"/>
      <c r="BP74" s="32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  <c r="HE74" s="31"/>
      <c r="HF74" s="31"/>
      <c r="HG74" s="31"/>
      <c r="HH74" s="31"/>
      <c r="HI74" s="31"/>
      <c r="HJ74" s="31"/>
      <c r="HK74" s="31"/>
      <c r="HL74" s="31"/>
      <c r="HM74" s="31"/>
      <c r="HN74" s="31"/>
      <c r="HO74" s="31"/>
      <c r="HP74" s="31"/>
      <c r="HQ74" s="31"/>
      <c r="HR74" s="31"/>
      <c r="HS74" s="31"/>
      <c r="HT74" s="31"/>
      <c r="HU74" s="31"/>
      <c r="HV74" s="31"/>
      <c r="HW74" s="31"/>
      <c r="HX74" s="31"/>
      <c r="HY74" s="31"/>
      <c r="HZ74" s="31"/>
      <c r="IA74" s="31"/>
      <c r="IB74" s="31"/>
      <c r="IC74" s="31"/>
      <c r="ID74" s="31"/>
      <c r="IE74" s="31"/>
      <c r="IF74" s="31"/>
      <c r="IG74" s="31"/>
      <c r="IH74" s="31"/>
      <c r="II74" s="31"/>
      <c r="IJ74" s="31"/>
      <c r="IK74" s="31"/>
      <c r="IL74" s="31"/>
      <c r="IM74" s="31"/>
      <c r="IN74" s="31"/>
      <c r="IO74" s="31"/>
      <c r="IP74" s="31"/>
      <c r="IQ74" s="31"/>
      <c r="IR74" s="31"/>
      <c r="IS74" s="31"/>
      <c r="IT74" s="31"/>
      <c r="IU74" s="31"/>
      <c r="IV74" s="31"/>
      <c r="IW74" s="31"/>
      <c r="IX74" s="31"/>
      <c r="IY74" s="31"/>
      <c r="IZ74" s="31"/>
      <c r="JA74" s="31"/>
      <c r="JB74" s="31"/>
      <c r="JC74" s="31"/>
      <c r="JD74" s="31"/>
      <c r="JE74" s="31"/>
      <c r="JF74" s="31"/>
    </row>
    <row r="75" customFormat="1" ht="17.25" spans="1:266">
      <c r="A75" s="32">
        <f>40000000+INDEX(编号表!$B:$B,MATCH(B75,编号表!$A:$A,0))*10000+C75</f>
        <v>40020022</v>
      </c>
      <c r="B75" s="27" t="s">
        <v>488</v>
      </c>
      <c r="C75" s="32">
        <v>22</v>
      </c>
      <c r="D75" s="32" t="s">
        <v>510</v>
      </c>
      <c r="E75" s="32" t="s">
        <v>437</v>
      </c>
      <c r="F75" s="31">
        <f t="shared" si="6"/>
        <v>100000000</v>
      </c>
      <c r="G75" s="31"/>
      <c r="H75" s="32"/>
      <c r="I75" s="32"/>
      <c r="J75" s="32">
        <f t="shared" si="5"/>
        <v>1</v>
      </c>
      <c r="K75" s="32">
        <v>31010002</v>
      </c>
      <c r="L75" s="32" t="str" cm="1">
        <f t="array" ref="L75">INDEX(编号表!$E:$E,MATCH(K75,编号表!$D:$D,0))</f>
        <v>一小袋灵符</v>
      </c>
      <c r="M75" s="31"/>
      <c r="N75" s="31"/>
      <c r="O75" s="31"/>
      <c r="P75" s="32">
        <v>100000000</v>
      </c>
      <c r="Q75" s="32">
        <v>15</v>
      </c>
      <c r="R75" s="31"/>
      <c r="S75" s="32"/>
      <c r="T75" s="32"/>
      <c r="U75" s="31"/>
      <c r="V75" s="31"/>
      <c r="W75" s="31"/>
      <c r="X75" s="32"/>
      <c r="Y75" s="32"/>
      <c r="Z75" s="31"/>
      <c r="AA75" s="32"/>
      <c r="AB75" s="32"/>
      <c r="AC75" s="31"/>
      <c r="AD75" s="31"/>
      <c r="AE75" s="31"/>
      <c r="AF75" s="32"/>
      <c r="AG75" s="32"/>
      <c r="AH75" s="31"/>
      <c r="AI75" s="32"/>
      <c r="AJ75" s="32"/>
      <c r="AK75" s="31"/>
      <c r="AL75" s="31"/>
      <c r="AM75" s="31"/>
      <c r="AN75" s="32"/>
      <c r="AO75" s="32"/>
      <c r="AP75" s="31"/>
      <c r="AQ75" s="32"/>
      <c r="AR75" s="32"/>
      <c r="AS75" s="31"/>
      <c r="AT75" s="31"/>
      <c r="AU75" s="31"/>
      <c r="AV75" s="32"/>
      <c r="AW75" s="32"/>
      <c r="AX75" s="31"/>
      <c r="AY75" s="32"/>
      <c r="AZ75" s="32"/>
      <c r="BA75" s="31"/>
      <c r="BB75" s="31"/>
      <c r="BC75" s="31"/>
      <c r="BD75" s="32"/>
      <c r="BE75" s="32"/>
      <c r="BF75" s="31"/>
      <c r="BG75" s="31"/>
      <c r="BH75" s="32"/>
      <c r="BI75" s="31"/>
      <c r="BJ75" s="31"/>
      <c r="BK75" s="31"/>
      <c r="BL75" s="31"/>
      <c r="BM75" s="31"/>
      <c r="BN75" s="31"/>
      <c r="BO75" s="31"/>
      <c r="BP75" s="32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  <c r="HG75" s="31"/>
      <c r="HH75" s="31"/>
      <c r="HI75" s="31"/>
      <c r="HJ75" s="31"/>
      <c r="HK75" s="31"/>
      <c r="HL75" s="31"/>
      <c r="HM75" s="31"/>
      <c r="HN75" s="31"/>
      <c r="HO75" s="31"/>
      <c r="HP75" s="31"/>
      <c r="HQ75" s="31"/>
      <c r="HR75" s="31"/>
      <c r="HS75" s="31"/>
      <c r="HT75" s="31"/>
      <c r="HU75" s="31"/>
      <c r="HV75" s="31"/>
      <c r="HW75" s="31"/>
      <c r="HX75" s="31"/>
      <c r="HY75" s="31"/>
      <c r="HZ75" s="31"/>
      <c r="IA75" s="31"/>
      <c r="IB75" s="31"/>
      <c r="IC75" s="31"/>
      <c r="ID75" s="31"/>
      <c r="IE75" s="31"/>
      <c r="IF75" s="31"/>
      <c r="IG75" s="31"/>
      <c r="IH75" s="31"/>
      <c r="II75" s="31"/>
      <c r="IJ75" s="31"/>
      <c r="IK75" s="31"/>
      <c r="IL75" s="31"/>
      <c r="IM75" s="31"/>
      <c r="IN75" s="31"/>
      <c r="IO75" s="31"/>
      <c r="IP75" s="31"/>
      <c r="IQ75" s="31"/>
      <c r="IR75" s="31"/>
      <c r="IS75" s="31"/>
      <c r="IT75" s="31"/>
      <c r="IU75" s="31"/>
      <c r="IV75" s="31"/>
      <c r="IW75" s="31"/>
      <c r="IX75" s="31"/>
      <c r="IY75" s="31"/>
      <c r="IZ75" s="31"/>
      <c r="JA75" s="31"/>
      <c r="JB75" s="31"/>
      <c r="JC75" s="31"/>
      <c r="JD75" s="31"/>
      <c r="JE75" s="31"/>
      <c r="JF75" s="31"/>
    </row>
    <row r="76" customFormat="1" ht="17.25" spans="1:266">
      <c r="A76" s="32">
        <f>40000000+INDEX(编号表!$B:$B,MATCH(B76,编号表!$A:$A,0))*10000+C76</f>
        <v>40020023</v>
      </c>
      <c r="B76" s="27" t="s">
        <v>488</v>
      </c>
      <c r="C76" s="32">
        <v>23</v>
      </c>
      <c r="D76" s="32" t="s">
        <v>511</v>
      </c>
      <c r="E76" s="32" t="s">
        <v>437</v>
      </c>
      <c r="F76" s="31">
        <f t="shared" si="6"/>
        <v>100000000</v>
      </c>
      <c r="G76" s="31"/>
      <c r="H76" s="32"/>
      <c r="I76" s="32"/>
      <c r="J76" s="32">
        <f t="shared" si="5"/>
        <v>1</v>
      </c>
      <c r="K76" s="32">
        <v>31010002</v>
      </c>
      <c r="L76" s="32" t="str" cm="1">
        <f t="array" ref="L76">INDEX(编号表!$E:$E,MATCH(K76,编号表!$D:$D,0))</f>
        <v>一小袋灵符</v>
      </c>
      <c r="M76" s="31"/>
      <c r="N76" s="31"/>
      <c r="O76" s="31"/>
      <c r="P76" s="32">
        <v>100000000</v>
      </c>
      <c r="Q76" s="32">
        <v>18</v>
      </c>
      <c r="R76" s="31"/>
      <c r="S76" s="32"/>
      <c r="T76" s="32"/>
      <c r="U76" s="31"/>
      <c r="V76" s="31"/>
      <c r="W76" s="31"/>
      <c r="X76" s="32"/>
      <c r="Y76" s="32"/>
      <c r="Z76" s="31"/>
      <c r="AA76" s="32"/>
      <c r="AB76" s="32"/>
      <c r="AC76" s="31"/>
      <c r="AD76" s="31"/>
      <c r="AE76" s="31"/>
      <c r="AF76" s="32"/>
      <c r="AG76" s="32"/>
      <c r="AH76" s="31"/>
      <c r="AI76" s="32"/>
      <c r="AJ76" s="32"/>
      <c r="AK76" s="31"/>
      <c r="AL76" s="31"/>
      <c r="AM76" s="31"/>
      <c r="AN76" s="32"/>
      <c r="AO76" s="32"/>
      <c r="AP76" s="31"/>
      <c r="AQ76" s="32"/>
      <c r="AR76" s="32"/>
      <c r="AS76" s="31"/>
      <c r="AT76" s="31"/>
      <c r="AU76" s="31"/>
      <c r="AV76" s="32"/>
      <c r="AW76" s="32"/>
      <c r="AX76" s="31"/>
      <c r="AY76" s="32"/>
      <c r="AZ76" s="32"/>
      <c r="BA76" s="31"/>
      <c r="BB76" s="31"/>
      <c r="BC76" s="31"/>
      <c r="BD76" s="32"/>
      <c r="BE76" s="32"/>
      <c r="BF76" s="31"/>
      <c r="BG76" s="31"/>
      <c r="BH76" s="32"/>
      <c r="BI76" s="31"/>
      <c r="BJ76" s="31"/>
      <c r="BK76" s="31"/>
      <c r="BL76" s="31"/>
      <c r="BM76" s="31"/>
      <c r="BN76" s="31"/>
      <c r="BO76" s="31"/>
      <c r="BP76" s="32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  <c r="HE76" s="31"/>
      <c r="HF76" s="31"/>
      <c r="HG76" s="31"/>
      <c r="HH76" s="31"/>
      <c r="HI76" s="31"/>
      <c r="HJ76" s="31"/>
      <c r="HK76" s="31"/>
      <c r="HL76" s="31"/>
      <c r="HM76" s="31"/>
      <c r="HN76" s="31"/>
      <c r="HO76" s="31"/>
      <c r="HP76" s="31"/>
      <c r="HQ76" s="31"/>
      <c r="HR76" s="31"/>
      <c r="HS76" s="31"/>
      <c r="HT76" s="31"/>
      <c r="HU76" s="31"/>
      <c r="HV76" s="31"/>
      <c r="HW76" s="31"/>
      <c r="HX76" s="31"/>
      <c r="HY76" s="31"/>
      <c r="HZ76" s="31"/>
      <c r="IA76" s="31"/>
      <c r="IB76" s="31"/>
      <c r="IC76" s="31"/>
      <c r="ID76" s="31"/>
      <c r="IE76" s="31"/>
      <c r="IF76" s="31"/>
      <c r="IG76" s="31"/>
      <c r="IH76" s="31"/>
      <c r="II76" s="31"/>
      <c r="IJ76" s="31"/>
      <c r="IK76" s="31"/>
      <c r="IL76" s="31"/>
      <c r="IM76" s="31"/>
      <c r="IN76" s="31"/>
      <c r="IO76" s="31"/>
      <c r="IP76" s="31"/>
      <c r="IQ76" s="31"/>
      <c r="IR76" s="31"/>
      <c r="IS76" s="31"/>
      <c r="IT76" s="31"/>
      <c r="IU76" s="31"/>
      <c r="IV76" s="31"/>
      <c r="IW76" s="31"/>
      <c r="IX76" s="31"/>
      <c r="IY76" s="31"/>
      <c r="IZ76" s="31"/>
      <c r="JA76" s="31"/>
      <c r="JB76" s="31"/>
      <c r="JC76" s="31"/>
      <c r="JD76" s="31"/>
      <c r="JE76" s="31"/>
      <c r="JF76" s="31"/>
    </row>
    <row r="77" customFormat="1" ht="17.25" spans="1:266">
      <c r="A77" s="32">
        <f>40000000+INDEX(编号表!$B:$B,MATCH(B77,编号表!$A:$A,0))*10000+C77</f>
        <v>40020024</v>
      </c>
      <c r="B77" s="27" t="s">
        <v>488</v>
      </c>
      <c r="C77" s="32">
        <v>24</v>
      </c>
      <c r="D77" s="32" t="s">
        <v>512</v>
      </c>
      <c r="E77" s="32" t="s">
        <v>437</v>
      </c>
      <c r="F77" s="31">
        <f t="shared" si="6"/>
        <v>100000000</v>
      </c>
      <c r="G77" s="31"/>
      <c r="H77" s="32"/>
      <c r="I77" s="32"/>
      <c r="J77" s="32">
        <f t="shared" si="5"/>
        <v>1</v>
      </c>
      <c r="K77" s="32">
        <v>31010002</v>
      </c>
      <c r="L77" s="32" t="str" cm="1">
        <f t="array" ref="L77">INDEX(编号表!$E:$E,MATCH(K77,编号表!$D:$D,0))</f>
        <v>一小袋灵符</v>
      </c>
      <c r="M77" s="31"/>
      <c r="N77" s="31"/>
      <c r="O77" s="31"/>
      <c r="P77" s="32">
        <v>100000000</v>
      </c>
      <c r="Q77" s="32">
        <v>21</v>
      </c>
      <c r="R77" s="31"/>
      <c r="S77" s="32"/>
      <c r="T77" s="32"/>
      <c r="U77" s="31"/>
      <c r="V77" s="31"/>
      <c r="W77" s="31"/>
      <c r="X77" s="32"/>
      <c r="Y77" s="32"/>
      <c r="Z77" s="31"/>
      <c r="AA77" s="32"/>
      <c r="AB77" s="32"/>
      <c r="AC77" s="31"/>
      <c r="AD77" s="31"/>
      <c r="AE77" s="31"/>
      <c r="AF77" s="32"/>
      <c r="AG77" s="32"/>
      <c r="AH77" s="31"/>
      <c r="AI77" s="32"/>
      <c r="AJ77" s="32"/>
      <c r="AK77" s="31"/>
      <c r="AL77" s="31"/>
      <c r="AM77" s="31"/>
      <c r="AN77" s="32"/>
      <c r="AO77" s="32"/>
      <c r="AP77" s="31"/>
      <c r="AQ77" s="32"/>
      <c r="AR77" s="32"/>
      <c r="AS77" s="31"/>
      <c r="AT77" s="31"/>
      <c r="AU77" s="31"/>
      <c r="AV77" s="32"/>
      <c r="AW77" s="32"/>
      <c r="AX77" s="31"/>
      <c r="AY77" s="32"/>
      <c r="AZ77" s="32"/>
      <c r="BA77" s="31"/>
      <c r="BB77" s="31"/>
      <c r="BC77" s="31"/>
      <c r="BD77" s="32"/>
      <c r="BE77" s="32"/>
      <c r="BF77" s="31"/>
      <c r="BG77" s="31"/>
      <c r="BH77" s="32"/>
      <c r="BI77" s="31"/>
      <c r="BJ77" s="31"/>
      <c r="BK77" s="31"/>
      <c r="BL77" s="31"/>
      <c r="BM77" s="31"/>
      <c r="BN77" s="31"/>
      <c r="BO77" s="31"/>
      <c r="BP77" s="32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  <c r="HG77" s="31"/>
      <c r="HH77" s="31"/>
      <c r="HI77" s="31"/>
      <c r="HJ77" s="31"/>
      <c r="HK77" s="31"/>
      <c r="HL77" s="31"/>
      <c r="HM77" s="31"/>
      <c r="HN77" s="31"/>
      <c r="HO77" s="31"/>
      <c r="HP77" s="31"/>
      <c r="HQ77" s="31"/>
      <c r="HR77" s="31"/>
      <c r="HS77" s="31"/>
      <c r="HT77" s="31"/>
      <c r="HU77" s="31"/>
      <c r="HV77" s="31"/>
      <c r="HW77" s="31"/>
      <c r="HX77" s="31"/>
      <c r="HY77" s="31"/>
      <c r="HZ77" s="31"/>
      <c r="IA77" s="31"/>
      <c r="IB77" s="31"/>
      <c r="IC77" s="31"/>
      <c r="ID77" s="31"/>
      <c r="IE77" s="31"/>
      <c r="IF77" s="31"/>
      <c r="IG77" s="31"/>
      <c r="IH77" s="31"/>
      <c r="II77" s="31"/>
      <c r="IJ77" s="31"/>
      <c r="IK77" s="31"/>
      <c r="IL77" s="31"/>
      <c r="IM77" s="31"/>
      <c r="IN77" s="31"/>
      <c r="IO77" s="31"/>
      <c r="IP77" s="31"/>
      <c r="IQ77" s="31"/>
      <c r="IR77" s="31"/>
      <c r="IS77" s="31"/>
      <c r="IT77" s="31"/>
      <c r="IU77" s="31"/>
      <c r="IV77" s="31"/>
      <c r="IW77" s="31"/>
      <c r="IX77" s="31"/>
      <c r="IY77" s="31"/>
      <c r="IZ77" s="31"/>
      <c r="JA77" s="31"/>
      <c r="JB77" s="31"/>
      <c r="JC77" s="31"/>
      <c r="JD77" s="31"/>
      <c r="JE77" s="31"/>
      <c r="JF77" s="31"/>
    </row>
    <row r="78" customFormat="1" ht="17.25" spans="1:266">
      <c r="A78" s="32">
        <f>40000000+INDEX(编号表!$B:$B,MATCH(B78,编号表!$A:$A,0))*10000+C78</f>
        <v>40020025</v>
      </c>
      <c r="B78" s="27" t="s">
        <v>488</v>
      </c>
      <c r="C78" s="32">
        <v>25</v>
      </c>
      <c r="D78" s="32" t="s">
        <v>513</v>
      </c>
      <c r="E78" s="32" t="s">
        <v>437</v>
      </c>
      <c r="F78" s="31">
        <f t="shared" si="6"/>
        <v>100000000</v>
      </c>
      <c r="G78" s="31"/>
      <c r="H78" s="32"/>
      <c r="I78" s="32"/>
      <c r="J78" s="32">
        <f t="shared" si="5"/>
        <v>1</v>
      </c>
      <c r="K78" s="32">
        <v>31010002</v>
      </c>
      <c r="L78" s="32" t="str" cm="1">
        <f t="array" ref="L78">INDEX(编号表!$E:$E,MATCH(K78,编号表!$D:$D,0))</f>
        <v>一小袋灵符</v>
      </c>
      <c r="M78" s="31"/>
      <c r="N78" s="31"/>
      <c r="O78" s="31"/>
      <c r="P78" s="32">
        <v>100000000</v>
      </c>
      <c r="Q78" s="32">
        <v>24</v>
      </c>
      <c r="R78" s="31"/>
      <c r="S78" s="32"/>
      <c r="T78" s="32"/>
      <c r="U78" s="31"/>
      <c r="V78" s="31"/>
      <c r="W78" s="31"/>
      <c r="X78" s="32"/>
      <c r="Y78" s="32"/>
      <c r="Z78" s="31"/>
      <c r="AA78" s="32"/>
      <c r="AB78" s="32"/>
      <c r="AC78" s="31"/>
      <c r="AD78" s="31"/>
      <c r="AE78" s="31"/>
      <c r="AF78" s="32"/>
      <c r="AG78" s="32"/>
      <c r="AH78" s="31"/>
      <c r="AI78" s="32"/>
      <c r="AJ78" s="32"/>
      <c r="AK78" s="31"/>
      <c r="AL78" s="31"/>
      <c r="AM78" s="31"/>
      <c r="AN78" s="32"/>
      <c r="AO78" s="32"/>
      <c r="AP78" s="31"/>
      <c r="AQ78" s="32"/>
      <c r="AR78" s="32"/>
      <c r="AS78" s="31"/>
      <c r="AT78" s="31"/>
      <c r="AU78" s="31"/>
      <c r="AV78" s="32"/>
      <c r="AW78" s="32"/>
      <c r="AX78" s="31"/>
      <c r="AY78" s="32"/>
      <c r="AZ78" s="32"/>
      <c r="BA78" s="31"/>
      <c r="BB78" s="31"/>
      <c r="BC78" s="31"/>
      <c r="BD78" s="32"/>
      <c r="BE78" s="32"/>
      <c r="BF78" s="31"/>
      <c r="BG78" s="31"/>
      <c r="BH78" s="32"/>
      <c r="BI78" s="31"/>
      <c r="BJ78" s="31"/>
      <c r="BK78" s="31"/>
      <c r="BL78" s="31"/>
      <c r="BM78" s="31"/>
      <c r="BN78" s="31"/>
      <c r="BO78" s="31"/>
      <c r="BP78" s="32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  <c r="HE78" s="31"/>
      <c r="HF78" s="31"/>
      <c r="HG78" s="31"/>
      <c r="HH78" s="31"/>
      <c r="HI78" s="31"/>
      <c r="HJ78" s="31"/>
      <c r="HK78" s="31"/>
      <c r="HL78" s="31"/>
      <c r="HM78" s="31"/>
      <c r="HN78" s="31"/>
      <c r="HO78" s="31"/>
      <c r="HP78" s="31"/>
      <c r="HQ78" s="31"/>
      <c r="HR78" s="31"/>
      <c r="HS78" s="31"/>
      <c r="HT78" s="31"/>
      <c r="HU78" s="31"/>
      <c r="HV78" s="31"/>
      <c r="HW78" s="31"/>
      <c r="HX78" s="31"/>
      <c r="HY78" s="31"/>
      <c r="HZ78" s="31"/>
      <c r="IA78" s="31"/>
      <c r="IB78" s="31"/>
      <c r="IC78" s="31"/>
      <c r="ID78" s="31"/>
      <c r="IE78" s="31"/>
      <c r="IF78" s="31"/>
      <c r="IG78" s="31"/>
      <c r="IH78" s="31"/>
      <c r="II78" s="31"/>
      <c r="IJ78" s="31"/>
      <c r="IK78" s="31"/>
      <c r="IL78" s="31"/>
      <c r="IM78" s="31"/>
      <c r="IN78" s="31"/>
      <c r="IO78" s="31"/>
      <c r="IP78" s="31"/>
      <c r="IQ78" s="31"/>
      <c r="IR78" s="31"/>
      <c r="IS78" s="31"/>
      <c r="IT78" s="31"/>
      <c r="IU78" s="31"/>
      <c r="IV78" s="31"/>
      <c r="IW78" s="31"/>
      <c r="IX78" s="31"/>
      <c r="IY78" s="31"/>
      <c r="IZ78" s="31"/>
      <c r="JA78" s="31"/>
      <c r="JB78" s="31"/>
      <c r="JC78" s="31"/>
      <c r="JD78" s="31"/>
      <c r="JE78" s="31"/>
      <c r="JF78" s="31"/>
    </row>
    <row r="79" customFormat="1" ht="17.25" spans="1:266">
      <c r="A79" s="32">
        <f>40000000+INDEX(编号表!$B:$B,MATCH(B79,编号表!$A:$A,0))*10000+C79</f>
        <v>40020026</v>
      </c>
      <c r="B79" s="27" t="s">
        <v>488</v>
      </c>
      <c r="C79" s="32">
        <v>26</v>
      </c>
      <c r="D79" s="32" t="s">
        <v>514</v>
      </c>
      <c r="E79" s="32" t="s">
        <v>437</v>
      </c>
      <c r="F79" s="31">
        <f t="shared" si="6"/>
        <v>100000000</v>
      </c>
      <c r="G79" s="31"/>
      <c r="H79" s="32"/>
      <c r="I79" s="32"/>
      <c r="J79" s="32">
        <f t="shared" si="5"/>
        <v>1</v>
      </c>
      <c r="K79" s="32">
        <v>31010002</v>
      </c>
      <c r="L79" s="32" t="str" cm="1">
        <f t="array" ref="L79">INDEX(编号表!$E:$E,MATCH(K79,编号表!$D:$D,0))</f>
        <v>一小袋灵符</v>
      </c>
      <c r="M79" s="31"/>
      <c r="N79" s="31"/>
      <c r="O79" s="31"/>
      <c r="P79" s="32">
        <v>100000000</v>
      </c>
      <c r="Q79" s="32">
        <v>27</v>
      </c>
      <c r="R79" s="31"/>
      <c r="S79" s="32"/>
      <c r="T79" s="32"/>
      <c r="U79" s="31"/>
      <c r="V79" s="31"/>
      <c r="W79" s="31"/>
      <c r="X79" s="32"/>
      <c r="Y79" s="32"/>
      <c r="Z79" s="31"/>
      <c r="AA79" s="32"/>
      <c r="AB79" s="32"/>
      <c r="AC79" s="31"/>
      <c r="AD79" s="31"/>
      <c r="AE79" s="31"/>
      <c r="AF79" s="32"/>
      <c r="AG79" s="32"/>
      <c r="AH79" s="31"/>
      <c r="AI79" s="32"/>
      <c r="AJ79" s="32"/>
      <c r="AK79" s="31"/>
      <c r="AL79" s="31"/>
      <c r="AM79" s="31"/>
      <c r="AN79" s="32"/>
      <c r="AO79" s="32"/>
      <c r="AP79" s="31"/>
      <c r="AQ79" s="32"/>
      <c r="AR79" s="32"/>
      <c r="AS79" s="31"/>
      <c r="AT79" s="31"/>
      <c r="AU79" s="31"/>
      <c r="AV79" s="32"/>
      <c r="AW79" s="32"/>
      <c r="AX79" s="31"/>
      <c r="AY79" s="32"/>
      <c r="AZ79" s="32"/>
      <c r="BA79" s="31"/>
      <c r="BB79" s="31"/>
      <c r="BC79" s="31"/>
      <c r="BD79" s="32"/>
      <c r="BE79" s="32"/>
      <c r="BF79" s="31"/>
      <c r="BG79" s="31"/>
      <c r="BH79" s="32"/>
      <c r="BI79" s="31"/>
      <c r="BJ79" s="31"/>
      <c r="BK79" s="31"/>
      <c r="BL79" s="31"/>
      <c r="BM79" s="31"/>
      <c r="BN79" s="31"/>
      <c r="BO79" s="31"/>
      <c r="BP79" s="32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  <c r="IA79" s="31"/>
      <c r="IB79" s="31"/>
      <c r="IC79" s="31"/>
      <c r="ID79" s="31"/>
      <c r="IE79" s="31"/>
      <c r="IF79" s="31"/>
      <c r="IG79" s="31"/>
      <c r="IH79" s="31"/>
      <c r="II79" s="31"/>
      <c r="IJ79" s="31"/>
      <c r="IK79" s="31"/>
      <c r="IL79" s="31"/>
      <c r="IM79" s="31"/>
      <c r="IN79" s="31"/>
      <c r="IO79" s="31"/>
      <c r="IP79" s="31"/>
      <c r="IQ79" s="31"/>
      <c r="IR79" s="31"/>
      <c r="IS79" s="31"/>
      <c r="IT79" s="31"/>
      <c r="IU79" s="31"/>
      <c r="IV79" s="31"/>
      <c r="IW79" s="31"/>
      <c r="IX79" s="31"/>
      <c r="IY79" s="31"/>
      <c r="IZ79" s="31"/>
      <c r="JA79" s="31"/>
      <c r="JB79" s="31"/>
      <c r="JC79" s="31"/>
      <c r="JD79" s="31"/>
      <c r="JE79" s="31"/>
      <c r="JF79" s="31"/>
    </row>
    <row r="80" customFormat="1" ht="17.25" spans="1:266">
      <c r="A80" s="32">
        <f>40000000+INDEX(编号表!$B:$B,MATCH(B80,编号表!$A:$A,0))*10000+C80</f>
        <v>40020027</v>
      </c>
      <c r="B80" s="27" t="s">
        <v>488</v>
      </c>
      <c r="C80" s="32">
        <v>27</v>
      </c>
      <c r="D80" s="32" t="s">
        <v>515</v>
      </c>
      <c r="E80" s="32" t="s">
        <v>437</v>
      </c>
      <c r="F80" s="31">
        <f t="shared" si="6"/>
        <v>100000000</v>
      </c>
      <c r="G80" s="31"/>
      <c r="H80" s="32"/>
      <c r="I80" s="32"/>
      <c r="J80" s="32">
        <f t="shared" si="5"/>
        <v>1</v>
      </c>
      <c r="K80" s="32">
        <v>31010002</v>
      </c>
      <c r="L80" s="32" t="str" cm="1">
        <f t="array" ref="L80">INDEX(编号表!$E:$E,MATCH(K80,编号表!$D:$D,0))</f>
        <v>一小袋灵符</v>
      </c>
      <c r="M80" s="31"/>
      <c r="N80" s="31"/>
      <c r="O80" s="31"/>
      <c r="P80" s="32">
        <v>100000000</v>
      </c>
      <c r="Q80" s="32">
        <v>30</v>
      </c>
      <c r="R80" s="31"/>
      <c r="S80" s="32"/>
      <c r="T80" s="32"/>
      <c r="U80" s="31"/>
      <c r="V80" s="31"/>
      <c r="W80" s="31"/>
      <c r="X80" s="32"/>
      <c r="Y80" s="32"/>
      <c r="Z80" s="31"/>
      <c r="AA80" s="32"/>
      <c r="AB80" s="32"/>
      <c r="AC80" s="31"/>
      <c r="AD80" s="31"/>
      <c r="AE80" s="31"/>
      <c r="AF80" s="32"/>
      <c r="AG80" s="32"/>
      <c r="AH80" s="31"/>
      <c r="AI80" s="32"/>
      <c r="AJ80" s="32"/>
      <c r="AK80" s="31"/>
      <c r="AL80" s="31"/>
      <c r="AM80" s="31"/>
      <c r="AN80" s="32"/>
      <c r="AO80" s="32"/>
      <c r="AP80" s="31"/>
      <c r="AQ80" s="32"/>
      <c r="AR80" s="32"/>
      <c r="AS80" s="31"/>
      <c r="AT80" s="31"/>
      <c r="AU80" s="31"/>
      <c r="AV80" s="32"/>
      <c r="AW80" s="32"/>
      <c r="AX80" s="31"/>
      <c r="AY80" s="32"/>
      <c r="AZ80" s="32"/>
      <c r="BA80" s="31"/>
      <c r="BB80" s="31"/>
      <c r="BC80" s="31"/>
      <c r="BD80" s="32"/>
      <c r="BE80" s="32"/>
      <c r="BF80" s="31"/>
      <c r="BG80" s="31"/>
      <c r="BH80" s="32"/>
      <c r="BI80" s="31"/>
      <c r="BJ80" s="31"/>
      <c r="BK80" s="31"/>
      <c r="BL80" s="31"/>
      <c r="BM80" s="31"/>
      <c r="BN80" s="31"/>
      <c r="BO80" s="31"/>
      <c r="BP80" s="32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  <c r="IA80" s="31"/>
      <c r="IB80" s="31"/>
      <c r="IC80" s="31"/>
      <c r="ID80" s="31"/>
      <c r="IE80" s="31"/>
      <c r="IF80" s="31"/>
      <c r="IG80" s="31"/>
      <c r="IH80" s="31"/>
      <c r="II80" s="31"/>
      <c r="IJ80" s="31"/>
      <c r="IK80" s="31"/>
      <c r="IL80" s="31"/>
      <c r="IM80" s="31"/>
      <c r="IN80" s="31"/>
      <c r="IO80" s="31"/>
      <c r="IP80" s="31"/>
      <c r="IQ80" s="31"/>
      <c r="IR80" s="31"/>
      <c r="IS80" s="31"/>
      <c r="IT80" s="31"/>
      <c r="IU80" s="31"/>
      <c r="IV80" s="31"/>
      <c r="IW80" s="31"/>
      <c r="IX80" s="31"/>
      <c r="IY80" s="31"/>
      <c r="IZ80" s="31"/>
      <c r="JA80" s="31"/>
      <c r="JB80" s="31"/>
      <c r="JC80" s="31"/>
      <c r="JD80" s="31"/>
      <c r="JE80" s="31"/>
      <c r="JF80" s="31"/>
    </row>
    <row r="81" customFormat="1" ht="17.25" spans="1:266">
      <c r="A81" s="32">
        <f>40000000+INDEX(编号表!$B:$B,MATCH(B81,编号表!$A:$A,0))*10000+C81</f>
        <v>40020028</v>
      </c>
      <c r="B81" s="27" t="s">
        <v>488</v>
      </c>
      <c r="C81" s="32">
        <v>28</v>
      </c>
      <c r="D81" s="32" t="s">
        <v>516</v>
      </c>
      <c r="E81" s="32" t="s">
        <v>437</v>
      </c>
      <c r="F81" s="31">
        <f t="shared" si="6"/>
        <v>100000000</v>
      </c>
      <c r="G81" s="31"/>
      <c r="H81" s="32"/>
      <c r="I81" s="32"/>
      <c r="J81" s="32">
        <f t="shared" si="5"/>
        <v>1</v>
      </c>
      <c r="K81" s="32">
        <v>31010002</v>
      </c>
      <c r="L81" s="32" t="str" cm="1">
        <f t="array" ref="L81">INDEX(编号表!$E:$E,MATCH(K81,编号表!$D:$D,0))</f>
        <v>一小袋灵符</v>
      </c>
      <c r="M81" s="31"/>
      <c r="N81" s="31"/>
      <c r="O81" s="31"/>
      <c r="P81" s="32">
        <v>100000000</v>
      </c>
      <c r="Q81" s="32">
        <v>33</v>
      </c>
      <c r="R81" s="31"/>
      <c r="S81" s="32"/>
      <c r="T81" s="32"/>
      <c r="U81" s="31"/>
      <c r="V81" s="31"/>
      <c r="W81" s="31"/>
      <c r="X81" s="32"/>
      <c r="Y81" s="32"/>
      <c r="Z81" s="31"/>
      <c r="AA81" s="32"/>
      <c r="AB81" s="32"/>
      <c r="AC81" s="31"/>
      <c r="AD81" s="31"/>
      <c r="AE81" s="31"/>
      <c r="AF81" s="32"/>
      <c r="AG81" s="32"/>
      <c r="AH81" s="31"/>
      <c r="AI81" s="32"/>
      <c r="AJ81" s="32"/>
      <c r="AK81" s="31"/>
      <c r="AL81" s="31"/>
      <c r="AM81" s="31"/>
      <c r="AN81" s="32"/>
      <c r="AO81" s="32"/>
      <c r="AP81" s="31"/>
      <c r="AQ81" s="32"/>
      <c r="AR81" s="32"/>
      <c r="AS81" s="31"/>
      <c r="AT81" s="31"/>
      <c r="AU81" s="31"/>
      <c r="AV81" s="32"/>
      <c r="AW81" s="32"/>
      <c r="AX81" s="31"/>
      <c r="AY81" s="32"/>
      <c r="AZ81" s="32"/>
      <c r="BA81" s="31"/>
      <c r="BB81" s="31"/>
      <c r="BC81" s="31"/>
      <c r="BD81" s="32"/>
      <c r="BE81" s="32"/>
      <c r="BF81" s="31"/>
      <c r="BG81" s="31"/>
      <c r="BH81" s="32"/>
      <c r="BI81" s="31"/>
      <c r="BJ81" s="31"/>
      <c r="BK81" s="31"/>
      <c r="BL81" s="31"/>
      <c r="BM81" s="31"/>
      <c r="BN81" s="31"/>
      <c r="BO81" s="31"/>
      <c r="BP81" s="32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  <c r="IA81" s="31"/>
      <c r="IB81" s="31"/>
      <c r="IC81" s="31"/>
      <c r="ID81" s="31"/>
      <c r="IE81" s="31"/>
      <c r="IF81" s="31"/>
      <c r="IG81" s="31"/>
      <c r="IH81" s="31"/>
      <c r="II81" s="31"/>
      <c r="IJ81" s="31"/>
      <c r="IK81" s="31"/>
      <c r="IL81" s="31"/>
      <c r="IM81" s="31"/>
      <c r="IN81" s="31"/>
      <c r="IO81" s="31"/>
      <c r="IP81" s="31"/>
      <c r="IQ81" s="31"/>
      <c r="IR81" s="31"/>
      <c r="IS81" s="31"/>
      <c r="IT81" s="31"/>
      <c r="IU81" s="31"/>
      <c r="IV81" s="31"/>
      <c r="IW81" s="31"/>
      <c r="IX81" s="31"/>
      <c r="IY81" s="31"/>
      <c r="IZ81" s="31"/>
      <c r="JA81" s="31"/>
      <c r="JB81" s="31"/>
      <c r="JC81" s="31"/>
      <c r="JD81" s="31"/>
      <c r="JE81" s="31"/>
      <c r="JF81" s="31"/>
    </row>
    <row r="82" customFormat="1" ht="17.25" spans="1:266">
      <c r="A82" s="32">
        <f>40000000+INDEX(编号表!$B:$B,MATCH(B82,编号表!$A:$A,0))*10000+C82</f>
        <v>40020029</v>
      </c>
      <c r="B82" s="27" t="s">
        <v>488</v>
      </c>
      <c r="C82" s="32">
        <v>29</v>
      </c>
      <c r="D82" s="32" t="s">
        <v>517</v>
      </c>
      <c r="E82" s="32" t="s">
        <v>437</v>
      </c>
      <c r="F82" s="31">
        <f t="shared" si="6"/>
        <v>100000000</v>
      </c>
      <c r="G82" s="31"/>
      <c r="H82" s="32"/>
      <c r="I82" s="32"/>
      <c r="J82" s="32">
        <f t="shared" si="5"/>
        <v>1</v>
      </c>
      <c r="K82" s="32">
        <v>31010002</v>
      </c>
      <c r="L82" s="32" t="str" cm="1">
        <f t="array" ref="L82">INDEX(编号表!$E:$E,MATCH(K82,编号表!$D:$D,0))</f>
        <v>一小袋灵符</v>
      </c>
      <c r="M82" s="31"/>
      <c r="N82" s="31"/>
      <c r="O82" s="31"/>
      <c r="P82" s="32">
        <v>100000000</v>
      </c>
      <c r="Q82" s="32">
        <v>36</v>
      </c>
      <c r="R82" s="31"/>
      <c r="S82" s="32"/>
      <c r="T82" s="32"/>
      <c r="U82" s="31"/>
      <c r="V82" s="31"/>
      <c r="W82" s="31"/>
      <c r="X82" s="32"/>
      <c r="Y82" s="32"/>
      <c r="Z82" s="31"/>
      <c r="AA82" s="32"/>
      <c r="AB82" s="32"/>
      <c r="AC82" s="31"/>
      <c r="AD82" s="31"/>
      <c r="AE82" s="31"/>
      <c r="AF82" s="32"/>
      <c r="AG82" s="32"/>
      <c r="AH82" s="31"/>
      <c r="AI82" s="32"/>
      <c r="AJ82" s="32"/>
      <c r="AK82" s="31"/>
      <c r="AL82" s="31"/>
      <c r="AM82" s="31"/>
      <c r="AN82" s="32"/>
      <c r="AO82" s="32"/>
      <c r="AP82" s="31"/>
      <c r="AQ82" s="32"/>
      <c r="AR82" s="32"/>
      <c r="AS82" s="31"/>
      <c r="AT82" s="31"/>
      <c r="AU82" s="31"/>
      <c r="AV82" s="32"/>
      <c r="AW82" s="32"/>
      <c r="AX82" s="31"/>
      <c r="AY82" s="32"/>
      <c r="AZ82" s="32"/>
      <c r="BA82" s="31"/>
      <c r="BB82" s="31"/>
      <c r="BC82" s="31"/>
      <c r="BD82" s="32"/>
      <c r="BE82" s="32"/>
      <c r="BF82" s="31"/>
      <c r="BG82" s="31"/>
      <c r="BH82" s="32"/>
      <c r="BI82" s="31"/>
      <c r="BJ82" s="31"/>
      <c r="BK82" s="31"/>
      <c r="BL82" s="31"/>
      <c r="BM82" s="31"/>
      <c r="BN82" s="31"/>
      <c r="BO82" s="31"/>
      <c r="BP82" s="32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  <c r="IA82" s="31"/>
      <c r="IB82" s="31"/>
      <c r="IC82" s="31"/>
      <c r="ID82" s="31"/>
      <c r="IE82" s="31"/>
      <c r="IF82" s="31"/>
      <c r="IG82" s="31"/>
      <c r="IH82" s="31"/>
      <c r="II82" s="31"/>
      <c r="IJ82" s="31"/>
      <c r="IK82" s="31"/>
      <c r="IL82" s="31"/>
      <c r="IM82" s="31"/>
      <c r="IN82" s="31"/>
      <c r="IO82" s="31"/>
      <c r="IP82" s="31"/>
      <c r="IQ82" s="31"/>
      <c r="IR82" s="31"/>
      <c r="IS82" s="31"/>
      <c r="IT82" s="31"/>
      <c r="IU82" s="31"/>
      <c r="IV82" s="31"/>
      <c r="IW82" s="31"/>
      <c r="IX82" s="31"/>
      <c r="IY82" s="31"/>
      <c r="IZ82" s="31"/>
      <c r="JA82" s="31"/>
      <c r="JB82" s="31"/>
      <c r="JC82" s="31"/>
      <c r="JD82" s="31"/>
      <c r="JE82" s="31"/>
      <c r="JF82" s="31"/>
    </row>
    <row r="83" customFormat="1" ht="17.25" spans="1:266">
      <c r="A83" s="32">
        <f>40000000+INDEX(编号表!$B:$B,MATCH(B83,编号表!$A:$A,0))*10000+C83</f>
        <v>40020030</v>
      </c>
      <c r="B83" s="27" t="s">
        <v>488</v>
      </c>
      <c r="C83" s="32">
        <v>30</v>
      </c>
      <c r="D83" s="32" t="s">
        <v>518</v>
      </c>
      <c r="E83" s="32" t="s">
        <v>437</v>
      </c>
      <c r="F83" s="31">
        <f t="shared" si="6"/>
        <v>100000000</v>
      </c>
      <c r="G83" s="31"/>
      <c r="H83" s="32"/>
      <c r="I83" s="32"/>
      <c r="J83" s="32">
        <f t="shared" si="5"/>
        <v>1</v>
      </c>
      <c r="K83" s="32">
        <v>31010002</v>
      </c>
      <c r="L83" s="32" t="str" cm="1">
        <f t="array" ref="L83">INDEX(编号表!$E:$E,MATCH(K83,编号表!$D:$D,0))</f>
        <v>一小袋灵符</v>
      </c>
      <c r="M83" s="31"/>
      <c r="N83" s="31"/>
      <c r="O83" s="31"/>
      <c r="P83" s="32">
        <v>100000000</v>
      </c>
      <c r="Q83" s="32">
        <v>39</v>
      </c>
      <c r="R83" s="31"/>
      <c r="S83" s="32"/>
      <c r="T83" s="32"/>
      <c r="U83" s="31"/>
      <c r="V83" s="31"/>
      <c r="W83" s="31"/>
      <c r="X83" s="32"/>
      <c r="Y83" s="32"/>
      <c r="Z83" s="31"/>
      <c r="AA83" s="32"/>
      <c r="AB83" s="32"/>
      <c r="AC83" s="31"/>
      <c r="AD83" s="31"/>
      <c r="AE83" s="31"/>
      <c r="AF83" s="32"/>
      <c r="AG83" s="32"/>
      <c r="AH83" s="31"/>
      <c r="AI83" s="32"/>
      <c r="AJ83" s="32"/>
      <c r="AK83" s="31"/>
      <c r="AL83" s="31"/>
      <c r="AM83" s="31"/>
      <c r="AN83" s="32"/>
      <c r="AO83" s="32"/>
      <c r="AP83" s="31"/>
      <c r="AQ83" s="32"/>
      <c r="AR83" s="32"/>
      <c r="AS83" s="31"/>
      <c r="AT83" s="31"/>
      <c r="AU83" s="31"/>
      <c r="AV83" s="32"/>
      <c r="AW83" s="32"/>
      <c r="AX83" s="31"/>
      <c r="AY83" s="32"/>
      <c r="AZ83" s="32"/>
      <c r="BA83" s="31"/>
      <c r="BB83" s="31"/>
      <c r="BC83" s="31"/>
      <c r="BD83" s="32"/>
      <c r="BE83" s="32"/>
      <c r="BF83" s="31"/>
      <c r="BG83" s="31"/>
      <c r="BH83" s="32"/>
      <c r="BI83" s="31"/>
      <c r="BJ83" s="31"/>
      <c r="BK83" s="31"/>
      <c r="BL83" s="31"/>
      <c r="BM83" s="31"/>
      <c r="BN83" s="31"/>
      <c r="BO83" s="31"/>
      <c r="BP83" s="32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  <c r="HE83" s="31"/>
      <c r="HF83" s="31"/>
      <c r="HG83" s="31"/>
      <c r="HH83" s="31"/>
      <c r="HI83" s="31"/>
      <c r="HJ83" s="31"/>
      <c r="HK83" s="31"/>
      <c r="HL83" s="31"/>
      <c r="HM83" s="31"/>
      <c r="HN83" s="31"/>
      <c r="HO83" s="31"/>
      <c r="HP83" s="31"/>
      <c r="HQ83" s="31"/>
      <c r="HR83" s="31"/>
      <c r="HS83" s="31"/>
      <c r="HT83" s="31"/>
      <c r="HU83" s="31"/>
      <c r="HV83" s="31"/>
      <c r="HW83" s="31"/>
      <c r="HX83" s="31"/>
      <c r="HY83" s="31"/>
      <c r="HZ83" s="31"/>
      <c r="IA83" s="31"/>
      <c r="IB83" s="31"/>
      <c r="IC83" s="31"/>
      <c r="ID83" s="31"/>
      <c r="IE83" s="31"/>
      <c r="IF83" s="31"/>
      <c r="IG83" s="31"/>
      <c r="IH83" s="31"/>
      <c r="II83" s="31"/>
      <c r="IJ83" s="31"/>
      <c r="IK83" s="31"/>
      <c r="IL83" s="31"/>
      <c r="IM83" s="31"/>
      <c r="IN83" s="31"/>
      <c r="IO83" s="31"/>
      <c r="IP83" s="31"/>
      <c r="IQ83" s="31"/>
      <c r="IR83" s="31"/>
      <c r="IS83" s="31"/>
      <c r="IT83" s="31"/>
      <c r="IU83" s="31"/>
      <c r="IV83" s="31"/>
      <c r="IW83" s="31"/>
      <c r="IX83" s="31"/>
      <c r="IY83" s="31"/>
      <c r="IZ83" s="31"/>
      <c r="JA83" s="31"/>
      <c r="JB83" s="31"/>
      <c r="JC83" s="31"/>
      <c r="JD83" s="31"/>
      <c r="JE83" s="31"/>
      <c r="JF83" s="31"/>
    </row>
    <row r="84" customFormat="1" ht="17.25" spans="1:266">
      <c r="A84" s="32">
        <f>40000000+INDEX(编号表!$B:$B,MATCH(B84,编号表!$A:$A,0))*10000+C84</f>
        <v>40020031</v>
      </c>
      <c r="B84" s="27" t="s">
        <v>488</v>
      </c>
      <c r="C84" s="32">
        <v>31</v>
      </c>
      <c r="D84" s="32" t="s">
        <v>519</v>
      </c>
      <c r="E84" s="32" t="s">
        <v>437</v>
      </c>
      <c r="F84" s="31">
        <f t="shared" si="6"/>
        <v>100000000</v>
      </c>
      <c r="G84" s="31"/>
      <c r="H84" s="32"/>
      <c r="I84" s="32"/>
      <c r="J84" s="32">
        <f t="shared" si="5"/>
        <v>1</v>
      </c>
      <c r="K84" s="32">
        <v>31010002</v>
      </c>
      <c r="L84" s="32" t="str" cm="1">
        <f t="array" ref="L84">INDEX(编号表!$E:$E,MATCH(K84,编号表!$D:$D,0))</f>
        <v>一小袋灵符</v>
      </c>
      <c r="M84" s="31"/>
      <c r="N84" s="31"/>
      <c r="O84" s="31"/>
      <c r="P84" s="32">
        <v>100000000</v>
      </c>
      <c r="Q84" s="32">
        <v>42</v>
      </c>
      <c r="R84" s="31"/>
      <c r="S84" s="32"/>
      <c r="T84" s="32"/>
      <c r="U84" s="31"/>
      <c r="V84" s="31"/>
      <c r="W84" s="31"/>
      <c r="X84" s="32"/>
      <c r="Y84" s="32"/>
      <c r="Z84" s="31"/>
      <c r="AA84" s="32"/>
      <c r="AB84" s="32"/>
      <c r="AC84" s="31"/>
      <c r="AD84" s="31"/>
      <c r="AE84" s="31"/>
      <c r="AF84" s="32"/>
      <c r="AG84" s="32"/>
      <c r="AH84" s="31"/>
      <c r="AI84" s="32"/>
      <c r="AJ84" s="32"/>
      <c r="AK84" s="31"/>
      <c r="AL84" s="31"/>
      <c r="AM84" s="31"/>
      <c r="AN84" s="32"/>
      <c r="AO84" s="32"/>
      <c r="AP84" s="31"/>
      <c r="AQ84" s="32"/>
      <c r="AR84" s="32"/>
      <c r="AS84" s="31"/>
      <c r="AT84" s="31"/>
      <c r="AU84" s="31"/>
      <c r="AV84" s="32"/>
      <c r="AW84" s="32"/>
      <c r="AX84" s="31"/>
      <c r="AY84" s="32"/>
      <c r="AZ84" s="32"/>
      <c r="BA84" s="31"/>
      <c r="BB84" s="31"/>
      <c r="BC84" s="31"/>
      <c r="BD84" s="32"/>
      <c r="BE84" s="32"/>
      <c r="BF84" s="31"/>
      <c r="BG84" s="31"/>
      <c r="BH84" s="32"/>
      <c r="BI84" s="31"/>
      <c r="BJ84" s="31"/>
      <c r="BK84" s="31"/>
      <c r="BL84" s="31"/>
      <c r="BM84" s="31"/>
      <c r="BN84" s="31"/>
      <c r="BO84" s="31"/>
      <c r="BP84" s="32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  <c r="HE84" s="31"/>
      <c r="HF84" s="31"/>
      <c r="HG84" s="31"/>
      <c r="HH84" s="31"/>
      <c r="HI84" s="31"/>
      <c r="HJ84" s="31"/>
      <c r="HK84" s="31"/>
      <c r="HL84" s="31"/>
      <c r="HM84" s="31"/>
      <c r="HN84" s="31"/>
      <c r="HO84" s="31"/>
      <c r="HP84" s="31"/>
      <c r="HQ84" s="31"/>
      <c r="HR84" s="31"/>
      <c r="HS84" s="31"/>
      <c r="HT84" s="31"/>
      <c r="HU84" s="31"/>
      <c r="HV84" s="31"/>
      <c r="HW84" s="31"/>
      <c r="HX84" s="31"/>
      <c r="HY84" s="31"/>
      <c r="HZ84" s="31"/>
      <c r="IA84" s="31"/>
      <c r="IB84" s="31"/>
      <c r="IC84" s="31"/>
      <c r="ID84" s="31"/>
      <c r="IE84" s="31"/>
      <c r="IF84" s="31"/>
      <c r="IG84" s="31"/>
      <c r="IH84" s="31"/>
      <c r="II84" s="31"/>
      <c r="IJ84" s="31"/>
      <c r="IK84" s="31"/>
      <c r="IL84" s="31"/>
      <c r="IM84" s="31"/>
      <c r="IN84" s="31"/>
      <c r="IO84" s="31"/>
      <c r="IP84" s="31"/>
      <c r="IQ84" s="31"/>
      <c r="IR84" s="31"/>
      <c r="IS84" s="31"/>
      <c r="IT84" s="31"/>
      <c r="IU84" s="31"/>
      <c r="IV84" s="31"/>
      <c r="IW84" s="31"/>
      <c r="IX84" s="31"/>
      <c r="IY84" s="31"/>
      <c r="IZ84" s="31"/>
      <c r="JA84" s="31"/>
      <c r="JB84" s="31"/>
      <c r="JC84" s="31"/>
      <c r="JD84" s="31"/>
      <c r="JE84" s="31"/>
      <c r="JF84" s="31"/>
    </row>
    <row r="85" customFormat="1" ht="17.25" spans="1:266">
      <c r="A85" s="32">
        <f>40000000+INDEX(编号表!$B:$B,MATCH(B85,编号表!$A:$A,0))*10000+C85</f>
        <v>40020032</v>
      </c>
      <c r="B85" s="27" t="s">
        <v>488</v>
      </c>
      <c r="C85" s="32">
        <v>32</v>
      </c>
      <c r="D85" s="32" t="s">
        <v>520</v>
      </c>
      <c r="E85" s="32" t="s">
        <v>437</v>
      </c>
      <c r="F85" s="31">
        <f t="shared" si="6"/>
        <v>100000000</v>
      </c>
      <c r="G85" s="31"/>
      <c r="H85" s="32"/>
      <c r="I85" s="32"/>
      <c r="J85" s="32">
        <f t="shared" si="5"/>
        <v>1</v>
      </c>
      <c r="K85" s="32">
        <v>31010002</v>
      </c>
      <c r="L85" s="32" t="str" cm="1">
        <f t="array" ref="L85">INDEX(编号表!$E:$E,MATCH(K85,编号表!$D:$D,0))</f>
        <v>一小袋灵符</v>
      </c>
      <c r="M85" s="31"/>
      <c r="N85" s="31"/>
      <c r="O85" s="31"/>
      <c r="P85" s="32">
        <v>100000000</v>
      </c>
      <c r="Q85" s="32">
        <v>45</v>
      </c>
      <c r="R85" s="31"/>
      <c r="S85" s="32"/>
      <c r="T85" s="32"/>
      <c r="U85" s="31"/>
      <c r="V85" s="31"/>
      <c r="W85" s="31"/>
      <c r="X85" s="32"/>
      <c r="Y85" s="32"/>
      <c r="Z85" s="31"/>
      <c r="AA85" s="32"/>
      <c r="AB85" s="32"/>
      <c r="AC85" s="31"/>
      <c r="AD85" s="31"/>
      <c r="AE85" s="31"/>
      <c r="AF85" s="32"/>
      <c r="AG85" s="32"/>
      <c r="AH85" s="31"/>
      <c r="AI85" s="32"/>
      <c r="AJ85" s="32"/>
      <c r="AK85" s="31"/>
      <c r="AL85" s="31"/>
      <c r="AM85" s="31"/>
      <c r="AN85" s="32"/>
      <c r="AO85" s="32"/>
      <c r="AP85" s="31"/>
      <c r="AQ85" s="32"/>
      <c r="AR85" s="32"/>
      <c r="AS85" s="31"/>
      <c r="AT85" s="31"/>
      <c r="AU85" s="31"/>
      <c r="AV85" s="32"/>
      <c r="AW85" s="32"/>
      <c r="AX85" s="31"/>
      <c r="AY85" s="32"/>
      <c r="AZ85" s="32"/>
      <c r="BA85" s="31"/>
      <c r="BB85" s="31"/>
      <c r="BC85" s="31"/>
      <c r="BD85" s="32"/>
      <c r="BE85" s="32"/>
      <c r="BF85" s="31"/>
      <c r="BG85" s="31"/>
      <c r="BH85" s="32"/>
      <c r="BI85" s="31"/>
      <c r="BJ85" s="31"/>
      <c r="BK85" s="31"/>
      <c r="BL85" s="31"/>
      <c r="BM85" s="31"/>
      <c r="BN85" s="31"/>
      <c r="BO85" s="31"/>
      <c r="BP85" s="32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  <c r="HG85" s="31"/>
      <c r="HH85" s="31"/>
      <c r="HI85" s="31"/>
      <c r="HJ85" s="31"/>
      <c r="HK85" s="31"/>
      <c r="HL85" s="31"/>
      <c r="HM85" s="31"/>
      <c r="HN85" s="31"/>
      <c r="HO85" s="31"/>
      <c r="HP85" s="31"/>
      <c r="HQ85" s="31"/>
      <c r="HR85" s="31"/>
      <c r="HS85" s="31"/>
      <c r="HT85" s="31"/>
      <c r="HU85" s="31"/>
      <c r="HV85" s="31"/>
      <c r="HW85" s="31"/>
      <c r="HX85" s="31"/>
      <c r="HY85" s="31"/>
      <c r="HZ85" s="31"/>
      <c r="IA85" s="31"/>
      <c r="IB85" s="31"/>
      <c r="IC85" s="31"/>
      <c r="ID85" s="31"/>
      <c r="IE85" s="31"/>
      <c r="IF85" s="31"/>
      <c r="IG85" s="31"/>
      <c r="IH85" s="31"/>
      <c r="II85" s="31"/>
      <c r="IJ85" s="31"/>
      <c r="IK85" s="31"/>
      <c r="IL85" s="31"/>
      <c r="IM85" s="31"/>
      <c r="IN85" s="31"/>
      <c r="IO85" s="31"/>
      <c r="IP85" s="31"/>
      <c r="IQ85" s="31"/>
      <c r="IR85" s="31"/>
      <c r="IS85" s="31"/>
      <c r="IT85" s="31"/>
      <c r="IU85" s="31"/>
      <c r="IV85" s="31"/>
      <c r="IW85" s="31"/>
      <c r="IX85" s="31"/>
      <c r="IY85" s="31"/>
      <c r="IZ85" s="31"/>
      <c r="JA85" s="31"/>
      <c r="JB85" s="31"/>
      <c r="JC85" s="31"/>
      <c r="JD85" s="31"/>
      <c r="JE85" s="31"/>
      <c r="JF85" s="31"/>
    </row>
    <row r="86" customFormat="1" ht="17.25" spans="1:266">
      <c r="A86" s="32">
        <f>40000000+INDEX(编号表!$B:$B,MATCH(B86,编号表!$A:$A,0))*10000+C86</f>
        <v>40020033</v>
      </c>
      <c r="B86" s="27" t="s">
        <v>488</v>
      </c>
      <c r="C86" s="32">
        <v>33</v>
      </c>
      <c r="D86" s="32" t="s">
        <v>521</v>
      </c>
      <c r="E86" s="32" t="s">
        <v>437</v>
      </c>
      <c r="F86" s="31">
        <f t="shared" si="6"/>
        <v>100000000</v>
      </c>
      <c r="G86" s="31"/>
      <c r="H86" s="32"/>
      <c r="I86" s="32"/>
      <c r="J86" s="32">
        <f t="shared" si="5"/>
        <v>1</v>
      </c>
      <c r="K86" s="32">
        <v>31010002</v>
      </c>
      <c r="L86" s="32" t="str" cm="1">
        <f t="array" ref="L86">INDEX(编号表!$E:$E,MATCH(K86,编号表!$D:$D,0))</f>
        <v>一小袋灵符</v>
      </c>
      <c r="M86" s="31"/>
      <c r="N86" s="31"/>
      <c r="O86" s="31"/>
      <c r="P86" s="32">
        <v>100000000</v>
      </c>
      <c r="Q86" s="32">
        <v>48</v>
      </c>
      <c r="R86" s="31"/>
      <c r="S86" s="32"/>
      <c r="T86" s="32"/>
      <c r="U86" s="31"/>
      <c r="V86" s="31"/>
      <c r="W86" s="31"/>
      <c r="X86" s="32"/>
      <c r="Y86" s="32"/>
      <c r="Z86" s="31"/>
      <c r="AA86" s="32"/>
      <c r="AB86" s="32"/>
      <c r="AC86" s="31"/>
      <c r="AD86" s="31"/>
      <c r="AE86" s="31"/>
      <c r="AF86" s="32"/>
      <c r="AG86" s="32"/>
      <c r="AH86" s="31"/>
      <c r="AI86" s="32"/>
      <c r="AJ86" s="32"/>
      <c r="AK86" s="31"/>
      <c r="AL86" s="31"/>
      <c r="AM86" s="31"/>
      <c r="AN86" s="32"/>
      <c r="AO86" s="32"/>
      <c r="AP86" s="31"/>
      <c r="AQ86" s="32"/>
      <c r="AR86" s="32"/>
      <c r="AS86" s="31"/>
      <c r="AT86" s="31"/>
      <c r="AU86" s="31"/>
      <c r="AV86" s="32"/>
      <c r="AW86" s="32"/>
      <c r="AX86" s="31"/>
      <c r="AY86" s="32"/>
      <c r="AZ86" s="32"/>
      <c r="BA86" s="31"/>
      <c r="BB86" s="31"/>
      <c r="BC86" s="31"/>
      <c r="BD86" s="32"/>
      <c r="BE86" s="32"/>
      <c r="BF86" s="31"/>
      <c r="BG86" s="31"/>
      <c r="BH86" s="32"/>
      <c r="BI86" s="31"/>
      <c r="BJ86" s="31"/>
      <c r="BK86" s="31"/>
      <c r="BL86" s="31"/>
      <c r="BM86" s="31"/>
      <c r="BN86" s="31"/>
      <c r="BO86" s="31"/>
      <c r="BP86" s="32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/>
      <c r="HK86" s="31"/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  <c r="IA86" s="31"/>
      <c r="IB86" s="31"/>
      <c r="IC86" s="31"/>
      <c r="ID86" s="31"/>
      <c r="IE86" s="31"/>
      <c r="IF86" s="31"/>
      <c r="IG86" s="31"/>
      <c r="IH86" s="31"/>
      <c r="II86" s="31"/>
      <c r="IJ86" s="31"/>
      <c r="IK86" s="31"/>
      <c r="IL86" s="31"/>
      <c r="IM86" s="31"/>
      <c r="IN86" s="31"/>
      <c r="IO86" s="31"/>
      <c r="IP86" s="31"/>
      <c r="IQ86" s="31"/>
      <c r="IR86" s="31"/>
      <c r="IS86" s="31"/>
      <c r="IT86" s="31"/>
      <c r="IU86" s="31"/>
      <c r="IV86" s="31"/>
      <c r="IW86" s="31"/>
      <c r="IX86" s="31"/>
      <c r="IY86" s="31"/>
      <c r="IZ86" s="31"/>
      <c r="JA86" s="31"/>
      <c r="JB86" s="31"/>
      <c r="JC86" s="31"/>
      <c r="JD86" s="31"/>
      <c r="JE86" s="31"/>
      <c r="JF86" s="31"/>
    </row>
    <row r="87" customFormat="1" ht="17.25" spans="1:266">
      <c r="A87" s="32">
        <f>40000000+INDEX(编号表!$B:$B,MATCH(B87,编号表!$A:$A,0))*10000+C87</f>
        <v>40020034</v>
      </c>
      <c r="B87" s="27" t="s">
        <v>488</v>
      </c>
      <c r="C87" s="32">
        <v>34</v>
      </c>
      <c r="D87" s="32" t="s">
        <v>522</v>
      </c>
      <c r="E87" s="32" t="s">
        <v>437</v>
      </c>
      <c r="F87" s="31">
        <f t="shared" si="6"/>
        <v>100000000</v>
      </c>
      <c r="G87" s="31"/>
      <c r="H87" s="32"/>
      <c r="I87" s="32"/>
      <c r="J87" s="32">
        <f t="shared" si="5"/>
        <v>1</v>
      </c>
      <c r="K87" s="32">
        <v>31010002</v>
      </c>
      <c r="L87" s="32" t="str" cm="1">
        <f t="array" ref="L87">INDEX(编号表!$E:$E,MATCH(K87,编号表!$D:$D,0))</f>
        <v>一小袋灵符</v>
      </c>
      <c r="M87" s="31"/>
      <c r="N87" s="31"/>
      <c r="O87" s="31"/>
      <c r="P87" s="32">
        <v>100000000</v>
      </c>
      <c r="Q87" s="32">
        <v>51</v>
      </c>
      <c r="R87" s="31"/>
      <c r="S87" s="32"/>
      <c r="T87" s="32"/>
      <c r="U87" s="31"/>
      <c r="V87" s="31"/>
      <c r="W87" s="31"/>
      <c r="X87" s="32"/>
      <c r="Y87" s="32"/>
      <c r="Z87" s="31"/>
      <c r="AA87" s="32"/>
      <c r="AB87" s="32"/>
      <c r="AC87" s="31"/>
      <c r="AD87" s="31"/>
      <c r="AE87" s="31"/>
      <c r="AF87" s="32"/>
      <c r="AG87" s="32"/>
      <c r="AH87" s="31"/>
      <c r="AI87" s="32"/>
      <c r="AJ87" s="32"/>
      <c r="AK87" s="31"/>
      <c r="AL87" s="31"/>
      <c r="AM87" s="31"/>
      <c r="AN87" s="32"/>
      <c r="AO87" s="32"/>
      <c r="AP87" s="31"/>
      <c r="AQ87" s="32"/>
      <c r="AR87" s="32"/>
      <c r="AS87" s="31"/>
      <c r="AT87" s="31"/>
      <c r="AU87" s="31"/>
      <c r="AV87" s="32"/>
      <c r="AW87" s="32"/>
      <c r="AX87" s="31"/>
      <c r="AY87" s="32"/>
      <c r="AZ87" s="32"/>
      <c r="BA87" s="31"/>
      <c r="BB87" s="31"/>
      <c r="BC87" s="31"/>
      <c r="BD87" s="32"/>
      <c r="BE87" s="32"/>
      <c r="BF87" s="31"/>
      <c r="BG87" s="31"/>
      <c r="BH87" s="32"/>
      <c r="BI87" s="31"/>
      <c r="BJ87" s="31"/>
      <c r="BK87" s="31"/>
      <c r="BL87" s="31"/>
      <c r="BM87" s="31"/>
      <c r="BN87" s="31"/>
      <c r="BO87" s="31"/>
      <c r="BP87" s="32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/>
      <c r="HK87" s="31"/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/>
      <c r="IQ87" s="31"/>
      <c r="IR87" s="31"/>
      <c r="IS87" s="31"/>
      <c r="IT87" s="31"/>
      <c r="IU87" s="31"/>
      <c r="IV87" s="31"/>
      <c r="IW87" s="31"/>
      <c r="IX87" s="31"/>
      <c r="IY87" s="31"/>
      <c r="IZ87" s="31"/>
      <c r="JA87" s="31"/>
      <c r="JB87" s="31"/>
      <c r="JC87" s="31"/>
      <c r="JD87" s="31"/>
      <c r="JE87" s="31"/>
      <c r="JF87" s="31"/>
    </row>
    <row r="88" customFormat="1" ht="17.25" spans="1:266">
      <c r="A88" s="32">
        <f>40000000+INDEX(编号表!$B:$B,MATCH(B88,编号表!$A:$A,0))*10000+C88</f>
        <v>40050001</v>
      </c>
      <c r="B88" s="27" t="s">
        <v>523</v>
      </c>
      <c r="C88" s="32">
        <v>1</v>
      </c>
      <c r="D88" s="32" t="s">
        <v>524</v>
      </c>
      <c r="E88" s="32" t="s">
        <v>437</v>
      </c>
      <c r="F88" s="31">
        <f t="shared" si="6"/>
        <v>1000000</v>
      </c>
      <c r="G88" s="31"/>
      <c r="H88" s="32"/>
      <c r="I88" s="32"/>
      <c r="J88" s="32">
        <f t="shared" si="5"/>
        <v>1</v>
      </c>
      <c r="K88" s="32"/>
      <c r="L88" s="32"/>
      <c r="M88" s="16" t="s">
        <v>525</v>
      </c>
      <c r="N88" s="16" t="s">
        <v>526</v>
      </c>
      <c r="O88" s="16" t="s">
        <v>527</v>
      </c>
      <c r="P88" s="32">
        <v>1000000</v>
      </c>
      <c r="Q88" s="32">
        <v>1</v>
      </c>
      <c r="R88" s="31"/>
      <c r="S88" s="32"/>
      <c r="T88" s="32"/>
      <c r="U88" s="31"/>
      <c r="V88" s="31"/>
      <c r="W88" s="31"/>
      <c r="X88" s="32"/>
      <c r="Y88" s="32"/>
      <c r="Z88" s="31"/>
      <c r="AA88" s="32"/>
      <c r="AB88" s="32"/>
      <c r="AC88" s="31"/>
      <c r="AD88" s="31"/>
      <c r="AE88" s="31"/>
      <c r="AF88" s="32"/>
      <c r="AG88" s="32"/>
      <c r="AH88" s="31"/>
      <c r="AI88" s="31"/>
      <c r="AJ88" s="32"/>
      <c r="AK88" s="31"/>
      <c r="AL88" s="31"/>
      <c r="AM88" s="31"/>
      <c r="AN88" s="31"/>
      <c r="AO88" s="31"/>
      <c r="AP88" s="31"/>
      <c r="AQ88" s="31"/>
      <c r="AR88" s="32"/>
      <c r="AS88" s="31"/>
      <c r="AT88" s="31"/>
      <c r="AU88" s="31"/>
      <c r="AV88" s="31"/>
      <c r="AW88" s="31"/>
      <c r="AX88" s="31"/>
      <c r="AY88" s="31"/>
      <c r="AZ88" s="32"/>
      <c r="BA88" s="31"/>
      <c r="BB88" s="31"/>
      <c r="BC88" s="31"/>
      <c r="BD88" s="31"/>
      <c r="BE88" s="31"/>
      <c r="BF88" s="31"/>
      <c r="BG88" s="31"/>
      <c r="BH88" s="32"/>
      <c r="BI88" s="31"/>
      <c r="BJ88" s="31"/>
      <c r="BK88" s="31"/>
      <c r="BL88" s="31"/>
      <c r="BM88" s="31"/>
      <c r="BN88" s="31"/>
      <c r="BO88" s="31"/>
      <c r="BP88" s="32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  <c r="HE88" s="31"/>
      <c r="HF88" s="31"/>
      <c r="HG88" s="31"/>
      <c r="HH88" s="31"/>
      <c r="HI88" s="31"/>
      <c r="HJ88" s="31"/>
      <c r="HK88" s="31"/>
      <c r="HL88" s="31"/>
      <c r="HM88" s="31"/>
      <c r="HN88" s="31"/>
      <c r="HO88" s="31"/>
      <c r="HP88" s="31"/>
      <c r="HQ88" s="31"/>
      <c r="HR88" s="31"/>
      <c r="HS88" s="31"/>
      <c r="HT88" s="31"/>
      <c r="HU88" s="31"/>
      <c r="HV88" s="31"/>
      <c r="HW88" s="31"/>
      <c r="HX88" s="31"/>
      <c r="HY88" s="31"/>
      <c r="HZ88" s="31"/>
      <c r="IA88" s="31"/>
      <c r="IB88" s="31"/>
      <c r="IC88" s="31"/>
      <c r="ID88" s="31"/>
      <c r="IE88" s="31"/>
      <c r="IF88" s="31"/>
      <c r="IG88" s="31"/>
      <c r="IH88" s="31"/>
      <c r="II88" s="31"/>
      <c r="IJ88" s="31"/>
      <c r="IK88" s="31"/>
      <c r="IL88" s="31"/>
      <c r="IM88" s="31"/>
      <c r="IN88" s="31"/>
      <c r="IO88" s="31"/>
      <c r="IP88" s="31"/>
      <c r="IQ88" s="31"/>
      <c r="IR88" s="31"/>
      <c r="IS88" s="31"/>
      <c r="IT88" s="31"/>
      <c r="IU88" s="31"/>
      <c r="IV88" s="31"/>
      <c r="IW88" s="31"/>
      <c r="IX88" s="31"/>
      <c r="IY88" s="31"/>
      <c r="IZ88" s="31"/>
      <c r="JA88" s="31"/>
      <c r="JB88" s="31"/>
      <c r="JC88" s="31"/>
      <c r="JD88" s="31"/>
      <c r="JE88" s="31"/>
      <c r="JF88" s="31"/>
    </row>
    <row r="89" customFormat="1" ht="17.25" spans="1:266">
      <c r="A89" s="32">
        <f>40000000+INDEX(编号表!$B:$B,MATCH(B89,编号表!$A:$A,0))*10000+C89</f>
        <v>40050002</v>
      </c>
      <c r="B89" s="27" t="s">
        <v>523</v>
      </c>
      <c r="C89" s="32">
        <v>2</v>
      </c>
      <c r="D89" s="32" t="s">
        <v>528</v>
      </c>
      <c r="E89" s="32" t="s">
        <v>437</v>
      </c>
      <c r="F89" s="31">
        <f t="shared" si="6"/>
        <v>1000000</v>
      </c>
      <c r="G89" s="31"/>
      <c r="H89" s="32"/>
      <c r="I89" s="32"/>
      <c r="J89" s="32">
        <f t="shared" si="5"/>
        <v>1</v>
      </c>
      <c r="K89" s="32"/>
      <c r="L89" s="32"/>
      <c r="M89" s="16" t="s">
        <v>525</v>
      </c>
      <c r="N89" s="16" t="s">
        <v>526</v>
      </c>
      <c r="O89" s="16" t="s">
        <v>527</v>
      </c>
      <c r="P89" s="32">
        <v>1000000</v>
      </c>
      <c r="Q89" s="32">
        <v>1</v>
      </c>
      <c r="R89" s="31"/>
      <c r="S89" s="32"/>
      <c r="T89" s="32"/>
      <c r="U89" s="31"/>
      <c r="V89" s="31"/>
      <c r="W89" s="31"/>
      <c r="X89" s="32"/>
      <c r="Y89" s="32"/>
      <c r="Z89" s="31"/>
      <c r="AA89" s="32"/>
      <c r="AB89" s="32"/>
      <c r="AC89" s="31"/>
      <c r="AD89" s="31"/>
      <c r="AE89" s="31"/>
      <c r="AF89" s="32"/>
      <c r="AG89" s="32"/>
      <c r="AH89" s="31"/>
      <c r="AI89" s="31"/>
      <c r="AJ89" s="32"/>
      <c r="AK89" s="31"/>
      <c r="AL89" s="31"/>
      <c r="AM89" s="31"/>
      <c r="AN89" s="31"/>
      <c r="AO89" s="31"/>
      <c r="AP89" s="31"/>
      <c r="AQ89" s="31"/>
      <c r="AR89" s="32"/>
      <c r="AS89" s="31"/>
      <c r="AT89" s="31"/>
      <c r="AU89" s="31"/>
      <c r="AV89" s="31"/>
      <c r="AW89" s="31"/>
      <c r="AX89" s="31"/>
      <c r="AY89" s="31"/>
      <c r="AZ89" s="32"/>
      <c r="BA89" s="31"/>
      <c r="BB89" s="31"/>
      <c r="BC89" s="31"/>
      <c r="BD89" s="31"/>
      <c r="BE89" s="31"/>
      <c r="BF89" s="31"/>
      <c r="BG89" s="31"/>
      <c r="BH89" s="32"/>
      <c r="BI89" s="31"/>
      <c r="BJ89" s="31"/>
      <c r="BK89" s="31"/>
      <c r="BL89" s="31"/>
      <c r="BM89" s="31"/>
      <c r="BN89" s="31"/>
      <c r="BO89" s="31"/>
      <c r="BP89" s="32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  <c r="HG89" s="31"/>
      <c r="HH89" s="31"/>
      <c r="HI89" s="31"/>
      <c r="HJ89" s="31"/>
      <c r="HK89" s="31"/>
      <c r="HL89" s="31"/>
      <c r="HM89" s="31"/>
      <c r="HN89" s="31"/>
      <c r="HO89" s="31"/>
      <c r="HP89" s="31"/>
      <c r="HQ89" s="31"/>
      <c r="HR89" s="31"/>
      <c r="HS89" s="31"/>
      <c r="HT89" s="31"/>
      <c r="HU89" s="31"/>
      <c r="HV89" s="31"/>
      <c r="HW89" s="31"/>
      <c r="HX89" s="31"/>
      <c r="HY89" s="31"/>
      <c r="HZ89" s="31"/>
      <c r="IA89" s="31"/>
      <c r="IB89" s="31"/>
      <c r="IC89" s="31"/>
      <c r="ID89" s="31"/>
      <c r="IE89" s="31"/>
      <c r="IF89" s="31"/>
      <c r="IG89" s="31"/>
      <c r="IH89" s="31"/>
      <c r="II89" s="31"/>
      <c r="IJ89" s="31"/>
      <c r="IK89" s="31"/>
      <c r="IL89" s="31"/>
      <c r="IM89" s="31"/>
      <c r="IN89" s="31"/>
      <c r="IO89" s="31"/>
      <c r="IP89" s="31"/>
      <c r="IQ89" s="31"/>
      <c r="IR89" s="31"/>
      <c r="IS89" s="31"/>
      <c r="IT89" s="31"/>
      <c r="IU89" s="31"/>
      <c r="IV89" s="31"/>
      <c r="IW89" s="31"/>
      <c r="IX89" s="31"/>
      <c r="IY89" s="31"/>
      <c r="IZ89" s="31"/>
      <c r="JA89" s="31"/>
      <c r="JB89" s="31"/>
      <c r="JC89" s="31"/>
      <c r="JD89" s="31"/>
      <c r="JE89" s="31"/>
      <c r="JF89" s="31"/>
    </row>
    <row r="90" customFormat="1" ht="17.25" spans="1:266">
      <c r="A90" s="32">
        <f>40000000+INDEX(编号表!$B:$B,MATCH(B90,编号表!$A:$A,0))*10000+C90</f>
        <v>40050003</v>
      </c>
      <c r="B90" s="27" t="s">
        <v>523</v>
      </c>
      <c r="C90" s="32">
        <v>3</v>
      </c>
      <c r="D90" s="32" t="s">
        <v>529</v>
      </c>
      <c r="E90" s="32" t="s">
        <v>437</v>
      </c>
      <c r="F90" s="31">
        <f t="shared" si="6"/>
        <v>1000000</v>
      </c>
      <c r="G90" s="31"/>
      <c r="H90" s="32"/>
      <c r="I90" s="32"/>
      <c r="J90" s="32">
        <f t="shared" si="5"/>
        <v>1</v>
      </c>
      <c r="K90" s="32"/>
      <c r="L90" s="32"/>
      <c r="M90" s="16" t="s">
        <v>525</v>
      </c>
      <c r="N90" s="16" t="s">
        <v>526</v>
      </c>
      <c r="O90" s="16" t="s">
        <v>527</v>
      </c>
      <c r="P90" s="32">
        <v>1000000</v>
      </c>
      <c r="Q90" s="32">
        <v>1</v>
      </c>
      <c r="R90" s="31"/>
      <c r="S90" s="32"/>
      <c r="T90" s="32"/>
      <c r="U90" s="31"/>
      <c r="V90" s="31"/>
      <c r="W90" s="31"/>
      <c r="X90" s="32"/>
      <c r="Y90" s="32"/>
      <c r="Z90" s="31"/>
      <c r="AA90" s="32"/>
      <c r="AB90" s="32"/>
      <c r="AC90" s="31"/>
      <c r="AD90" s="31"/>
      <c r="AE90" s="31"/>
      <c r="AF90" s="32"/>
      <c r="AG90" s="32"/>
      <c r="AH90" s="31"/>
      <c r="AI90" s="31"/>
      <c r="AJ90" s="32"/>
      <c r="AK90" s="31"/>
      <c r="AL90" s="31"/>
      <c r="AM90" s="31"/>
      <c r="AN90" s="31"/>
      <c r="AO90" s="31"/>
      <c r="AP90" s="31"/>
      <c r="AQ90" s="31"/>
      <c r="AR90" s="32"/>
      <c r="AS90" s="31"/>
      <c r="AT90" s="31"/>
      <c r="AU90" s="31"/>
      <c r="AV90" s="31"/>
      <c r="AW90" s="31"/>
      <c r="AX90" s="31"/>
      <c r="AY90" s="31"/>
      <c r="AZ90" s="32"/>
      <c r="BA90" s="31"/>
      <c r="BB90" s="31"/>
      <c r="BC90" s="31"/>
      <c r="BD90" s="31"/>
      <c r="BE90" s="31"/>
      <c r="BF90" s="31"/>
      <c r="BG90" s="31"/>
      <c r="BH90" s="32"/>
      <c r="BI90" s="31"/>
      <c r="BJ90" s="31"/>
      <c r="BK90" s="31"/>
      <c r="BL90" s="31"/>
      <c r="BM90" s="31"/>
      <c r="BN90" s="31"/>
      <c r="BO90" s="31"/>
      <c r="BP90" s="32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  <c r="HI90" s="31"/>
      <c r="HJ90" s="31"/>
      <c r="HK90" s="31"/>
      <c r="HL90" s="31"/>
      <c r="HM90" s="31"/>
      <c r="HN90" s="31"/>
      <c r="HO90" s="31"/>
      <c r="HP90" s="31"/>
      <c r="HQ90" s="31"/>
      <c r="HR90" s="31"/>
      <c r="HS90" s="31"/>
      <c r="HT90" s="31"/>
      <c r="HU90" s="31"/>
      <c r="HV90" s="31"/>
      <c r="HW90" s="31"/>
      <c r="HX90" s="31"/>
      <c r="HY90" s="31"/>
      <c r="HZ90" s="31"/>
      <c r="IA90" s="31"/>
      <c r="IB90" s="31"/>
      <c r="IC90" s="31"/>
      <c r="ID90" s="31"/>
      <c r="IE90" s="31"/>
      <c r="IF90" s="31"/>
      <c r="IG90" s="31"/>
      <c r="IH90" s="31"/>
      <c r="II90" s="31"/>
      <c r="IJ90" s="31"/>
      <c r="IK90" s="31"/>
      <c r="IL90" s="31"/>
      <c r="IM90" s="31"/>
      <c r="IN90" s="31"/>
      <c r="IO90" s="31"/>
      <c r="IP90" s="31"/>
      <c r="IQ90" s="31"/>
      <c r="IR90" s="31"/>
      <c r="IS90" s="31"/>
      <c r="IT90" s="31"/>
      <c r="IU90" s="31"/>
      <c r="IV90" s="31"/>
      <c r="IW90" s="31"/>
      <c r="IX90" s="31"/>
      <c r="IY90" s="31"/>
      <c r="IZ90" s="31"/>
      <c r="JA90" s="31"/>
      <c r="JB90" s="31"/>
      <c r="JC90" s="31"/>
      <c r="JD90" s="31"/>
      <c r="JE90" s="31"/>
      <c r="JF90" s="31"/>
    </row>
    <row r="91" customFormat="1" ht="17.25" spans="1:266">
      <c r="A91" s="32">
        <f>40000000+INDEX(编号表!$B:$B,MATCH(B91,编号表!$A:$A,0))*10000+C91</f>
        <v>40050004</v>
      </c>
      <c r="B91" s="27" t="s">
        <v>523</v>
      </c>
      <c r="C91" s="32">
        <v>4</v>
      </c>
      <c r="D91" s="32" t="s">
        <v>530</v>
      </c>
      <c r="E91" s="32" t="s">
        <v>437</v>
      </c>
      <c r="F91" s="31">
        <f t="shared" si="6"/>
        <v>1000000</v>
      </c>
      <c r="G91" s="31"/>
      <c r="H91" s="32"/>
      <c r="I91" s="32"/>
      <c r="J91" s="32">
        <f t="shared" si="5"/>
        <v>1</v>
      </c>
      <c r="K91" s="32"/>
      <c r="L91" s="32"/>
      <c r="M91" s="16" t="s">
        <v>525</v>
      </c>
      <c r="N91" s="16" t="s">
        <v>526</v>
      </c>
      <c r="O91" s="16" t="s">
        <v>527</v>
      </c>
      <c r="P91" s="32">
        <v>1000000</v>
      </c>
      <c r="Q91" s="32">
        <v>1</v>
      </c>
      <c r="R91" s="31"/>
      <c r="S91" s="32"/>
      <c r="T91" s="32"/>
      <c r="U91" s="31"/>
      <c r="V91" s="31"/>
      <c r="W91" s="31"/>
      <c r="X91" s="32"/>
      <c r="Y91" s="32"/>
      <c r="Z91" s="31"/>
      <c r="AA91" s="32"/>
      <c r="AB91" s="32"/>
      <c r="AC91" s="31"/>
      <c r="AD91" s="31"/>
      <c r="AE91" s="31"/>
      <c r="AF91" s="32"/>
      <c r="AG91" s="32"/>
      <c r="AH91" s="31"/>
      <c r="AI91" s="31"/>
      <c r="AJ91" s="32"/>
      <c r="AK91" s="31"/>
      <c r="AL91" s="31"/>
      <c r="AM91" s="31"/>
      <c r="AN91" s="31"/>
      <c r="AO91" s="31"/>
      <c r="AP91" s="31"/>
      <c r="AQ91" s="31"/>
      <c r="AR91" s="32"/>
      <c r="AS91" s="31"/>
      <c r="AT91" s="31"/>
      <c r="AU91" s="31"/>
      <c r="AV91" s="31"/>
      <c r="AW91" s="31"/>
      <c r="AX91" s="31"/>
      <c r="AY91" s="31"/>
      <c r="AZ91" s="32"/>
      <c r="BA91" s="31"/>
      <c r="BB91" s="31"/>
      <c r="BC91" s="31"/>
      <c r="BD91" s="31"/>
      <c r="BE91" s="31"/>
      <c r="BF91" s="31"/>
      <c r="BG91" s="31"/>
      <c r="BH91" s="32"/>
      <c r="BI91" s="31"/>
      <c r="BJ91" s="31"/>
      <c r="BK91" s="31"/>
      <c r="BL91" s="31"/>
      <c r="BM91" s="31"/>
      <c r="BN91" s="31"/>
      <c r="BO91" s="31"/>
      <c r="BP91" s="32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  <c r="HG91" s="31"/>
      <c r="HH91" s="31"/>
      <c r="HI91" s="31"/>
      <c r="HJ91" s="31"/>
      <c r="HK91" s="31"/>
      <c r="HL91" s="31"/>
      <c r="HM91" s="31"/>
      <c r="HN91" s="31"/>
      <c r="HO91" s="31"/>
      <c r="HP91" s="31"/>
      <c r="HQ91" s="31"/>
      <c r="HR91" s="31"/>
      <c r="HS91" s="31"/>
      <c r="HT91" s="31"/>
      <c r="HU91" s="31"/>
      <c r="HV91" s="31"/>
      <c r="HW91" s="31"/>
      <c r="HX91" s="31"/>
      <c r="HY91" s="31"/>
      <c r="HZ91" s="31"/>
      <c r="IA91" s="31"/>
      <c r="IB91" s="31"/>
      <c r="IC91" s="31"/>
      <c r="ID91" s="31"/>
      <c r="IE91" s="31"/>
      <c r="IF91" s="31"/>
      <c r="IG91" s="31"/>
      <c r="IH91" s="31"/>
      <c r="II91" s="31"/>
      <c r="IJ91" s="31"/>
      <c r="IK91" s="31"/>
      <c r="IL91" s="31"/>
      <c r="IM91" s="31"/>
      <c r="IN91" s="31"/>
      <c r="IO91" s="31"/>
      <c r="IP91" s="31"/>
      <c r="IQ91" s="31"/>
      <c r="IR91" s="31"/>
      <c r="IS91" s="31"/>
      <c r="IT91" s="31"/>
      <c r="IU91" s="31"/>
      <c r="IV91" s="31"/>
      <c r="IW91" s="31"/>
      <c r="IX91" s="31"/>
      <c r="IY91" s="31"/>
      <c r="IZ91" s="31"/>
      <c r="JA91" s="31"/>
      <c r="JB91" s="31"/>
      <c r="JC91" s="31"/>
      <c r="JD91" s="31"/>
      <c r="JE91" s="31"/>
      <c r="JF91" s="31"/>
    </row>
    <row r="92" customFormat="1" ht="17.25" spans="1:266">
      <c r="A92" s="32">
        <f>40000000+INDEX(编号表!$B:$B,MATCH(B92,编号表!$A:$A,0))*10000+C92</f>
        <v>40050005</v>
      </c>
      <c r="B92" s="27" t="s">
        <v>523</v>
      </c>
      <c r="C92" s="32">
        <v>5</v>
      </c>
      <c r="D92" s="32" t="s">
        <v>531</v>
      </c>
      <c r="E92" s="32" t="s">
        <v>437</v>
      </c>
      <c r="F92" s="31">
        <f t="shared" si="6"/>
        <v>1000000</v>
      </c>
      <c r="G92" s="31"/>
      <c r="H92" s="32"/>
      <c r="I92" s="32"/>
      <c r="J92" s="32">
        <f t="shared" si="5"/>
        <v>1</v>
      </c>
      <c r="K92" s="32"/>
      <c r="L92" s="32"/>
      <c r="M92" s="16" t="s">
        <v>525</v>
      </c>
      <c r="N92" s="16" t="s">
        <v>532</v>
      </c>
      <c r="O92" s="16" t="s">
        <v>533</v>
      </c>
      <c r="P92" s="32">
        <v>1000000</v>
      </c>
      <c r="Q92" s="32">
        <v>1</v>
      </c>
      <c r="R92" s="31"/>
      <c r="S92" s="32"/>
      <c r="T92" s="32"/>
      <c r="U92" s="31"/>
      <c r="V92" s="31"/>
      <c r="W92" s="31"/>
      <c r="X92" s="32"/>
      <c r="Y92" s="32"/>
      <c r="Z92" s="31"/>
      <c r="AA92" s="32"/>
      <c r="AB92" s="32"/>
      <c r="AC92" s="31"/>
      <c r="AD92" s="31"/>
      <c r="AE92" s="31"/>
      <c r="AF92" s="32"/>
      <c r="AG92" s="32"/>
      <c r="AH92" s="31"/>
      <c r="AI92" s="31"/>
      <c r="AJ92" s="32"/>
      <c r="AK92" s="31"/>
      <c r="AL92" s="31"/>
      <c r="AM92" s="31"/>
      <c r="AN92" s="31"/>
      <c r="AO92" s="31"/>
      <c r="AP92" s="31"/>
      <c r="AQ92" s="31"/>
      <c r="AR92" s="32"/>
      <c r="AS92" s="31"/>
      <c r="AT92" s="31"/>
      <c r="AU92" s="31"/>
      <c r="AV92" s="31"/>
      <c r="AW92" s="31"/>
      <c r="AX92" s="31"/>
      <c r="AY92" s="31"/>
      <c r="AZ92" s="32"/>
      <c r="BA92" s="31"/>
      <c r="BB92" s="31"/>
      <c r="BC92" s="31"/>
      <c r="BD92" s="31"/>
      <c r="BE92" s="31"/>
      <c r="BF92" s="31"/>
      <c r="BG92" s="31"/>
      <c r="BH92" s="32"/>
      <c r="BI92" s="31"/>
      <c r="BJ92" s="31"/>
      <c r="BK92" s="31"/>
      <c r="BL92" s="31"/>
      <c r="BM92" s="31"/>
      <c r="BN92" s="31"/>
      <c r="BO92" s="31"/>
      <c r="BP92" s="32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/>
      <c r="IK92" s="31"/>
      <c r="IL92" s="31"/>
      <c r="IM92" s="31"/>
      <c r="IN92" s="31"/>
      <c r="IO92" s="31"/>
      <c r="IP92" s="31"/>
      <c r="IQ92" s="31"/>
      <c r="IR92" s="31"/>
      <c r="IS92" s="31"/>
      <c r="IT92" s="31"/>
      <c r="IU92" s="31"/>
      <c r="IV92" s="31"/>
      <c r="IW92" s="31"/>
      <c r="IX92" s="31"/>
      <c r="IY92" s="31"/>
      <c r="IZ92" s="31"/>
      <c r="JA92" s="31"/>
      <c r="JB92" s="31"/>
      <c r="JC92" s="31"/>
      <c r="JD92" s="31"/>
      <c r="JE92" s="31"/>
      <c r="JF92" s="31"/>
    </row>
    <row r="93" customFormat="1" ht="17.25" spans="1:266">
      <c r="A93" s="32">
        <f>40000000+INDEX(编号表!$B:$B,MATCH(B93,编号表!$A:$A,0))*10000+C93</f>
        <v>40050006</v>
      </c>
      <c r="B93" s="27" t="s">
        <v>523</v>
      </c>
      <c r="C93" s="32">
        <v>6</v>
      </c>
      <c r="D93" s="32" t="s">
        <v>534</v>
      </c>
      <c r="E93" s="32" t="s">
        <v>437</v>
      </c>
      <c r="F93" s="31">
        <f t="shared" si="6"/>
        <v>1000000</v>
      </c>
      <c r="G93" s="31"/>
      <c r="H93" s="32"/>
      <c r="I93" s="32"/>
      <c r="J93" s="32">
        <f t="shared" si="5"/>
        <v>1</v>
      </c>
      <c r="K93" s="32"/>
      <c r="L93" s="32"/>
      <c r="M93" s="16" t="s">
        <v>525</v>
      </c>
      <c r="N93" s="16" t="s">
        <v>532</v>
      </c>
      <c r="O93" s="16" t="s">
        <v>533</v>
      </c>
      <c r="P93" s="32">
        <v>1000000</v>
      </c>
      <c r="Q93" s="32">
        <v>1</v>
      </c>
      <c r="R93" s="31"/>
      <c r="S93" s="32"/>
      <c r="T93" s="32"/>
      <c r="U93" s="31"/>
      <c r="V93" s="31"/>
      <c r="W93" s="31"/>
      <c r="X93" s="32"/>
      <c r="Y93" s="32"/>
      <c r="Z93" s="31"/>
      <c r="AA93" s="32"/>
      <c r="AB93" s="32"/>
      <c r="AC93" s="31"/>
      <c r="AD93" s="31"/>
      <c r="AE93" s="31"/>
      <c r="AF93" s="32"/>
      <c r="AG93" s="32"/>
      <c r="AH93" s="31"/>
      <c r="AI93" s="31"/>
      <c r="AJ93" s="32"/>
      <c r="AK93" s="31"/>
      <c r="AL93" s="31"/>
      <c r="AM93" s="31"/>
      <c r="AN93" s="31"/>
      <c r="AO93" s="31"/>
      <c r="AP93" s="31"/>
      <c r="AQ93" s="31"/>
      <c r="AR93" s="32"/>
      <c r="AS93" s="31"/>
      <c r="AT93" s="31"/>
      <c r="AU93" s="31"/>
      <c r="AV93" s="31"/>
      <c r="AW93" s="31"/>
      <c r="AX93" s="31"/>
      <c r="AY93" s="31"/>
      <c r="AZ93" s="32"/>
      <c r="BA93" s="31"/>
      <c r="BB93" s="31"/>
      <c r="BC93" s="31"/>
      <c r="BD93" s="31"/>
      <c r="BE93" s="31"/>
      <c r="BF93" s="31"/>
      <c r="BG93" s="31"/>
      <c r="BH93" s="32"/>
      <c r="BI93" s="31"/>
      <c r="BJ93" s="31"/>
      <c r="BK93" s="31"/>
      <c r="BL93" s="31"/>
      <c r="BM93" s="31"/>
      <c r="BN93" s="31"/>
      <c r="BO93" s="31"/>
      <c r="BP93" s="32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  <c r="IA93" s="31"/>
      <c r="IB93" s="31"/>
      <c r="IC93" s="31"/>
      <c r="ID93" s="31"/>
      <c r="IE93" s="31"/>
      <c r="IF93" s="31"/>
      <c r="IG93" s="31"/>
      <c r="IH93" s="31"/>
      <c r="II93" s="31"/>
      <c r="IJ93" s="31"/>
      <c r="IK93" s="31"/>
      <c r="IL93" s="31"/>
      <c r="IM93" s="31"/>
      <c r="IN93" s="31"/>
      <c r="IO93" s="31"/>
      <c r="IP93" s="31"/>
      <c r="IQ93" s="31"/>
      <c r="IR93" s="31"/>
      <c r="IS93" s="31"/>
      <c r="IT93" s="31"/>
      <c r="IU93" s="31"/>
      <c r="IV93" s="31"/>
      <c r="IW93" s="31"/>
      <c r="IX93" s="31"/>
      <c r="IY93" s="31"/>
      <c r="IZ93" s="31"/>
      <c r="JA93" s="31"/>
      <c r="JB93" s="31"/>
      <c r="JC93" s="31"/>
      <c r="JD93" s="31"/>
      <c r="JE93" s="31"/>
      <c r="JF93" s="31"/>
    </row>
    <row r="94" customFormat="1" ht="17.25" spans="1:266">
      <c r="A94" s="32">
        <f>40000000+INDEX(编号表!$B:$B,MATCH(B94,编号表!$A:$A,0))*10000+C94</f>
        <v>40050007</v>
      </c>
      <c r="B94" s="27" t="s">
        <v>523</v>
      </c>
      <c r="C94" s="32">
        <v>7</v>
      </c>
      <c r="D94" s="32" t="s">
        <v>535</v>
      </c>
      <c r="E94" s="32" t="s">
        <v>437</v>
      </c>
      <c r="F94" s="31">
        <f t="shared" si="6"/>
        <v>1000000</v>
      </c>
      <c r="G94" s="31"/>
      <c r="H94" s="32"/>
      <c r="I94" s="32"/>
      <c r="J94" s="32">
        <f t="shared" si="5"/>
        <v>1</v>
      </c>
      <c r="K94" s="32"/>
      <c r="L94" s="32"/>
      <c r="M94" s="16" t="s">
        <v>525</v>
      </c>
      <c r="N94" s="16" t="s">
        <v>536</v>
      </c>
      <c r="O94" s="16" t="s">
        <v>537</v>
      </c>
      <c r="P94" s="32">
        <v>1000000</v>
      </c>
      <c r="Q94" s="32">
        <v>1</v>
      </c>
      <c r="R94" s="31"/>
      <c r="S94" s="32"/>
      <c r="T94" s="32"/>
      <c r="U94" s="31"/>
      <c r="V94" s="31"/>
      <c r="W94" s="31"/>
      <c r="X94" s="32"/>
      <c r="Y94" s="32"/>
      <c r="Z94" s="31"/>
      <c r="AA94" s="32"/>
      <c r="AB94" s="32"/>
      <c r="AC94" s="31"/>
      <c r="AD94" s="31"/>
      <c r="AE94" s="31"/>
      <c r="AF94" s="32"/>
      <c r="AG94" s="32"/>
      <c r="AH94" s="31"/>
      <c r="AI94" s="31"/>
      <c r="AJ94" s="32"/>
      <c r="AK94" s="31"/>
      <c r="AL94" s="31"/>
      <c r="AM94" s="31"/>
      <c r="AN94" s="31"/>
      <c r="AO94" s="31"/>
      <c r="AP94" s="31"/>
      <c r="AQ94" s="31"/>
      <c r="AR94" s="32"/>
      <c r="AS94" s="31"/>
      <c r="AT94" s="31"/>
      <c r="AU94" s="31"/>
      <c r="AV94" s="31"/>
      <c r="AW94" s="31"/>
      <c r="AX94" s="31"/>
      <c r="AY94" s="31"/>
      <c r="AZ94" s="32"/>
      <c r="BA94" s="31"/>
      <c r="BB94" s="31"/>
      <c r="BC94" s="31"/>
      <c r="BD94" s="31"/>
      <c r="BE94" s="31"/>
      <c r="BF94" s="31"/>
      <c r="BG94" s="31"/>
      <c r="BH94" s="32"/>
      <c r="BI94" s="31"/>
      <c r="BJ94" s="31"/>
      <c r="BK94" s="31"/>
      <c r="BL94" s="31"/>
      <c r="BM94" s="31"/>
      <c r="BN94" s="31"/>
      <c r="BO94" s="31"/>
      <c r="BP94" s="32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  <c r="HG94" s="31"/>
      <c r="HH94" s="31"/>
      <c r="HI94" s="31"/>
      <c r="HJ94" s="31"/>
      <c r="HK94" s="31"/>
      <c r="HL94" s="31"/>
      <c r="HM94" s="31"/>
      <c r="HN94" s="31"/>
      <c r="HO94" s="31"/>
      <c r="HP94" s="31"/>
      <c r="HQ94" s="31"/>
      <c r="HR94" s="31"/>
      <c r="HS94" s="31"/>
      <c r="HT94" s="31"/>
      <c r="HU94" s="31"/>
      <c r="HV94" s="31"/>
      <c r="HW94" s="31"/>
      <c r="HX94" s="31"/>
      <c r="HY94" s="31"/>
      <c r="HZ94" s="31"/>
      <c r="IA94" s="31"/>
      <c r="IB94" s="31"/>
      <c r="IC94" s="31"/>
      <c r="ID94" s="31"/>
      <c r="IE94" s="31"/>
      <c r="IF94" s="31"/>
      <c r="IG94" s="31"/>
      <c r="IH94" s="31"/>
      <c r="II94" s="31"/>
      <c r="IJ94" s="31"/>
      <c r="IK94" s="31"/>
      <c r="IL94" s="31"/>
      <c r="IM94" s="31"/>
      <c r="IN94" s="31"/>
      <c r="IO94" s="31"/>
      <c r="IP94" s="31"/>
      <c r="IQ94" s="31"/>
      <c r="IR94" s="31"/>
      <c r="IS94" s="31"/>
      <c r="IT94" s="31"/>
      <c r="IU94" s="31"/>
      <c r="IV94" s="31"/>
      <c r="IW94" s="31"/>
      <c r="IX94" s="31"/>
      <c r="IY94" s="31"/>
      <c r="IZ94" s="31"/>
      <c r="JA94" s="31"/>
      <c r="JB94" s="31"/>
      <c r="JC94" s="31"/>
      <c r="JD94" s="31"/>
      <c r="JE94" s="31"/>
      <c r="JF94" s="31"/>
    </row>
    <row r="95" customFormat="1" ht="17.25" spans="1:266">
      <c r="A95" s="32">
        <f>40000000+INDEX(编号表!$B:$B,MATCH(B95,编号表!$A:$A,0))*10000+C95</f>
        <v>40050008</v>
      </c>
      <c r="B95" s="27" t="s">
        <v>523</v>
      </c>
      <c r="C95" s="32">
        <v>8</v>
      </c>
      <c r="D95" s="32" t="s">
        <v>538</v>
      </c>
      <c r="E95" s="32" t="s">
        <v>437</v>
      </c>
      <c r="F95" s="31">
        <f t="shared" si="6"/>
        <v>1000000</v>
      </c>
      <c r="G95" s="31"/>
      <c r="H95" s="32"/>
      <c r="I95" s="32"/>
      <c r="J95" s="32">
        <f t="shared" si="5"/>
        <v>1</v>
      </c>
      <c r="K95" s="32"/>
      <c r="L95" s="32"/>
      <c r="M95" s="16" t="s">
        <v>525</v>
      </c>
      <c r="N95" s="16" t="s">
        <v>539</v>
      </c>
      <c r="O95" s="16" t="s">
        <v>537</v>
      </c>
      <c r="P95" s="32">
        <v>1000000</v>
      </c>
      <c r="Q95" s="32">
        <v>1</v>
      </c>
      <c r="R95" s="31"/>
      <c r="S95" s="32"/>
      <c r="T95" s="32"/>
      <c r="U95" s="31"/>
      <c r="V95" s="31"/>
      <c r="W95" s="31"/>
      <c r="X95" s="32"/>
      <c r="Y95" s="32"/>
      <c r="Z95" s="31"/>
      <c r="AA95" s="32"/>
      <c r="AB95" s="32"/>
      <c r="AC95" s="31"/>
      <c r="AD95" s="31"/>
      <c r="AE95" s="31"/>
      <c r="AF95" s="32"/>
      <c r="AG95" s="32"/>
      <c r="AH95" s="31"/>
      <c r="AI95" s="31"/>
      <c r="AJ95" s="32"/>
      <c r="AK95" s="31"/>
      <c r="AL95" s="31"/>
      <c r="AM95" s="31"/>
      <c r="AN95" s="31"/>
      <c r="AO95" s="31"/>
      <c r="AP95" s="31"/>
      <c r="AQ95" s="31"/>
      <c r="AR95" s="32"/>
      <c r="AS95" s="31"/>
      <c r="AT95" s="31"/>
      <c r="AU95" s="31"/>
      <c r="AV95" s="31"/>
      <c r="AW95" s="31"/>
      <c r="AX95" s="31"/>
      <c r="AY95" s="31"/>
      <c r="AZ95" s="32"/>
      <c r="BA95" s="31"/>
      <c r="BB95" s="31"/>
      <c r="BC95" s="31"/>
      <c r="BD95" s="31"/>
      <c r="BE95" s="31"/>
      <c r="BF95" s="31"/>
      <c r="BG95" s="31"/>
      <c r="BH95" s="32"/>
      <c r="BI95" s="31"/>
      <c r="BJ95" s="31"/>
      <c r="BK95" s="31"/>
      <c r="BL95" s="31"/>
      <c r="BM95" s="31"/>
      <c r="BN95" s="31"/>
      <c r="BO95" s="31"/>
      <c r="BP95" s="32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/>
      <c r="HR95" s="31"/>
      <c r="HS95" s="31"/>
      <c r="HT95" s="31"/>
      <c r="HU95" s="31"/>
      <c r="HV95" s="31"/>
      <c r="HW95" s="31"/>
      <c r="HX95" s="31"/>
      <c r="HY95" s="31"/>
      <c r="HZ95" s="31"/>
      <c r="IA95" s="31"/>
      <c r="IB95" s="31"/>
      <c r="IC95" s="31"/>
      <c r="ID95" s="31"/>
      <c r="IE95" s="31"/>
      <c r="IF95" s="31"/>
      <c r="IG95" s="31"/>
      <c r="IH95" s="31"/>
      <c r="II95" s="31"/>
      <c r="IJ95" s="31"/>
      <c r="IK95" s="31"/>
      <c r="IL95" s="31"/>
      <c r="IM95" s="31"/>
      <c r="IN95" s="31"/>
      <c r="IO95" s="31"/>
      <c r="IP95" s="31"/>
      <c r="IQ95" s="31"/>
      <c r="IR95" s="31"/>
      <c r="IS95" s="31"/>
      <c r="IT95" s="31"/>
      <c r="IU95" s="31"/>
      <c r="IV95" s="31"/>
      <c r="IW95" s="31"/>
      <c r="IX95" s="31"/>
      <c r="IY95" s="31"/>
      <c r="IZ95" s="31"/>
      <c r="JA95" s="31"/>
      <c r="JB95" s="31"/>
      <c r="JC95" s="31"/>
      <c r="JD95" s="31"/>
      <c r="JE95" s="31"/>
      <c r="JF95" s="31"/>
    </row>
    <row r="96" customFormat="1" ht="17.25" spans="1:266">
      <c r="A96" s="32">
        <f>40000000+INDEX(编号表!$B:$B,MATCH(B96,编号表!$A:$A,0))*10000+C96</f>
        <v>40050009</v>
      </c>
      <c r="B96" s="27" t="s">
        <v>523</v>
      </c>
      <c r="C96" s="32">
        <v>9</v>
      </c>
      <c r="D96" s="32" t="s">
        <v>540</v>
      </c>
      <c r="E96" s="32" t="s">
        <v>437</v>
      </c>
      <c r="F96" s="31">
        <f t="shared" si="6"/>
        <v>1000000</v>
      </c>
      <c r="G96" s="31"/>
      <c r="H96" s="32"/>
      <c r="I96" s="32"/>
      <c r="J96" s="32">
        <f t="shared" si="5"/>
        <v>1</v>
      </c>
      <c r="K96" s="32"/>
      <c r="L96" s="32"/>
      <c r="M96" s="16" t="s">
        <v>525</v>
      </c>
      <c r="N96" s="16" t="s">
        <v>541</v>
      </c>
      <c r="O96" s="16" t="s">
        <v>542</v>
      </c>
      <c r="P96" s="32">
        <v>1000000</v>
      </c>
      <c r="Q96" s="32">
        <v>1</v>
      </c>
      <c r="R96" s="31"/>
      <c r="S96" s="32"/>
      <c r="T96" s="32"/>
      <c r="U96" s="31"/>
      <c r="V96" s="31"/>
      <c r="W96" s="31"/>
      <c r="X96" s="32"/>
      <c r="Y96" s="32"/>
      <c r="Z96" s="31"/>
      <c r="AA96" s="32"/>
      <c r="AB96" s="32"/>
      <c r="AC96" s="31"/>
      <c r="AD96" s="31"/>
      <c r="AE96" s="31"/>
      <c r="AF96" s="32"/>
      <c r="AG96" s="32"/>
      <c r="AH96" s="31"/>
      <c r="AI96" s="31"/>
      <c r="AJ96" s="32"/>
      <c r="AK96" s="31"/>
      <c r="AL96" s="31"/>
      <c r="AM96" s="31"/>
      <c r="AN96" s="31"/>
      <c r="AO96" s="31"/>
      <c r="AP96" s="31"/>
      <c r="AQ96" s="31"/>
      <c r="AR96" s="32"/>
      <c r="AS96" s="31"/>
      <c r="AT96" s="31"/>
      <c r="AU96" s="31"/>
      <c r="AV96" s="31"/>
      <c r="AW96" s="31"/>
      <c r="AX96" s="31"/>
      <c r="AY96" s="31"/>
      <c r="AZ96" s="32"/>
      <c r="BA96" s="31"/>
      <c r="BB96" s="31"/>
      <c r="BC96" s="31"/>
      <c r="BD96" s="31"/>
      <c r="BE96" s="31"/>
      <c r="BF96" s="31"/>
      <c r="BG96" s="31"/>
      <c r="BH96" s="32"/>
      <c r="BI96" s="31"/>
      <c r="BJ96" s="31"/>
      <c r="BK96" s="31"/>
      <c r="BL96" s="31"/>
      <c r="BM96" s="31"/>
      <c r="BN96" s="31"/>
      <c r="BO96" s="31"/>
      <c r="BP96" s="32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  <c r="HE96" s="31"/>
      <c r="HF96" s="31"/>
      <c r="HG96" s="31"/>
      <c r="HH96" s="31"/>
      <c r="HI96" s="31"/>
      <c r="HJ96" s="31"/>
      <c r="HK96" s="31"/>
      <c r="HL96" s="31"/>
      <c r="HM96" s="31"/>
      <c r="HN96" s="31"/>
      <c r="HO96" s="31"/>
      <c r="HP96" s="31"/>
      <c r="HQ96" s="31"/>
      <c r="HR96" s="31"/>
      <c r="HS96" s="31"/>
      <c r="HT96" s="31"/>
      <c r="HU96" s="31"/>
      <c r="HV96" s="31"/>
      <c r="HW96" s="31"/>
      <c r="HX96" s="31"/>
      <c r="HY96" s="31"/>
      <c r="HZ96" s="31"/>
      <c r="IA96" s="31"/>
      <c r="IB96" s="31"/>
      <c r="IC96" s="31"/>
      <c r="ID96" s="31"/>
      <c r="IE96" s="31"/>
      <c r="IF96" s="31"/>
      <c r="IG96" s="31"/>
      <c r="IH96" s="31"/>
      <c r="II96" s="31"/>
      <c r="IJ96" s="31"/>
      <c r="IK96" s="31"/>
      <c r="IL96" s="31"/>
      <c r="IM96" s="31"/>
      <c r="IN96" s="31"/>
      <c r="IO96" s="31"/>
      <c r="IP96" s="31"/>
      <c r="IQ96" s="31"/>
      <c r="IR96" s="31"/>
      <c r="IS96" s="31"/>
      <c r="IT96" s="31"/>
      <c r="IU96" s="31"/>
      <c r="IV96" s="31"/>
      <c r="IW96" s="31"/>
      <c r="IX96" s="31"/>
      <c r="IY96" s="31"/>
      <c r="IZ96" s="31"/>
      <c r="JA96" s="31"/>
      <c r="JB96" s="31"/>
      <c r="JC96" s="31"/>
      <c r="JD96" s="31"/>
      <c r="JE96" s="31"/>
      <c r="JF96" s="31"/>
    </row>
    <row r="97" customFormat="1" ht="17.25" spans="1:266">
      <c r="A97" s="32">
        <f>40000000+INDEX(编号表!$B:$B,MATCH(B97,编号表!$A:$A,0))*10000+C97</f>
        <v>40050010</v>
      </c>
      <c r="B97" s="27" t="s">
        <v>523</v>
      </c>
      <c r="C97" s="32">
        <v>10</v>
      </c>
      <c r="D97" s="32" t="s">
        <v>543</v>
      </c>
      <c r="E97" s="32" t="s">
        <v>437</v>
      </c>
      <c r="F97" s="31">
        <f t="shared" si="6"/>
        <v>1000000</v>
      </c>
      <c r="G97" s="31"/>
      <c r="H97" s="32"/>
      <c r="I97" s="32"/>
      <c r="J97" s="32">
        <f t="shared" si="5"/>
        <v>1</v>
      </c>
      <c r="K97" s="32"/>
      <c r="L97" s="32"/>
      <c r="M97" s="16" t="s">
        <v>525</v>
      </c>
      <c r="N97" s="16" t="s">
        <v>544</v>
      </c>
      <c r="O97" s="16" t="s">
        <v>542</v>
      </c>
      <c r="P97" s="32">
        <v>1000000</v>
      </c>
      <c r="Q97" s="32">
        <v>1</v>
      </c>
      <c r="R97" s="31"/>
      <c r="S97" s="32"/>
      <c r="T97" s="32"/>
      <c r="U97" s="31"/>
      <c r="V97" s="31"/>
      <c r="W97" s="31"/>
      <c r="X97" s="32"/>
      <c r="Y97" s="32"/>
      <c r="Z97" s="31"/>
      <c r="AA97" s="32"/>
      <c r="AB97" s="32"/>
      <c r="AC97" s="31"/>
      <c r="AD97" s="31"/>
      <c r="AE97" s="31"/>
      <c r="AF97" s="32"/>
      <c r="AG97" s="32"/>
      <c r="AH97" s="31"/>
      <c r="AI97" s="31"/>
      <c r="AJ97" s="32"/>
      <c r="AK97" s="31"/>
      <c r="AL97" s="31"/>
      <c r="AM97" s="31"/>
      <c r="AN97" s="31"/>
      <c r="AO97" s="31"/>
      <c r="AP97" s="31"/>
      <c r="AQ97" s="31"/>
      <c r="AR97" s="32"/>
      <c r="AS97" s="31"/>
      <c r="AT97" s="31"/>
      <c r="AU97" s="31"/>
      <c r="AV97" s="31"/>
      <c r="AW97" s="31"/>
      <c r="AX97" s="31"/>
      <c r="AY97" s="31"/>
      <c r="AZ97" s="32"/>
      <c r="BA97" s="31"/>
      <c r="BB97" s="31"/>
      <c r="BC97" s="31"/>
      <c r="BD97" s="31"/>
      <c r="BE97" s="31"/>
      <c r="BF97" s="31"/>
      <c r="BG97" s="31"/>
      <c r="BH97" s="32"/>
      <c r="BI97" s="31"/>
      <c r="BJ97" s="31"/>
      <c r="BK97" s="31"/>
      <c r="BL97" s="31"/>
      <c r="BM97" s="31"/>
      <c r="BN97" s="31"/>
      <c r="BO97" s="31"/>
      <c r="BP97" s="32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/>
      <c r="IP97" s="31"/>
      <c r="IQ97" s="31"/>
      <c r="IR97" s="31"/>
      <c r="IS97" s="31"/>
      <c r="IT97" s="31"/>
      <c r="IU97" s="31"/>
      <c r="IV97" s="31"/>
      <c r="IW97" s="31"/>
      <c r="IX97" s="31"/>
      <c r="IY97" s="31"/>
      <c r="IZ97" s="31"/>
      <c r="JA97" s="31"/>
      <c r="JB97" s="31"/>
      <c r="JC97" s="31"/>
      <c r="JD97" s="31"/>
      <c r="JE97" s="31"/>
      <c r="JF97" s="31"/>
    </row>
    <row r="98" customFormat="1" ht="17.25" spans="1:266">
      <c r="A98" s="32">
        <f>40000000+INDEX(编号表!$B:$B,MATCH(B98,编号表!$A:$A,0))*10000+C98</f>
        <v>40050011</v>
      </c>
      <c r="B98" s="27" t="s">
        <v>523</v>
      </c>
      <c r="C98" s="32">
        <v>11</v>
      </c>
      <c r="D98" s="32" t="s">
        <v>545</v>
      </c>
      <c r="E98" s="32" t="s">
        <v>437</v>
      </c>
      <c r="F98" s="31">
        <f t="shared" si="6"/>
        <v>1000000</v>
      </c>
      <c r="G98" s="31"/>
      <c r="H98" s="32"/>
      <c r="I98" s="32"/>
      <c r="J98" s="32">
        <f t="shared" si="5"/>
        <v>1</v>
      </c>
      <c r="K98" s="32"/>
      <c r="L98" s="32"/>
      <c r="M98" s="16" t="s">
        <v>525</v>
      </c>
      <c r="N98" s="16" t="s">
        <v>546</v>
      </c>
      <c r="O98" s="16" t="s">
        <v>547</v>
      </c>
      <c r="P98" s="32">
        <v>1000000</v>
      </c>
      <c r="Q98" s="32">
        <v>1</v>
      </c>
      <c r="R98" s="31"/>
      <c r="S98" s="32"/>
      <c r="T98" s="32"/>
      <c r="U98" s="31"/>
      <c r="V98" s="31"/>
      <c r="W98" s="31"/>
      <c r="X98" s="32"/>
      <c r="Y98" s="32"/>
      <c r="Z98" s="31"/>
      <c r="AA98" s="32"/>
      <c r="AB98" s="32"/>
      <c r="AC98" s="31"/>
      <c r="AD98" s="31"/>
      <c r="AE98" s="31"/>
      <c r="AF98" s="32"/>
      <c r="AG98" s="32"/>
      <c r="AH98" s="31"/>
      <c r="AI98" s="31"/>
      <c r="AJ98" s="32"/>
      <c r="AK98" s="31"/>
      <c r="AL98" s="31"/>
      <c r="AM98" s="31"/>
      <c r="AN98" s="31"/>
      <c r="AO98" s="31"/>
      <c r="AP98" s="31"/>
      <c r="AQ98" s="31"/>
      <c r="AR98" s="32"/>
      <c r="AS98" s="31"/>
      <c r="AT98" s="31"/>
      <c r="AU98" s="31"/>
      <c r="AV98" s="31"/>
      <c r="AW98" s="31"/>
      <c r="AX98" s="31"/>
      <c r="AY98" s="31"/>
      <c r="AZ98" s="32"/>
      <c r="BA98" s="31"/>
      <c r="BB98" s="31"/>
      <c r="BC98" s="31"/>
      <c r="BD98" s="31"/>
      <c r="BE98" s="31"/>
      <c r="BF98" s="31"/>
      <c r="BG98" s="31"/>
      <c r="BH98" s="32"/>
      <c r="BI98" s="31"/>
      <c r="BJ98" s="31"/>
      <c r="BK98" s="31"/>
      <c r="BL98" s="31"/>
      <c r="BM98" s="31"/>
      <c r="BN98" s="31"/>
      <c r="BO98" s="31"/>
      <c r="BP98" s="32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  <c r="HG98" s="31"/>
      <c r="HH98" s="31"/>
      <c r="HI98" s="31"/>
      <c r="HJ98" s="31"/>
      <c r="HK98" s="31"/>
      <c r="HL98" s="31"/>
      <c r="HM98" s="31"/>
      <c r="HN98" s="31"/>
      <c r="HO98" s="31"/>
      <c r="HP98" s="31"/>
      <c r="HQ98" s="31"/>
      <c r="HR98" s="31"/>
      <c r="HS98" s="31"/>
      <c r="HT98" s="31"/>
      <c r="HU98" s="31"/>
      <c r="HV98" s="31"/>
      <c r="HW98" s="31"/>
      <c r="HX98" s="31"/>
      <c r="HY98" s="31"/>
      <c r="HZ98" s="31"/>
      <c r="IA98" s="31"/>
      <c r="IB98" s="31"/>
      <c r="IC98" s="31"/>
      <c r="ID98" s="31"/>
      <c r="IE98" s="31"/>
      <c r="IF98" s="31"/>
      <c r="IG98" s="31"/>
      <c r="IH98" s="31"/>
      <c r="II98" s="31"/>
      <c r="IJ98" s="31"/>
      <c r="IK98" s="31"/>
      <c r="IL98" s="31"/>
      <c r="IM98" s="31"/>
      <c r="IN98" s="31"/>
      <c r="IO98" s="31"/>
      <c r="IP98" s="31"/>
      <c r="IQ98" s="31"/>
      <c r="IR98" s="31"/>
      <c r="IS98" s="31"/>
      <c r="IT98" s="31"/>
      <c r="IU98" s="31"/>
      <c r="IV98" s="31"/>
      <c r="IW98" s="31"/>
      <c r="IX98" s="31"/>
      <c r="IY98" s="31"/>
      <c r="IZ98" s="31"/>
      <c r="JA98" s="31"/>
      <c r="JB98" s="31"/>
      <c r="JC98" s="31"/>
      <c r="JD98" s="31"/>
      <c r="JE98" s="31"/>
      <c r="JF98" s="31"/>
    </row>
    <row r="99" customFormat="1" ht="17.25" spans="1:266">
      <c r="A99" s="32">
        <f>40000000+INDEX(编号表!$B:$B,MATCH(B99,编号表!$A:$A,0))*10000+C99</f>
        <v>40050012</v>
      </c>
      <c r="B99" s="27" t="s">
        <v>523</v>
      </c>
      <c r="C99" s="32">
        <v>12</v>
      </c>
      <c r="D99" s="32" t="s">
        <v>548</v>
      </c>
      <c r="E99" s="32" t="s">
        <v>437</v>
      </c>
      <c r="F99" s="31">
        <f t="shared" si="6"/>
        <v>1000000</v>
      </c>
      <c r="G99" s="31"/>
      <c r="H99" s="32"/>
      <c r="I99" s="32"/>
      <c r="J99" s="32">
        <f t="shared" si="5"/>
        <v>1</v>
      </c>
      <c r="K99" s="32"/>
      <c r="L99" s="32"/>
      <c r="M99" s="16" t="s">
        <v>525</v>
      </c>
      <c r="N99" s="16" t="s">
        <v>549</v>
      </c>
      <c r="O99" s="16" t="s">
        <v>547</v>
      </c>
      <c r="P99" s="32">
        <v>1000000</v>
      </c>
      <c r="Q99" s="32">
        <v>1</v>
      </c>
      <c r="R99" s="31"/>
      <c r="S99" s="32"/>
      <c r="T99" s="32"/>
      <c r="U99" s="31"/>
      <c r="V99" s="31"/>
      <c r="W99" s="31"/>
      <c r="X99" s="32"/>
      <c r="Y99" s="32"/>
      <c r="Z99" s="31"/>
      <c r="AA99" s="32"/>
      <c r="AB99" s="32"/>
      <c r="AC99" s="31"/>
      <c r="AD99" s="31"/>
      <c r="AE99" s="31"/>
      <c r="AF99" s="32"/>
      <c r="AG99" s="32"/>
      <c r="AH99" s="31"/>
      <c r="AI99" s="31"/>
      <c r="AJ99" s="32"/>
      <c r="AK99" s="31"/>
      <c r="AL99" s="31"/>
      <c r="AM99" s="31"/>
      <c r="AN99" s="31"/>
      <c r="AO99" s="31"/>
      <c r="AP99" s="31"/>
      <c r="AQ99" s="31"/>
      <c r="AR99" s="32"/>
      <c r="AS99" s="31"/>
      <c r="AT99" s="31"/>
      <c r="AU99" s="31"/>
      <c r="AV99" s="31"/>
      <c r="AW99" s="31"/>
      <c r="AX99" s="31"/>
      <c r="AY99" s="31"/>
      <c r="AZ99" s="32"/>
      <c r="BA99" s="31"/>
      <c r="BB99" s="31"/>
      <c r="BC99" s="31"/>
      <c r="BD99" s="31"/>
      <c r="BE99" s="31"/>
      <c r="BF99" s="31"/>
      <c r="BG99" s="31"/>
      <c r="BH99" s="32"/>
      <c r="BI99" s="31"/>
      <c r="BJ99" s="31"/>
      <c r="BK99" s="31"/>
      <c r="BL99" s="31"/>
      <c r="BM99" s="31"/>
      <c r="BN99" s="31"/>
      <c r="BO99" s="31"/>
      <c r="BP99" s="32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31"/>
      <c r="HH99" s="31"/>
      <c r="HI99" s="31"/>
      <c r="HJ99" s="31"/>
      <c r="HK99" s="31"/>
      <c r="HL99" s="31"/>
      <c r="HM99" s="31"/>
      <c r="HN99" s="31"/>
      <c r="HO99" s="31"/>
      <c r="HP99" s="31"/>
      <c r="HQ99" s="31"/>
      <c r="HR99" s="31"/>
      <c r="HS99" s="31"/>
      <c r="HT99" s="31"/>
      <c r="HU99" s="31"/>
      <c r="HV99" s="31"/>
      <c r="HW99" s="31"/>
      <c r="HX99" s="31"/>
      <c r="HY99" s="31"/>
      <c r="HZ99" s="31"/>
      <c r="IA99" s="31"/>
      <c r="IB99" s="31"/>
      <c r="IC99" s="31"/>
      <c r="ID99" s="31"/>
      <c r="IE99" s="31"/>
      <c r="IF99" s="31"/>
      <c r="IG99" s="31"/>
      <c r="IH99" s="31"/>
      <c r="II99" s="31"/>
      <c r="IJ99" s="31"/>
      <c r="IK99" s="31"/>
      <c r="IL99" s="31"/>
      <c r="IM99" s="31"/>
      <c r="IN99" s="31"/>
      <c r="IO99" s="31"/>
      <c r="IP99" s="31"/>
      <c r="IQ99" s="31"/>
      <c r="IR99" s="31"/>
      <c r="IS99" s="31"/>
      <c r="IT99" s="31"/>
      <c r="IU99" s="31"/>
      <c r="IV99" s="31"/>
      <c r="IW99" s="31"/>
      <c r="IX99" s="31"/>
      <c r="IY99" s="31"/>
      <c r="IZ99" s="31"/>
      <c r="JA99" s="31"/>
      <c r="JB99" s="31"/>
      <c r="JC99" s="31"/>
      <c r="JD99" s="31"/>
      <c r="JE99" s="31"/>
      <c r="JF99" s="31"/>
    </row>
    <row r="100" customFormat="1" ht="17.25" spans="1:266">
      <c r="A100" s="32">
        <f>40000000+INDEX(编号表!$B:$B,MATCH(B100,编号表!$A:$A,0))*10000+C100</f>
        <v>40050013</v>
      </c>
      <c r="B100" s="27" t="s">
        <v>523</v>
      </c>
      <c r="C100" s="32">
        <v>13</v>
      </c>
      <c r="D100" s="32" t="s">
        <v>550</v>
      </c>
      <c r="E100" s="32" t="s">
        <v>437</v>
      </c>
      <c r="F100" s="31">
        <f t="shared" si="6"/>
        <v>1000000</v>
      </c>
      <c r="G100" s="31"/>
      <c r="H100" s="32"/>
      <c r="I100" s="32"/>
      <c r="J100" s="32">
        <f t="shared" si="5"/>
        <v>1</v>
      </c>
      <c r="K100" s="32"/>
      <c r="L100" s="32"/>
      <c r="M100" s="16" t="s">
        <v>525</v>
      </c>
      <c r="N100" s="16" t="s">
        <v>551</v>
      </c>
      <c r="O100" s="16" t="s">
        <v>547</v>
      </c>
      <c r="P100" s="32">
        <v>1000000</v>
      </c>
      <c r="Q100" s="32">
        <v>1</v>
      </c>
      <c r="R100" s="31"/>
      <c r="S100" s="32"/>
      <c r="T100" s="32"/>
      <c r="U100" s="31"/>
      <c r="V100" s="31"/>
      <c r="W100" s="31"/>
      <c r="X100" s="32"/>
      <c r="Y100" s="32"/>
      <c r="Z100" s="31"/>
      <c r="AA100" s="32"/>
      <c r="AB100" s="32"/>
      <c r="AC100" s="31"/>
      <c r="AD100" s="31"/>
      <c r="AE100" s="31"/>
      <c r="AF100" s="32"/>
      <c r="AG100" s="32"/>
      <c r="AH100" s="31"/>
      <c r="AI100" s="31"/>
      <c r="AJ100" s="32"/>
      <c r="AK100" s="31"/>
      <c r="AL100" s="31"/>
      <c r="AM100" s="31"/>
      <c r="AN100" s="31"/>
      <c r="AO100" s="31"/>
      <c r="AP100" s="31"/>
      <c r="AQ100" s="31"/>
      <c r="AR100" s="32"/>
      <c r="AS100" s="31"/>
      <c r="AT100" s="31"/>
      <c r="AU100" s="31"/>
      <c r="AV100" s="31"/>
      <c r="AW100" s="31"/>
      <c r="AX100" s="31"/>
      <c r="AY100" s="31"/>
      <c r="AZ100" s="32"/>
      <c r="BA100" s="31"/>
      <c r="BB100" s="31"/>
      <c r="BC100" s="31"/>
      <c r="BD100" s="31"/>
      <c r="BE100" s="31"/>
      <c r="BF100" s="31"/>
      <c r="BG100" s="31"/>
      <c r="BH100" s="32"/>
      <c r="BI100" s="31"/>
      <c r="BJ100" s="31"/>
      <c r="BK100" s="31"/>
      <c r="BL100" s="31"/>
      <c r="BM100" s="31"/>
      <c r="BN100" s="31"/>
      <c r="BO100" s="31"/>
      <c r="BP100" s="32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  <c r="HI100" s="31"/>
      <c r="HJ100" s="31"/>
      <c r="HK100" s="31"/>
      <c r="HL100" s="31"/>
      <c r="HM100" s="31"/>
      <c r="HN100" s="31"/>
      <c r="HO100" s="31"/>
      <c r="HP100" s="31"/>
      <c r="HQ100" s="31"/>
      <c r="HR100" s="31"/>
      <c r="HS100" s="31"/>
      <c r="HT100" s="31"/>
      <c r="HU100" s="31"/>
      <c r="HV100" s="31"/>
      <c r="HW100" s="31"/>
      <c r="HX100" s="31"/>
      <c r="HY100" s="31"/>
      <c r="HZ100" s="31"/>
      <c r="IA100" s="31"/>
      <c r="IB100" s="31"/>
      <c r="IC100" s="31"/>
      <c r="ID100" s="31"/>
      <c r="IE100" s="31"/>
      <c r="IF100" s="31"/>
      <c r="IG100" s="31"/>
      <c r="IH100" s="31"/>
      <c r="II100" s="31"/>
      <c r="IJ100" s="31"/>
      <c r="IK100" s="31"/>
      <c r="IL100" s="31"/>
      <c r="IM100" s="31"/>
      <c r="IN100" s="31"/>
      <c r="IO100" s="31"/>
      <c r="IP100" s="31"/>
      <c r="IQ100" s="31"/>
      <c r="IR100" s="31"/>
      <c r="IS100" s="31"/>
      <c r="IT100" s="31"/>
      <c r="IU100" s="31"/>
      <c r="IV100" s="31"/>
      <c r="IW100" s="31"/>
      <c r="IX100" s="31"/>
      <c r="IY100" s="31"/>
      <c r="IZ100" s="31"/>
      <c r="JA100" s="31"/>
      <c r="JB100" s="31"/>
      <c r="JC100" s="31"/>
      <c r="JD100" s="31"/>
      <c r="JE100" s="31"/>
      <c r="JF100" s="31"/>
    </row>
    <row r="101" customFormat="1" ht="17.25" spans="1:266">
      <c r="A101" s="32">
        <f>40000000+INDEX(编号表!$B:$B,MATCH(B101,编号表!$A:$A,0))*10000+C101</f>
        <v>40050014</v>
      </c>
      <c r="B101" s="27" t="s">
        <v>523</v>
      </c>
      <c r="C101" s="32">
        <v>14</v>
      </c>
      <c r="D101" s="32" t="s">
        <v>552</v>
      </c>
      <c r="E101" s="32" t="s">
        <v>437</v>
      </c>
      <c r="F101" s="31">
        <f t="shared" si="6"/>
        <v>1000000</v>
      </c>
      <c r="G101" s="31"/>
      <c r="H101" s="32"/>
      <c r="I101" s="32"/>
      <c r="J101" s="32">
        <f t="shared" si="5"/>
        <v>1</v>
      </c>
      <c r="K101" s="32"/>
      <c r="L101" s="32"/>
      <c r="M101" s="16" t="s">
        <v>525</v>
      </c>
      <c r="N101" s="16" t="s">
        <v>553</v>
      </c>
      <c r="O101" s="16" t="s">
        <v>547</v>
      </c>
      <c r="P101" s="32">
        <v>1000000</v>
      </c>
      <c r="Q101" s="32">
        <v>1</v>
      </c>
      <c r="R101" s="31"/>
      <c r="S101" s="32"/>
      <c r="T101" s="32"/>
      <c r="U101" s="31"/>
      <c r="V101" s="31"/>
      <c r="W101" s="31"/>
      <c r="X101" s="32"/>
      <c r="Y101" s="32"/>
      <c r="Z101" s="31"/>
      <c r="AA101" s="32"/>
      <c r="AB101" s="32"/>
      <c r="AC101" s="31"/>
      <c r="AD101" s="31"/>
      <c r="AE101" s="31"/>
      <c r="AF101" s="32"/>
      <c r="AG101" s="32"/>
      <c r="AH101" s="31"/>
      <c r="AI101" s="31"/>
      <c r="AJ101" s="32"/>
      <c r="AK101" s="31"/>
      <c r="AL101" s="31"/>
      <c r="AM101" s="31"/>
      <c r="AN101" s="31"/>
      <c r="AO101" s="31"/>
      <c r="AP101" s="31"/>
      <c r="AQ101" s="31"/>
      <c r="AR101" s="32"/>
      <c r="AS101" s="31"/>
      <c r="AT101" s="31"/>
      <c r="AU101" s="31"/>
      <c r="AV101" s="31"/>
      <c r="AW101" s="31"/>
      <c r="AX101" s="31"/>
      <c r="AY101" s="31"/>
      <c r="AZ101" s="32"/>
      <c r="BA101" s="31"/>
      <c r="BB101" s="31"/>
      <c r="BC101" s="31"/>
      <c r="BD101" s="31"/>
      <c r="BE101" s="31"/>
      <c r="BF101" s="31"/>
      <c r="BG101" s="31"/>
      <c r="BH101" s="32"/>
      <c r="BI101" s="31"/>
      <c r="BJ101" s="31"/>
      <c r="BK101" s="31"/>
      <c r="BL101" s="31"/>
      <c r="BM101" s="31"/>
      <c r="BN101" s="31"/>
      <c r="BO101" s="31"/>
      <c r="BP101" s="32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  <c r="HG101" s="31"/>
      <c r="HH101" s="31"/>
      <c r="HI101" s="31"/>
      <c r="HJ101" s="31"/>
      <c r="HK101" s="31"/>
      <c r="HL101" s="31"/>
      <c r="HM101" s="31"/>
      <c r="HN101" s="31"/>
      <c r="HO101" s="31"/>
      <c r="HP101" s="31"/>
      <c r="HQ101" s="31"/>
      <c r="HR101" s="31"/>
      <c r="HS101" s="31"/>
      <c r="HT101" s="31"/>
      <c r="HU101" s="31"/>
      <c r="HV101" s="31"/>
      <c r="HW101" s="31"/>
      <c r="HX101" s="31"/>
      <c r="HY101" s="31"/>
      <c r="HZ101" s="31"/>
      <c r="IA101" s="31"/>
      <c r="IB101" s="31"/>
      <c r="IC101" s="31"/>
      <c r="ID101" s="31"/>
      <c r="IE101" s="31"/>
      <c r="IF101" s="31"/>
      <c r="IG101" s="31"/>
      <c r="IH101" s="31"/>
      <c r="II101" s="31"/>
      <c r="IJ101" s="31"/>
      <c r="IK101" s="31"/>
      <c r="IL101" s="31"/>
      <c r="IM101" s="31"/>
      <c r="IN101" s="31"/>
      <c r="IO101" s="31"/>
      <c r="IP101" s="31"/>
      <c r="IQ101" s="31"/>
      <c r="IR101" s="31"/>
      <c r="IS101" s="31"/>
      <c r="IT101" s="31"/>
      <c r="IU101" s="31"/>
      <c r="IV101" s="31"/>
      <c r="IW101" s="31"/>
      <c r="IX101" s="31"/>
      <c r="IY101" s="31"/>
      <c r="IZ101" s="31"/>
      <c r="JA101" s="31"/>
      <c r="JB101" s="31"/>
      <c r="JC101" s="31"/>
      <c r="JD101" s="31"/>
      <c r="JE101" s="31"/>
      <c r="JF101" s="31"/>
    </row>
    <row r="102" customFormat="1" ht="17.25" spans="1:266">
      <c r="A102" s="32">
        <f>40000000+INDEX(编号表!$B:$B,MATCH(B102,编号表!$A:$A,0))*10000+C102</f>
        <v>40030001</v>
      </c>
      <c r="B102" s="27" t="s">
        <v>554</v>
      </c>
      <c r="C102" s="32">
        <v>1</v>
      </c>
      <c r="D102" s="32" t="s">
        <v>555</v>
      </c>
      <c r="E102" s="32" t="s">
        <v>437</v>
      </c>
      <c r="F102" s="31">
        <f t="shared" si="6"/>
        <v>13310000</v>
      </c>
      <c r="G102" s="31"/>
      <c r="H102" s="32"/>
      <c r="I102" s="32"/>
      <c r="J102" s="32">
        <f t="shared" si="5"/>
        <v>4</v>
      </c>
      <c r="K102" s="32"/>
      <c r="L102" s="32"/>
      <c r="M102" s="16" t="s">
        <v>556</v>
      </c>
      <c r="N102" s="16" t="s">
        <v>557</v>
      </c>
      <c r="O102" s="16" t="s">
        <v>527</v>
      </c>
      <c r="P102" s="32">
        <v>10000000</v>
      </c>
      <c r="Q102" s="32">
        <v>1</v>
      </c>
      <c r="R102" s="31"/>
      <c r="S102" s="16"/>
      <c r="T102" s="16"/>
      <c r="U102" s="16" t="s">
        <v>556</v>
      </c>
      <c r="V102" s="16" t="s">
        <v>557</v>
      </c>
      <c r="W102" s="16" t="s">
        <v>533</v>
      </c>
      <c r="X102" s="32">
        <v>3000000</v>
      </c>
      <c r="Y102" s="32">
        <v>1</v>
      </c>
      <c r="Z102" s="32"/>
      <c r="AA102" s="32"/>
      <c r="AB102" s="32"/>
      <c r="AC102" s="16" t="s">
        <v>556</v>
      </c>
      <c r="AD102" s="16" t="s">
        <v>557</v>
      </c>
      <c r="AE102" s="16" t="s">
        <v>537</v>
      </c>
      <c r="AF102" s="32">
        <v>300000</v>
      </c>
      <c r="AG102" s="32">
        <v>1</v>
      </c>
      <c r="AH102" s="31"/>
      <c r="AI102" s="31"/>
      <c r="AJ102" s="32"/>
      <c r="AK102" s="16" t="s">
        <v>556</v>
      </c>
      <c r="AL102" s="16" t="s">
        <v>557</v>
      </c>
      <c r="AM102" s="16" t="s">
        <v>542</v>
      </c>
      <c r="AN102" s="32">
        <v>10000</v>
      </c>
      <c r="AO102" s="32">
        <v>1</v>
      </c>
      <c r="AP102" s="31"/>
      <c r="AQ102" s="31"/>
      <c r="AR102" s="32"/>
      <c r="AS102" s="31"/>
      <c r="AT102" s="31"/>
      <c r="AU102" s="31"/>
      <c r="AV102" s="31"/>
      <c r="AW102" s="31"/>
      <c r="AX102" s="31"/>
      <c r="AY102" s="31"/>
      <c r="AZ102" s="32"/>
      <c r="BA102" s="31"/>
      <c r="BB102" s="31"/>
      <c r="BC102" s="31"/>
      <c r="BD102" s="31"/>
      <c r="BE102" s="31"/>
      <c r="BF102" s="31"/>
      <c r="BG102" s="31"/>
      <c r="BH102" s="32"/>
      <c r="BI102" s="31"/>
      <c r="BJ102" s="31"/>
      <c r="BK102" s="31"/>
      <c r="BL102" s="31"/>
      <c r="BM102" s="31"/>
      <c r="BN102" s="31"/>
      <c r="BO102" s="31"/>
      <c r="BP102" s="32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  <c r="HE102" s="31"/>
      <c r="HF102" s="31"/>
      <c r="HG102" s="31"/>
      <c r="HH102" s="31"/>
      <c r="HI102" s="31"/>
      <c r="HJ102" s="31"/>
      <c r="HK102" s="31"/>
      <c r="HL102" s="31"/>
      <c r="HM102" s="31"/>
      <c r="HN102" s="31"/>
      <c r="HO102" s="31"/>
      <c r="HP102" s="31"/>
      <c r="HQ102" s="31"/>
      <c r="HR102" s="31"/>
      <c r="HS102" s="31"/>
      <c r="HT102" s="31"/>
      <c r="HU102" s="31"/>
      <c r="HV102" s="31"/>
      <c r="HW102" s="31"/>
      <c r="HX102" s="31"/>
      <c r="HY102" s="31"/>
      <c r="HZ102" s="31"/>
      <c r="IA102" s="31"/>
      <c r="IB102" s="31"/>
      <c r="IC102" s="31"/>
      <c r="ID102" s="31"/>
      <c r="IE102" s="31"/>
      <c r="IF102" s="31"/>
      <c r="IG102" s="31"/>
      <c r="IH102" s="31"/>
      <c r="II102" s="31"/>
      <c r="IJ102" s="31"/>
      <c r="IK102" s="31"/>
      <c r="IL102" s="31"/>
      <c r="IM102" s="31"/>
      <c r="IN102" s="31"/>
      <c r="IO102" s="31"/>
      <c r="IP102" s="31"/>
      <c r="IQ102" s="31"/>
      <c r="IR102" s="31"/>
      <c r="IS102" s="31"/>
      <c r="IT102" s="31"/>
      <c r="IU102" s="31"/>
      <c r="IV102" s="31"/>
      <c r="IW102" s="31"/>
      <c r="IX102" s="31"/>
      <c r="IY102" s="31"/>
      <c r="IZ102" s="31"/>
      <c r="JA102" s="31"/>
      <c r="JB102" s="31"/>
      <c r="JC102" s="31"/>
      <c r="JD102" s="31"/>
      <c r="JE102" s="31"/>
      <c r="JF102" s="31"/>
    </row>
    <row r="103" customFormat="1" ht="17.25" spans="1:266">
      <c r="A103" s="32">
        <f>40000000+INDEX(编号表!$B:$B,MATCH(B103,编号表!$A:$A,0))*10000+C103</f>
        <v>40030002</v>
      </c>
      <c r="B103" s="27" t="s">
        <v>554</v>
      </c>
      <c r="C103" s="32">
        <v>2</v>
      </c>
      <c r="D103" s="32" t="s">
        <v>558</v>
      </c>
      <c r="E103" s="32" t="s">
        <v>437</v>
      </c>
      <c r="F103" s="31">
        <f t="shared" si="6"/>
        <v>13310000</v>
      </c>
      <c r="G103" s="31"/>
      <c r="H103" s="32"/>
      <c r="I103" s="32"/>
      <c r="J103" s="32">
        <f t="shared" si="5"/>
        <v>4</v>
      </c>
      <c r="K103" s="32"/>
      <c r="L103" s="32"/>
      <c r="M103" s="16" t="s">
        <v>556</v>
      </c>
      <c r="N103" s="16" t="s">
        <v>559</v>
      </c>
      <c r="O103" s="16" t="s">
        <v>527</v>
      </c>
      <c r="P103" s="32">
        <v>10000000</v>
      </c>
      <c r="Q103" s="32">
        <v>1</v>
      </c>
      <c r="R103" s="31"/>
      <c r="S103" s="16"/>
      <c r="T103" s="16"/>
      <c r="U103" s="16" t="s">
        <v>556</v>
      </c>
      <c r="V103" s="16" t="s">
        <v>560</v>
      </c>
      <c r="W103" s="16" t="s">
        <v>533</v>
      </c>
      <c r="X103" s="32">
        <v>3000000</v>
      </c>
      <c r="Y103" s="32">
        <v>1</v>
      </c>
      <c r="Z103" s="32"/>
      <c r="AA103" s="32"/>
      <c r="AB103" s="32"/>
      <c r="AC103" s="16" t="s">
        <v>556</v>
      </c>
      <c r="AD103" s="16" t="s">
        <v>560</v>
      </c>
      <c r="AE103" s="16" t="s">
        <v>537</v>
      </c>
      <c r="AF103" s="32">
        <v>300000</v>
      </c>
      <c r="AG103" s="32">
        <v>1</v>
      </c>
      <c r="AH103" s="31"/>
      <c r="AI103" s="31"/>
      <c r="AJ103" s="32"/>
      <c r="AK103" s="16" t="s">
        <v>556</v>
      </c>
      <c r="AL103" s="16" t="s">
        <v>560</v>
      </c>
      <c r="AM103" s="16" t="s">
        <v>542</v>
      </c>
      <c r="AN103" s="32">
        <v>10000</v>
      </c>
      <c r="AO103" s="32">
        <v>1</v>
      </c>
      <c r="AP103" s="31"/>
      <c r="AQ103" s="31"/>
      <c r="AR103" s="32"/>
      <c r="AS103" s="31"/>
      <c r="AT103" s="31"/>
      <c r="AU103" s="31"/>
      <c r="AV103" s="31"/>
      <c r="AW103" s="31"/>
      <c r="AX103" s="31"/>
      <c r="AY103" s="31"/>
      <c r="AZ103" s="32"/>
      <c r="BA103" s="31"/>
      <c r="BB103" s="31"/>
      <c r="BC103" s="31"/>
      <c r="BD103" s="31"/>
      <c r="BE103" s="31"/>
      <c r="BF103" s="31"/>
      <c r="BG103" s="31"/>
      <c r="BH103" s="32"/>
      <c r="BI103" s="31"/>
      <c r="BJ103" s="31"/>
      <c r="BK103" s="31"/>
      <c r="BL103" s="31"/>
      <c r="BM103" s="31"/>
      <c r="BN103" s="31"/>
      <c r="BO103" s="31"/>
      <c r="BP103" s="32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  <c r="HI103" s="31"/>
      <c r="HJ103" s="31"/>
      <c r="HK103" s="31"/>
      <c r="HL103" s="31"/>
      <c r="HM103" s="31"/>
      <c r="HN103" s="31"/>
      <c r="HO103" s="31"/>
      <c r="HP103" s="31"/>
      <c r="HQ103" s="31"/>
      <c r="HR103" s="31"/>
      <c r="HS103" s="31"/>
      <c r="HT103" s="31"/>
      <c r="HU103" s="31"/>
      <c r="HV103" s="31"/>
      <c r="HW103" s="31"/>
      <c r="HX103" s="31"/>
      <c r="HY103" s="31"/>
      <c r="HZ103" s="31"/>
      <c r="IA103" s="31"/>
      <c r="IB103" s="31"/>
      <c r="IC103" s="31"/>
      <c r="ID103" s="31"/>
      <c r="IE103" s="31"/>
      <c r="IF103" s="31"/>
      <c r="IG103" s="31"/>
      <c r="IH103" s="31"/>
      <c r="II103" s="31"/>
      <c r="IJ103" s="31"/>
      <c r="IK103" s="31"/>
      <c r="IL103" s="31"/>
      <c r="IM103" s="31"/>
      <c r="IN103" s="31"/>
      <c r="IO103" s="31"/>
      <c r="IP103" s="31"/>
      <c r="IQ103" s="31"/>
      <c r="IR103" s="31"/>
      <c r="IS103" s="31"/>
      <c r="IT103" s="31"/>
      <c r="IU103" s="31"/>
      <c r="IV103" s="31"/>
      <c r="IW103" s="31"/>
      <c r="IX103" s="31"/>
      <c r="IY103" s="31"/>
      <c r="IZ103" s="31"/>
      <c r="JA103" s="31"/>
      <c r="JB103" s="31"/>
      <c r="JC103" s="31"/>
      <c r="JD103" s="31"/>
      <c r="JE103" s="31"/>
      <c r="JF103" s="31"/>
    </row>
    <row r="104" customFormat="1" ht="17.25" spans="1:266">
      <c r="A104" s="32">
        <f>40000000+INDEX(编号表!$B:$B,MATCH(B104,编号表!$A:$A,0))*10000+C104</f>
        <v>40030003</v>
      </c>
      <c r="B104" s="27" t="s">
        <v>554</v>
      </c>
      <c r="C104" s="32">
        <v>3</v>
      </c>
      <c r="D104" s="32" t="s">
        <v>561</v>
      </c>
      <c r="E104" s="32" t="s">
        <v>437</v>
      </c>
      <c r="F104" s="31">
        <f t="shared" si="6"/>
        <v>13310000</v>
      </c>
      <c r="G104" s="31"/>
      <c r="H104" s="32"/>
      <c r="I104" s="32"/>
      <c r="J104" s="32">
        <f t="shared" si="5"/>
        <v>4</v>
      </c>
      <c r="K104" s="32"/>
      <c r="L104" s="32"/>
      <c r="M104" s="16" t="s">
        <v>556</v>
      </c>
      <c r="N104" s="16" t="s">
        <v>560</v>
      </c>
      <c r="O104" s="16" t="s">
        <v>527</v>
      </c>
      <c r="P104" s="32">
        <v>10000000</v>
      </c>
      <c r="Q104" s="32">
        <v>1</v>
      </c>
      <c r="R104" s="31"/>
      <c r="S104" s="16"/>
      <c r="T104" s="16"/>
      <c r="U104" s="16" t="s">
        <v>556</v>
      </c>
      <c r="V104" s="16" t="s">
        <v>559</v>
      </c>
      <c r="W104" s="16" t="s">
        <v>533</v>
      </c>
      <c r="X104" s="32">
        <v>3000000</v>
      </c>
      <c r="Y104" s="32">
        <v>1</v>
      </c>
      <c r="Z104" s="31"/>
      <c r="AA104" s="32"/>
      <c r="AB104" s="32"/>
      <c r="AC104" s="16" t="s">
        <v>556</v>
      </c>
      <c r="AD104" s="16" t="s">
        <v>559</v>
      </c>
      <c r="AE104" s="16" t="s">
        <v>537</v>
      </c>
      <c r="AF104" s="32">
        <v>300000</v>
      </c>
      <c r="AG104" s="32">
        <v>1</v>
      </c>
      <c r="AH104" s="31"/>
      <c r="AI104" s="31"/>
      <c r="AJ104" s="32"/>
      <c r="AK104" s="16" t="s">
        <v>556</v>
      </c>
      <c r="AL104" s="16" t="s">
        <v>559</v>
      </c>
      <c r="AM104" s="16" t="s">
        <v>542</v>
      </c>
      <c r="AN104" s="32">
        <v>10000</v>
      </c>
      <c r="AO104" s="32">
        <v>1</v>
      </c>
      <c r="AP104" s="31"/>
      <c r="AQ104" s="31"/>
      <c r="AR104" s="32"/>
      <c r="AS104" s="31"/>
      <c r="AT104" s="31"/>
      <c r="AU104" s="31"/>
      <c r="AV104" s="31"/>
      <c r="AW104" s="31"/>
      <c r="AX104" s="31"/>
      <c r="AY104" s="31"/>
      <c r="AZ104" s="32"/>
      <c r="BA104" s="31"/>
      <c r="BB104" s="31"/>
      <c r="BC104" s="31"/>
      <c r="BD104" s="31"/>
      <c r="BE104" s="31"/>
      <c r="BF104" s="31"/>
      <c r="BG104" s="31"/>
      <c r="BH104" s="32"/>
      <c r="BI104" s="31"/>
      <c r="BJ104" s="31"/>
      <c r="BK104" s="31"/>
      <c r="BL104" s="31"/>
      <c r="BM104" s="31"/>
      <c r="BN104" s="31"/>
      <c r="BO104" s="31"/>
      <c r="BP104" s="32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  <c r="HE104" s="31"/>
      <c r="HF104" s="31"/>
      <c r="HG104" s="31"/>
      <c r="HH104" s="31"/>
      <c r="HI104" s="31"/>
      <c r="HJ104" s="31"/>
      <c r="HK104" s="31"/>
      <c r="HL104" s="31"/>
      <c r="HM104" s="31"/>
      <c r="HN104" s="31"/>
      <c r="HO104" s="31"/>
      <c r="HP104" s="31"/>
      <c r="HQ104" s="31"/>
      <c r="HR104" s="31"/>
      <c r="HS104" s="31"/>
      <c r="HT104" s="31"/>
      <c r="HU104" s="31"/>
      <c r="HV104" s="31"/>
      <c r="HW104" s="31"/>
      <c r="HX104" s="31"/>
      <c r="HY104" s="31"/>
      <c r="HZ104" s="31"/>
      <c r="IA104" s="31"/>
      <c r="IB104" s="31"/>
      <c r="IC104" s="31"/>
      <c r="ID104" s="31"/>
      <c r="IE104" s="31"/>
      <c r="IF104" s="31"/>
      <c r="IG104" s="31"/>
      <c r="IH104" s="31"/>
      <c r="II104" s="31"/>
      <c r="IJ104" s="31"/>
      <c r="IK104" s="31"/>
      <c r="IL104" s="31"/>
      <c r="IM104" s="31"/>
      <c r="IN104" s="31"/>
      <c r="IO104" s="31"/>
      <c r="IP104" s="31"/>
      <c r="IQ104" s="31"/>
      <c r="IR104" s="31"/>
      <c r="IS104" s="31"/>
      <c r="IT104" s="31"/>
      <c r="IU104" s="31"/>
      <c r="IV104" s="31"/>
      <c r="IW104" s="31"/>
      <c r="IX104" s="31"/>
      <c r="IY104" s="31"/>
      <c r="IZ104" s="31"/>
      <c r="JA104" s="31"/>
      <c r="JB104" s="31"/>
      <c r="JC104" s="31"/>
      <c r="JD104" s="31"/>
      <c r="JE104" s="31"/>
      <c r="JF104" s="31"/>
    </row>
    <row r="105" customFormat="1" ht="17.25" spans="1:266">
      <c r="A105" s="32">
        <f>40000000+INDEX(编号表!$B:$B,MATCH(B105,编号表!$A:$A,0))*10000+C105</f>
        <v>40030004</v>
      </c>
      <c r="B105" s="27" t="s">
        <v>554</v>
      </c>
      <c r="C105" s="32">
        <v>4</v>
      </c>
      <c r="D105" s="32" t="s">
        <v>562</v>
      </c>
      <c r="E105" s="32" t="s">
        <v>437</v>
      </c>
      <c r="F105" s="31">
        <f t="shared" si="6"/>
        <v>13310000</v>
      </c>
      <c r="G105" s="31"/>
      <c r="H105" s="32"/>
      <c r="I105" s="32"/>
      <c r="J105" s="32">
        <f t="shared" si="5"/>
        <v>4</v>
      </c>
      <c r="K105" s="32"/>
      <c r="L105" s="32"/>
      <c r="M105" s="16" t="s">
        <v>556</v>
      </c>
      <c r="N105" s="16" t="s">
        <v>526</v>
      </c>
      <c r="O105" s="16" t="s">
        <v>527</v>
      </c>
      <c r="P105" s="32">
        <v>10000000</v>
      </c>
      <c r="Q105" s="32">
        <v>1</v>
      </c>
      <c r="R105" s="31"/>
      <c r="S105" s="16"/>
      <c r="T105" s="16"/>
      <c r="U105" s="16" t="s">
        <v>556</v>
      </c>
      <c r="V105" s="16" t="s">
        <v>526</v>
      </c>
      <c r="W105" s="16" t="s">
        <v>533</v>
      </c>
      <c r="X105" s="32">
        <v>3000000</v>
      </c>
      <c r="Y105" s="32">
        <v>1</v>
      </c>
      <c r="Z105" s="32"/>
      <c r="AA105" s="32"/>
      <c r="AB105" s="32"/>
      <c r="AC105" s="16" t="s">
        <v>556</v>
      </c>
      <c r="AD105" s="16" t="s">
        <v>526</v>
      </c>
      <c r="AE105" s="16" t="s">
        <v>537</v>
      </c>
      <c r="AF105" s="32">
        <v>300000</v>
      </c>
      <c r="AG105" s="32">
        <v>1</v>
      </c>
      <c r="AH105" s="31"/>
      <c r="AI105" s="31"/>
      <c r="AJ105" s="32"/>
      <c r="AK105" s="16" t="s">
        <v>556</v>
      </c>
      <c r="AL105" s="16" t="s">
        <v>526</v>
      </c>
      <c r="AM105" s="16" t="s">
        <v>542</v>
      </c>
      <c r="AN105" s="32">
        <v>10000</v>
      </c>
      <c r="AO105" s="32">
        <v>1</v>
      </c>
      <c r="AP105" s="31"/>
      <c r="AQ105" s="31"/>
      <c r="AR105" s="32"/>
      <c r="AS105" s="31"/>
      <c r="AT105" s="31"/>
      <c r="AU105" s="31"/>
      <c r="AV105" s="31"/>
      <c r="AW105" s="31"/>
      <c r="AX105" s="31"/>
      <c r="AY105" s="31"/>
      <c r="AZ105" s="32"/>
      <c r="BA105" s="31"/>
      <c r="BB105" s="31"/>
      <c r="BC105" s="31"/>
      <c r="BD105" s="31"/>
      <c r="BE105" s="31"/>
      <c r="BF105" s="31"/>
      <c r="BG105" s="31"/>
      <c r="BH105" s="32"/>
      <c r="BI105" s="31"/>
      <c r="BJ105" s="31"/>
      <c r="BK105" s="31"/>
      <c r="BL105" s="31"/>
      <c r="BM105" s="31"/>
      <c r="BN105" s="31"/>
      <c r="BO105" s="31"/>
      <c r="BP105" s="32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  <c r="HI105" s="31"/>
      <c r="HJ105" s="31"/>
      <c r="HK105" s="31"/>
      <c r="HL105" s="31"/>
      <c r="HM105" s="31"/>
      <c r="HN105" s="31"/>
      <c r="HO105" s="31"/>
      <c r="HP105" s="31"/>
      <c r="HQ105" s="31"/>
      <c r="HR105" s="31"/>
      <c r="HS105" s="31"/>
      <c r="HT105" s="31"/>
      <c r="HU105" s="31"/>
      <c r="HV105" s="31"/>
      <c r="HW105" s="31"/>
      <c r="HX105" s="31"/>
      <c r="HY105" s="31"/>
      <c r="HZ105" s="31"/>
      <c r="IA105" s="31"/>
      <c r="IB105" s="31"/>
      <c r="IC105" s="31"/>
      <c r="ID105" s="31"/>
      <c r="IE105" s="31"/>
      <c r="IF105" s="31"/>
      <c r="IG105" s="31"/>
      <c r="IH105" s="31"/>
      <c r="II105" s="31"/>
      <c r="IJ105" s="31"/>
      <c r="IK105" s="31"/>
      <c r="IL105" s="31"/>
      <c r="IM105" s="31"/>
      <c r="IN105" s="31"/>
      <c r="IO105" s="31"/>
      <c r="IP105" s="31"/>
      <c r="IQ105" s="31"/>
      <c r="IR105" s="31"/>
      <c r="IS105" s="31"/>
      <c r="IT105" s="31"/>
      <c r="IU105" s="31"/>
      <c r="IV105" s="31"/>
      <c r="IW105" s="31"/>
      <c r="IX105" s="31"/>
      <c r="IY105" s="31"/>
      <c r="IZ105" s="31"/>
      <c r="JA105" s="31"/>
      <c r="JB105" s="31"/>
      <c r="JC105" s="31"/>
      <c r="JD105" s="31"/>
      <c r="JE105" s="31"/>
      <c r="JF105" s="31"/>
    </row>
    <row r="106" customFormat="1" ht="17.25" spans="1:266">
      <c r="A106" s="32">
        <f>40000000+INDEX(编号表!$B:$B,MATCH(B106,编号表!$A:$A,0))*10000+C106</f>
        <v>40030005</v>
      </c>
      <c r="B106" s="27" t="s">
        <v>554</v>
      </c>
      <c r="C106" s="32">
        <v>5</v>
      </c>
      <c r="D106" s="32" t="s">
        <v>563</v>
      </c>
      <c r="E106" s="32" t="s">
        <v>437</v>
      </c>
      <c r="F106" s="31">
        <f t="shared" si="6"/>
        <v>13310000</v>
      </c>
      <c r="G106" s="31"/>
      <c r="H106" s="32"/>
      <c r="I106" s="32"/>
      <c r="J106" s="32">
        <f t="shared" si="5"/>
        <v>4</v>
      </c>
      <c r="K106" s="32"/>
      <c r="L106" s="32"/>
      <c r="M106" s="16" t="s">
        <v>556</v>
      </c>
      <c r="N106" s="16" t="s">
        <v>532</v>
      </c>
      <c r="O106" s="16" t="s">
        <v>527</v>
      </c>
      <c r="P106" s="32">
        <v>10000000</v>
      </c>
      <c r="Q106" s="32">
        <v>1</v>
      </c>
      <c r="R106" s="31"/>
      <c r="S106" s="16"/>
      <c r="T106" s="16"/>
      <c r="U106" s="16" t="s">
        <v>556</v>
      </c>
      <c r="V106" s="16" t="s">
        <v>532</v>
      </c>
      <c r="W106" s="16" t="s">
        <v>533</v>
      </c>
      <c r="X106" s="32">
        <v>3000000</v>
      </c>
      <c r="Y106" s="32">
        <v>1</v>
      </c>
      <c r="Z106" s="31"/>
      <c r="AA106" s="32"/>
      <c r="AB106" s="32"/>
      <c r="AC106" s="16" t="s">
        <v>556</v>
      </c>
      <c r="AD106" s="16" t="s">
        <v>532</v>
      </c>
      <c r="AE106" s="16" t="s">
        <v>537</v>
      </c>
      <c r="AF106" s="32">
        <v>300000</v>
      </c>
      <c r="AG106" s="32">
        <v>1</v>
      </c>
      <c r="AH106" s="31"/>
      <c r="AI106" s="31"/>
      <c r="AJ106" s="32"/>
      <c r="AK106" s="16" t="s">
        <v>556</v>
      </c>
      <c r="AL106" s="16" t="s">
        <v>532</v>
      </c>
      <c r="AM106" s="16" t="s">
        <v>542</v>
      </c>
      <c r="AN106" s="32">
        <v>10000</v>
      </c>
      <c r="AO106" s="32">
        <v>1</v>
      </c>
      <c r="AP106" s="31"/>
      <c r="AQ106" s="31"/>
      <c r="AR106" s="32"/>
      <c r="AS106" s="31"/>
      <c r="AT106" s="31"/>
      <c r="AU106" s="31"/>
      <c r="AV106" s="31"/>
      <c r="AW106" s="31"/>
      <c r="AX106" s="31"/>
      <c r="AY106" s="31"/>
      <c r="AZ106" s="32"/>
      <c r="BA106" s="31"/>
      <c r="BB106" s="31"/>
      <c r="BC106" s="31"/>
      <c r="BD106" s="31"/>
      <c r="BE106" s="31"/>
      <c r="BF106" s="31"/>
      <c r="BG106" s="31"/>
      <c r="BH106" s="32"/>
      <c r="BI106" s="31"/>
      <c r="BJ106" s="31"/>
      <c r="BK106" s="31"/>
      <c r="BL106" s="31"/>
      <c r="BM106" s="31"/>
      <c r="BN106" s="31"/>
      <c r="BO106" s="31"/>
      <c r="BP106" s="32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  <c r="GP106" s="31"/>
      <c r="GQ106" s="31"/>
      <c r="GR106" s="31"/>
      <c r="GS106" s="31"/>
      <c r="GT106" s="31"/>
      <c r="GU106" s="31"/>
      <c r="GV106" s="31"/>
      <c r="GW106" s="31"/>
      <c r="GX106" s="31"/>
      <c r="GY106" s="31"/>
      <c r="GZ106" s="31"/>
      <c r="HA106" s="31"/>
      <c r="HB106" s="31"/>
      <c r="HC106" s="31"/>
      <c r="HD106" s="31"/>
      <c r="HE106" s="31"/>
      <c r="HF106" s="31"/>
      <c r="HG106" s="31"/>
      <c r="HH106" s="31"/>
      <c r="HI106" s="31"/>
      <c r="HJ106" s="31"/>
      <c r="HK106" s="31"/>
      <c r="HL106" s="31"/>
      <c r="HM106" s="31"/>
      <c r="HN106" s="31"/>
      <c r="HO106" s="31"/>
      <c r="HP106" s="31"/>
      <c r="HQ106" s="31"/>
      <c r="HR106" s="31"/>
      <c r="HS106" s="31"/>
      <c r="HT106" s="31"/>
      <c r="HU106" s="31"/>
      <c r="HV106" s="31"/>
      <c r="HW106" s="31"/>
      <c r="HX106" s="31"/>
      <c r="HY106" s="31"/>
      <c r="HZ106" s="31"/>
      <c r="IA106" s="31"/>
      <c r="IB106" s="31"/>
      <c r="IC106" s="31"/>
      <c r="ID106" s="31"/>
      <c r="IE106" s="31"/>
      <c r="IF106" s="31"/>
      <c r="IG106" s="31"/>
      <c r="IH106" s="31"/>
      <c r="II106" s="31"/>
      <c r="IJ106" s="31"/>
      <c r="IK106" s="31"/>
      <c r="IL106" s="31"/>
      <c r="IM106" s="31"/>
      <c r="IN106" s="31"/>
      <c r="IO106" s="31"/>
      <c r="IP106" s="31"/>
      <c r="IQ106" s="31"/>
      <c r="IR106" s="31"/>
      <c r="IS106" s="31"/>
      <c r="IT106" s="31"/>
      <c r="IU106" s="31"/>
      <c r="IV106" s="31"/>
      <c r="IW106" s="31"/>
      <c r="IX106" s="31"/>
      <c r="IY106" s="31"/>
      <c r="IZ106" s="31"/>
      <c r="JA106" s="31"/>
      <c r="JB106" s="31"/>
      <c r="JC106" s="31"/>
      <c r="JD106" s="31"/>
      <c r="JE106" s="31"/>
      <c r="JF106" s="31"/>
    </row>
    <row r="107" customFormat="1" ht="17.25" spans="1:266">
      <c r="A107" s="32">
        <f>40000000+INDEX(编号表!$B:$B,MATCH(B107,编号表!$A:$A,0))*10000+C107</f>
        <v>40030006</v>
      </c>
      <c r="B107" s="27" t="s">
        <v>554</v>
      </c>
      <c r="C107" s="32">
        <v>6</v>
      </c>
      <c r="D107" s="32" t="s">
        <v>564</v>
      </c>
      <c r="E107" s="32" t="s">
        <v>437</v>
      </c>
      <c r="F107" s="31">
        <f t="shared" si="6"/>
        <v>13310000</v>
      </c>
      <c r="G107" s="31"/>
      <c r="H107" s="32"/>
      <c r="I107" s="32"/>
      <c r="J107" s="32">
        <f t="shared" si="5"/>
        <v>4</v>
      </c>
      <c r="K107" s="32"/>
      <c r="L107" s="32"/>
      <c r="M107" s="16" t="s">
        <v>556</v>
      </c>
      <c r="N107" s="16" t="s">
        <v>565</v>
      </c>
      <c r="O107" s="16" t="s">
        <v>527</v>
      </c>
      <c r="P107" s="32">
        <v>10000000</v>
      </c>
      <c r="Q107" s="32">
        <v>1</v>
      </c>
      <c r="R107" s="31"/>
      <c r="S107" s="16"/>
      <c r="T107" s="16"/>
      <c r="U107" s="16" t="s">
        <v>556</v>
      </c>
      <c r="V107" s="16" t="s">
        <v>565</v>
      </c>
      <c r="W107" s="16" t="s">
        <v>533</v>
      </c>
      <c r="X107" s="32">
        <v>3000000</v>
      </c>
      <c r="Y107" s="32">
        <v>1</v>
      </c>
      <c r="Z107" s="31"/>
      <c r="AA107" s="32"/>
      <c r="AB107" s="32"/>
      <c r="AC107" s="16" t="s">
        <v>556</v>
      </c>
      <c r="AD107" s="16" t="s">
        <v>565</v>
      </c>
      <c r="AE107" s="16" t="s">
        <v>537</v>
      </c>
      <c r="AF107" s="32">
        <v>300000</v>
      </c>
      <c r="AG107" s="32">
        <v>1</v>
      </c>
      <c r="AH107" s="31"/>
      <c r="AI107" s="31"/>
      <c r="AJ107" s="32"/>
      <c r="AK107" s="16" t="s">
        <v>556</v>
      </c>
      <c r="AL107" s="16" t="s">
        <v>565</v>
      </c>
      <c r="AM107" s="16" t="s">
        <v>542</v>
      </c>
      <c r="AN107" s="32">
        <v>10000</v>
      </c>
      <c r="AO107" s="32">
        <v>1</v>
      </c>
      <c r="AP107" s="31"/>
      <c r="AQ107" s="31"/>
      <c r="AR107" s="32"/>
      <c r="AS107" s="31"/>
      <c r="AT107" s="31"/>
      <c r="AU107" s="31"/>
      <c r="AV107" s="31"/>
      <c r="AW107" s="31"/>
      <c r="AX107" s="31"/>
      <c r="AY107" s="31"/>
      <c r="AZ107" s="32"/>
      <c r="BA107" s="31"/>
      <c r="BB107" s="31"/>
      <c r="BC107" s="31"/>
      <c r="BD107" s="31"/>
      <c r="BE107" s="31"/>
      <c r="BF107" s="31"/>
      <c r="BG107" s="31"/>
      <c r="BH107" s="32"/>
      <c r="BI107" s="31"/>
      <c r="BJ107" s="31"/>
      <c r="BK107" s="31"/>
      <c r="BL107" s="31"/>
      <c r="BM107" s="31"/>
      <c r="BN107" s="31"/>
      <c r="BO107" s="31"/>
      <c r="BP107" s="32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/>
      <c r="HK107" s="31"/>
      <c r="HL107" s="31"/>
      <c r="HM107" s="31"/>
      <c r="HN107" s="31"/>
      <c r="HO107" s="31"/>
      <c r="HP107" s="31"/>
      <c r="HQ107" s="31"/>
      <c r="HR107" s="31"/>
      <c r="HS107" s="31"/>
      <c r="HT107" s="31"/>
      <c r="HU107" s="31"/>
      <c r="HV107" s="31"/>
      <c r="HW107" s="31"/>
      <c r="HX107" s="31"/>
      <c r="HY107" s="31"/>
      <c r="HZ107" s="31"/>
      <c r="IA107" s="31"/>
      <c r="IB107" s="31"/>
      <c r="IC107" s="31"/>
      <c r="ID107" s="31"/>
      <c r="IE107" s="31"/>
      <c r="IF107" s="31"/>
      <c r="IG107" s="31"/>
      <c r="IH107" s="31"/>
      <c r="II107" s="31"/>
      <c r="IJ107" s="31"/>
      <c r="IK107" s="31"/>
      <c r="IL107" s="31"/>
      <c r="IM107" s="31"/>
      <c r="IN107" s="31"/>
      <c r="IO107" s="31"/>
      <c r="IP107" s="31"/>
      <c r="IQ107" s="31"/>
      <c r="IR107" s="31"/>
      <c r="IS107" s="31"/>
      <c r="IT107" s="31"/>
      <c r="IU107" s="31"/>
      <c r="IV107" s="31"/>
      <c r="IW107" s="31"/>
      <c r="IX107" s="31"/>
      <c r="IY107" s="31"/>
      <c r="IZ107" s="31"/>
      <c r="JA107" s="31"/>
      <c r="JB107" s="31"/>
      <c r="JC107" s="31"/>
      <c r="JD107" s="31"/>
      <c r="JE107" s="31"/>
      <c r="JF107" s="31"/>
    </row>
    <row r="108" customFormat="1" ht="17.25" spans="1:266">
      <c r="A108" s="32">
        <f>40000000+INDEX(编号表!$B:$B,MATCH(B108,编号表!$A:$A,0))*10000+C108</f>
        <v>40030007</v>
      </c>
      <c r="B108" s="27" t="s">
        <v>554</v>
      </c>
      <c r="C108" s="32">
        <v>7</v>
      </c>
      <c r="D108" s="32" t="s">
        <v>566</v>
      </c>
      <c r="E108" s="32" t="s">
        <v>437</v>
      </c>
      <c r="F108" s="31">
        <f t="shared" si="6"/>
        <v>13310000</v>
      </c>
      <c r="G108" s="31"/>
      <c r="H108" s="32"/>
      <c r="I108" s="32"/>
      <c r="J108" s="32">
        <f t="shared" si="5"/>
        <v>4</v>
      </c>
      <c r="K108" s="32"/>
      <c r="L108" s="32"/>
      <c r="M108" s="16" t="s">
        <v>556</v>
      </c>
      <c r="N108" s="16" t="s">
        <v>536</v>
      </c>
      <c r="O108" s="16" t="s">
        <v>527</v>
      </c>
      <c r="P108" s="32">
        <v>10000000</v>
      </c>
      <c r="Q108" s="32">
        <v>1</v>
      </c>
      <c r="R108" s="31"/>
      <c r="S108" s="16"/>
      <c r="T108" s="16"/>
      <c r="U108" s="16" t="s">
        <v>556</v>
      </c>
      <c r="V108" s="16" t="s">
        <v>536</v>
      </c>
      <c r="W108" s="16" t="s">
        <v>533</v>
      </c>
      <c r="X108" s="32">
        <v>3000000</v>
      </c>
      <c r="Y108" s="32">
        <v>1</v>
      </c>
      <c r="Z108" s="31"/>
      <c r="AA108" s="32"/>
      <c r="AB108" s="32"/>
      <c r="AC108" s="16" t="s">
        <v>556</v>
      </c>
      <c r="AD108" s="16" t="s">
        <v>536</v>
      </c>
      <c r="AE108" s="16" t="s">
        <v>537</v>
      </c>
      <c r="AF108" s="32">
        <v>300000</v>
      </c>
      <c r="AG108" s="32">
        <v>1</v>
      </c>
      <c r="AH108" s="31"/>
      <c r="AI108" s="31"/>
      <c r="AJ108" s="32"/>
      <c r="AK108" s="16" t="s">
        <v>556</v>
      </c>
      <c r="AL108" s="16" t="s">
        <v>536</v>
      </c>
      <c r="AM108" s="16" t="s">
        <v>542</v>
      </c>
      <c r="AN108" s="32">
        <v>10000</v>
      </c>
      <c r="AO108" s="32">
        <v>1</v>
      </c>
      <c r="AP108" s="31"/>
      <c r="AQ108" s="31"/>
      <c r="AR108" s="32"/>
      <c r="AS108" s="31"/>
      <c r="AT108" s="31"/>
      <c r="AU108" s="31"/>
      <c r="AV108" s="31"/>
      <c r="AW108" s="31"/>
      <c r="AX108" s="31"/>
      <c r="AY108" s="31"/>
      <c r="AZ108" s="32"/>
      <c r="BA108" s="31"/>
      <c r="BB108" s="31"/>
      <c r="BC108" s="31"/>
      <c r="BD108" s="31"/>
      <c r="BE108" s="31"/>
      <c r="BF108" s="31"/>
      <c r="BG108" s="31"/>
      <c r="BH108" s="32"/>
      <c r="BI108" s="31"/>
      <c r="BJ108" s="31"/>
      <c r="BK108" s="31"/>
      <c r="BL108" s="31"/>
      <c r="BM108" s="31"/>
      <c r="BN108" s="31"/>
      <c r="BO108" s="31"/>
      <c r="BP108" s="32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/>
      <c r="IP108" s="31"/>
      <c r="IQ108" s="31"/>
      <c r="IR108" s="31"/>
      <c r="IS108" s="31"/>
      <c r="IT108" s="31"/>
      <c r="IU108" s="31"/>
      <c r="IV108" s="31"/>
      <c r="IW108" s="31"/>
      <c r="IX108" s="31"/>
      <c r="IY108" s="31"/>
      <c r="IZ108" s="31"/>
      <c r="JA108" s="31"/>
      <c r="JB108" s="31"/>
      <c r="JC108" s="31"/>
      <c r="JD108" s="31"/>
      <c r="JE108" s="31"/>
      <c r="JF108" s="31"/>
    </row>
    <row r="109" customFormat="1" ht="17.25" spans="1:266">
      <c r="A109" s="32">
        <f>40000000+INDEX(编号表!$B:$B,MATCH(B109,编号表!$A:$A,0))*10000+C109</f>
        <v>40030008</v>
      </c>
      <c r="B109" s="27" t="s">
        <v>554</v>
      </c>
      <c r="C109" s="32">
        <v>8</v>
      </c>
      <c r="D109" s="32" t="s">
        <v>567</v>
      </c>
      <c r="E109" s="32" t="s">
        <v>437</v>
      </c>
      <c r="F109" s="31">
        <f t="shared" si="6"/>
        <v>13310000</v>
      </c>
      <c r="G109" s="31"/>
      <c r="H109" s="32"/>
      <c r="I109" s="32"/>
      <c r="J109" s="32">
        <f t="shared" si="5"/>
        <v>4</v>
      </c>
      <c r="K109" s="32"/>
      <c r="L109" s="32"/>
      <c r="M109" s="16" t="s">
        <v>556</v>
      </c>
      <c r="N109" s="16" t="s">
        <v>539</v>
      </c>
      <c r="O109" s="16" t="s">
        <v>527</v>
      </c>
      <c r="P109" s="32">
        <v>10000000</v>
      </c>
      <c r="Q109" s="32">
        <v>1</v>
      </c>
      <c r="R109" s="31"/>
      <c r="S109" s="16"/>
      <c r="T109" s="16"/>
      <c r="U109" s="16" t="s">
        <v>556</v>
      </c>
      <c r="V109" s="16" t="s">
        <v>539</v>
      </c>
      <c r="W109" s="16" t="s">
        <v>533</v>
      </c>
      <c r="X109" s="32">
        <v>3000000</v>
      </c>
      <c r="Y109" s="32">
        <v>1</v>
      </c>
      <c r="Z109" s="31"/>
      <c r="AA109" s="32"/>
      <c r="AB109" s="32"/>
      <c r="AC109" s="16" t="s">
        <v>556</v>
      </c>
      <c r="AD109" s="16" t="s">
        <v>539</v>
      </c>
      <c r="AE109" s="16" t="s">
        <v>537</v>
      </c>
      <c r="AF109" s="32">
        <v>300000</v>
      </c>
      <c r="AG109" s="32">
        <v>1</v>
      </c>
      <c r="AH109" s="31"/>
      <c r="AI109" s="31"/>
      <c r="AJ109" s="32"/>
      <c r="AK109" s="16" t="s">
        <v>556</v>
      </c>
      <c r="AL109" s="16" t="s">
        <v>539</v>
      </c>
      <c r="AM109" s="16" t="s">
        <v>542</v>
      </c>
      <c r="AN109" s="32">
        <v>10000</v>
      </c>
      <c r="AO109" s="32">
        <v>1</v>
      </c>
      <c r="AP109" s="31"/>
      <c r="AQ109" s="31"/>
      <c r="AR109" s="32"/>
      <c r="AS109" s="31"/>
      <c r="AT109" s="31"/>
      <c r="AU109" s="31"/>
      <c r="AV109" s="31"/>
      <c r="AW109" s="31"/>
      <c r="AX109" s="31"/>
      <c r="AY109" s="31"/>
      <c r="AZ109" s="32"/>
      <c r="BA109" s="31"/>
      <c r="BB109" s="31"/>
      <c r="BC109" s="31"/>
      <c r="BD109" s="31"/>
      <c r="BE109" s="31"/>
      <c r="BF109" s="31"/>
      <c r="BG109" s="31"/>
      <c r="BH109" s="32"/>
      <c r="BI109" s="31"/>
      <c r="BJ109" s="31"/>
      <c r="BK109" s="31"/>
      <c r="BL109" s="31"/>
      <c r="BM109" s="31"/>
      <c r="BN109" s="31"/>
      <c r="BO109" s="31"/>
      <c r="BP109" s="32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  <c r="HI109" s="31"/>
      <c r="HJ109" s="31"/>
      <c r="HK109" s="31"/>
      <c r="HL109" s="31"/>
      <c r="HM109" s="31"/>
      <c r="HN109" s="31"/>
      <c r="HO109" s="31"/>
      <c r="HP109" s="31"/>
      <c r="HQ109" s="31"/>
      <c r="HR109" s="31"/>
      <c r="HS109" s="31"/>
      <c r="HT109" s="31"/>
      <c r="HU109" s="31"/>
      <c r="HV109" s="31"/>
      <c r="HW109" s="31"/>
      <c r="HX109" s="31"/>
      <c r="HY109" s="31"/>
      <c r="HZ109" s="31"/>
      <c r="IA109" s="31"/>
      <c r="IB109" s="31"/>
      <c r="IC109" s="31"/>
      <c r="ID109" s="31"/>
      <c r="IE109" s="31"/>
      <c r="IF109" s="31"/>
      <c r="IG109" s="31"/>
      <c r="IH109" s="31"/>
      <c r="II109" s="31"/>
      <c r="IJ109" s="31"/>
      <c r="IK109" s="31"/>
      <c r="IL109" s="31"/>
      <c r="IM109" s="31"/>
      <c r="IN109" s="31"/>
      <c r="IO109" s="31"/>
      <c r="IP109" s="31"/>
      <c r="IQ109" s="31"/>
      <c r="IR109" s="31"/>
      <c r="IS109" s="31"/>
      <c r="IT109" s="31"/>
      <c r="IU109" s="31"/>
      <c r="IV109" s="31"/>
      <c r="IW109" s="31"/>
      <c r="IX109" s="31"/>
      <c r="IY109" s="31"/>
      <c r="IZ109" s="31"/>
      <c r="JA109" s="31"/>
      <c r="JB109" s="31"/>
      <c r="JC109" s="31"/>
      <c r="JD109" s="31"/>
      <c r="JE109" s="31"/>
      <c r="JF109" s="31"/>
    </row>
    <row r="110" customFormat="1" ht="17.25" spans="1:266">
      <c r="A110" s="32">
        <f>40000000+INDEX(编号表!$B:$B,MATCH(B110,编号表!$A:$A,0))*10000+C110</f>
        <v>40030009</v>
      </c>
      <c r="B110" s="27" t="s">
        <v>554</v>
      </c>
      <c r="C110" s="32">
        <v>9</v>
      </c>
      <c r="D110" s="32" t="s">
        <v>568</v>
      </c>
      <c r="E110" s="32" t="s">
        <v>437</v>
      </c>
      <c r="F110" s="31">
        <f t="shared" si="6"/>
        <v>13310000</v>
      </c>
      <c r="G110" s="31"/>
      <c r="H110" s="32"/>
      <c r="I110" s="32"/>
      <c r="J110" s="32">
        <f t="shared" si="5"/>
        <v>4</v>
      </c>
      <c r="K110" s="32"/>
      <c r="L110" s="32"/>
      <c r="M110" s="16" t="s">
        <v>556</v>
      </c>
      <c r="N110" s="16" t="s">
        <v>541</v>
      </c>
      <c r="O110" s="16" t="s">
        <v>527</v>
      </c>
      <c r="P110" s="32">
        <v>10000000</v>
      </c>
      <c r="Q110" s="32">
        <v>1</v>
      </c>
      <c r="R110" s="31"/>
      <c r="S110" s="16"/>
      <c r="T110" s="16"/>
      <c r="U110" s="16" t="s">
        <v>556</v>
      </c>
      <c r="V110" s="16" t="s">
        <v>541</v>
      </c>
      <c r="W110" s="16" t="s">
        <v>533</v>
      </c>
      <c r="X110" s="32">
        <v>3000000</v>
      </c>
      <c r="Y110" s="32">
        <v>1</v>
      </c>
      <c r="Z110" s="31"/>
      <c r="AA110" s="32"/>
      <c r="AB110" s="32"/>
      <c r="AC110" s="16" t="s">
        <v>556</v>
      </c>
      <c r="AD110" s="16" t="s">
        <v>541</v>
      </c>
      <c r="AE110" s="16" t="s">
        <v>537</v>
      </c>
      <c r="AF110" s="32">
        <v>300000</v>
      </c>
      <c r="AG110" s="32">
        <v>1</v>
      </c>
      <c r="AH110" s="31"/>
      <c r="AI110" s="31"/>
      <c r="AJ110" s="32"/>
      <c r="AK110" s="16" t="s">
        <v>556</v>
      </c>
      <c r="AL110" s="16" t="s">
        <v>541</v>
      </c>
      <c r="AM110" s="16" t="s">
        <v>542</v>
      </c>
      <c r="AN110" s="32">
        <v>10000</v>
      </c>
      <c r="AO110" s="32">
        <v>1</v>
      </c>
      <c r="AP110" s="31"/>
      <c r="AQ110" s="31"/>
      <c r="AR110" s="32"/>
      <c r="AS110" s="31"/>
      <c r="AT110" s="31"/>
      <c r="AU110" s="31"/>
      <c r="AV110" s="31"/>
      <c r="AW110" s="31"/>
      <c r="AX110" s="31"/>
      <c r="AY110" s="31"/>
      <c r="AZ110" s="32"/>
      <c r="BA110" s="31"/>
      <c r="BB110" s="31"/>
      <c r="BC110" s="31"/>
      <c r="BD110" s="31"/>
      <c r="BE110" s="31"/>
      <c r="BF110" s="31"/>
      <c r="BG110" s="31"/>
      <c r="BH110" s="32"/>
      <c r="BI110" s="31"/>
      <c r="BJ110" s="31"/>
      <c r="BK110" s="31"/>
      <c r="BL110" s="31"/>
      <c r="BM110" s="31"/>
      <c r="BN110" s="31"/>
      <c r="BO110" s="31"/>
      <c r="BP110" s="32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  <c r="IZ110" s="31"/>
      <c r="JA110" s="31"/>
      <c r="JB110" s="31"/>
      <c r="JC110" s="31"/>
      <c r="JD110" s="31"/>
      <c r="JE110" s="31"/>
      <c r="JF110" s="31"/>
    </row>
    <row r="111" customFormat="1" ht="17.25" spans="1:266">
      <c r="A111" s="32">
        <f>40000000+INDEX(编号表!$B:$B,MATCH(B111,编号表!$A:$A,0))*10000+C111</f>
        <v>40030010</v>
      </c>
      <c r="B111" s="27" t="s">
        <v>554</v>
      </c>
      <c r="C111" s="32">
        <v>10</v>
      </c>
      <c r="D111" s="32" t="s">
        <v>569</v>
      </c>
      <c r="E111" s="32" t="s">
        <v>437</v>
      </c>
      <c r="F111" s="31">
        <f t="shared" si="6"/>
        <v>13310000</v>
      </c>
      <c r="G111" s="31"/>
      <c r="H111" s="32"/>
      <c r="I111" s="32"/>
      <c r="J111" s="32">
        <f t="shared" si="5"/>
        <v>4</v>
      </c>
      <c r="K111" s="32"/>
      <c r="L111" s="32"/>
      <c r="M111" s="16" t="s">
        <v>556</v>
      </c>
      <c r="N111" s="16" t="s">
        <v>544</v>
      </c>
      <c r="O111" s="16" t="s">
        <v>527</v>
      </c>
      <c r="P111" s="32">
        <v>10000000</v>
      </c>
      <c r="Q111" s="32">
        <v>1</v>
      </c>
      <c r="R111" s="31"/>
      <c r="S111" s="16"/>
      <c r="T111" s="16"/>
      <c r="U111" s="16" t="s">
        <v>556</v>
      </c>
      <c r="V111" s="16" t="s">
        <v>544</v>
      </c>
      <c r="W111" s="16" t="s">
        <v>533</v>
      </c>
      <c r="X111" s="32">
        <v>3000000</v>
      </c>
      <c r="Y111" s="32">
        <v>1</v>
      </c>
      <c r="Z111" s="31"/>
      <c r="AA111" s="32"/>
      <c r="AB111" s="32"/>
      <c r="AC111" s="16" t="s">
        <v>556</v>
      </c>
      <c r="AD111" s="16" t="s">
        <v>544</v>
      </c>
      <c r="AE111" s="16" t="s">
        <v>537</v>
      </c>
      <c r="AF111" s="32">
        <v>300000</v>
      </c>
      <c r="AG111" s="32">
        <v>1</v>
      </c>
      <c r="AH111" s="31"/>
      <c r="AI111" s="31"/>
      <c r="AJ111" s="32"/>
      <c r="AK111" s="16" t="s">
        <v>556</v>
      </c>
      <c r="AL111" s="16" t="s">
        <v>544</v>
      </c>
      <c r="AM111" s="16" t="s">
        <v>542</v>
      </c>
      <c r="AN111" s="32">
        <v>10000</v>
      </c>
      <c r="AO111" s="32">
        <v>1</v>
      </c>
      <c r="AP111" s="31"/>
      <c r="AQ111" s="31"/>
      <c r="AR111" s="32"/>
      <c r="AS111" s="31"/>
      <c r="AT111" s="31"/>
      <c r="AU111" s="31"/>
      <c r="AV111" s="31"/>
      <c r="AW111" s="31"/>
      <c r="AX111" s="31"/>
      <c r="AY111" s="31"/>
      <c r="AZ111" s="32"/>
      <c r="BA111" s="31"/>
      <c r="BB111" s="31"/>
      <c r="BC111" s="31"/>
      <c r="BD111" s="31"/>
      <c r="BE111" s="31"/>
      <c r="BF111" s="31"/>
      <c r="BG111" s="31"/>
      <c r="BH111" s="32"/>
      <c r="BI111" s="31"/>
      <c r="BJ111" s="31"/>
      <c r="BK111" s="31"/>
      <c r="BL111" s="31"/>
      <c r="BM111" s="31"/>
      <c r="BN111" s="31"/>
      <c r="BO111" s="31"/>
      <c r="BP111" s="32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  <c r="HG111" s="31"/>
      <c r="HH111" s="31"/>
      <c r="HI111" s="31"/>
      <c r="HJ111" s="31"/>
      <c r="HK111" s="31"/>
      <c r="HL111" s="31"/>
      <c r="HM111" s="31"/>
      <c r="HN111" s="31"/>
      <c r="HO111" s="31"/>
      <c r="HP111" s="31"/>
      <c r="HQ111" s="31"/>
      <c r="HR111" s="31"/>
      <c r="HS111" s="31"/>
      <c r="HT111" s="31"/>
      <c r="HU111" s="31"/>
      <c r="HV111" s="31"/>
      <c r="HW111" s="31"/>
      <c r="HX111" s="31"/>
      <c r="HY111" s="31"/>
      <c r="HZ111" s="31"/>
      <c r="IA111" s="31"/>
      <c r="IB111" s="31"/>
      <c r="IC111" s="31"/>
      <c r="ID111" s="31"/>
      <c r="IE111" s="31"/>
      <c r="IF111" s="31"/>
      <c r="IG111" s="31"/>
      <c r="IH111" s="31"/>
      <c r="II111" s="31"/>
      <c r="IJ111" s="31"/>
      <c r="IK111" s="31"/>
      <c r="IL111" s="31"/>
      <c r="IM111" s="31"/>
      <c r="IN111" s="31"/>
      <c r="IO111" s="31"/>
      <c r="IP111" s="31"/>
      <c r="IQ111" s="31"/>
      <c r="IR111" s="31"/>
      <c r="IS111" s="31"/>
      <c r="IT111" s="31"/>
      <c r="IU111" s="31"/>
      <c r="IV111" s="31"/>
      <c r="IW111" s="31"/>
      <c r="IX111" s="31"/>
      <c r="IY111" s="31"/>
      <c r="IZ111" s="31"/>
      <c r="JA111" s="31"/>
      <c r="JB111" s="31"/>
      <c r="JC111" s="31"/>
      <c r="JD111" s="31"/>
      <c r="JE111" s="31"/>
      <c r="JF111" s="31"/>
    </row>
    <row r="112" customFormat="1" ht="17.25" spans="1:266">
      <c r="A112" s="32">
        <f>40000000+INDEX(编号表!$B:$B,MATCH(B112,编号表!$A:$A,0))*10000+C112</f>
        <v>40030011</v>
      </c>
      <c r="B112" s="27" t="s">
        <v>554</v>
      </c>
      <c r="C112" s="32">
        <v>11</v>
      </c>
      <c r="D112" s="32" t="s">
        <v>570</v>
      </c>
      <c r="E112" s="32" t="s">
        <v>437</v>
      </c>
      <c r="F112" s="31">
        <f t="shared" si="6"/>
        <v>13310000</v>
      </c>
      <c r="G112" s="31"/>
      <c r="H112" s="32"/>
      <c r="I112" s="32"/>
      <c r="J112" s="32">
        <f t="shared" si="5"/>
        <v>4</v>
      </c>
      <c r="K112" s="32"/>
      <c r="L112" s="32"/>
      <c r="M112" s="16" t="s">
        <v>556</v>
      </c>
      <c r="N112" s="16" t="s">
        <v>546</v>
      </c>
      <c r="O112" s="16" t="s">
        <v>527</v>
      </c>
      <c r="P112" s="32">
        <v>10000000</v>
      </c>
      <c r="Q112" s="32">
        <v>1</v>
      </c>
      <c r="R112" s="31"/>
      <c r="S112" s="16"/>
      <c r="T112" s="16"/>
      <c r="U112" s="16" t="s">
        <v>556</v>
      </c>
      <c r="V112" s="16" t="s">
        <v>546</v>
      </c>
      <c r="W112" s="16" t="s">
        <v>533</v>
      </c>
      <c r="X112" s="32">
        <v>3000000</v>
      </c>
      <c r="Y112" s="32">
        <v>1</v>
      </c>
      <c r="Z112" s="31"/>
      <c r="AA112" s="32"/>
      <c r="AB112" s="32"/>
      <c r="AC112" s="16" t="s">
        <v>556</v>
      </c>
      <c r="AD112" s="16" t="s">
        <v>546</v>
      </c>
      <c r="AE112" s="16" t="s">
        <v>537</v>
      </c>
      <c r="AF112" s="32">
        <v>300000</v>
      </c>
      <c r="AG112" s="32">
        <v>1</v>
      </c>
      <c r="AH112" s="31"/>
      <c r="AI112" s="31"/>
      <c r="AJ112" s="32"/>
      <c r="AK112" s="16" t="s">
        <v>556</v>
      </c>
      <c r="AL112" s="16" t="s">
        <v>546</v>
      </c>
      <c r="AM112" s="16" t="s">
        <v>542</v>
      </c>
      <c r="AN112" s="32">
        <v>10000</v>
      </c>
      <c r="AO112" s="32">
        <v>1</v>
      </c>
      <c r="AP112" s="31"/>
      <c r="AQ112" s="31"/>
      <c r="AR112" s="32"/>
      <c r="AS112" s="31"/>
      <c r="AT112" s="31"/>
      <c r="AU112" s="31"/>
      <c r="AV112" s="31"/>
      <c r="AW112" s="31"/>
      <c r="AX112" s="31"/>
      <c r="AY112" s="31"/>
      <c r="AZ112" s="32"/>
      <c r="BA112" s="31"/>
      <c r="BB112" s="31"/>
      <c r="BC112" s="31"/>
      <c r="BD112" s="31"/>
      <c r="BE112" s="31"/>
      <c r="BF112" s="31"/>
      <c r="BG112" s="31"/>
      <c r="BH112" s="32"/>
      <c r="BI112" s="31"/>
      <c r="BJ112" s="31"/>
      <c r="BK112" s="31"/>
      <c r="BL112" s="31"/>
      <c r="BM112" s="31"/>
      <c r="BN112" s="31"/>
      <c r="BO112" s="31"/>
      <c r="BP112" s="32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  <c r="HI112" s="31"/>
      <c r="HJ112" s="31"/>
      <c r="HK112" s="31"/>
      <c r="HL112" s="31"/>
      <c r="HM112" s="31"/>
      <c r="HN112" s="31"/>
      <c r="HO112" s="31"/>
      <c r="HP112" s="31"/>
      <c r="HQ112" s="31"/>
      <c r="HR112" s="31"/>
      <c r="HS112" s="31"/>
      <c r="HT112" s="31"/>
      <c r="HU112" s="31"/>
      <c r="HV112" s="31"/>
      <c r="HW112" s="31"/>
      <c r="HX112" s="31"/>
      <c r="HY112" s="31"/>
      <c r="HZ112" s="31"/>
      <c r="IA112" s="31"/>
      <c r="IB112" s="31"/>
      <c r="IC112" s="31"/>
      <c r="ID112" s="31"/>
      <c r="IE112" s="31"/>
      <c r="IF112" s="31"/>
      <c r="IG112" s="31"/>
      <c r="IH112" s="31"/>
      <c r="II112" s="31"/>
      <c r="IJ112" s="31"/>
      <c r="IK112" s="31"/>
      <c r="IL112" s="31"/>
      <c r="IM112" s="31"/>
      <c r="IN112" s="31"/>
      <c r="IO112" s="31"/>
      <c r="IP112" s="31"/>
      <c r="IQ112" s="31"/>
      <c r="IR112" s="31"/>
      <c r="IS112" s="31"/>
      <c r="IT112" s="31"/>
      <c r="IU112" s="31"/>
      <c r="IV112" s="31"/>
      <c r="IW112" s="31"/>
      <c r="IX112" s="31"/>
      <c r="IY112" s="31"/>
      <c r="IZ112" s="31"/>
      <c r="JA112" s="31"/>
      <c r="JB112" s="31"/>
      <c r="JC112" s="31"/>
      <c r="JD112" s="31"/>
      <c r="JE112" s="31"/>
      <c r="JF112" s="31"/>
    </row>
    <row r="113" customFormat="1" ht="17.25" spans="1:266">
      <c r="A113" s="32">
        <f>40000000+INDEX(编号表!$B:$B,MATCH(B113,编号表!$A:$A,0))*10000+C113</f>
        <v>40030012</v>
      </c>
      <c r="B113" s="27" t="s">
        <v>554</v>
      </c>
      <c r="C113" s="32">
        <v>12</v>
      </c>
      <c r="D113" s="32" t="s">
        <v>571</v>
      </c>
      <c r="E113" s="32" t="s">
        <v>437</v>
      </c>
      <c r="F113" s="31">
        <f t="shared" si="6"/>
        <v>13310000</v>
      </c>
      <c r="G113" s="31"/>
      <c r="H113" s="32"/>
      <c r="I113" s="32"/>
      <c r="J113" s="32">
        <f t="shared" si="5"/>
        <v>4</v>
      </c>
      <c r="K113" s="32"/>
      <c r="L113" s="32"/>
      <c r="M113" s="16" t="s">
        <v>556</v>
      </c>
      <c r="N113" s="16" t="s">
        <v>549</v>
      </c>
      <c r="O113" s="16" t="s">
        <v>527</v>
      </c>
      <c r="P113" s="32">
        <v>10000000</v>
      </c>
      <c r="Q113" s="32">
        <v>1</v>
      </c>
      <c r="R113" s="31"/>
      <c r="S113" s="16"/>
      <c r="T113" s="16"/>
      <c r="U113" s="16" t="s">
        <v>556</v>
      </c>
      <c r="V113" s="16" t="s">
        <v>549</v>
      </c>
      <c r="W113" s="16" t="s">
        <v>533</v>
      </c>
      <c r="X113" s="32">
        <v>3000000</v>
      </c>
      <c r="Y113" s="32">
        <v>1</v>
      </c>
      <c r="Z113" s="31"/>
      <c r="AA113" s="32"/>
      <c r="AB113" s="32"/>
      <c r="AC113" s="16" t="s">
        <v>556</v>
      </c>
      <c r="AD113" s="16" t="s">
        <v>549</v>
      </c>
      <c r="AE113" s="16" t="s">
        <v>537</v>
      </c>
      <c r="AF113" s="32">
        <v>300000</v>
      </c>
      <c r="AG113" s="32">
        <v>1</v>
      </c>
      <c r="AH113" s="31"/>
      <c r="AI113" s="31"/>
      <c r="AJ113" s="32"/>
      <c r="AK113" s="16" t="s">
        <v>556</v>
      </c>
      <c r="AL113" s="16" t="s">
        <v>549</v>
      </c>
      <c r="AM113" s="16" t="s">
        <v>542</v>
      </c>
      <c r="AN113" s="32">
        <v>10000</v>
      </c>
      <c r="AO113" s="32">
        <v>1</v>
      </c>
      <c r="AP113" s="31"/>
      <c r="AQ113" s="31"/>
      <c r="AR113" s="32"/>
      <c r="AS113" s="31"/>
      <c r="AT113" s="31"/>
      <c r="AU113" s="31"/>
      <c r="AV113" s="31"/>
      <c r="AW113" s="31"/>
      <c r="AX113" s="31"/>
      <c r="AY113" s="31"/>
      <c r="AZ113" s="32"/>
      <c r="BA113" s="31"/>
      <c r="BB113" s="31"/>
      <c r="BC113" s="31"/>
      <c r="BD113" s="31"/>
      <c r="BE113" s="31"/>
      <c r="BF113" s="31"/>
      <c r="BG113" s="31"/>
      <c r="BH113" s="32"/>
      <c r="BI113" s="31"/>
      <c r="BJ113" s="31"/>
      <c r="BK113" s="31"/>
      <c r="BL113" s="31"/>
      <c r="BM113" s="31"/>
      <c r="BN113" s="31"/>
      <c r="BO113" s="31"/>
      <c r="BP113" s="32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  <c r="HI113" s="31"/>
      <c r="HJ113" s="31"/>
      <c r="HK113" s="31"/>
      <c r="HL113" s="31"/>
      <c r="HM113" s="31"/>
      <c r="HN113" s="31"/>
      <c r="HO113" s="31"/>
      <c r="HP113" s="31"/>
      <c r="HQ113" s="31"/>
      <c r="HR113" s="31"/>
      <c r="HS113" s="31"/>
      <c r="HT113" s="31"/>
      <c r="HU113" s="31"/>
      <c r="HV113" s="31"/>
      <c r="HW113" s="31"/>
      <c r="HX113" s="31"/>
      <c r="HY113" s="31"/>
      <c r="HZ113" s="31"/>
      <c r="IA113" s="31"/>
      <c r="IB113" s="31"/>
      <c r="IC113" s="31"/>
      <c r="ID113" s="31"/>
      <c r="IE113" s="31"/>
      <c r="IF113" s="31"/>
      <c r="IG113" s="31"/>
      <c r="IH113" s="31"/>
      <c r="II113" s="31"/>
      <c r="IJ113" s="31"/>
      <c r="IK113" s="31"/>
      <c r="IL113" s="31"/>
      <c r="IM113" s="31"/>
      <c r="IN113" s="31"/>
      <c r="IO113" s="31"/>
      <c r="IP113" s="31"/>
      <c r="IQ113" s="31"/>
      <c r="IR113" s="31"/>
      <c r="IS113" s="31"/>
      <c r="IT113" s="31"/>
      <c r="IU113" s="31"/>
      <c r="IV113" s="31"/>
      <c r="IW113" s="31"/>
      <c r="IX113" s="31"/>
      <c r="IY113" s="31"/>
      <c r="IZ113" s="31"/>
      <c r="JA113" s="31"/>
      <c r="JB113" s="31"/>
      <c r="JC113" s="31"/>
      <c r="JD113" s="31"/>
      <c r="JE113" s="31"/>
      <c r="JF113" s="31"/>
    </row>
    <row r="114" customFormat="1" ht="17.25" spans="1:266">
      <c r="A114" s="32">
        <f>40000000+INDEX(编号表!$B:$B,MATCH(B114,编号表!$A:$A,0))*10000+C114</f>
        <v>40030013</v>
      </c>
      <c r="B114" s="27" t="s">
        <v>554</v>
      </c>
      <c r="C114" s="32">
        <v>13</v>
      </c>
      <c r="D114" s="32" t="s">
        <v>572</v>
      </c>
      <c r="E114" s="32" t="s">
        <v>437</v>
      </c>
      <c r="F114" s="31">
        <f t="shared" si="6"/>
        <v>13310000</v>
      </c>
      <c r="G114" s="31"/>
      <c r="H114" s="32"/>
      <c r="I114" s="32"/>
      <c r="J114" s="32">
        <f t="shared" si="5"/>
        <v>4</v>
      </c>
      <c r="K114" s="32"/>
      <c r="L114" s="32"/>
      <c r="M114" s="16" t="s">
        <v>556</v>
      </c>
      <c r="N114" s="16" t="s">
        <v>551</v>
      </c>
      <c r="O114" s="16" t="s">
        <v>527</v>
      </c>
      <c r="P114" s="32">
        <v>10000000</v>
      </c>
      <c r="Q114" s="32">
        <v>1</v>
      </c>
      <c r="R114" s="31"/>
      <c r="S114" s="16"/>
      <c r="T114" s="16"/>
      <c r="U114" s="16" t="s">
        <v>556</v>
      </c>
      <c r="V114" s="16" t="s">
        <v>551</v>
      </c>
      <c r="W114" s="16" t="s">
        <v>533</v>
      </c>
      <c r="X114" s="32">
        <v>3000000</v>
      </c>
      <c r="Y114" s="32">
        <v>1</v>
      </c>
      <c r="Z114" s="31"/>
      <c r="AA114" s="32"/>
      <c r="AB114" s="32"/>
      <c r="AC114" s="16" t="s">
        <v>556</v>
      </c>
      <c r="AD114" s="16" t="s">
        <v>551</v>
      </c>
      <c r="AE114" s="16" t="s">
        <v>537</v>
      </c>
      <c r="AF114" s="32">
        <v>300000</v>
      </c>
      <c r="AG114" s="32">
        <v>1</v>
      </c>
      <c r="AH114" s="31"/>
      <c r="AI114" s="31"/>
      <c r="AJ114" s="32"/>
      <c r="AK114" s="16" t="s">
        <v>556</v>
      </c>
      <c r="AL114" s="16" t="s">
        <v>551</v>
      </c>
      <c r="AM114" s="16" t="s">
        <v>542</v>
      </c>
      <c r="AN114" s="32">
        <v>10000</v>
      </c>
      <c r="AO114" s="32">
        <v>1</v>
      </c>
      <c r="AP114" s="31"/>
      <c r="AQ114" s="31"/>
      <c r="AR114" s="32"/>
      <c r="AS114" s="31"/>
      <c r="AT114" s="31"/>
      <c r="AU114" s="31"/>
      <c r="AV114" s="31"/>
      <c r="AW114" s="31"/>
      <c r="AX114" s="31"/>
      <c r="AY114" s="31"/>
      <c r="AZ114" s="32"/>
      <c r="BA114" s="31"/>
      <c r="BB114" s="31"/>
      <c r="BC114" s="31"/>
      <c r="BD114" s="31"/>
      <c r="BE114" s="31"/>
      <c r="BF114" s="31"/>
      <c r="BG114" s="31"/>
      <c r="BH114" s="32"/>
      <c r="BI114" s="31"/>
      <c r="BJ114" s="31"/>
      <c r="BK114" s="31"/>
      <c r="BL114" s="31"/>
      <c r="BM114" s="31"/>
      <c r="BN114" s="31"/>
      <c r="BO114" s="31"/>
      <c r="BP114" s="32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  <c r="HI114" s="31"/>
      <c r="HJ114" s="31"/>
      <c r="HK114" s="31"/>
      <c r="HL114" s="31"/>
      <c r="HM114" s="31"/>
      <c r="HN114" s="31"/>
      <c r="HO114" s="31"/>
      <c r="HP114" s="31"/>
      <c r="HQ114" s="31"/>
      <c r="HR114" s="31"/>
      <c r="HS114" s="31"/>
      <c r="HT114" s="31"/>
      <c r="HU114" s="31"/>
      <c r="HV114" s="31"/>
      <c r="HW114" s="31"/>
      <c r="HX114" s="31"/>
      <c r="HY114" s="31"/>
      <c r="HZ114" s="31"/>
      <c r="IA114" s="31"/>
      <c r="IB114" s="31"/>
      <c r="IC114" s="31"/>
      <c r="ID114" s="31"/>
      <c r="IE114" s="31"/>
      <c r="IF114" s="31"/>
      <c r="IG114" s="31"/>
      <c r="IH114" s="31"/>
      <c r="II114" s="31"/>
      <c r="IJ114" s="31"/>
      <c r="IK114" s="31"/>
      <c r="IL114" s="31"/>
      <c r="IM114" s="31"/>
      <c r="IN114" s="31"/>
      <c r="IO114" s="31"/>
      <c r="IP114" s="31"/>
      <c r="IQ114" s="31"/>
      <c r="IR114" s="31"/>
      <c r="IS114" s="31"/>
      <c r="IT114" s="31"/>
      <c r="IU114" s="31"/>
      <c r="IV114" s="31"/>
      <c r="IW114" s="31"/>
      <c r="IX114" s="31"/>
      <c r="IY114" s="31"/>
      <c r="IZ114" s="31"/>
      <c r="JA114" s="31"/>
      <c r="JB114" s="31"/>
      <c r="JC114" s="31"/>
      <c r="JD114" s="31"/>
      <c r="JE114" s="31"/>
      <c r="JF114" s="31"/>
    </row>
    <row r="115" customFormat="1" ht="17.25" spans="1:266">
      <c r="A115" s="32">
        <f>40000000+INDEX(编号表!$B:$B,MATCH(B115,编号表!$A:$A,0))*10000+C115</f>
        <v>40030014</v>
      </c>
      <c r="B115" s="27" t="s">
        <v>554</v>
      </c>
      <c r="C115" s="32">
        <v>14</v>
      </c>
      <c r="D115" s="32" t="s">
        <v>573</v>
      </c>
      <c r="E115" s="32" t="s">
        <v>437</v>
      </c>
      <c r="F115" s="31">
        <f t="shared" si="6"/>
        <v>13310000</v>
      </c>
      <c r="G115" s="31"/>
      <c r="H115" s="32"/>
      <c r="I115" s="32"/>
      <c r="J115" s="32">
        <f t="shared" si="5"/>
        <v>4</v>
      </c>
      <c r="K115" s="32"/>
      <c r="L115" s="32"/>
      <c r="M115" s="16" t="s">
        <v>556</v>
      </c>
      <c r="N115" s="16" t="s">
        <v>553</v>
      </c>
      <c r="O115" s="16" t="s">
        <v>527</v>
      </c>
      <c r="P115" s="32">
        <v>10000000</v>
      </c>
      <c r="Q115" s="32">
        <v>1</v>
      </c>
      <c r="R115" s="31"/>
      <c r="S115" s="16"/>
      <c r="T115" s="16"/>
      <c r="U115" s="16" t="s">
        <v>556</v>
      </c>
      <c r="V115" s="16" t="s">
        <v>553</v>
      </c>
      <c r="W115" s="16" t="s">
        <v>533</v>
      </c>
      <c r="X115" s="32">
        <v>3000000</v>
      </c>
      <c r="Y115" s="32">
        <v>1</v>
      </c>
      <c r="Z115" s="31"/>
      <c r="AA115" s="32"/>
      <c r="AB115" s="32"/>
      <c r="AC115" s="16" t="s">
        <v>556</v>
      </c>
      <c r="AD115" s="16" t="s">
        <v>553</v>
      </c>
      <c r="AE115" s="16" t="s">
        <v>537</v>
      </c>
      <c r="AF115" s="32">
        <v>300000</v>
      </c>
      <c r="AG115" s="32">
        <v>1</v>
      </c>
      <c r="AH115" s="31"/>
      <c r="AI115" s="31"/>
      <c r="AJ115" s="32"/>
      <c r="AK115" s="16" t="s">
        <v>556</v>
      </c>
      <c r="AL115" s="16" t="s">
        <v>553</v>
      </c>
      <c r="AM115" s="16" t="s">
        <v>542</v>
      </c>
      <c r="AN115" s="32">
        <v>10000</v>
      </c>
      <c r="AO115" s="32">
        <v>1</v>
      </c>
      <c r="AP115" s="31"/>
      <c r="AQ115" s="31"/>
      <c r="AR115" s="32"/>
      <c r="AS115" s="31"/>
      <c r="AT115" s="31"/>
      <c r="AU115" s="31"/>
      <c r="AV115" s="31"/>
      <c r="AW115" s="31"/>
      <c r="AX115" s="31"/>
      <c r="AY115" s="31"/>
      <c r="AZ115" s="32"/>
      <c r="BA115" s="31"/>
      <c r="BB115" s="31"/>
      <c r="BC115" s="31"/>
      <c r="BD115" s="31"/>
      <c r="BE115" s="31"/>
      <c r="BF115" s="31"/>
      <c r="BG115" s="31"/>
      <c r="BH115" s="32"/>
      <c r="BI115" s="31"/>
      <c r="BJ115" s="31"/>
      <c r="BK115" s="31"/>
      <c r="BL115" s="31"/>
      <c r="BM115" s="31"/>
      <c r="BN115" s="31"/>
      <c r="BO115" s="31"/>
      <c r="BP115" s="32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/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  <c r="HE115" s="31"/>
      <c r="HF115" s="31"/>
      <c r="HG115" s="31"/>
      <c r="HH115" s="31"/>
      <c r="HI115" s="31"/>
      <c r="HJ115" s="31"/>
      <c r="HK115" s="31"/>
      <c r="HL115" s="31"/>
      <c r="HM115" s="31"/>
      <c r="HN115" s="31"/>
      <c r="HO115" s="31"/>
      <c r="HP115" s="31"/>
      <c r="HQ115" s="31"/>
      <c r="HR115" s="31"/>
      <c r="HS115" s="31"/>
      <c r="HT115" s="31"/>
      <c r="HU115" s="31"/>
      <c r="HV115" s="31"/>
      <c r="HW115" s="31"/>
      <c r="HX115" s="31"/>
      <c r="HY115" s="31"/>
      <c r="HZ115" s="31"/>
      <c r="IA115" s="31"/>
      <c r="IB115" s="31"/>
      <c r="IC115" s="31"/>
      <c r="ID115" s="31"/>
      <c r="IE115" s="31"/>
      <c r="IF115" s="31"/>
      <c r="IG115" s="31"/>
      <c r="IH115" s="31"/>
      <c r="II115" s="31"/>
      <c r="IJ115" s="31"/>
      <c r="IK115" s="31"/>
      <c r="IL115" s="31"/>
      <c r="IM115" s="31"/>
      <c r="IN115" s="31"/>
      <c r="IO115" s="31"/>
      <c r="IP115" s="31"/>
      <c r="IQ115" s="31"/>
      <c r="IR115" s="31"/>
      <c r="IS115" s="31"/>
      <c r="IT115" s="31"/>
      <c r="IU115" s="31"/>
      <c r="IV115" s="31"/>
      <c r="IW115" s="31"/>
      <c r="IX115" s="31"/>
      <c r="IY115" s="31"/>
      <c r="IZ115" s="31"/>
      <c r="JA115" s="31"/>
      <c r="JB115" s="31"/>
      <c r="JC115" s="31"/>
      <c r="JD115" s="31"/>
      <c r="JE115" s="31"/>
      <c r="JF115" s="31"/>
    </row>
    <row r="116" customFormat="1" ht="17.25" spans="1:266">
      <c r="A116" s="32">
        <f>40000000+INDEX(编号表!$B:$B,MATCH(B116,编号表!$A:$A,0))*10000+C116</f>
        <v>40040001</v>
      </c>
      <c r="B116" s="27" t="s">
        <v>574</v>
      </c>
      <c r="C116" s="32">
        <v>1</v>
      </c>
      <c r="D116" s="32" t="s">
        <v>575</v>
      </c>
      <c r="E116" s="32" t="s">
        <v>437</v>
      </c>
      <c r="F116" s="31">
        <f t="shared" si="6"/>
        <v>4030550</v>
      </c>
      <c r="G116" s="31"/>
      <c r="H116" s="32"/>
      <c r="I116" s="32"/>
      <c r="J116" s="32">
        <f t="shared" si="5"/>
        <v>5</v>
      </c>
      <c r="K116" s="32"/>
      <c r="L116" s="32"/>
      <c r="M116" s="16" t="s">
        <v>576</v>
      </c>
      <c r="N116" s="16" t="s">
        <v>557</v>
      </c>
      <c r="O116" s="16" t="s">
        <v>527</v>
      </c>
      <c r="P116" s="32">
        <v>1000000</v>
      </c>
      <c r="Q116" s="32">
        <v>1</v>
      </c>
      <c r="R116" s="31"/>
      <c r="S116" s="32"/>
      <c r="T116" s="32"/>
      <c r="U116" s="16" t="s">
        <v>576</v>
      </c>
      <c r="V116" s="16" t="s">
        <v>557</v>
      </c>
      <c r="W116" s="16" t="s">
        <v>533</v>
      </c>
      <c r="X116" s="32">
        <v>3000000</v>
      </c>
      <c r="Y116" s="32">
        <v>1</v>
      </c>
      <c r="Z116" s="31"/>
      <c r="AA116" s="32"/>
      <c r="AB116" s="32"/>
      <c r="AC116" s="16" t="s">
        <v>576</v>
      </c>
      <c r="AD116" s="16" t="s">
        <v>557</v>
      </c>
      <c r="AE116" s="16" t="s">
        <v>537</v>
      </c>
      <c r="AF116" s="32">
        <v>30000</v>
      </c>
      <c r="AG116" s="32">
        <v>1</v>
      </c>
      <c r="AH116" s="31"/>
      <c r="AI116" s="31"/>
      <c r="AJ116" s="32"/>
      <c r="AK116" s="16" t="s">
        <v>576</v>
      </c>
      <c r="AL116" s="16" t="s">
        <v>557</v>
      </c>
      <c r="AM116" s="16" t="s">
        <v>542</v>
      </c>
      <c r="AN116" s="32">
        <v>500</v>
      </c>
      <c r="AO116" s="32">
        <v>1</v>
      </c>
      <c r="AP116" s="31"/>
      <c r="AQ116" s="31"/>
      <c r="AR116" s="32"/>
      <c r="AS116" s="16" t="s">
        <v>576</v>
      </c>
      <c r="AT116" s="16" t="s">
        <v>557</v>
      </c>
      <c r="AU116" s="16" t="s">
        <v>547</v>
      </c>
      <c r="AV116" s="32">
        <v>50</v>
      </c>
      <c r="AW116" s="32">
        <v>1</v>
      </c>
      <c r="AX116" s="31"/>
      <c r="AY116" s="31"/>
      <c r="AZ116" s="32"/>
      <c r="BA116" s="31"/>
      <c r="BB116" s="31"/>
      <c r="BC116" s="31"/>
      <c r="BD116" s="31"/>
      <c r="BE116" s="31"/>
      <c r="BF116" s="31"/>
      <c r="BG116" s="31"/>
      <c r="BH116" s="32"/>
      <c r="BI116" s="31"/>
      <c r="BJ116" s="31"/>
      <c r="BK116" s="31"/>
      <c r="BL116" s="31"/>
      <c r="BM116" s="31"/>
      <c r="BN116" s="31"/>
      <c r="BO116" s="31"/>
      <c r="BP116" s="32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  <c r="HE116" s="31"/>
      <c r="HF116" s="31"/>
      <c r="HG116" s="31"/>
      <c r="HH116" s="31"/>
      <c r="HI116" s="31"/>
      <c r="HJ116" s="31"/>
      <c r="HK116" s="31"/>
      <c r="HL116" s="31"/>
      <c r="HM116" s="31"/>
      <c r="HN116" s="31"/>
      <c r="HO116" s="31"/>
      <c r="HP116" s="31"/>
      <c r="HQ116" s="31"/>
      <c r="HR116" s="31"/>
      <c r="HS116" s="31"/>
      <c r="HT116" s="31"/>
      <c r="HU116" s="31"/>
      <c r="HV116" s="31"/>
      <c r="HW116" s="31"/>
      <c r="HX116" s="31"/>
      <c r="HY116" s="31"/>
      <c r="HZ116" s="31"/>
      <c r="IA116" s="31"/>
      <c r="IB116" s="31"/>
      <c r="IC116" s="31"/>
      <c r="ID116" s="31"/>
      <c r="IE116" s="31"/>
      <c r="IF116" s="31"/>
      <c r="IG116" s="31"/>
      <c r="IH116" s="31"/>
      <c r="II116" s="31"/>
      <c r="IJ116" s="31"/>
      <c r="IK116" s="31"/>
      <c r="IL116" s="31"/>
      <c r="IM116" s="31"/>
      <c r="IN116" s="31"/>
      <c r="IO116" s="31"/>
      <c r="IP116" s="31"/>
      <c r="IQ116" s="31"/>
      <c r="IR116" s="31"/>
      <c r="IS116" s="31"/>
      <c r="IT116" s="31"/>
      <c r="IU116" s="31"/>
      <c r="IV116" s="31"/>
      <c r="IW116" s="31"/>
      <c r="IX116" s="31"/>
      <c r="IY116" s="31"/>
      <c r="IZ116" s="31"/>
      <c r="JA116" s="31"/>
      <c r="JB116" s="31"/>
      <c r="JC116" s="31"/>
      <c r="JD116" s="31"/>
      <c r="JE116" s="31"/>
      <c r="JF116" s="31"/>
    </row>
    <row r="117" customFormat="1" ht="17.25" spans="1:266">
      <c r="A117" s="32">
        <f>40000000+INDEX(编号表!$B:$B,MATCH(B117,编号表!$A:$A,0))*10000+C117</f>
        <v>40040002</v>
      </c>
      <c r="B117" s="27" t="s">
        <v>574</v>
      </c>
      <c r="C117" s="32">
        <v>2</v>
      </c>
      <c r="D117" s="32" t="s">
        <v>577</v>
      </c>
      <c r="E117" s="32" t="s">
        <v>437</v>
      </c>
      <c r="F117" s="31">
        <f t="shared" si="6"/>
        <v>4030550</v>
      </c>
      <c r="G117" s="31"/>
      <c r="H117" s="32"/>
      <c r="I117" s="32"/>
      <c r="J117" s="32">
        <f t="shared" si="5"/>
        <v>5</v>
      </c>
      <c r="K117" s="32"/>
      <c r="L117" s="32"/>
      <c r="M117" s="16" t="s">
        <v>576</v>
      </c>
      <c r="N117" s="16" t="s">
        <v>559</v>
      </c>
      <c r="O117" s="16" t="s">
        <v>527</v>
      </c>
      <c r="P117" s="32">
        <v>1000000</v>
      </c>
      <c r="Q117" s="32">
        <v>1</v>
      </c>
      <c r="R117" s="31"/>
      <c r="S117" s="32"/>
      <c r="T117" s="32"/>
      <c r="U117" s="16" t="s">
        <v>576</v>
      </c>
      <c r="V117" s="16" t="s">
        <v>560</v>
      </c>
      <c r="W117" s="16" t="s">
        <v>533</v>
      </c>
      <c r="X117" s="32">
        <v>3000000</v>
      </c>
      <c r="Y117" s="32">
        <v>1</v>
      </c>
      <c r="Z117" s="31"/>
      <c r="AA117" s="32"/>
      <c r="AB117" s="32"/>
      <c r="AC117" s="16" t="s">
        <v>576</v>
      </c>
      <c r="AD117" s="16" t="s">
        <v>560</v>
      </c>
      <c r="AE117" s="16" t="s">
        <v>537</v>
      </c>
      <c r="AF117" s="32">
        <v>30000</v>
      </c>
      <c r="AG117" s="32">
        <v>1</v>
      </c>
      <c r="AH117" s="31"/>
      <c r="AI117" s="31"/>
      <c r="AJ117" s="32"/>
      <c r="AK117" s="16" t="s">
        <v>576</v>
      </c>
      <c r="AL117" s="16" t="s">
        <v>560</v>
      </c>
      <c r="AM117" s="16" t="s">
        <v>542</v>
      </c>
      <c r="AN117" s="32">
        <v>500</v>
      </c>
      <c r="AO117" s="32">
        <v>1</v>
      </c>
      <c r="AP117" s="31"/>
      <c r="AQ117" s="31"/>
      <c r="AR117" s="32"/>
      <c r="AS117" s="16" t="s">
        <v>576</v>
      </c>
      <c r="AT117" s="16" t="s">
        <v>560</v>
      </c>
      <c r="AU117" s="16" t="s">
        <v>547</v>
      </c>
      <c r="AV117" s="32">
        <v>50</v>
      </c>
      <c r="AW117" s="32">
        <v>1</v>
      </c>
      <c r="AX117" s="31"/>
      <c r="AY117" s="31"/>
      <c r="AZ117" s="32"/>
      <c r="BA117" s="31"/>
      <c r="BB117" s="31"/>
      <c r="BC117" s="31"/>
      <c r="BD117" s="31"/>
      <c r="BE117" s="31"/>
      <c r="BF117" s="31"/>
      <c r="BG117" s="31"/>
      <c r="BH117" s="32"/>
      <c r="BI117" s="31"/>
      <c r="BJ117" s="31"/>
      <c r="BK117" s="31"/>
      <c r="BL117" s="31"/>
      <c r="BM117" s="31"/>
      <c r="BN117" s="31"/>
      <c r="BO117" s="31"/>
      <c r="BP117" s="32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  <c r="HG117" s="31"/>
      <c r="HH117" s="31"/>
      <c r="HI117" s="31"/>
      <c r="HJ117" s="31"/>
      <c r="HK117" s="31"/>
      <c r="HL117" s="31"/>
      <c r="HM117" s="31"/>
      <c r="HN117" s="31"/>
      <c r="HO117" s="31"/>
      <c r="HP117" s="31"/>
      <c r="HQ117" s="31"/>
      <c r="HR117" s="31"/>
      <c r="HS117" s="31"/>
      <c r="HT117" s="31"/>
      <c r="HU117" s="31"/>
      <c r="HV117" s="31"/>
      <c r="HW117" s="31"/>
      <c r="HX117" s="31"/>
      <c r="HY117" s="31"/>
      <c r="HZ117" s="31"/>
      <c r="IA117" s="31"/>
      <c r="IB117" s="31"/>
      <c r="IC117" s="31"/>
      <c r="ID117" s="31"/>
      <c r="IE117" s="31"/>
      <c r="IF117" s="31"/>
      <c r="IG117" s="31"/>
      <c r="IH117" s="31"/>
      <c r="II117" s="31"/>
      <c r="IJ117" s="31"/>
      <c r="IK117" s="31"/>
      <c r="IL117" s="31"/>
      <c r="IM117" s="31"/>
      <c r="IN117" s="31"/>
      <c r="IO117" s="31"/>
      <c r="IP117" s="31"/>
      <c r="IQ117" s="31"/>
      <c r="IR117" s="31"/>
      <c r="IS117" s="31"/>
      <c r="IT117" s="31"/>
      <c r="IU117" s="31"/>
      <c r="IV117" s="31"/>
      <c r="IW117" s="31"/>
      <c r="IX117" s="31"/>
      <c r="IY117" s="31"/>
      <c r="IZ117" s="31"/>
      <c r="JA117" s="31"/>
      <c r="JB117" s="31"/>
      <c r="JC117" s="31"/>
      <c r="JD117" s="31"/>
      <c r="JE117" s="31"/>
      <c r="JF117" s="31"/>
    </row>
    <row r="118" customFormat="1" ht="17.25" spans="1:266">
      <c r="A118" s="32">
        <f>40000000+INDEX(编号表!$B:$B,MATCH(B118,编号表!$A:$A,0))*10000+C118</f>
        <v>40040003</v>
      </c>
      <c r="B118" s="27" t="s">
        <v>574</v>
      </c>
      <c r="C118" s="32">
        <v>3</v>
      </c>
      <c r="D118" s="32" t="s">
        <v>578</v>
      </c>
      <c r="E118" s="32" t="s">
        <v>437</v>
      </c>
      <c r="F118" s="31">
        <f t="shared" si="6"/>
        <v>4030550</v>
      </c>
      <c r="G118" s="31"/>
      <c r="H118" s="32"/>
      <c r="I118" s="32"/>
      <c r="J118" s="32">
        <f>COUNT(P118,X118,AF118,AN118,AV118,BD118,BL118,BT118,CB118,CJ118,CR118,CZ118,DH118,DP118,DX118,EF118,EN118,EV118,FD118,FL118,FT118,GB118,GJ118,GR118,GZ118,HH118,HP118,HX118,IF118,IN118,IV118,JD118)</f>
        <v>5</v>
      </c>
      <c r="K118" s="32"/>
      <c r="L118" s="32"/>
      <c r="M118" s="16" t="s">
        <v>576</v>
      </c>
      <c r="N118" s="16" t="s">
        <v>560</v>
      </c>
      <c r="O118" s="16" t="s">
        <v>527</v>
      </c>
      <c r="P118" s="32">
        <v>1000000</v>
      </c>
      <c r="Q118" s="32">
        <v>1</v>
      </c>
      <c r="R118" s="31"/>
      <c r="S118" s="32"/>
      <c r="T118" s="32"/>
      <c r="U118" s="16" t="s">
        <v>576</v>
      </c>
      <c r="V118" s="16" t="s">
        <v>559</v>
      </c>
      <c r="W118" s="16" t="s">
        <v>533</v>
      </c>
      <c r="X118" s="32">
        <v>3000000</v>
      </c>
      <c r="Y118" s="32">
        <v>1</v>
      </c>
      <c r="Z118" s="31"/>
      <c r="AA118" s="32"/>
      <c r="AB118" s="32"/>
      <c r="AC118" s="16" t="s">
        <v>576</v>
      </c>
      <c r="AD118" s="16" t="s">
        <v>559</v>
      </c>
      <c r="AE118" s="16" t="s">
        <v>537</v>
      </c>
      <c r="AF118" s="32">
        <v>30000</v>
      </c>
      <c r="AG118" s="32">
        <v>1</v>
      </c>
      <c r="AH118" s="31"/>
      <c r="AI118" s="31"/>
      <c r="AJ118" s="32"/>
      <c r="AK118" s="16" t="s">
        <v>576</v>
      </c>
      <c r="AL118" s="16" t="s">
        <v>559</v>
      </c>
      <c r="AM118" s="16" t="s">
        <v>542</v>
      </c>
      <c r="AN118" s="32">
        <v>500</v>
      </c>
      <c r="AO118" s="32">
        <v>1</v>
      </c>
      <c r="AP118" s="31"/>
      <c r="AQ118" s="31"/>
      <c r="AR118" s="32"/>
      <c r="AS118" s="16" t="s">
        <v>576</v>
      </c>
      <c r="AT118" s="16" t="s">
        <v>559</v>
      </c>
      <c r="AU118" s="16" t="s">
        <v>547</v>
      </c>
      <c r="AV118" s="32">
        <v>50</v>
      </c>
      <c r="AW118" s="32">
        <v>1</v>
      </c>
      <c r="AX118" s="31"/>
      <c r="AY118" s="31"/>
      <c r="AZ118" s="32"/>
      <c r="BA118" s="31"/>
      <c r="BB118" s="31"/>
      <c r="BC118" s="31"/>
      <c r="BD118" s="31"/>
      <c r="BE118" s="31"/>
      <c r="BF118" s="31"/>
      <c r="BG118" s="31"/>
      <c r="BH118" s="32"/>
      <c r="BI118" s="31"/>
      <c r="BJ118" s="31"/>
      <c r="BK118" s="31"/>
      <c r="BL118" s="31"/>
      <c r="BM118" s="31"/>
      <c r="BN118" s="31"/>
      <c r="BO118" s="31"/>
      <c r="BP118" s="32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  <c r="HI118" s="31"/>
      <c r="HJ118" s="31"/>
      <c r="HK118" s="31"/>
      <c r="HL118" s="31"/>
      <c r="HM118" s="31"/>
      <c r="HN118" s="31"/>
      <c r="HO118" s="31"/>
      <c r="HP118" s="31"/>
      <c r="HQ118" s="31"/>
      <c r="HR118" s="31"/>
      <c r="HS118" s="31"/>
      <c r="HT118" s="31"/>
      <c r="HU118" s="31"/>
      <c r="HV118" s="31"/>
      <c r="HW118" s="31"/>
      <c r="HX118" s="31"/>
      <c r="HY118" s="31"/>
      <c r="HZ118" s="31"/>
      <c r="IA118" s="31"/>
      <c r="IB118" s="31"/>
      <c r="IC118" s="31"/>
      <c r="ID118" s="31"/>
      <c r="IE118" s="31"/>
      <c r="IF118" s="31"/>
      <c r="IG118" s="31"/>
      <c r="IH118" s="31"/>
      <c r="II118" s="31"/>
      <c r="IJ118" s="31"/>
      <c r="IK118" s="31"/>
      <c r="IL118" s="31"/>
      <c r="IM118" s="31"/>
      <c r="IN118" s="31"/>
      <c r="IO118" s="31"/>
      <c r="IP118" s="31"/>
      <c r="IQ118" s="31"/>
      <c r="IR118" s="31"/>
      <c r="IS118" s="31"/>
      <c r="IT118" s="31"/>
      <c r="IU118" s="31"/>
      <c r="IV118" s="31"/>
      <c r="IW118" s="31"/>
      <c r="IX118" s="31"/>
      <c r="IY118" s="31"/>
      <c r="IZ118" s="31"/>
      <c r="JA118" s="31"/>
      <c r="JB118" s="31"/>
      <c r="JC118" s="31"/>
      <c r="JD118" s="31"/>
      <c r="JE118" s="31"/>
      <c r="JF118" s="31"/>
    </row>
    <row r="119" customFormat="1" ht="17.25" spans="1:266">
      <c r="A119" s="32">
        <f>40000000+INDEX(编号表!$B:$B,MATCH(B119,编号表!$A:$A,0))*10000+C119</f>
        <v>40040004</v>
      </c>
      <c r="B119" s="27" t="s">
        <v>574</v>
      </c>
      <c r="C119" s="32">
        <v>4</v>
      </c>
      <c r="D119" s="32" t="s">
        <v>579</v>
      </c>
      <c r="E119" s="32" t="s">
        <v>437</v>
      </c>
      <c r="F119" s="31">
        <f t="shared" si="6"/>
        <v>4030550</v>
      </c>
      <c r="G119" s="31"/>
      <c r="H119" s="32"/>
      <c r="I119" s="32"/>
      <c r="J119" s="32">
        <f>COUNT(P119,X119,AF119,AN119,AV119,BD119,BL119,BT119,CB119,CJ119,CR119,CZ119,DH119,DP119,DX119,EF119,EN119,EV119,FD119,FL119,FT119,GB119,GJ119,GR119,GZ119,HH119,HP119,HX119,IF119,IN119,IV119,JD119)</f>
        <v>5</v>
      </c>
      <c r="K119" s="32"/>
      <c r="L119" s="32"/>
      <c r="M119" s="16" t="s">
        <v>576</v>
      </c>
      <c r="N119" s="16" t="s">
        <v>526</v>
      </c>
      <c r="O119" s="16" t="s">
        <v>527</v>
      </c>
      <c r="P119" s="32">
        <v>1000000</v>
      </c>
      <c r="Q119" s="32">
        <v>1</v>
      </c>
      <c r="R119" s="31"/>
      <c r="S119" s="32"/>
      <c r="T119" s="32"/>
      <c r="U119" s="16" t="s">
        <v>576</v>
      </c>
      <c r="V119" s="16" t="s">
        <v>526</v>
      </c>
      <c r="W119" s="16" t="s">
        <v>533</v>
      </c>
      <c r="X119" s="32">
        <v>3000000</v>
      </c>
      <c r="Y119" s="32">
        <v>1</v>
      </c>
      <c r="Z119" s="31"/>
      <c r="AA119" s="32"/>
      <c r="AB119" s="32"/>
      <c r="AC119" s="16" t="s">
        <v>576</v>
      </c>
      <c r="AD119" s="16" t="s">
        <v>526</v>
      </c>
      <c r="AE119" s="16" t="s">
        <v>537</v>
      </c>
      <c r="AF119" s="32">
        <v>30000</v>
      </c>
      <c r="AG119" s="32">
        <v>1</v>
      </c>
      <c r="AH119" s="31"/>
      <c r="AI119" s="31"/>
      <c r="AJ119" s="32"/>
      <c r="AK119" s="16" t="s">
        <v>576</v>
      </c>
      <c r="AL119" s="16" t="s">
        <v>526</v>
      </c>
      <c r="AM119" s="16" t="s">
        <v>542</v>
      </c>
      <c r="AN119" s="32">
        <v>500</v>
      </c>
      <c r="AO119" s="32">
        <v>1</v>
      </c>
      <c r="AP119" s="31"/>
      <c r="AQ119" s="31"/>
      <c r="AR119" s="32"/>
      <c r="AS119" s="16" t="s">
        <v>576</v>
      </c>
      <c r="AT119" s="16" t="s">
        <v>526</v>
      </c>
      <c r="AU119" s="16" t="s">
        <v>547</v>
      </c>
      <c r="AV119" s="32">
        <v>50</v>
      </c>
      <c r="AW119" s="32">
        <v>1</v>
      </c>
      <c r="AX119" s="31"/>
      <c r="AY119" s="31"/>
      <c r="AZ119" s="32"/>
      <c r="BA119" s="31"/>
      <c r="BB119" s="31"/>
      <c r="BC119" s="31"/>
      <c r="BD119" s="31"/>
      <c r="BE119" s="31"/>
      <c r="BF119" s="31"/>
      <c r="BG119" s="31"/>
      <c r="BH119" s="32"/>
      <c r="BI119" s="31"/>
      <c r="BJ119" s="31"/>
      <c r="BK119" s="31"/>
      <c r="BL119" s="31"/>
      <c r="BM119" s="31"/>
      <c r="BN119" s="31"/>
      <c r="BO119" s="31"/>
      <c r="BP119" s="32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/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  <c r="HE119" s="31"/>
      <c r="HF119" s="31"/>
      <c r="HG119" s="31"/>
      <c r="HH119" s="31"/>
      <c r="HI119" s="31"/>
      <c r="HJ119" s="31"/>
      <c r="HK119" s="31"/>
      <c r="HL119" s="31"/>
      <c r="HM119" s="31"/>
      <c r="HN119" s="31"/>
      <c r="HO119" s="31"/>
      <c r="HP119" s="31"/>
      <c r="HQ119" s="31"/>
      <c r="HR119" s="31"/>
      <c r="HS119" s="31"/>
      <c r="HT119" s="31"/>
      <c r="HU119" s="31"/>
      <c r="HV119" s="31"/>
      <c r="HW119" s="31"/>
      <c r="HX119" s="31"/>
      <c r="HY119" s="31"/>
      <c r="HZ119" s="31"/>
      <c r="IA119" s="31"/>
      <c r="IB119" s="31"/>
      <c r="IC119" s="31"/>
      <c r="ID119" s="31"/>
      <c r="IE119" s="31"/>
      <c r="IF119" s="31"/>
      <c r="IG119" s="31"/>
      <c r="IH119" s="31"/>
      <c r="II119" s="31"/>
      <c r="IJ119" s="31"/>
      <c r="IK119" s="31"/>
      <c r="IL119" s="31"/>
      <c r="IM119" s="31"/>
      <c r="IN119" s="31"/>
      <c r="IO119" s="31"/>
      <c r="IP119" s="31"/>
      <c r="IQ119" s="31"/>
      <c r="IR119" s="31"/>
      <c r="IS119" s="31"/>
      <c r="IT119" s="31"/>
      <c r="IU119" s="31"/>
      <c r="IV119" s="31"/>
      <c r="IW119" s="31"/>
      <c r="IX119" s="31"/>
      <c r="IY119" s="31"/>
      <c r="IZ119" s="31"/>
      <c r="JA119" s="31"/>
      <c r="JB119" s="31"/>
      <c r="JC119" s="31"/>
      <c r="JD119" s="31"/>
      <c r="JE119" s="31"/>
      <c r="JF119" s="31"/>
    </row>
    <row r="120" customFormat="1" ht="17.25" spans="1:266">
      <c r="A120" s="32">
        <f>40000000+INDEX(编号表!$B:$B,MATCH(B120,编号表!$A:$A,0))*10000+C120</f>
        <v>40040005</v>
      </c>
      <c r="B120" s="27" t="s">
        <v>574</v>
      </c>
      <c r="C120" s="32">
        <v>5</v>
      </c>
      <c r="D120" s="32" t="s">
        <v>580</v>
      </c>
      <c r="E120" s="32" t="s">
        <v>437</v>
      </c>
      <c r="F120" s="31">
        <f t="shared" si="6"/>
        <v>4030550</v>
      </c>
      <c r="G120" s="31"/>
      <c r="H120" s="32"/>
      <c r="I120" s="32"/>
      <c r="J120" s="32">
        <f>COUNT(P120,X120,AF120,AN120,AV120,BD120,BL120,BT120,CB120,CJ120,CR120,CZ120,DH120,DP120,DX120,EF120,EN120,EV120,FD120,FL120,FT120,GB120,GJ120,GR120,GZ120,HH120,HP120,HX120,IF120,IN120,IV120,JD120)</f>
        <v>5</v>
      </c>
      <c r="K120" s="32"/>
      <c r="L120" s="32"/>
      <c r="M120" s="16" t="s">
        <v>576</v>
      </c>
      <c r="N120" s="16" t="s">
        <v>532</v>
      </c>
      <c r="O120" s="16" t="s">
        <v>527</v>
      </c>
      <c r="P120" s="32">
        <v>1000000</v>
      </c>
      <c r="Q120" s="32">
        <v>1</v>
      </c>
      <c r="R120" s="31"/>
      <c r="S120" s="32"/>
      <c r="T120" s="32"/>
      <c r="U120" s="16" t="s">
        <v>576</v>
      </c>
      <c r="V120" s="16" t="s">
        <v>532</v>
      </c>
      <c r="W120" s="16" t="s">
        <v>533</v>
      </c>
      <c r="X120" s="32">
        <v>3000000</v>
      </c>
      <c r="Y120" s="32">
        <v>1</v>
      </c>
      <c r="Z120" s="31"/>
      <c r="AA120" s="32"/>
      <c r="AB120" s="32"/>
      <c r="AC120" s="16" t="s">
        <v>576</v>
      </c>
      <c r="AD120" s="16" t="s">
        <v>532</v>
      </c>
      <c r="AE120" s="16" t="s">
        <v>537</v>
      </c>
      <c r="AF120" s="32">
        <v>30000</v>
      </c>
      <c r="AG120" s="32">
        <v>1</v>
      </c>
      <c r="AH120" s="31"/>
      <c r="AI120" s="31"/>
      <c r="AJ120" s="32"/>
      <c r="AK120" s="16" t="s">
        <v>576</v>
      </c>
      <c r="AL120" s="16" t="s">
        <v>532</v>
      </c>
      <c r="AM120" s="16" t="s">
        <v>542</v>
      </c>
      <c r="AN120" s="32">
        <v>500</v>
      </c>
      <c r="AO120" s="32">
        <v>1</v>
      </c>
      <c r="AP120" s="31"/>
      <c r="AQ120" s="31"/>
      <c r="AR120" s="32"/>
      <c r="AS120" s="16" t="s">
        <v>576</v>
      </c>
      <c r="AT120" s="16" t="s">
        <v>532</v>
      </c>
      <c r="AU120" s="16" t="s">
        <v>547</v>
      </c>
      <c r="AV120" s="32">
        <v>50</v>
      </c>
      <c r="AW120" s="32">
        <v>1</v>
      </c>
      <c r="AX120" s="31"/>
      <c r="AY120" s="31"/>
      <c r="AZ120" s="32"/>
      <c r="BA120" s="31"/>
      <c r="BB120" s="31"/>
      <c r="BC120" s="31"/>
      <c r="BD120" s="31"/>
      <c r="BE120" s="31"/>
      <c r="BF120" s="31"/>
      <c r="BG120" s="31"/>
      <c r="BH120" s="32"/>
      <c r="BI120" s="31"/>
      <c r="BJ120" s="31"/>
      <c r="BK120" s="31"/>
      <c r="BL120" s="31"/>
      <c r="BM120" s="31"/>
      <c r="BN120" s="31"/>
      <c r="BO120" s="31"/>
      <c r="BP120" s="32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  <c r="HG120" s="31"/>
      <c r="HH120" s="31"/>
      <c r="HI120" s="31"/>
      <c r="HJ120" s="31"/>
      <c r="HK120" s="31"/>
      <c r="HL120" s="31"/>
      <c r="HM120" s="31"/>
      <c r="HN120" s="31"/>
      <c r="HO120" s="31"/>
      <c r="HP120" s="31"/>
      <c r="HQ120" s="31"/>
      <c r="HR120" s="31"/>
      <c r="HS120" s="31"/>
      <c r="HT120" s="31"/>
      <c r="HU120" s="31"/>
      <c r="HV120" s="31"/>
      <c r="HW120" s="31"/>
      <c r="HX120" s="31"/>
      <c r="HY120" s="31"/>
      <c r="HZ120" s="31"/>
      <c r="IA120" s="31"/>
      <c r="IB120" s="31"/>
      <c r="IC120" s="31"/>
      <c r="ID120" s="31"/>
      <c r="IE120" s="31"/>
      <c r="IF120" s="31"/>
      <c r="IG120" s="31"/>
      <c r="IH120" s="31"/>
      <c r="II120" s="31"/>
      <c r="IJ120" s="31"/>
      <c r="IK120" s="31"/>
      <c r="IL120" s="31"/>
      <c r="IM120" s="31"/>
      <c r="IN120" s="31"/>
      <c r="IO120" s="31"/>
      <c r="IP120" s="31"/>
      <c r="IQ120" s="31"/>
      <c r="IR120" s="31"/>
      <c r="IS120" s="31"/>
      <c r="IT120" s="31"/>
      <c r="IU120" s="31"/>
      <c r="IV120" s="31"/>
      <c r="IW120" s="31"/>
      <c r="IX120" s="31"/>
      <c r="IY120" s="31"/>
      <c r="IZ120" s="31"/>
      <c r="JA120" s="31"/>
      <c r="JB120" s="31"/>
      <c r="JC120" s="31"/>
      <c r="JD120" s="31"/>
      <c r="JE120" s="31"/>
      <c r="JF120" s="31"/>
    </row>
    <row r="121" customFormat="1" ht="17.25" spans="1:266">
      <c r="A121" s="32">
        <f>40000000+INDEX(编号表!$B:$B,MATCH(B121,编号表!$A:$A,0))*10000+C121</f>
        <v>40040006</v>
      </c>
      <c r="B121" s="27" t="s">
        <v>574</v>
      </c>
      <c r="C121" s="32">
        <v>6</v>
      </c>
      <c r="D121" s="32" t="s">
        <v>581</v>
      </c>
      <c r="E121" s="32" t="s">
        <v>437</v>
      </c>
      <c r="F121" s="31"/>
      <c r="G121" s="31"/>
      <c r="H121" s="32"/>
      <c r="I121" s="32"/>
      <c r="J121" s="32">
        <f t="shared" ref="J121:J128" si="7">COUNT(P121,X121,AF121,AN121,AV121,BD121,BL121,BT121,CB121,CJ121,CR121,CZ121,DH121,DP121,DX121,EF121,EN121,EV121,FD121,FL121,FT121,GB121,GJ121,GR121,GZ121,HH121,HP121,HX121,IF121,IN121,IV121,JD121)</f>
        <v>5</v>
      </c>
      <c r="K121" s="32"/>
      <c r="L121" s="32"/>
      <c r="M121" s="16" t="s">
        <v>576</v>
      </c>
      <c r="N121" s="16" t="s">
        <v>565</v>
      </c>
      <c r="O121" s="16" t="s">
        <v>527</v>
      </c>
      <c r="P121" s="32">
        <v>1000000</v>
      </c>
      <c r="Q121" s="32">
        <v>1</v>
      </c>
      <c r="R121" s="31"/>
      <c r="S121" s="32"/>
      <c r="T121" s="32"/>
      <c r="U121" s="16" t="s">
        <v>576</v>
      </c>
      <c r="V121" s="16" t="s">
        <v>565</v>
      </c>
      <c r="W121" s="16" t="s">
        <v>533</v>
      </c>
      <c r="X121" s="32">
        <v>3000000</v>
      </c>
      <c r="Y121" s="32">
        <v>1</v>
      </c>
      <c r="Z121" s="31"/>
      <c r="AA121" s="32"/>
      <c r="AB121" s="32"/>
      <c r="AC121" s="16" t="s">
        <v>576</v>
      </c>
      <c r="AD121" s="16" t="s">
        <v>565</v>
      </c>
      <c r="AE121" s="16" t="s">
        <v>537</v>
      </c>
      <c r="AF121" s="32">
        <v>30000</v>
      </c>
      <c r="AG121" s="32">
        <v>1</v>
      </c>
      <c r="AH121" s="31"/>
      <c r="AI121" s="31"/>
      <c r="AJ121" s="32"/>
      <c r="AK121" s="16" t="s">
        <v>576</v>
      </c>
      <c r="AL121" s="16" t="s">
        <v>565</v>
      </c>
      <c r="AM121" s="16" t="s">
        <v>542</v>
      </c>
      <c r="AN121" s="32">
        <v>500</v>
      </c>
      <c r="AO121" s="32">
        <v>1</v>
      </c>
      <c r="AP121" s="31"/>
      <c r="AQ121" s="31"/>
      <c r="AR121" s="32"/>
      <c r="AS121" s="16" t="s">
        <v>576</v>
      </c>
      <c r="AT121" s="16" t="s">
        <v>565</v>
      </c>
      <c r="AU121" s="16" t="s">
        <v>547</v>
      </c>
      <c r="AV121" s="32">
        <v>50</v>
      </c>
      <c r="AW121" s="32">
        <v>1</v>
      </c>
      <c r="AX121" s="31"/>
      <c r="AY121" s="31"/>
      <c r="AZ121" s="32"/>
      <c r="BA121" s="31"/>
      <c r="BB121" s="31"/>
      <c r="BC121" s="31"/>
      <c r="BD121" s="31"/>
      <c r="BE121" s="31"/>
      <c r="BF121" s="31"/>
      <c r="BG121" s="31"/>
      <c r="BH121" s="32"/>
      <c r="BI121" s="31"/>
      <c r="BJ121" s="31"/>
      <c r="BK121" s="31"/>
      <c r="BL121" s="31"/>
      <c r="BM121" s="31"/>
      <c r="BN121" s="31"/>
      <c r="BO121" s="31"/>
      <c r="BP121" s="32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  <c r="HE121" s="31"/>
      <c r="HF121" s="31"/>
      <c r="HG121" s="31"/>
      <c r="HH121" s="31"/>
      <c r="HI121" s="31"/>
      <c r="HJ121" s="31"/>
      <c r="HK121" s="31"/>
      <c r="HL121" s="31"/>
      <c r="HM121" s="31"/>
      <c r="HN121" s="31"/>
      <c r="HO121" s="31"/>
      <c r="HP121" s="31"/>
      <c r="HQ121" s="31"/>
      <c r="HR121" s="31"/>
      <c r="HS121" s="31"/>
      <c r="HT121" s="31"/>
      <c r="HU121" s="31"/>
      <c r="HV121" s="31"/>
      <c r="HW121" s="31"/>
      <c r="HX121" s="31"/>
      <c r="HY121" s="31"/>
      <c r="HZ121" s="31"/>
      <c r="IA121" s="31"/>
      <c r="IB121" s="31"/>
      <c r="IC121" s="31"/>
      <c r="ID121" s="31"/>
      <c r="IE121" s="31"/>
      <c r="IF121" s="31"/>
      <c r="IG121" s="31"/>
      <c r="IH121" s="31"/>
      <c r="II121" s="31"/>
      <c r="IJ121" s="31"/>
      <c r="IK121" s="31"/>
      <c r="IL121" s="31"/>
      <c r="IM121" s="31"/>
      <c r="IN121" s="31"/>
      <c r="IO121" s="31"/>
      <c r="IP121" s="31"/>
      <c r="IQ121" s="31"/>
      <c r="IR121" s="31"/>
      <c r="IS121" s="31"/>
      <c r="IT121" s="31"/>
      <c r="IU121" s="31"/>
      <c r="IV121" s="31"/>
      <c r="IW121" s="31"/>
      <c r="IX121" s="31"/>
      <c r="IY121" s="31"/>
      <c r="IZ121" s="31"/>
      <c r="JA121" s="31"/>
      <c r="JB121" s="31"/>
      <c r="JC121" s="31"/>
      <c r="JD121" s="31"/>
      <c r="JE121" s="31"/>
      <c r="JF121" s="31"/>
    </row>
    <row r="122" customFormat="1" ht="17.25" spans="1:266">
      <c r="A122" s="32">
        <f>40000000+INDEX(编号表!$B:$B,MATCH(B122,编号表!$A:$A,0))*10000+C122</f>
        <v>40040007</v>
      </c>
      <c r="B122" s="27" t="s">
        <v>574</v>
      </c>
      <c r="C122" s="32">
        <v>7</v>
      </c>
      <c r="D122" s="32" t="s">
        <v>582</v>
      </c>
      <c r="E122" s="32" t="s">
        <v>437</v>
      </c>
      <c r="F122" s="31"/>
      <c r="G122" s="31"/>
      <c r="H122" s="32"/>
      <c r="I122" s="32"/>
      <c r="J122" s="32">
        <f t="shared" si="7"/>
        <v>5</v>
      </c>
      <c r="K122" s="32"/>
      <c r="L122" s="32"/>
      <c r="M122" s="16" t="s">
        <v>576</v>
      </c>
      <c r="N122" s="16" t="s">
        <v>536</v>
      </c>
      <c r="O122" s="16" t="s">
        <v>527</v>
      </c>
      <c r="P122" s="32">
        <v>1000000</v>
      </c>
      <c r="Q122" s="32">
        <v>1</v>
      </c>
      <c r="R122" s="31"/>
      <c r="S122" s="32"/>
      <c r="T122" s="32"/>
      <c r="U122" s="16" t="s">
        <v>576</v>
      </c>
      <c r="V122" s="16" t="s">
        <v>536</v>
      </c>
      <c r="W122" s="16" t="s">
        <v>533</v>
      </c>
      <c r="X122" s="32">
        <v>3000000</v>
      </c>
      <c r="Y122" s="32">
        <v>1</v>
      </c>
      <c r="Z122" s="31"/>
      <c r="AA122" s="32"/>
      <c r="AB122" s="32"/>
      <c r="AC122" s="16" t="s">
        <v>576</v>
      </c>
      <c r="AD122" s="16" t="s">
        <v>536</v>
      </c>
      <c r="AE122" s="16" t="s">
        <v>537</v>
      </c>
      <c r="AF122" s="32">
        <v>30000</v>
      </c>
      <c r="AG122" s="32">
        <v>1</v>
      </c>
      <c r="AH122" s="31"/>
      <c r="AI122" s="31"/>
      <c r="AJ122" s="32"/>
      <c r="AK122" s="16" t="s">
        <v>576</v>
      </c>
      <c r="AL122" s="16" t="s">
        <v>536</v>
      </c>
      <c r="AM122" s="16" t="s">
        <v>542</v>
      </c>
      <c r="AN122" s="32">
        <v>500</v>
      </c>
      <c r="AO122" s="32">
        <v>1</v>
      </c>
      <c r="AP122" s="31"/>
      <c r="AQ122" s="31"/>
      <c r="AR122" s="32"/>
      <c r="AS122" s="16" t="s">
        <v>576</v>
      </c>
      <c r="AT122" s="16" t="s">
        <v>536</v>
      </c>
      <c r="AU122" s="16" t="s">
        <v>547</v>
      </c>
      <c r="AV122" s="32">
        <v>50</v>
      </c>
      <c r="AW122" s="32">
        <v>1</v>
      </c>
      <c r="AX122" s="31"/>
      <c r="AY122" s="31"/>
      <c r="AZ122" s="32"/>
      <c r="BA122" s="31"/>
      <c r="BB122" s="31"/>
      <c r="BC122" s="31"/>
      <c r="BD122" s="31"/>
      <c r="BE122" s="31"/>
      <c r="BF122" s="31"/>
      <c r="BG122" s="31"/>
      <c r="BH122" s="32"/>
      <c r="BI122" s="31"/>
      <c r="BJ122" s="31"/>
      <c r="BK122" s="31"/>
      <c r="BL122" s="31"/>
      <c r="BM122" s="31"/>
      <c r="BN122" s="31"/>
      <c r="BO122" s="31"/>
      <c r="BP122" s="32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  <c r="HE122" s="31"/>
      <c r="HF122" s="31"/>
      <c r="HG122" s="31"/>
      <c r="HH122" s="31"/>
      <c r="HI122" s="31"/>
      <c r="HJ122" s="31"/>
      <c r="HK122" s="31"/>
      <c r="HL122" s="31"/>
      <c r="HM122" s="31"/>
      <c r="HN122" s="31"/>
      <c r="HO122" s="31"/>
      <c r="HP122" s="31"/>
      <c r="HQ122" s="31"/>
      <c r="HR122" s="31"/>
      <c r="HS122" s="31"/>
      <c r="HT122" s="31"/>
      <c r="HU122" s="31"/>
      <c r="HV122" s="31"/>
      <c r="HW122" s="31"/>
      <c r="HX122" s="31"/>
      <c r="HY122" s="31"/>
      <c r="HZ122" s="31"/>
      <c r="IA122" s="31"/>
      <c r="IB122" s="31"/>
      <c r="IC122" s="31"/>
      <c r="ID122" s="31"/>
      <c r="IE122" s="31"/>
      <c r="IF122" s="31"/>
      <c r="IG122" s="31"/>
      <c r="IH122" s="31"/>
      <c r="II122" s="31"/>
      <c r="IJ122" s="31"/>
      <c r="IK122" s="31"/>
      <c r="IL122" s="31"/>
      <c r="IM122" s="31"/>
      <c r="IN122" s="31"/>
      <c r="IO122" s="31"/>
      <c r="IP122" s="31"/>
      <c r="IQ122" s="31"/>
      <c r="IR122" s="31"/>
      <c r="IS122" s="31"/>
      <c r="IT122" s="31"/>
      <c r="IU122" s="31"/>
      <c r="IV122" s="31"/>
      <c r="IW122" s="31"/>
      <c r="IX122" s="31"/>
      <c r="IY122" s="31"/>
      <c r="IZ122" s="31"/>
      <c r="JA122" s="31"/>
      <c r="JB122" s="31"/>
      <c r="JC122" s="31"/>
      <c r="JD122" s="31"/>
      <c r="JE122" s="31"/>
      <c r="JF122" s="31"/>
    </row>
    <row r="123" customFormat="1" ht="17.25" spans="1:266">
      <c r="A123" s="32">
        <f>40000000+INDEX(编号表!$B:$B,MATCH(B123,编号表!$A:$A,0))*10000+C123</f>
        <v>40040008</v>
      </c>
      <c r="B123" s="27" t="s">
        <v>574</v>
      </c>
      <c r="C123" s="32">
        <v>8</v>
      </c>
      <c r="D123" s="32" t="s">
        <v>583</v>
      </c>
      <c r="E123" s="32" t="s">
        <v>437</v>
      </c>
      <c r="F123" s="31"/>
      <c r="G123" s="31"/>
      <c r="H123" s="32"/>
      <c r="I123" s="32"/>
      <c r="J123" s="32">
        <f t="shared" si="7"/>
        <v>5</v>
      </c>
      <c r="K123" s="32"/>
      <c r="L123" s="32"/>
      <c r="M123" s="16" t="s">
        <v>576</v>
      </c>
      <c r="N123" s="16" t="s">
        <v>539</v>
      </c>
      <c r="O123" s="16" t="s">
        <v>527</v>
      </c>
      <c r="P123" s="32">
        <v>1000000</v>
      </c>
      <c r="Q123" s="32">
        <v>1</v>
      </c>
      <c r="R123" s="31"/>
      <c r="S123" s="32"/>
      <c r="T123" s="32"/>
      <c r="U123" s="16" t="s">
        <v>576</v>
      </c>
      <c r="V123" s="16" t="s">
        <v>539</v>
      </c>
      <c r="W123" s="16" t="s">
        <v>533</v>
      </c>
      <c r="X123" s="32">
        <v>3000000</v>
      </c>
      <c r="Y123" s="32">
        <v>1</v>
      </c>
      <c r="Z123" s="31"/>
      <c r="AA123" s="32"/>
      <c r="AB123" s="32"/>
      <c r="AC123" s="16" t="s">
        <v>576</v>
      </c>
      <c r="AD123" s="16" t="s">
        <v>539</v>
      </c>
      <c r="AE123" s="16" t="s">
        <v>537</v>
      </c>
      <c r="AF123" s="32">
        <v>30000</v>
      </c>
      <c r="AG123" s="32">
        <v>1</v>
      </c>
      <c r="AH123" s="31"/>
      <c r="AI123" s="31"/>
      <c r="AJ123" s="32"/>
      <c r="AK123" s="16" t="s">
        <v>576</v>
      </c>
      <c r="AL123" s="16" t="s">
        <v>539</v>
      </c>
      <c r="AM123" s="16" t="s">
        <v>542</v>
      </c>
      <c r="AN123" s="32">
        <v>500</v>
      </c>
      <c r="AO123" s="32">
        <v>1</v>
      </c>
      <c r="AP123" s="31"/>
      <c r="AQ123" s="31"/>
      <c r="AR123" s="32"/>
      <c r="AS123" s="16" t="s">
        <v>576</v>
      </c>
      <c r="AT123" s="16" t="s">
        <v>539</v>
      </c>
      <c r="AU123" s="16" t="s">
        <v>547</v>
      </c>
      <c r="AV123" s="32">
        <v>50</v>
      </c>
      <c r="AW123" s="32">
        <v>1</v>
      </c>
      <c r="AX123" s="31"/>
      <c r="AY123" s="31"/>
      <c r="AZ123" s="32"/>
      <c r="BA123" s="31"/>
      <c r="BB123" s="31"/>
      <c r="BC123" s="31"/>
      <c r="BD123" s="31"/>
      <c r="BE123" s="31"/>
      <c r="BF123" s="31"/>
      <c r="BG123" s="31"/>
      <c r="BH123" s="32"/>
      <c r="BI123" s="31"/>
      <c r="BJ123" s="31"/>
      <c r="BK123" s="31"/>
      <c r="BL123" s="31"/>
      <c r="BM123" s="31"/>
      <c r="BN123" s="31"/>
      <c r="BO123" s="31"/>
      <c r="BP123" s="32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  <c r="HG123" s="31"/>
      <c r="HH123" s="31"/>
      <c r="HI123" s="31"/>
      <c r="HJ123" s="31"/>
      <c r="HK123" s="31"/>
      <c r="HL123" s="31"/>
      <c r="HM123" s="31"/>
      <c r="HN123" s="31"/>
      <c r="HO123" s="31"/>
      <c r="HP123" s="31"/>
      <c r="HQ123" s="31"/>
      <c r="HR123" s="31"/>
      <c r="HS123" s="31"/>
      <c r="HT123" s="31"/>
      <c r="HU123" s="31"/>
      <c r="HV123" s="31"/>
      <c r="HW123" s="31"/>
      <c r="HX123" s="31"/>
      <c r="HY123" s="31"/>
      <c r="HZ123" s="31"/>
      <c r="IA123" s="31"/>
      <c r="IB123" s="31"/>
      <c r="IC123" s="31"/>
      <c r="ID123" s="31"/>
      <c r="IE123" s="31"/>
      <c r="IF123" s="31"/>
      <c r="IG123" s="31"/>
      <c r="IH123" s="31"/>
      <c r="II123" s="31"/>
      <c r="IJ123" s="31"/>
      <c r="IK123" s="31"/>
      <c r="IL123" s="31"/>
      <c r="IM123" s="31"/>
      <c r="IN123" s="31"/>
      <c r="IO123" s="31"/>
      <c r="IP123" s="31"/>
      <c r="IQ123" s="31"/>
      <c r="IR123" s="31"/>
      <c r="IS123" s="31"/>
      <c r="IT123" s="31"/>
      <c r="IU123" s="31"/>
      <c r="IV123" s="31"/>
      <c r="IW123" s="31"/>
      <c r="IX123" s="31"/>
      <c r="IY123" s="31"/>
      <c r="IZ123" s="31"/>
      <c r="JA123" s="31"/>
      <c r="JB123" s="31"/>
      <c r="JC123" s="31"/>
      <c r="JD123" s="31"/>
      <c r="JE123" s="31"/>
      <c r="JF123" s="31"/>
    </row>
    <row r="124" customFormat="1" ht="17.25" spans="1:266">
      <c r="A124" s="32">
        <f>40000000+INDEX(编号表!$B:$B,MATCH(B124,编号表!$A:$A,0))*10000+C124</f>
        <v>40040009</v>
      </c>
      <c r="B124" s="27" t="s">
        <v>574</v>
      </c>
      <c r="C124" s="32">
        <v>9</v>
      </c>
      <c r="D124" s="32" t="s">
        <v>584</v>
      </c>
      <c r="E124" s="32" t="s">
        <v>437</v>
      </c>
      <c r="F124" s="31"/>
      <c r="G124" s="31"/>
      <c r="H124" s="32"/>
      <c r="I124" s="32"/>
      <c r="J124" s="32">
        <f t="shared" si="7"/>
        <v>5</v>
      </c>
      <c r="K124" s="32"/>
      <c r="L124" s="32"/>
      <c r="M124" s="16" t="s">
        <v>576</v>
      </c>
      <c r="N124" s="16" t="s">
        <v>541</v>
      </c>
      <c r="O124" s="16" t="s">
        <v>527</v>
      </c>
      <c r="P124" s="32">
        <v>1000000</v>
      </c>
      <c r="Q124" s="32">
        <v>1</v>
      </c>
      <c r="R124" s="31"/>
      <c r="S124" s="32"/>
      <c r="T124" s="32"/>
      <c r="U124" s="16" t="s">
        <v>576</v>
      </c>
      <c r="V124" s="16" t="s">
        <v>541</v>
      </c>
      <c r="W124" s="16" t="s">
        <v>533</v>
      </c>
      <c r="X124" s="32">
        <v>3000000</v>
      </c>
      <c r="Y124" s="32">
        <v>1</v>
      </c>
      <c r="Z124" s="31"/>
      <c r="AA124" s="32"/>
      <c r="AB124" s="32"/>
      <c r="AC124" s="16" t="s">
        <v>576</v>
      </c>
      <c r="AD124" s="16" t="s">
        <v>541</v>
      </c>
      <c r="AE124" s="16" t="s">
        <v>537</v>
      </c>
      <c r="AF124" s="32">
        <v>30000</v>
      </c>
      <c r="AG124" s="32">
        <v>1</v>
      </c>
      <c r="AH124" s="31"/>
      <c r="AI124" s="31"/>
      <c r="AJ124" s="32"/>
      <c r="AK124" s="16" t="s">
        <v>576</v>
      </c>
      <c r="AL124" s="16" t="s">
        <v>541</v>
      </c>
      <c r="AM124" s="16" t="s">
        <v>542</v>
      </c>
      <c r="AN124" s="32">
        <v>500</v>
      </c>
      <c r="AO124" s="32">
        <v>1</v>
      </c>
      <c r="AP124" s="31"/>
      <c r="AQ124" s="31"/>
      <c r="AR124" s="32"/>
      <c r="AS124" s="16" t="s">
        <v>576</v>
      </c>
      <c r="AT124" s="16" t="s">
        <v>541</v>
      </c>
      <c r="AU124" s="16" t="s">
        <v>547</v>
      </c>
      <c r="AV124" s="32">
        <v>50</v>
      </c>
      <c r="AW124" s="32">
        <v>1</v>
      </c>
      <c r="AX124" s="31"/>
      <c r="AY124" s="31"/>
      <c r="AZ124" s="32"/>
      <c r="BA124" s="31"/>
      <c r="BB124" s="31"/>
      <c r="BC124" s="31"/>
      <c r="BD124" s="31"/>
      <c r="BE124" s="31"/>
      <c r="BF124" s="31"/>
      <c r="BG124" s="31"/>
      <c r="BH124" s="32"/>
      <c r="BI124" s="31"/>
      <c r="BJ124" s="31"/>
      <c r="BK124" s="31"/>
      <c r="BL124" s="31"/>
      <c r="BM124" s="31"/>
      <c r="BN124" s="31"/>
      <c r="BO124" s="31"/>
      <c r="BP124" s="32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  <c r="HI124" s="31"/>
      <c r="HJ124" s="31"/>
      <c r="HK124" s="31"/>
      <c r="HL124" s="31"/>
      <c r="HM124" s="31"/>
      <c r="HN124" s="31"/>
      <c r="HO124" s="31"/>
      <c r="HP124" s="31"/>
      <c r="HQ124" s="31"/>
      <c r="HR124" s="31"/>
      <c r="HS124" s="31"/>
      <c r="HT124" s="31"/>
      <c r="HU124" s="31"/>
      <c r="HV124" s="31"/>
      <c r="HW124" s="31"/>
      <c r="HX124" s="31"/>
      <c r="HY124" s="31"/>
      <c r="HZ124" s="31"/>
      <c r="IA124" s="31"/>
      <c r="IB124" s="31"/>
      <c r="IC124" s="31"/>
      <c r="ID124" s="31"/>
      <c r="IE124" s="31"/>
      <c r="IF124" s="31"/>
      <c r="IG124" s="31"/>
      <c r="IH124" s="31"/>
      <c r="II124" s="31"/>
      <c r="IJ124" s="31"/>
      <c r="IK124" s="31"/>
      <c r="IL124" s="31"/>
      <c r="IM124" s="31"/>
      <c r="IN124" s="31"/>
      <c r="IO124" s="31"/>
      <c r="IP124" s="31"/>
      <c r="IQ124" s="31"/>
      <c r="IR124" s="31"/>
      <c r="IS124" s="31"/>
      <c r="IT124" s="31"/>
      <c r="IU124" s="31"/>
      <c r="IV124" s="31"/>
      <c r="IW124" s="31"/>
      <c r="IX124" s="31"/>
      <c r="IY124" s="31"/>
      <c r="IZ124" s="31"/>
      <c r="JA124" s="31"/>
      <c r="JB124" s="31"/>
      <c r="JC124" s="31"/>
      <c r="JD124" s="31"/>
      <c r="JE124" s="31"/>
      <c r="JF124" s="31"/>
    </row>
    <row r="125" customFormat="1" ht="17.25" spans="1:266">
      <c r="A125" s="32">
        <f>40000000+INDEX(编号表!$B:$B,MATCH(B125,编号表!$A:$A,0))*10000+C125</f>
        <v>40040010</v>
      </c>
      <c r="B125" s="27" t="s">
        <v>574</v>
      </c>
      <c r="C125" s="32">
        <v>10</v>
      </c>
      <c r="D125" s="32" t="s">
        <v>585</v>
      </c>
      <c r="E125" s="32" t="s">
        <v>437</v>
      </c>
      <c r="F125" s="31"/>
      <c r="G125" s="31"/>
      <c r="H125" s="32"/>
      <c r="I125" s="32"/>
      <c r="J125" s="32">
        <f t="shared" si="7"/>
        <v>5</v>
      </c>
      <c r="K125" s="32"/>
      <c r="L125" s="32"/>
      <c r="M125" s="16" t="s">
        <v>576</v>
      </c>
      <c r="N125" s="16" t="s">
        <v>544</v>
      </c>
      <c r="O125" s="16" t="s">
        <v>527</v>
      </c>
      <c r="P125" s="32">
        <v>1000000</v>
      </c>
      <c r="Q125" s="32">
        <v>1</v>
      </c>
      <c r="R125" s="31"/>
      <c r="S125" s="32"/>
      <c r="T125" s="32"/>
      <c r="U125" s="16" t="s">
        <v>576</v>
      </c>
      <c r="V125" s="16" t="s">
        <v>544</v>
      </c>
      <c r="W125" s="16" t="s">
        <v>533</v>
      </c>
      <c r="X125" s="32">
        <v>3000000</v>
      </c>
      <c r="Y125" s="32">
        <v>1</v>
      </c>
      <c r="Z125" s="31"/>
      <c r="AA125" s="32"/>
      <c r="AB125" s="32"/>
      <c r="AC125" s="16" t="s">
        <v>576</v>
      </c>
      <c r="AD125" s="16" t="s">
        <v>544</v>
      </c>
      <c r="AE125" s="16" t="s">
        <v>537</v>
      </c>
      <c r="AF125" s="32">
        <v>30000</v>
      </c>
      <c r="AG125" s="32">
        <v>1</v>
      </c>
      <c r="AH125" s="31"/>
      <c r="AI125" s="31"/>
      <c r="AJ125" s="32"/>
      <c r="AK125" s="16" t="s">
        <v>576</v>
      </c>
      <c r="AL125" s="16" t="s">
        <v>544</v>
      </c>
      <c r="AM125" s="16" t="s">
        <v>542</v>
      </c>
      <c r="AN125" s="32">
        <v>500</v>
      </c>
      <c r="AO125" s="32">
        <v>1</v>
      </c>
      <c r="AP125" s="31"/>
      <c r="AQ125" s="31"/>
      <c r="AR125" s="32"/>
      <c r="AS125" s="16" t="s">
        <v>576</v>
      </c>
      <c r="AT125" s="16" t="s">
        <v>544</v>
      </c>
      <c r="AU125" s="16" t="s">
        <v>547</v>
      </c>
      <c r="AV125" s="32">
        <v>50</v>
      </c>
      <c r="AW125" s="32">
        <v>1</v>
      </c>
      <c r="AX125" s="31"/>
      <c r="AY125" s="31"/>
      <c r="AZ125" s="32"/>
      <c r="BA125" s="31"/>
      <c r="BB125" s="31"/>
      <c r="BC125" s="31"/>
      <c r="BD125" s="31"/>
      <c r="BE125" s="31"/>
      <c r="BF125" s="31"/>
      <c r="BG125" s="31"/>
      <c r="BH125" s="32"/>
      <c r="BI125" s="31"/>
      <c r="BJ125" s="31"/>
      <c r="BK125" s="31"/>
      <c r="BL125" s="31"/>
      <c r="BM125" s="31"/>
      <c r="BN125" s="31"/>
      <c r="BO125" s="31"/>
      <c r="BP125" s="32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  <c r="HE125" s="31"/>
      <c r="HF125" s="31"/>
      <c r="HG125" s="31"/>
      <c r="HH125" s="31"/>
      <c r="HI125" s="31"/>
      <c r="HJ125" s="31"/>
      <c r="HK125" s="31"/>
      <c r="HL125" s="31"/>
      <c r="HM125" s="31"/>
      <c r="HN125" s="31"/>
      <c r="HO125" s="31"/>
      <c r="HP125" s="31"/>
      <c r="HQ125" s="31"/>
      <c r="HR125" s="31"/>
      <c r="HS125" s="31"/>
      <c r="HT125" s="31"/>
      <c r="HU125" s="31"/>
      <c r="HV125" s="31"/>
      <c r="HW125" s="31"/>
      <c r="HX125" s="31"/>
      <c r="HY125" s="31"/>
      <c r="HZ125" s="31"/>
      <c r="IA125" s="31"/>
      <c r="IB125" s="31"/>
      <c r="IC125" s="31"/>
      <c r="ID125" s="31"/>
      <c r="IE125" s="31"/>
      <c r="IF125" s="31"/>
      <c r="IG125" s="31"/>
      <c r="IH125" s="31"/>
      <c r="II125" s="31"/>
      <c r="IJ125" s="31"/>
      <c r="IK125" s="31"/>
      <c r="IL125" s="31"/>
      <c r="IM125" s="31"/>
      <c r="IN125" s="31"/>
      <c r="IO125" s="31"/>
      <c r="IP125" s="31"/>
      <c r="IQ125" s="31"/>
      <c r="IR125" s="31"/>
      <c r="IS125" s="31"/>
      <c r="IT125" s="31"/>
      <c r="IU125" s="31"/>
      <c r="IV125" s="31"/>
      <c r="IW125" s="31"/>
      <c r="IX125" s="31"/>
      <c r="IY125" s="31"/>
      <c r="IZ125" s="31"/>
      <c r="JA125" s="31"/>
      <c r="JB125" s="31"/>
      <c r="JC125" s="31"/>
      <c r="JD125" s="31"/>
      <c r="JE125" s="31"/>
      <c r="JF125" s="31"/>
    </row>
    <row r="126" customFormat="1" ht="17.25" spans="1:266">
      <c r="A126" s="32">
        <f>40000000+INDEX(编号表!$B:$B,MATCH(B126,编号表!$A:$A,0))*10000+C126</f>
        <v>40040011</v>
      </c>
      <c r="B126" s="27" t="s">
        <v>574</v>
      </c>
      <c r="C126" s="32">
        <v>11</v>
      </c>
      <c r="D126" s="32" t="s">
        <v>586</v>
      </c>
      <c r="E126" s="32" t="s">
        <v>437</v>
      </c>
      <c r="F126" s="31"/>
      <c r="G126" s="31"/>
      <c r="H126" s="32"/>
      <c r="I126" s="32"/>
      <c r="J126" s="32">
        <f t="shared" si="7"/>
        <v>5</v>
      </c>
      <c r="K126" s="32"/>
      <c r="L126" s="32"/>
      <c r="M126" s="16" t="s">
        <v>576</v>
      </c>
      <c r="N126" s="16" t="s">
        <v>546</v>
      </c>
      <c r="O126" s="16" t="s">
        <v>527</v>
      </c>
      <c r="P126" s="32">
        <v>1000000</v>
      </c>
      <c r="Q126" s="32">
        <v>1</v>
      </c>
      <c r="R126" s="31"/>
      <c r="S126" s="32"/>
      <c r="T126" s="32"/>
      <c r="U126" s="16" t="s">
        <v>576</v>
      </c>
      <c r="V126" s="16" t="s">
        <v>546</v>
      </c>
      <c r="W126" s="16" t="s">
        <v>533</v>
      </c>
      <c r="X126" s="32">
        <v>3000000</v>
      </c>
      <c r="Y126" s="32">
        <v>1</v>
      </c>
      <c r="Z126" s="31"/>
      <c r="AA126" s="32"/>
      <c r="AB126" s="32"/>
      <c r="AC126" s="16" t="s">
        <v>576</v>
      </c>
      <c r="AD126" s="16" t="s">
        <v>546</v>
      </c>
      <c r="AE126" s="16" t="s">
        <v>537</v>
      </c>
      <c r="AF126" s="32">
        <v>30000</v>
      </c>
      <c r="AG126" s="32">
        <v>1</v>
      </c>
      <c r="AH126" s="31"/>
      <c r="AI126" s="31"/>
      <c r="AJ126" s="32"/>
      <c r="AK126" s="16" t="s">
        <v>576</v>
      </c>
      <c r="AL126" s="16" t="s">
        <v>546</v>
      </c>
      <c r="AM126" s="16" t="s">
        <v>542</v>
      </c>
      <c r="AN126" s="32">
        <v>500</v>
      </c>
      <c r="AO126" s="32">
        <v>1</v>
      </c>
      <c r="AP126" s="31"/>
      <c r="AQ126" s="31"/>
      <c r="AR126" s="32"/>
      <c r="AS126" s="16" t="s">
        <v>576</v>
      </c>
      <c r="AT126" s="16" t="s">
        <v>546</v>
      </c>
      <c r="AU126" s="16" t="s">
        <v>547</v>
      </c>
      <c r="AV126" s="32">
        <v>50</v>
      </c>
      <c r="AW126" s="32">
        <v>1</v>
      </c>
      <c r="AX126" s="31"/>
      <c r="AY126" s="31"/>
      <c r="AZ126" s="32"/>
      <c r="BA126" s="31"/>
      <c r="BB126" s="31"/>
      <c r="BC126" s="31"/>
      <c r="BD126" s="31"/>
      <c r="BE126" s="31"/>
      <c r="BF126" s="31"/>
      <c r="BG126" s="31"/>
      <c r="BH126" s="32"/>
      <c r="BI126" s="31"/>
      <c r="BJ126" s="31"/>
      <c r="BK126" s="31"/>
      <c r="BL126" s="31"/>
      <c r="BM126" s="31"/>
      <c r="BN126" s="31"/>
      <c r="BO126" s="31"/>
      <c r="BP126" s="32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  <c r="HE126" s="31"/>
      <c r="HF126" s="31"/>
      <c r="HG126" s="31"/>
      <c r="HH126" s="31"/>
      <c r="HI126" s="31"/>
      <c r="HJ126" s="31"/>
      <c r="HK126" s="31"/>
      <c r="HL126" s="31"/>
      <c r="HM126" s="31"/>
      <c r="HN126" s="31"/>
      <c r="HO126" s="31"/>
      <c r="HP126" s="31"/>
      <c r="HQ126" s="31"/>
      <c r="HR126" s="31"/>
      <c r="HS126" s="31"/>
      <c r="HT126" s="31"/>
      <c r="HU126" s="31"/>
      <c r="HV126" s="31"/>
      <c r="HW126" s="31"/>
      <c r="HX126" s="31"/>
      <c r="HY126" s="31"/>
      <c r="HZ126" s="31"/>
      <c r="IA126" s="31"/>
      <c r="IB126" s="31"/>
      <c r="IC126" s="31"/>
      <c r="ID126" s="31"/>
      <c r="IE126" s="31"/>
      <c r="IF126" s="31"/>
      <c r="IG126" s="31"/>
      <c r="IH126" s="31"/>
      <c r="II126" s="31"/>
      <c r="IJ126" s="31"/>
      <c r="IK126" s="31"/>
      <c r="IL126" s="31"/>
      <c r="IM126" s="31"/>
      <c r="IN126" s="31"/>
      <c r="IO126" s="31"/>
      <c r="IP126" s="31"/>
      <c r="IQ126" s="31"/>
      <c r="IR126" s="31"/>
      <c r="IS126" s="31"/>
      <c r="IT126" s="31"/>
      <c r="IU126" s="31"/>
      <c r="IV126" s="31"/>
      <c r="IW126" s="31"/>
      <c r="IX126" s="31"/>
      <c r="IY126" s="31"/>
      <c r="IZ126" s="31"/>
      <c r="JA126" s="31"/>
      <c r="JB126" s="31"/>
      <c r="JC126" s="31"/>
      <c r="JD126" s="31"/>
      <c r="JE126" s="31"/>
      <c r="JF126" s="31"/>
    </row>
    <row r="127" customFormat="1" ht="17.25" spans="1:266">
      <c r="A127" s="32">
        <f>40000000+INDEX(编号表!$B:$B,MATCH(B127,编号表!$A:$A,0))*10000+C127</f>
        <v>40040012</v>
      </c>
      <c r="B127" s="27" t="s">
        <v>574</v>
      </c>
      <c r="C127" s="32">
        <v>12</v>
      </c>
      <c r="D127" s="32" t="s">
        <v>587</v>
      </c>
      <c r="E127" s="32" t="s">
        <v>437</v>
      </c>
      <c r="F127" s="31"/>
      <c r="G127" s="31"/>
      <c r="H127" s="32"/>
      <c r="I127" s="32"/>
      <c r="J127" s="32">
        <f t="shared" si="7"/>
        <v>5</v>
      </c>
      <c r="K127" s="32"/>
      <c r="L127" s="32"/>
      <c r="M127" s="16" t="s">
        <v>576</v>
      </c>
      <c r="N127" s="16" t="s">
        <v>549</v>
      </c>
      <c r="O127" s="16" t="s">
        <v>527</v>
      </c>
      <c r="P127" s="32">
        <v>1000000</v>
      </c>
      <c r="Q127" s="32">
        <v>1</v>
      </c>
      <c r="R127" s="31"/>
      <c r="S127" s="32"/>
      <c r="T127" s="32"/>
      <c r="U127" s="16" t="s">
        <v>576</v>
      </c>
      <c r="V127" s="16" t="s">
        <v>549</v>
      </c>
      <c r="W127" s="16" t="s">
        <v>533</v>
      </c>
      <c r="X127" s="32">
        <v>3000000</v>
      </c>
      <c r="Y127" s="32">
        <v>1</v>
      </c>
      <c r="Z127" s="31"/>
      <c r="AA127" s="32"/>
      <c r="AB127" s="32"/>
      <c r="AC127" s="16" t="s">
        <v>576</v>
      </c>
      <c r="AD127" s="16" t="s">
        <v>549</v>
      </c>
      <c r="AE127" s="16" t="s">
        <v>537</v>
      </c>
      <c r="AF127" s="32">
        <v>30000</v>
      </c>
      <c r="AG127" s="32">
        <v>1</v>
      </c>
      <c r="AH127" s="31"/>
      <c r="AI127" s="31"/>
      <c r="AJ127" s="32"/>
      <c r="AK127" s="16" t="s">
        <v>576</v>
      </c>
      <c r="AL127" s="16" t="s">
        <v>549</v>
      </c>
      <c r="AM127" s="16" t="s">
        <v>542</v>
      </c>
      <c r="AN127" s="32">
        <v>500</v>
      </c>
      <c r="AO127" s="32">
        <v>1</v>
      </c>
      <c r="AP127" s="31"/>
      <c r="AQ127" s="31"/>
      <c r="AR127" s="32"/>
      <c r="AS127" s="16" t="s">
        <v>576</v>
      </c>
      <c r="AT127" s="16" t="s">
        <v>549</v>
      </c>
      <c r="AU127" s="16" t="s">
        <v>547</v>
      </c>
      <c r="AV127" s="32">
        <v>50</v>
      </c>
      <c r="AW127" s="32">
        <v>1</v>
      </c>
      <c r="AX127" s="31"/>
      <c r="AY127" s="31"/>
      <c r="AZ127" s="32"/>
      <c r="BA127" s="31"/>
      <c r="BB127" s="31"/>
      <c r="BC127" s="31"/>
      <c r="BD127" s="31"/>
      <c r="BE127" s="31"/>
      <c r="BF127" s="31"/>
      <c r="BG127" s="31"/>
      <c r="BH127" s="32"/>
      <c r="BI127" s="31"/>
      <c r="BJ127" s="31"/>
      <c r="BK127" s="31"/>
      <c r="BL127" s="31"/>
      <c r="BM127" s="31"/>
      <c r="BN127" s="31"/>
      <c r="BO127" s="31"/>
      <c r="BP127" s="32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  <c r="HG127" s="31"/>
      <c r="HH127" s="31"/>
      <c r="HI127" s="31"/>
      <c r="HJ127" s="31"/>
      <c r="HK127" s="31"/>
      <c r="HL127" s="31"/>
      <c r="HM127" s="31"/>
      <c r="HN127" s="31"/>
      <c r="HO127" s="31"/>
      <c r="HP127" s="31"/>
      <c r="HQ127" s="31"/>
      <c r="HR127" s="31"/>
      <c r="HS127" s="31"/>
      <c r="HT127" s="31"/>
      <c r="HU127" s="31"/>
      <c r="HV127" s="31"/>
      <c r="HW127" s="31"/>
      <c r="HX127" s="31"/>
      <c r="HY127" s="31"/>
      <c r="HZ127" s="31"/>
      <c r="IA127" s="31"/>
      <c r="IB127" s="31"/>
      <c r="IC127" s="31"/>
      <c r="ID127" s="31"/>
      <c r="IE127" s="31"/>
      <c r="IF127" s="31"/>
      <c r="IG127" s="31"/>
      <c r="IH127" s="31"/>
      <c r="II127" s="31"/>
      <c r="IJ127" s="31"/>
      <c r="IK127" s="31"/>
      <c r="IL127" s="31"/>
      <c r="IM127" s="31"/>
      <c r="IN127" s="31"/>
      <c r="IO127" s="31"/>
      <c r="IP127" s="31"/>
      <c r="IQ127" s="31"/>
      <c r="IR127" s="31"/>
      <c r="IS127" s="31"/>
      <c r="IT127" s="31"/>
      <c r="IU127" s="31"/>
      <c r="IV127" s="31"/>
      <c r="IW127" s="31"/>
      <c r="IX127" s="31"/>
      <c r="IY127" s="31"/>
      <c r="IZ127" s="31"/>
      <c r="JA127" s="31"/>
      <c r="JB127" s="31"/>
      <c r="JC127" s="31"/>
      <c r="JD127" s="31"/>
      <c r="JE127" s="31"/>
      <c r="JF127" s="31"/>
    </row>
    <row r="128" customFormat="1" ht="17.25" spans="1:266">
      <c r="A128" s="32">
        <f>40000000+INDEX(编号表!$B:$B,MATCH(B128,编号表!$A:$A,0))*10000+C128</f>
        <v>40040013</v>
      </c>
      <c r="B128" s="27" t="s">
        <v>574</v>
      </c>
      <c r="C128" s="32">
        <v>13</v>
      </c>
      <c r="D128" s="32" t="s">
        <v>588</v>
      </c>
      <c r="E128" s="32" t="s">
        <v>437</v>
      </c>
      <c r="F128" s="31"/>
      <c r="G128" s="31"/>
      <c r="H128" s="32"/>
      <c r="I128" s="32"/>
      <c r="J128" s="32">
        <f t="shared" si="7"/>
        <v>5</v>
      </c>
      <c r="K128" s="32"/>
      <c r="L128" s="32"/>
      <c r="M128" s="16" t="s">
        <v>576</v>
      </c>
      <c r="N128" s="16" t="s">
        <v>551</v>
      </c>
      <c r="O128" s="16" t="s">
        <v>527</v>
      </c>
      <c r="P128" s="32">
        <v>1000000</v>
      </c>
      <c r="Q128" s="32">
        <v>1</v>
      </c>
      <c r="R128" s="31"/>
      <c r="S128" s="32"/>
      <c r="T128" s="32"/>
      <c r="U128" s="16" t="s">
        <v>576</v>
      </c>
      <c r="V128" s="16" t="s">
        <v>551</v>
      </c>
      <c r="W128" s="16" t="s">
        <v>533</v>
      </c>
      <c r="X128" s="32">
        <v>3000000</v>
      </c>
      <c r="Y128" s="32">
        <v>1</v>
      </c>
      <c r="Z128" s="31"/>
      <c r="AA128" s="32"/>
      <c r="AB128" s="32"/>
      <c r="AC128" s="16" t="s">
        <v>576</v>
      </c>
      <c r="AD128" s="16" t="s">
        <v>551</v>
      </c>
      <c r="AE128" s="16" t="s">
        <v>537</v>
      </c>
      <c r="AF128" s="32">
        <v>30000</v>
      </c>
      <c r="AG128" s="32">
        <v>1</v>
      </c>
      <c r="AH128" s="31"/>
      <c r="AI128" s="31"/>
      <c r="AJ128" s="32"/>
      <c r="AK128" s="16" t="s">
        <v>576</v>
      </c>
      <c r="AL128" s="16" t="s">
        <v>551</v>
      </c>
      <c r="AM128" s="16" t="s">
        <v>542</v>
      </c>
      <c r="AN128" s="32">
        <v>500</v>
      </c>
      <c r="AO128" s="32">
        <v>1</v>
      </c>
      <c r="AP128" s="31"/>
      <c r="AQ128" s="31"/>
      <c r="AR128" s="32"/>
      <c r="AS128" s="16" t="s">
        <v>576</v>
      </c>
      <c r="AT128" s="16" t="s">
        <v>551</v>
      </c>
      <c r="AU128" s="16" t="s">
        <v>547</v>
      </c>
      <c r="AV128" s="32">
        <v>50</v>
      </c>
      <c r="AW128" s="32">
        <v>1</v>
      </c>
      <c r="AX128" s="31"/>
      <c r="AY128" s="31"/>
      <c r="AZ128" s="32"/>
      <c r="BA128" s="31"/>
      <c r="BB128" s="31"/>
      <c r="BC128" s="31"/>
      <c r="BD128" s="31"/>
      <c r="BE128" s="31"/>
      <c r="BF128" s="31"/>
      <c r="BG128" s="31"/>
      <c r="BH128" s="32"/>
      <c r="BI128" s="31"/>
      <c r="BJ128" s="31"/>
      <c r="BK128" s="31"/>
      <c r="BL128" s="31"/>
      <c r="BM128" s="31"/>
      <c r="BN128" s="31"/>
      <c r="BO128" s="31"/>
      <c r="BP128" s="32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  <c r="HE128" s="31"/>
      <c r="HF128" s="31"/>
      <c r="HG128" s="31"/>
      <c r="HH128" s="31"/>
      <c r="HI128" s="31"/>
      <c r="HJ128" s="31"/>
      <c r="HK128" s="31"/>
      <c r="HL128" s="31"/>
      <c r="HM128" s="31"/>
      <c r="HN128" s="31"/>
      <c r="HO128" s="31"/>
      <c r="HP128" s="31"/>
      <c r="HQ128" s="31"/>
      <c r="HR128" s="31"/>
      <c r="HS128" s="31"/>
      <c r="HT128" s="31"/>
      <c r="HU128" s="31"/>
      <c r="HV128" s="31"/>
      <c r="HW128" s="31"/>
      <c r="HX128" s="31"/>
      <c r="HY128" s="31"/>
      <c r="HZ128" s="31"/>
      <c r="IA128" s="31"/>
      <c r="IB128" s="31"/>
      <c r="IC128" s="31"/>
      <c r="ID128" s="31"/>
      <c r="IE128" s="31"/>
      <c r="IF128" s="31"/>
      <c r="IG128" s="31"/>
      <c r="IH128" s="31"/>
      <c r="II128" s="31"/>
      <c r="IJ128" s="31"/>
      <c r="IK128" s="31"/>
      <c r="IL128" s="31"/>
      <c r="IM128" s="31"/>
      <c r="IN128" s="31"/>
      <c r="IO128" s="31"/>
      <c r="IP128" s="31"/>
      <c r="IQ128" s="31"/>
      <c r="IR128" s="31"/>
      <c r="IS128" s="31"/>
      <c r="IT128" s="31"/>
      <c r="IU128" s="31"/>
      <c r="IV128" s="31"/>
      <c r="IW128" s="31"/>
      <c r="IX128" s="31"/>
      <c r="IY128" s="31"/>
      <c r="IZ128" s="31"/>
      <c r="JA128" s="31"/>
      <c r="JB128" s="31"/>
      <c r="JC128" s="31"/>
      <c r="JD128" s="31"/>
      <c r="JE128" s="31"/>
      <c r="JF128" s="31"/>
    </row>
    <row r="129" customFormat="1" ht="17.25" spans="1:266">
      <c r="A129" s="32">
        <f>40000000+INDEX(编号表!$B:$B,MATCH(B129,编号表!$A:$A,0))*10000+C129</f>
        <v>40040014</v>
      </c>
      <c r="B129" s="27" t="s">
        <v>574</v>
      </c>
      <c r="C129" s="32">
        <v>14</v>
      </c>
      <c r="D129" s="32" t="s">
        <v>589</v>
      </c>
      <c r="E129" s="32" t="s">
        <v>437</v>
      </c>
      <c r="F129" s="31">
        <f t="shared" ref="F129:F134" si="8">P129+X129+AF129+AN129+AV129+BD129+BL129+BT129</f>
        <v>4030550</v>
      </c>
      <c r="G129" s="31"/>
      <c r="H129" s="32"/>
      <c r="I129" s="32"/>
      <c r="J129" s="32">
        <f t="shared" ref="J129:J134" si="9">COUNT(P129,X129,AF129,AN129,AV129,BD129,BL129,BT129,CB129,CJ129,CR129,CZ129,DH129,DP129,DX129,EF129,EN129,EV129,FD129,FL129,FT129,GB129,GJ129,GR129,GZ129,HH129,HP129,HX129,IF129,IN129,IV129,JD129)</f>
        <v>5</v>
      </c>
      <c r="K129" s="32"/>
      <c r="L129" s="32"/>
      <c r="M129" s="16" t="s">
        <v>576</v>
      </c>
      <c r="N129" s="16" t="s">
        <v>553</v>
      </c>
      <c r="O129" s="16" t="s">
        <v>527</v>
      </c>
      <c r="P129" s="32">
        <v>1000000</v>
      </c>
      <c r="Q129" s="32">
        <v>1</v>
      </c>
      <c r="R129" s="31"/>
      <c r="S129" s="32"/>
      <c r="T129" s="32"/>
      <c r="U129" s="16" t="s">
        <v>576</v>
      </c>
      <c r="V129" s="16" t="s">
        <v>553</v>
      </c>
      <c r="W129" s="16" t="s">
        <v>533</v>
      </c>
      <c r="X129" s="32">
        <v>3000000</v>
      </c>
      <c r="Y129" s="32">
        <v>1</v>
      </c>
      <c r="Z129" s="31"/>
      <c r="AA129" s="32"/>
      <c r="AB129" s="32"/>
      <c r="AC129" s="16" t="s">
        <v>576</v>
      </c>
      <c r="AD129" s="16" t="s">
        <v>553</v>
      </c>
      <c r="AE129" s="16" t="s">
        <v>537</v>
      </c>
      <c r="AF129" s="32">
        <v>30000</v>
      </c>
      <c r="AG129" s="32">
        <v>1</v>
      </c>
      <c r="AH129" s="31"/>
      <c r="AI129" s="31"/>
      <c r="AJ129" s="32"/>
      <c r="AK129" s="16" t="s">
        <v>576</v>
      </c>
      <c r="AL129" s="16" t="s">
        <v>553</v>
      </c>
      <c r="AM129" s="16" t="s">
        <v>542</v>
      </c>
      <c r="AN129" s="32">
        <v>500</v>
      </c>
      <c r="AO129" s="32">
        <v>1</v>
      </c>
      <c r="AP129" s="31"/>
      <c r="AQ129" s="31"/>
      <c r="AR129" s="32"/>
      <c r="AS129" s="16" t="s">
        <v>576</v>
      </c>
      <c r="AT129" s="16" t="s">
        <v>553</v>
      </c>
      <c r="AU129" s="16" t="s">
        <v>547</v>
      </c>
      <c r="AV129" s="32">
        <v>50</v>
      </c>
      <c r="AW129" s="32">
        <v>1</v>
      </c>
      <c r="AX129" s="31"/>
      <c r="AY129" s="31"/>
      <c r="AZ129" s="32"/>
      <c r="BA129" s="31"/>
      <c r="BB129" s="31"/>
      <c r="BC129" s="31"/>
      <c r="BD129" s="31"/>
      <c r="BE129" s="31"/>
      <c r="BF129" s="31"/>
      <c r="BG129" s="31"/>
      <c r="BH129" s="32"/>
      <c r="BI129" s="31"/>
      <c r="BJ129" s="31"/>
      <c r="BK129" s="31"/>
      <c r="BL129" s="31"/>
      <c r="BM129" s="31"/>
      <c r="BN129" s="31"/>
      <c r="BO129" s="31"/>
      <c r="BP129" s="32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  <c r="HI129" s="31"/>
      <c r="HJ129" s="31"/>
      <c r="HK129" s="31"/>
      <c r="HL129" s="31"/>
      <c r="HM129" s="31"/>
      <c r="HN129" s="31"/>
      <c r="HO129" s="31"/>
      <c r="HP129" s="31"/>
      <c r="HQ129" s="31"/>
      <c r="HR129" s="31"/>
      <c r="HS129" s="31"/>
      <c r="HT129" s="31"/>
      <c r="HU129" s="31"/>
      <c r="HV129" s="31"/>
      <c r="HW129" s="31"/>
      <c r="HX129" s="31"/>
      <c r="HY129" s="31"/>
      <c r="HZ129" s="31"/>
      <c r="IA129" s="31"/>
      <c r="IB129" s="31"/>
      <c r="IC129" s="31"/>
      <c r="ID129" s="31"/>
      <c r="IE129" s="31"/>
      <c r="IF129" s="31"/>
      <c r="IG129" s="31"/>
      <c r="IH129" s="31"/>
      <c r="II129" s="31"/>
      <c r="IJ129" s="31"/>
      <c r="IK129" s="31"/>
      <c r="IL129" s="31"/>
      <c r="IM129" s="31"/>
      <c r="IN129" s="31"/>
      <c r="IO129" s="31"/>
      <c r="IP129" s="31"/>
      <c r="IQ129" s="31"/>
      <c r="IR129" s="31"/>
      <c r="IS129" s="31"/>
      <c r="IT129" s="31"/>
      <c r="IU129" s="31"/>
      <c r="IV129" s="31"/>
      <c r="IW129" s="31"/>
      <c r="IX129" s="31"/>
      <c r="IY129" s="31"/>
      <c r="IZ129" s="31"/>
      <c r="JA129" s="31"/>
      <c r="JB129" s="31"/>
      <c r="JC129" s="31"/>
      <c r="JD129" s="31"/>
      <c r="JE129" s="31"/>
      <c r="JF129" s="31"/>
    </row>
    <row r="130" customFormat="1" ht="17.25" spans="1:266">
      <c r="A130" s="32">
        <f>40000000+INDEX(编号表!$B:$B,MATCH(B130,编号表!$A:$A,0))*10000+C130</f>
        <v>40060001</v>
      </c>
      <c r="B130" s="27" t="s">
        <v>590</v>
      </c>
      <c r="C130" s="32">
        <v>1</v>
      </c>
      <c r="D130" s="32" t="s">
        <v>555</v>
      </c>
      <c r="E130" s="32" t="s">
        <v>437</v>
      </c>
      <c r="F130" s="31">
        <f t="shared" si="8"/>
        <v>4030550</v>
      </c>
      <c r="G130" s="31"/>
      <c r="H130" s="32"/>
      <c r="I130" s="32"/>
      <c r="J130" s="32">
        <f t="shared" si="9"/>
        <v>5</v>
      </c>
      <c r="K130" s="32"/>
      <c r="L130" s="32"/>
      <c r="M130" s="16" t="s">
        <v>591</v>
      </c>
      <c r="N130" s="16" t="s">
        <v>557</v>
      </c>
      <c r="O130" s="16" t="s">
        <v>527</v>
      </c>
      <c r="P130" s="32">
        <v>1000000</v>
      </c>
      <c r="Q130" s="32">
        <v>1</v>
      </c>
      <c r="R130" s="31"/>
      <c r="S130" s="32"/>
      <c r="T130" s="32"/>
      <c r="U130" s="16" t="s">
        <v>591</v>
      </c>
      <c r="V130" s="16" t="s">
        <v>557</v>
      </c>
      <c r="W130" s="16" t="s">
        <v>533</v>
      </c>
      <c r="X130" s="32">
        <v>3000000</v>
      </c>
      <c r="Y130" s="32">
        <v>1</v>
      </c>
      <c r="Z130" s="31"/>
      <c r="AA130" s="32"/>
      <c r="AB130" s="32"/>
      <c r="AC130" s="16" t="s">
        <v>591</v>
      </c>
      <c r="AD130" s="16" t="s">
        <v>557</v>
      </c>
      <c r="AE130" s="16" t="s">
        <v>537</v>
      </c>
      <c r="AF130" s="32">
        <v>30000</v>
      </c>
      <c r="AG130" s="32">
        <v>1</v>
      </c>
      <c r="AH130" s="31"/>
      <c r="AI130" s="31"/>
      <c r="AJ130" s="32"/>
      <c r="AK130" s="16" t="s">
        <v>591</v>
      </c>
      <c r="AL130" s="16" t="s">
        <v>557</v>
      </c>
      <c r="AM130" s="16" t="s">
        <v>542</v>
      </c>
      <c r="AN130" s="32">
        <v>500</v>
      </c>
      <c r="AO130" s="32">
        <v>1</v>
      </c>
      <c r="AP130" s="31"/>
      <c r="AQ130" s="31"/>
      <c r="AR130" s="32"/>
      <c r="AS130" s="16" t="s">
        <v>591</v>
      </c>
      <c r="AT130" s="16" t="s">
        <v>557</v>
      </c>
      <c r="AU130" s="16" t="s">
        <v>547</v>
      </c>
      <c r="AV130" s="32">
        <v>50</v>
      </c>
      <c r="AW130" s="32">
        <v>1</v>
      </c>
      <c r="AX130" s="31"/>
      <c r="AY130" s="31"/>
      <c r="AZ130" s="32"/>
      <c r="BA130" s="31"/>
      <c r="BB130" s="31"/>
      <c r="BC130" s="31"/>
      <c r="BD130" s="31"/>
      <c r="BE130" s="31"/>
      <c r="BF130" s="31"/>
      <c r="BG130" s="31"/>
      <c r="BH130" s="32"/>
      <c r="BI130" s="31"/>
      <c r="BJ130" s="31"/>
      <c r="BK130" s="31"/>
      <c r="BL130" s="31"/>
      <c r="BM130" s="31"/>
      <c r="BN130" s="31"/>
      <c r="BO130" s="31"/>
      <c r="BP130" s="32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  <c r="HI130" s="31"/>
      <c r="HJ130" s="31"/>
      <c r="HK130" s="31"/>
      <c r="HL130" s="31"/>
      <c r="HM130" s="31"/>
      <c r="HN130" s="31"/>
      <c r="HO130" s="31"/>
      <c r="HP130" s="31"/>
      <c r="HQ130" s="31"/>
      <c r="HR130" s="31"/>
      <c r="HS130" s="31"/>
      <c r="HT130" s="31"/>
      <c r="HU130" s="31"/>
      <c r="HV130" s="31"/>
      <c r="HW130" s="31"/>
      <c r="HX130" s="31"/>
      <c r="HY130" s="31"/>
      <c r="HZ130" s="31"/>
      <c r="IA130" s="31"/>
      <c r="IB130" s="31"/>
      <c r="IC130" s="31"/>
      <c r="ID130" s="31"/>
      <c r="IE130" s="31"/>
      <c r="IF130" s="31"/>
      <c r="IG130" s="31"/>
      <c r="IH130" s="31"/>
      <c r="II130" s="31"/>
      <c r="IJ130" s="31"/>
      <c r="IK130" s="31"/>
      <c r="IL130" s="31"/>
      <c r="IM130" s="31"/>
      <c r="IN130" s="31"/>
      <c r="IO130" s="31"/>
      <c r="IP130" s="31"/>
      <c r="IQ130" s="31"/>
      <c r="IR130" s="31"/>
      <c r="IS130" s="31"/>
      <c r="IT130" s="31"/>
      <c r="IU130" s="31"/>
      <c r="IV130" s="31"/>
      <c r="IW130" s="31"/>
      <c r="IX130" s="31"/>
      <c r="IY130" s="31"/>
      <c r="IZ130" s="31"/>
      <c r="JA130" s="31"/>
      <c r="JB130" s="31"/>
      <c r="JC130" s="31"/>
      <c r="JD130" s="31"/>
      <c r="JE130" s="31"/>
      <c r="JF130" s="31"/>
    </row>
    <row r="131" customFormat="1" ht="17.25" spans="1:266">
      <c r="A131" s="32">
        <f>40000000+INDEX(编号表!$B:$B,MATCH(B131,编号表!$A:$A,0))*10000+C131</f>
        <v>40060002</v>
      </c>
      <c r="B131" s="27" t="s">
        <v>590</v>
      </c>
      <c r="C131" s="32">
        <v>2</v>
      </c>
      <c r="D131" s="32" t="s">
        <v>558</v>
      </c>
      <c r="E131" s="32" t="s">
        <v>437</v>
      </c>
      <c r="F131" s="31">
        <f t="shared" si="8"/>
        <v>4030550</v>
      </c>
      <c r="G131" s="31"/>
      <c r="H131" s="32"/>
      <c r="I131" s="32"/>
      <c r="J131" s="32">
        <f t="shared" si="9"/>
        <v>5</v>
      </c>
      <c r="K131" s="32"/>
      <c r="L131" s="32"/>
      <c r="M131" s="16" t="s">
        <v>591</v>
      </c>
      <c r="N131" s="16" t="s">
        <v>559</v>
      </c>
      <c r="O131" s="16" t="s">
        <v>527</v>
      </c>
      <c r="P131" s="32">
        <v>1000000</v>
      </c>
      <c r="Q131" s="32">
        <v>1</v>
      </c>
      <c r="R131" s="31"/>
      <c r="S131" s="32"/>
      <c r="T131" s="32"/>
      <c r="U131" s="16" t="s">
        <v>591</v>
      </c>
      <c r="V131" s="16" t="s">
        <v>560</v>
      </c>
      <c r="W131" s="16" t="s">
        <v>533</v>
      </c>
      <c r="X131" s="32">
        <v>3000000</v>
      </c>
      <c r="Y131" s="32">
        <v>1</v>
      </c>
      <c r="Z131" s="31"/>
      <c r="AA131" s="32"/>
      <c r="AB131" s="32"/>
      <c r="AC131" s="16" t="s">
        <v>591</v>
      </c>
      <c r="AD131" s="16" t="s">
        <v>560</v>
      </c>
      <c r="AE131" s="16" t="s">
        <v>537</v>
      </c>
      <c r="AF131" s="32">
        <v>30000</v>
      </c>
      <c r="AG131" s="32">
        <v>1</v>
      </c>
      <c r="AH131" s="31"/>
      <c r="AI131" s="31"/>
      <c r="AJ131" s="32"/>
      <c r="AK131" s="16" t="s">
        <v>591</v>
      </c>
      <c r="AL131" s="16" t="s">
        <v>560</v>
      </c>
      <c r="AM131" s="16" t="s">
        <v>542</v>
      </c>
      <c r="AN131" s="32">
        <v>500</v>
      </c>
      <c r="AO131" s="32">
        <v>1</v>
      </c>
      <c r="AP131" s="31"/>
      <c r="AQ131" s="31"/>
      <c r="AR131" s="32"/>
      <c r="AS131" s="16" t="s">
        <v>591</v>
      </c>
      <c r="AT131" s="16" t="s">
        <v>560</v>
      </c>
      <c r="AU131" s="16" t="s">
        <v>547</v>
      </c>
      <c r="AV131" s="32">
        <v>50</v>
      </c>
      <c r="AW131" s="32">
        <v>1</v>
      </c>
      <c r="AX131" s="31"/>
      <c r="AY131" s="31"/>
      <c r="AZ131" s="32"/>
      <c r="BA131" s="31"/>
      <c r="BB131" s="31"/>
      <c r="BC131" s="31"/>
      <c r="BD131" s="31"/>
      <c r="BE131" s="31"/>
      <c r="BF131" s="31"/>
      <c r="BG131" s="31"/>
      <c r="BH131" s="32"/>
      <c r="BI131" s="31"/>
      <c r="BJ131" s="31"/>
      <c r="BK131" s="31"/>
      <c r="BL131" s="31"/>
      <c r="BM131" s="31"/>
      <c r="BN131" s="31"/>
      <c r="BO131" s="31"/>
      <c r="BP131" s="32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  <c r="GI131" s="31"/>
      <c r="GJ131" s="31"/>
      <c r="GK131" s="31"/>
      <c r="GL131" s="31"/>
      <c r="GM131" s="31"/>
      <c r="GN131" s="31"/>
      <c r="GO131" s="31"/>
      <c r="GP131" s="31"/>
      <c r="GQ131" s="31"/>
      <c r="GR131" s="31"/>
      <c r="GS131" s="31"/>
      <c r="GT131" s="31"/>
      <c r="GU131" s="31"/>
      <c r="GV131" s="31"/>
      <c r="GW131" s="31"/>
      <c r="GX131" s="31"/>
      <c r="GY131" s="31"/>
      <c r="GZ131" s="31"/>
      <c r="HA131" s="31"/>
      <c r="HB131" s="31"/>
      <c r="HC131" s="31"/>
      <c r="HD131" s="31"/>
      <c r="HE131" s="31"/>
      <c r="HF131" s="31"/>
      <c r="HG131" s="31"/>
      <c r="HH131" s="31"/>
      <c r="HI131" s="31"/>
      <c r="HJ131" s="31"/>
      <c r="HK131" s="31"/>
      <c r="HL131" s="31"/>
      <c r="HM131" s="31"/>
      <c r="HN131" s="31"/>
      <c r="HO131" s="31"/>
      <c r="HP131" s="31"/>
      <c r="HQ131" s="31"/>
      <c r="HR131" s="31"/>
      <c r="HS131" s="31"/>
      <c r="HT131" s="31"/>
      <c r="HU131" s="31"/>
      <c r="HV131" s="31"/>
      <c r="HW131" s="31"/>
      <c r="HX131" s="31"/>
      <c r="HY131" s="31"/>
      <c r="HZ131" s="31"/>
      <c r="IA131" s="31"/>
      <c r="IB131" s="31"/>
      <c r="IC131" s="31"/>
      <c r="ID131" s="31"/>
      <c r="IE131" s="31"/>
      <c r="IF131" s="31"/>
      <c r="IG131" s="31"/>
      <c r="IH131" s="31"/>
      <c r="II131" s="31"/>
      <c r="IJ131" s="31"/>
      <c r="IK131" s="31"/>
      <c r="IL131" s="31"/>
      <c r="IM131" s="31"/>
      <c r="IN131" s="31"/>
      <c r="IO131" s="31"/>
      <c r="IP131" s="31"/>
      <c r="IQ131" s="31"/>
      <c r="IR131" s="31"/>
      <c r="IS131" s="31"/>
      <c r="IT131" s="31"/>
      <c r="IU131" s="31"/>
      <c r="IV131" s="31"/>
      <c r="IW131" s="31"/>
      <c r="IX131" s="31"/>
      <c r="IY131" s="31"/>
      <c r="IZ131" s="31"/>
      <c r="JA131" s="31"/>
      <c r="JB131" s="31"/>
      <c r="JC131" s="31"/>
      <c r="JD131" s="31"/>
      <c r="JE131" s="31"/>
      <c r="JF131" s="31"/>
    </row>
    <row r="132" customFormat="1" ht="17.25" spans="1:266">
      <c r="A132" s="32">
        <f>40000000+INDEX(编号表!$B:$B,MATCH(B132,编号表!$A:$A,0))*10000+C132</f>
        <v>40060003</v>
      </c>
      <c r="B132" s="27" t="s">
        <v>590</v>
      </c>
      <c r="C132" s="32">
        <v>3</v>
      </c>
      <c r="D132" s="32" t="s">
        <v>561</v>
      </c>
      <c r="E132" s="32" t="s">
        <v>437</v>
      </c>
      <c r="F132" s="31">
        <f t="shared" si="8"/>
        <v>4030550</v>
      </c>
      <c r="G132" s="31"/>
      <c r="H132" s="32"/>
      <c r="I132" s="32"/>
      <c r="J132" s="32">
        <f t="shared" si="9"/>
        <v>5</v>
      </c>
      <c r="K132" s="32"/>
      <c r="L132" s="32"/>
      <c r="M132" s="16" t="s">
        <v>591</v>
      </c>
      <c r="N132" s="16" t="s">
        <v>560</v>
      </c>
      <c r="O132" s="16" t="s">
        <v>527</v>
      </c>
      <c r="P132" s="32">
        <v>1000000</v>
      </c>
      <c r="Q132" s="32">
        <v>1</v>
      </c>
      <c r="R132" s="31"/>
      <c r="S132" s="32"/>
      <c r="T132" s="32"/>
      <c r="U132" s="16" t="s">
        <v>591</v>
      </c>
      <c r="V132" s="16" t="s">
        <v>559</v>
      </c>
      <c r="W132" s="16" t="s">
        <v>533</v>
      </c>
      <c r="X132" s="32">
        <v>3000000</v>
      </c>
      <c r="Y132" s="32">
        <v>1</v>
      </c>
      <c r="Z132" s="31"/>
      <c r="AA132" s="32"/>
      <c r="AB132" s="32"/>
      <c r="AC132" s="16" t="s">
        <v>591</v>
      </c>
      <c r="AD132" s="16" t="s">
        <v>559</v>
      </c>
      <c r="AE132" s="16" t="s">
        <v>537</v>
      </c>
      <c r="AF132" s="32">
        <v>30000</v>
      </c>
      <c r="AG132" s="32">
        <v>1</v>
      </c>
      <c r="AH132" s="31"/>
      <c r="AI132" s="31"/>
      <c r="AJ132" s="32"/>
      <c r="AK132" s="16" t="s">
        <v>591</v>
      </c>
      <c r="AL132" s="16" t="s">
        <v>559</v>
      </c>
      <c r="AM132" s="16" t="s">
        <v>542</v>
      </c>
      <c r="AN132" s="32">
        <v>500</v>
      </c>
      <c r="AO132" s="32">
        <v>1</v>
      </c>
      <c r="AP132" s="31"/>
      <c r="AQ132" s="31"/>
      <c r="AR132" s="32"/>
      <c r="AS132" s="16" t="s">
        <v>591</v>
      </c>
      <c r="AT132" s="16" t="s">
        <v>559</v>
      </c>
      <c r="AU132" s="16" t="s">
        <v>547</v>
      </c>
      <c r="AV132" s="32">
        <v>50</v>
      </c>
      <c r="AW132" s="32">
        <v>1</v>
      </c>
      <c r="AX132" s="31"/>
      <c r="AY132" s="31"/>
      <c r="AZ132" s="32"/>
      <c r="BA132" s="31"/>
      <c r="BB132" s="31"/>
      <c r="BC132" s="31"/>
      <c r="BD132" s="31"/>
      <c r="BE132" s="31"/>
      <c r="BF132" s="31"/>
      <c r="BG132" s="31"/>
      <c r="BH132" s="32"/>
      <c r="BI132" s="31"/>
      <c r="BJ132" s="31"/>
      <c r="BK132" s="31"/>
      <c r="BL132" s="31"/>
      <c r="BM132" s="31"/>
      <c r="BN132" s="31"/>
      <c r="BO132" s="31"/>
      <c r="BP132" s="32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  <c r="HG132" s="31"/>
      <c r="HH132" s="31"/>
      <c r="HI132" s="31"/>
      <c r="HJ132" s="31"/>
      <c r="HK132" s="31"/>
      <c r="HL132" s="31"/>
      <c r="HM132" s="31"/>
      <c r="HN132" s="31"/>
      <c r="HO132" s="31"/>
      <c r="HP132" s="31"/>
      <c r="HQ132" s="31"/>
      <c r="HR132" s="31"/>
      <c r="HS132" s="31"/>
      <c r="HT132" s="31"/>
      <c r="HU132" s="31"/>
      <c r="HV132" s="31"/>
      <c r="HW132" s="31"/>
      <c r="HX132" s="31"/>
      <c r="HY132" s="31"/>
      <c r="HZ132" s="31"/>
      <c r="IA132" s="31"/>
      <c r="IB132" s="31"/>
      <c r="IC132" s="31"/>
      <c r="ID132" s="31"/>
      <c r="IE132" s="31"/>
      <c r="IF132" s="31"/>
      <c r="IG132" s="31"/>
      <c r="IH132" s="31"/>
      <c r="II132" s="31"/>
      <c r="IJ132" s="31"/>
      <c r="IK132" s="31"/>
      <c r="IL132" s="31"/>
      <c r="IM132" s="31"/>
      <c r="IN132" s="31"/>
      <c r="IO132" s="31"/>
      <c r="IP132" s="31"/>
      <c r="IQ132" s="31"/>
      <c r="IR132" s="31"/>
      <c r="IS132" s="31"/>
      <c r="IT132" s="31"/>
      <c r="IU132" s="31"/>
      <c r="IV132" s="31"/>
      <c r="IW132" s="31"/>
      <c r="IX132" s="31"/>
      <c r="IY132" s="31"/>
      <c r="IZ132" s="31"/>
      <c r="JA132" s="31"/>
      <c r="JB132" s="31"/>
      <c r="JC132" s="31"/>
      <c r="JD132" s="31"/>
      <c r="JE132" s="31"/>
      <c r="JF132" s="31"/>
    </row>
    <row r="133" customFormat="1" ht="17.25" spans="1:266">
      <c r="A133" s="32">
        <f>40000000+INDEX(编号表!$B:$B,MATCH(B133,编号表!$A:$A,0))*10000+C133</f>
        <v>40060004</v>
      </c>
      <c r="B133" s="27" t="s">
        <v>590</v>
      </c>
      <c r="C133" s="32">
        <v>4</v>
      </c>
      <c r="D133" s="32" t="s">
        <v>562</v>
      </c>
      <c r="E133" s="32" t="s">
        <v>437</v>
      </c>
      <c r="F133" s="31">
        <f t="shared" si="8"/>
        <v>4030550</v>
      </c>
      <c r="G133" s="31"/>
      <c r="H133" s="32"/>
      <c r="I133" s="32"/>
      <c r="J133" s="32">
        <f t="shared" si="9"/>
        <v>5</v>
      </c>
      <c r="K133" s="32"/>
      <c r="L133" s="32"/>
      <c r="M133" s="16" t="s">
        <v>591</v>
      </c>
      <c r="N133" s="16" t="s">
        <v>526</v>
      </c>
      <c r="O133" s="16" t="s">
        <v>527</v>
      </c>
      <c r="P133" s="32">
        <v>1000000</v>
      </c>
      <c r="Q133" s="32">
        <v>1</v>
      </c>
      <c r="R133" s="31"/>
      <c r="S133" s="32"/>
      <c r="T133" s="32"/>
      <c r="U133" s="16" t="s">
        <v>591</v>
      </c>
      <c r="V133" s="16" t="s">
        <v>526</v>
      </c>
      <c r="W133" s="16" t="s">
        <v>533</v>
      </c>
      <c r="X133" s="32">
        <v>3000000</v>
      </c>
      <c r="Y133" s="32">
        <v>1</v>
      </c>
      <c r="Z133" s="31"/>
      <c r="AA133" s="32"/>
      <c r="AB133" s="32"/>
      <c r="AC133" s="16" t="s">
        <v>591</v>
      </c>
      <c r="AD133" s="16" t="s">
        <v>526</v>
      </c>
      <c r="AE133" s="16" t="s">
        <v>537</v>
      </c>
      <c r="AF133" s="32">
        <v>30000</v>
      </c>
      <c r="AG133" s="32">
        <v>1</v>
      </c>
      <c r="AH133" s="31"/>
      <c r="AI133" s="31"/>
      <c r="AJ133" s="32"/>
      <c r="AK133" s="16" t="s">
        <v>591</v>
      </c>
      <c r="AL133" s="16" t="s">
        <v>526</v>
      </c>
      <c r="AM133" s="16" t="s">
        <v>542</v>
      </c>
      <c r="AN133" s="32">
        <v>500</v>
      </c>
      <c r="AO133" s="32">
        <v>1</v>
      </c>
      <c r="AP133" s="31"/>
      <c r="AQ133" s="31"/>
      <c r="AR133" s="32"/>
      <c r="AS133" s="16" t="s">
        <v>591</v>
      </c>
      <c r="AT133" s="16" t="s">
        <v>526</v>
      </c>
      <c r="AU133" s="16" t="s">
        <v>547</v>
      </c>
      <c r="AV133" s="32">
        <v>50</v>
      </c>
      <c r="AW133" s="32">
        <v>1</v>
      </c>
      <c r="AX133" s="31"/>
      <c r="AY133" s="31"/>
      <c r="AZ133" s="32"/>
      <c r="BA133" s="31"/>
      <c r="BB133" s="31"/>
      <c r="BC133" s="31"/>
      <c r="BD133" s="31"/>
      <c r="BE133" s="31"/>
      <c r="BF133" s="31"/>
      <c r="BG133" s="31"/>
      <c r="BH133" s="32"/>
      <c r="BI133" s="31"/>
      <c r="BJ133" s="31"/>
      <c r="BK133" s="31"/>
      <c r="BL133" s="31"/>
      <c r="BM133" s="31"/>
      <c r="BN133" s="31"/>
      <c r="BO133" s="31"/>
      <c r="BP133" s="32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  <c r="HG133" s="31"/>
      <c r="HH133" s="31"/>
      <c r="HI133" s="31"/>
      <c r="HJ133" s="31"/>
      <c r="HK133" s="31"/>
      <c r="HL133" s="31"/>
      <c r="HM133" s="31"/>
      <c r="HN133" s="31"/>
      <c r="HO133" s="31"/>
      <c r="HP133" s="31"/>
      <c r="HQ133" s="31"/>
      <c r="HR133" s="31"/>
      <c r="HS133" s="31"/>
      <c r="HT133" s="31"/>
      <c r="HU133" s="31"/>
      <c r="HV133" s="31"/>
      <c r="HW133" s="31"/>
      <c r="HX133" s="31"/>
      <c r="HY133" s="31"/>
      <c r="HZ133" s="31"/>
      <c r="IA133" s="31"/>
      <c r="IB133" s="31"/>
      <c r="IC133" s="31"/>
      <c r="ID133" s="31"/>
      <c r="IE133" s="31"/>
      <c r="IF133" s="31"/>
      <c r="IG133" s="31"/>
      <c r="IH133" s="31"/>
      <c r="II133" s="31"/>
      <c r="IJ133" s="31"/>
      <c r="IK133" s="31"/>
      <c r="IL133" s="31"/>
      <c r="IM133" s="31"/>
      <c r="IN133" s="31"/>
      <c r="IO133" s="31"/>
      <c r="IP133" s="31"/>
      <c r="IQ133" s="31"/>
      <c r="IR133" s="31"/>
      <c r="IS133" s="31"/>
      <c r="IT133" s="31"/>
      <c r="IU133" s="31"/>
      <c r="IV133" s="31"/>
      <c r="IW133" s="31"/>
      <c r="IX133" s="31"/>
      <c r="IY133" s="31"/>
      <c r="IZ133" s="31"/>
      <c r="JA133" s="31"/>
      <c r="JB133" s="31"/>
      <c r="JC133" s="31"/>
      <c r="JD133" s="31"/>
      <c r="JE133" s="31"/>
      <c r="JF133" s="31"/>
    </row>
    <row r="134" customFormat="1" ht="17.25" spans="1:266">
      <c r="A134" s="32">
        <f>40000000+INDEX(编号表!$B:$B,MATCH(B134,编号表!$A:$A,0))*10000+C134</f>
        <v>40060005</v>
      </c>
      <c r="B134" s="27" t="s">
        <v>590</v>
      </c>
      <c r="C134" s="32">
        <v>5</v>
      </c>
      <c r="D134" s="32" t="s">
        <v>563</v>
      </c>
      <c r="E134" s="32" t="s">
        <v>437</v>
      </c>
      <c r="F134" s="31">
        <f t="shared" si="8"/>
        <v>4030550</v>
      </c>
      <c r="G134" s="31"/>
      <c r="H134" s="32"/>
      <c r="I134" s="32"/>
      <c r="J134" s="32">
        <f t="shared" si="9"/>
        <v>5</v>
      </c>
      <c r="K134" s="32"/>
      <c r="L134" s="32"/>
      <c r="M134" s="16" t="s">
        <v>591</v>
      </c>
      <c r="N134" s="16" t="s">
        <v>532</v>
      </c>
      <c r="O134" s="16" t="s">
        <v>527</v>
      </c>
      <c r="P134" s="32">
        <v>1000000</v>
      </c>
      <c r="Q134" s="32">
        <v>1</v>
      </c>
      <c r="R134" s="31"/>
      <c r="S134" s="32"/>
      <c r="T134" s="32"/>
      <c r="U134" s="16" t="s">
        <v>591</v>
      </c>
      <c r="V134" s="16" t="s">
        <v>532</v>
      </c>
      <c r="W134" s="16" t="s">
        <v>533</v>
      </c>
      <c r="X134" s="32">
        <v>3000000</v>
      </c>
      <c r="Y134" s="32">
        <v>1</v>
      </c>
      <c r="Z134" s="31"/>
      <c r="AA134" s="32"/>
      <c r="AB134" s="32"/>
      <c r="AC134" s="16" t="s">
        <v>591</v>
      </c>
      <c r="AD134" s="16" t="s">
        <v>532</v>
      </c>
      <c r="AE134" s="16" t="s">
        <v>537</v>
      </c>
      <c r="AF134" s="32">
        <v>30000</v>
      </c>
      <c r="AG134" s="32">
        <v>1</v>
      </c>
      <c r="AH134" s="31"/>
      <c r="AI134" s="31"/>
      <c r="AJ134" s="32"/>
      <c r="AK134" s="16" t="s">
        <v>591</v>
      </c>
      <c r="AL134" s="16" t="s">
        <v>532</v>
      </c>
      <c r="AM134" s="16" t="s">
        <v>542</v>
      </c>
      <c r="AN134" s="32">
        <v>500</v>
      </c>
      <c r="AO134" s="32">
        <v>1</v>
      </c>
      <c r="AP134" s="31"/>
      <c r="AQ134" s="31"/>
      <c r="AR134" s="32"/>
      <c r="AS134" s="16" t="s">
        <v>591</v>
      </c>
      <c r="AT134" s="16" t="s">
        <v>532</v>
      </c>
      <c r="AU134" s="16" t="s">
        <v>547</v>
      </c>
      <c r="AV134" s="32">
        <v>50</v>
      </c>
      <c r="AW134" s="32">
        <v>1</v>
      </c>
      <c r="AX134" s="31"/>
      <c r="AY134" s="31"/>
      <c r="AZ134" s="32"/>
      <c r="BA134" s="31"/>
      <c r="BB134" s="31"/>
      <c r="BC134" s="31"/>
      <c r="BD134" s="31"/>
      <c r="BE134" s="31"/>
      <c r="BF134" s="31"/>
      <c r="BG134" s="31"/>
      <c r="BH134" s="32"/>
      <c r="BI134" s="31"/>
      <c r="BJ134" s="31"/>
      <c r="BK134" s="31"/>
      <c r="BL134" s="31"/>
      <c r="BM134" s="31"/>
      <c r="BN134" s="31"/>
      <c r="BO134" s="31"/>
      <c r="BP134" s="32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/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/>
      <c r="IP134" s="31"/>
      <c r="IQ134" s="31"/>
      <c r="IR134" s="31"/>
      <c r="IS134" s="31"/>
      <c r="IT134" s="31"/>
      <c r="IU134" s="31"/>
      <c r="IV134" s="31"/>
      <c r="IW134" s="31"/>
      <c r="IX134" s="31"/>
      <c r="IY134" s="31"/>
      <c r="IZ134" s="31"/>
      <c r="JA134" s="31"/>
      <c r="JB134" s="31"/>
      <c r="JC134" s="31"/>
      <c r="JD134" s="31"/>
      <c r="JE134" s="31"/>
      <c r="JF134" s="31"/>
    </row>
    <row r="135" customFormat="1" ht="17.25" spans="1:266">
      <c r="A135" s="32">
        <f>40000000+INDEX(编号表!$B:$B,MATCH(B135,编号表!$A:$A,0))*10000+C135</f>
        <v>40060006</v>
      </c>
      <c r="B135" s="27" t="s">
        <v>590</v>
      </c>
      <c r="C135" s="32">
        <v>6</v>
      </c>
      <c r="D135" s="32" t="s">
        <v>564</v>
      </c>
      <c r="E135" s="32"/>
      <c r="F135" s="31"/>
      <c r="G135" s="31"/>
      <c r="H135" s="32"/>
      <c r="I135" s="32"/>
      <c r="J135" s="32">
        <f t="shared" ref="J135:J143" si="10">COUNT(P135,X135,AF135,AN135,AV135,BD135,BL135,BT135,CB135,CJ135,CR135,CZ135,DH135,DP135,DX135,EF135,EN135,EV135,FD135,FL135,FT135,GB135,GJ135,GR135,GZ135,HH135,HP135,HX135,IF135,IN135,IV135,JD135)</f>
        <v>5</v>
      </c>
      <c r="K135" s="32"/>
      <c r="L135" s="32"/>
      <c r="M135" s="16" t="s">
        <v>591</v>
      </c>
      <c r="N135" s="16" t="s">
        <v>565</v>
      </c>
      <c r="O135" s="16" t="s">
        <v>527</v>
      </c>
      <c r="P135" s="32">
        <v>1000000</v>
      </c>
      <c r="Q135" s="32">
        <v>1</v>
      </c>
      <c r="R135" s="31"/>
      <c r="S135" s="32"/>
      <c r="T135" s="32"/>
      <c r="U135" s="16" t="s">
        <v>591</v>
      </c>
      <c r="V135" s="16" t="s">
        <v>565</v>
      </c>
      <c r="W135" s="16" t="s">
        <v>533</v>
      </c>
      <c r="X135" s="32">
        <v>3000000</v>
      </c>
      <c r="Y135" s="32">
        <v>1</v>
      </c>
      <c r="Z135" s="31"/>
      <c r="AA135" s="32"/>
      <c r="AB135" s="32"/>
      <c r="AC135" s="16" t="s">
        <v>591</v>
      </c>
      <c r="AD135" s="16" t="s">
        <v>565</v>
      </c>
      <c r="AE135" s="16" t="s">
        <v>537</v>
      </c>
      <c r="AF135" s="32">
        <v>30000</v>
      </c>
      <c r="AG135" s="32">
        <v>1</v>
      </c>
      <c r="AH135" s="31"/>
      <c r="AI135" s="31"/>
      <c r="AJ135" s="32"/>
      <c r="AK135" s="16" t="s">
        <v>591</v>
      </c>
      <c r="AL135" s="16" t="s">
        <v>565</v>
      </c>
      <c r="AM135" s="16" t="s">
        <v>542</v>
      </c>
      <c r="AN135" s="32">
        <v>500</v>
      </c>
      <c r="AO135" s="32">
        <v>1</v>
      </c>
      <c r="AP135" s="31"/>
      <c r="AQ135" s="31"/>
      <c r="AR135" s="32"/>
      <c r="AS135" s="16" t="s">
        <v>591</v>
      </c>
      <c r="AT135" s="16" t="s">
        <v>565</v>
      </c>
      <c r="AU135" s="16" t="s">
        <v>547</v>
      </c>
      <c r="AV135" s="32">
        <v>50</v>
      </c>
      <c r="AW135" s="32">
        <v>1</v>
      </c>
      <c r="AX135" s="31"/>
      <c r="AY135" s="31"/>
      <c r="AZ135" s="32"/>
      <c r="BA135" s="31"/>
      <c r="BB135" s="31"/>
      <c r="BC135" s="31"/>
      <c r="BD135" s="31"/>
      <c r="BE135" s="31"/>
      <c r="BF135" s="31"/>
      <c r="BG135" s="31"/>
      <c r="BH135" s="32"/>
      <c r="BI135" s="31"/>
      <c r="BJ135" s="31"/>
      <c r="BK135" s="31"/>
      <c r="BL135" s="31"/>
      <c r="BM135" s="31"/>
      <c r="BN135" s="31"/>
      <c r="BO135" s="31"/>
      <c r="BP135" s="32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  <c r="HI135" s="31"/>
      <c r="HJ135" s="31"/>
      <c r="HK135" s="31"/>
      <c r="HL135" s="31"/>
      <c r="HM135" s="31"/>
      <c r="HN135" s="31"/>
      <c r="HO135" s="31"/>
      <c r="HP135" s="31"/>
      <c r="HQ135" s="31"/>
      <c r="HR135" s="31"/>
      <c r="HS135" s="31"/>
      <c r="HT135" s="31"/>
      <c r="HU135" s="31"/>
      <c r="HV135" s="31"/>
      <c r="HW135" s="31"/>
      <c r="HX135" s="31"/>
      <c r="HY135" s="31"/>
      <c r="HZ135" s="31"/>
      <c r="IA135" s="31"/>
      <c r="IB135" s="31"/>
      <c r="IC135" s="31"/>
      <c r="ID135" s="31"/>
      <c r="IE135" s="31"/>
      <c r="IF135" s="31"/>
      <c r="IG135" s="31"/>
      <c r="IH135" s="31"/>
      <c r="II135" s="31"/>
      <c r="IJ135" s="31"/>
      <c r="IK135" s="31"/>
      <c r="IL135" s="31"/>
      <c r="IM135" s="31"/>
      <c r="IN135" s="31"/>
      <c r="IO135" s="31"/>
      <c r="IP135" s="31"/>
      <c r="IQ135" s="31"/>
      <c r="IR135" s="31"/>
      <c r="IS135" s="31"/>
      <c r="IT135" s="31"/>
      <c r="IU135" s="31"/>
      <c r="IV135" s="31"/>
      <c r="IW135" s="31"/>
      <c r="IX135" s="31"/>
      <c r="IY135" s="31"/>
      <c r="IZ135" s="31"/>
      <c r="JA135" s="31"/>
      <c r="JB135" s="31"/>
      <c r="JC135" s="31"/>
      <c r="JD135" s="31"/>
      <c r="JE135" s="31"/>
      <c r="JF135" s="31"/>
    </row>
    <row r="136" customFormat="1" ht="17.25" spans="1:266">
      <c r="A136" s="32">
        <f>40000000+INDEX(编号表!$B:$B,MATCH(B136,编号表!$A:$A,0))*10000+C136</f>
        <v>40060007</v>
      </c>
      <c r="B136" s="27" t="s">
        <v>590</v>
      </c>
      <c r="C136" s="32">
        <v>7</v>
      </c>
      <c r="D136" s="32" t="s">
        <v>566</v>
      </c>
      <c r="E136" s="32"/>
      <c r="F136" s="31"/>
      <c r="G136" s="31"/>
      <c r="H136" s="32"/>
      <c r="I136" s="32"/>
      <c r="J136" s="32">
        <f t="shared" si="10"/>
        <v>5</v>
      </c>
      <c r="K136" s="32"/>
      <c r="L136" s="32"/>
      <c r="M136" s="16" t="s">
        <v>591</v>
      </c>
      <c r="N136" s="16" t="s">
        <v>536</v>
      </c>
      <c r="O136" s="16" t="s">
        <v>527</v>
      </c>
      <c r="P136" s="32">
        <v>1000000</v>
      </c>
      <c r="Q136" s="32">
        <v>1</v>
      </c>
      <c r="R136" s="31"/>
      <c r="S136" s="32"/>
      <c r="T136" s="32"/>
      <c r="U136" s="16" t="s">
        <v>591</v>
      </c>
      <c r="V136" s="16" t="s">
        <v>536</v>
      </c>
      <c r="W136" s="16" t="s">
        <v>533</v>
      </c>
      <c r="X136" s="32">
        <v>3000000</v>
      </c>
      <c r="Y136" s="32">
        <v>1</v>
      </c>
      <c r="Z136" s="31"/>
      <c r="AA136" s="32"/>
      <c r="AB136" s="32"/>
      <c r="AC136" s="16" t="s">
        <v>591</v>
      </c>
      <c r="AD136" s="16" t="s">
        <v>536</v>
      </c>
      <c r="AE136" s="16" t="s">
        <v>537</v>
      </c>
      <c r="AF136" s="32">
        <v>30000</v>
      </c>
      <c r="AG136" s="32">
        <v>1</v>
      </c>
      <c r="AH136" s="31"/>
      <c r="AI136" s="31"/>
      <c r="AJ136" s="32"/>
      <c r="AK136" s="16" t="s">
        <v>591</v>
      </c>
      <c r="AL136" s="16" t="s">
        <v>536</v>
      </c>
      <c r="AM136" s="16" t="s">
        <v>542</v>
      </c>
      <c r="AN136" s="32">
        <v>500</v>
      </c>
      <c r="AO136" s="32">
        <v>1</v>
      </c>
      <c r="AP136" s="31"/>
      <c r="AQ136" s="31"/>
      <c r="AR136" s="32"/>
      <c r="AS136" s="16" t="s">
        <v>591</v>
      </c>
      <c r="AT136" s="16" t="s">
        <v>536</v>
      </c>
      <c r="AU136" s="16" t="s">
        <v>547</v>
      </c>
      <c r="AV136" s="32">
        <v>50</v>
      </c>
      <c r="AW136" s="32">
        <v>1</v>
      </c>
      <c r="AX136" s="31"/>
      <c r="AY136" s="31"/>
      <c r="AZ136" s="32"/>
      <c r="BA136" s="31"/>
      <c r="BB136" s="31"/>
      <c r="BC136" s="31"/>
      <c r="BD136" s="31"/>
      <c r="BE136" s="31"/>
      <c r="BF136" s="31"/>
      <c r="BG136" s="31"/>
      <c r="BH136" s="32"/>
      <c r="BI136" s="31"/>
      <c r="BJ136" s="31"/>
      <c r="BK136" s="31"/>
      <c r="BL136" s="31"/>
      <c r="BM136" s="31"/>
      <c r="BN136" s="31"/>
      <c r="BO136" s="31"/>
      <c r="BP136" s="32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  <c r="HG136" s="31"/>
      <c r="HH136" s="31"/>
      <c r="HI136" s="31"/>
      <c r="HJ136" s="31"/>
      <c r="HK136" s="31"/>
      <c r="HL136" s="31"/>
      <c r="HM136" s="31"/>
      <c r="HN136" s="31"/>
      <c r="HO136" s="31"/>
      <c r="HP136" s="31"/>
      <c r="HQ136" s="31"/>
      <c r="HR136" s="31"/>
      <c r="HS136" s="31"/>
      <c r="HT136" s="31"/>
      <c r="HU136" s="31"/>
      <c r="HV136" s="31"/>
      <c r="HW136" s="31"/>
      <c r="HX136" s="31"/>
      <c r="HY136" s="31"/>
      <c r="HZ136" s="31"/>
      <c r="IA136" s="31"/>
      <c r="IB136" s="31"/>
      <c r="IC136" s="31"/>
      <c r="ID136" s="31"/>
      <c r="IE136" s="31"/>
      <c r="IF136" s="31"/>
      <c r="IG136" s="31"/>
      <c r="IH136" s="31"/>
      <c r="II136" s="31"/>
      <c r="IJ136" s="31"/>
      <c r="IK136" s="31"/>
      <c r="IL136" s="31"/>
      <c r="IM136" s="31"/>
      <c r="IN136" s="31"/>
      <c r="IO136" s="31"/>
      <c r="IP136" s="31"/>
      <c r="IQ136" s="31"/>
      <c r="IR136" s="31"/>
      <c r="IS136" s="31"/>
      <c r="IT136" s="31"/>
      <c r="IU136" s="31"/>
      <c r="IV136" s="31"/>
      <c r="IW136" s="31"/>
      <c r="IX136" s="31"/>
      <c r="IY136" s="31"/>
      <c r="IZ136" s="31"/>
      <c r="JA136" s="31"/>
      <c r="JB136" s="31"/>
      <c r="JC136" s="31"/>
      <c r="JD136" s="31"/>
      <c r="JE136" s="31"/>
      <c r="JF136" s="31"/>
    </row>
    <row r="137" customFormat="1" ht="17.25" spans="1:266">
      <c r="A137" s="32">
        <f>40000000+INDEX(编号表!$B:$B,MATCH(B137,编号表!$A:$A,0))*10000+C137</f>
        <v>40060008</v>
      </c>
      <c r="B137" s="27" t="s">
        <v>590</v>
      </c>
      <c r="C137" s="32">
        <v>8</v>
      </c>
      <c r="D137" s="32" t="s">
        <v>567</v>
      </c>
      <c r="E137" s="32"/>
      <c r="F137" s="31"/>
      <c r="G137" s="31"/>
      <c r="H137" s="32"/>
      <c r="I137" s="32"/>
      <c r="J137" s="32">
        <f t="shared" si="10"/>
        <v>5</v>
      </c>
      <c r="K137" s="32"/>
      <c r="L137" s="32"/>
      <c r="M137" s="16" t="s">
        <v>591</v>
      </c>
      <c r="N137" s="16" t="s">
        <v>539</v>
      </c>
      <c r="O137" s="16" t="s">
        <v>527</v>
      </c>
      <c r="P137" s="32">
        <v>1000000</v>
      </c>
      <c r="Q137" s="32">
        <v>1</v>
      </c>
      <c r="R137" s="31"/>
      <c r="S137" s="32"/>
      <c r="T137" s="32"/>
      <c r="U137" s="16" t="s">
        <v>591</v>
      </c>
      <c r="V137" s="16" t="s">
        <v>539</v>
      </c>
      <c r="W137" s="16" t="s">
        <v>533</v>
      </c>
      <c r="X137" s="32">
        <v>3000000</v>
      </c>
      <c r="Y137" s="32">
        <v>1</v>
      </c>
      <c r="Z137" s="31"/>
      <c r="AA137" s="32"/>
      <c r="AB137" s="32"/>
      <c r="AC137" s="16" t="s">
        <v>591</v>
      </c>
      <c r="AD137" s="16" t="s">
        <v>539</v>
      </c>
      <c r="AE137" s="16" t="s">
        <v>537</v>
      </c>
      <c r="AF137" s="32">
        <v>30000</v>
      </c>
      <c r="AG137" s="32">
        <v>1</v>
      </c>
      <c r="AH137" s="31"/>
      <c r="AI137" s="31"/>
      <c r="AJ137" s="32"/>
      <c r="AK137" s="16" t="s">
        <v>591</v>
      </c>
      <c r="AL137" s="16" t="s">
        <v>539</v>
      </c>
      <c r="AM137" s="16" t="s">
        <v>542</v>
      </c>
      <c r="AN137" s="32">
        <v>500</v>
      </c>
      <c r="AO137" s="32">
        <v>1</v>
      </c>
      <c r="AP137" s="31"/>
      <c r="AQ137" s="31"/>
      <c r="AR137" s="32"/>
      <c r="AS137" s="16" t="s">
        <v>591</v>
      </c>
      <c r="AT137" s="16" t="s">
        <v>539</v>
      </c>
      <c r="AU137" s="16" t="s">
        <v>547</v>
      </c>
      <c r="AV137" s="32">
        <v>50</v>
      </c>
      <c r="AW137" s="32">
        <v>1</v>
      </c>
      <c r="AX137" s="31"/>
      <c r="AY137" s="31"/>
      <c r="AZ137" s="32"/>
      <c r="BA137" s="31"/>
      <c r="BB137" s="31"/>
      <c r="BC137" s="31"/>
      <c r="BD137" s="31"/>
      <c r="BE137" s="31"/>
      <c r="BF137" s="31"/>
      <c r="BG137" s="31"/>
      <c r="BH137" s="32"/>
      <c r="BI137" s="31"/>
      <c r="BJ137" s="31"/>
      <c r="BK137" s="31"/>
      <c r="BL137" s="31"/>
      <c r="BM137" s="31"/>
      <c r="BN137" s="31"/>
      <c r="BO137" s="31"/>
      <c r="BP137" s="32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  <c r="HG137" s="31"/>
      <c r="HH137" s="31"/>
      <c r="HI137" s="31"/>
      <c r="HJ137" s="31"/>
      <c r="HK137" s="31"/>
      <c r="HL137" s="31"/>
      <c r="HM137" s="31"/>
      <c r="HN137" s="31"/>
      <c r="HO137" s="31"/>
      <c r="HP137" s="31"/>
      <c r="HQ137" s="31"/>
      <c r="HR137" s="31"/>
      <c r="HS137" s="31"/>
      <c r="HT137" s="31"/>
      <c r="HU137" s="31"/>
      <c r="HV137" s="31"/>
      <c r="HW137" s="31"/>
      <c r="HX137" s="31"/>
      <c r="HY137" s="31"/>
      <c r="HZ137" s="31"/>
      <c r="IA137" s="31"/>
      <c r="IB137" s="31"/>
      <c r="IC137" s="31"/>
      <c r="ID137" s="31"/>
      <c r="IE137" s="31"/>
      <c r="IF137" s="31"/>
      <c r="IG137" s="31"/>
      <c r="IH137" s="31"/>
      <c r="II137" s="31"/>
      <c r="IJ137" s="31"/>
      <c r="IK137" s="31"/>
      <c r="IL137" s="31"/>
      <c r="IM137" s="31"/>
      <c r="IN137" s="31"/>
      <c r="IO137" s="31"/>
      <c r="IP137" s="31"/>
      <c r="IQ137" s="31"/>
      <c r="IR137" s="31"/>
      <c r="IS137" s="31"/>
      <c r="IT137" s="31"/>
      <c r="IU137" s="31"/>
      <c r="IV137" s="31"/>
      <c r="IW137" s="31"/>
      <c r="IX137" s="31"/>
      <c r="IY137" s="31"/>
      <c r="IZ137" s="31"/>
      <c r="JA137" s="31"/>
      <c r="JB137" s="31"/>
      <c r="JC137" s="31"/>
      <c r="JD137" s="31"/>
      <c r="JE137" s="31"/>
      <c r="JF137" s="31"/>
    </row>
    <row r="138" customFormat="1" ht="17.25" spans="1:266">
      <c r="A138" s="32">
        <f>40000000+INDEX(编号表!$B:$B,MATCH(B138,编号表!$A:$A,0))*10000+C138</f>
        <v>40060009</v>
      </c>
      <c r="B138" s="27" t="s">
        <v>590</v>
      </c>
      <c r="C138" s="32">
        <v>9</v>
      </c>
      <c r="D138" s="32" t="s">
        <v>568</v>
      </c>
      <c r="E138" s="32"/>
      <c r="F138" s="31"/>
      <c r="G138" s="31"/>
      <c r="H138" s="32"/>
      <c r="I138" s="32"/>
      <c r="J138" s="32">
        <f t="shared" si="10"/>
        <v>5</v>
      </c>
      <c r="K138" s="32"/>
      <c r="L138" s="32"/>
      <c r="M138" s="16" t="s">
        <v>591</v>
      </c>
      <c r="N138" s="16" t="s">
        <v>541</v>
      </c>
      <c r="O138" s="16" t="s">
        <v>527</v>
      </c>
      <c r="P138" s="32">
        <v>1000000</v>
      </c>
      <c r="Q138" s="32">
        <v>1</v>
      </c>
      <c r="R138" s="31"/>
      <c r="S138" s="32"/>
      <c r="T138" s="32"/>
      <c r="U138" s="16" t="s">
        <v>591</v>
      </c>
      <c r="V138" s="16" t="s">
        <v>541</v>
      </c>
      <c r="W138" s="16" t="s">
        <v>533</v>
      </c>
      <c r="X138" s="32">
        <v>3000000</v>
      </c>
      <c r="Y138" s="32">
        <v>1</v>
      </c>
      <c r="Z138" s="31"/>
      <c r="AA138" s="32"/>
      <c r="AB138" s="32"/>
      <c r="AC138" s="16" t="s">
        <v>591</v>
      </c>
      <c r="AD138" s="16" t="s">
        <v>541</v>
      </c>
      <c r="AE138" s="16" t="s">
        <v>537</v>
      </c>
      <c r="AF138" s="32">
        <v>30000</v>
      </c>
      <c r="AG138" s="32">
        <v>1</v>
      </c>
      <c r="AH138" s="31"/>
      <c r="AI138" s="31"/>
      <c r="AJ138" s="32"/>
      <c r="AK138" s="16" t="s">
        <v>591</v>
      </c>
      <c r="AL138" s="16" t="s">
        <v>541</v>
      </c>
      <c r="AM138" s="16" t="s">
        <v>542</v>
      </c>
      <c r="AN138" s="32">
        <v>500</v>
      </c>
      <c r="AO138" s="32">
        <v>1</v>
      </c>
      <c r="AP138" s="31"/>
      <c r="AQ138" s="31"/>
      <c r="AR138" s="32"/>
      <c r="AS138" s="16" t="s">
        <v>591</v>
      </c>
      <c r="AT138" s="16" t="s">
        <v>541</v>
      </c>
      <c r="AU138" s="16" t="s">
        <v>547</v>
      </c>
      <c r="AV138" s="32">
        <v>50</v>
      </c>
      <c r="AW138" s="32">
        <v>1</v>
      </c>
      <c r="AX138" s="31"/>
      <c r="AY138" s="31"/>
      <c r="AZ138" s="32"/>
      <c r="BA138" s="31"/>
      <c r="BB138" s="31"/>
      <c r="BC138" s="31"/>
      <c r="BD138" s="31"/>
      <c r="BE138" s="31"/>
      <c r="BF138" s="31"/>
      <c r="BG138" s="31"/>
      <c r="BH138" s="32"/>
      <c r="BI138" s="31"/>
      <c r="BJ138" s="31"/>
      <c r="BK138" s="31"/>
      <c r="BL138" s="31"/>
      <c r="BM138" s="31"/>
      <c r="BN138" s="31"/>
      <c r="BO138" s="31"/>
      <c r="BP138" s="32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  <c r="HE138" s="31"/>
      <c r="HF138" s="31"/>
      <c r="HG138" s="31"/>
      <c r="HH138" s="31"/>
      <c r="HI138" s="31"/>
      <c r="HJ138" s="31"/>
      <c r="HK138" s="31"/>
      <c r="HL138" s="31"/>
      <c r="HM138" s="31"/>
      <c r="HN138" s="31"/>
      <c r="HO138" s="31"/>
      <c r="HP138" s="31"/>
      <c r="HQ138" s="31"/>
      <c r="HR138" s="31"/>
      <c r="HS138" s="31"/>
      <c r="HT138" s="31"/>
      <c r="HU138" s="31"/>
      <c r="HV138" s="31"/>
      <c r="HW138" s="31"/>
      <c r="HX138" s="31"/>
      <c r="HY138" s="31"/>
      <c r="HZ138" s="31"/>
      <c r="IA138" s="31"/>
      <c r="IB138" s="31"/>
      <c r="IC138" s="31"/>
      <c r="ID138" s="31"/>
      <c r="IE138" s="31"/>
      <c r="IF138" s="31"/>
      <c r="IG138" s="31"/>
      <c r="IH138" s="31"/>
      <c r="II138" s="31"/>
      <c r="IJ138" s="31"/>
      <c r="IK138" s="31"/>
      <c r="IL138" s="31"/>
      <c r="IM138" s="31"/>
      <c r="IN138" s="31"/>
      <c r="IO138" s="31"/>
      <c r="IP138" s="31"/>
      <c r="IQ138" s="31"/>
      <c r="IR138" s="31"/>
      <c r="IS138" s="31"/>
      <c r="IT138" s="31"/>
      <c r="IU138" s="31"/>
      <c r="IV138" s="31"/>
      <c r="IW138" s="31"/>
      <c r="IX138" s="31"/>
      <c r="IY138" s="31"/>
      <c r="IZ138" s="31"/>
      <c r="JA138" s="31"/>
      <c r="JB138" s="31"/>
      <c r="JC138" s="31"/>
      <c r="JD138" s="31"/>
      <c r="JE138" s="31"/>
      <c r="JF138" s="31"/>
    </row>
    <row r="139" customFormat="1" ht="17.25" spans="1:266">
      <c r="A139" s="32">
        <f>40000000+INDEX(编号表!$B:$B,MATCH(B139,编号表!$A:$A,0))*10000+C139</f>
        <v>40060010</v>
      </c>
      <c r="B139" s="27" t="s">
        <v>590</v>
      </c>
      <c r="C139" s="32">
        <v>10</v>
      </c>
      <c r="D139" s="32" t="s">
        <v>569</v>
      </c>
      <c r="E139" s="32"/>
      <c r="F139" s="31"/>
      <c r="G139" s="31"/>
      <c r="H139" s="32"/>
      <c r="I139" s="32"/>
      <c r="J139" s="32">
        <f t="shared" si="10"/>
        <v>5</v>
      </c>
      <c r="K139" s="32"/>
      <c r="L139" s="32"/>
      <c r="M139" s="16" t="s">
        <v>591</v>
      </c>
      <c r="N139" s="16" t="s">
        <v>544</v>
      </c>
      <c r="O139" s="16" t="s">
        <v>527</v>
      </c>
      <c r="P139" s="32">
        <v>1000000</v>
      </c>
      <c r="Q139" s="32">
        <v>1</v>
      </c>
      <c r="R139" s="31"/>
      <c r="S139" s="32"/>
      <c r="T139" s="32"/>
      <c r="U139" s="16" t="s">
        <v>591</v>
      </c>
      <c r="V139" s="16" t="s">
        <v>544</v>
      </c>
      <c r="W139" s="16" t="s">
        <v>533</v>
      </c>
      <c r="X139" s="32">
        <v>3000000</v>
      </c>
      <c r="Y139" s="32">
        <v>1</v>
      </c>
      <c r="Z139" s="31"/>
      <c r="AA139" s="32"/>
      <c r="AB139" s="32"/>
      <c r="AC139" s="16" t="s">
        <v>591</v>
      </c>
      <c r="AD139" s="16" t="s">
        <v>544</v>
      </c>
      <c r="AE139" s="16" t="s">
        <v>537</v>
      </c>
      <c r="AF139" s="32">
        <v>30000</v>
      </c>
      <c r="AG139" s="32">
        <v>1</v>
      </c>
      <c r="AH139" s="31"/>
      <c r="AI139" s="31"/>
      <c r="AJ139" s="32"/>
      <c r="AK139" s="16" t="s">
        <v>591</v>
      </c>
      <c r="AL139" s="16" t="s">
        <v>544</v>
      </c>
      <c r="AM139" s="16" t="s">
        <v>542</v>
      </c>
      <c r="AN139" s="32">
        <v>500</v>
      </c>
      <c r="AO139" s="32">
        <v>1</v>
      </c>
      <c r="AP139" s="31"/>
      <c r="AQ139" s="31"/>
      <c r="AR139" s="32"/>
      <c r="AS139" s="16" t="s">
        <v>591</v>
      </c>
      <c r="AT139" s="16" t="s">
        <v>544</v>
      </c>
      <c r="AU139" s="16" t="s">
        <v>547</v>
      </c>
      <c r="AV139" s="32">
        <v>50</v>
      </c>
      <c r="AW139" s="32">
        <v>1</v>
      </c>
      <c r="AX139" s="31"/>
      <c r="AY139" s="31"/>
      <c r="AZ139" s="32"/>
      <c r="BA139" s="31"/>
      <c r="BB139" s="31"/>
      <c r="BC139" s="31"/>
      <c r="BD139" s="31"/>
      <c r="BE139" s="31"/>
      <c r="BF139" s="31"/>
      <c r="BG139" s="31"/>
      <c r="BH139" s="32"/>
      <c r="BI139" s="31"/>
      <c r="BJ139" s="31"/>
      <c r="BK139" s="31"/>
      <c r="BL139" s="31"/>
      <c r="BM139" s="31"/>
      <c r="BN139" s="31"/>
      <c r="BO139" s="31"/>
      <c r="BP139" s="32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/>
      <c r="HK139" s="31"/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  <c r="IA139" s="31"/>
      <c r="IB139" s="31"/>
      <c r="IC139" s="31"/>
      <c r="ID139" s="31"/>
      <c r="IE139" s="31"/>
      <c r="IF139" s="31"/>
      <c r="IG139" s="31"/>
      <c r="IH139" s="31"/>
      <c r="II139" s="31"/>
      <c r="IJ139" s="31"/>
      <c r="IK139" s="31"/>
      <c r="IL139" s="31"/>
      <c r="IM139" s="31"/>
      <c r="IN139" s="31"/>
      <c r="IO139" s="31"/>
      <c r="IP139" s="31"/>
      <c r="IQ139" s="31"/>
      <c r="IR139" s="31"/>
      <c r="IS139" s="31"/>
      <c r="IT139" s="31"/>
      <c r="IU139" s="31"/>
      <c r="IV139" s="31"/>
      <c r="IW139" s="31"/>
      <c r="IX139" s="31"/>
      <c r="IY139" s="31"/>
      <c r="IZ139" s="31"/>
      <c r="JA139" s="31"/>
      <c r="JB139" s="31"/>
      <c r="JC139" s="31"/>
      <c r="JD139" s="31"/>
      <c r="JE139" s="31"/>
      <c r="JF139" s="31"/>
    </row>
    <row r="140" customFormat="1" ht="17.25" spans="1:266">
      <c r="A140" s="32">
        <f>40000000+INDEX(编号表!$B:$B,MATCH(B140,编号表!$A:$A,0))*10000+C140</f>
        <v>40060011</v>
      </c>
      <c r="B140" s="27" t="s">
        <v>590</v>
      </c>
      <c r="C140" s="32">
        <v>11</v>
      </c>
      <c r="D140" s="32" t="s">
        <v>570</v>
      </c>
      <c r="E140" s="32"/>
      <c r="F140" s="31"/>
      <c r="G140" s="31"/>
      <c r="H140" s="32"/>
      <c r="I140" s="32"/>
      <c r="J140" s="32">
        <f t="shared" si="10"/>
        <v>5</v>
      </c>
      <c r="K140" s="32"/>
      <c r="L140" s="32"/>
      <c r="M140" s="16" t="s">
        <v>591</v>
      </c>
      <c r="N140" s="16" t="s">
        <v>546</v>
      </c>
      <c r="O140" s="16" t="s">
        <v>527</v>
      </c>
      <c r="P140" s="32">
        <v>1000000</v>
      </c>
      <c r="Q140" s="32">
        <v>1</v>
      </c>
      <c r="R140" s="31"/>
      <c r="S140" s="32"/>
      <c r="T140" s="32"/>
      <c r="U140" s="16" t="s">
        <v>591</v>
      </c>
      <c r="V140" s="16" t="s">
        <v>546</v>
      </c>
      <c r="W140" s="16" t="s">
        <v>533</v>
      </c>
      <c r="X140" s="32">
        <v>3000000</v>
      </c>
      <c r="Y140" s="32">
        <v>1</v>
      </c>
      <c r="Z140" s="31"/>
      <c r="AA140" s="32"/>
      <c r="AB140" s="32"/>
      <c r="AC140" s="16" t="s">
        <v>591</v>
      </c>
      <c r="AD140" s="16" t="s">
        <v>546</v>
      </c>
      <c r="AE140" s="16" t="s">
        <v>537</v>
      </c>
      <c r="AF140" s="32">
        <v>30000</v>
      </c>
      <c r="AG140" s="32">
        <v>1</v>
      </c>
      <c r="AH140" s="31"/>
      <c r="AI140" s="31"/>
      <c r="AJ140" s="32"/>
      <c r="AK140" s="16" t="s">
        <v>591</v>
      </c>
      <c r="AL140" s="16" t="s">
        <v>546</v>
      </c>
      <c r="AM140" s="16" t="s">
        <v>542</v>
      </c>
      <c r="AN140" s="32">
        <v>500</v>
      </c>
      <c r="AO140" s="32">
        <v>1</v>
      </c>
      <c r="AP140" s="31"/>
      <c r="AQ140" s="31"/>
      <c r="AR140" s="32"/>
      <c r="AS140" s="16" t="s">
        <v>591</v>
      </c>
      <c r="AT140" s="16" t="s">
        <v>546</v>
      </c>
      <c r="AU140" s="16" t="s">
        <v>547</v>
      </c>
      <c r="AV140" s="32">
        <v>50</v>
      </c>
      <c r="AW140" s="32">
        <v>1</v>
      </c>
      <c r="AX140" s="31"/>
      <c r="AY140" s="31"/>
      <c r="AZ140" s="32"/>
      <c r="BA140" s="31"/>
      <c r="BB140" s="31"/>
      <c r="BC140" s="31"/>
      <c r="BD140" s="31"/>
      <c r="BE140" s="31"/>
      <c r="BF140" s="31"/>
      <c r="BG140" s="31"/>
      <c r="BH140" s="32"/>
      <c r="BI140" s="31"/>
      <c r="BJ140" s="31"/>
      <c r="BK140" s="31"/>
      <c r="BL140" s="31"/>
      <c r="BM140" s="31"/>
      <c r="BN140" s="31"/>
      <c r="BO140" s="31"/>
      <c r="BP140" s="32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  <c r="HI140" s="31"/>
      <c r="HJ140" s="31"/>
      <c r="HK140" s="31"/>
      <c r="HL140" s="31"/>
      <c r="HM140" s="31"/>
      <c r="HN140" s="31"/>
      <c r="HO140" s="31"/>
      <c r="HP140" s="31"/>
      <c r="HQ140" s="31"/>
      <c r="HR140" s="31"/>
      <c r="HS140" s="31"/>
      <c r="HT140" s="31"/>
      <c r="HU140" s="31"/>
      <c r="HV140" s="31"/>
      <c r="HW140" s="31"/>
      <c r="HX140" s="31"/>
      <c r="HY140" s="31"/>
      <c r="HZ140" s="31"/>
      <c r="IA140" s="31"/>
      <c r="IB140" s="31"/>
      <c r="IC140" s="31"/>
      <c r="ID140" s="31"/>
      <c r="IE140" s="31"/>
      <c r="IF140" s="31"/>
      <c r="IG140" s="31"/>
      <c r="IH140" s="31"/>
      <c r="II140" s="31"/>
      <c r="IJ140" s="31"/>
      <c r="IK140" s="31"/>
      <c r="IL140" s="31"/>
      <c r="IM140" s="31"/>
      <c r="IN140" s="31"/>
      <c r="IO140" s="31"/>
      <c r="IP140" s="31"/>
      <c r="IQ140" s="31"/>
      <c r="IR140" s="31"/>
      <c r="IS140" s="31"/>
      <c r="IT140" s="31"/>
      <c r="IU140" s="31"/>
      <c r="IV140" s="31"/>
      <c r="IW140" s="31"/>
      <c r="IX140" s="31"/>
      <c r="IY140" s="31"/>
      <c r="IZ140" s="31"/>
      <c r="JA140" s="31"/>
      <c r="JB140" s="31"/>
      <c r="JC140" s="31"/>
      <c r="JD140" s="31"/>
      <c r="JE140" s="31"/>
      <c r="JF140" s="31"/>
    </row>
    <row r="141" customFormat="1" ht="17.25" spans="1:266">
      <c r="A141" s="32">
        <f>40000000+INDEX(编号表!$B:$B,MATCH(B141,编号表!$A:$A,0))*10000+C141</f>
        <v>40060012</v>
      </c>
      <c r="B141" s="27" t="s">
        <v>590</v>
      </c>
      <c r="C141" s="32">
        <v>12</v>
      </c>
      <c r="D141" s="32" t="s">
        <v>571</v>
      </c>
      <c r="E141" s="32"/>
      <c r="F141" s="31"/>
      <c r="G141" s="31"/>
      <c r="H141" s="32"/>
      <c r="I141" s="32"/>
      <c r="J141" s="32">
        <f t="shared" si="10"/>
        <v>5</v>
      </c>
      <c r="K141" s="32"/>
      <c r="L141" s="32"/>
      <c r="M141" s="16" t="s">
        <v>591</v>
      </c>
      <c r="N141" s="16" t="s">
        <v>549</v>
      </c>
      <c r="O141" s="16" t="s">
        <v>527</v>
      </c>
      <c r="P141" s="32">
        <v>1000000</v>
      </c>
      <c r="Q141" s="32">
        <v>1</v>
      </c>
      <c r="R141" s="31"/>
      <c r="S141" s="32"/>
      <c r="T141" s="32"/>
      <c r="U141" s="16" t="s">
        <v>591</v>
      </c>
      <c r="V141" s="16" t="s">
        <v>549</v>
      </c>
      <c r="W141" s="16" t="s">
        <v>533</v>
      </c>
      <c r="X141" s="32">
        <v>3000000</v>
      </c>
      <c r="Y141" s="32">
        <v>1</v>
      </c>
      <c r="Z141" s="31"/>
      <c r="AA141" s="32"/>
      <c r="AB141" s="32"/>
      <c r="AC141" s="16" t="s">
        <v>591</v>
      </c>
      <c r="AD141" s="16" t="s">
        <v>549</v>
      </c>
      <c r="AE141" s="16" t="s">
        <v>537</v>
      </c>
      <c r="AF141" s="32">
        <v>30000</v>
      </c>
      <c r="AG141" s="32">
        <v>1</v>
      </c>
      <c r="AH141" s="31"/>
      <c r="AI141" s="31"/>
      <c r="AJ141" s="32"/>
      <c r="AK141" s="16" t="s">
        <v>591</v>
      </c>
      <c r="AL141" s="16" t="s">
        <v>549</v>
      </c>
      <c r="AM141" s="16" t="s">
        <v>542</v>
      </c>
      <c r="AN141" s="32">
        <v>500</v>
      </c>
      <c r="AO141" s="32">
        <v>1</v>
      </c>
      <c r="AP141" s="31"/>
      <c r="AQ141" s="31"/>
      <c r="AR141" s="32"/>
      <c r="AS141" s="16" t="s">
        <v>591</v>
      </c>
      <c r="AT141" s="16" t="s">
        <v>549</v>
      </c>
      <c r="AU141" s="16" t="s">
        <v>547</v>
      </c>
      <c r="AV141" s="32">
        <v>50</v>
      </c>
      <c r="AW141" s="32">
        <v>1</v>
      </c>
      <c r="AX141" s="31"/>
      <c r="AY141" s="31"/>
      <c r="AZ141" s="32"/>
      <c r="BA141" s="31"/>
      <c r="BB141" s="31"/>
      <c r="BC141" s="31"/>
      <c r="BD141" s="31"/>
      <c r="BE141" s="31"/>
      <c r="BF141" s="31"/>
      <c r="BG141" s="31"/>
      <c r="BH141" s="32"/>
      <c r="BI141" s="31"/>
      <c r="BJ141" s="31"/>
      <c r="BK141" s="31"/>
      <c r="BL141" s="31"/>
      <c r="BM141" s="31"/>
      <c r="BN141" s="31"/>
      <c r="BO141" s="31"/>
      <c r="BP141" s="32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  <c r="HI141" s="31"/>
      <c r="HJ141" s="31"/>
      <c r="HK141" s="31"/>
      <c r="HL141" s="31"/>
      <c r="HM141" s="31"/>
      <c r="HN141" s="31"/>
      <c r="HO141" s="31"/>
      <c r="HP141" s="31"/>
      <c r="HQ141" s="31"/>
      <c r="HR141" s="31"/>
      <c r="HS141" s="31"/>
      <c r="HT141" s="31"/>
      <c r="HU141" s="31"/>
      <c r="HV141" s="31"/>
      <c r="HW141" s="31"/>
      <c r="HX141" s="31"/>
      <c r="HY141" s="31"/>
      <c r="HZ141" s="31"/>
      <c r="IA141" s="31"/>
      <c r="IB141" s="31"/>
      <c r="IC141" s="31"/>
      <c r="ID141" s="31"/>
      <c r="IE141" s="31"/>
      <c r="IF141" s="31"/>
      <c r="IG141" s="31"/>
      <c r="IH141" s="31"/>
      <c r="II141" s="31"/>
      <c r="IJ141" s="31"/>
      <c r="IK141" s="31"/>
      <c r="IL141" s="31"/>
      <c r="IM141" s="31"/>
      <c r="IN141" s="31"/>
      <c r="IO141" s="31"/>
      <c r="IP141" s="31"/>
      <c r="IQ141" s="31"/>
      <c r="IR141" s="31"/>
      <c r="IS141" s="31"/>
      <c r="IT141" s="31"/>
      <c r="IU141" s="31"/>
      <c r="IV141" s="31"/>
      <c r="IW141" s="31"/>
      <c r="IX141" s="31"/>
      <c r="IY141" s="31"/>
      <c r="IZ141" s="31"/>
      <c r="JA141" s="31"/>
      <c r="JB141" s="31"/>
      <c r="JC141" s="31"/>
      <c r="JD141" s="31"/>
      <c r="JE141" s="31"/>
      <c r="JF141" s="31"/>
    </row>
    <row r="142" customFormat="1" ht="17.25" spans="1:266">
      <c r="A142" s="32">
        <f>40000000+INDEX(编号表!$B:$B,MATCH(B142,编号表!$A:$A,0))*10000+C142</f>
        <v>40060013</v>
      </c>
      <c r="B142" s="27" t="s">
        <v>590</v>
      </c>
      <c r="C142" s="32">
        <v>13</v>
      </c>
      <c r="D142" s="32" t="s">
        <v>572</v>
      </c>
      <c r="E142" s="32"/>
      <c r="F142" s="31"/>
      <c r="G142" s="31"/>
      <c r="H142" s="32"/>
      <c r="I142" s="32"/>
      <c r="J142" s="32">
        <f t="shared" si="10"/>
        <v>5</v>
      </c>
      <c r="K142" s="32"/>
      <c r="L142" s="32"/>
      <c r="M142" s="16" t="s">
        <v>591</v>
      </c>
      <c r="N142" s="16" t="s">
        <v>551</v>
      </c>
      <c r="O142" s="16" t="s">
        <v>527</v>
      </c>
      <c r="P142" s="32">
        <v>1000000</v>
      </c>
      <c r="Q142" s="32">
        <v>1</v>
      </c>
      <c r="R142" s="31"/>
      <c r="S142" s="32"/>
      <c r="T142" s="32"/>
      <c r="U142" s="16" t="s">
        <v>591</v>
      </c>
      <c r="V142" s="16" t="s">
        <v>551</v>
      </c>
      <c r="W142" s="16" t="s">
        <v>533</v>
      </c>
      <c r="X142" s="32">
        <v>3000000</v>
      </c>
      <c r="Y142" s="32">
        <v>1</v>
      </c>
      <c r="Z142" s="31"/>
      <c r="AA142" s="32"/>
      <c r="AB142" s="32"/>
      <c r="AC142" s="16" t="s">
        <v>591</v>
      </c>
      <c r="AD142" s="16" t="s">
        <v>551</v>
      </c>
      <c r="AE142" s="16" t="s">
        <v>537</v>
      </c>
      <c r="AF142" s="32">
        <v>30000</v>
      </c>
      <c r="AG142" s="32">
        <v>1</v>
      </c>
      <c r="AH142" s="31"/>
      <c r="AI142" s="31"/>
      <c r="AJ142" s="32"/>
      <c r="AK142" s="16" t="s">
        <v>591</v>
      </c>
      <c r="AL142" s="16" t="s">
        <v>551</v>
      </c>
      <c r="AM142" s="16" t="s">
        <v>542</v>
      </c>
      <c r="AN142" s="32">
        <v>500</v>
      </c>
      <c r="AO142" s="32">
        <v>1</v>
      </c>
      <c r="AP142" s="31"/>
      <c r="AQ142" s="31"/>
      <c r="AR142" s="32"/>
      <c r="AS142" s="16" t="s">
        <v>591</v>
      </c>
      <c r="AT142" s="16" t="s">
        <v>551</v>
      </c>
      <c r="AU142" s="16" t="s">
        <v>547</v>
      </c>
      <c r="AV142" s="32">
        <v>50</v>
      </c>
      <c r="AW142" s="32">
        <v>1</v>
      </c>
      <c r="AX142" s="31"/>
      <c r="AY142" s="31"/>
      <c r="AZ142" s="32"/>
      <c r="BA142" s="31"/>
      <c r="BB142" s="31"/>
      <c r="BC142" s="31"/>
      <c r="BD142" s="31"/>
      <c r="BE142" s="31"/>
      <c r="BF142" s="31"/>
      <c r="BG142" s="31"/>
      <c r="BH142" s="32"/>
      <c r="BI142" s="31"/>
      <c r="BJ142" s="31"/>
      <c r="BK142" s="31"/>
      <c r="BL142" s="31"/>
      <c r="BM142" s="31"/>
      <c r="BN142" s="31"/>
      <c r="BO142" s="31"/>
      <c r="BP142" s="32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  <c r="HI142" s="31"/>
      <c r="HJ142" s="31"/>
      <c r="HK142" s="31"/>
      <c r="HL142" s="31"/>
      <c r="HM142" s="31"/>
      <c r="HN142" s="31"/>
      <c r="HO142" s="31"/>
      <c r="HP142" s="31"/>
      <c r="HQ142" s="31"/>
      <c r="HR142" s="31"/>
      <c r="HS142" s="31"/>
      <c r="HT142" s="31"/>
      <c r="HU142" s="31"/>
      <c r="HV142" s="31"/>
      <c r="HW142" s="31"/>
      <c r="HX142" s="31"/>
      <c r="HY142" s="31"/>
      <c r="HZ142" s="31"/>
      <c r="IA142" s="31"/>
      <c r="IB142" s="31"/>
      <c r="IC142" s="31"/>
      <c r="ID142" s="31"/>
      <c r="IE142" s="31"/>
      <c r="IF142" s="31"/>
      <c r="IG142" s="31"/>
      <c r="IH142" s="31"/>
      <c r="II142" s="31"/>
      <c r="IJ142" s="31"/>
      <c r="IK142" s="31"/>
      <c r="IL142" s="31"/>
      <c r="IM142" s="31"/>
      <c r="IN142" s="31"/>
      <c r="IO142" s="31"/>
      <c r="IP142" s="31"/>
      <c r="IQ142" s="31"/>
      <c r="IR142" s="31"/>
      <c r="IS142" s="31"/>
      <c r="IT142" s="31"/>
      <c r="IU142" s="31"/>
      <c r="IV142" s="31"/>
      <c r="IW142" s="31"/>
      <c r="IX142" s="31"/>
      <c r="IY142" s="31"/>
      <c r="IZ142" s="31"/>
      <c r="JA142" s="31"/>
      <c r="JB142" s="31"/>
      <c r="JC142" s="31"/>
      <c r="JD142" s="31"/>
      <c r="JE142" s="31"/>
      <c r="JF142" s="31"/>
    </row>
    <row r="143" customFormat="1" ht="17.25" spans="1:266">
      <c r="A143" s="32">
        <f>40000000+INDEX(编号表!$B:$B,MATCH(B143,编号表!$A:$A,0))*10000+C143</f>
        <v>40060014</v>
      </c>
      <c r="B143" s="27" t="s">
        <v>590</v>
      </c>
      <c r="C143" s="32">
        <v>14</v>
      </c>
      <c r="D143" s="32" t="s">
        <v>573</v>
      </c>
      <c r="E143" s="32" t="s">
        <v>437</v>
      </c>
      <c r="F143" s="31">
        <f>P143+X143+AF143+AN143+AV143+BD143+BL143+BT143</f>
        <v>4030550</v>
      </c>
      <c r="G143" s="31"/>
      <c r="H143" s="32"/>
      <c r="I143" s="32"/>
      <c r="J143" s="32">
        <f t="shared" si="10"/>
        <v>5</v>
      </c>
      <c r="K143" s="32"/>
      <c r="L143" s="32"/>
      <c r="M143" s="16" t="s">
        <v>591</v>
      </c>
      <c r="N143" s="16" t="s">
        <v>553</v>
      </c>
      <c r="O143" s="16" t="s">
        <v>527</v>
      </c>
      <c r="P143" s="32">
        <v>1000000</v>
      </c>
      <c r="Q143" s="32">
        <v>1</v>
      </c>
      <c r="R143" s="31"/>
      <c r="S143" s="32"/>
      <c r="T143" s="32"/>
      <c r="U143" s="16" t="s">
        <v>591</v>
      </c>
      <c r="V143" s="16" t="s">
        <v>553</v>
      </c>
      <c r="W143" s="16" t="s">
        <v>533</v>
      </c>
      <c r="X143" s="32">
        <v>3000000</v>
      </c>
      <c r="Y143" s="32">
        <v>1</v>
      </c>
      <c r="Z143" s="31"/>
      <c r="AA143" s="32"/>
      <c r="AB143" s="32"/>
      <c r="AC143" s="16" t="s">
        <v>591</v>
      </c>
      <c r="AD143" s="16" t="s">
        <v>553</v>
      </c>
      <c r="AE143" s="16" t="s">
        <v>537</v>
      </c>
      <c r="AF143" s="32">
        <v>30000</v>
      </c>
      <c r="AG143" s="32">
        <v>1</v>
      </c>
      <c r="AH143" s="31"/>
      <c r="AI143" s="31"/>
      <c r="AJ143" s="32"/>
      <c r="AK143" s="16" t="s">
        <v>591</v>
      </c>
      <c r="AL143" s="16" t="s">
        <v>553</v>
      </c>
      <c r="AM143" s="16" t="s">
        <v>542</v>
      </c>
      <c r="AN143" s="32">
        <v>500</v>
      </c>
      <c r="AO143" s="32">
        <v>1</v>
      </c>
      <c r="AP143" s="31"/>
      <c r="AQ143" s="31"/>
      <c r="AR143" s="32"/>
      <c r="AS143" s="16" t="s">
        <v>591</v>
      </c>
      <c r="AT143" s="16" t="s">
        <v>553</v>
      </c>
      <c r="AU143" s="16" t="s">
        <v>547</v>
      </c>
      <c r="AV143" s="32">
        <v>50</v>
      </c>
      <c r="AW143" s="32">
        <v>1</v>
      </c>
      <c r="AX143" s="31"/>
      <c r="AY143" s="31"/>
      <c r="AZ143" s="32"/>
      <c r="BA143" s="31"/>
      <c r="BB143" s="31"/>
      <c r="BC143" s="31"/>
      <c r="BD143" s="31"/>
      <c r="BE143" s="31"/>
      <c r="BF143" s="31"/>
      <c r="BG143" s="31"/>
      <c r="BH143" s="32"/>
      <c r="BI143" s="31"/>
      <c r="BJ143" s="31"/>
      <c r="BK143" s="31"/>
      <c r="BL143" s="31"/>
      <c r="BM143" s="31"/>
      <c r="BN143" s="31"/>
      <c r="BO143" s="31"/>
      <c r="BP143" s="32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  <c r="HE143" s="31"/>
      <c r="HF143" s="31"/>
      <c r="HG143" s="31"/>
      <c r="HH143" s="31"/>
      <c r="HI143" s="31"/>
      <c r="HJ143" s="31"/>
      <c r="HK143" s="31"/>
      <c r="HL143" s="31"/>
      <c r="HM143" s="31"/>
      <c r="HN143" s="31"/>
      <c r="HO143" s="31"/>
      <c r="HP143" s="31"/>
      <c r="HQ143" s="31"/>
      <c r="HR143" s="31"/>
      <c r="HS143" s="31"/>
      <c r="HT143" s="31"/>
      <c r="HU143" s="31"/>
      <c r="HV143" s="31"/>
      <c r="HW143" s="31"/>
      <c r="HX143" s="31"/>
      <c r="HY143" s="31"/>
      <c r="HZ143" s="31"/>
      <c r="IA143" s="31"/>
      <c r="IB143" s="31"/>
      <c r="IC143" s="31"/>
      <c r="ID143" s="31"/>
      <c r="IE143" s="31"/>
      <c r="IF143" s="31"/>
      <c r="IG143" s="31"/>
      <c r="IH143" s="31"/>
      <c r="II143" s="31"/>
      <c r="IJ143" s="31"/>
      <c r="IK143" s="31"/>
      <c r="IL143" s="31"/>
      <c r="IM143" s="31"/>
      <c r="IN143" s="31"/>
      <c r="IO143" s="31"/>
      <c r="IP143" s="31"/>
      <c r="IQ143" s="31"/>
      <c r="IR143" s="31"/>
      <c r="IS143" s="31"/>
      <c r="IT143" s="31"/>
      <c r="IU143" s="31"/>
      <c r="IV143" s="31"/>
      <c r="IW143" s="31"/>
      <c r="IX143" s="31"/>
      <c r="IY143" s="31"/>
      <c r="IZ143" s="31"/>
      <c r="JA143" s="31"/>
      <c r="JB143" s="31"/>
      <c r="JC143" s="31"/>
      <c r="JD143" s="31"/>
      <c r="JE143" s="31"/>
      <c r="JF143" s="31"/>
    </row>
    <row r="144" customFormat="1" ht="17.25" spans="1:266">
      <c r="A144" s="32">
        <f>40000000+INDEX(编号表!$B:$B,MATCH(B144,编号表!$A:$A,0))*10000+C144</f>
        <v>40160001</v>
      </c>
      <c r="B144" s="27" t="s">
        <v>592</v>
      </c>
      <c r="C144" s="32">
        <v>1</v>
      </c>
      <c r="D144" s="32" t="s">
        <v>593</v>
      </c>
      <c r="E144" s="32" t="s">
        <v>437</v>
      </c>
      <c r="F144" s="31">
        <f t="shared" ref="F144:F162" si="11">P144+X144+AF144+AN144+AV144+BD144+BL144+BT144</f>
        <v>99999996</v>
      </c>
      <c r="G144" s="31"/>
      <c r="H144" s="32"/>
      <c r="I144" s="32"/>
      <c r="J144" s="32">
        <f t="shared" ref="J144:J189" si="12">COUNT(P144,X144,AF144,AN144,AV144,BD144,BL144,BT144,CB144,CJ144,CR144,CZ144,DH144,DP144,DX144,EF144,EN144,EV144,FD144,FL144,FT144,GB144,GJ144,GR144,GZ144,HH144,HP144,HX144,IF144,IN144,IV144,JD144)</f>
        <v>6</v>
      </c>
      <c r="K144" s="31">
        <v>34020001</v>
      </c>
      <c r="L144" s="32" t="str" cm="1">
        <f t="array" ref="L144">INDEX(编号表!$E:$E,MATCH(K144,编号表!$D:$D,0))</f>
        <v>基础剑术</v>
      </c>
      <c r="M144" s="31"/>
      <c r="N144" s="31"/>
      <c r="O144" s="31"/>
      <c r="P144" s="32">
        <v>16666666</v>
      </c>
      <c r="Q144" s="32">
        <v>1</v>
      </c>
      <c r="R144" s="31"/>
      <c r="S144" s="31">
        <f t="shared" ref="S144:S147" si="13">K144+1</f>
        <v>34020002</v>
      </c>
      <c r="T144" s="32" t="str" cm="1">
        <f t="array" ref="T144">INDEX(编号表!$E:$E,MATCH(S144,编号表!$D:$D,0))</f>
        <v>攻杀剑术</v>
      </c>
      <c r="U144" s="31"/>
      <c r="V144" s="31"/>
      <c r="W144" s="31"/>
      <c r="X144" s="32">
        <v>16666666</v>
      </c>
      <c r="Y144" s="32">
        <v>1</v>
      </c>
      <c r="Z144" s="31"/>
      <c r="AA144" s="31">
        <f t="shared" ref="AA144:AA147" si="14">S144+1</f>
        <v>34020003</v>
      </c>
      <c r="AB144" s="32" t="str" cm="1">
        <f t="array" ref="AB144">INDEX(编号表!$E:$E,MATCH(AA144,编号表!$D:$D,0))</f>
        <v>刺杀剑术</v>
      </c>
      <c r="AC144" s="31"/>
      <c r="AD144" s="31"/>
      <c r="AE144" s="31"/>
      <c r="AF144" s="32">
        <v>16666666</v>
      </c>
      <c r="AG144" s="32">
        <v>1</v>
      </c>
      <c r="AH144" s="31"/>
      <c r="AI144" s="31">
        <f t="shared" ref="AI144:AI147" si="15">AA144+1</f>
        <v>34020004</v>
      </c>
      <c r="AJ144" s="32" t="str" cm="1">
        <f t="array" ref="AJ144">INDEX(编号表!$E:$E,MATCH(AI144,编号表!$D:$D,0))</f>
        <v>半月弯刀</v>
      </c>
      <c r="AK144" s="31"/>
      <c r="AL144" s="31"/>
      <c r="AM144" s="31"/>
      <c r="AN144" s="32">
        <v>16666666</v>
      </c>
      <c r="AO144" s="32">
        <v>1</v>
      </c>
      <c r="AP144" s="31"/>
      <c r="AQ144" s="31">
        <f t="shared" ref="AQ144:AQ147" si="16">AI144+1</f>
        <v>34020005</v>
      </c>
      <c r="AR144" s="32" t="str" cm="1">
        <f t="array" ref="AR144">INDEX(编号表!$E:$E,MATCH(AQ144,编号表!$D:$D,0))</f>
        <v>野蛮冲撞</v>
      </c>
      <c r="AS144" s="31"/>
      <c r="AT144" s="31"/>
      <c r="AU144" s="31"/>
      <c r="AV144" s="32">
        <v>16666666</v>
      </c>
      <c r="AW144" s="32">
        <v>1</v>
      </c>
      <c r="AX144" s="31"/>
      <c r="AY144" s="31">
        <f t="shared" ref="AY144:AY147" si="17">AQ144+1</f>
        <v>34020006</v>
      </c>
      <c r="AZ144" s="32" t="str" cm="1">
        <f t="array" ref="AZ144">INDEX(编号表!$E:$E,MATCH(AY144,编号表!$D:$D,0))</f>
        <v>烈火剑法</v>
      </c>
      <c r="BA144" s="31"/>
      <c r="BB144" s="31"/>
      <c r="BC144" s="31"/>
      <c r="BD144" s="32">
        <v>16666666</v>
      </c>
      <c r="BE144" s="32">
        <v>1</v>
      </c>
      <c r="BF144" s="31"/>
      <c r="BG144" s="31"/>
      <c r="BH144" s="32"/>
      <c r="BI144" s="31"/>
      <c r="BJ144" s="31"/>
      <c r="BK144" s="31"/>
      <c r="BL144" s="32"/>
      <c r="BM144" s="32"/>
      <c r="BN144" s="31"/>
      <c r="BO144" s="31"/>
      <c r="BP144" s="32"/>
      <c r="BQ144" s="31"/>
      <c r="BR144" s="31"/>
      <c r="BS144" s="31"/>
      <c r="BT144" s="32"/>
      <c r="BU144" s="32"/>
      <c r="BV144" s="31"/>
      <c r="BW144" s="31"/>
      <c r="BX144" s="31"/>
      <c r="BY144" s="31"/>
      <c r="BZ144" s="31"/>
      <c r="CA144" s="31"/>
      <c r="CB144" s="32"/>
      <c r="CC144" s="32"/>
      <c r="CD144" s="31"/>
      <c r="CE144" s="31"/>
      <c r="CF144" s="31"/>
      <c r="CG144" s="31"/>
      <c r="CH144" s="31"/>
      <c r="CI144" s="31"/>
      <c r="CJ144" s="32"/>
      <c r="CK144" s="32"/>
      <c r="CL144" s="31"/>
      <c r="CM144" s="31"/>
      <c r="CN144" s="31"/>
      <c r="CO144" s="31"/>
      <c r="CP144" s="31"/>
      <c r="CQ144" s="31"/>
      <c r="CR144" s="32"/>
      <c r="CS144" s="32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  <c r="HG144" s="31"/>
      <c r="HH144" s="31"/>
      <c r="HI144" s="31"/>
      <c r="HJ144" s="31"/>
      <c r="HK144" s="31"/>
      <c r="HL144" s="31"/>
      <c r="HM144" s="31"/>
      <c r="HN144" s="31"/>
      <c r="HO144" s="31"/>
      <c r="HP144" s="31"/>
      <c r="HQ144" s="31"/>
      <c r="HR144" s="31"/>
      <c r="HS144" s="31"/>
      <c r="HT144" s="31"/>
      <c r="HU144" s="31"/>
      <c r="HV144" s="31"/>
      <c r="HW144" s="31"/>
      <c r="HX144" s="31"/>
      <c r="HY144" s="31"/>
      <c r="HZ144" s="31"/>
      <c r="IA144" s="31"/>
      <c r="IB144" s="31"/>
      <c r="IC144" s="31"/>
      <c r="ID144" s="31"/>
      <c r="IE144" s="31"/>
      <c r="IF144" s="31"/>
      <c r="IG144" s="31"/>
      <c r="IH144" s="31"/>
      <c r="II144" s="31"/>
      <c r="IJ144" s="31"/>
      <c r="IK144" s="31"/>
      <c r="IL144" s="31"/>
      <c r="IM144" s="31"/>
      <c r="IN144" s="31"/>
      <c r="IO144" s="31"/>
      <c r="IP144" s="31"/>
      <c r="IQ144" s="31"/>
      <c r="IR144" s="31"/>
      <c r="IS144" s="31"/>
      <c r="IT144" s="31"/>
      <c r="IU144" s="31"/>
      <c r="IV144" s="31"/>
      <c r="IW144" s="31"/>
      <c r="IX144" s="31"/>
      <c r="IY144" s="31"/>
      <c r="IZ144" s="31"/>
      <c r="JA144" s="31"/>
      <c r="JB144" s="31"/>
      <c r="JC144" s="31"/>
      <c r="JD144" s="31"/>
      <c r="JE144" s="31"/>
      <c r="JF144" s="31"/>
    </row>
    <row r="145" customFormat="1" ht="17.25" spans="1:266">
      <c r="A145" s="32">
        <f>40000000+INDEX(编号表!$B:$B,MATCH(B145,编号表!$A:$A,0))*10000+C145</f>
        <v>40160002</v>
      </c>
      <c r="B145" s="27" t="s">
        <v>592</v>
      </c>
      <c r="C145" s="32">
        <v>2</v>
      </c>
      <c r="D145" s="32" t="s">
        <v>594</v>
      </c>
      <c r="E145" s="32" t="s">
        <v>437</v>
      </c>
      <c r="F145" s="31">
        <f t="shared" si="11"/>
        <v>100000005</v>
      </c>
      <c r="G145" s="31"/>
      <c r="H145" s="32"/>
      <c r="I145" s="32"/>
      <c r="J145" s="32">
        <f t="shared" si="12"/>
        <v>7</v>
      </c>
      <c r="K145" s="31">
        <v>34020031</v>
      </c>
      <c r="L145" s="32" t="str" cm="1">
        <f t="array" ref="L145">INDEX(编号表!$E:$E,MATCH(K145,编号表!$D:$D,0))</f>
        <v>火球术</v>
      </c>
      <c r="M145" s="31"/>
      <c r="N145" s="31"/>
      <c r="O145" s="31"/>
      <c r="P145" s="32">
        <v>14285715</v>
      </c>
      <c r="Q145" s="32">
        <v>1</v>
      </c>
      <c r="R145" s="31"/>
      <c r="S145" s="31">
        <f t="shared" si="13"/>
        <v>34020032</v>
      </c>
      <c r="T145" s="32" t="str" cm="1">
        <f t="array" ref="T145">INDEX(编号表!$E:$E,MATCH(S145,编号表!$D:$D,0))</f>
        <v>抗拒火环</v>
      </c>
      <c r="U145" s="31"/>
      <c r="V145" s="31"/>
      <c r="W145" s="31"/>
      <c r="X145" s="32">
        <v>14285715</v>
      </c>
      <c r="Y145" s="32">
        <v>1</v>
      </c>
      <c r="Z145" s="31"/>
      <c r="AA145" s="31">
        <f t="shared" si="14"/>
        <v>34020033</v>
      </c>
      <c r="AB145" s="32" t="str" cm="1">
        <f t="array" ref="AB145">INDEX(编号表!$E:$E,MATCH(AA145,编号表!$D:$D,0))</f>
        <v>雷电术</v>
      </c>
      <c r="AC145" s="31"/>
      <c r="AD145" s="31"/>
      <c r="AE145" s="31"/>
      <c r="AF145" s="32">
        <v>14285715</v>
      </c>
      <c r="AG145" s="32">
        <v>1</v>
      </c>
      <c r="AH145" s="31"/>
      <c r="AI145" s="31">
        <f t="shared" si="15"/>
        <v>34020034</v>
      </c>
      <c r="AJ145" s="32" t="str" cm="1">
        <f t="array" ref="AJ145">INDEX(编号表!$E:$E,MATCH(AI145,编号表!$D:$D,0))</f>
        <v>火墙</v>
      </c>
      <c r="AK145" s="31"/>
      <c r="AL145" s="31"/>
      <c r="AM145" s="31"/>
      <c r="AN145" s="32">
        <v>14285715</v>
      </c>
      <c r="AO145" s="32">
        <v>1</v>
      </c>
      <c r="AP145" s="31"/>
      <c r="AQ145" s="31">
        <f t="shared" si="16"/>
        <v>34020035</v>
      </c>
      <c r="AR145" s="32" t="str" cm="1">
        <f t="array" ref="AR145">INDEX(编号表!$E:$E,MATCH(AQ145,编号表!$D:$D,0))</f>
        <v>疾光电影</v>
      </c>
      <c r="AS145" s="31"/>
      <c r="AT145" s="31"/>
      <c r="AU145" s="31"/>
      <c r="AV145" s="32">
        <v>14285715</v>
      </c>
      <c r="AW145" s="32">
        <v>1</v>
      </c>
      <c r="AX145" s="31"/>
      <c r="AY145" s="31">
        <f t="shared" si="17"/>
        <v>34020036</v>
      </c>
      <c r="AZ145" s="32" t="str" cm="1">
        <f t="array" ref="AZ145">INDEX(编号表!$E:$E,MATCH(AY145,编号表!$D:$D,0))</f>
        <v>魔法盾</v>
      </c>
      <c r="BA145" s="31"/>
      <c r="BB145" s="31"/>
      <c r="BC145" s="31"/>
      <c r="BD145" s="32">
        <v>14285715</v>
      </c>
      <c r="BE145" s="32">
        <v>1</v>
      </c>
      <c r="BF145" s="31"/>
      <c r="BG145" s="31">
        <f t="shared" ref="BG145:BG147" si="18">AY145+1</f>
        <v>34020037</v>
      </c>
      <c r="BH145" s="32" t="str" cm="1">
        <f t="array" ref="BH145">INDEX(编号表!$E:$E,MATCH(BG145,编号表!$D:$D,0))</f>
        <v>冰咆哮</v>
      </c>
      <c r="BI145" s="31"/>
      <c r="BJ145" s="31"/>
      <c r="BK145" s="31"/>
      <c r="BL145" s="32">
        <v>14285715</v>
      </c>
      <c r="BM145" s="32">
        <v>1</v>
      </c>
      <c r="BN145" s="31"/>
      <c r="BO145" s="31"/>
      <c r="BP145" s="32"/>
      <c r="BQ145" s="31"/>
      <c r="BR145" s="31"/>
      <c r="BS145" s="31"/>
      <c r="BT145" s="32"/>
      <c r="BU145" s="32"/>
      <c r="BV145" s="31"/>
      <c r="BW145" s="31"/>
      <c r="BX145" s="31"/>
      <c r="BY145" s="31"/>
      <c r="BZ145" s="31"/>
      <c r="CA145" s="31"/>
      <c r="CB145" s="32"/>
      <c r="CC145" s="32"/>
      <c r="CD145" s="31"/>
      <c r="CE145" s="31"/>
      <c r="CF145" s="31"/>
      <c r="CG145" s="31"/>
      <c r="CH145" s="31"/>
      <c r="CI145" s="31"/>
      <c r="CJ145" s="32"/>
      <c r="CK145" s="32"/>
      <c r="CL145" s="31"/>
      <c r="CM145" s="31"/>
      <c r="CN145" s="31"/>
      <c r="CO145" s="31"/>
      <c r="CP145" s="31"/>
      <c r="CQ145" s="31"/>
      <c r="CR145" s="32"/>
      <c r="CS145" s="32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/>
      <c r="IQ145" s="31"/>
      <c r="IR145" s="31"/>
      <c r="IS145" s="31"/>
      <c r="IT145" s="31"/>
      <c r="IU145" s="31"/>
      <c r="IV145" s="31"/>
      <c r="IW145" s="31"/>
      <c r="IX145" s="31"/>
      <c r="IY145" s="31"/>
      <c r="IZ145" s="31"/>
      <c r="JA145" s="31"/>
      <c r="JB145" s="31"/>
      <c r="JC145" s="31"/>
      <c r="JD145" s="31"/>
      <c r="JE145" s="31"/>
      <c r="JF145" s="31"/>
    </row>
    <row r="146" customFormat="1" ht="17.25" spans="1:266">
      <c r="A146" s="32">
        <f>40000000+INDEX(编号表!$B:$B,MATCH(B146,编号表!$A:$A,0))*10000+C146</f>
        <v>40160003</v>
      </c>
      <c r="B146" s="27" t="s">
        <v>592</v>
      </c>
      <c r="C146" s="32">
        <v>3</v>
      </c>
      <c r="D146" s="32" t="s">
        <v>595</v>
      </c>
      <c r="E146" s="32" t="s">
        <v>437</v>
      </c>
      <c r="F146" s="31">
        <f t="shared" si="11"/>
        <v>100000000</v>
      </c>
      <c r="G146" s="31"/>
      <c r="H146" s="32"/>
      <c r="I146" s="32"/>
      <c r="J146" s="32">
        <f t="shared" si="12"/>
        <v>8</v>
      </c>
      <c r="K146" s="31">
        <v>34020061</v>
      </c>
      <c r="L146" s="32" t="str" cm="1">
        <f t="array" ref="L146">INDEX(编号表!$E:$E,MATCH(K146,编号表!$D:$D,0))</f>
        <v>灵魂火符</v>
      </c>
      <c r="M146" s="31"/>
      <c r="N146" s="31"/>
      <c r="O146" s="31"/>
      <c r="P146" s="32">
        <v>12500000</v>
      </c>
      <c r="Q146" s="32">
        <v>1</v>
      </c>
      <c r="R146" s="31"/>
      <c r="S146" s="31">
        <f t="shared" si="13"/>
        <v>34020062</v>
      </c>
      <c r="T146" s="32" t="str" cm="1">
        <f t="array" ref="T146">INDEX(编号表!$E:$E,MATCH(S146,编号表!$D:$D,0))</f>
        <v>治愈术</v>
      </c>
      <c r="U146" s="31"/>
      <c r="V146" s="31"/>
      <c r="W146" s="31"/>
      <c r="X146" s="32">
        <v>12500000</v>
      </c>
      <c r="Y146" s="32">
        <v>1</v>
      </c>
      <c r="Z146" s="31"/>
      <c r="AA146" s="31">
        <f t="shared" si="14"/>
        <v>34020063</v>
      </c>
      <c r="AB146" s="32" t="str" cm="1">
        <f t="array" ref="AB146">INDEX(编号表!$E:$E,MATCH(AA146,编号表!$D:$D,0))</f>
        <v>施毒术</v>
      </c>
      <c r="AC146" s="31"/>
      <c r="AD146" s="31"/>
      <c r="AE146" s="31"/>
      <c r="AF146" s="32">
        <v>12500000</v>
      </c>
      <c r="AG146" s="32">
        <v>1</v>
      </c>
      <c r="AH146" s="31"/>
      <c r="AI146" s="31">
        <f t="shared" si="15"/>
        <v>34020064</v>
      </c>
      <c r="AJ146" s="32" t="str" cm="1">
        <f t="array" ref="AJ146">INDEX(编号表!$E:$E,MATCH(AI146,编号表!$D:$D,0))</f>
        <v>召唤骷髅</v>
      </c>
      <c r="AK146" s="31"/>
      <c r="AL146" s="31"/>
      <c r="AM146" s="31"/>
      <c r="AN146" s="32">
        <v>12500000</v>
      </c>
      <c r="AO146" s="32">
        <v>1</v>
      </c>
      <c r="AP146" s="31"/>
      <c r="AQ146" s="31">
        <f t="shared" si="16"/>
        <v>34020065</v>
      </c>
      <c r="AR146" s="32" t="str" cm="1">
        <f t="array" ref="AR146">INDEX(编号表!$E:$E,MATCH(AQ146,编号表!$D:$D,0))</f>
        <v>幽灵盾</v>
      </c>
      <c r="AS146" s="31"/>
      <c r="AT146" s="31"/>
      <c r="AU146" s="31"/>
      <c r="AV146" s="32">
        <v>12500000</v>
      </c>
      <c r="AW146" s="32">
        <v>1</v>
      </c>
      <c r="AX146" s="31"/>
      <c r="AY146" s="31">
        <f t="shared" si="17"/>
        <v>34020066</v>
      </c>
      <c r="AZ146" s="32" t="str" cm="1">
        <f t="array" ref="AZ146">INDEX(编号表!$E:$E,MATCH(AY146,编号表!$D:$D,0))</f>
        <v>神圣战甲术</v>
      </c>
      <c r="BA146" s="31"/>
      <c r="BB146" s="31"/>
      <c r="BC146" s="31"/>
      <c r="BD146" s="32">
        <v>12500000</v>
      </c>
      <c r="BE146" s="32">
        <v>1</v>
      </c>
      <c r="BF146" s="31"/>
      <c r="BG146" s="31">
        <f t="shared" si="18"/>
        <v>34020067</v>
      </c>
      <c r="BH146" s="32" t="str" cm="1">
        <f t="array" ref="BH146">INDEX(编号表!$E:$E,MATCH(BG146,编号表!$D:$D,0))</f>
        <v>隐身术</v>
      </c>
      <c r="BI146" s="31"/>
      <c r="BJ146" s="31"/>
      <c r="BK146" s="31"/>
      <c r="BL146" s="32">
        <v>12500000</v>
      </c>
      <c r="BM146" s="32">
        <v>1</v>
      </c>
      <c r="BN146" s="31"/>
      <c r="BO146" s="31">
        <f>BG146+1</f>
        <v>34020068</v>
      </c>
      <c r="BP146" s="32" t="str" cm="1">
        <f t="array" ref="BP146">INDEX(编号表!$E:$E,MATCH(BO146,编号表!$D:$D,0))</f>
        <v>召唤神兽</v>
      </c>
      <c r="BQ146" s="31"/>
      <c r="BR146" s="31"/>
      <c r="BS146" s="31"/>
      <c r="BT146" s="32">
        <v>12500000</v>
      </c>
      <c r="BU146" s="32">
        <v>1</v>
      </c>
      <c r="BV146" s="31"/>
      <c r="BW146" s="31"/>
      <c r="BX146" s="31"/>
      <c r="BY146" s="31"/>
      <c r="BZ146" s="31"/>
      <c r="CA146" s="31"/>
      <c r="CB146" s="32"/>
      <c r="CC146" s="32"/>
      <c r="CD146" s="31"/>
      <c r="CE146" s="31"/>
      <c r="CF146" s="31"/>
      <c r="CG146" s="31"/>
      <c r="CH146" s="31"/>
      <c r="CI146" s="31"/>
      <c r="CJ146" s="32"/>
      <c r="CK146" s="32"/>
      <c r="CL146" s="31"/>
      <c r="CM146" s="31"/>
      <c r="CN146" s="31"/>
      <c r="CO146" s="31"/>
      <c r="CP146" s="31"/>
      <c r="CQ146" s="31"/>
      <c r="CR146" s="32"/>
      <c r="CS146" s="32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  <c r="IA146" s="31"/>
      <c r="IB146" s="31"/>
      <c r="IC146" s="31"/>
      <c r="ID146" s="31"/>
      <c r="IE146" s="31"/>
      <c r="IF146" s="31"/>
      <c r="IG146" s="31"/>
      <c r="IH146" s="31"/>
      <c r="II146" s="31"/>
      <c r="IJ146" s="31"/>
      <c r="IK146" s="31"/>
      <c r="IL146" s="31"/>
      <c r="IM146" s="31"/>
      <c r="IN146" s="31"/>
      <c r="IO146" s="31"/>
      <c r="IP146" s="31"/>
      <c r="IQ146" s="31"/>
      <c r="IR146" s="31"/>
      <c r="IS146" s="31"/>
      <c r="IT146" s="31"/>
      <c r="IU146" s="31"/>
      <c r="IV146" s="31"/>
      <c r="IW146" s="31"/>
      <c r="IX146" s="31"/>
      <c r="IY146" s="31"/>
      <c r="IZ146" s="31"/>
      <c r="JA146" s="31"/>
      <c r="JB146" s="31"/>
      <c r="JC146" s="31"/>
      <c r="JD146" s="31"/>
      <c r="JE146" s="31"/>
      <c r="JF146" s="31"/>
    </row>
    <row r="147" customFormat="1" ht="17.25" spans="1:266">
      <c r="A147" s="32">
        <f>40000000+INDEX(编号表!$B:$B,MATCH(B147,编号表!$A:$A,0))*10000+C147</f>
        <v>40160004</v>
      </c>
      <c r="B147" s="27" t="s">
        <v>592</v>
      </c>
      <c r="C147" s="32">
        <v>4</v>
      </c>
      <c r="D147" s="32" t="s">
        <v>592</v>
      </c>
      <c r="E147" s="32" t="s">
        <v>437</v>
      </c>
      <c r="F147" s="31">
        <f t="shared" si="11"/>
        <v>50000000</v>
      </c>
      <c r="G147" s="31"/>
      <c r="H147" s="32"/>
      <c r="I147" s="32"/>
      <c r="J147" s="32">
        <f t="shared" si="12"/>
        <v>7</v>
      </c>
      <c r="K147" s="31">
        <v>34040001</v>
      </c>
      <c r="L147" s="32" t="str" cm="1">
        <f t="array" ref="L147">INDEX(编号表!$E:$E,MATCH(K147,编号表!$D:$D,0))</f>
        <v>祝福油</v>
      </c>
      <c r="M147" s="31"/>
      <c r="N147" s="31"/>
      <c r="O147" s="31"/>
      <c r="P147" s="32">
        <v>20000000</v>
      </c>
      <c r="Q147" s="32">
        <v>1</v>
      </c>
      <c r="R147" s="31"/>
      <c r="S147" s="31">
        <f t="shared" si="13"/>
        <v>34040002</v>
      </c>
      <c r="T147" s="32" t="str" cm="1">
        <f t="array" ref="T147">INDEX(编号表!$E:$E,MATCH(S147,编号表!$D:$D,0))</f>
        <v>强化石</v>
      </c>
      <c r="U147" s="31"/>
      <c r="V147" s="31"/>
      <c r="W147" s="31"/>
      <c r="X147" s="32">
        <v>20000000</v>
      </c>
      <c r="Y147" s="32">
        <v>1</v>
      </c>
      <c r="Z147" s="31"/>
      <c r="AA147" s="31">
        <f t="shared" si="14"/>
        <v>34040003</v>
      </c>
      <c r="AB147" s="32" t="str" cm="1">
        <f t="array" ref="AB147">INDEX(编号表!$E:$E,MATCH(AA147,编号表!$D:$D,0))</f>
        <v>强化特权</v>
      </c>
      <c r="AC147" s="31"/>
      <c r="AD147" s="31"/>
      <c r="AE147" s="31"/>
      <c r="AF147" s="32">
        <v>2000000</v>
      </c>
      <c r="AG147" s="32">
        <v>1</v>
      </c>
      <c r="AH147" s="31"/>
      <c r="AI147" s="31">
        <f t="shared" si="15"/>
        <v>34040004</v>
      </c>
      <c r="AJ147" s="32" t="str" cm="1">
        <f t="array" ref="AJ147">INDEX(编号表!$E:$E,MATCH(AI147,编号表!$D:$D,0))</f>
        <v>命格洗练石</v>
      </c>
      <c r="AK147" s="31"/>
      <c r="AL147" s="31"/>
      <c r="AM147" s="31"/>
      <c r="AN147" s="32">
        <v>2000000</v>
      </c>
      <c r="AO147" s="32">
        <v>1</v>
      </c>
      <c r="AP147" s="31"/>
      <c r="AQ147" s="31">
        <f t="shared" si="16"/>
        <v>34040005</v>
      </c>
      <c r="AR147" s="32" t="str" cm="1">
        <f t="array" ref="AR147">INDEX(编号表!$E:$E,MATCH(AQ147,编号表!$D:$D,0))</f>
        <v>羽毛</v>
      </c>
      <c r="AS147" s="31"/>
      <c r="AT147" s="31"/>
      <c r="AU147" s="31"/>
      <c r="AV147" s="32">
        <v>2000000</v>
      </c>
      <c r="AW147" s="32">
        <v>1</v>
      </c>
      <c r="AX147" s="31"/>
      <c r="AY147" s="31">
        <f t="shared" si="17"/>
        <v>34040006</v>
      </c>
      <c r="AZ147" s="32" t="str" cm="1">
        <f t="array" ref="AZ147">INDEX(编号表!$E:$E,MATCH(AY147,编号表!$D:$D,0))</f>
        <v>背包解锁格</v>
      </c>
      <c r="BA147" s="31"/>
      <c r="BB147" s="31"/>
      <c r="BC147" s="31"/>
      <c r="BD147" s="32">
        <v>2000000</v>
      </c>
      <c r="BE147" s="32">
        <v>1</v>
      </c>
      <c r="BF147" s="31"/>
      <c r="BG147" s="31">
        <f t="shared" si="18"/>
        <v>34040007</v>
      </c>
      <c r="BH147" s="32" t="str" cm="1">
        <f t="array" ref="BH147">INDEX(编号表!$E:$E,MATCH(BG147,编号表!$D:$D,0))</f>
        <v>背包解锁页</v>
      </c>
      <c r="BI147" s="31"/>
      <c r="BJ147" s="31"/>
      <c r="BK147" s="31"/>
      <c r="BL147" s="32">
        <v>2000000</v>
      </c>
      <c r="BM147" s="32">
        <v>1</v>
      </c>
      <c r="BN147" s="31"/>
      <c r="BO147" s="31"/>
      <c r="BP147" s="32"/>
      <c r="BQ147" s="31"/>
      <c r="BR147" s="31"/>
      <c r="BS147" s="31"/>
      <c r="BT147" s="32"/>
      <c r="BU147" s="32"/>
      <c r="BV147" s="31"/>
      <c r="BW147" s="31"/>
      <c r="BX147" s="31"/>
      <c r="BY147" s="31"/>
      <c r="BZ147" s="31"/>
      <c r="CA147" s="31"/>
      <c r="CB147" s="32"/>
      <c r="CC147" s="32"/>
      <c r="CD147" s="31"/>
      <c r="CE147" s="31"/>
      <c r="CF147" s="31"/>
      <c r="CG147" s="31"/>
      <c r="CH147" s="31"/>
      <c r="CI147" s="31"/>
      <c r="CJ147" s="32"/>
      <c r="CK147" s="32"/>
      <c r="CL147" s="31"/>
      <c r="CM147" s="31"/>
      <c r="CN147" s="31"/>
      <c r="CO147" s="31"/>
      <c r="CP147" s="31"/>
      <c r="CQ147" s="31"/>
      <c r="CR147" s="32"/>
      <c r="CS147" s="32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</row>
    <row r="148" customFormat="1" ht="17.25" spans="1:266">
      <c r="A148" s="33">
        <f>40000000+INDEX(编号表!$B:$B,MATCH(B148,编号表!$A:$A,0))*10000+C148</f>
        <v>40160005</v>
      </c>
      <c r="B148" s="34" t="s">
        <v>592</v>
      </c>
      <c r="C148" s="33">
        <v>5</v>
      </c>
      <c r="D148" s="33" t="s">
        <v>596</v>
      </c>
      <c r="E148" s="32" t="s">
        <v>437</v>
      </c>
      <c r="F148" s="31">
        <f t="shared" si="11"/>
        <v>25000000</v>
      </c>
      <c r="G148" s="31"/>
      <c r="H148" s="32"/>
      <c r="I148" s="32"/>
      <c r="J148" s="32">
        <f t="shared" si="12"/>
        <v>3</v>
      </c>
      <c r="K148" s="32"/>
      <c r="L148" s="32"/>
      <c r="M148" s="35" t="s">
        <v>597</v>
      </c>
      <c r="N148" s="35" t="s">
        <v>598</v>
      </c>
      <c r="O148" s="16" t="s">
        <v>533</v>
      </c>
      <c r="P148" s="32">
        <v>10000000</v>
      </c>
      <c r="Q148" s="32">
        <v>1</v>
      </c>
      <c r="R148" s="31"/>
      <c r="S148" s="32"/>
      <c r="T148" s="32"/>
      <c r="U148" s="35" t="s">
        <v>597</v>
      </c>
      <c r="V148" s="35" t="s">
        <v>599</v>
      </c>
      <c r="W148" s="31">
        <v>1</v>
      </c>
      <c r="X148" s="32">
        <v>5000000</v>
      </c>
      <c r="Y148" s="32">
        <v>1</v>
      </c>
      <c r="Z148" s="31"/>
      <c r="AA148" s="32"/>
      <c r="AB148" s="32"/>
      <c r="AC148" s="35" t="s">
        <v>597</v>
      </c>
      <c r="AD148" s="35" t="s">
        <v>600</v>
      </c>
      <c r="AE148" s="35">
        <v>1</v>
      </c>
      <c r="AF148" s="32">
        <v>10000000</v>
      </c>
      <c r="AG148" s="32">
        <v>1</v>
      </c>
      <c r="AH148" s="31"/>
      <c r="AI148" s="31"/>
      <c r="AJ148" s="32"/>
      <c r="AK148" s="31"/>
      <c r="AL148" s="31"/>
      <c r="AM148" s="31"/>
      <c r="AN148" s="31"/>
      <c r="AO148" s="31"/>
      <c r="AP148" s="31"/>
      <c r="AQ148" s="31"/>
      <c r="AR148" s="32"/>
      <c r="AS148" s="31"/>
      <c r="AT148" s="31"/>
      <c r="AU148" s="31"/>
      <c r="AV148" s="31"/>
      <c r="AW148" s="31"/>
      <c r="AX148" s="31"/>
      <c r="AY148" s="31"/>
      <c r="AZ148" s="32"/>
      <c r="BA148" s="31"/>
      <c r="BB148" s="31"/>
      <c r="BC148" s="31"/>
      <c r="BD148" s="31"/>
      <c r="BE148" s="31"/>
      <c r="BF148" s="31"/>
      <c r="BG148" s="31"/>
      <c r="BH148" s="32"/>
      <c r="BI148" s="31"/>
      <c r="BJ148" s="31"/>
      <c r="BK148" s="31"/>
      <c r="BL148" s="31"/>
      <c r="BM148" s="31"/>
      <c r="BN148" s="31"/>
      <c r="BO148" s="31"/>
      <c r="BP148" s="32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  <c r="HE148" s="31"/>
      <c r="HF148" s="31"/>
      <c r="HG148" s="31"/>
      <c r="HH148" s="31"/>
      <c r="HI148" s="31"/>
      <c r="HJ148" s="31"/>
      <c r="HK148" s="31"/>
      <c r="HL148" s="31"/>
      <c r="HM148" s="31"/>
      <c r="HN148" s="31"/>
      <c r="HO148" s="31"/>
      <c r="HP148" s="31"/>
      <c r="HQ148" s="31"/>
      <c r="HR148" s="31"/>
      <c r="HS148" s="31"/>
      <c r="HT148" s="31"/>
      <c r="HU148" s="31"/>
      <c r="HV148" s="31"/>
      <c r="HW148" s="31"/>
      <c r="HX148" s="31"/>
      <c r="HY148" s="31"/>
      <c r="HZ148" s="31"/>
      <c r="IA148" s="31"/>
      <c r="IB148" s="31"/>
      <c r="IC148" s="31"/>
      <c r="ID148" s="31"/>
      <c r="IE148" s="31"/>
      <c r="IF148" s="31"/>
      <c r="IG148" s="31"/>
      <c r="IH148" s="31"/>
      <c r="II148" s="31"/>
      <c r="IJ148" s="31"/>
      <c r="IK148" s="31"/>
      <c r="IL148" s="31"/>
      <c r="IM148" s="31"/>
      <c r="IN148" s="31"/>
      <c r="IO148" s="31"/>
      <c r="IP148" s="31"/>
      <c r="IQ148" s="31"/>
      <c r="IR148" s="31"/>
      <c r="IS148" s="31"/>
      <c r="IT148" s="31"/>
      <c r="IU148" s="31"/>
      <c r="IV148" s="31"/>
      <c r="IW148" s="31"/>
      <c r="IX148" s="31"/>
      <c r="IY148" s="31"/>
      <c r="IZ148" s="31"/>
      <c r="JA148" s="31"/>
      <c r="JB148" s="31"/>
      <c r="JC148" s="31"/>
      <c r="JD148" s="31"/>
      <c r="JE148" s="31"/>
      <c r="JF148" s="31"/>
    </row>
    <row r="149" customFormat="1" ht="17.25" spans="1:266">
      <c r="A149" s="32">
        <f>40000000+INDEX(编号表!$B:$B,MATCH(B149,编号表!$A:$A,0))*10000+C149</f>
        <v>40160006</v>
      </c>
      <c r="B149" s="27" t="s">
        <v>592</v>
      </c>
      <c r="C149" s="32">
        <v>6</v>
      </c>
      <c r="D149" s="32" t="s">
        <v>564</v>
      </c>
      <c r="E149" s="32" t="s">
        <v>437</v>
      </c>
      <c r="F149" s="31">
        <f t="shared" si="11"/>
        <v>0</v>
      </c>
      <c r="G149" s="31"/>
      <c r="H149" s="32"/>
      <c r="I149" s="32"/>
      <c r="J149" s="32">
        <f t="shared" si="12"/>
        <v>0</v>
      </c>
      <c r="K149" s="32"/>
      <c r="L149" s="32"/>
      <c r="M149" s="31"/>
      <c r="N149" s="31"/>
      <c r="O149" s="31"/>
      <c r="P149" s="32"/>
      <c r="Q149" s="32"/>
      <c r="R149" s="31"/>
      <c r="S149" s="32"/>
      <c r="T149" s="32"/>
      <c r="U149" s="31"/>
      <c r="V149" s="31"/>
      <c r="W149" s="31"/>
      <c r="X149" s="32"/>
      <c r="Y149" s="32"/>
      <c r="Z149" s="31"/>
      <c r="AA149" s="32"/>
      <c r="AB149" s="32"/>
      <c r="AC149" s="31"/>
      <c r="AD149" s="31"/>
      <c r="AE149" s="31"/>
      <c r="AF149" s="32"/>
      <c r="AG149" s="32"/>
      <c r="AH149" s="31"/>
      <c r="AI149" s="31"/>
      <c r="AJ149" s="32"/>
      <c r="AK149" s="31"/>
      <c r="AL149" s="31"/>
      <c r="AM149" s="31"/>
      <c r="AN149" s="31"/>
      <c r="AO149" s="31"/>
      <c r="AP149" s="31"/>
      <c r="AQ149" s="31"/>
      <c r="AR149" s="32"/>
      <c r="AS149" s="31"/>
      <c r="AT149" s="31"/>
      <c r="AU149" s="31"/>
      <c r="AV149" s="31"/>
      <c r="AW149" s="31"/>
      <c r="AX149" s="31"/>
      <c r="AY149" s="31"/>
      <c r="AZ149" s="32"/>
      <c r="BA149" s="31"/>
      <c r="BB149" s="31"/>
      <c r="BC149" s="31"/>
      <c r="BD149" s="31"/>
      <c r="BE149" s="31"/>
      <c r="BF149" s="31"/>
      <c r="BG149" s="31"/>
      <c r="BH149" s="32"/>
      <c r="BI149" s="31"/>
      <c r="BJ149" s="31"/>
      <c r="BK149" s="31"/>
      <c r="BL149" s="31"/>
      <c r="BM149" s="31"/>
      <c r="BN149" s="31"/>
      <c r="BO149" s="31"/>
      <c r="BP149" s="32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/>
      <c r="IP149" s="31"/>
      <c r="IQ149" s="31"/>
      <c r="IR149" s="31"/>
      <c r="IS149" s="31"/>
      <c r="IT149" s="31"/>
      <c r="IU149" s="31"/>
      <c r="IV149" s="31"/>
      <c r="IW149" s="31"/>
      <c r="IX149" s="31"/>
      <c r="IY149" s="31"/>
      <c r="IZ149" s="31"/>
      <c r="JA149" s="31"/>
      <c r="JB149" s="31"/>
      <c r="JC149" s="31"/>
      <c r="JD149" s="31"/>
      <c r="JE149" s="31"/>
      <c r="JF149" s="31"/>
    </row>
    <row r="150" customFormat="1" ht="17.25" spans="1:266">
      <c r="A150" s="32">
        <f>40000000+INDEX(编号表!$B:$B,MATCH(B150,编号表!$A:$A,0))*10000+C150</f>
        <v>40160007</v>
      </c>
      <c r="B150" s="27" t="s">
        <v>592</v>
      </c>
      <c r="C150" s="32">
        <v>7</v>
      </c>
      <c r="D150" s="32" t="s">
        <v>566</v>
      </c>
      <c r="E150" s="32" t="s">
        <v>437</v>
      </c>
      <c r="F150" s="31">
        <f t="shared" si="11"/>
        <v>0</v>
      </c>
      <c r="G150" s="31"/>
      <c r="H150" s="32"/>
      <c r="I150" s="32"/>
      <c r="J150" s="32">
        <f t="shared" si="12"/>
        <v>0</v>
      </c>
      <c r="K150" s="32"/>
      <c r="L150" s="32"/>
      <c r="M150" s="31"/>
      <c r="N150" s="31"/>
      <c r="O150" s="31"/>
      <c r="P150" s="32"/>
      <c r="Q150" s="32"/>
      <c r="R150" s="31"/>
      <c r="S150" s="32"/>
      <c r="T150" s="32"/>
      <c r="U150" s="31"/>
      <c r="V150" s="31"/>
      <c r="W150" s="31"/>
      <c r="X150" s="32"/>
      <c r="Y150" s="32"/>
      <c r="Z150" s="31"/>
      <c r="AA150" s="32"/>
      <c r="AB150" s="32"/>
      <c r="AC150" s="31"/>
      <c r="AD150" s="31"/>
      <c r="AE150" s="31"/>
      <c r="AF150" s="32"/>
      <c r="AG150" s="32"/>
      <c r="AH150" s="31"/>
      <c r="AI150" s="31"/>
      <c r="AJ150" s="32"/>
      <c r="AK150" s="31"/>
      <c r="AL150" s="31"/>
      <c r="AM150" s="31"/>
      <c r="AN150" s="31"/>
      <c r="AO150" s="31"/>
      <c r="AP150" s="31"/>
      <c r="AQ150" s="31"/>
      <c r="AR150" s="32"/>
      <c r="AS150" s="31"/>
      <c r="AT150" s="31"/>
      <c r="AU150" s="31"/>
      <c r="AV150" s="31"/>
      <c r="AW150" s="31"/>
      <c r="AX150" s="31"/>
      <c r="AY150" s="31"/>
      <c r="AZ150" s="32"/>
      <c r="BA150" s="31"/>
      <c r="BB150" s="31"/>
      <c r="BC150" s="31"/>
      <c r="BD150" s="31"/>
      <c r="BE150" s="31"/>
      <c r="BF150" s="31"/>
      <c r="BG150" s="31"/>
      <c r="BH150" s="32"/>
      <c r="BI150" s="31"/>
      <c r="BJ150" s="31"/>
      <c r="BK150" s="31"/>
      <c r="BL150" s="31"/>
      <c r="BM150" s="31"/>
      <c r="BN150" s="31"/>
      <c r="BO150" s="31"/>
      <c r="BP150" s="32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/>
      <c r="IP150" s="31"/>
      <c r="IQ150" s="31"/>
      <c r="IR150" s="31"/>
      <c r="IS150" s="31"/>
      <c r="IT150" s="31"/>
      <c r="IU150" s="31"/>
      <c r="IV150" s="31"/>
      <c r="IW150" s="31"/>
      <c r="IX150" s="31"/>
      <c r="IY150" s="31"/>
      <c r="IZ150" s="31"/>
      <c r="JA150" s="31"/>
      <c r="JB150" s="31"/>
      <c r="JC150" s="31"/>
      <c r="JD150" s="31"/>
      <c r="JE150" s="31"/>
      <c r="JF150" s="31"/>
    </row>
    <row r="151" customFormat="1" ht="17.25" spans="1:266">
      <c r="A151" s="32">
        <f>40000000+INDEX(编号表!$B:$B,MATCH(B151,编号表!$A:$A,0))*10000+C151</f>
        <v>40160008</v>
      </c>
      <c r="B151" s="27" t="s">
        <v>592</v>
      </c>
      <c r="C151" s="32">
        <v>8</v>
      </c>
      <c r="D151" s="32" t="s">
        <v>567</v>
      </c>
      <c r="E151" s="32" t="s">
        <v>437</v>
      </c>
      <c r="F151" s="31">
        <f t="shared" si="11"/>
        <v>0</v>
      </c>
      <c r="G151" s="31"/>
      <c r="H151" s="32"/>
      <c r="I151" s="32"/>
      <c r="J151" s="32">
        <f t="shared" si="12"/>
        <v>0</v>
      </c>
      <c r="K151" s="32"/>
      <c r="L151" s="32"/>
      <c r="M151" s="31"/>
      <c r="N151" s="31"/>
      <c r="O151" s="31"/>
      <c r="P151" s="32"/>
      <c r="Q151" s="32"/>
      <c r="R151" s="31"/>
      <c r="S151" s="32"/>
      <c r="T151" s="32"/>
      <c r="U151" s="31"/>
      <c r="V151" s="31"/>
      <c r="W151" s="31"/>
      <c r="X151" s="32"/>
      <c r="Y151" s="32"/>
      <c r="Z151" s="31"/>
      <c r="AA151" s="32"/>
      <c r="AB151" s="32"/>
      <c r="AC151" s="31"/>
      <c r="AD151" s="31"/>
      <c r="AE151" s="31"/>
      <c r="AF151" s="32"/>
      <c r="AG151" s="32"/>
      <c r="AH151" s="31"/>
      <c r="AI151" s="31"/>
      <c r="AJ151" s="32"/>
      <c r="AK151" s="31"/>
      <c r="AL151" s="31"/>
      <c r="AM151" s="31"/>
      <c r="AN151" s="31"/>
      <c r="AO151" s="31"/>
      <c r="AP151" s="31"/>
      <c r="AQ151" s="31"/>
      <c r="AR151" s="32"/>
      <c r="AS151" s="31"/>
      <c r="AT151" s="31"/>
      <c r="AU151" s="31"/>
      <c r="AV151" s="31"/>
      <c r="AW151" s="31"/>
      <c r="AX151" s="31"/>
      <c r="AY151" s="31"/>
      <c r="AZ151" s="32"/>
      <c r="BA151" s="31"/>
      <c r="BB151" s="31"/>
      <c r="BC151" s="31"/>
      <c r="BD151" s="31"/>
      <c r="BE151" s="31"/>
      <c r="BF151" s="31"/>
      <c r="BG151" s="31"/>
      <c r="BH151" s="32"/>
      <c r="BI151" s="31"/>
      <c r="BJ151" s="31"/>
      <c r="BK151" s="31"/>
      <c r="BL151" s="31"/>
      <c r="BM151" s="31"/>
      <c r="BN151" s="31"/>
      <c r="BO151" s="31"/>
      <c r="BP151" s="32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  <c r="HI151" s="31"/>
      <c r="HJ151" s="31"/>
      <c r="HK151" s="31"/>
      <c r="HL151" s="31"/>
      <c r="HM151" s="31"/>
      <c r="HN151" s="31"/>
      <c r="HO151" s="31"/>
      <c r="HP151" s="31"/>
      <c r="HQ151" s="31"/>
      <c r="HR151" s="31"/>
      <c r="HS151" s="31"/>
      <c r="HT151" s="31"/>
      <c r="HU151" s="31"/>
      <c r="HV151" s="31"/>
      <c r="HW151" s="31"/>
      <c r="HX151" s="31"/>
      <c r="HY151" s="31"/>
      <c r="HZ151" s="31"/>
      <c r="IA151" s="31"/>
      <c r="IB151" s="31"/>
      <c r="IC151" s="31"/>
      <c r="ID151" s="31"/>
      <c r="IE151" s="31"/>
      <c r="IF151" s="31"/>
      <c r="IG151" s="31"/>
      <c r="IH151" s="31"/>
      <c r="II151" s="31"/>
      <c r="IJ151" s="31"/>
      <c r="IK151" s="31"/>
      <c r="IL151" s="31"/>
      <c r="IM151" s="31"/>
      <c r="IN151" s="31"/>
      <c r="IO151" s="31"/>
      <c r="IP151" s="31"/>
      <c r="IQ151" s="31"/>
      <c r="IR151" s="31"/>
      <c r="IS151" s="31"/>
      <c r="IT151" s="31"/>
      <c r="IU151" s="31"/>
      <c r="IV151" s="31"/>
      <c r="IW151" s="31"/>
      <c r="IX151" s="31"/>
      <c r="IY151" s="31"/>
      <c r="IZ151" s="31"/>
      <c r="JA151" s="31"/>
      <c r="JB151" s="31"/>
      <c r="JC151" s="31"/>
      <c r="JD151" s="31"/>
      <c r="JE151" s="31"/>
      <c r="JF151" s="31"/>
    </row>
    <row r="152" customFormat="1" ht="17.25" spans="1:266">
      <c r="A152" s="32">
        <f>40000000+INDEX(编号表!$B:$B,MATCH(B152,编号表!$A:$A,0))*10000+C152</f>
        <v>40160009</v>
      </c>
      <c r="B152" s="27" t="s">
        <v>592</v>
      </c>
      <c r="C152" s="32">
        <v>9</v>
      </c>
      <c r="D152" s="32" t="s">
        <v>568</v>
      </c>
      <c r="E152" s="32" t="s">
        <v>437</v>
      </c>
      <c r="F152" s="31">
        <f t="shared" si="11"/>
        <v>0</v>
      </c>
      <c r="G152" s="31"/>
      <c r="H152" s="32"/>
      <c r="I152" s="32"/>
      <c r="J152" s="32">
        <f t="shared" si="12"/>
        <v>0</v>
      </c>
      <c r="K152" s="32"/>
      <c r="L152" s="32"/>
      <c r="M152" s="31"/>
      <c r="N152" s="31"/>
      <c r="O152" s="31"/>
      <c r="P152" s="32"/>
      <c r="Q152" s="32"/>
      <c r="R152" s="31"/>
      <c r="S152" s="32"/>
      <c r="T152" s="32"/>
      <c r="U152" s="31"/>
      <c r="V152" s="31"/>
      <c r="W152" s="31"/>
      <c r="X152" s="32"/>
      <c r="Y152" s="32"/>
      <c r="Z152" s="31"/>
      <c r="AA152" s="32"/>
      <c r="AB152" s="32"/>
      <c r="AC152" s="31"/>
      <c r="AD152" s="31"/>
      <c r="AE152" s="31"/>
      <c r="AF152" s="32"/>
      <c r="AG152" s="32"/>
      <c r="AH152" s="31"/>
      <c r="AI152" s="31"/>
      <c r="AJ152" s="32"/>
      <c r="AK152" s="31"/>
      <c r="AL152" s="31"/>
      <c r="AM152" s="31"/>
      <c r="AN152" s="31"/>
      <c r="AO152" s="31"/>
      <c r="AP152" s="31"/>
      <c r="AQ152" s="31"/>
      <c r="AR152" s="32"/>
      <c r="AS152" s="31"/>
      <c r="AT152" s="31"/>
      <c r="AU152" s="31"/>
      <c r="AV152" s="31"/>
      <c r="AW152" s="31"/>
      <c r="AX152" s="31"/>
      <c r="AY152" s="31"/>
      <c r="AZ152" s="32"/>
      <c r="BA152" s="31"/>
      <c r="BB152" s="31"/>
      <c r="BC152" s="31"/>
      <c r="BD152" s="31"/>
      <c r="BE152" s="31"/>
      <c r="BF152" s="31"/>
      <c r="BG152" s="31"/>
      <c r="BH152" s="32"/>
      <c r="BI152" s="31"/>
      <c r="BJ152" s="31"/>
      <c r="BK152" s="31"/>
      <c r="BL152" s="31"/>
      <c r="BM152" s="31"/>
      <c r="BN152" s="31"/>
      <c r="BO152" s="31"/>
      <c r="BP152" s="32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  <c r="IW152" s="31"/>
      <c r="IX152" s="31"/>
      <c r="IY152" s="31"/>
      <c r="IZ152" s="31"/>
      <c r="JA152" s="31"/>
      <c r="JB152" s="31"/>
      <c r="JC152" s="31"/>
      <c r="JD152" s="31"/>
      <c r="JE152" s="31"/>
      <c r="JF152" s="31"/>
    </row>
    <row r="153" customFormat="1" ht="17.25" spans="1:266">
      <c r="A153" s="32">
        <f>40000000+INDEX(编号表!$B:$B,MATCH(B153,编号表!$A:$A,0))*10000+C153</f>
        <v>40160010</v>
      </c>
      <c r="B153" s="27" t="s">
        <v>592</v>
      </c>
      <c r="C153" s="32">
        <v>10</v>
      </c>
      <c r="D153" s="32" t="s">
        <v>569</v>
      </c>
      <c r="E153" s="32" t="s">
        <v>437</v>
      </c>
      <c r="F153" s="31">
        <f t="shared" si="11"/>
        <v>0</v>
      </c>
      <c r="G153" s="31"/>
      <c r="H153" s="32"/>
      <c r="I153" s="32"/>
      <c r="J153" s="32">
        <f t="shared" si="12"/>
        <v>0</v>
      </c>
      <c r="K153" s="32"/>
      <c r="L153" s="32"/>
      <c r="M153" s="31"/>
      <c r="N153" s="31"/>
      <c r="O153" s="31"/>
      <c r="P153" s="32"/>
      <c r="Q153" s="32"/>
      <c r="R153" s="31"/>
      <c r="S153" s="32"/>
      <c r="T153" s="32"/>
      <c r="U153" s="31"/>
      <c r="V153" s="31"/>
      <c r="W153" s="31"/>
      <c r="X153" s="32"/>
      <c r="Y153" s="32"/>
      <c r="Z153" s="31"/>
      <c r="AA153" s="32"/>
      <c r="AB153" s="32"/>
      <c r="AC153" s="31"/>
      <c r="AD153" s="31"/>
      <c r="AE153" s="31"/>
      <c r="AF153" s="32"/>
      <c r="AG153" s="32"/>
      <c r="AH153" s="31"/>
      <c r="AI153" s="31"/>
      <c r="AJ153" s="32"/>
      <c r="AK153" s="31"/>
      <c r="AL153" s="31"/>
      <c r="AM153" s="31"/>
      <c r="AN153" s="31"/>
      <c r="AO153" s="31"/>
      <c r="AP153" s="31"/>
      <c r="AQ153" s="31"/>
      <c r="AR153" s="32"/>
      <c r="AS153" s="31"/>
      <c r="AT153" s="31"/>
      <c r="AU153" s="31"/>
      <c r="AV153" s="31"/>
      <c r="AW153" s="31"/>
      <c r="AX153" s="31"/>
      <c r="AY153" s="31"/>
      <c r="AZ153" s="32"/>
      <c r="BA153" s="31"/>
      <c r="BB153" s="31"/>
      <c r="BC153" s="31"/>
      <c r="BD153" s="31"/>
      <c r="BE153" s="31"/>
      <c r="BF153" s="31"/>
      <c r="BG153" s="31"/>
      <c r="BH153" s="32"/>
      <c r="BI153" s="31"/>
      <c r="BJ153" s="31"/>
      <c r="BK153" s="31"/>
      <c r="BL153" s="31"/>
      <c r="BM153" s="31"/>
      <c r="BN153" s="31"/>
      <c r="BO153" s="31"/>
      <c r="BP153" s="32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  <c r="IZ153" s="31"/>
      <c r="JA153" s="31"/>
      <c r="JB153" s="31"/>
      <c r="JC153" s="31"/>
      <c r="JD153" s="31"/>
      <c r="JE153" s="31"/>
      <c r="JF153" s="31"/>
    </row>
    <row r="154" customFormat="1" ht="17.25" spans="1:266">
      <c r="A154" s="32">
        <f>40000000+INDEX(编号表!$B:$B,MATCH(B154,编号表!$A:$A,0))*10000+C154</f>
        <v>40160011</v>
      </c>
      <c r="B154" s="27" t="s">
        <v>592</v>
      </c>
      <c r="C154" s="32">
        <v>11</v>
      </c>
      <c r="D154" s="32" t="s">
        <v>570</v>
      </c>
      <c r="E154" s="32" t="s">
        <v>437</v>
      </c>
      <c r="F154" s="31">
        <f t="shared" si="11"/>
        <v>0</v>
      </c>
      <c r="G154" s="31"/>
      <c r="H154" s="32"/>
      <c r="I154" s="32"/>
      <c r="J154" s="32">
        <f t="shared" si="12"/>
        <v>0</v>
      </c>
      <c r="K154" s="32"/>
      <c r="L154" s="32"/>
      <c r="M154" s="31"/>
      <c r="N154" s="31"/>
      <c r="O154" s="31"/>
      <c r="P154" s="32"/>
      <c r="Q154" s="32"/>
      <c r="R154" s="31"/>
      <c r="S154" s="32"/>
      <c r="T154" s="32"/>
      <c r="U154" s="31"/>
      <c r="V154" s="31"/>
      <c r="W154" s="31"/>
      <c r="X154" s="32"/>
      <c r="Y154" s="32"/>
      <c r="Z154" s="31"/>
      <c r="AA154" s="32"/>
      <c r="AB154" s="32"/>
      <c r="AC154" s="31"/>
      <c r="AD154" s="31"/>
      <c r="AE154" s="31"/>
      <c r="AF154" s="32"/>
      <c r="AG154" s="32"/>
      <c r="AH154" s="31"/>
      <c r="AI154" s="31"/>
      <c r="AJ154" s="32"/>
      <c r="AK154" s="31"/>
      <c r="AL154" s="31"/>
      <c r="AM154" s="31"/>
      <c r="AN154" s="31"/>
      <c r="AO154" s="31"/>
      <c r="AP154" s="31"/>
      <c r="AQ154" s="31"/>
      <c r="AR154" s="32"/>
      <c r="AS154" s="31"/>
      <c r="AT154" s="31"/>
      <c r="AU154" s="31"/>
      <c r="AV154" s="31"/>
      <c r="AW154" s="31"/>
      <c r="AX154" s="31"/>
      <c r="AY154" s="31"/>
      <c r="AZ154" s="32"/>
      <c r="BA154" s="31"/>
      <c r="BB154" s="31"/>
      <c r="BC154" s="31"/>
      <c r="BD154" s="31"/>
      <c r="BE154" s="31"/>
      <c r="BF154" s="31"/>
      <c r="BG154" s="31"/>
      <c r="BH154" s="32"/>
      <c r="BI154" s="31"/>
      <c r="BJ154" s="31"/>
      <c r="BK154" s="31"/>
      <c r="BL154" s="31"/>
      <c r="BM154" s="31"/>
      <c r="BN154" s="31"/>
      <c r="BO154" s="31"/>
      <c r="BP154" s="32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  <c r="IW154" s="31"/>
      <c r="IX154" s="31"/>
      <c r="IY154" s="31"/>
      <c r="IZ154" s="31"/>
      <c r="JA154" s="31"/>
      <c r="JB154" s="31"/>
      <c r="JC154" s="31"/>
      <c r="JD154" s="31"/>
      <c r="JE154" s="31"/>
      <c r="JF154" s="31"/>
    </row>
    <row r="155" customFormat="1" ht="17.25" spans="1:266">
      <c r="A155" s="32">
        <f>40000000+INDEX(编号表!$B:$B,MATCH(B155,编号表!$A:$A,0))*10000+C155</f>
        <v>40160012</v>
      </c>
      <c r="B155" s="27" t="s">
        <v>592</v>
      </c>
      <c r="C155" s="32">
        <v>12</v>
      </c>
      <c r="D155" s="32" t="s">
        <v>571</v>
      </c>
      <c r="E155" s="32" t="s">
        <v>437</v>
      </c>
      <c r="F155" s="31">
        <f t="shared" si="11"/>
        <v>0</v>
      </c>
      <c r="G155" s="31"/>
      <c r="H155" s="32"/>
      <c r="I155" s="32"/>
      <c r="J155" s="32">
        <f t="shared" si="12"/>
        <v>0</v>
      </c>
      <c r="K155" s="32"/>
      <c r="L155" s="32"/>
      <c r="M155" s="31"/>
      <c r="N155" s="31"/>
      <c r="O155" s="31"/>
      <c r="P155" s="32"/>
      <c r="Q155" s="32"/>
      <c r="R155" s="31"/>
      <c r="S155" s="32"/>
      <c r="T155" s="32"/>
      <c r="U155" s="31"/>
      <c r="V155" s="31"/>
      <c r="W155" s="31"/>
      <c r="X155" s="32"/>
      <c r="Y155" s="32"/>
      <c r="Z155" s="31"/>
      <c r="AA155" s="32"/>
      <c r="AB155" s="32"/>
      <c r="AC155" s="31"/>
      <c r="AD155" s="31"/>
      <c r="AE155" s="31"/>
      <c r="AF155" s="32"/>
      <c r="AG155" s="32"/>
      <c r="AH155" s="31"/>
      <c r="AI155" s="31"/>
      <c r="AJ155" s="32"/>
      <c r="AK155" s="31"/>
      <c r="AL155" s="31"/>
      <c r="AM155" s="31"/>
      <c r="AN155" s="31"/>
      <c r="AO155" s="31"/>
      <c r="AP155" s="31"/>
      <c r="AQ155" s="31"/>
      <c r="AR155" s="32"/>
      <c r="AS155" s="31"/>
      <c r="AT155" s="31"/>
      <c r="AU155" s="31"/>
      <c r="AV155" s="31"/>
      <c r="AW155" s="31"/>
      <c r="AX155" s="31"/>
      <c r="AY155" s="31"/>
      <c r="AZ155" s="32"/>
      <c r="BA155" s="31"/>
      <c r="BB155" s="31"/>
      <c r="BC155" s="31"/>
      <c r="BD155" s="31"/>
      <c r="BE155" s="31"/>
      <c r="BF155" s="31"/>
      <c r="BG155" s="31"/>
      <c r="BH155" s="32"/>
      <c r="BI155" s="31"/>
      <c r="BJ155" s="31"/>
      <c r="BK155" s="31"/>
      <c r="BL155" s="31"/>
      <c r="BM155" s="31"/>
      <c r="BN155" s="31"/>
      <c r="BO155" s="31"/>
      <c r="BP155" s="32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  <c r="HE155" s="31"/>
      <c r="HF155" s="31"/>
      <c r="HG155" s="31"/>
      <c r="HH155" s="31"/>
      <c r="HI155" s="31"/>
      <c r="HJ155" s="31"/>
      <c r="HK155" s="31"/>
      <c r="HL155" s="31"/>
      <c r="HM155" s="31"/>
      <c r="HN155" s="31"/>
      <c r="HO155" s="31"/>
      <c r="HP155" s="31"/>
      <c r="HQ155" s="31"/>
      <c r="HR155" s="31"/>
      <c r="HS155" s="31"/>
      <c r="HT155" s="31"/>
      <c r="HU155" s="31"/>
      <c r="HV155" s="31"/>
      <c r="HW155" s="31"/>
      <c r="HX155" s="31"/>
      <c r="HY155" s="31"/>
      <c r="HZ155" s="31"/>
      <c r="IA155" s="31"/>
      <c r="IB155" s="31"/>
      <c r="IC155" s="31"/>
      <c r="ID155" s="31"/>
      <c r="IE155" s="31"/>
      <c r="IF155" s="31"/>
      <c r="IG155" s="31"/>
      <c r="IH155" s="31"/>
      <c r="II155" s="31"/>
      <c r="IJ155" s="31"/>
      <c r="IK155" s="31"/>
      <c r="IL155" s="31"/>
      <c r="IM155" s="31"/>
      <c r="IN155" s="31"/>
      <c r="IO155" s="31"/>
      <c r="IP155" s="31"/>
      <c r="IQ155" s="31"/>
      <c r="IR155" s="31"/>
      <c r="IS155" s="31"/>
      <c r="IT155" s="31"/>
      <c r="IU155" s="31"/>
      <c r="IV155" s="31"/>
      <c r="IW155" s="31"/>
      <c r="IX155" s="31"/>
      <c r="IY155" s="31"/>
      <c r="IZ155" s="31"/>
      <c r="JA155" s="31"/>
      <c r="JB155" s="31"/>
      <c r="JC155" s="31"/>
      <c r="JD155" s="31"/>
      <c r="JE155" s="31"/>
      <c r="JF155" s="31"/>
    </row>
    <row r="156" customFormat="1" ht="17.25" spans="1:266">
      <c r="A156" s="32">
        <f>40000000+INDEX(编号表!$B:$B,MATCH(B156,编号表!$A:$A,0))*10000+C156</f>
        <v>40160013</v>
      </c>
      <c r="B156" s="27" t="s">
        <v>592</v>
      </c>
      <c r="C156" s="32">
        <v>13</v>
      </c>
      <c r="D156" s="32" t="s">
        <v>572</v>
      </c>
      <c r="E156" s="32" t="s">
        <v>437</v>
      </c>
      <c r="F156" s="31">
        <f t="shared" si="11"/>
        <v>0</v>
      </c>
      <c r="G156" s="31"/>
      <c r="H156" s="32"/>
      <c r="I156" s="32"/>
      <c r="J156" s="32">
        <f t="shared" si="12"/>
        <v>0</v>
      </c>
      <c r="K156" s="32"/>
      <c r="L156" s="32"/>
      <c r="M156" s="16"/>
      <c r="N156" s="16"/>
      <c r="O156" s="16"/>
      <c r="P156" s="32"/>
      <c r="Q156" s="32"/>
      <c r="R156" s="31"/>
      <c r="S156" s="32"/>
      <c r="T156" s="32"/>
      <c r="U156" s="31"/>
      <c r="V156" s="31"/>
      <c r="W156" s="31"/>
      <c r="X156" s="32"/>
      <c r="Y156" s="32"/>
      <c r="Z156" s="31"/>
      <c r="AA156" s="32"/>
      <c r="AB156" s="32"/>
      <c r="AC156" s="31"/>
      <c r="AD156" s="31"/>
      <c r="AE156" s="31"/>
      <c r="AF156" s="32"/>
      <c r="AG156" s="32"/>
      <c r="AH156" s="31"/>
      <c r="AI156" s="31"/>
      <c r="AJ156" s="32"/>
      <c r="AK156" s="31"/>
      <c r="AL156" s="31"/>
      <c r="AM156" s="31"/>
      <c r="AN156" s="31"/>
      <c r="AO156" s="31"/>
      <c r="AP156" s="31"/>
      <c r="AQ156" s="31"/>
      <c r="AR156" s="32"/>
      <c r="AS156" s="31"/>
      <c r="AT156" s="31"/>
      <c r="AU156" s="31"/>
      <c r="AV156" s="31"/>
      <c r="AW156" s="31"/>
      <c r="AX156" s="31"/>
      <c r="AY156" s="31"/>
      <c r="AZ156" s="32"/>
      <c r="BA156" s="31"/>
      <c r="BB156" s="31"/>
      <c r="BC156" s="31"/>
      <c r="BD156" s="31"/>
      <c r="BE156" s="31"/>
      <c r="BF156" s="31"/>
      <c r="BG156" s="31"/>
      <c r="BH156" s="32"/>
      <c r="BI156" s="31"/>
      <c r="BJ156" s="31"/>
      <c r="BK156" s="31"/>
      <c r="BL156" s="31"/>
      <c r="BM156" s="31"/>
      <c r="BN156" s="31"/>
      <c r="BO156" s="31"/>
      <c r="BP156" s="32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  <c r="GI156" s="31"/>
      <c r="GJ156" s="31"/>
      <c r="GK156" s="31"/>
      <c r="GL156" s="31"/>
      <c r="GM156" s="31"/>
      <c r="GN156" s="31"/>
      <c r="GO156" s="31"/>
      <c r="GP156" s="31"/>
      <c r="GQ156" s="31"/>
      <c r="GR156" s="31"/>
      <c r="GS156" s="31"/>
      <c r="GT156" s="31"/>
      <c r="GU156" s="31"/>
      <c r="GV156" s="31"/>
      <c r="GW156" s="31"/>
      <c r="GX156" s="31"/>
      <c r="GY156" s="31"/>
      <c r="GZ156" s="31"/>
      <c r="HA156" s="31"/>
      <c r="HB156" s="31"/>
      <c r="HC156" s="31"/>
      <c r="HD156" s="31"/>
      <c r="HE156" s="31"/>
      <c r="HF156" s="31"/>
      <c r="HG156" s="31"/>
      <c r="HH156" s="31"/>
      <c r="HI156" s="31"/>
      <c r="HJ156" s="31"/>
      <c r="HK156" s="31"/>
      <c r="HL156" s="31"/>
      <c r="HM156" s="31"/>
      <c r="HN156" s="31"/>
      <c r="HO156" s="31"/>
      <c r="HP156" s="31"/>
      <c r="HQ156" s="31"/>
      <c r="HR156" s="31"/>
      <c r="HS156" s="31"/>
      <c r="HT156" s="31"/>
      <c r="HU156" s="31"/>
      <c r="HV156" s="31"/>
      <c r="HW156" s="31"/>
      <c r="HX156" s="31"/>
      <c r="HY156" s="31"/>
      <c r="HZ156" s="31"/>
      <c r="IA156" s="31"/>
      <c r="IB156" s="31"/>
      <c r="IC156" s="31"/>
      <c r="ID156" s="31"/>
      <c r="IE156" s="31"/>
      <c r="IF156" s="31"/>
      <c r="IG156" s="31"/>
      <c r="IH156" s="31"/>
      <c r="II156" s="31"/>
      <c r="IJ156" s="31"/>
      <c r="IK156" s="31"/>
      <c r="IL156" s="31"/>
      <c r="IM156" s="31"/>
      <c r="IN156" s="31"/>
      <c r="IO156" s="31"/>
      <c r="IP156" s="31"/>
      <c r="IQ156" s="31"/>
      <c r="IR156" s="31"/>
      <c r="IS156" s="31"/>
      <c r="IT156" s="31"/>
      <c r="IU156" s="31"/>
      <c r="IV156" s="31"/>
      <c r="IW156" s="31"/>
      <c r="IX156" s="31"/>
      <c r="IY156" s="31"/>
      <c r="IZ156" s="31"/>
      <c r="JA156" s="31"/>
      <c r="JB156" s="31"/>
      <c r="JC156" s="31"/>
      <c r="JD156" s="31"/>
      <c r="JE156" s="31"/>
      <c r="JF156" s="31"/>
    </row>
    <row r="157" customFormat="1" ht="17.25" spans="1:266">
      <c r="A157" s="32">
        <f>40000000+INDEX(编号表!$B:$B,MATCH(B157,编号表!$A:$A,0))*10000+C157</f>
        <v>40160014</v>
      </c>
      <c r="B157" s="27" t="s">
        <v>592</v>
      </c>
      <c r="C157" s="32">
        <v>14</v>
      </c>
      <c r="D157" s="32" t="s">
        <v>573</v>
      </c>
      <c r="E157" s="32" t="s">
        <v>437</v>
      </c>
      <c r="F157" s="31">
        <f t="shared" si="11"/>
        <v>0</v>
      </c>
      <c r="G157" s="31"/>
      <c r="H157" s="32"/>
      <c r="I157" s="32"/>
      <c r="J157" s="32">
        <f t="shared" si="12"/>
        <v>0</v>
      </c>
      <c r="K157" s="32"/>
      <c r="L157" s="32"/>
      <c r="M157" s="31"/>
      <c r="N157" s="31"/>
      <c r="O157" s="31"/>
      <c r="P157" s="32"/>
      <c r="Q157" s="32"/>
      <c r="R157" s="31"/>
      <c r="S157" s="32"/>
      <c r="T157" s="32"/>
      <c r="U157" s="31"/>
      <c r="V157" s="31"/>
      <c r="W157" s="31"/>
      <c r="X157" s="32"/>
      <c r="Y157" s="32"/>
      <c r="Z157" s="31"/>
      <c r="AA157" s="32"/>
      <c r="AB157" s="32"/>
      <c r="AC157" s="31"/>
      <c r="AD157" s="31"/>
      <c r="AE157" s="31"/>
      <c r="AF157" s="32"/>
      <c r="AG157" s="32"/>
      <c r="AH157" s="31"/>
      <c r="AI157" s="31"/>
      <c r="AJ157" s="32"/>
      <c r="AK157" s="31"/>
      <c r="AL157" s="31"/>
      <c r="AM157" s="31"/>
      <c r="AN157" s="31"/>
      <c r="AO157" s="31"/>
      <c r="AP157" s="31"/>
      <c r="AQ157" s="31"/>
      <c r="AR157" s="32"/>
      <c r="AS157" s="31"/>
      <c r="AT157" s="31"/>
      <c r="AU157" s="31"/>
      <c r="AV157" s="31"/>
      <c r="AW157" s="31"/>
      <c r="AX157" s="31"/>
      <c r="AY157" s="31"/>
      <c r="AZ157" s="32"/>
      <c r="BA157" s="31"/>
      <c r="BB157" s="31"/>
      <c r="BC157" s="31"/>
      <c r="BD157" s="31"/>
      <c r="BE157" s="31"/>
      <c r="BF157" s="31"/>
      <c r="BG157" s="31"/>
      <c r="BH157" s="32"/>
      <c r="BI157" s="31"/>
      <c r="BJ157" s="31"/>
      <c r="BK157" s="31"/>
      <c r="BL157" s="31"/>
      <c r="BM157" s="31"/>
      <c r="BN157" s="31"/>
      <c r="BO157" s="31"/>
      <c r="BP157" s="32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/>
      <c r="HK157" s="31"/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  <c r="IA157" s="31"/>
      <c r="IB157" s="31"/>
      <c r="IC157" s="31"/>
      <c r="ID157" s="31"/>
      <c r="IE157" s="31"/>
      <c r="IF157" s="31"/>
      <c r="IG157" s="31"/>
      <c r="IH157" s="31"/>
      <c r="II157" s="31"/>
      <c r="IJ157" s="31"/>
      <c r="IK157" s="31"/>
      <c r="IL157" s="31"/>
      <c r="IM157" s="31"/>
      <c r="IN157" s="31"/>
      <c r="IO157" s="31"/>
      <c r="IP157" s="31"/>
      <c r="IQ157" s="31"/>
      <c r="IR157" s="31"/>
      <c r="IS157" s="31"/>
      <c r="IT157" s="31"/>
      <c r="IU157" s="31"/>
      <c r="IV157" s="31"/>
      <c r="IW157" s="31"/>
      <c r="IX157" s="31"/>
      <c r="IY157" s="31"/>
      <c r="IZ157" s="31"/>
      <c r="JA157" s="31"/>
      <c r="JB157" s="31"/>
      <c r="JC157" s="31"/>
      <c r="JD157" s="31"/>
      <c r="JE157" s="31"/>
      <c r="JF157" s="31"/>
    </row>
    <row r="158" customFormat="1" ht="17.25" spans="1:266">
      <c r="A158" s="32">
        <f>40000000+INDEX(编号表!$B:$B,MATCH(B158,编号表!$A:$A,0))*10000+C158</f>
        <v>40160015</v>
      </c>
      <c r="B158" s="27" t="s">
        <v>592</v>
      </c>
      <c r="C158" s="32">
        <v>15</v>
      </c>
      <c r="D158" s="32" t="s">
        <v>601</v>
      </c>
      <c r="E158" s="32" t="s">
        <v>437</v>
      </c>
      <c r="F158" s="31">
        <f t="shared" si="11"/>
        <v>0</v>
      </c>
      <c r="G158" s="31"/>
      <c r="H158" s="32"/>
      <c r="I158" s="32"/>
      <c r="J158" s="32">
        <f t="shared" si="12"/>
        <v>0</v>
      </c>
      <c r="K158" s="32"/>
      <c r="L158" s="32"/>
      <c r="M158" s="31"/>
      <c r="N158" s="31"/>
      <c r="O158" s="31"/>
      <c r="P158" s="32"/>
      <c r="Q158" s="32"/>
      <c r="R158" s="31"/>
      <c r="S158" s="32"/>
      <c r="T158" s="32"/>
      <c r="U158" s="31"/>
      <c r="V158" s="31"/>
      <c r="W158" s="31"/>
      <c r="X158" s="32"/>
      <c r="Y158" s="32"/>
      <c r="Z158" s="31"/>
      <c r="AA158" s="32"/>
      <c r="AB158" s="32"/>
      <c r="AC158" s="31"/>
      <c r="AD158" s="31"/>
      <c r="AE158" s="31"/>
      <c r="AF158" s="32"/>
      <c r="AG158" s="32"/>
      <c r="AH158" s="31"/>
      <c r="AI158" s="31"/>
      <c r="AJ158" s="32"/>
      <c r="AK158" s="31"/>
      <c r="AL158" s="31"/>
      <c r="AM158" s="31"/>
      <c r="AN158" s="31"/>
      <c r="AO158" s="31"/>
      <c r="AP158" s="31"/>
      <c r="AQ158" s="31"/>
      <c r="AR158" s="32"/>
      <c r="AS158" s="31"/>
      <c r="AT158" s="31"/>
      <c r="AU158" s="31"/>
      <c r="AV158" s="31"/>
      <c r="AW158" s="31"/>
      <c r="AX158" s="31"/>
      <c r="AY158" s="31"/>
      <c r="AZ158" s="32"/>
      <c r="BA158" s="31"/>
      <c r="BB158" s="31"/>
      <c r="BC158" s="31"/>
      <c r="BD158" s="31"/>
      <c r="BE158" s="31"/>
      <c r="BF158" s="31"/>
      <c r="BG158" s="31"/>
      <c r="BH158" s="32"/>
      <c r="BI158" s="31"/>
      <c r="BJ158" s="31"/>
      <c r="BK158" s="31"/>
      <c r="BL158" s="31"/>
      <c r="BM158" s="31"/>
      <c r="BN158" s="31"/>
      <c r="BO158" s="31"/>
      <c r="BP158" s="32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/>
      <c r="HK158" s="31"/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  <c r="IA158" s="31"/>
      <c r="IB158" s="31"/>
      <c r="IC158" s="31"/>
      <c r="ID158" s="31"/>
      <c r="IE158" s="31"/>
      <c r="IF158" s="31"/>
      <c r="IG158" s="31"/>
      <c r="IH158" s="31"/>
      <c r="II158" s="31"/>
      <c r="IJ158" s="31"/>
      <c r="IK158" s="31"/>
      <c r="IL158" s="31"/>
      <c r="IM158" s="31"/>
      <c r="IN158" s="31"/>
      <c r="IO158" s="31"/>
      <c r="IP158" s="31"/>
      <c r="IQ158" s="31"/>
      <c r="IR158" s="31"/>
      <c r="IS158" s="31"/>
      <c r="IT158" s="31"/>
      <c r="IU158" s="31"/>
      <c r="IV158" s="31"/>
      <c r="IW158" s="31"/>
      <c r="IX158" s="31"/>
      <c r="IY158" s="31"/>
      <c r="IZ158" s="31"/>
      <c r="JA158" s="31"/>
      <c r="JB158" s="31"/>
      <c r="JC158" s="31"/>
      <c r="JD158" s="31"/>
      <c r="JE158" s="31"/>
      <c r="JF158" s="31"/>
    </row>
    <row r="159" customFormat="1" ht="17.25" spans="1:266">
      <c r="A159" s="32">
        <f>40000000+INDEX(编号表!$B:$B,MATCH(B159,编号表!$A:$A,0))*10000+C159</f>
        <v>40160016</v>
      </c>
      <c r="B159" s="27" t="s">
        <v>592</v>
      </c>
      <c r="C159" s="32">
        <v>16</v>
      </c>
      <c r="D159" s="32" t="s">
        <v>602</v>
      </c>
      <c r="E159" s="32" t="s">
        <v>603</v>
      </c>
      <c r="F159" s="31">
        <f t="shared" si="11"/>
        <v>0</v>
      </c>
      <c r="G159" s="31"/>
      <c r="H159" s="32"/>
      <c r="I159" s="32"/>
      <c r="J159" s="32">
        <f t="shared" si="12"/>
        <v>0</v>
      </c>
      <c r="K159" s="32"/>
      <c r="L159" s="32"/>
      <c r="M159" s="31"/>
      <c r="N159" s="31"/>
      <c r="O159" s="31"/>
      <c r="P159" s="32"/>
      <c r="Q159" s="32"/>
      <c r="R159" s="31"/>
      <c r="S159" s="32"/>
      <c r="T159" s="32"/>
      <c r="U159" s="31"/>
      <c r="V159" s="31"/>
      <c r="W159" s="31"/>
      <c r="X159" s="32"/>
      <c r="Y159" s="32"/>
      <c r="Z159" s="31"/>
      <c r="AA159" s="32"/>
      <c r="AB159" s="32"/>
      <c r="AC159" s="31"/>
      <c r="AD159" s="31"/>
      <c r="AE159" s="31"/>
      <c r="AF159" s="32"/>
      <c r="AG159" s="32"/>
      <c r="AH159" s="31"/>
      <c r="AI159" s="31"/>
      <c r="AJ159" s="32"/>
      <c r="AK159" s="31"/>
      <c r="AL159" s="31"/>
      <c r="AM159" s="31"/>
      <c r="AN159" s="31"/>
      <c r="AO159" s="31"/>
      <c r="AP159" s="31"/>
      <c r="AQ159" s="31"/>
      <c r="AR159" s="32"/>
      <c r="AS159" s="31"/>
      <c r="AT159" s="31"/>
      <c r="AU159" s="31"/>
      <c r="AV159" s="31"/>
      <c r="AW159" s="31"/>
      <c r="AX159" s="31"/>
      <c r="AY159" s="31"/>
      <c r="AZ159" s="32"/>
      <c r="BA159" s="31"/>
      <c r="BB159" s="31"/>
      <c r="BC159" s="31"/>
      <c r="BD159" s="31"/>
      <c r="BE159" s="31"/>
      <c r="BF159" s="31"/>
      <c r="BG159" s="31"/>
      <c r="BH159" s="32"/>
      <c r="BI159" s="31"/>
      <c r="BJ159" s="31"/>
      <c r="BK159" s="31"/>
      <c r="BL159" s="31"/>
      <c r="BM159" s="31"/>
      <c r="BN159" s="31"/>
      <c r="BO159" s="31"/>
      <c r="BP159" s="32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  <c r="HI159" s="31"/>
      <c r="HJ159" s="31"/>
      <c r="HK159" s="31"/>
      <c r="HL159" s="31"/>
      <c r="HM159" s="31"/>
      <c r="HN159" s="31"/>
      <c r="HO159" s="31"/>
      <c r="HP159" s="31"/>
      <c r="HQ159" s="31"/>
      <c r="HR159" s="31"/>
      <c r="HS159" s="31"/>
      <c r="HT159" s="31"/>
      <c r="HU159" s="31"/>
      <c r="HV159" s="31"/>
      <c r="HW159" s="31"/>
      <c r="HX159" s="31"/>
      <c r="HY159" s="31"/>
      <c r="HZ159" s="31"/>
      <c r="IA159" s="31"/>
      <c r="IB159" s="31"/>
      <c r="IC159" s="31"/>
      <c r="ID159" s="31"/>
      <c r="IE159" s="31"/>
      <c r="IF159" s="31"/>
      <c r="IG159" s="31"/>
      <c r="IH159" s="31"/>
      <c r="II159" s="31"/>
      <c r="IJ159" s="31"/>
      <c r="IK159" s="31"/>
      <c r="IL159" s="31"/>
      <c r="IM159" s="31"/>
      <c r="IN159" s="31"/>
      <c r="IO159" s="31"/>
      <c r="IP159" s="31"/>
      <c r="IQ159" s="31"/>
      <c r="IR159" s="31"/>
      <c r="IS159" s="31"/>
      <c r="IT159" s="31"/>
      <c r="IU159" s="31"/>
      <c r="IV159" s="31"/>
      <c r="IW159" s="31"/>
      <c r="IX159" s="31"/>
      <c r="IY159" s="31"/>
      <c r="IZ159" s="31"/>
      <c r="JA159" s="31"/>
      <c r="JB159" s="31"/>
      <c r="JC159" s="31"/>
      <c r="JD159" s="31"/>
      <c r="JE159" s="31"/>
      <c r="JF159" s="31"/>
    </row>
    <row r="160" customFormat="1" ht="17.25" spans="1:266">
      <c r="A160" s="32">
        <f>40000000+INDEX(编号表!$B:$B,MATCH(B160,编号表!$A:$A,0))*10000+C160</f>
        <v>40160017</v>
      </c>
      <c r="B160" s="27" t="s">
        <v>592</v>
      </c>
      <c r="C160" s="32">
        <v>17</v>
      </c>
      <c r="D160" s="32" t="s">
        <v>604</v>
      </c>
      <c r="E160" s="32" t="s">
        <v>603</v>
      </c>
      <c r="F160" s="31">
        <f t="shared" si="11"/>
        <v>0</v>
      </c>
      <c r="G160" s="31"/>
      <c r="H160" s="32"/>
      <c r="I160" s="32"/>
      <c r="J160" s="32">
        <f t="shared" si="12"/>
        <v>0</v>
      </c>
      <c r="K160" s="32"/>
      <c r="L160" s="32"/>
      <c r="M160" s="31"/>
      <c r="N160" s="31"/>
      <c r="O160" s="31"/>
      <c r="P160" s="32"/>
      <c r="Q160" s="32"/>
      <c r="R160" s="31"/>
      <c r="S160" s="32"/>
      <c r="T160" s="32"/>
      <c r="U160" s="31"/>
      <c r="V160" s="31"/>
      <c r="W160" s="31"/>
      <c r="X160" s="32"/>
      <c r="Y160" s="32"/>
      <c r="Z160" s="31"/>
      <c r="AA160" s="32"/>
      <c r="AB160" s="32"/>
      <c r="AC160" s="31"/>
      <c r="AD160" s="31"/>
      <c r="AE160" s="31"/>
      <c r="AF160" s="32"/>
      <c r="AG160" s="32"/>
      <c r="AH160" s="31"/>
      <c r="AI160" s="31"/>
      <c r="AJ160" s="32"/>
      <c r="AK160" s="31"/>
      <c r="AL160" s="31"/>
      <c r="AM160" s="31"/>
      <c r="AN160" s="31"/>
      <c r="AO160" s="31"/>
      <c r="AP160" s="31"/>
      <c r="AQ160" s="31"/>
      <c r="AR160" s="32"/>
      <c r="AS160" s="31"/>
      <c r="AT160" s="31"/>
      <c r="AU160" s="31"/>
      <c r="AV160" s="31"/>
      <c r="AW160" s="31"/>
      <c r="AX160" s="31"/>
      <c r="AY160" s="31"/>
      <c r="AZ160" s="32"/>
      <c r="BA160" s="31"/>
      <c r="BB160" s="31"/>
      <c r="BC160" s="31"/>
      <c r="BD160" s="31"/>
      <c r="BE160" s="31"/>
      <c r="BF160" s="31"/>
      <c r="BG160" s="31"/>
      <c r="BH160" s="32"/>
      <c r="BI160" s="31"/>
      <c r="BJ160" s="31"/>
      <c r="BK160" s="31"/>
      <c r="BL160" s="31"/>
      <c r="BM160" s="31"/>
      <c r="BN160" s="31"/>
      <c r="BO160" s="31"/>
      <c r="BP160" s="32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31"/>
      <c r="HJ160" s="31"/>
      <c r="HK160" s="31"/>
      <c r="HL160" s="31"/>
      <c r="HM160" s="31"/>
      <c r="HN160" s="31"/>
      <c r="HO160" s="31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  <c r="IA160" s="31"/>
      <c r="IB160" s="31"/>
      <c r="IC160" s="31"/>
      <c r="ID160" s="31"/>
      <c r="IE160" s="31"/>
      <c r="IF160" s="31"/>
      <c r="IG160" s="31"/>
      <c r="IH160" s="31"/>
      <c r="II160" s="31"/>
      <c r="IJ160" s="31"/>
      <c r="IK160" s="31"/>
      <c r="IL160" s="31"/>
      <c r="IM160" s="31"/>
      <c r="IN160" s="31"/>
      <c r="IO160" s="31"/>
      <c r="IP160" s="31"/>
      <c r="IQ160" s="31"/>
      <c r="IR160" s="31"/>
      <c r="IS160" s="31"/>
      <c r="IT160" s="31"/>
      <c r="IU160" s="31"/>
      <c r="IV160" s="31"/>
      <c r="IW160" s="31"/>
      <c r="IX160" s="31"/>
      <c r="IY160" s="31"/>
      <c r="IZ160" s="31"/>
      <c r="JA160" s="31"/>
      <c r="JB160" s="31"/>
      <c r="JC160" s="31"/>
      <c r="JD160" s="31"/>
      <c r="JE160" s="31"/>
      <c r="JF160" s="31"/>
    </row>
    <row r="161" customFormat="1" ht="17.25" spans="1:266">
      <c r="A161" s="32">
        <f>40000000+INDEX(编号表!$B:$B,MATCH(B161,编号表!$A:$A,0))*10000+C161</f>
        <v>40160018</v>
      </c>
      <c r="B161" s="27" t="s">
        <v>592</v>
      </c>
      <c r="C161" s="32">
        <v>18</v>
      </c>
      <c r="D161" s="32" t="s">
        <v>605</v>
      </c>
      <c r="E161" s="32" t="s">
        <v>603</v>
      </c>
      <c r="F161" s="31">
        <f t="shared" si="11"/>
        <v>0</v>
      </c>
      <c r="G161" s="31"/>
      <c r="H161" s="32"/>
      <c r="I161" s="32"/>
      <c r="J161" s="32">
        <f t="shared" si="12"/>
        <v>0</v>
      </c>
      <c r="K161" s="32"/>
      <c r="L161" s="32"/>
      <c r="M161" s="31"/>
      <c r="N161" s="31"/>
      <c r="O161" s="31"/>
      <c r="P161" s="32"/>
      <c r="Q161" s="32"/>
      <c r="R161" s="31"/>
      <c r="S161" s="32"/>
      <c r="T161" s="32"/>
      <c r="U161" s="31"/>
      <c r="V161" s="31"/>
      <c r="W161" s="31"/>
      <c r="X161" s="32"/>
      <c r="Y161" s="32"/>
      <c r="Z161" s="31"/>
      <c r="AA161" s="32"/>
      <c r="AB161" s="32"/>
      <c r="AC161" s="31"/>
      <c r="AD161" s="31"/>
      <c r="AE161" s="31"/>
      <c r="AF161" s="32"/>
      <c r="AG161" s="32"/>
      <c r="AH161" s="31"/>
      <c r="AI161" s="31"/>
      <c r="AJ161" s="32"/>
      <c r="AK161" s="31"/>
      <c r="AL161" s="31"/>
      <c r="AM161" s="31"/>
      <c r="AN161" s="31"/>
      <c r="AO161" s="31"/>
      <c r="AP161" s="31"/>
      <c r="AQ161" s="31"/>
      <c r="AR161" s="32"/>
      <c r="AS161" s="31"/>
      <c r="AT161" s="31"/>
      <c r="AU161" s="31"/>
      <c r="AV161" s="31"/>
      <c r="AW161" s="31"/>
      <c r="AX161" s="31"/>
      <c r="AY161" s="31"/>
      <c r="AZ161" s="32"/>
      <c r="BA161" s="31"/>
      <c r="BB161" s="31"/>
      <c r="BC161" s="31"/>
      <c r="BD161" s="31"/>
      <c r="BE161" s="31"/>
      <c r="BF161" s="31"/>
      <c r="BG161" s="31"/>
      <c r="BH161" s="32"/>
      <c r="BI161" s="31"/>
      <c r="BJ161" s="31"/>
      <c r="BK161" s="31"/>
      <c r="BL161" s="31"/>
      <c r="BM161" s="31"/>
      <c r="BN161" s="31"/>
      <c r="BO161" s="31"/>
      <c r="BP161" s="32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  <c r="HG161" s="31"/>
      <c r="HH161" s="31"/>
      <c r="HI161" s="31"/>
      <c r="HJ161" s="31"/>
      <c r="HK161" s="31"/>
      <c r="HL161" s="31"/>
      <c r="HM161" s="31"/>
      <c r="HN161" s="31"/>
      <c r="HO161" s="31"/>
      <c r="HP161" s="31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  <c r="IA161" s="31"/>
      <c r="IB161" s="31"/>
      <c r="IC161" s="31"/>
      <c r="ID161" s="31"/>
      <c r="IE161" s="31"/>
      <c r="IF161" s="31"/>
      <c r="IG161" s="31"/>
      <c r="IH161" s="31"/>
      <c r="II161" s="31"/>
      <c r="IJ161" s="31"/>
      <c r="IK161" s="31"/>
      <c r="IL161" s="31"/>
      <c r="IM161" s="31"/>
      <c r="IN161" s="31"/>
      <c r="IO161" s="31"/>
      <c r="IP161" s="31"/>
      <c r="IQ161" s="31"/>
      <c r="IR161" s="31"/>
      <c r="IS161" s="31"/>
      <c r="IT161" s="31"/>
      <c r="IU161" s="31"/>
      <c r="IV161" s="31"/>
      <c r="IW161" s="31"/>
      <c r="IX161" s="31"/>
      <c r="IY161" s="31"/>
      <c r="IZ161" s="31"/>
      <c r="JA161" s="31"/>
      <c r="JB161" s="31"/>
      <c r="JC161" s="31"/>
      <c r="JD161" s="31"/>
      <c r="JE161" s="31"/>
      <c r="JF161" s="31"/>
    </row>
    <row r="162" customFormat="1" ht="17.25" spans="1:266">
      <c r="A162" s="32">
        <f>40000000+INDEX(编号表!$B:$B,MATCH(B162,编号表!$A:$A,0))*10000+C162</f>
        <v>40160019</v>
      </c>
      <c r="B162" s="27" t="s">
        <v>592</v>
      </c>
      <c r="C162" s="32">
        <v>19</v>
      </c>
      <c r="D162" s="32" t="s">
        <v>606</v>
      </c>
      <c r="E162" s="32" t="s">
        <v>603</v>
      </c>
      <c r="F162" s="31">
        <f t="shared" si="11"/>
        <v>0</v>
      </c>
      <c r="G162" s="31"/>
      <c r="H162" s="32"/>
      <c r="I162" s="32"/>
      <c r="J162" s="32">
        <f t="shared" si="12"/>
        <v>0</v>
      </c>
      <c r="K162" s="32"/>
      <c r="L162" s="32"/>
      <c r="M162" s="31"/>
      <c r="N162" s="31"/>
      <c r="O162" s="31"/>
      <c r="P162" s="32"/>
      <c r="Q162" s="32"/>
      <c r="R162" s="31"/>
      <c r="S162" s="32"/>
      <c r="T162" s="32"/>
      <c r="U162" s="31"/>
      <c r="V162" s="31"/>
      <c r="W162" s="31"/>
      <c r="X162" s="32"/>
      <c r="Y162" s="32"/>
      <c r="Z162" s="31"/>
      <c r="AA162" s="32"/>
      <c r="AB162" s="32"/>
      <c r="AC162" s="31"/>
      <c r="AD162" s="31"/>
      <c r="AE162" s="31"/>
      <c r="AF162" s="32"/>
      <c r="AG162" s="32"/>
      <c r="AH162" s="31"/>
      <c r="AI162" s="31"/>
      <c r="AJ162" s="32"/>
      <c r="AK162" s="31"/>
      <c r="AL162" s="31"/>
      <c r="AM162" s="31"/>
      <c r="AN162" s="31"/>
      <c r="AO162" s="31"/>
      <c r="AP162" s="31"/>
      <c r="AQ162" s="31"/>
      <c r="AR162" s="32"/>
      <c r="AS162" s="31"/>
      <c r="AT162" s="31"/>
      <c r="AU162" s="31"/>
      <c r="AV162" s="31"/>
      <c r="AW162" s="31"/>
      <c r="AX162" s="31"/>
      <c r="AY162" s="31"/>
      <c r="AZ162" s="32"/>
      <c r="BA162" s="31"/>
      <c r="BB162" s="31"/>
      <c r="BC162" s="31"/>
      <c r="BD162" s="31"/>
      <c r="BE162" s="31"/>
      <c r="BF162" s="31"/>
      <c r="BG162" s="31"/>
      <c r="BH162" s="32"/>
      <c r="BI162" s="31"/>
      <c r="BJ162" s="31"/>
      <c r="BK162" s="31"/>
      <c r="BL162" s="31"/>
      <c r="BM162" s="31"/>
      <c r="BN162" s="31"/>
      <c r="BO162" s="31"/>
      <c r="BP162" s="32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  <c r="IZ162" s="31"/>
      <c r="JA162" s="31"/>
      <c r="JB162" s="31"/>
      <c r="JC162" s="31"/>
      <c r="JD162" s="31"/>
      <c r="JE162" s="31"/>
      <c r="JF162" s="31"/>
    </row>
    <row r="163" customFormat="1" ht="17.25" spans="1:266">
      <c r="A163" s="32">
        <f>40000000+INDEX(编号表!$B:$B,MATCH(B163,编号表!$A:$A,0))*10000+C163</f>
        <v>40160020</v>
      </c>
      <c r="B163" s="27" t="s">
        <v>592</v>
      </c>
      <c r="C163" s="32">
        <v>20</v>
      </c>
      <c r="D163" s="32" t="s">
        <v>607</v>
      </c>
      <c r="E163" s="32" t="s">
        <v>603</v>
      </c>
      <c r="F163" s="31">
        <f t="shared" ref="F163:F179" si="19">P163+X163+AF163+AN163+AV163+BD163+BL163+BT163</f>
        <v>0</v>
      </c>
      <c r="G163" s="31"/>
      <c r="H163" s="32"/>
      <c r="I163" s="32"/>
      <c r="J163" s="32">
        <f t="shared" si="12"/>
        <v>0</v>
      </c>
      <c r="K163" s="32"/>
      <c r="L163" s="32"/>
      <c r="M163" s="31"/>
      <c r="N163" s="31"/>
      <c r="O163" s="31"/>
      <c r="P163" s="32"/>
      <c r="Q163" s="32"/>
      <c r="R163" s="31"/>
      <c r="S163" s="32"/>
      <c r="T163" s="32"/>
      <c r="U163" s="31"/>
      <c r="V163" s="31"/>
      <c r="W163" s="31"/>
      <c r="X163" s="32"/>
      <c r="Y163" s="32"/>
      <c r="Z163" s="31"/>
      <c r="AA163" s="32"/>
      <c r="AB163" s="32"/>
      <c r="AC163" s="31"/>
      <c r="AD163" s="31"/>
      <c r="AE163" s="31"/>
      <c r="AF163" s="32"/>
      <c r="AG163" s="32"/>
      <c r="AH163" s="31"/>
      <c r="AI163" s="31"/>
      <c r="AJ163" s="32"/>
      <c r="AK163" s="31"/>
      <c r="AL163" s="31"/>
      <c r="AM163" s="31"/>
      <c r="AN163" s="31"/>
      <c r="AO163" s="31"/>
      <c r="AP163" s="31"/>
      <c r="AQ163" s="31"/>
      <c r="AR163" s="32"/>
      <c r="AS163" s="31"/>
      <c r="AT163" s="31"/>
      <c r="AU163" s="31"/>
      <c r="AV163" s="31"/>
      <c r="AW163" s="31"/>
      <c r="AX163" s="31"/>
      <c r="AY163" s="31"/>
      <c r="AZ163" s="32"/>
      <c r="BA163" s="31"/>
      <c r="BB163" s="31"/>
      <c r="BC163" s="31"/>
      <c r="BD163" s="31"/>
      <c r="BE163" s="31"/>
      <c r="BF163" s="31"/>
      <c r="BG163" s="31"/>
      <c r="BH163" s="32"/>
      <c r="BI163" s="31"/>
      <c r="BJ163" s="31"/>
      <c r="BK163" s="31"/>
      <c r="BL163" s="31"/>
      <c r="BM163" s="31"/>
      <c r="BN163" s="31"/>
      <c r="BO163" s="31"/>
      <c r="BP163" s="32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31"/>
      <c r="HJ163" s="31"/>
      <c r="HK163" s="31"/>
      <c r="HL163" s="31"/>
      <c r="HM163" s="31"/>
      <c r="HN163" s="31"/>
      <c r="HO163" s="31"/>
      <c r="HP163" s="31"/>
      <c r="HQ163" s="31"/>
      <c r="HR163" s="31"/>
      <c r="HS163" s="31"/>
      <c r="HT163" s="31"/>
      <c r="HU163" s="31"/>
      <c r="HV163" s="31"/>
      <c r="HW163" s="31"/>
      <c r="HX163" s="31"/>
      <c r="HY163" s="31"/>
      <c r="HZ163" s="31"/>
      <c r="IA163" s="31"/>
      <c r="IB163" s="31"/>
      <c r="IC163" s="31"/>
      <c r="ID163" s="31"/>
      <c r="IE163" s="31"/>
      <c r="IF163" s="31"/>
      <c r="IG163" s="31"/>
      <c r="IH163" s="31"/>
      <c r="II163" s="31"/>
      <c r="IJ163" s="31"/>
      <c r="IK163" s="31"/>
      <c r="IL163" s="31"/>
      <c r="IM163" s="31"/>
      <c r="IN163" s="31"/>
      <c r="IO163" s="31"/>
      <c r="IP163" s="31"/>
      <c r="IQ163" s="31"/>
      <c r="IR163" s="31"/>
      <c r="IS163" s="31"/>
      <c r="IT163" s="31"/>
      <c r="IU163" s="31"/>
      <c r="IV163" s="31"/>
      <c r="IW163" s="31"/>
      <c r="IX163" s="31"/>
      <c r="IY163" s="31"/>
      <c r="IZ163" s="31"/>
      <c r="JA163" s="31"/>
      <c r="JB163" s="31"/>
      <c r="JC163" s="31"/>
      <c r="JD163" s="31"/>
      <c r="JE163" s="31"/>
      <c r="JF163" s="31"/>
    </row>
    <row r="164" customFormat="1" ht="17.25" spans="1:266">
      <c r="A164" s="32">
        <f>40000000+INDEX(编号表!$B:$B,MATCH(B164,编号表!$A:$A,0))*10000+C164</f>
        <v>40160021</v>
      </c>
      <c r="B164" s="27" t="s">
        <v>592</v>
      </c>
      <c r="C164" s="32">
        <v>21</v>
      </c>
      <c r="D164" s="32" t="s">
        <v>608</v>
      </c>
      <c r="E164" s="32" t="s">
        <v>603</v>
      </c>
      <c r="F164" s="31">
        <f t="shared" si="19"/>
        <v>0</v>
      </c>
      <c r="G164" s="31"/>
      <c r="H164" s="32"/>
      <c r="I164" s="32"/>
      <c r="J164" s="32">
        <f t="shared" si="12"/>
        <v>0</v>
      </c>
      <c r="K164" s="32"/>
      <c r="L164" s="32"/>
      <c r="M164" s="31"/>
      <c r="N164" s="31"/>
      <c r="O164" s="31"/>
      <c r="P164" s="32"/>
      <c r="Q164" s="32"/>
      <c r="R164" s="31"/>
      <c r="S164" s="32"/>
      <c r="T164" s="32"/>
      <c r="U164" s="31"/>
      <c r="V164" s="31"/>
      <c r="W164" s="31"/>
      <c r="X164" s="32"/>
      <c r="Y164" s="32"/>
      <c r="Z164" s="31"/>
      <c r="AA164" s="32"/>
      <c r="AB164" s="32"/>
      <c r="AC164" s="31"/>
      <c r="AD164" s="31"/>
      <c r="AE164" s="31"/>
      <c r="AF164" s="32"/>
      <c r="AG164" s="32"/>
      <c r="AH164" s="31"/>
      <c r="AI164" s="31"/>
      <c r="AJ164" s="32"/>
      <c r="AK164" s="31"/>
      <c r="AL164" s="31"/>
      <c r="AM164" s="31"/>
      <c r="AN164" s="31"/>
      <c r="AO164" s="31"/>
      <c r="AP164" s="31"/>
      <c r="AQ164" s="31"/>
      <c r="AR164" s="32"/>
      <c r="AS164" s="31"/>
      <c r="AT164" s="31"/>
      <c r="AU164" s="31"/>
      <c r="AV164" s="31"/>
      <c r="AW164" s="31"/>
      <c r="AX164" s="31"/>
      <c r="AY164" s="31"/>
      <c r="AZ164" s="32"/>
      <c r="BA164" s="31"/>
      <c r="BB164" s="31"/>
      <c r="BC164" s="31"/>
      <c r="BD164" s="31"/>
      <c r="BE164" s="31"/>
      <c r="BF164" s="31"/>
      <c r="BG164" s="31"/>
      <c r="BH164" s="32"/>
      <c r="BI164" s="31"/>
      <c r="BJ164" s="31"/>
      <c r="BK164" s="31"/>
      <c r="BL164" s="31"/>
      <c r="BM164" s="31"/>
      <c r="BN164" s="31"/>
      <c r="BO164" s="31"/>
      <c r="BP164" s="32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31"/>
      <c r="IG164" s="31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31"/>
      <c r="IW164" s="31"/>
      <c r="IX164" s="31"/>
      <c r="IY164" s="31"/>
      <c r="IZ164" s="31"/>
      <c r="JA164" s="31"/>
      <c r="JB164" s="31"/>
      <c r="JC164" s="31"/>
      <c r="JD164" s="31"/>
      <c r="JE164" s="31"/>
      <c r="JF164" s="31"/>
    </row>
    <row r="165" customFormat="1" ht="17.25" spans="1:266">
      <c r="A165" s="32">
        <f>40000000+INDEX(编号表!$B:$B,MATCH(B165,编号表!$A:$A,0))*10000+C165</f>
        <v>40160022</v>
      </c>
      <c r="B165" s="27" t="s">
        <v>592</v>
      </c>
      <c r="C165" s="32">
        <v>22</v>
      </c>
      <c r="D165" s="32" t="s">
        <v>609</v>
      </c>
      <c r="E165" s="32" t="s">
        <v>603</v>
      </c>
      <c r="F165" s="31">
        <f t="shared" si="19"/>
        <v>0</v>
      </c>
      <c r="G165" s="31"/>
      <c r="H165" s="32"/>
      <c r="I165" s="32"/>
      <c r="J165" s="32">
        <f t="shared" si="12"/>
        <v>0</v>
      </c>
      <c r="K165" s="32"/>
      <c r="L165" s="32"/>
      <c r="M165" s="31"/>
      <c r="N165" s="31"/>
      <c r="O165" s="31"/>
      <c r="P165" s="32"/>
      <c r="Q165" s="32"/>
      <c r="R165" s="31"/>
      <c r="S165" s="32"/>
      <c r="T165" s="32"/>
      <c r="U165" s="31"/>
      <c r="V165" s="31"/>
      <c r="W165" s="31"/>
      <c r="X165" s="32"/>
      <c r="Y165" s="32"/>
      <c r="Z165" s="31"/>
      <c r="AA165" s="32"/>
      <c r="AB165" s="32"/>
      <c r="AC165" s="31"/>
      <c r="AD165" s="31"/>
      <c r="AE165" s="31"/>
      <c r="AF165" s="32"/>
      <c r="AG165" s="32"/>
      <c r="AH165" s="31"/>
      <c r="AI165" s="31"/>
      <c r="AJ165" s="32"/>
      <c r="AK165" s="31"/>
      <c r="AL165" s="31"/>
      <c r="AM165" s="31"/>
      <c r="AN165" s="31"/>
      <c r="AO165" s="31"/>
      <c r="AP165" s="31"/>
      <c r="AQ165" s="31"/>
      <c r="AR165" s="32"/>
      <c r="AS165" s="31"/>
      <c r="AT165" s="31"/>
      <c r="AU165" s="31"/>
      <c r="AV165" s="31"/>
      <c r="AW165" s="31"/>
      <c r="AX165" s="31"/>
      <c r="AY165" s="31"/>
      <c r="AZ165" s="32"/>
      <c r="BA165" s="31"/>
      <c r="BB165" s="31"/>
      <c r="BC165" s="31"/>
      <c r="BD165" s="31"/>
      <c r="BE165" s="31"/>
      <c r="BF165" s="31"/>
      <c r="BG165" s="31"/>
      <c r="BH165" s="32"/>
      <c r="BI165" s="31"/>
      <c r="BJ165" s="31"/>
      <c r="BK165" s="31"/>
      <c r="BL165" s="31"/>
      <c r="BM165" s="31"/>
      <c r="BN165" s="31"/>
      <c r="BO165" s="31"/>
      <c r="BP165" s="32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31"/>
      <c r="IB165" s="31"/>
      <c r="IC165" s="31"/>
      <c r="ID165" s="31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31"/>
      <c r="IU165" s="31"/>
      <c r="IV165" s="31"/>
      <c r="IW165" s="31"/>
      <c r="IX165" s="31"/>
      <c r="IY165" s="31"/>
      <c r="IZ165" s="31"/>
      <c r="JA165" s="31"/>
      <c r="JB165" s="31"/>
      <c r="JC165" s="31"/>
      <c r="JD165" s="31"/>
      <c r="JE165" s="31"/>
      <c r="JF165" s="31"/>
    </row>
    <row r="166" customFormat="1" ht="17.25" spans="1:266">
      <c r="A166" s="32">
        <f>40000000+INDEX(编号表!$B:$B,MATCH(B166,编号表!$A:$A,0))*10000+C166</f>
        <v>40160023</v>
      </c>
      <c r="B166" s="27" t="s">
        <v>592</v>
      </c>
      <c r="C166" s="32">
        <v>23</v>
      </c>
      <c r="D166" s="32" t="s">
        <v>610</v>
      </c>
      <c r="E166" s="32" t="s">
        <v>603</v>
      </c>
      <c r="F166" s="31">
        <f t="shared" si="19"/>
        <v>0</v>
      </c>
      <c r="G166" s="31"/>
      <c r="H166" s="32"/>
      <c r="I166" s="32"/>
      <c r="J166" s="32">
        <f t="shared" si="12"/>
        <v>0</v>
      </c>
      <c r="K166" s="32"/>
      <c r="L166" s="32"/>
      <c r="M166" s="31"/>
      <c r="N166" s="31"/>
      <c r="O166" s="31"/>
      <c r="P166" s="32"/>
      <c r="Q166" s="32"/>
      <c r="R166" s="31"/>
      <c r="S166" s="32"/>
      <c r="T166" s="32"/>
      <c r="U166" s="31"/>
      <c r="V166" s="31"/>
      <c r="W166" s="31"/>
      <c r="X166" s="32"/>
      <c r="Y166" s="32"/>
      <c r="Z166" s="31"/>
      <c r="AA166" s="32"/>
      <c r="AB166" s="32"/>
      <c r="AC166" s="31"/>
      <c r="AD166" s="31"/>
      <c r="AE166" s="31"/>
      <c r="AF166" s="32"/>
      <c r="AG166" s="32"/>
      <c r="AH166" s="31"/>
      <c r="AI166" s="31"/>
      <c r="AJ166" s="32"/>
      <c r="AK166" s="31"/>
      <c r="AL166" s="31"/>
      <c r="AM166" s="31"/>
      <c r="AN166" s="31"/>
      <c r="AO166" s="31"/>
      <c r="AP166" s="31"/>
      <c r="AQ166" s="31"/>
      <c r="AR166" s="32"/>
      <c r="AS166" s="31"/>
      <c r="AT166" s="31"/>
      <c r="AU166" s="31"/>
      <c r="AV166" s="31"/>
      <c r="AW166" s="31"/>
      <c r="AX166" s="31"/>
      <c r="AY166" s="31"/>
      <c r="AZ166" s="32"/>
      <c r="BA166" s="31"/>
      <c r="BB166" s="31"/>
      <c r="BC166" s="31"/>
      <c r="BD166" s="31"/>
      <c r="BE166" s="31"/>
      <c r="BF166" s="31"/>
      <c r="BG166" s="31"/>
      <c r="BH166" s="32"/>
      <c r="BI166" s="31"/>
      <c r="BJ166" s="31"/>
      <c r="BK166" s="31"/>
      <c r="BL166" s="31"/>
      <c r="BM166" s="31"/>
      <c r="BN166" s="31"/>
      <c r="BO166" s="31"/>
      <c r="BP166" s="32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/>
      <c r="IP166" s="31"/>
      <c r="IQ166" s="31"/>
      <c r="IR166" s="31"/>
      <c r="IS166" s="31"/>
      <c r="IT166" s="31"/>
      <c r="IU166" s="31"/>
      <c r="IV166" s="31"/>
      <c r="IW166" s="31"/>
      <c r="IX166" s="31"/>
      <c r="IY166" s="31"/>
      <c r="IZ166" s="31"/>
      <c r="JA166" s="31"/>
      <c r="JB166" s="31"/>
      <c r="JC166" s="31"/>
      <c r="JD166" s="31"/>
      <c r="JE166" s="31"/>
      <c r="JF166" s="31"/>
    </row>
    <row r="167" customFormat="1" ht="17.25" spans="1:266">
      <c r="A167" s="32">
        <f>40000000+INDEX(编号表!$B:$B,MATCH(B167,编号表!$A:$A,0))*10000+C167</f>
        <v>40160024</v>
      </c>
      <c r="B167" s="27" t="s">
        <v>592</v>
      </c>
      <c r="C167" s="32">
        <v>24</v>
      </c>
      <c r="D167" s="32" t="s">
        <v>611</v>
      </c>
      <c r="E167" s="32" t="s">
        <v>603</v>
      </c>
      <c r="F167" s="31">
        <f t="shared" si="19"/>
        <v>0</v>
      </c>
      <c r="G167" s="31"/>
      <c r="H167" s="32"/>
      <c r="I167" s="32"/>
      <c r="J167" s="32">
        <f t="shared" si="12"/>
        <v>0</v>
      </c>
      <c r="K167" s="32"/>
      <c r="L167" s="32"/>
      <c r="M167" s="31"/>
      <c r="N167" s="31"/>
      <c r="O167" s="31"/>
      <c r="P167" s="32"/>
      <c r="Q167" s="32"/>
      <c r="R167" s="31"/>
      <c r="S167" s="32"/>
      <c r="T167" s="32"/>
      <c r="U167" s="31"/>
      <c r="V167" s="31"/>
      <c r="W167" s="31"/>
      <c r="X167" s="32"/>
      <c r="Y167" s="32"/>
      <c r="Z167" s="31"/>
      <c r="AA167" s="32"/>
      <c r="AB167" s="32"/>
      <c r="AC167" s="31"/>
      <c r="AD167" s="31"/>
      <c r="AE167" s="31"/>
      <c r="AF167" s="32"/>
      <c r="AG167" s="32"/>
      <c r="AH167" s="31"/>
      <c r="AI167" s="31"/>
      <c r="AJ167" s="32"/>
      <c r="AK167" s="31"/>
      <c r="AL167" s="31"/>
      <c r="AM167" s="31"/>
      <c r="AN167" s="31"/>
      <c r="AO167" s="31"/>
      <c r="AP167" s="31"/>
      <c r="AQ167" s="31"/>
      <c r="AR167" s="32"/>
      <c r="AS167" s="31"/>
      <c r="AT167" s="31"/>
      <c r="AU167" s="31"/>
      <c r="AV167" s="31"/>
      <c r="AW167" s="31"/>
      <c r="AX167" s="31"/>
      <c r="AY167" s="31"/>
      <c r="AZ167" s="32"/>
      <c r="BA167" s="31"/>
      <c r="BB167" s="31"/>
      <c r="BC167" s="31"/>
      <c r="BD167" s="31"/>
      <c r="BE167" s="31"/>
      <c r="BF167" s="31"/>
      <c r="BG167" s="31"/>
      <c r="BH167" s="32"/>
      <c r="BI167" s="31"/>
      <c r="BJ167" s="31"/>
      <c r="BK167" s="31"/>
      <c r="BL167" s="31"/>
      <c r="BM167" s="31"/>
      <c r="BN167" s="31"/>
      <c r="BO167" s="31"/>
      <c r="BP167" s="32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/>
      <c r="HK167" s="31"/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  <c r="IA167" s="31"/>
      <c r="IB167" s="31"/>
      <c r="IC167" s="31"/>
      <c r="ID167" s="31"/>
      <c r="IE167" s="31"/>
      <c r="IF167" s="31"/>
      <c r="IG167" s="31"/>
      <c r="IH167" s="31"/>
      <c r="II167" s="31"/>
      <c r="IJ167" s="31"/>
      <c r="IK167" s="31"/>
      <c r="IL167" s="31"/>
      <c r="IM167" s="31"/>
      <c r="IN167" s="31"/>
      <c r="IO167" s="31"/>
      <c r="IP167" s="31"/>
      <c r="IQ167" s="31"/>
      <c r="IR167" s="31"/>
      <c r="IS167" s="31"/>
      <c r="IT167" s="31"/>
      <c r="IU167" s="31"/>
      <c r="IV167" s="31"/>
      <c r="IW167" s="31"/>
      <c r="IX167" s="31"/>
      <c r="IY167" s="31"/>
      <c r="IZ167" s="31"/>
      <c r="JA167" s="31"/>
      <c r="JB167" s="31"/>
      <c r="JC167" s="31"/>
      <c r="JD167" s="31"/>
      <c r="JE167" s="31"/>
      <c r="JF167" s="31"/>
    </row>
    <row r="168" customFormat="1" ht="17.25" spans="1:266">
      <c r="A168" s="32">
        <f>40000000+INDEX(编号表!$B:$B,MATCH(B168,编号表!$A:$A,0))*10000+C168</f>
        <v>40110001</v>
      </c>
      <c r="B168" s="27" t="s">
        <v>612</v>
      </c>
      <c r="C168" s="32">
        <v>1</v>
      </c>
      <c r="D168" s="32" t="s">
        <v>613</v>
      </c>
      <c r="E168" s="32" t="s">
        <v>603</v>
      </c>
      <c r="F168" s="31">
        <f t="shared" si="19"/>
        <v>0</v>
      </c>
      <c r="G168" s="31"/>
      <c r="H168" s="32"/>
      <c r="I168" s="32"/>
      <c r="J168" s="32">
        <f t="shared" si="12"/>
        <v>0</v>
      </c>
      <c r="K168" s="32"/>
      <c r="L168" s="32"/>
      <c r="M168" s="16"/>
      <c r="N168" s="16"/>
      <c r="O168" s="16"/>
      <c r="P168" s="32"/>
      <c r="Q168" s="32"/>
      <c r="R168" s="31"/>
      <c r="S168" s="32"/>
      <c r="T168" s="32"/>
      <c r="U168" s="31"/>
      <c r="V168" s="31"/>
      <c r="W168" s="31"/>
      <c r="X168" s="32"/>
      <c r="Y168" s="32"/>
      <c r="Z168" s="31"/>
      <c r="AA168" s="32"/>
      <c r="AB168" s="32"/>
      <c r="AC168" s="31"/>
      <c r="AD168" s="31"/>
      <c r="AE168" s="31"/>
      <c r="AF168" s="32"/>
      <c r="AG168" s="32"/>
      <c r="AH168" s="31"/>
      <c r="AI168" s="31"/>
      <c r="AJ168" s="32"/>
      <c r="AK168" s="31"/>
      <c r="AL168" s="31"/>
      <c r="AM168" s="31"/>
      <c r="AN168" s="31"/>
      <c r="AO168" s="31"/>
      <c r="AP168" s="31"/>
      <c r="AQ168" s="31"/>
      <c r="AR168" s="32"/>
      <c r="AS168" s="31"/>
      <c r="AT168" s="31"/>
      <c r="AU168" s="31"/>
      <c r="AV168" s="31"/>
      <c r="AW168" s="31"/>
      <c r="AX168" s="31"/>
      <c r="AY168" s="31"/>
      <c r="AZ168" s="32"/>
      <c r="BA168" s="31"/>
      <c r="BB168" s="31"/>
      <c r="BC168" s="31"/>
      <c r="BD168" s="31"/>
      <c r="BE168" s="31"/>
      <c r="BF168" s="31"/>
      <c r="BG168" s="31"/>
      <c r="BH168" s="32"/>
      <c r="BI168" s="31"/>
      <c r="BJ168" s="31"/>
      <c r="BK168" s="31"/>
      <c r="BL168" s="31"/>
      <c r="BM168" s="31"/>
      <c r="BN168" s="31"/>
      <c r="BO168" s="31"/>
      <c r="BP168" s="32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31"/>
      <c r="ID168" s="31"/>
      <c r="IE168" s="31"/>
      <c r="IF168" s="31"/>
      <c r="IG168" s="31"/>
      <c r="IH168" s="31"/>
      <c r="II168" s="31"/>
      <c r="IJ168" s="31"/>
      <c r="IK168" s="31"/>
      <c r="IL168" s="31"/>
      <c r="IM168" s="31"/>
      <c r="IN168" s="31"/>
      <c r="IO168" s="31"/>
      <c r="IP168" s="31"/>
      <c r="IQ168" s="31"/>
      <c r="IR168" s="31"/>
      <c r="IS168" s="31"/>
      <c r="IT168" s="31"/>
      <c r="IU168" s="31"/>
      <c r="IV168" s="31"/>
      <c r="IW168" s="31"/>
      <c r="IX168" s="31"/>
      <c r="IY168" s="31"/>
      <c r="IZ168" s="31"/>
      <c r="JA168" s="31"/>
      <c r="JB168" s="31"/>
      <c r="JC168" s="31"/>
      <c r="JD168" s="31"/>
      <c r="JE168" s="31"/>
      <c r="JF168" s="31"/>
    </row>
    <row r="169" customFormat="1" ht="17.25" spans="1:266">
      <c r="A169" s="32">
        <f>40000000+INDEX(编号表!$B:$B,MATCH(B169,编号表!$A:$A,0))*10000+C169</f>
        <v>40110002</v>
      </c>
      <c r="B169" s="27" t="s">
        <v>612</v>
      </c>
      <c r="C169" s="32">
        <v>2</v>
      </c>
      <c r="D169" s="32" t="s">
        <v>614</v>
      </c>
      <c r="E169" s="32" t="s">
        <v>603</v>
      </c>
      <c r="F169" s="31">
        <f t="shared" si="19"/>
        <v>0</v>
      </c>
      <c r="G169" s="31"/>
      <c r="H169" s="32"/>
      <c r="I169" s="32"/>
      <c r="J169" s="32">
        <f t="shared" si="12"/>
        <v>0</v>
      </c>
      <c r="K169" s="32"/>
      <c r="L169" s="32"/>
      <c r="M169" s="31"/>
      <c r="N169" s="31"/>
      <c r="O169" s="31"/>
      <c r="P169" s="32"/>
      <c r="Q169" s="32"/>
      <c r="R169" s="31"/>
      <c r="S169" s="32"/>
      <c r="T169" s="32"/>
      <c r="U169" s="31"/>
      <c r="V169" s="31"/>
      <c r="W169" s="31"/>
      <c r="X169" s="32"/>
      <c r="Y169" s="32"/>
      <c r="Z169" s="31"/>
      <c r="AA169" s="32"/>
      <c r="AB169" s="32"/>
      <c r="AC169" s="31"/>
      <c r="AD169" s="31"/>
      <c r="AE169" s="31"/>
      <c r="AF169" s="32"/>
      <c r="AG169" s="32"/>
      <c r="AH169" s="31"/>
      <c r="AI169" s="31"/>
      <c r="AJ169" s="32"/>
      <c r="AK169" s="31"/>
      <c r="AL169" s="31"/>
      <c r="AM169" s="31"/>
      <c r="AN169" s="31"/>
      <c r="AO169" s="31"/>
      <c r="AP169" s="31"/>
      <c r="AQ169" s="31"/>
      <c r="AR169" s="32"/>
      <c r="AS169" s="31"/>
      <c r="AT169" s="31"/>
      <c r="AU169" s="31"/>
      <c r="AV169" s="31"/>
      <c r="AW169" s="31"/>
      <c r="AX169" s="31"/>
      <c r="AY169" s="31"/>
      <c r="AZ169" s="32"/>
      <c r="BA169" s="31"/>
      <c r="BB169" s="31"/>
      <c r="BC169" s="31"/>
      <c r="BD169" s="31"/>
      <c r="BE169" s="31"/>
      <c r="BF169" s="31"/>
      <c r="BG169" s="31"/>
      <c r="BH169" s="32"/>
      <c r="BI169" s="31"/>
      <c r="BJ169" s="31"/>
      <c r="BK169" s="31"/>
      <c r="BL169" s="31"/>
      <c r="BM169" s="31"/>
      <c r="BN169" s="31"/>
      <c r="BO169" s="31"/>
      <c r="BP169" s="32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/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/>
      <c r="IP169" s="31"/>
      <c r="IQ169" s="31"/>
      <c r="IR169" s="31"/>
      <c r="IS169" s="31"/>
      <c r="IT169" s="31"/>
      <c r="IU169" s="31"/>
      <c r="IV169" s="31"/>
      <c r="IW169" s="31"/>
      <c r="IX169" s="31"/>
      <c r="IY169" s="31"/>
      <c r="IZ169" s="31"/>
      <c r="JA169" s="31"/>
      <c r="JB169" s="31"/>
      <c r="JC169" s="31"/>
      <c r="JD169" s="31"/>
      <c r="JE169" s="31"/>
      <c r="JF169" s="31"/>
    </row>
    <row r="170" customFormat="1" ht="17.25" spans="1:266">
      <c r="A170" s="32">
        <f>40000000+INDEX(编号表!$B:$B,MATCH(B170,编号表!$A:$A,0))*10000+C170</f>
        <v>40110003</v>
      </c>
      <c r="B170" s="27" t="s">
        <v>612</v>
      </c>
      <c r="C170" s="32">
        <v>3</v>
      </c>
      <c r="D170" s="32" t="s">
        <v>615</v>
      </c>
      <c r="E170" s="32" t="s">
        <v>603</v>
      </c>
      <c r="F170" s="31">
        <f t="shared" si="19"/>
        <v>0</v>
      </c>
      <c r="G170" s="31"/>
      <c r="H170" s="32"/>
      <c r="I170" s="32"/>
      <c r="J170" s="32">
        <f t="shared" si="12"/>
        <v>0</v>
      </c>
      <c r="K170" s="32"/>
      <c r="L170" s="32"/>
      <c r="M170" s="31"/>
      <c r="N170" s="31"/>
      <c r="O170" s="31"/>
      <c r="P170" s="32"/>
      <c r="Q170" s="32"/>
      <c r="R170" s="31"/>
      <c r="S170" s="32"/>
      <c r="T170" s="32"/>
      <c r="U170" s="31"/>
      <c r="V170" s="31"/>
      <c r="W170" s="31"/>
      <c r="X170" s="32"/>
      <c r="Y170" s="32"/>
      <c r="Z170" s="31"/>
      <c r="AA170" s="32"/>
      <c r="AB170" s="32"/>
      <c r="AC170" s="31"/>
      <c r="AD170" s="31"/>
      <c r="AE170" s="31"/>
      <c r="AF170" s="32"/>
      <c r="AG170" s="32"/>
      <c r="AH170" s="31"/>
      <c r="AI170" s="31"/>
      <c r="AJ170" s="32"/>
      <c r="AK170" s="31"/>
      <c r="AL170" s="31"/>
      <c r="AM170" s="31"/>
      <c r="AN170" s="31"/>
      <c r="AO170" s="31"/>
      <c r="AP170" s="31"/>
      <c r="AQ170" s="31"/>
      <c r="AR170" s="32"/>
      <c r="AS170" s="31"/>
      <c r="AT170" s="31"/>
      <c r="AU170" s="31"/>
      <c r="AV170" s="31"/>
      <c r="AW170" s="31"/>
      <c r="AX170" s="31"/>
      <c r="AY170" s="31"/>
      <c r="AZ170" s="32"/>
      <c r="BA170" s="31"/>
      <c r="BB170" s="31"/>
      <c r="BC170" s="31"/>
      <c r="BD170" s="31"/>
      <c r="BE170" s="31"/>
      <c r="BF170" s="31"/>
      <c r="BG170" s="31"/>
      <c r="BH170" s="32"/>
      <c r="BI170" s="31"/>
      <c r="BJ170" s="31"/>
      <c r="BK170" s="31"/>
      <c r="BL170" s="31"/>
      <c r="BM170" s="31"/>
      <c r="BN170" s="31"/>
      <c r="BO170" s="31"/>
      <c r="BP170" s="32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  <c r="HG170" s="31"/>
      <c r="HH170" s="31"/>
      <c r="HI170" s="31"/>
      <c r="HJ170" s="31"/>
      <c r="HK170" s="31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  <c r="IA170" s="31"/>
      <c r="IB170" s="31"/>
      <c r="IC170" s="31"/>
      <c r="ID170" s="31"/>
      <c r="IE170" s="31"/>
      <c r="IF170" s="31"/>
      <c r="IG170" s="31"/>
      <c r="IH170" s="31"/>
      <c r="II170" s="31"/>
      <c r="IJ170" s="31"/>
      <c r="IK170" s="31"/>
      <c r="IL170" s="31"/>
      <c r="IM170" s="31"/>
      <c r="IN170" s="31"/>
      <c r="IO170" s="31"/>
      <c r="IP170" s="31"/>
      <c r="IQ170" s="31"/>
      <c r="IR170" s="31"/>
      <c r="IS170" s="31"/>
      <c r="IT170" s="31"/>
      <c r="IU170" s="31"/>
      <c r="IV170" s="31"/>
      <c r="IW170" s="31"/>
      <c r="IX170" s="31"/>
      <c r="IY170" s="31"/>
      <c r="IZ170" s="31"/>
      <c r="JA170" s="31"/>
      <c r="JB170" s="31"/>
      <c r="JC170" s="31"/>
      <c r="JD170" s="31"/>
      <c r="JE170" s="31"/>
      <c r="JF170" s="31"/>
    </row>
    <row r="171" customFormat="1" ht="17.25" spans="1:266">
      <c r="A171" s="32">
        <f>40000000+INDEX(编号表!$B:$B,MATCH(B171,编号表!$A:$A,0))*10000+C171</f>
        <v>40110004</v>
      </c>
      <c r="B171" s="27" t="s">
        <v>612</v>
      </c>
      <c r="C171" s="32">
        <v>4</v>
      </c>
      <c r="D171" s="32" t="s">
        <v>602</v>
      </c>
      <c r="E171" s="32" t="s">
        <v>603</v>
      </c>
      <c r="F171" s="31">
        <f t="shared" si="19"/>
        <v>0</v>
      </c>
      <c r="G171" s="31"/>
      <c r="H171" s="32"/>
      <c r="I171" s="32"/>
      <c r="J171" s="32">
        <f t="shared" si="12"/>
        <v>0</v>
      </c>
      <c r="K171" s="32"/>
      <c r="L171" s="32"/>
      <c r="M171" s="31"/>
      <c r="N171" s="31"/>
      <c r="O171" s="31"/>
      <c r="P171" s="32"/>
      <c r="Q171" s="32"/>
      <c r="R171" s="31"/>
      <c r="S171" s="32"/>
      <c r="T171" s="32"/>
      <c r="U171" s="31"/>
      <c r="V171" s="31"/>
      <c r="W171" s="31"/>
      <c r="X171" s="32"/>
      <c r="Y171" s="32"/>
      <c r="Z171" s="31"/>
      <c r="AA171" s="32"/>
      <c r="AB171" s="32"/>
      <c r="AC171" s="31"/>
      <c r="AD171" s="31"/>
      <c r="AE171" s="31"/>
      <c r="AF171" s="32"/>
      <c r="AG171" s="32"/>
      <c r="AH171" s="31"/>
      <c r="AI171" s="31"/>
      <c r="AJ171" s="32"/>
      <c r="AK171" s="31"/>
      <c r="AL171" s="31"/>
      <c r="AM171" s="31"/>
      <c r="AN171" s="31"/>
      <c r="AO171" s="31"/>
      <c r="AP171" s="31"/>
      <c r="AQ171" s="31"/>
      <c r="AR171" s="32"/>
      <c r="AS171" s="31"/>
      <c r="AT171" s="31"/>
      <c r="AU171" s="31"/>
      <c r="AV171" s="31"/>
      <c r="AW171" s="31"/>
      <c r="AX171" s="31"/>
      <c r="AY171" s="31"/>
      <c r="AZ171" s="32"/>
      <c r="BA171" s="31"/>
      <c r="BB171" s="31"/>
      <c r="BC171" s="31"/>
      <c r="BD171" s="31"/>
      <c r="BE171" s="31"/>
      <c r="BF171" s="31"/>
      <c r="BG171" s="31"/>
      <c r="BH171" s="32"/>
      <c r="BI171" s="31"/>
      <c r="BJ171" s="31"/>
      <c r="BK171" s="31"/>
      <c r="BL171" s="31"/>
      <c r="BM171" s="31"/>
      <c r="BN171" s="31"/>
      <c r="BO171" s="31"/>
      <c r="BP171" s="32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  <c r="HG171" s="31"/>
      <c r="HH171" s="31"/>
      <c r="HI171" s="31"/>
      <c r="HJ171" s="31"/>
      <c r="HK171" s="31"/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  <c r="IA171" s="31"/>
      <c r="IB171" s="31"/>
      <c r="IC171" s="31"/>
      <c r="ID171" s="31"/>
      <c r="IE171" s="31"/>
      <c r="IF171" s="31"/>
      <c r="IG171" s="31"/>
      <c r="IH171" s="31"/>
      <c r="II171" s="31"/>
      <c r="IJ171" s="31"/>
      <c r="IK171" s="31"/>
      <c r="IL171" s="31"/>
      <c r="IM171" s="31"/>
      <c r="IN171" s="31"/>
      <c r="IO171" s="31"/>
      <c r="IP171" s="31"/>
      <c r="IQ171" s="31"/>
      <c r="IR171" s="31"/>
      <c r="IS171" s="31"/>
      <c r="IT171" s="31"/>
      <c r="IU171" s="31"/>
      <c r="IV171" s="31"/>
      <c r="IW171" s="31"/>
      <c r="IX171" s="31"/>
      <c r="IY171" s="31"/>
      <c r="IZ171" s="31"/>
      <c r="JA171" s="31"/>
      <c r="JB171" s="31"/>
      <c r="JC171" s="31"/>
      <c r="JD171" s="31"/>
      <c r="JE171" s="31"/>
      <c r="JF171" s="31"/>
    </row>
    <row r="172" customFormat="1" ht="17.25" spans="1:266">
      <c r="A172" s="32">
        <f>40000000+INDEX(编号表!$B:$B,MATCH(B172,编号表!$A:$A,0))*10000+C172</f>
        <v>40110005</v>
      </c>
      <c r="B172" s="27" t="s">
        <v>612</v>
      </c>
      <c r="C172" s="32">
        <v>5</v>
      </c>
      <c r="D172" s="32" t="s">
        <v>604</v>
      </c>
      <c r="E172" s="32" t="s">
        <v>603</v>
      </c>
      <c r="F172" s="31">
        <f t="shared" si="19"/>
        <v>0</v>
      </c>
      <c r="G172" s="31"/>
      <c r="H172" s="32"/>
      <c r="I172" s="32"/>
      <c r="J172" s="32">
        <f t="shared" si="12"/>
        <v>0</v>
      </c>
      <c r="K172" s="32"/>
      <c r="L172" s="32"/>
      <c r="M172" s="31"/>
      <c r="N172" s="31"/>
      <c r="O172" s="31"/>
      <c r="P172" s="32"/>
      <c r="Q172" s="32"/>
      <c r="R172" s="31"/>
      <c r="S172" s="32"/>
      <c r="T172" s="32"/>
      <c r="U172" s="31"/>
      <c r="V172" s="31"/>
      <c r="W172" s="31"/>
      <c r="X172" s="32"/>
      <c r="Y172" s="32"/>
      <c r="Z172" s="31"/>
      <c r="AA172" s="32"/>
      <c r="AB172" s="32"/>
      <c r="AC172" s="31"/>
      <c r="AD172" s="31"/>
      <c r="AE172" s="31"/>
      <c r="AF172" s="32"/>
      <c r="AG172" s="32"/>
      <c r="AH172" s="31"/>
      <c r="AI172" s="31"/>
      <c r="AJ172" s="32"/>
      <c r="AK172" s="31"/>
      <c r="AL172" s="31"/>
      <c r="AM172" s="31"/>
      <c r="AN172" s="31"/>
      <c r="AO172" s="31"/>
      <c r="AP172" s="31"/>
      <c r="AQ172" s="31"/>
      <c r="AR172" s="32"/>
      <c r="AS172" s="31"/>
      <c r="AT172" s="31"/>
      <c r="AU172" s="31"/>
      <c r="AV172" s="31"/>
      <c r="AW172" s="31"/>
      <c r="AX172" s="31"/>
      <c r="AY172" s="31"/>
      <c r="AZ172" s="32"/>
      <c r="BA172" s="31"/>
      <c r="BB172" s="31"/>
      <c r="BC172" s="31"/>
      <c r="BD172" s="31"/>
      <c r="BE172" s="31"/>
      <c r="BF172" s="31"/>
      <c r="BG172" s="31"/>
      <c r="BH172" s="32"/>
      <c r="BI172" s="31"/>
      <c r="BJ172" s="31"/>
      <c r="BK172" s="31"/>
      <c r="BL172" s="31"/>
      <c r="BM172" s="31"/>
      <c r="BN172" s="31"/>
      <c r="BO172" s="31"/>
      <c r="BP172" s="32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/>
      <c r="IP172" s="31"/>
      <c r="IQ172" s="31"/>
      <c r="IR172" s="31"/>
      <c r="IS172" s="31"/>
      <c r="IT172" s="31"/>
      <c r="IU172" s="31"/>
      <c r="IV172" s="31"/>
      <c r="IW172" s="31"/>
      <c r="IX172" s="31"/>
      <c r="IY172" s="31"/>
      <c r="IZ172" s="31"/>
      <c r="JA172" s="31"/>
      <c r="JB172" s="31"/>
      <c r="JC172" s="31"/>
      <c r="JD172" s="31"/>
      <c r="JE172" s="31"/>
      <c r="JF172" s="31"/>
    </row>
    <row r="173" customFormat="1" ht="17.25" spans="1:266">
      <c r="A173" s="32">
        <f>40000000+INDEX(编号表!$B:$B,MATCH(B173,编号表!$A:$A,0))*10000+C173</f>
        <v>40110006</v>
      </c>
      <c r="B173" s="27" t="s">
        <v>612</v>
      </c>
      <c r="C173" s="32">
        <v>6</v>
      </c>
      <c r="D173" s="32" t="s">
        <v>605</v>
      </c>
      <c r="E173" s="32" t="s">
        <v>603</v>
      </c>
      <c r="F173" s="31">
        <f t="shared" si="19"/>
        <v>0</v>
      </c>
      <c r="G173" s="31"/>
      <c r="H173" s="32"/>
      <c r="I173" s="32"/>
      <c r="J173" s="32">
        <f t="shared" si="12"/>
        <v>0</v>
      </c>
      <c r="K173" s="32"/>
      <c r="L173" s="32"/>
      <c r="M173" s="31"/>
      <c r="N173" s="31"/>
      <c r="O173" s="31"/>
      <c r="P173" s="32"/>
      <c r="Q173" s="32"/>
      <c r="R173" s="31"/>
      <c r="S173" s="32"/>
      <c r="T173" s="32"/>
      <c r="U173" s="31"/>
      <c r="V173" s="31"/>
      <c r="W173" s="31"/>
      <c r="X173" s="32"/>
      <c r="Y173" s="32"/>
      <c r="Z173" s="31"/>
      <c r="AA173" s="32"/>
      <c r="AB173" s="32"/>
      <c r="AC173" s="31"/>
      <c r="AD173" s="31"/>
      <c r="AE173" s="31"/>
      <c r="AF173" s="32"/>
      <c r="AG173" s="32"/>
      <c r="AH173" s="31"/>
      <c r="AI173" s="31"/>
      <c r="AJ173" s="32"/>
      <c r="AK173" s="31"/>
      <c r="AL173" s="31"/>
      <c r="AM173" s="31"/>
      <c r="AN173" s="31"/>
      <c r="AO173" s="31"/>
      <c r="AP173" s="31"/>
      <c r="AQ173" s="31"/>
      <c r="AR173" s="32"/>
      <c r="AS173" s="31"/>
      <c r="AT173" s="31"/>
      <c r="AU173" s="31"/>
      <c r="AV173" s="31"/>
      <c r="AW173" s="31"/>
      <c r="AX173" s="31"/>
      <c r="AY173" s="31"/>
      <c r="AZ173" s="32"/>
      <c r="BA173" s="31"/>
      <c r="BB173" s="31"/>
      <c r="BC173" s="31"/>
      <c r="BD173" s="31"/>
      <c r="BE173" s="31"/>
      <c r="BF173" s="31"/>
      <c r="BG173" s="31"/>
      <c r="BH173" s="32"/>
      <c r="BI173" s="31"/>
      <c r="BJ173" s="31"/>
      <c r="BK173" s="31"/>
      <c r="BL173" s="31"/>
      <c r="BM173" s="31"/>
      <c r="BN173" s="31"/>
      <c r="BO173" s="31"/>
      <c r="BP173" s="32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  <c r="HG173" s="31"/>
      <c r="HH173" s="31"/>
      <c r="HI173" s="31"/>
      <c r="HJ173" s="31"/>
      <c r="HK173" s="31"/>
      <c r="HL173" s="31"/>
      <c r="HM173" s="31"/>
      <c r="HN173" s="31"/>
      <c r="HO173" s="31"/>
      <c r="HP173" s="31"/>
      <c r="HQ173" s="31"/>
      <c r="HR173" s="31"/>
      <c r="HS173" s="31"/>
      <c r="HT173" s="31"/>
      <c r="HU173" s="31"/>
      <c r="HV173" s="31"/>
      <c r="HW173" s="31"/>
      <c r="HX173" s="31"/>
      <c r="HY173" s="31"/>
      <c r="HZ173" s="31"/>
      <c r="IA173" s="31"/>
      <c r="IB173" s="31"/>
      <c r="IC173" s="31"/>
      <c r="ID173" s="31"/>
      <c r="IE173" s="31"/>
      <c r="IF173" s="31"/>
      <c r="IG173" s="31"/>
      <c r="IH173" s="31"/>
      <c r="II173" s="31"/>
      <c r="IJ173" s="31"/>
      <c r="IK173" s="31"/>
      <c r="IL173" s="31"/>
      <c r="IM173" s="31"/>
      <c r="IN173" s="31"/>
      <c r="IO173" s="31"/>
      <c r="IP173" s="31"/>
      <c r="IQ173" s="31"/>
      <c r="IR173" s="31"/>
      <c r="IS173" s="31"/>
      <c r="IT173" s="31"/>
      <c r="IU173" s="31"/>
      <c r="IV173" s="31"/>
      <c r="IW173" s="31"/>
      <c r="IX173" s="31"/>
      <c r="IY173" s="31"/>
      <c r="IZ173" s="31"/>
      <c r="JA173" s="31"/>
      <c r="JB173" s="31"/>
      <c r="JC173" s="31"/>
      <c r="JD173" s="31"/>
      <c r="JE173" s="31"/>
      <c r="JF173" s="31"/>
    </row>
    <row r="174" customFormat="1" ht="17.25" spans="1:266">
      <c r="A174" s="32">
        <f>40000000+INDEX(编号表!$B:$B,MATCH(B174,编号表!$A:$A,0))*10000+C174</f>
        <v>40110007</v>
      </c>
      <c r="B174" s="27" t="s">
        <v>612</v>
      </c>
      <c r="C174" s="32">
        <v>7</v>
      </c>
      <c r="D174" s="32" t="s">
        <v>606</v>
      </c>
      <c r="E174" s="32" t="s">
        <v>603</v>
      </c>
      <c r="F174" s="31">
        <f t="shared" si="19"/>
        <v>0</v>
      </c>
      <c r="G174" s="31"/>
      <c r="H174" s="32"/>
      <c r="I174" s="32"/>
      <c r="J174" s="32">
        <f t="shared" si="12"/>
        <v>0</v>
      </c>
      <c r="K174" s="32"/>
      <c r="L174" s="32"/>
      <c r="M174" s="31"/>
      <c r="N174" s="31"/>
      <c r="O174" s="31"/>
      <c r="P174" s="32"/>
      <c r="Q174" s="32"/>
      <c r="R174" s="31"/>
      <c r="S174" s="32"/>
      <c r="T174" s="32"/>
      <c r="U174" s="31"/>
      <c r="V174" s="31"/>
      <c r="W174" s="31"/>
      <c r="X174" s="32"/>
      <c r="Y174" s="32"/>
      <c r="Z174" s="31"/>
      <c r="AA174" s="32"/>
      <c r="AB174" s="32"/>
      <c r="AC174" s="31"/>
      <c r="AD174" s="31"/>
      <c r="AE174" s="31"/>
      <c r="AF174" s="32"/>
      <c r="AG174" s="32"/>
      <c r="AH174" s="31"/>
      <c r="AI174" s="31"/>
      <c r="AJ174" s="32"/>
      <c r="AK174" s="31"/>
      <c r="AL174" s="31"/>
      <c r="AM174" s="31"/>
      <c r="AN174" s="31"/>
      <c r="AO174" s="31"/>
      <c r="AP174" s="31"/>
      <c r="AQ174" s="31"/>
      <c r="AR174" s="32"/>
      <c r="AS174" s="31"/>
      <c r="AT174" s="31"/>
      <c r="AU174" s="31"/>
      <c r="AV174" s="31"/>
      <c r="AW174" s="31"/>
      <c r="AX174" s="31"/>
      <c r="AY174" s="31"/>
      <c r="AZ174" s="32"/>
      <c r="BA174" s="31"/>
      <c r="BB174" s="31"/>
      <c r="BC174" s="31"/>
      <c r="BD174" s="31"/>
      <c r="BE174" s="31"/>
      <c r="BF174" s="31"/>
      <c r="BG174" s="31"/>
      <c r="BH174" s="32"/>
      <c r="BI174" s="31"/>
      <c r="BJ174" s="31"/>
      <c r="BK174" s="31"/>
      <c r="BL174" s="31"/>
      <c r="BM174" s="31"/>
      <c r="BN174" s="31"/>
      <c r="BO174" s="31"/>
      <c r="BP174" s="32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  <c r="HI174" s="31"/>
      <c r="HJ174" s="31"/>
      <c r="HK174" s="31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31"/>
      <c r="IJ174" s="31"/>
      <c r="IK174" s="31"/>
      <c r="IL174" s="31"/>
      <c r="IM174" s="31"/>
      <c r="IN174" s="31"/>
      <c r="IO174" s="31"/>
      <c r="IP174" s="31"/>
      <c r="IQ174" s="31"/>
      <c r="IR174" s="31"/>
      <c r="IS174" s="31"/>
      <c r="IT174" s="31"/>
      <c r="IU174" s="31"/>
      <c r="IV174" s="31"/>
      <c r="IW174" s="31"/>
      <c r="IX174" s="31"/>
      <c r="IY174" s="31"/>
      <c r="IZ174" s="31"/>
      <c r="JA174" s="31"/>
      <c r="JB174" s="31"/>
      <c r="JC174" s="31"/>
      <c r="JD174" s="31"/>
      <c r="JE174" s="31"/>
      <c r="JF174" s="31"/>
    </row>
    <row r="175" customFormat="1" ht="17.25" spans="1:266">
      <c r="A175" s="32">
        <f>40000000+INDEX(编号表!$B:$B,MATCH(B175,编号表!$A:$A,0))*10000+C175</f>
        <v>40110008</v>
      </c>
      <c r="B175" s="27" t="s">
        <v>612</v>
      </c>
      <c r="C175" s="32">
        <v>8</v>
      </c>
      <c r="D175" s="32" t="s">
        <v>607</v>
      </c>
      <c r="E175" s="32" t="s">
        <v>603</v>
      </c>
      <c r="F175" s="31">
        <f t="shared" si="19"/>
        <v>0</v>
      </c>
      <c r="G175" s="31"/>
      <c r="H175" s="32"/>
      <c r="I175" s="32"/>
      <c r="J175" s="32">
        <f t="shared" si="12"/>
        <v>0</v>
      </c>
      <c r="K175" s="32"/>
      <c r="L175" s="32"/>
      <c r="M175" s="31"/>
      <c r="N175" s="31"/>
      <c r="O175" s="31"/>
      <c r="P175" s="32"/>
      <c r="Q175" s="32"/>
      <c r="R175" s="31"/>
      <c r="S175" s="32"/>
      <c r="T175" s="32"/>
      <c r="U175" s="31"/>
      <c r="V175" s="31"/>
      <c r="W175" s="31"/>
      <c r="X175" s="32"/>
      <c r="Y175" s="32"/>
      <c r="Z175" s="31"/>
      <c r="AA175" s="32"/>
      <c r="AB175" s="32"/>
      <c r="AC175" s="31"/>
      <c r="AD175" s="31"/>
      <c r="AE175" s="31"/>
      <c r="AF175" s="32"/>
      <c r="AG175" s="32"/>
      <c r="AH175" s="31"/>
      <c r="AI175" s="31"/>
      <c r="AJ175" s="32"/>
      <c r="AK175" s="31"/>
      <c r="AL175" s="31"/>
      <c r="AM175" s="31"/>
      <c r="AN175" s="31"/>
      <c r="AO175" s="31"/>
      <c r="AP175" s="31"/>
      <c r="AQ175" s="31"/>
      <c r="AR175" s="32"/>
      <c r="AS175" s="31"/>
      <c r="AT175" s="31"/>
      <c r="AU175" s="31"/>
      <c r="AV175" s="31"/>
      <c r="AW175" s="31"/>
      <c r="AX175" s="31"/>
      <c r="AY175" s="31"/>
      <c r="AZ175" s="32"/>
      <c r="BA175" s="31"/>
      <c r="BB175" s="31"/>
      <c r="BC175" s="31"/>
      <c r="BD175" s="31"/>
      <c r="BE175" s="31"/>
      <c r="BF175" s="31"/>
      <c r="BG175" s="31"/>
      <c r="BH175" s="32"/>
      <c r="BI175" s="31"/>
      <c r="BJ175" s="31"/>
      <c r="BK175" s="31"/>
      <c r="BL175" s="31"/>
      <c r="BM175" s="31"/>
      <c r="BN175" s="31"/>
      <c r="BO175" s="31"/>
      <c r="BP175" s="32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  <c r="IA175" s="31"/>
      <c r="IB175" s="31"/>
      <c r="IC175" s="31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31"/>
      <c r="IR175" s="31"/>
      <c r="IS175" s="31"/>
      <c r="IT175" s="31"/>
      <c r="IU175" s="31"/>
      <c r="IV175" s="31"/>
      <c r="IW175" s="31"/>
      <c r="IX175" s="31"/>
      <c r="IY175" s="31"/>
      <c r="IZ175" s="31"/>
      <c r="JA175" s="31"/>
      <c r="JB175" s="31"/>
      <c r="JC175" s="31"/>
      <c r="JD175" s="31"/>
      <c r="JE175" s="31"/>
      <c r="JF175" s="31"/>
    </row>
    <row r="176" customFormat="1" ht="17.25" spans="1:266">
      <c r="A176" s="32">
        <f>40000000+INDEX(编号表!$B:$B,MATCH(B176,编号表!$A:$A,0))*10000+C176</f>
        <v>40110009</v>
      </c>
      <c r="B176" s="27" t="s">
        <v>612</v>
      </c>
      <c r="C176" s="32">
        <v>9</v>
      </c>
      <c r="D176" s="32" t="s">
        <v>608</v>
      </c>
      <c r="E176" s="32" t="s">
        <v>603</v>
      </c>
      <c r="F176" s="31">
        <f t="shared" si="19"/>
        <v>0</v>
      </c>
      <c r="G176" s="31"/>
      <c r="H176" s="32"/>
      <c r="I176" s="32"/>
      <c r="J176" s="32">
        <f t="shared" si="12"/>
        <v>0</v>
      </c>
      <c r="K176" s="32"/>
      <c r="L176" s="32"/>
      <c r="M176" s="31"/>
      <c r="N176" s="31"/>
      <c r="O176" s="31"/>
      <c r="P176" s="32"/>
      <c r="Q176" s="32"/>
      <c r="R176" s="31"/>
      <c r="S176" s="32"/>
      <c r="T176" s="32"/>
      <c r="U176" s="31"/>
      <c r="V176" s="31"/>
      <c r="W176" s="31"/>
      <c r="X176" s="32"/>
      <c r="Y176" s="32"/>
      <c r="Z176" s="31"/>
      <c r="AA176" s="32"/>
      <c r="AB176" s="32"/>
      <c r="AC176" s="31"/>
      <c r="AD176" s="31"/>
      <c r="AE176" s="31"/>
      <c r="AF176" s="32"/>
      <c r="AG176" s="32"/>
      <c r="AH176" s="31"/>
      <c r="AI176" s="31"/>
      <c r="AJ176" s="32"/>
      <c r="AK176" s="31"/>
      <c r="AL176" s="31"/>
      <c r="AM176" s="31"/>
      <c r="AN176" s="31"/>
      <c r="AO176" s="31"/>
      <c r="AP176" s="31"/>
      <c r="AQ176" s="31"/>
      <c r="AR176" s="32"/>
      <c r="AS176" s="31"/>
      <c r="AT176" s="31"/>
      <c r="AU176" s="31"/>
      <c r="AV176" s="31"/>
      <c r="AW176" s="31"/>
      <c r="AX176" s="31"/>
      <c r="AY176" s="31"/>
      <c r="AZ176" s="32"/>
      <c r="BA176" s="31"/>
      <c r="BB176" s="31"/>
      <c r="BC176" s="31"/>
      <c r="BD176" s="31"/>
      <c r="BE176" s="31"/>
      <c r="BF176" s="31"/>
      <c r="BG176" s="31"/>
      <c r="BH176" s="32"/>
      <c r="BI176" s="31"/>
      <c r="BJ176" s="31"/>
      <c r="BK176" s="31"/>
      <c r="BL176" s="31"/>
      <c r="BM176" s="31"/>
      <c r="BN176" s="31"/>
      <c r="BO176" s="31"/>
      <c r="BP176" s="32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  <c r="HE176" s="31"/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  <c r="IA176" s="31"/>
      <c r="IB176" s="31"/>
      <c r="IC176" s="31"/>
      <c r="ID176" s="31"/>
      <c r="IE176" s="31"/>
      <c r="IF176" s="31"/>
      <c r="IG176" s="31"/>
      <c r="IH176" s="31"/>
      <c r="II176" s="31"/>
      <c r="IJ176" s="31"/>
      <c r="IK176" s="31"/>
      <c r="IL176" s="31"/>
      <c r="IM176" s="31"/>
      <c r="IN176" s="31"/>
      <c r="IO176" s="31"/>
      <c r="IP176" s="31"/>
      <c r="IQ176" s="31"/>
      <c r="IR176" s="31"/>
      <c r="IS176" s="31"/>
      <c r="IT176" s="31"/>
      <c r="IU176" s="31"/>
      <c r="IV176" s="31"/>
      <c r="IW176" s="31"/>
      <c r="IX176" s="31"/>
      <c r="IY176" s="31"/>
      <c r="IZ176" s="31"/>
      <c r="JA176" s="31"/>
      <c r="JB176" s="31"/>
      <c r="JC176" s="31"/>
      <c r="JD176" s="31"/>
      <c r="JE176" s="31"/>
      <c r="JF176" s="31"/>
    </row>
    <row r="177" customFormat="1" ht="17.25" spans="1:266">
      <c r="A177" s="32">
        <f>40000000+INDEX(编号表!$B:$B,MATCH(B177,编号表!$A:$A,0))*10000+C177</f>
        <v>40110010</v>
      </c>
      <c r="B177" s="27" t="s">
        <v>612</v>
      </c>
      <c r="C177" s="32">
        <v>10</v>
      </c>
      <c r="D177" s="32" t="s">
        <v>609</v>
      </c>
      <c r="E177" s="32" t="s">
        <v>603</v>
      </c>
      <c r="F177" s="31">
        <f t="shared" si="19"/>
        <v>0</v>
      </c>
      <c r="G177" s="31"/>
      <c r="H177" s="32"/>
      <c r="I177" s="32"/>
      <c r="J177" s="32">
        <f t="shared" si="12"/>
        <v>0</v>
      </c>
      <c r="K177" s="32"/>
      <c r="L177" s="32"/>
      <c r="M177" s="31"/>
      <c r="N177" s="31"/>
      <c r="O177" s="31"/>
      <c r="P177" s="32"/>
      <c r="Q177" s="32"/>
      <c r="R177" s="31"/>
      <c r="S177" s="32"/>
      <c r="T177" s="32"/>
      <c r="U177" s="31"/>
      <c r="V177" s="31"/>
      <c r="W177" s="31"/>
      <c r="X177" s="32"/>
      <c r="Y177" s="32"/>
      <c r="Z177" s="31"/>
      <c r="AA177" s="32"/>
      <c r="AB177" s="32"/>
      <c r="AC177" s="31"/>
      <c r="AD177" s="31"/>
      <c r="AE177" s="31"/>
      <c r="AF177" s="32"/>
      <c r="AG177" s="32"/>
      <c r="AH177" s="31"/>
      <c r="AI177" s="31"/>
      <c r="AJ177" s="32"/>
      <c r="AK177" s="31"/>
      <c r="AL177" s="31"/>
      <c r="AM177" s="31"/>
      <c r="AN177" s="31"/>
      <c r="AO177" s="31"/>
      <c r="AP177" s="31"/>
      <c r="AQ177" s="31"/>
      <c r="AR177" s="32"/>
      <c r="AS177" s="31"/>
      <c r="AT177" s="31"/>
      <c r="AU177" s="31"/>
      <c r="AV177" s="31"/>
      <c r="AW177" s="31"/>
      <c r="AX177" s="31"/>
      <c r="AY177" s="31"/>
      <c r="AZ177" s="32"/>
      <c r="BA177" s="31"/>
      <c r="BB177" s="31"/>
      <c r="BC177" s="31"/>
      <c r="BD177" s="31"/>
      <c r="BE177" s="31"/>
      <c r="BF177" s="31"/>
      <c r="BG177" s="31"/>
      <c r="BH177" s="32"/>
      <c r="BI177" s="31"/>
      <c r="BJ177" s="31"/>
      <c r="BK177" s="31"/>
      <c r="BL177" s="31"/>
      <c r="BM177" s="31"/>
      <c r="BN177" s="31"/>
      <c r="BO177" s="31"/>
      <c r="BP177" s="32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31"/>
      <c r="HQ177" s="31"/>
      <c r="HR177" s="31"/>
      <c r="HS177" s="31"/>
      <c r="HT177" s="31"/>
      <c r="HU177" s="31"/>
      <c r="HV177" s="31"/>
      <c r="HW177" s="31"/>
      <c r="HX177" s="31"/>
      <c r="HY177" s="31"/>
      <c r="HZ177" s="31"/>
      <c r="IA177" s="31"/>
      <c r="IB177" s="31"/>
      <c r="IC177" s="31"/>
      <c r="ID177" s="31"/>
      <c r="IE177" s="31"/>
      <c r="IF177" s="31"/>
      <c r="IG177" s="31"/>
      <c r="IH177" s="31"/>
      <c r="II177" s="31"/>
      <c r="IJ177" s="31"/>
      <c r="IK177" s="31"/>
      <c r="IL177" s="31"/>
      <c r="IM177" s="31"/>
      <c r="IN177" s="31"/>
      <c r="IO177" s="31"/>
      <c r="IP177" s="31"/>
      <c r="IQ177" s="31"/>
      <c r="IR177" s="31"/>
      <c r="IS177" s="31"/>
      <c r="IT177" s="31"/>
      <c r="IU177" s="31"/>
      <c r="IV177" s="31"/>
      <c r="IW177" s="31"/>
      <c r="IX177" s="31"/>
      <c r="IY177" s="31"/>
      <c r="IZ177" s="31"/>
      <c r="JA177" s="31"/>
      <c r="JB177" s="31"/>
      <c r="JC177" s="31"/>
      <c r="JD177" s="31"/>
      <c r="JE177" s="31"/>
      <c r="JF177" s="31"/>
    </row>
    <row r="178" customFormat="1" ht="17.25" spans="1:266">
      <c r="A178" s="32">
        <f>40000000+INDEX(编号表!$B:$B,MATCH(B178,编号表!$A:$A,0))*10000+C178</f>
        <v>40110011</v>
      </c>
      <c r="B178" s="27" t="s">
        <v>612</v>
      </c>
      <c r="C178" s="32">
        <v>11</v>
      </c>
      <c r="D178" s="32" t="s">
        <v>610</v>
      </c>
      <c r="E178" s="32" t="s">
        <v>603</v>
      </c>
      <c r="F178" s="31">
        <f t="shared" si="19"/>
        <v>0</v>
      </c>
      <c r="G178" s="31"/>
      <c r="H178" s="32"/>
      <c r="I178" s="32"/>
      <c r="J178" s="32">
        <f t="shared" si="12"/>
        <v>0</v>
      </c>
      <c r="K178" s="32"/>
      <c r="L178" s="32"/>
      <c r="M178" s="31"/>
      <c r="N178" s="31"/>
      <c r="O178" s="31"/>
      <c r="P178" s="32"/>
      <c r="Q178" s="32"/>
      <c r="R178" s="31"/>
      <c r="S178" s="32"/>
      <c r="T178" s="32"/>
      <c r="U178" s="31"/>
      <c r="V178" s="31"/>
      <c r="W178" s="31"/>
      <c r="X178" s="32"/>
      <c r="Y178" s="32"/>
      <c r="Z178" s="31"/>
      <c r="AA178" s="32"/>
      <c r="AB178" s="32"/>
      <c r="AC178" s="31"/>
      <c r="AD178" s="31"/>
      <c r="AE178" s="31"/>
      <c r="AF178" s="32"/>
      <c r="AG178" s="32"/>
      <c r="AH178" s="31"/>
      <c r="AI178" s="31"/>
      <c r="AJ178" s="32"/>
      <c r="AK178" s="31"/>
      <c r="AL178" s="31"/>
      <c r="AM178" s="31"/>
      <c r="AN178" s="31"/>
      <c r="AO178" s="31"/>
      <c r="AP178" s="31"/>
      <c r="AQ178" s="31"/>
      <c r="AR178" s="32"/>
      <c r="AS178" s="31"/>
      <c r="AT178" s="31"/>
      <c r="AU178" s="31"/>
      <c r="AV178" s="31"/>
      <c r="AW178" s="31"/>
      <c r="AX178" s="31"/>
      <c r="AY178" s="31"/>
      <c r="AZ178" s="32"/>
      <c r="BA178" s="31"/>
      <c r="BB178" s="31"/>
      <c r="BC178" s="31"/>
      <c r="BD178" s="31"/>
      <c r="BE178" s="31"/>
      <c r="BF178" s="31"/>
      <c r="BG178" s="31"/>
      <c r="BH178" s="32"/>
      <c r="BI178" s="31"/>
      <c r="BJ178" s="31"/>
      <c r="BK178" s="31"/>
      <c r="BL178" s="31"/>
      <c r="BM178" s="31"/>
      <c r="BN178" s="31"/>
      <c r="BO178" s="31"/>
      <c r="BP178" s="32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31"/>
      <c r="HQ178" s="31"/>
      <c r="HR178" s="31"/>
      <c r="HS178" s="31"/>
      <c r="HT178" s="31"/>
      <c r="HU178" s="31"/>
      <c r="HV178" s="31"/>
      <c r="HW178" s="31"/>
      <c r="HX178" s="31"/>
      <c r="HY178" s="31"/>
      <c r="HZ178" s="31"/>
      <c r="IA178" s="31"/>
      <c r="IB178" s="31"/>
      <c r="IC178" s="31"/>
      <c r="ID178" s="31"/>
      <c r="IE178" s="31"/>
      <c r="IF178" s="31"/>
      <c r="IG178" s="31"/>
      <c r="IH178" s="31"/>
      <c r="II178" s="31"/>
      <c r="IJ178" s="31"/>
      <c r="IK178" s="31"/>
      <c r="IL178" s="31"/>
      <c r="IM178" s="31"/>
      <c r="IN178" s="31"/>
      <c r="IO178" s="31"/>
      <c r="IP178" s="31"/>
      <c r="IQ178" s="31"/>
      <c r="IR178" s="31"/>
      <c r="IS178" s="31"/>
      <c r="IT178" s="31"/>
      <c r="IU178" s="31"/>
      <c r="IV178" s="31"/>
      <c r="IW178" s="31"/>
      <c r="IX178" s="31"/>
      <c r="IY178" s="31"/>
      <c r="IZ178" s="31"/>
      <c r="JA178" s="31"/>
      <c r="JB178" s="31"/>
      <c r="JC178" s="31"/>
      <c r="JD178" s="31"/>
      <c r="JE178" s="31"/>
      <c r="JF178" s="31"/>
    </row>
    <row r="179" customFormat="1" ht="17.25" spans="1:266">
      <c r="A179" s="32">
        <f>40000000+INDEX(编号表!$B:$B,MATCH(B179,编号表!$A:$A,0))*10000+C179</f>
        <v>40110012</v>
      </c>
      <c r="B179" s="27" t="s">
        <v>612</v>
      </c>
      <c r="C179" s="32">
        <v>12</v>
      </c>
      <c r="D179" s="32" t="s">
        <v>611</v>
      </c>
      <c r="E179" s="32" t="s">
        <v>603</v>
      </c>
      <c r="F179" s="31">
        <f t="shared" si="19"/>
        <v>0</v>
      </c>
      <c r="G179" s="31"/>
      <c r="H179" s="32"/>
      <c r="I179" s="32"/>
      <c r="J179" s="32">
        <f t="shared" si="12"/>
        <v>0</v>
      </c>
      <c r="K179" s="32"/>
      <c r="L179" s="32"/>
      <c r="M179" s="31"/>
      <c r="N179" s="31"/>
      <c r="O179" s="31"/>
      <c r="P179" s="32"/>
      <c r="Q179" s="32"/>
      <c r="R179" s="31"/>
      <c r="S179" s="32"/>
      <c r="T179" s="32"/>
      <c r="U179" s="31"/>
      <c r="V179" s="31"/>
      <c r="W179" s="31"/>
      <c r="X179" s="32"/>
      <c r="Y179" s="32"/>
      <c r="Z179" s="31"/>
      <c r="AA179" s="32"/>
      <c r="AB179" s="32"/>
      <c r="AC179" s="31"/>
      <c r="AD179" s="31"/>
      <c r="AE179" s="31"/>
      <c r="AF179" s="32"/>
      <c r="AG179" s="32"/>
      <c r="AH179" s="31"/>
      <c r="AI179" s="31"/>
      <c r="AJ179" s="32"/>
      <c r="AK179" s="31"/>
      <c r="AL179" s="31"/>
      <c r="AM179" s="31"/>
      <c r="AN179" s="31"/>
      <c r="AO179" s="31"/>
      <c r="AP179" s="31"/>
      <c r="AQ179" s="31"/>
      <c r="AR179" s="32"/>
      <c r="AS179" s="31"/>
      <c r="AT179" s="31"/>
      <c r="AU179" s="31"/>
      <c r="AV179" s="31"/>
      <c r="AW179" s="31"/>
      <c r="AX179" s="31"/>
      <c r="AY179" s="31"/>
      <c r="AZ179" s="32"/>
      <c r="BA179" s="31"/>
      <c r="BB179" s="31"/>
      <c r="BC179" s="31"/>
      <c r="BD179" s="31"/>
      <c r="BE179" s="31"/>
      <c r="BF179" s="31"/>
      <c r="BG179" s="31"/>
      <c r="BH179" s="32"/>
      <c r="BI179" s="31"/>
      <c r="BJ179" s="31"/>
      <c r="BK179" s="31"/>
      <c r="BL179" s="31"/>
      <c r="BM179" s="31"/>
      <c r="BN179" s="31"/>
      <c r="BO179" s="31"/>
      <c r="BP179" s="32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  <c r="GI179" s="31"/>
      <c r="GJ179" s="31"/>
      <c r="GK179" s="31"/>
      <c r="GL179" s="31"/>
      <c r="GM179" s="31"/>
      <c r="GN179" s="31"/>
      <c r="GO179" s="31"/>
      <c r="GP179" s="31"/>
      <c r="GQ179" s="31"/>
      <c r="GR179" s="31"/>
      <c r="GS179" s="31"/>
      <c r="GT179" s="31"/>
      <c r="GU179" s="31"/>
      <c r="GV179" s="31"/>
      <c r="GW179" s="31"/>
      <c r="GX179" s="31"/>
      <c r="GY179" s="31"/>
      <c r="GZ179" s="31"/>
      <c r="HA179" s="31"/>
      <c r="HB179" s="31"/>
      <c r="HC179" s="31"/>
      <c r="HD179" s="31"/>
      <c r="HE179" s="31"/>
      <c r="HF179" s="31"/>
      <c r="HG179" s="31"/>
      <c r="HH179" s="31"/>
      <c r="HI179" s="31"/>
      <c r="HJ179" s="31"/>
      <c r="HK179" s="31"/>
      <c r="HL179" s="31"/>
      <c r="HM179" s="31"/>
      <c r="HN179" s="31"/>
      <c r="HO179" s="31"/>
      <c r="HP179" s="31"/>
      <c r="HQ179" s="31"/>
      <c r="HR179" s="31"/>
      <c r="HS179" s="31"/>
      <c r="HT179" s="31"/>
      <c r="HU179" s="31"/>
      <c r="HV179" s="31"/>
      <c r="HW179" s="31"/>
      <c r="HX179" s="31"/>
      <c r="HY179" s="31"/>
      <c r="HZ179" s="31"/>
      <c r="IA179" s="31"/>
      <c r="IB179" s="31"/>
      <c r="IC179" s="31"/>
      <c r="ID179" s="31"/>
      <c r="IE179" s="31"/>
      <c r="IF179" s="31"/>
      <c r="IG179" s="31"/>
      <c r="IH179" s="31"/>
      <c r="II179" s="31"/>
      <c r="IJ179" s="31"/>
      <c r="IK179" s="31"/>
      <c r="IL179" s="31"/>
      <c r="IM179" s="31"/>
      <c r="IN179" s="31"/>
      <c r="IO179" s="31"/>
      <c r="IP179" s="31"/>
      <c r="IQ179" s="31"/>
      <c r="IR179" s="31"/>
      <c r="IS179" s="31"/>
      <c r="IT179" s="31"/>
      <c r="IU179" s="31"/>
      <c r="IV179" s="31"/>
      <c r="IW179" s="31"/>
      <c r="IX179" s="31"/>
      <c r="IY179" s="31"/>
      <c r="IZ179" s="31"/>
      <c r="JA179" s="31"/>
      <c r="JB179" s="31"/>
      <c r="JC179" s="31"/>
      <c r="JD179" s="31"/>
      <c r="JE179" s="31"/>
      <c r="JF179" s="31"/>
    </row>
    <row r="180" customFormat="1" ht="17.25" spans="1:266">
      <c r="A180" s="32">
        <f>40000000+INDEX(编号表!$B:$B,MATCH(B180,编号表!$A:$A,0))*10000+C180</f>
        <v>40080001</v>
      </c>
      <c r="B180" s="27" t="s">
        <v>616</v>
      </c>
      <c r="C180" s="32">
        <v>1</v>
      </c>
      <c r="D180" s="32" t="s">
        <v>613</v>
      </c>
      <c r="E180" s="32" t="s">
        <v>617</v>
      </c>
      <c r="F180" s="31">
        <f t="shared" ref="F180:F215" si="20">P180+X180+AF180+AN180+AV180+BD180+BL180+BT180</f>
        <v>100000000</v>
      </c>
      <c r="G180" s="31"/>
      <c r="H180" s="32">
        <v>3</v>
      </c>
      <c r="I180" s="32">
        <v>5</v>
      </c>
      <c r="J180" s="32">
        <f t="shared" si="12"/>
        <v>8</v>
      </c>
      <c r="K180" s="31">
        <v>34050001</v>
      </c>
      <c r="L180" s="32" t="str" cm="1">
        <f t="array" ref="L180">INDEX(编号表!$E:$E,MATCH(K180,编号表!$D:$D,0))</f>
        <v>小魔法药</v>
      </c>
      <c r="M180" s="31"/>
      <c r="N180" s="31"/>
      <c r="O180" s="31"/>
      <c r="P180" s="32">
        <v>20000000</v>
      </c>
      <c r="Q180" s="32">
        <v>1</v>
      </c>
      <c r="R180" s="31"/>
      <c r="S180" s="31">
        <f>K180+1</f>
        <v>34050002</v>
      </c>
      <c r="T180" s="32" t="str" cm="1">
        <f t="array" ref="T180">INDEX(编号表!$E:$E,MATCH(S180,编号表!$D:$D,0))</f>
        <v>强效魔法药</v>
      </c>
      <c r="U180" s="31"/>
      <c r="V180" s="31"/>
      <c r="W180" s="31"/>
      <c r="X180" s="32">
        <v>20000000</v>
      </c>
      <c r="Y180" s="32">
        <v>1</v>
      </c>
      <c r="Z180" s="31"/>
      <c r="AA180" s="31">
        <f>S180+1</f>
        <v>34050003</v>
      </c>
      <c r="AB180" s="32" t="str" cm="1">
        <f t="array" ref="AB180">INDEX(编号表!$E:$E,MATCH(AA180,编号表!$D:$D,0))</f>
        <v>特级魔法药</v>
      </c>
      <c r="AC180" s="31"/>
      <c r="AD180" s="31"/>
      <c r="AE180" s="31"/>
      <c r="AF180" s="32">
        <v>10000000</v>
      </c>
      <c r="AG180" s="32">
        <v>1</v>
      </c>
      <c r="AH180" s="31"/>
      <c r="AI180" s="31">
        <f>AA180+1</f>
        <v>34050004</v>
      </c>
      <c r="AJ180" s="32" t="str" cm="1">
        <f t="array" ref="AJ180">INDEX(编号表!$E:$E,MATCH(AI180,编号表!$D:$D,0))</f>
        <v>小金创药</v>
      </c>
      <c r="AK180" s="31"/>
      <c r="AL180" s="31"/>
      <c r="AM180" s="31"/>
      <c r="AN180" s="32">
        <v>18000000</v>
      </c>
      <c r="AO180" s="32">
        <v>1</v>
      </c>
      <c r="AP180" s="31"/>
      <c r="AQ180" s="31">
        <f>AI180+1</f>
        <v>34050005</v>
      </c>
      <c r="AR180" s="32" t="str" cm="1">
        <f t="array" ref="AR180">INDEX(编号表!$E:$E,MATCH(AQ180,编号表!$D:$D,0))</f>
        <v>强效金创药</v>
      </c>
      <c r="AS180" s="31"/>
      <c r="AT180" s="31"/>
      <c r="AU180" s="31"/>
      <c r="AV180" s="32">
        <v>15000000</v>
      </c>
      <c r="AW180" s="32">
        <v>1</v>
      </c>
      <c r="AX180" s="31"/>
      <c r="AY180" s="31">
        <f>AQ180+1</f>
        <v>34050006</v>
      </c>
      <c r="AZ180" s="32" t="str" cm="1">
        <f t="array" ref="AZ180">INDEX(编号表!$E:$E,MATCH(AY180,编号表!$D:$D,0))</f>
        <v>特级金创药</v>
      </c>
      <c r="BA180" s="31"/>
      <c r="BB180" s="31"/>
      <c r="BC180" s="31"/>
      <c r="BD180" s="32">
        <v>10000000</v>
      </c>
      <c r="BE180" s="32">
        <v>1</v>
      </c>
      <c r="BF180" s="31"/>
      <c r="BG180" s="31">
        <f>AY180+1</f>
        <v>34050007</v>
      </c>
      <c r="BH180" s="32" t="str" cm="1">
        <f t="array" ref="BH180">INDEX(编号表!$E:$E,MATCH(BG180,编号表!$D:$D,0))</f>
        <v>太阳水</v>
      </c>
      <c r="BI180" s="31"/>
      <c r="BJ180" s="31"/>
      <c r="BK180" s="31"/>
      <c r="BL180" s="32">
        <v>5000000</v>
      </c>
      <c r="BM180" s="32">
        <v>1</v>
      </c>
      <c r="BN180" s="31"/>
      <c r="BO180" s="31">
        <f>BG180+1</f>
        <v>34050008</v>
      </c>
      <c r="BP180" s="32" t="str" cm="1">
        <f t="array" ref="BP180">INDEX(编号表!$E:$E,MATCH(BO180,编号表!$D:$D,0))</f>
        <v>强效太阳水</v>
      </c>
      <c r="BQ180" s="31"/>
      <c r="BR180" s="31"/>
      <c r="BS180" s="31"/>
      <c r="BT180" s="32">
        <v>2000000</v>
      </c>
      <c r="BU180" s="32">
        <v>1</v>
      </c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31"/>
      <c r="HS180" s="31"/>
      <c r="HT180" s="31"/>
      <c r="HU180" s="31"/>
      <c r="HV180" s="31"/>
      <c r="HW180" s="31"/>
      <c r="HX180" s="31"/>
      <c r="HY180" s="31"/>
      <c r="HZ180" s="31"/>
      <c r="IA180" s="31"/>
      <c r="IB180" s="31"/>
      <c r="IC180" s="31"/>
      <c r="ID180" s="31"/>
      <c r="IE180" s="31"/>
      <c r="IF180" s="31"/>
      <c r="IG180" s="31"/>
      <c r="IH180" s="31"/>
      <c r="II180" s="31"/>
      <c r="IJ180" s="31"/>
      <c r="IK180" s="31"/>
      <c r="IL180" s="31"/>
      <c r="IM180" s="31"/>
      <c r="IN180" s="31"/>
      <c r="IO180" s="31"/>
      <c r="IP180" s="31"/>
      <c r="IQ180" s="31"/>
      <c r="IR180" s="31"/>
      <c r="IS180" s="31"/>
      <c r="IT180" s="31"/>
      <c r="IU180" s="31"/>
      <c r="IV180" s="31"/>
      <c r="IW180" s="31"/>
      <c r="IX180" s="31"/>
      <c r="IY180" s="31"/>
      <c r="IZ180" s="31"/>
      <c r="JA180" s="31"/>
      <c r="JB180" s="31"/>
      <c r="JC180" s="31"/>
      <c r="JD180" s="31"/>
      <c r="JE180" s="31"/>
      <c r="JF180" s="31"/>
    </row>
    <row r="181" customFormat="1" ht="17.25" spans="1:266">
      <c r="A181" s="32">
        <f>40000000+INDEX(编号表!$B:$B,MATCH(B181,编号表!$A:$A,0))*10000+C181</f>
        <v>40080002</v>
      </c>
      <c r="B181" s="27" t="s">
        <v>616</v>
      </c>
      <c r="C181" s="32">
        <v>2</v>
      </c>
      <c r="D181" s="32" t="s">
        <v>614</v>
      </c>
      <c r="E181" s="32" t="s">
        <v>617</v>
      </c>
      <c r="F181" s="31">
        <f t="shared" si="20"/>
        <v>0</v>
      </c>
      <c r="G181" s="31"/>
      <c r="H181" s="32"/>
      <c r="I181" s="32"/>
      <c r="J181" s="32">
        <f t="shared" si="12"/>
        <v>0</v>
      </c>
      <c r="K181" s="32"/>
      <c r="L181" s="32"/>
      <c r="M181" s="31"/>
      <c r="N181" s="31"/>
      <c r="O181" s="31"/>
      <c r="P181" s="32"/>
      <c r="Q181" s="32"/>
      <c r="R181" s="31"/>
      <c r="S181" s="32"/>
      <c r="T181" s="32"/>
      <c r="U181" s="31"/>
      <c r="V181" s="31"/>
      <c r="W181" s="31"/>
      <c r="X181" s="32"/>
      <c r="Y181" s="32"/>
      <c r="Z181" s="31"/>
      <c r="AA181" s="32"/>
      <c r="AB181" s="32"/>
      <c r="AC181" s="31"/>
      <c r="AD181" s="31"/>
      <c r="AE181" s="31"/>
      <c r="AF181" s="32"/>
      <c r="AG181" s="32"/>
      <c r="AH181" s="31"/>
      <c r="AI181" s="31"/>
      <c r="AJ181" s="32"/>
      <c r="AK181" s="31"/>
      <c r="AL181" s="31"/>
      <c r="AM181" s="31"/>
      <c r="AN181" s="31"/>
      <c r="AO181" s="31"/>
      <c r="AP181" s="31"/>
      <c r="AQ181" s="31"/>
      <c r="AR181" s="32"/>
      <c r="AS181" s="31"/>
      <c r="AT181" s="31"/>
      <c r="AU181" s="31"/>
      <c r="AV181" s="31"/>
      <c r="AW181" s="31"/>
      <c r="AX181" s="31"/>
      <c r="AY181" s="31"/>
      <c r="AZ181" s="32"/>
      <c r="BA181" s="31"/>
      <c r="BB181" s="31"/>
      <c r="BC181" s="31"/>
      <c r="BD181" s="31"/>
      <c r="BE181" s="31"/>
      <c r="BF181" s="31"/>
      <c r="BG181" s="31"/>
      <c r="BH181" s="32"/>
      <c r="BI181" s="31"/>
      <c r="BJ181" s="31"/>
      <c r="BK181" s="31"/>
      <c r="BL181" s="31"/>
      <c r="BM181" s="31"/>
      <c r="BN181" s="31"/>
      <c r="BO181" s="31"/>
      <c r="BP181" s="32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1"/>
      <c r="FV181" s="31"/>
      <c r="FW181" s="31"/>
      <c r="FX181" s="31"/>
      <c r="FY181" s="31"/>
      <c r="FZ181" s="31"/>
      <c r="GA181" s="31"/>
      <c r="GB181" s="31"/>
      <c r="GC181" s="31"/>
      <c r="GD181" s="31"/>
      <c r="GE181" s="31"/>
      <c r="GF181" s="31"/>
      <c r="GG181" s="31"/>
      <c r="GH181" s="31"/>
      <c r="GI181" s="31"/>
      <c r="GJ181" s="31"/>
      <c r="GK181" s="31"/>
      <c r="GL181" s="31"/>
      <c r="GM181" s="31"/>
      <c r="GN181" s="31"/>
      <c r="GO181" s="31"/>
      <c r="GP181" s="31"/>
      <c r="GQ181" s="31"/>
      <c r="GR181" s="31"/>
      <c r="GS181" s="31"/>
      <c r="GT181" s="31"/>
      <c r="GU181" s="31"/>
      <c r="GV181" s="31"/>
      <c r="GW181" s="31"/>
      <c r="GX181" s="31"/>
      <c r="GY181" s="31"/>
      <c r="GZ181" s="31"/>
      <c r="HA181" s="31"/>
      <c r="HB181" s="31"/>
      <c r="HC181" s="31"/>
      <c r="HD181" s="31"/>
      <c r="HE181" s="31"/>
      <c r="HF181" s="31"/>
      <c r="HG181" s="31"/>
      <c r="HH181" s="31"/>
      <c r="HI181" s="31"/>
      <c r="HJ181" s="31"/>
      <c r="HK181" s="31"/>
      <c r="HL181" s="31"/>
      <c r="HM181" s="31"/>
      <c r="HN181" s="31"/>
      <c r="HO181" s="31"/>
      <c r="HP181" s="31"/>
      <c r="HQ181" s="31"/>
      <c r="HR181" s="31"/>
      <c r="HS181" s="31"/>
      <c r="HT181" s="31"/>
      <c r="HU181" s="31"/>
      <c r="HV181" s="31"/>
      <c r="HW181" s="31"/>
      <c r="HX181" s="31"/>
      <c r="HY181" s="31"/>
      <c r="HZ181" s="31"/>
      <c r="IA181" s="31"/>
      <c r="IB181" s="31"/>
      <c r="IC181" s="31"/>
      <c r="ID181" s="31"/>
      <c r="IE181" s="31"/>
      <c r="IF181" s="31"/>
      <c r="IG181" s="31"/>
      <c r="IH181" s="31"/>
      <c r="II181" s="31"/>
      <c r="IJ181" s="31"/>
      <c r="IK181" s="31"/>
      <c r="IL181" s="31"/>
      <c r="IM181" s="31"/>
      <c r="IN181" s="31"/>
      <c r="IO181" s="31"/>
      <c r="IP181" s="31"/>
      <c r="IQ181" s="31"/>
      <c r="IR181" s="31"/>
      <c r="IS181" s="31"/>
      <c r="IT181" s="31"/>
      <c r="IU181" s="31"/>
      <c r="IV181" s="31"/>
      <c r="IW181" s="31"/>
      <c r="IX181" s="31"/>
      <c r="IY181" s="31"/>
      <c r="IZ181" s="31"/>
      <c r="JA181" s="31"/>
      <c r="JB181" s="31"/>
      <c r="JC181" s="31"/>
      <c r="JD181" s="31"/>
      <c r="JE181" s="31"/>
      <c r="JF181" s="31"/>
    </row>
    <row r="182" customFormat="1" ht="17.25" spans="1:266">
      <c r="A182" s="32">
        <f>40000000+INDEX(编号表!$B:$B,MATCH(B182,编号表!$A:$A,0))*10000+C182</f>
        <v>40080003</v>
      </c>
      <c r="B182" s="27" t="s">
        <v>616</v>
      </c>
      <c r="C182" s="32">
        <v>3</v>
      </c>
      <c r="D182" s="32" t="s">
        <v>615</v>
      </c>
      <c r="E182" s="32" t="s">
        <v>617</v>
      </c>
      <c r="F182" s="31">
        <f t="shared" si="20"/>
        <v>0</v>
      </c>
      <c r="G182" s="31"/>
      <c r="H182" s="32"/>
      <c r="I182" s="32"/>
      <c r="J182" s="32">
        <f t="shared" si="12"/>
        <v>0</v>
      </c>
      <c r="K182" s="32"/>
      <c r="L182" s="32"/>
      <c r="M182" s="31"/>
      <c r="N182" s="31"/>
      <c r="O182" s="31"/>
      <c r="P182" s="32"/>
      <c r="Q182" s="32"/>
      <c r="R182" s="31"/>
      <c r="S182" s="32"/>
      <c r="T182" s="32"/>
      <c r="U182" s="31"/>
      <c r="V182" s="31"/>
      <c r="W182" s="31"/>
      <c r="X182" s="32"/>
      <c r="Y182" s="32"/>
      <c r="Z182" s="31"/>
      <c r="AA182" s="32"/>
      <c r="AB182" s="32"/>
      <c r="AC182" s="31"/>
      <c r="AD182" s="31"/>
      <c r="AE182" s="31"/>
      <c r="AF182" s="32"/>
      <c r="AG182" s="32"/>
      <c r="AH182" s="31"/>
      <c r="AI182" s="31"/>
      <c r="AJ182" s="32"/>
      <c r="AK182" s="31"/>
      <c r="AL182" s="31"/>
      <c r="AM182" s="31"/>
      <c r="AN182" s="31"/>
      <c r="AO182" s="31"/>
      <c r="AP182" s="31"/>
      <c r="AQ182" s="31"/>
      <c r="AR182" s="32"/>
      <c r="AS182" s="31"/>
      <c r="AT182" s="31"/>
      <c r="AU182" s="31"/>
      <c r="AV182" s="31"/>
      <c r="AW182" s="31"/>
      <c r="AX182" s="31"/>
      <c r="AY182" s="31"/>
      <c r="AZ182" s="32"/>
      <c r="BA182" s="31"/>
      <c r="BB182" s="31"/>
      <c r="BC182" s="31"/>
      <c r="BD182" s="31"/>
      <c r="BE182" s="31"/>
      <c r="BF182" s="31"/>
      <c r="BG182" s="31"/>
      <c r="BH182" s="32"/>
      <c r="BI182" s="31"/>
      <c r="BJ182" s="31"/>
      <c r="BK182" s="31"/>
      <c r="BL182" s="31"/>
      <c r="BM182" s="31"/>
      <c r="BN182" s="31"/>
      <c r="BO182" s="31"/>
      <c r="BP182" s="32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  <c r="GI182" s="31"/>
      <c r="GJ182" s="31"/>
      <c r="GK182" s="31"/>
      <c r="GL182" s="31"/>
      <c r="GM182" s="31"/>
      <c r="GN182" s="31"/>
      <c r="GO182" s="31"/>
      <c r="GP182" s="31"/>
      <c r="GQ182" s="31"/>
      <c r="GR182" s="31"/>
      <c r="GS182" s="31"/>
      <c r="GT182" s="31"/>
      <c r="GU182" s="31"/>
      <c r="GV182" s="31"/>
      <c r="GW182" s="31"/>
      <c r="GX182" s="31"/>
      <c r="GY182" s="31"/>
      <c r="GZ182" s="31"/>
      <c r="HA182" s="31"/>
      <c r="HB182" s="31"/>
      <c r="HC182" s="31"/>
      <c r="HD182" s="31"/>
      <c r="HE182" s="31"/>
      <c r="HF182" s="31"/>
      <c r="HG182" s="31"/>
      <c r="HH182" s="31"/>
      <c r="HI182" s="31"/>
      <c r="HJ182" s="31"/>
      <c r="HK182" s="31"/>
      <c r="HL182" s="31"/>
      <c r="HM182" s="31"/>
      <c r="HN182" s="31"/>
      <c r="HO182" s="31"/>
      <c r="HP182" s="31"/>
      <c r="HQ182" s="31"/>
      <c r="HR182" s="31"/>
      <c r="HS182" s="31"/>
      <c r="HT182" s="31"/>
      <c r="HU182" s="31"/>
      <c r="HV182" s="31"/>
      <c r="HW182" s="31"/>
      <c r="HX182" s="31"/>
      <c r="HY182" s="31"/>
      <c r="HZ182" s="31"/>
      <c r="IA182" s="31"/>
      <c r="IB182" s="31"/>
      <c r="IC182" s="31"/>
      <c r="ID182" s="31"/>
      <c r="IE182" s="31"/>
      <c r="IF182" s="31"/>
      <c r="IG182" s="31"/>
      <c r="IH182" s="31"/>
      <c r="II182" s="31"/>
      <c r="IJ182" s="31"/>
      <c r="IK182" s="31"/>
      <c r="IL182" s="31"/>
      <c r="IM182" s="31"/>
      <c r="IN182" s="31"/>
      <c r="IO182" s="31"/>
      <c r="IP182" s="31"/>
      <c r="IQ182" s="31"/>
      <c r="IR182" s="31"/>
      <c r="IS182" s="31"/>
      <c r="IT182" s="31"/>
      <c r="IU182" s="31"/>
      <c r="IV182" s="31"/>
      <c r="IW182" s="31"/>
      <c r="IX182" s="31"/>
      <c r="IY182" s="31"/>
      <c r="IZ182" s="31"/>
      <c r="JA182" s="31"/>
      <c r="JB182" s="31"/>
      <c r="JC182" s="31"/>
      <c r="JD182" s="31"/>
      <c r="JE182" s="31"/>
      <c r="JF182" s="31"/>
    </row>
    <row r="183" customFormat="1" ht="17.25" spans="1:266">
      <c r="A183" s="32">
        <f>40000000+INDEX(编号表!$B:$B,MATCH(B183,编号表!$A:$A,0))*10000+C183</f>
        <v>40080004</v>
      </c>
      <c r="B183" s="27" t="s">
        <v>616</v>
      </c>
      <c r="C183" s="32">
        <v>4</v>
      </c>
      <c r="D183" s="32" t="s">
        <v>602</v>
      </c>
      <c r="E183" s="32" t="s">
        <v>617</v>
      </c>
      <c r="F183" s="31">
        <f t="shared" si="20"/>
        <v>0</v>
      </c>
      <c r="G183" s="31"/>
      <c r="H183" s="32"/>
      <c r="I183" s="32"/>
      <c r="J183" s="32">
        <f t="shared" si="12"/>
        <v>0</v>
      </c>
      <c r="K183" s="32"/>
      <c r="L183" s="32"/>
      <c r="M183" s="31"/>
      <c r="N183" s="31"/>
      <c r="O183" s="31"/>
      <c r="P183" s="32"/>
      <c r="Q183" s="32"/>
      <c r="R183" s="31"/>
      <c r="S183" s="32"/>
      <c r="T183" s="32"/>
      <c r="U183" s="31"/>
      <c r="V183" s="31"/>
      <c r="W183" s="31"/>
      <c r="X183" s="32"/>
      <c r="Y183" s="32"/>
      <c r="Z183" s="31"/>
      <c r="AA183" s="32"/>
      <c r="AB183" s="32"/>
      <c r="AC183" s="31"/>
      <c r="AD183" s="31"/>
      <c r="AE183" s="31"/>
      <c r="AF183" s="32"/>
      <c r="AG183" s="32"/>
      <c r="AH183" s="31"/>
      <c r="AI183" s="31"/>
      <c r="AJ183" s="32"/>
      <c r="AK183" s="31"/>
      <c r="AL183" s="31"/>
      <c r="AM183" s="31"/>
      <c r="AN183" s="31"/>
      <c r="AO183" s="31"/>
      <c r="AP183" s="31"/>
      <c r="AQ183" s="31"/>
      <c r="AR183" s="32"/>
      <c r="AS183" s="31"/>
      <c r="AT183" s="31"/>
      <c r="AU183" s="31"/>
      <c r="AV183" s="31"/>
      <c r="AW183" s="31"/>
      <c r="AX183" s="31"/>
      <c r="AY183" s="31"/>
      <c r="AZ183" s="32"/>
      <c r="BA183" s="31"/>
      <c r="BB183" s="31"/>
      <c r="BC183" s="31"/>
      <c r="BD183" s="31"/>
      <c r="BE183" s="31"/>
      <c r="BF183" s="31"/>
      <c r="BG183" s="31"/>
      <c r="BH183" s="32"/>
      <c r="BI183" s="31"/>
      <c r="BJ183" s="31"/>
      <c r="BK183" s="31"/>
      <c r="BL183" s="31"/>
      <c r="BM183" s="31"/>
      <c r="BN183" s="31"/>
      <c r="BO183" s="31"/>
      <c r="BP183" s="32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  <c r="GI183" s="31"/>
      <c r="GJ183" s="31"/>
      <c r="GK183" s="31"/>
      <c r="GL183" s="31"/>
      <c r="GM183" s="31"/>
      <c r="GN183" s="31"/>
      <c r="GO183" s="31"/>
      <c r="GP183" s="31"/>
      <c r="GQ183" s="31"/>
      <c r="GR183" s="31"/>
      <c r="GS183" s="31"/>
      <c r="GT183" s="31"/>
      <c r="GU183" s="31"/>
      <c r="GV183" s="31"/>
      <c r="GW183" s="31"/>
      <c r="GX183" s="31"/>
      <c r="GY183" s="31"/>
      <c r="GZ183" s="31"/>
      <c r="HA183" s="31"/>
      <c r="HB183" s="31"/>
      <c r="HC183" s="31"/>
      <c r="HD183" s="31"/>
      <c r="HE183" s="31"/>
      <c r="HF183" s="31"/>
      <c r="HG183" s="31"/>
      <c r="HH183" s="31"/>
      <c r="HI183" s="31"/>
      <c r="HJ183" s="31"/>
      <c r="HK183" s="31"/>
      <c r="HL183" s="31"/>
      <c r="HM183" s="31"/>
      <c r="HN183" s="31"/>
      <c r="HO183" s="31"/>
      <c r="HP183" s="31"/>
      <c r="HQ183" s="31"/>
      <c r="HR183" s="31"/>
      <c r="HS183" s="31"/>
      <c r="HT183" s="31"/>
      <c r="HU183" s="31"/>
      <c r="HV183" s="31"/>
      <c r="HW183" s="31"/>
      <c r="HX183" s="31"/>
      <c r="HY183" s="31"/>
      <c r="HZ183" s="31"/>
      <c r="IA183" s="31"/>
      <c r="IB183" s="31"/>
      <c r="IC183" s="31"/>
      <c r="ID183" s="31"/>
      <c r="IE183" s="31"/>
      <c r="IF183" s="31"/>
      <c r="IG183" s="31"/>
      <c r="IH183" s="31"/>
      <c r="II183" s="31"/>
      <c r="IJ183" s="31"/>
      <c r="IK183" s="31"/>
      <c r="IL183" s="31"/>
      <c r="IM183" s="31"/>
      <c r="IN183" s="31"/>
      <c r="IO183" s="31"/>
      <c r="IP183" s="31"/>
      <c r="IQ183" s="31"/>
      <c r="IR183" s="31"/>
      <c r="IS183" s="31"/>
      <c r="IT183" s="31"/>
      <c r="IU183" s="31"/>
      <c r="IV183" s="31"/>
      <c r="IW183" s="31"/>
      <c r="IX183" s="31"/>
      <c r="IY183" s="31"/>
      <c r="IZ183" s="31"/>
      <c r="JA183" s="31"/>
      <c r="JB183" s="31"/>
      <c r="JC183" s="31"/>
      <c r="JD183" s="31"/>
      <c r="JE183" s="31"/>
      <c r="JF183" s="31"/>
    </row>
    <row r="184" customFormat="1" ht="17.25" spans="1:266">
      <c r="A184" s="32">
        <f>40000000+INDEX(编号表!$B:$B,MATCH(B184,编号表!$A:$A,0))*10000+C184</f>
        <v>40080005</v>
      </c>
      <c r="B184" s="27" t="s">
        <v>616</v>
      </c>
      <c r="C184" s="32">
        <v>5</v>
      </c>
      <c r="D184" s="32" t="s">
        <v>604</v>
      </c>
      <c r="E184" s="32" t="s">
        <v>617</v>
      </c>
      <c r="F184" s="31">
        <f t="shared" si="20"/>
        <v>0</v>
      </c>
      <c r="G184" s="31"/>
      <c r="H184" s="32"/>
      <c r="I184" s="32"/>
      <c r="J184" s="32">
        <f t="shared" si="12"/>
        <v>0</v>
      </c>
      <c r="K184" s="32"/>
      <c r="L184" s="32"/>
      <c r="M184" s="31"/>
      <c r="N184" s="31"/>
      <c r="O184" s="31"/>
      <c r="P184" s="32"/>
      <c r="Q184" s="32"/>
      <c r="R184" s="31"/>
      <c r="S184" s="32"/>
      <c r="T184" s="32"/>
      <c r="U184" s="31"/>
      <c r="V184" s="31"/>
      <c r="W184" s="31"/>
      <c r="X184" s="32"/>
      <c r="Y184" s="32"/>
      <c r="Z184" s="31"/>
      <c r="AA184" s="32"/>
      <c r="AB184" s="32"/>
      <c r="AC184" s="31"/>
      <c r="AD184" s="31"/>
      <c r="AE184" s="31"/>
      <c r="AF184" s="32"/>
      <c r="AG184" s="32"/>
      <c r="AH184" s="31"/>
      <c r="AI184" s="31"/>
      <c r="AJ184" s="32"/>
      <c r="AK184" s="31"/>
      <c r="AL184" s="31"/>
      <c r="AM184" s="31"/>
      <c r="AN184" s="31"/>
      <c r="AO184" s="31"/>
      <c r="AP184" s="31"/>
      <c r="AQ184" s="31"/>
      <c r="AR184" s="32"/>
      <c r="AS184" s="31"/>
      <c r="AT184" s="31"/>
      <c r="AU184" s="31"/>
      <c r="AV184" s="31"/>
      <c r="AW184" s="31"/>
      <c r="AX184" s="31"/>
      <c r="AY184" s="31"/>
      <c r="AZ184" s="32"/>
      <c r="BA184" s="31"/>
      <c r="BB184" s="31"/>
      <c r="BC184" s="31"/>
      <c r="BD184" s="31"/>
      <c r="BE184" s="31"/>
      <c r="BF184" s="31"/>
      <c r="BG184" s="31"/>
      <c r="BH184" s="32"/>
      <c r="BI184" s="31"/>
      <c r="BJ184" s="31"/>
      <c r="BK184" s="31"/>
      <c r="BL184" s="31"/>
      <c r="BM184" s="31"/>
      <c r="BN184" s="31"/>
      <c r="BO184" s="31"/>
      <c r="BP184" s="32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  <c r="HE184" s="31"/>
      <c r="HF184" s="31"/>
      <c r="HG184" s="31"/>
      <c r="HH184" s="31"/>
      <c r="HI184" s="31"/>
      <c r="HJ184" s="31"/>
      <c r="HK184" s="31"/>
      <c r="HL184" s="31"/>
      <c r="HM184" s="31"/>
      <c r="HN184" s="31"/>
      <c r="HO184" s="31"/>
      <c r="HP184" s="31"/>
      <c r="HQ184" s="31"/>
      <c r="HR184" s="31"/>
      <c r="HS184" s="31"/>
      <c r="HT184" s="31"/>
      <c r="HU184" s="31"/>
      <c r="HV184" s="31"/>
      <c r="HW184" s="31"/>
      <c r="HX184" s="31"/>
      <c r="HY184" s="31"/>
      <c r="HZ184" s="31"/>
      <c r="IA184" s="31"/>
      <c r="IB184" s="31"/>
      <c r="IC184" s="31"/>
      <c r="ID184" s="31"/>
      <c r="IE184" s="31"/>
      <c r="IF184" s="31"/>
      <c r="IG184" s="31"/>
      <c r="IH184" s="31"/>
      <c r="II184" s="31"/>
      <c r="IJ184" s="31"/>
      <c r="IK184" s="31"/>
      <c r="IL184" s="31"/>
      <c r="IM184" s="31"/>
      <c r="IN184" s="31"/>
      <c r="IO184" s="31"/>
      <c r="IP184" s="31"/>
      <c r="IQ184" s="31"/>
      <c r="IR184" s="31"/>
      <c r="IS184" s="31"/>
      <c r="IT184" s="31"/>
      <c r="IU184" s="31"/>
      <c r="IV184" s="31"/>
      <c r="IW184" s="31"/>
      <c r="IX184" s="31"/>
      <c r="IY184" s="31"/>
      <c r="IZ184" s="31"/>
      <c r="JA184" s="31"/>
      <c r="JB184" s="31"/>
      <c r="JC184" s="31"/>
      <c r="JD184" s="31"/>
      <c r="JE184" s="31"/>
      <c r="JF184" s="31"/>
    </row>
    <row r="185" customFormat="1" ht="17.25" spans="1:266">
      <c r="A185" s="32">
        <f>40000000+INDEX(编号表!$B:$B,MATCH(B185,编号表!$A:$A,0))*10000+C185</f>
        <v>40080006</v>
      </c>
      <c r="B185" s="27" t="s">
        <v>616</v>
      </c>
      <c r="C185" s="32">
        <v>6</v>
      </c>
      <c r="D185" s="32" t="s">
        <v>605</v>
      </c>
      <c r="E185" s="32" t="s">
        <v>617</v>
      </c>
      <c r="F185" s="31">
        <f t="shared" si="20"/>
        <v>0</v>
      </c>
      <c r="G185" s="31"/>
      <c r="H185" s="32"/>
      <c r="I185" s="32"/>
      <c r="J185" s="32">
        <f t="shared" si="12"/>
        <v>0</v>
      </c>
      <c r="K185" s="32"/>
      <c r="L185" s="32"/>
      <c r="M185" s="31"/>
      <c r="N185" s="31"/>
      <c r="O185" s="31"/>
      <c r="P185" s="32"/>
      <c r="Q185" s="32"/>
      <c r="R185" s="31"/>
      <c r="S185" s="32"/>
      <c r="T185" s="32"/>
      <c r="U185" s="31"/>
      <c r="V185" s="31"/>
      <c r="W185" s="31"/>
      <c r="X185" s="32"/>
      <c r="Y185" s="32"/>
      <c r="Z185" s="31"/>
      <c r="AA185" s="32"/>
      <c r="AB185" s="32"/>
      <c r="AC185" s="31"/>
      <c r="AD185" s="31"/>
      <c r="AE185" s="31"/>
      <c r="AF185" s="32"/>
      <c r="AG185" s="32"/>
      <c r="AH185" s="31"/>
      <c r="AI185" s="31"/>
      <c r="AJ185" s="32"/>
      <c r="AK185" s="31"/>
      <c r="AL185" s="31"/>
      <c r="AM185" s="31"/>
      <c r="AN185" s="31"/>
      <c r="AO185" s="31"/>
      <c r="AP185" s="31"/>
      <c r="AQ185" s="31"/>
      <c r="AR185" s="32"/>
      <c r="AS185" s="31"/>
      <c r="AT185" s="31"/>
      <c r="AU185" s="31"/>
      <c r="AV185" s="31"/>
      <c r="AW185" s="31"/>
      <c r="AX185" s="31"/>
      <c r="AY185" s="31"/>
      <c r="AZ185" s="32"/>
      <c r="BA185" s="31"/>
      <c r="BB185" s="31"/>
      <c r="BC185" s="31"/>
      <c r="BD185" s="31"/>
      <c r="BE185" s="31"/>
      <c r="BF185" s="31"/>
      <c r="BG185" s="31"/>
      <c r="BH185" s="32"/>
      <c r="BI185" s="31"/>
      <c r="BJ185" s="31"/>
      <c r="BK185" s="31"/>
      <c r="BL185" s="31"/>
      <c r="BM185" s="31"/>
      <c r="BN185" s="31"/>
      <c r="BO185" s="31"/>
      <c r="BP185" s="32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  <c r="GI185" s="31"/>
      <c r="GJ185" s="31"/>
      <c r="GK185" s="31"/>
      <c r="GL185" s="31"/>
      <c r="GM185" s="31"/>
      <c r="GN185" s="31"/>
      <c r="GO185" s="31"/>
      <c r="GP185" s="31"/>
      <c r="GQ185" s="31"/>
      <c r="GR185" s="31"/>
      <c r="GS185" s="31"/>
      <c r="GT185" s="31"/>
      <c r="GU185" s="31"/>
      <c r="GV185" s="31"/>
      <c r="GW185" s="31"/>
      <c r="GX185" s="31"/>
      <c r="GY185" s="31"/>
      <c r="GZ185" s="31"/>
      <c r="HA185" s="31"/>
      <c r="HB185" s="31"/>
      <c r="HC185" s="31"/>
      <c r="HD185" s="31"/>
      <c r="HE185" s="31"/>
      <c r="HF185" s="31"/>
      <c r="HG185" s="31"/>
      <c r="HH185" s="31"/>
      <c r="HI185" s="31"/>
      <c r="HJ185" s="31"/>
      <c r="HK185" s="31"/>
      <c r="HL185" s="31"/>
      <c r="HM185" s="31"/>
      <c r="HN185" s="31"/>
      <c r="HO185" s="31"/>
      <c r="HP185" s="31"/>
      <c r="HQ185" s="31"/>
      <c r="HR185" s="31"/>
      <c r="HS185" s="31"/>
      <c r="HT185" s="31"/>
      <c r="HU185" s="31"/>
      <c r="HV185" s="31"/>
      <c r="HW185" s="31"/>
      <c r="HX185" s="31"/>
      <c r="HY185" s="31"/>
      <c r="HZ185" s="31"/>
      <c r="IA185" s="31"/>
      <c r="IB185" s="31"/>
      <c r="IC185" s="31"/>
      <c r="ID185" s="31"/>
      <c r="IE185" s="31"/>
      <c r="IF185" s="31"/>
      <c r="IG185" s="31"/>
      <c r="IH185" s="31"/>
      <c r="II185" s="31"/>
      <c r="IJ185" s="31"/>
      <c r="IK185" s="31"/>
      <c r="IL185" s="31"/>
      <c r="IM185" s="31"/>
      <c r="IN185" s="31"/>
      <c r="IO185" s="31"/>
      <c r="IP185" s="31"/>
      <c r="IQ185" s="31"/>
      <c r="IR185" s="31"/>
      <c r="IS185" s="31"/>
      <c r="IT185" s="31"/>
      <c r="IU185" s="31"/>
      <c r="IV185" s="31"/>
      <c r="IW185" s="31"/>
      <c r="IX185" s="31"/>
      <c r="IY185" s="31"/>
      <c r="IZ185" s="31"/>
      <c r="JA185" s="31"/>
      <c r="JB185" s="31"/>
      <c r="JC185" s="31"/>
      <c r="JD185" s="31"/>
      <c r="JE185" s="31"/>
      <c r="JF185" s="31"/>
    </row>
    <row r="186" customFormat="1" ht="17.25" spans="1:266">
      <c r="A186" s="32">
        <f>40000000+INDEX(编号表!$B:$B,MATCH(B186,编号表!$A:$A,0))*10000+C186</f>
        <v>40080007</v>
      </c>
      <c r="B186" s="27" t="s">
        <v>616</v>
      </c>
      <c r="C186" s="32">
        <v>7</v>
      </c>
      <c r="D186" s="32" t="s">
        <v>606</v>
      </c>
      <c r="E186" s="32" t="s">
        <v>617</v>
      </c>
      <c r="F186" s="31">
        <f t="shared" si="20"/>
        <v>0</v>
      </c>
      <c r="G186" s="31"/>
      <c r="H186" s="32"/>
      <c r="I186" s="32"/>
      <c r="J186" s="32">
        <f t="shared" si="12"/>
        <v>0</v>
      </c>
      <c r="K186" s="32"/>
      <c r="L186" s="32"/>
      <c r="M186" s="31"/>
      <c r="N186" s="31"/>
      <c r="O186" s="31"/>
      <c r="P186" s="32"/>
      <c r="Q186" s="32"/>
      <c r="R186" s="31"/>
      <c r="S186" s="32"/>
      <c r="T186" s="32"/>
      <c r="U186" s="31"/>
      <c r="V186" s="31"/>
      <c r="W186" s="31"/>
      <c r="X186" s="32"/>
      <c r="Y186" s="32"/>
      <c r="Z186" s="31"/>
      <c r="AA186" s="32"/>
      <c r="AB186" s="32"/>
      <c r="AC186" s="31"/>
      <c r="AD186" s="31"/>
      <c r="AE186" s="31"/>
      <c r="AF186" s="32"/>
      <c r="AG186" s="32"/>
      <c r="AH186" s="31"/>
      <c r="AI186" s="31"/>
      <c r="AJ186" s="32"/>
      <c r="AK186" s="31"/>
      <c r="AL186" s="31"/>
      <c r="AM186" s="31"/>
      <c r="AN186" s="31"/>
      <c r="AO186" s="31"/>
      <c r="AP186" s="31"/>
      <c r="AQ186" s="31"/>
      <c r="AR186" s="32"/>
      <c r="AS186" s="31"/>
      <c r="AT186" s="31"/>
      <c r="AU186" s="31"/>
      <c r="AV186" s="31"/>
      <c r="AW186" s="31"/>
      <c r="AX186" s="31"/>
      <c r="AY186" s="31"/>
      <c r="AZ186" s="32"/>
      <c r="BA186" s="31"/>
      <c r="BB186" s="31"/>
      <c r="BC186" s="31"/>
      <c r="BD186" s="31"/>
      <c r="BE186" s="31"/>
      <c r="BF186" s="31"/>
      <c r="BG186" s="31"/>
      <c r="BH186" s="32"/>
      <c r="BI186" s="31"/>
      <c r="BJ186" s="31"/>
      <c r="BK186" s="31"/>
      <c r="BL186" s="31"/>
      <c r="BM186" s="31"/>
      <c r="BN186" s="31"/>
      <c r="BO186" s="31"/>
      <c r="BP186" s="32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  <c r="HE186" s="31"/>
      <c r="HF186" s="31"/>
      <c r="HG186" s="31"/>
      <c r="HH186" s="31"/>
      <c r="HI186" s="31"/>
      <c r="HJ186" s="31"/>
      <c r="HK186" s="31"/>
      <c r="HL186" s="31"/>
      <c r="HM186" s="31"/>
      <c r="HN186" s="31"/>
      <c r="HO186" s="31"/>
      <c r="HP186" s="31"/>
      <c r="HQ186" s="31"/>
      <c r="HR186" s="31"/>
      <c r="HS186" s="31"/>
      <c r="HT186" s="31"/>
      <c r="HU186" s="31"/>
      <c r="HV186" s="31"/>
      <c r="HW186" s="31"/>
      <c r="HX186" s="31"/>
      <c r="HY186" s="31"/>
      <c r="HZ186" s="31"/>
      <c r="IA186" s="31"/>
      <c r="IB186" s="31"/>
      <c r="IC186" s="31"/>
      <c r="ID186" s="31"/>
      <c r="IE186" s="31"/>
      <c r="IF186" s="31"/>
      <c r="IG186" s="31"/>
      <c r="IH186" s="31"/>
      <c r="II186" s="31"/>
      <c r="IJ186" s="31"/>
      <c r="IK186" s="31"/>
      <c r="IL186" s="31"/>
      <c r="IM186" s="31"/>
      <c r="IN186" s="31"/>
      <c r="IO186" s="31"/>
      <c r="IP186" s="31"/>
      <c r="IQ186" s="31"/>
      <c r="IR186" s="31"/>
      <c r="IS186" s="31"/>
      <c r="IT186" s="31"/>
      <c r="IU186" s="31"/>
      <c r="IV186" s="31"/>
      <c r="IW186" s="31"/>
      <c r="IX186" s="31"/>
      <c r="IY186" s="31"/>
      <c r="IZ186" s="31"/>
      <c r="JA186" s="31"/>
      <c r="JB186" s="31"/>
      <c r="JC186" s="31"/>
      <c r="JD186" s="31"/>
      <c r="JE186" s="31"/>
      <c r="JF186" s="31"/>
    </row>
    <row r="187" customFormat="1" ht="17.25" spans="1:266">
      <c r="A187" s="32">
        <f>40000000+INDEX(编号表!$B:$B,MATCH(B187,编号表!$A:$A,0))*10000+C187</f>
        <v>40080008</v>
      </c>
      <c r="B187" s="27" t="s">
        <v>616</v>
      </c>
      <c r="C187" s="32">
        <v>8</v>
      </c>
      <c r="D187" s="32" t="s">
        <v>607</v>
      </c>
      <c r="E187" s="32" t="s">
        <v>617</v>
      </c>
      <c r="F187" s="31">
        <f t="shared" si="20"/>
        <v>0</v>
      </c>
      <c r="G187" s="31"/>
      <c r="H187" s="32"/>
      <c r="I187" s="32"/>
      <c r="J187" s="32">
        <f t="shared" si="12"/>
        <v>0</v>
      </c>
      <c r="K187" s="32"/>
      <c r="L187" s="32"/>
      <c r="M187" s="31"/>
      <c r="N187" s="31"/>
      <c r="O187" s="31"/>
      <c r="P187" s="32"/>
      <c r="Q187" s="32"/>
      <c r="R187" s="31"/>
      <c r="S187" s="32"/>
      <c r="T187" s="32"/>
      <c r="U187" s="31"/>
      <c r="V187" s="31"/>
      <c r="W187" s="31"/>
      <c r="X187" s="32"/>
      <c r="Y187" s="32"/>
      <c r="Z187" s="31"/>
      <c r="AA187" s="32"/>
      <c r="AB187" s="32"/>
      <c r="AC187" s="31"/>
      <c r="AD187" s="31"/>
      <c r="AE187" s="31"/>
      <c r="AF187" s="32"/>
      <c r="AG187" s="32"/>
      <c r="AH187" s="31"/>
      <c r="AI187" s="31"/>
      <c r="AJ187" s="32"/>
      <c r="AK187" s="31"/>
      <c r="AL187" s="31"/>
      <c r="AM187" s="31"/>
      <c r="AN187" s="31"/>
      <c r="AO187" s="31"/>
      <c r="AP187" s="31"/>
      <c r="AQ187" s="31"/>
      <c r="AR187" s="32"/>
      <c r="AS187" s="31"/>
      <c r="AT187" s="31"/>
      <c r="AU187" s="31"/>
      <c r="AV187" s="31"/>
      <c r="AW187" s="31"/>
      <c r="AX187" s="31"/>
      <c r="AY187" s="31"/>
      <c r="AZ187" s="32"/>
      <c r="BA187" s="31"/>
      <c r="BB187" s="31"/>
      <c r="BC187" s="31"/>
      <c r="BD187" s="31"/>
      <c r="BE187" s="31"/>
      <c r="BF187" s="31"/>
      <c r="BG187" s="31"/>
      <c r="BH187" s="32"/>
      <c r="BI187" s="31"/>
      <c r="BJ187" s="31"/>
      <c r="BK187" s="31"/>
      <c r="BL187" s="31"/>
      <c r="BM187" s="31"/>
      <c r="BN187" s="31"/>
      <c r="BO187" s="31"/>
      <c r="BP187" s="32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  <c r="HE187" s="31"/>
      <c r="HF187" s="31"/>
      <c r="HG187" s="31"/>
      <c r="HH187" s="31"/>
      <c r="HI187" s="31"/>
      <c r="HJ187" s="31"/>
      <c r="HK187" s="31"/>
      <c r="HL187" s="31"/>
      <c r="HM187" s="31"/>
      <c r="HN187" s="31"/>
      <c r="HO187" s="31"/>
      <c r="HP187" s="31"/>
      <c r="HQ187" s="31"/>
      <c r="HR187" s="31"/>
      <c r="HS187" s="31"/>
      <c r="HT187" s="31"/>
      <c r="HU187" s="31"/>
      <c r="HV187" s="31"/>
      <c r="HW187" s="31"/>
      <c r="HX187" s="31"/>
      <c r="HY187" s="31"/>
      <c r="HZ187" s="31"/>
      <c r="IA187" s="31"/>
      <c r="IB187" s="31"/>
      <c r="IC187" s="31"/>
      <c r="ID187" s="31"/>
      <c r="IE187" s="31"/>
      <c r="IF187" s="31"/>
      <c r="IG187" s="31"/>
      <c r="IH187" s="31"/>
      <c r="II187" s="31"/>
      <c r="IJ187" s="31"/>
      <c r="IK187" s="31"/>
      <c r="IL187" s="31"/>
      <c r="IM187" s="31"/>
      <c r="IN187" s="31"/>
      <c r="IO187" s="31"/>
      <c r="IP187" s="31"/>
      <c r="IQ187" s="31"/>
      <c r="IR187" s="31"/>
      <c r="IS187" s="31"/>
      <c r="IT187" s="31"/>
      <c r="IU187" s="31"/>
      <c r="IV187" s="31"/>
      <c r="IW187" s="31"/>
      <c r="IX187" s="31"/>
      <c r="IY187" s="31"/>
      <c r="IZ187" s="31"/>
      <c r="JA187" s="31"/>
      <c r="JB187" s="31"/>
      <c r="JC187" s="31"/>
      <c r="JD187" s="31"/>
      <c r="JE187" s="31"/>
      <c r="JF187" s="31"/>
    </row>
    <row r="188" customFormat="1" ht="17.25" spans="1:266">
      <c r="A188" s="32">
        <f>40000000+INDEX(编号表!$B:$B,MATCH(B188,编号表!$A:$A,0))*10000+C188</f>
        <v>40080009</v>
      </c>
      <c r="B188" s="27" t="s">
        <v>616</v>
      </c>
      <c r="C188" s="32">
        <v>9</v>
      </c>
      <c r="D188" s="32" t="s">
        <v>608</v>
      </c>
      <c r="E188" s="32" t="s">
        <v>617</v>
      </c>
      <c r="F188" s="31">
        <f t="shared" si="20"/>
        <v>0</v>
      </c>
      <c r="G188" s="31"/>
      <c r="H188" s="32"/>
      <c r="I188" s="32"/>
      <c r="J188" s="32">
        <f t="shared" si="12"/>
        <v>0</v>
      </c>
      <c r="K188" s="32"/>
      <c r="L188" s="32"/>
      <c r="M188" s="31"/>
      <c r="N188" s="31"/>
      <c r="O188" s="31"/>
      <c r="P188" s="32"/>
      <c r="Q188" s="32"/>
      <c r="R188" s="31"/>
      <c r="S188" s="32"/>
      <c r="T188" s="32"/>
      <c r="U188" s="31"/>
      <c r="V188" s="31"/>
      <c r="W188" s="31"/>
      <c r="X188" s="32"/>
      <c r="Y188" s="32"/>
      <c r="Z188" s="31"/>
      <c r="AA188" s="32"/>
      <c r="AB188" s="32"/>
      <c r="AC188" s="31"/>
      <c r="AD188" s="31"/>
      <c r="AE188" s="31"/>
      <c r="AF188" s="32"/>
      <c r="AG188" s="32"/>
      <c r="AH188" s="31"/>
      <c r="AI188" s="31"/>
      <c r="AJ188" s="32"/>
      <c r="AK188" s="31"/>
      <c r="AL188" s="31"/>
      <c r="AM188" s="31"/>
      <c r="AN188" s="31"/>
      <c r="AO188" s="31"/>
      <c r="AP188" s="31"/>
      <c r="AQ188" s="31"/>
      <c r="AR188" s="32"/>
      <c r="AS188" s="31"/>
      <c r="AT188" s="31"/>
      <c r="AU188" s="31"/>
      <c r="AV188" s="31"/>
      <c r="AW188" s="31"/>
      <c r="AX188" s="31"/>
      <c r="AY188" s="31"/>
      <c r="AZ188" s="32"/>
      <c r="BA188" s="31"/>
      <c r="BB188" s="31"/>
      <c r="BC188" s="31"/>
      <c r="BD188" s="31"/>
      <c r="BE188" s="31"/>
      <c r="BF188" s="31"/>
      <c r="BG188" s="31"/>
      <c r="BH188" s="32"/>
      <c r="BI188" s="31"/>
      <c r="BJ188" s="31"/>
      <c r="BK188" s="31"/>
      <c r="BL188" s="31"/>
      <c r="BM188" s="31"/>
      <c r="BN188" s="31"/>
      <c r="BO188" s="31"/>
      <c r="BP188" s="32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  <c r="GI188" s="31"/>
      <c r="GJ188" s="31"/>
      <c r="GK188" s="31"/>
      <c r="GL188" s="31"/>
      <c r="GM188" s="31"/>
      <c r="GN188" s="31"/>
      <c r="GO188" s="31"/>
      <c r="GP188" s="31"/>
      <c r="GQ188" s="31"/>
      <c r="GR188" s="31"/>
      <c r="GS188" s="31"/>
      <c r="GT188" s="31"/>
      <c r="GU188" s="31"/>
      <c r="GV188" s="31"/>
      <c r="GW188" s="31"/>
      <c r="GX188" s="31"/>
      <c r="GY188" s="31"/>
      <c r="GZ188" s="31"/>
      <c r="HA188" s="31"/>
      <c r="HB188" s="31"/>
      <c r="HC188" s="31"/>
      <c r="HD188" s="31"/>
      <c r="HE188" s="31"/>
      <c r="HF188" s="31"/>
      <c r="HG188" s="31"/>
      <c r="HH188" s="31"/>
      <c r="HI188" s="31"/>
      <c r="HJ188" s="31"/>
      <c r="HK188" s="31"/>
      <c r="HL188" s="31"/>
      <c r="HM188" s="31"/>
      <c r="HN188" s="31"/>
      <c r="HO188" s="31"/>
      <c r="HP188" s="31"/>
      <c r="HQ188" s="31"/>
      <c r="HR188" s="31"/>
      <c r="HS188" s="31"/>
      <c r="HT188" s="31"/>
      <c r="HU188" s="31"/>
      <c r="HV188" s="31"/>
      <c r="HW188" s="31"/>
      <c r="HX188" s="31"/>
      <c r="HY188" s="31"/>
      <c r="HZ188" s="31"/>
      <c r="IA188" s="31"/>
      <c r="IB188" s="31"/>
      <c r="IC188" s="31"/>
      <c r="ID188" s="31"/>
      <c r="IE188" s="31"/>
      <c r="IF188" s="31"/>
      <c r="IG188" s="31"/>
      <c r="IH188" s="31"/>
      <c r="II188" s="31"/>
      <c r="IJ188" s="31"/>
      <c r="IK188" s="31"/>
      <c r="IL188" s="31"/>
      <c r="IM188" s="31"/>
      <c r="IN188" s="31"/>
      <c r="IO188" s="31"/>
      <c r="IP188" s="31"/>
      <c r="IQ188" s="31"/>
      <c r="IR188" s="31"/>
      <c r="IS188" s="31"/>
      <c r="IT188" s="31"/>
      <c r="IU188" s="31"/>
      <c r="IV188" s="31"/>
      <c r="IW188" s="31"/>
      <c r="IX188" s="31"/>
      <c r="IY188" s="31"/>
      <c r="IZ188" s="31"/>
      <c r="JA188" s="31"/>
      <c r="JB188" s="31"/>
      <c r="JC188" s="31"/>
      <c r="JD188" s="31"/>
      <c r="JE188" s="31"/>
      <c r="JF188" s="31"/>
    </row>
    <row r="189" customFormat="1" ht="17.25" spans="1:266">
      <c r="A189" s="32">
        <f>40000000+INDEX(编号表!$B:$B,MATCH(B189,编号表!$A:$A,0))*10000+C189</f>
        <v>40080010</v>
      </c>
      <c r="B189" s="27" t="s">
        <v>616</v>
      </c>
      <c r="C189" s="32">
        <v>10</v>
      </c>
      <c r="D189" s="32" t="s">
        <v>609</v>
      </c>
      <c r="E189" s="32" t="s">
        <v>617</v>
      </c>
      <c r="F189" s="31">
        <f t="shared" si="20"/>
        <v>0</v>
      </c>
      <c r="G189" s="31"/>
      <c r="H189" s="32"/>
      <c r="I189" s="32"/>
      <c r="J189" s="32">
        <f t="shared" si="12"/>
        <v>0</v>
      </c>
      <c r="K189" s="32"/>
      <c r="L189" s="32"/>
      <c r="M189" s="31"/>
      <c r="N189" s="31"/>
      <c r="O189" s="31"/>
      <c r="P189" s="32"/>
      <c r="Q189" s="32"/>
      <c r="R189" s="31"/>
      <c r="S189" s="32"/>
      <c r="T189" s="32"/>
      <c r="U189" s="31"/>
      <c r="V189" s="31"/>
      <c r="W189" s="31"/>
      <c r="X189" s="32"/>
      <c r="Y189" s="32"/>
      <c r="Z189" s="31"/>
      <c r="AA189" s="32"/>
      <c r="AB189" s="32"/>
      <c r="AC189" s="31"/>
      <c r="AD189" s="31"/>
      <c r="AE189" s="31"/>
      <c r="AF189" s="32"/>
      <c r="AG189" s="32"/>
      <c r="AH189" s="31"/>
      <c r="AI189" s="31"/>
      <c r="AJ189" s="32"/>
      <c r="AK189" s="31"/>
      <c r="AL189" s="31"/>
      <c r="AM189" s="31"/>
      <c r="AN189" s="31"/>
      <c r="AO189" s="31"/>
      <c r="AP189" s="31"/>
      <c r="AQ189" s="31"/>
      <c r="AR189" s="32"/>
      <c r="AS189" s="31"/>
      <c r="AT189" s="31"/>
      <c r="AU189" s="31"/>
      <c r="AV189" s="31"/>
      <c r="AW189" s="31"/>
      <c r="AX189" s="31"/>
      <c r="AY189" s="31"/>
      <c r="AZ189" s="32"/>
      <c r="BA189" s="31"/>
      <c r="BB189" s="31"/>
      <c r="BC189" s="31"/>
      <c r="BD189" s="31"/>
      <c r="BE189" s="31"/>
      <c r="BF189" s="31"/>
      <c r="BG189" s="31"/>
      <c r="BH189" s="32"/>
      <c r="BI189" s="31"/>
      <c r="BJ189" s="31"/>
      <c r="BK189" s="31"/>
      <c r="BL189" s="31"/>
      <c r="BM189" s="31"/>
      <c r="BN189" s="31"/>
      <c r="BO189" s="31"/>
      <c r="BP189" s="32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  <c r="HI189" s="31"/>
      <c r="HJ189" s="31"/>
      <c r="HK189" s="31"/>
      <c r="HL189" s="31"/>
      <c r="HM189" s="31"/>
      <c r="HN189" s="31"/>
      <c r="HO189" s="31"/>
      <c r="HP189" s="31"/>
      <c r="HQ189" s="31"/>
      <c r="HR189" s="31"/>
      <c r="HS189" s="31"/>
      <c r="HT189" s="31"/>
      <c r="HU189" s="31"/>
      <c r="HV189" s="31"/>
      <c r="HW189" s="31"/>
      <c r="HX189" s="31"/>
      <c r="HY189" s="31"/>
      <c r="HZ189" s="31"/>
      <c r="IA189" s="31"/>
      <c r="IB189" s="31"/>
      <c r="IC189" s="31"/>
      <c r="ID189" s="31"/>
      <c r="IE189" s="31"/>
      <c r="IF189" s="31"/>
      <c r="IG189" s="31"/>
      <c r="IH189" s="31"/>
      <c r="II189" s="31"/>
      <c r="IJ189" s="31"/>
      <c r="IK189" s="31"/>
      <c r="IL189" s="31"/>
      <c r="IM189" s="31"/>
      <c r="IN189" s="31"/>
      <c r="IO189" s="31"/>
      <c r="IP189" s="31"/>
      <c r="IQ189" s="31"/>
      <c r="IR189" s="31"/>
      <c r="IS189" s="31"/>
      <c r="IT189" s="31"/>
      <c r="IU189" s="31"/>
      <c r="IV189" s="31"/>
      <c r="IW189" s="31"/>
      <c r="IX189" s="31"/>
      <c r="IY189" s="31"/>
      <c r="IZ189" s="31"/>
      <c r="JA189" s="31"/>
      <c r="JB189" s="31"/>
      <c r="JC189" s="31"/>
      <c r="JD189" s="31"/>
      <c r="JE189" s="31"/>
      <c r="JF189" s="31"/>
    </row>
    <row r="190" customFormat="1" ht="17.25" spans="1:266">
      <c r="A190" s="32">
        <f>40000000+INDEX(编号表!$B:$B,MATCH(B190,编号表!$A:$A,0))*10000+C190</f>
        <v>40080011</v>
      </c>
      <c r="B190" s="27" t="s">
        <v>616</v>
      </c>
      <c r="C190" s="32">
        <v>11</v>
      </c>
      <c r="D190" s="32" t="s">
        <v>610</v>
      </c>
      <c r="E190" s="32" t="s">
        <v>617</v>
      </c>
      <c r="F190" s="31">
        <f t="shared" si="20"/>
        <v>0</v>
      </c>
      <c r="G190" s="31"/>
      <c r="H190" s="32"/>
      <c r="I190" s="32"/>
      <c r="J190" s="32">
        <f t="shared" ref="J190:J201" si="21">COUNT(P190,X190,AF190,AN190,AV190,BD190,BL190,BT190,CB190,CJ190,CR190,CZ190,DH190,DP190,DX190,EF190,EN190,EV190,FD190,FL190,FT190,GB190,GJ190,GR190,GZ190,HH190,HP190,HX190,IF190,IN190,IV190,JD190)</f>
        <v>0</v>
      </c>
      <c r="K190" s="32"/>
      <c r="L190" s="32"/>
      <c r="M190" s="31"/>
      <c r="N190" s="31"/>
      <c r="O190" s="31"/>
      <c r="P190" s="32"/>
      <c r="Q190" s="32"/>
      <c r="R190" s="31"/>
      <c r="S190" s="32"/>
      <c r="T190" s="32"/>
      <c r="U190" s="31"/>
      <c r="V190" s="31"/>
      <c r="W190" s="31"/>
      <c r="X190" s="32"/>
      <c r="Y190" s="32"/>
      <c r="Z190" s="31"/>
      <c r="AA190" s="32"/>
      <c r="AB190" s="32"/>
      <c r="AC190" s="31"/>
      <c r="AD190" s="31"/>
      <c r="AE190" s="31"/>
      <c r="AF190" s="32"/>
      <c r="AG190" s="32"/>
      <c r="AH190" s="31"/>
      <c r="AI190" s="31"/>
      <c r="AJ190" s="32"/>
      <c r="AK190" s="31"/>
      <c r="AL190" s="31"/>
      <c r="AM190" s="31"/>
      <c r="AN190" s="31"/>
      <c r="AO190" s="31"/>
      <c r="AP190" s="31"/>
      <c r="AQ190" s="31"/>
      <c r="AR190" s="32"/>
      <c r="AS190" s="31"/>
      <c r="AT190" s="31"/>
      <c r="AU190" s="31"/>
      <c r="AV190" s="31"/>
      <c r="AW190" s="31"/>
      <c r="AX190" s="31"/>
      <c r="AY190" s="31"/>
      <c r="AZ190" s="32"/>
      <c r="BA190" s="31"/>
      <c r="BB190" s="31"/>
      <c r="BC190" s="31"/>
      <c r="BD190" s="31"/>
      <c r="BE190" s="31"/>
      <c r="BF190" s="31"/>
      <c r="BG190" s="31"/>
      <c r="BH190" s="32"/>
      <c r="BI190" s="31"/>
      <c r="BJ190" s="31"/>
      <c r="BK190" s="31"/>
      <c r="BL190" s="31"/>
      <c r="BM190" s="31"/>
      <c r="BN190" s="31"/>
      <c r="BO190" s="31"/>
      <c r="BP190" s="32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/>
      <c r="FU190" s="31"/>
      <c r="FV190" s="31"/>
      <c r="FW190" s="31"/>
      <c r="FX190" s="31"/>
      <c r="FY190" s="31"/>
      <c r="FZ190" s="31"/>
      <c r="GA190" s="31"/>
      <c r="GB190" s="31"/>
      <c r="GC190" s="31"/>
      <c r="GD190" s="31"/>
      <c r="GE190" s="31"/>
      <c r="GF190" s="31"/>
      <c r="GG190" s="31"/>
      <c r="GH190" s="31"/>
      <c r="GI190" s="31"/>
      <c r="GJ190" s="31"/>
      <c r="GK190" s="31"/>
      <c r="GL190" s="31"/>
      <c r="GM190" s="31"/>
      <c r="GN190" s="31"/>
      <c r="GO190" s="31"/>
      <c r="GP190" s="31"/>
      <c r="GQ190" s="31"/>
      <c r="GR190" s="31"/>
      <c r="GS190" s="31"/>
      <c r="GT190" s="31"/>
      <c r="GU190" s="31"/>
      <c r="GV190" s="31"/>
      <c r="GW190" s="31"/>
      <c r="GX190" s="31"/>
      <c r="GY190" s="31"/>
      <c r="GZ190" s="31"/>
      <c r="HA190" s="31"/>
      <c r="HB190" s="31"/>
      <c r="HC190" s="31"/>
      <c r="HD190" s="31"/>
      <c r="HE190" s="31"/>
      <c r="HF190" s="31"/>
      <c r="HG190" s="31"/>
      <c r="HH190" s="31"/>
      <c r="HI190" s="31"/>
      <c r="HJ190" s="31"/>
      <c r="HK190" s="31"/>
      <c r="HL190" s="31"/>
      <c r="HM190" s="31"/>
      <c r="HN190" s="31"/>
      <c r="HO190" s="31"/>
      <c r="HP190" s="31"/>
      <c r="HQ190" s="31"/>
      <c r="HR190" s="31"/>
      <c r="HS190" s="31"/>
      <c r="HT190" s="31"/>
      <c r="HU190" s="31"/>
      <c r="HV190" s="31"/>
      <c r="HW190" s="31"/>
      <c r="HX190" s="31"/>
      <c r="HY190" s="31"/>
      <c r="HZ190" s="31"/>
      <c r="IA190" s="31"/>
      <c r="IB190" s="31"/>
      <c r="IC190" s="31"/>
      <c r="ID190" s="31"/>
      <c r="IE190" s="31"/>
      <c r="IF190" s="31"/>
      <c r="IG190" s="31"/>
      <c r="IH190" s="31"/>
      <c r="II190" s="31"/>
      <c r="IJ190" s="31"/>
      <c r="IK190" s="31"/>
      <c r="IL190" s="31"/>
      <c r="IM190" s="31"/>
      <c r="IN190" s="31"/>
      <c r="IO190" s="31"/>
      <c r="IP190" s="31"/>
      <c r="IQ190" s="31"/>
      <c r="IR190" s="31"/>
      <c r="IS190" s="31"/>
      <c r="IT190" s="31"/>
      <c r="IU190" s="31"/>
      <c r="IV190" s="31"/>
      <c r="IW190" s="31"/>
      <c r="IX190" s="31"/>
      <c r="IY190" s="31"/>
      <c r="IZ190" s="31"/>
      <c r="JA190" s="31"/>
      <c r="JB190" s="31"/>
      <c r="JC190" s="31"/>
      <c r="JD190" s="31"/>
      <c r="JE190" s="31"/>
      <c r="JF190" s="31"/>
    </row>
    <row r="191" customFormat="1" ht="17.25" spans="1:266">
      <c r="A191" s="32">
        <f>40000000+INDEX(编号表!$B:$B,MATCH(B191,编号表!$A:$A,0))*10000+C191</f>
        <v>40080012</v>
      </c>
      <c r="B191" s="27" t="s">
        <v>616</v>
      </c>
      <c r="C191" s="32">
        <v>12</v>
      </c>
      <c r="D191" s="32" t="s">
        <v>611</v>
      </c>
      <c r="E191" s="32" t="s">
        <v>617</v>
      </c>
      <c r="F191" s="31">
        <f t="shared" si="20"/>
        <v>0</v>
      </c>
      <c r="G191" s="31"/>
      <c r="H191" s="32"/>
      <c r="I191" s="32"/>
      <c r="J191" s="32">
        <f t="shared" si="21"/>
        <v>0</v>
      </c>
      <c r="K191" s="32"/>
      <c r="L191" s="32"/>
      <c r="M191" s="31"/>
      <c r="N191" s="31"/>
      <c r="O191" s="31"/>
      <c r="P191" s="32"/>
      <c r="Q191" s="32"/>
      <c r="R191" s="31"/>
      <c r="S191" s="32"/>
      <c r="T191" s="32"/>
      <c r="U191" s="31"/>
      <c r="V191" s="31"/>
      <c r="W191" s="31"/>
      <c r="X191" s="32"/>
      <c r="Y191" s="32"/>
      <c r="Z191" s="31"/>
      <c r="AA191" s="32"/>
      <c r="AB191" s="32"/>
      <c r="AC191" s="31"/>
      <c r="AD191" s="31"/>
      <c r="AE191" s="31"/>
      <c r="AF191" s="32"/>
      <c r="AG191" s="32"/>
      <c r="AH191" s="31"/>
      <c r="AI191" s="31"/>
      <c r="AJ191" s="32"/>
      <c r="AK191" s="31"/>
      <c r="AL191" s="31"/>
      <c r="AM191" s="31"/>
      <c r="AN191" s="31"/>
      <c r="AO191" s="31"/>
      <c r="AP191" s="31"/>
      <c r="AQ191" s="31"/>
      <c r="AR191" s="32"/>
      <c r="AS191" s="31"/>
      <c r="AT191" s="31"/>
      <c r="AU191" s="31"/>
      <c r="AV191" s="31"/>
      <c r="AW191" s="31"/>
      <c r="AX191" s="31"/>
      <c r="AY191" s="31"/>
      <c r="AZ191" s="32"/>
      <c r="BA191" s="31"/>
      <c r="BB191" s="31"/>
      <c r="BC191" s="31"/>
      <c r="BD191" s="31"/>
      <c r="BE191" s="31"/>
      <c r="BF191" s="31"/>
      <c r="BG191" s="31"/>
      <c r="BH191" s="32"/>
      <c r="BI191" s="31"/>
      <c r="BJ191" s="31"/>
      <c r="BK191" s="31"/>
      <c r="BL191" s="31"/>
      <c r="BM191" s="31"/>
      <c r="BN191" s="31"/>
      <c r="BO191" s="31"/>
      <c r="BP191" s="32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  <c r="GI191" s="31"/>
      <c r="GJ191" s="31"/>
      <c r="GK191" s="31"/>
      <c r="GL191" s="31"/>
      <c r="GM191" s="31"/>
      <c r="GN191" s="31"/>
      <c r="GO191" s="31"/>
      <c r="GP191" s="31"/>
      <c r="GQ191" s="31"/>
      <c r="GR191" s="31"/>
      <c r="GS191" s="31"/>
      <c r="GT191" s="31"/>
      <c r="GU191" s="31"/>
      <c r="GV191" s="31"/>
      <c r="GW191" s="31"/>
      <c r="GX191" s="31"/>
      <c r="GY191" s="31"/>
      <c r="GZ191" s="31"/>
      <c r="HA191" s="31"/>
      <c r="HB191" s="31"/>
      <c r="HC191" s="31"/>
      <c r="HD191" s="31"/>
      <c r="HE191" s="31"/>
      <c r="HF191" s="31"/>
      <c r="HG191" s="31"/>
      <c r="HH191" s="31"/>
      <c r="HI191" s="31"/>
      <c r="HJ191" s="31"/>
      <c r="HK191" s="31"/>
      <c r="HL191" s="31"/>
      <c r="HM191" s="31"/>
      <c r="HN191" s="31"/>
      <c r="HO191" s="31"/>
      <c r="HP191" s="31"/>
      <c r="HQ191" s="31"/>
      <c r="HR191" s="31"/>
      <c r="HS191" s="31"/>
      <c r="HT191" s="31"/>
      <c r="HU191" s="31"/>
      <c r="HV191" s="31"/>
      <c r="HW191" s="31"/>
      <c r="HX191" s="31"/>
      <c r="HY191" s="31"/>
      <c r="HZ191" s="31"/>
      <c r="IA191" s="31"/>
      <c r="IB191" s="31"/>
      <c r="IC191" s="31"/>
      <c r="ID191" s="31"/>
      <c r="IE191" s="31"/>
      <c r="IF191" s="31"/>
      <c r="IG191" s="31"/>
      <c r="IH191" s="31"/>
      <c r="II191" s="31"/>
      <c r="IJ191" s="31"/>
      <c r="IK191" s="31"/>
      <c r="IL191" s="31"/>
      <c r="IM191" s="31"/>
      <c r="IN191" s="31"/>
      <c r="IO191" s="31"/>
      <c r="IP191" s="31"/>
      <c r="IQ191" s="31"/>
      <c r="IR191" s="31"/>
      <c r="IS191" s="31"/>
      <c r="IT191" s="31"/>
      <c r="IU191" s="31"/>
      <c r="IV191" s="31"/>
      <c r="IW191" s="31"/>
      <c r="IX191" s="31"/>
      <c r="IY191" s="31"/>
      <c r="IZ191" s="31"/>
      <c r="JA191" s="31"/>
      <c r="JB191" s="31"/>
      <c r="JC191" s="31"/>
      <c r="JD191" s="31"/>
      <c r="JE191" s="31"/>
      <c r="JF191" s="31"/>
    </row>
    <row r="192" customFormat="1" ht="17.25" spans="1:266">
      <c r="A192" s="32">
        <f>40000000+INDEX(编号表!$B:$B,MATCH(B192,编号表!$A:$A,0))*10000+C192</f>
        <v>40090001</v>
      </c>
      <c r="B192" s="27" t="s">
        <v>618</v>
      </c>
      <c r="C192" s="32">
        <v>1</v>
      </c>
      <c r="D192" s="32" t="s">
        <v>613</v>
      </c>
      <c r="E192" s="32" t="s">
        <v>617</v>
      </c>
      <c r="F192" s="31">
        <f t="shared" si="20"/>
        <v>100000000</v>
      </c>
      <c r="G192" s="31"/>
      <c r="H192" s="32">
        <v>3</v>
      </c>
      <c r="I192" s="32">
        <v>5</v>
      </c>
      <c r="J192" s="32">
        <f t="shared" si="21"/>
        <v>8</v>
      </c>
      <c r="K192" s="31">
        <v>34050001</v>
      </c>
      <c r="L192" s="32" t="str" cm="1">
        <f t="array" ref="L192">INDEX(编号表!$E:$E,MATCH(K192,编号表!$D:$D,0))</f>
        <v>小魔法药</v>
      </c>
      <c r="M192" s="31"/>
      <c r="N192" s="31"/>
      <c r="O192" s="31"/>
      <c r="P192" s="32">
        <v>20000000</v>
      </c>
      <c r="Q192" s="32">
        <v>1</v>
      </c>
      <c r="R192" s="31"/>
      <c r="S192" s="31">
        <f>K192+1</f>
        <v>34050002</v>
      </c>
      <c r="T192" s="32" t="str" cm="1">
        <f t="array" ref="T192">INDEX(编号表!$E:$E,MATCH(S192,编号表!$D:$D,0))</f>
        <v>强效魔法药</v>
      </c>
      <c r="U192" s="31"/>
      <c r="V192" s="31"/>
      <c r="W192" s="31"/>
      <c r="X192" s="32">
        <v>20000000</v>
      </c>
      <c r="Y192" s="32">
        <v>1</v>
      </c>
      <c r="Z192" s="31"/>
      <c r="AA192" s="31">
        <f>S192+1</f>
        <v>34050003</v>
      </c>
      <c r="AB192" s="32" t="str" cm="1">
        <f t="array" ref="AB192">INDEX(编号表!$E:$E,MATCH(AA192,编号表!$D:$D,0))</f>
        <v>特级魔法药</v>
      </c>
      <c r="AC192" s="31"/>
      <c r="AD192" s="31"/>
      <c r="AE192" s="31"/>
      <c r="AF192" s="32">
        <v>10000000</v>
      </c>
      <c r="AG192" s="32">
        <v>1</v>
      </c>
      <c r="AH192" s="31"/>
      <c r="AI192" s="31">
        <f>AA192+1</f>
        <v>34050004</v>
      </c>
      <c r="AJ192" s="32" t="str" cm="1">
        <f t="array" ref="AJ192">INDEX(编号表!$E:$E,MATCH(AI192,编号表!$D:$D,0))</f>
        <v>小金创药</v>
      </c>
      <c r="AK192" s="31"/>
      <c r="AL192" s="31"/>
      <c r="AM192" s="31"/>
      <c r="AN192" s="32">
        <v>18000000</v>
      </c>
      <c r="AO192" s="32">
        <v>1</v>
      </c>
      <c r="AP192" s="31"/>
      <c r="AQ192" s="31">
        <f>AI192+1</f>
        <v>34050005</v>
      </c>
      <c r="AR192" s="32" t="str" cm="1">
        <f t="array" ref="AR192">INDEX(编号表!$E:$E,MATCH(AQ192,编号表!$D:$D,0))</f>
        <v>强效金创药</v>
      </c>
      <c r="AS192" s="31"/>
      <c r="AT192" s="31"/>
      <c r="AU192" s="31"/>
      <c r="AV192" s="32">
        <v>15000000</v>
      </c>
      <c r="AW192" s="32">
        <v>1</v>
      </c>
      <c r="AX192" s="31"/>
      <c r="AY192" s="31">
        <f>AQ192+1</f>
        <v>34050006</v>
      </c>
      <c r="AZ192" s="32" t="str" cm="1">
        <f t="array" ref="AZ192">INDEX(编号表!$E:$E,MATCH(AY192,编号表!$D:$D,0))</f>
        <v>特级金创药</v>
      </c>
      <c r="BA192" s="31"/>
      <c r="BB192" s="31"/>
      <c r="BC192" s="31"/>
      <c r="BD192" s="32">
        <v>10000000</v>
      </c>
      <c r="BE192" s="32">
        <v>1</v>
      </c>
      <c r="BF192" s="31"/>
      <c r="BG192" s="31">
        <f>AY192+1</f>
        <v>34050007</v>
      </c>
      <c r="BH192" s="32" t="str" cm="1">
        <f t="array" ref="BH192">INDEX(编号表!$E:$E,MATCH(BG192,编号表!$D:$D,0))</f>
        <v>太阳水</v>
      </c>
      <c r="BI192" s="31"/>
      <c r="BJ192" s="31"/>
      <c r="BK192" s="31"/>
      <c r="BL192" s="32">
        <v>5000000</v>
      </c>
      <c r="BM192" s="32">
        <v>1</v>
      </c>
      <c r="BN192" s="31"/>
      <c r="BO192" s="31">
        <f>BG192+1</f>
        <v>34050008</v>
      </c>
      <c r="BP192" s="32" t="str" cm="1">
        <f t="array" ref="BP192">INDEX(编号表!$E:$E,MATCH(BO192,编号表!$D:$D,0))</f>
        <v>强效太阳水</v>
      </c>
      <c r="BQ192" s="31"/>
      <c r="BR192" s="31"/>
      <c r="BS192" s="31"/>
      <c r="BT192" s="32">
        <v>2000000</v>
      </c>
      <c r="BU192" s="32">
        <v>1</v>
      </c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  <c r="HE192" s="31"/>
      <c r="HF192" s="31"/>
      <c r="HG192" s="31"/>
      <c r="HH192" s="31"/>
      <c r="HI192" s="31"/>
      <c r="HJ192" s="31"/>
      <c r="HK192" s="31"/>
      <c r="HL192" s="31"/>
      <c r="HM192" s="31"/>
      <c r="HN192" s="31"/>
      <c r="HO192" s="31"/>
      <c r="HP192" s="31"/>
      <c r="HQ192" s="31"/>
      <c r="HR192" s="31"/>
      <c r="HS192" s="31"/>
      <c r="HT192" s="31"/>
      <c r="HU192" s="31"/>
      <c r="HV192" s="31"/>
      <c r="HW192" s="31"/>
      <c r="HX192" s="31"/>
      <c r="HY192" s="31"/>
      <c r="HZ192" s="31"/>
      <c r="IA192" s="31"/>
      <c r="IB192" s="31"/>
      <c r="IC192" s="31"/>
      <c r="ID192" s="31"/>
      <c r="IE192" s="31"/>
      <c r="IF192" s="31"/>
      <c r="IG192" s="31"/>
      <c r="IH192" s="31"/>
      <c r="II192" s="31"/>
      <c r="IJ192" s="31"/>
      <c r="IK192" s="31"/>
      <c r="IL192" s="31"/>
      <c r="IM192" s="31"/>
      <c r="IN192" s="31"/>
      <c r="IO192" s="31"/>
      <c r="IP192" s="31"/>
      <c r="IQ192" s="31"/>
      <c r="IR192" s="31"/>
      <c r="IS192" s="31"/>
      <c r="IT192" s="31"/>
      <c r="IU192" s="31"/>
      <c r="IV192" s="31"/>
      <c r="IW192" s="31"/>
      <c r="IX192" s="31"/>
      <c r="IY192" s="31"/>
      <c r="IZ192" s="31"/>
      <c r="JA192" s="31"/>
      <c r="JB192" s="31"/>
      <c r="JC192" s="31"/>
      <c r="JD192" s="31"/>
      <c r="JE192" s="31"/>
      <c r="JF192" s="31"/>
    </row>
    <row r="193" customFormat="1" ht="17.25" spans="1:266">
      <c r="A193" s="32">
        <f>40000000+INDEX(编号表!$B:$B,MATCH(B193,编号表!$A:$A,0))*10000+C193</f>
        <v>40090002</v>
      </c>
      <c r="B193" s="27" t="s">
        <v>618</v>
      </c>
      <c r="C193" s="32">
        <v>2</v>
      </c>
      <c r="D193" s="32" t="s">
        <v>614</v>
      </c>
      <c r="E193" s="32" t="s">
        <v>617</v>
      </c>
      <c r="F193" s="31">
        <f t="shared" si="20"/>
        <v>0</v>
      </c>
      <c r="G193" s="31"/>
      <c r="H193" s="32"/>
      <c r="I193" s="32"/>
      <c r="J193" s="32">
        <f t="shared" si="21"/>
        <v>0</v>
      </c>
      <c r="K193" s="32"/>
      <c r="L193" s="32"/>
      <c r="M193" s="31"/>
      <c r="N193" s="31"/>
      <c r="O193" s="31"/>
      <c r="P193" s="32"/>
      <c r="Q193" s="32"/>
      <c r="R193" s="31"/>
      <c r="S193" s="32"/>
      <c r="T193" s="32"/>
      <c r="U193" s="31"/>
      <c r="V193" s="31"/>
      <c r="W193" s="31"/>
      <c r="X193" s="32"/>
      <c r="Y193" s="32"/>
      <c r="Z193" s="31"/>
      <c r="AA193" s="32"/>
      <c r="AB193" s="32"/>
      <c r="AC193" s="31"/>
      <c r="AD193" s="31"/>
      <c r="AE193" s="31"/>
      <c r="AF193" s="32"/>
      <c r="AG193" s="32"/>
      <c r="AH193" s="31"/>
      <c r="AI193" s="31"/>
      <c r="AJ193" s="32"/>
      <c r="AK193" s="31"/>
      <c r="AL193" s="31"/>
      <c r="AM193" s="31"/>
      <c r="AN193" s="31"/>
      <c r="AO193" s="31"/>
      <c r="AP193" s="31"/>
      <c r="AQ193" s="31"/>
      <c r="AR193" s="32"/>
      <c r="AS193" s="31"/>
      <c r="AT193" s="31"/>
      <c r="AU193" s="31"/>
      <c r="AV193" s="31"/>
      <c r="AW193" s="31"/>
      <c r="AX193" s="31"/>
      <c r="AY193" s="31"/>
      <c r="AZ193" s="32"/>
      <c r="BA193" s="31"/>
      <c r="BB193" s="31"/>
      <c r="BC193" s="31"/>
      <c r="BD193" s="31"/>
      <c r="BE193" s="31"/>
      <c r="BF193" s="31"/>
      <c r="BG193" s="31"/>
      <c r="BH193" s="32"/>
      <c r="BI193" s="31"/>
      <c r="BJ193" s="31"/>
      <c r="BK193" s="31"/>
      <c r="BL193" s="31"/>
      <c r="BM193" s="31"/>
      <c r="BN193" s="31"/>
      <c r="BO193" s="31"/>
      <c r="BP193" s="32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  <c r="HE193" s="31"/>
      <c r="HF193" s="31"/>
      <c r="HG193" s="31"/>
      <c r="HH193" s="31"/>
      <c r="HI193" s="31"/>
      <c r="HJ193" s="31"/>
      <c r="HK193" s="31"/>
      <c r="HL193" s="31"/>
      <c r="HM193" s="31"/>
      <c r="HN193" s="31"/>
      <c r="HO193" s="31"/>
      <c r="HP193" s="31"/>
      <c r="HQ193" s="31"/>
      <c r="HR193" s="31"/>
      <c r="HS193" s="31"/>
      <c r="HT193" s="31"/>
      <c r="HU193" s="31"/>
      <c r="HV193" s="31"/>
      <c r="HW193" s="31"/>
      <c r="HX193" s="31"/>
      <c r="HY193" s="31"/>
      <c r="HZ193" s="31"/>
      <c r="IA193" s="31"/>
      <c r="IB193" s="31"/>
      <c r="IC193" s="31"/>
      <c r="ID193" s="31"/>
      <c r="IE193" s="31"/>
      <c r="IF193" s="31"/>
      <c r="IG193" s="31"/>
      <c r="IH193" s="31"/>
      <c r="II193" s="31"/>
      <c r="IJ193" s="31"/>
      <c r="IK193" s="31"/>
      <c r="IL193" s="31"/>
      <c r="IM193" s="31"/>
      <c r="IN193" s="31"/>
      <c r="IO193" s="31"/>
      <c r="IP193" s="31"/>
      <c r="IQ193" s="31"/>
      <c r="IR193" s="31"/>
      <c r="IS193" s="31"/>
      <c r="IT193" s="31"/>
      <c r="IU193" s="31"/>
      <c r="IV193" s="31"/>
      <c r="IW193" s="31"/>
      <c r="IX193" s="31"/>
      <c r="IY193" s="31"/>
      <c r="IZ193" s="31"/>
      <c r="JA193" s="31"/>
      <c r="JB193" s="31"/>
      <c r="JC193" s="31"/>
      <c r="JD193" s="31"/>
      <c r="JE193" s="31"/>
      <c r="JF193" s="31"/>
    </row>
    <row r="194" customFormat="1" ht="17.25" spans="1:266">
      <c r="A194" s="32">
        <f>40000000+INDEX(编号表!$B:$B,MATCH(B194,编号表!$A:$A,0))*10000+C194</f>
        <v>40090003</v>
      </c>
      <c r="B194" s="27" t="s">
        <v>618</v>
      </c>
      <c r="C194" s="32">
        <v>3</v>
      </c>
      <c r="D194" s="32" t="s">
        <v>615</v>
      </c>
      <c r="E194" s="32" t="s">
        <v>617</v>
      </c>
      <c r="F194" s="31">
        <f t="shared" si="20"/>
        <v>0</v>
      </c>
      <c r="G194" s="31"/>
      <c r="H194" s="32"/>
      <c r="I194" s="32"/>
      <c r="J194" s="32">
        <f t="shared" si="21"/>
        <v>0</v>
      </c>
      <c r="K194" s="32"/>
      <c r="L194" s="32"/>
      <c r="M194" s="31"/>
      <c r="N194" s="31"/>
      <c r="O194" s="31"/>
      <c r="P194" s="32"/>
      <c r="Q194" s="32"/>
      <c r="R194" s="31"/>
      <c r="S194" s="32"/>
      <c r="T194" s="32"/>
      <c r="U194" s="31"/>
      <c r="V194" s="31"/>
      <c r="W194" s="31"/>
      <c r="X194" s="32"/>
      <c r="Y194" s="32"/>
      <c r="Z194" s="31"/>
      <c r="AA194" s="32"/>
      <c r="AB194" s="32"/>
      <c r="AC194" s="31"/>
      <c r="AD194" s="31"/>
      <c r="AE194" s="31"/>
      <c r="AF194" s="32"/>
      <c r="AG194" s="32"/>
      <c r="AH194" s="31"/>
      <c r="AI194" s="31"/>
      <c r="AJ194" s="32"/>
      <c r="AK194" s="31"/>
      <c r="AL194" s="31"/>
      <c r="AM194" s="31"/>
      <c r="AN194" s="31"/>
      <c r="AO194" s="31"/>
      <c r="AP194" s="31"/>
      <c r="AQ194" s="31"/>
      <c r="AR194" s="32"/>
      <c r="AS194" s="31"/>
      <c r="AT194" s="31"/>
      <c r="AU194" s="31"/>
      <c r="AV194" s="31"/>
      <c r="AW194" s="31"/>
      <c r="AX194" s="31"/>
      <c r="AY194" s="31"/>
      <c r="AZ194" s="32"/>
      <c r="BA194" s="31"/>
      <c r="BB194" s="31"/>
      <c r="BC194" s="31"/>
      <c r="BD194" s="31"/>
      <c r="BE194" s="31"/>
      <c r="BF194" s="31"/>
      <c r="BG194" s="31"/>
      <c r="BH194" s="32"/>
      <c r="BI194" s="31"/>
      <c r="BJ194" s="31"/>
      <c r="BK194" s="31"/>
      <c r="BL194" s="31"/>
      <c r="BM194" s="31"/>
      <c r="BN194" s="31"/>
      <c r="BO194" s="31"/>
      <c r="BP194" s="32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  <c r="FN194" s="31"/>
      <c r="FO194" s="31"/>
      <c r="FP194" s="31"/>
      <c r="FQ194" s="31"/>
      <c r="FR194" s="31"/>
      <c r="FS194" s="31"/>
      <c r="FT194" s="31"/>
      <c r="FU194" s="31"/>
      <c r="FV194" s="31"/>
      <c r="FW194" s="31"/>
      <c r="FX194" s="31"/>
      <c r="FY194" s="31"/>
      <c r="FZ194" s="31"/>
      <c r="GA194" s="31"/>
      <c r="GB194" s="31"/>
      <c r="GC194" s="31"/>
      <c r="GD194" s="31"/>
      <c r="GE194" s="31"/>
      <c r="GF194" s="31"/>
      <c r="GG194" s="31"/>
      <c r="GH194" s="31"/>
      <c r="GI194" s="31"/>
      <c r="GJ194" s="31"/>
      <c r="GK194" s="31"/>
      <c r="GL194" s="31"/>
      <c r="GM194" s="31"/>
      <c r="GN194" s="31"/>
      <c r="GO194" s="31"/>
      <c r="GP194" s="31"/>
      <c r="GQ194" s="31"/>
      <c r="GR194" s="31"/>
      <c r="GS194" s="31"/>
      <c r="GT194" s="31"/>
      <c r="GU194" s="31"/>
      <c r="GV194" s="31"/>
      <c r="GW194" s="31"/>
      <c r="GX194" s="31"/>
      <c r="GY194" s="31"/>
      <c r="GZ194" s="31"/>
      <c r="HA194" s="31"/>
      <c r="HB194" s="31"/>
      <c r="HC194" s="31"/>
      <c r="HD194" s="31"/>
      <c r="HE194" s="31"/>
      <c r="HF194" s="31"/>
      <c r="HG194" s="31"/>
      <c r="HH194" s="31"/>
      <c r="HI194" s="31"/>
      <c r="HJ194" s="31"/>
      <c r="HK194" s="31"/>
      <c r="HL194" s="31"/>
      <c r="HM194" s="31"/>
      <c r="HN194" s="31"/>
      <c r="HO194" s="31"/>
      <c r="HP194" s="31"/>
      <c r="HQ194" s="31"/>
      <c r="HR194" s="31"/>
      <c r="HS194" s="31"/>
      <c r="HT194" s="31"/>
      <c r="HU194" s="31"/>
      <c r="HV194" s="31"/>
      <c r="HW194" s="31"/>
      <c r="HX194" s="31"/>
      <c r="HY194" s="31"/>
      <c r="HZ194" s="31"/>
      <c r="IA194" s="31"/>
      <c r="IB194" s="31"/>
      <c r="IC194" s="31"/>
      <c r="ID194" s="31"/>
      <c r="IE194" s="31"/>
      <c r="IF194" s="31"/>
      <c r="IG194" s="31"/>
      <c r="IH194" s="31"/>
      <c r="II194" s="31"/>
      <c r="IJ194" s="31"/>
      <c r="IK194" s="31"/>
      <c r="IL194" s="31"/>
      <c r="IM194" s="31"/>
      <c r="IN194" s="31"/>
      <c r="IO194" s="31"/>
      <c r="IP194" s="31"/>
      <c r="IQ194" s="31"/>
      <c r="IR194" s="31"/>
      <c r="IS194" s="31"/>
      <c r="IT194" s="31"/>
      <c r="IU194" s="31"/>
      <c r="IV194" s="31"/>
      <c r="IW194" s="31"/>
      <c r="IX194" s="31"/>
      <c r="IY194" s="31"/>
      <c r="IZ194" s="31"/>
      <c r="JA194" s="31"/>
      <c r="JB194" s="31"/>
      <c r="JC194" s="31"/>
      <c r="JD194" s="31"/>
      <c r="JE194" s="31"/>
      <c r="JF194" s="31"/>
    </row>
    <row r="195" customFormat="1" ht="17.25" spans="1:266">
      <c r="A195" s="32">
        <f>40000000+INDEX(编号表!$B:$B,MATCH(B195,编号表!$A:$A,0))*10000+C195</f>
        <v>40090004</v>
      </c>
      <c r="B195" s="27" t="s">
        <v>618</v>
      </c>
      <c r="C195" s="32">
        <v>4</v>
      </c>
      <c r="D195" s="32" t="s">
        <v>602</v>
      </c>
      <c r="E195" s="32" t="s">
        <v>617</v>
      </c>
      <c r="F195" s="31">
        <f t="shared" si="20"/>
        <v>0</v>
      </c>
      <c r="G195" s="31"/>
      <c r="H195" s="32"/>
      <c r="I195" s="32"/>
      <c r="J195" s="32">
        <f t="shared" si="21"/>
        <v>0</v>
      </c>
      <c r="K195" s="32"/>
      <c r="L195" s="32"/>
      <c r="M195" s="31"/>
      <c r="N195" s="31"/>
      <c r="O195" s="31"/>
      <c r="P195" s="32"/>
      <c r="Q195" s="32"/>
      <c r="R195" s="31"/>
      <c r="S195" s="32"/>
      <c r="T195" s="32"/>
      <c r="U195" s="31"/>
      <c r="V195" s="31"/>
      <c r="W195" s="31"/>
      <c r="X195" s="32"/>
      <c r="Y195" s="32"/>
      <c r="Z195" s="31"/>
      <c r="AA195" s="32"/>
      <c r="AB195" s="32"/>
      <c r="AC195" s="31"/>
      <c r="AD195" s="31"/>
      <c r="AE195" s="31"/>
      <c r="AF195" s="32"/>
      <c r="AG195" s="32"/>
      <c r="AH195" s="31"/>
      <c r="AI195" s="31"/>
      <c r="AJ195" s="32"/>
      <c r="AK195" s="31"/>
      <c r="AL195" s="31"/>
      <c r="AM195" s="31"/>
      <c r="AN195" s="31"/>
      <c r="AO195" s="31"/>
      <c r="AP195" s="31"/>
      <c r="AQ195" s="31"/>
      <c r="AR195" s="32"/>
      <c r="AS195" s="31"/>
      <c r="AT195" s="31"/>
      <c r="AU195" s="31"/>
      <c r="AV195" s="31"/>
      <c r="AW195" s="31"/>
      <c r="AX195" s="31"/>
      <c r="AY195" s="31"/>
      <c r="AZ195" s="32"/>
      <c r="BA195" s="31"/>
      <c r="BB195" s="31"/>
      <c r="BC195" s="31"/>
      <c r="BD195" s="31"/>
      <c r="BE195" s="31"/>
      <c r="BF195" s="31"/>
      <c r="BG195" s="31"/>
      <c r="BH195" s="32"/>
      <c r="BI195" s="31"/>
      <c r="BJ195" s="31"/>
      <c r="BK195" s="31"/>
      <c r="BL195" s="31"/>
      <c r="BM195" s="31"/>
      <c r="BN195" s="31"/>
      <c r="BO195" s="31"/>
      <c r="BP195" s="32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/>
      <c r="GM195" s="31"/>
      <c r="GN195" s="31"/>
      <c r="GO195" s="31"/>
      <c r="GP195" s="31"/>
      <c r="GQ195" s="31"/>
      <c r="GR195" s="31"/>
      <c r="GS195" s="31"/>
      <c r="GT195" s="31"/>
      <c r="GU195" s="31"/>
      <c r="GV195" s="31"/>
      <c r="GW195" s="31"/>
      <c r="GX195" s="31"/>
      <c r="GY195" s="31"/>
      <c r="GZ195" s="31"/>
      <c r="HA195" s="31"/>
      <c r="HB195" s="31"/>
      <c r="HC195" s="31"/>
      <c r="HD195" s="31"/>
      <c r="HE195" s="31"/>
      <c r="HF195" s="31"/>
      <c r="HG195" s="31"/>
      <c r="HH195" s="31"/>
      <c r="HI195" s="31"/>
      <c r="HJ195" s="31"/>
      <c r="HK195" s="31"/>
      <c r="HL195" s="31"/>
      <c r="HM195" s="31"/>
      <c r="HN195" s="31"/>
      <c r="HO195" s="31"/>
      <c r="HP195" s="31"/>
      <c r="HQ195" s="31"/>
      <c r="HR195" s="31"/>
      <c r="HS195" s="31"/>
      <c r="HT195" s="31"/>
      <c r="HU195" s="31"/>
      <c r="HV195" s="31"/>
      <c r="HW195" s="31"/>
      <c r="HX195" s="31"/>
      <c r="HY195" s="31"/>
      <c r="HZ195" s="31"/>
      <c r="IA195" s="31"/>
      <c r="IB195" s="31"/>
      <c r="IC195" s="31"/>
      <c r="ID195" s="31"/>
      <c r="IE195" s="31"/>
      <c r="IF195" s="31"/>
      <c r="IG195" s="31"/>
      <c r="IH195" s="31"/>
      <c r="II195" s="31"/>
      <c r="IJ195" s="31"/>
      <c r="IK195" s="31"/>
      <c r="IL195" s="31"/>
      <c r="IM195" s="31"/>
      <c r="IN195" s="31"/>
      <c r="IO195" s="31"/>
      <c r="IP195" s="31"/>
      <c r="IQ195" s="31"/>
      <c r="IR195" s="31"/>
      <c r="IS195" s="31"/>
      <c r="IT195" s="31"/>
      <c r="IU195" s="31"/>
      <c r="IV195" s="31"/>
      <c r="IW195" s="31"/>
      <c r="IX195" s="31"/>
      <c r="IY195" s="31"/>
      <c r="IZ195" s="31"/>
      <c r="JA195" s="31"/>
      <c r="JB195" s="31"/>
      <c r="JC195" s="31"/>
      <c r="JD195" s="31"/>
      <c r="JE195" s="31"/>
      <c r="JF195" s="31"/>
    </row>
    <row r="196" customFormat="1" ht="17.25" spans="1:266">
      <c r="A196" s="32">
        <f>40000000+INDEX(编号表!$B:$B,MATCH(B196,编号表!$A:$A,0))*10000+C196</f>
        <v>40090005</v>
      </c>
      <c r="B196" s="27" t="s">
        <v>618</v>
      </c>
      <c r="C196" s="32">
        <v>5</v>
      </c>
      <c r="D196" s="32" t="s">
        <v>604</v>
      </c>
      <c r="E196" s="32" t="s">
        <v>617</v>
      </c>
      <c r="F196" s="31">
        <f t="shared" si="20"/>
        <v>0</v>
      </c>
      <c r="G196" s="31"/>
      <c r="H196" s="32"/>
      <c r="I196" s="32"/>
      <c r="J196" s="32">
        <f t="shared" si="21"/>
        <v>0</v>
      </c>
      <c r="K196" s="32"/>
      <c r="L196" s="32"/>
      <c r="M196" s="31"/>
      <c r="N196" s="31"/>
      <c r="O196" s="31"/>
      <c r="P196" s="32"/>
      <c r="Q196" s="32"/>
      <c r="R196" s="31"/>
      <c r="S196" s="32"/>
      <c r="T196" s="32"/>
      <c r="U196" s="31"/>
      <c r="V196" s="31"/>
      <c r="W196" s="31"/>
      <c r="X196" s="32"/>
      <c r="Y196" s="32"/>
      <c r="Z196" s="31"/>
      <c r="AA196" s="32"/>
      <c r="AB196" s="32"/>
      <c r="AC196" s="31"/>
      <c r="AD196" s="31"/>
      <c r="AE196" s="31"/>
      <c r="AF196" s="32"/>
      <c r="AG196" s="32"/>
      <c r="AH196" s="31"/>
      <c r="AI196" s="31"/>
      <c r="AJ196" s="32"/>
      <c r="AK196" s="31"/>
      <c r="AL196" s="31"/>
      <c r="AM196" s="31"/>
      <c r="AN196" s="31"/>
      <c r="AO196" s="31"/>
      <c r="AP196" s="31"/>
      <c r="AQ196" s="31"/>
      <c r="AR196" s="32"/>
      <c r="AS196" s="31"/>
      <c r="AT196" s="31"/>
      <c r="AU196" s="31"/>
      <c r="AV196" s="31"/>
      <c r="AW196" s="31"/>
      <c r="AX196" s="31"/>
      <c r="AY196" s="31"/>
      <c r="AZ196" s="32"/>
      <c r="BA196" s="31"/>
      <c r="BB196" s="31"/>
      <c r="BC196" s="31"/>
      <c r="BD196" s="31"/>
      <c r="BE196" s="31"/>
      <c r="BF196" s="31"/>
      <c r="BG196" s="31"/>
      <c r="BH196" s="32"/>
      <c r="BI196" s="31"/>
      <c r="BJ196" s="31"/>
      <c r="BK196" s="31"/>
      <c r="BL196" s="31"/>
      <c r="BM196" s="31"/>
      <c r="BN196" s="31"/>
      <c r="BO196" s="31"/>
      <c r="BP196" s="32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/>
      <c r="FU196" s="31"/>
      <c r="FV196" s="31"/>
      <c r="FW196" s="31"/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  <c r="GI196" s="31"/>
      <c r="GJ196" s="31"/>
      <c r="GK196" s="31"/>
      <c r="GL196" s="31"/>
      <c r="GM196" s="31"/>
      <c r="GN196" s="31"/>
      <c r="GO196" s="31"/>
      <c r="GP196" s="31"/>
      <c r="GQ196" s="31"/>
      <c r="GR196" s="31"/>
      <c r="GS196" s="31"/>
      <c r="GT196" s="31"/>
      <c r="GU196" s="31"/>
      <c r="GV196" s="31"/>
      <c r="GW196" s="31"/>
      <c r="GX196" s="31"/>
      <c r="GY196" s="31"/>
      <c r="GZ196" s="31"/>
      <c r="HA196" s="31"/>
      <c r="HB196" s="31"/>
      <c r="HC196" s="31"/>
      <c r="HD196" s="31"/>
      <c r="HE196" s="31"/>
      <c r="HF196" s="31"/>
      <c r="HG196" s="31"/>
      <c r="HH196" s="31"/>
      <c r="HI196" s="31"/>
      <c r="HJ196" s="31"/>
      <c r="HK196" s="31"/>
      <c r="HL196" s="31"/>
      <c r="HM196" s="31"/>
      <c r="HN196" s="31"/>
      <c r="HO196" s="31"/>
      <c r="HP196" s="31"/>
      <c r="HQ196" s="31"/>
      <c r="HR196" s="31"/>
      <c r="HS196" s="31"/>
      <c r="HT196" s="31"/>
      <c r="HU196" s="31"/>
      <c r="HV196" s="31"/>
      <c r="HW196" s="31"/>
      <c r="HX196" s="31"/>
      <c r="HY196" s="31"/>
      <c r="HZ196" s="31"/>
      <c r="IA196" s="31"/>
      <c r="IB196" s="31"/>
      <c r="IC196" s="31"/>
      <c r="ID196" s="31"/>
      <c r="IE196" s="31"/>
      <c r="IF196" s="31"/>
      <c r="IG196" s="31"/>
      <c r="IH196" s="31"/>
      <c r="II196" s="31"/>
      <c r="IJ196" s="31"/>
      <c r="IK196" s="31"/>
      <c r="IL196" s="31"/>
      <c r="IM196" s="31"/>
      <c r="IN196" s="31"/>
      <c r="IO196" s="31"/>
      <c r="IP196" s="31"/>
      <c r="IQ196" s="31"/>
      <c r="IR196" s="31"/>
      <c r="IS196" s="31"/>
      <c r="IT196" s="31"/>
      <c r="IU196" s="31"/>
      <c r="IV196" s="31"/>
      <c r="IW196" s="31"/>
      <c r="IX196" s="31"/>
      <c r="IY196" s="31"/>
      <c r="IZ196" s="31"/>
      <c r="JA196" s="31"/>
      <c r="JB196" s="31"/>
      <c r="JC196" s="31"/>
      <c r="JD196" s="31"/>
      <c r="JE196" s="31"/>
      <c r="JF196" s="31"/>
    </row>
    <row r="197" customFormat="1" ht="17.25" spans="1:266">
      <c r="A197" s="32">
        <f>40000000+INDEX(编号表!$B:$B,MATCH(B197,编号表!$A:$A,0))*10000+C197</f>
        <v>40090006</v>
      </c>
      <c r="B197" s="27" t="s">
        <v>618</v>
      </c>
      <c r="C197" s="32">
        <v>6</v>
      </c>
      <c r="D197" s="32" t="s">
        <v>605</v>
      </c>
      <c r="E197" s="32" t="s">
        <v>617</v>
      </c>
      <c r="F197" s="31">
        <f t="shared" si="20"/>
        <v>0</v>
      </c>
      <c r="G197" s="31"/>
      <c r="H197" s="32"/>
      <c r="I197" s="32"/>
      <c r="J197" s="32">
        <f t="shared" si="21"/>
        <v>0</v>
      </c>
      <c r="K197" s="32"/>
      <c r="L197" s="32"/>
      <c r="M197" s="31"/>
      <c r="N197" s="31"/>
      <c r="O197" s="31"/>
      <c r="P197" s="32"/>
      <c r="Q197" s="32"/>
      <c r="R197" s="31"/>
      <c r="S197" s="32"/>
      <c r="T197" s="32"/>
      <c r="U197" s="31"/>
      <c r="V197" s="31"/>
      <c r="W197" s="31"/>
      <c r="X197" s="32"/>
      <c r="Y197" s="32"/>
      <c r="Z197" s="31"/>
      <c r="AA197" s="32"/>
      <c r="AB197" s="32"/>
      <c r="AC197" s="31"/>
      <c r="AD197" s="31"/>
      <c r="AE197" s="31"/>
      <c r="AF197" s="32"/>
      <c r="AG197" s="32"/>
      <c r="AH197" s="31"/>
      <c r="AI197" s="31"/>
      <c r="AJ197" s="32"/>
      <c r="AK197" s="31"/>
      <c r="AL197" s="31"/>
      <c r="AM197" s="31"/>
      <c r="AN197" s="31"/>
      <c r="AO197" s="31"/>
      <c r="AP197" s="31"/>
      <c r="AQ197" s="31"/>
      <c r="AR197" s="32"/>
      <c r="AS197" s="31"/>
      <c r="AT197" s="31"/>
      <c r="AU197" s="31"/>
      <c r="AV197" s="31"/>
      <c r="AW197" s="31"/>
      <c r="AX197" s="31"/>
      <c r="AY197" s="31"/>
      <c r="AZ197" s="32"/>
      <c r="BA197" s="31"/>
      <c r="BB197" s="31"/>
      <c r="BC197" s="31"/>
      <c r="BD197" s="31"/>
      <c r="BE197" s="31"/>
      <c r="BF197" s="31"/>
      <c r="BG197" s="31"/>
      <c r="BH197" s="32"/>
      <c r="BI197" s="31"/>
      <c r="BJ197" s="31"/>
      <c r="BK197" s="31"/>
      <c r="BL197" s="31"/>
      <c r="BM197" s="31"/>
      <c r="BN197" s="31"/>
      <c r="BO197" s="31"/>
      <c r="BP197" s="32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  <c r="GI197" s="31"/>
      <c r="GJ197" s="31"/>
      <c r="GK197" s="31"/>
      <c r="GL197" s="31"/>
      <c r="GM197" s="31"/>
      <c r="GN197" s="31"/>
      <c r="GO197" s="31"/>
      <c r="GP197" s="31"/>
      <c r="GQ197" s="31"/>
      <c r="GR197" s="31"/>
      <c r="GS197" s="31"/>
      <c r="GT197" s="31"/>
      <c r="GU197" s="31"/>
      <c r="GV197" s="31"/>
      <c r="GW197" s="31"/>
      <c r="GX197" s="31"/>
      <c r="GY197" s="31"/>
      <c r="GZ197" s="31"/>
      <c r="HA197" s="31"/>
      <c r="HB197" s="31"/>
      <c r="HC197" s="31"/>
      <c r="HD197" s="31"/>
      <c r="HE197" s="31"/>
      <c r="HF197" s="31"/>
      <c r="HG197" s="31"/>
      <c r="HH197" s="31"/>
      <c r="HI197" s="31"/>
      <c r="HJ197" s="31"/>
      <c r="HK197" s="31"/>
      <c r="HL197" s="31"/>
      <c r="HM197" s="31"/>
      <c r="HN197" s="31"/>
      <c r="HO197" s="31"/>
      <c r="HP197" s="31"/>
      <c r="HQ197" s="31"/>
      <c r="HR197" s="31"/>
      <c r="HS197" s="31"/>
      <c r="HT197" s="31"/>
      <c r="HU197" s="31"/>
      <c r="HV197" s="31"/>
      <c r="HW197" s="31"/>
      <c r="HX197" s="31"/>
      <c r="HY197" s="31"/>
      <c r="HZ197" s="31"/>
      <c r="IA197" s="31"/>
      <c r="IB197" s="31"/>
      <c r="IC197" s="31"/>
      <c r="ID197" s="31"/>
      <c r="IE197" s="31"/>
      <c r="IF197" s="31"/>
      <c r="IG197" s="31"/>
      <c r="IH197" s="31"/>
      <c r="II197" s="31"/>
      <c r="IJ197" s="31"/>
      <c r="IK197" s="31"/>
      <c r="IL197" s="31"/>
      <c r="IM197" s="31"/>
      <c r="IN197" s="31"/>
      <c r="IO197" s="31"/>
      <c r="IP197" s="31"/>
      <c r="IQ197" s="31"/>
      <c r="IR197" s="31"/>
      <c r="IS197" s="31"/>
      <c r="IT197" s="31"/>
      <c r="IU197" s="31"/>
      <c r="IV197" s="31"/>
      <c r="IW197" s="31"/>
      <c r="IX197" s="31"/>
      <c r="IY197" s="31"/>
      <c r="IZ197" s="31"/>
      <c r="JA197" s="31"/>
      <c r="JB197" s="31"/>
      <c r="JC197" s="31"/>
      <c r="JD197" s="31"/>
      <c r="JE197" s="31"/>
      <c r="JF197" s="31"/>
    </row>
    <row r="198" customFormat="1" ht="17.25" spans="1:266">
      <c r="A198" s="32">
        <f>40000000+INDEX(编号表!$B:$B,MATCH(B198,编号表!$A:$A,0))*10000+C198</f>
        <v>40090007</v>
      </c>
      <c r="B198" s="27" t="s">
        <v>618</v>
      </c>
      <c r="C198" s="32">
        <v>7</v>
      </c>
      <c r="D198" s="32" t="s">
        <v>606</v>
      </c>
      <c r="E198" s="32" t="s">
        <v>617</v>
      </c>
      <c r="F198" s="31">
        <f t="shared" si="20"/>
        <v>0</v>
      </c>
      <c r="G198" s="31"/>
      <c r="H198" s="32"/>
      <c r="I198" s="32"/>
      <c r="J198" s="32">
        <f t="shared" si="21"/>
        <v>0</v>
      </c>
      <c r="K198" s="32"/>
      <c r="L198" s="32"/>
      <c r="M198" s="31"/>
      <c r="N198" s="31"/>
      <c r="O198" s="31"/>
      <c r="P198" s="32"/>
      <c r="Q198" s="32"/>
      <c r="R198" s="31"/>
      <c r="S198" s="32"/>
      <c r="T198" s="32"/>
      <c r="U198" s="31"/>
      <c r="V198" s="31"/>
      <c r="W198" s="31"/>
      <c r="X198" s="32"/>
      <c r="Y198" s="32"/>
      <c r="Z198" s="31"/>
      <c r="AA198" s="32"/>
      <c r="AB198" s="32"/>
      <c r="AC198" s="31"/>
      <c r="AD198" s="31"/>
      <c r="AE198" s="31"/>
      <c r="AF198" s="32"/>
      <c r="AG198" s="32"/>
      <c r="AH198" s="31"/>
      <c r="AI198" s="31"/>
      <c r="AJ198" s="32"/>
      <c r="AK198" s="31"/>
      <c r="AL198" s="31"/>
      <c r="AM198" s="31"/>
      <c r="AN198" s="31"/>
      <c r="AO198" s="31"/>
      <c r="AP198" s="31"/>
      <c r="AQ198" s="31"/>
      <c r="AR198" s="32"/>
      <c r="AS198" s="31"/>
      <c r="AT198" s="31"/>
      <c r="AU198" s="31"/>
      <c r="AV198" s="31"/>
      <c r="AW198" s="31"/>
      <c r="AX198" s="31"/>
      <c r="AY198" s="31"/>
      <c r="AZ198" s="32"/>
      <c r="BA198" s="31"/>
      <c r="BB198" s="31"/>
      <c r="BC198" s="31"/>
      <c r="BD198" s="31"/>
      <c r="BE198" s="31"/>
      <c r="BF198" s="31"/>
      <c r="BG198" s="31"/>
      <c r="BH198" s="32"/>
      <c r="BI198" s="31"/>
      <c r="BJ198" s="31"/>
      <c r="BK198" s="31"/>
      <c r="BL198" s="31"/>
      <c r="BM198" s="31"/>
      <c r="BN198" s="31"/>
      <c r="BO198" s="31"/>
      <c r="BP198" s="32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  <c r="GI198" s="31"/>
      <c r="GJ198" s="31"/>
      <c r="GK198" s="31"/>
      <c r="GL198" s="31"/>
      <c r="GM198" s="31"/>
      <c r="GN198" s="31"/>
      <c r="GO198" s="31"/>
      <c r="GP198" s="31"/>
      <c r="GQ198" s="31"/>
      <c r="GR198" s="31"/>
      <c r="GS198" s="31"/>
      <c r="GT198" s="31"/>
      <c r="GU198" s="31"/>
      <c r="GV198" s="31"/>
      <c r="GW198" s="31"/>
      <c r="GX198" s="31"/>
      <c r="GY198" s="31"/>
      <c r="GZ198" s="31"/>
      <c r="HA198" s="31"/>
      <c r="HB198" s="31"/>
      <c r="HC198" s="31"/>
      <c r="HD198" s="31"/>
      <c r="HE198" s="31"/>
      <c r="HF198" s="31"/>
      <c r="HG198" s="31"/>
      <c r="HH198" s="31"/>
      <c r="HI198" s="31"/>
      <c r="HJ198" s="31"/>
      <c r="HK198" s="31"/>
      <c r="HL198" s="31"/>
      <c r="HM198" s="31"/>
      <c r="HN198" s="31"/>
      <c r="HO198" s="31"/>
      <c r="HP198" s="31"/>
      <c r="HQ198" s="31"/>
      <c r="HR198" s="31"/>
      <c r="HS198" s="31"/>
      <c r="HT198" s="31"/>
      <c r="HU198" s="31"/>
      <c r="HV198" s="31"/>
      <c r="HW198" s="31"/>
      <c r="HX198" s="31"/>
      <c r="HY198" s="31"/>
      <c r="HZ198" s="31"/>
      <c r="IA198" s="31"/>
      <c r="IB198" s="31"/>
      <c r="IC198" s="31"/>
      <c r="ID198" s="31"/>
      <c r="IE198" s="31"/>
      <c r="IF198" s="31"/>
      <c r="IG198" s="31"/>
      <c r="IH198" s="31"/>
      <c r="II198" s="31"/>
      <c r="IJ198" s="31"/>
      <c r="IK198" s="31"/>
      <c r="IL198" s="31"/>
      <c r="IM198" s="31"/>
      <c r="IN198" s="31"/>
      <c r="IO198" s="31"/>
      <c r="IP198" s="31"/>
      <c r="IQ198" s="31"/>
      <c r="IR198" s="31"/>
      <c r="IS198" s="31"/>
      <c r="IT198" s="31"/>
      <c r="IU198" s="31"/>
      <c r="IV198" s="31"/>
      <c r="IW198" s="31"/>
      <c r="IX198" s="31"/>
      <c r="IY198" s="31"/>
      <c r="IZ198" s="31"/>
      <c r="JA198" s="31"/>
      <c r="JB198" s="31"/>
      <c r="JC198" s="31"/>
      <c r="JD198" s="31"/>
      <c r="JE198" s="31"/>
      <c r="JF198" s="31"/>
    </row>
    <row r="199" customFormat="1" ht="17.25" spans="1:266">
      <c r="A199" s="32">
        <f>40000000+INDEX(编号表!$B:$B,MATCH(B199,编号表!$A:$A,0))*10000+C199</f>
        <v>40090008</v>
      </c>
      <c r="B199" s="27" t="s">
        <v>618</v>
      </c>
      <c r="C199" s="32">
        <v>8</v>
      </c>
      <c r="D199" s="32" t="s">
        <v>607</v>
      </c>
      <c r="E199" s="32" t="s">
        <v>617</v>
      </c>
      <c r="F199" s="31">
        <f t="shared" si="20"/>
        <v>0</v>
      </c>
      <c r="G199" s="31"/>
      <c r="H199" s="32"/>
      <c r="I199" s="32"/>
      <c r="J199" s="32">
        <f t="shared" si="21"/>
        <v>0</v>
      </c>
      <c r="K199" s="32"/>
      <c r="L199" s="32"/>
      <c r="M199" s="31"/>
      <c r="N199" s="31"/>
      <c r="O199" s="31"/>
      <c r="P199" s="32"/>
      <c r="Q199" s="32"/>
      <c r="R199" s="31"/>
      <c r="S199" s="32"/>
      <c r="T199" s="32"/>
      <c r="U199" s="31"/>
      <c r="V199" s="31"/>
      <c r="W199" s="31"/>
      <c r="X199" s="32"/>
      <c r="Y199" s="32"/>
      <c r="Z199" s="31"/>
      <c r="AA199" s="32"/>
      <c r="AB199" s="32"/>
      <c r="AC199" s="31"/>
      <c r="AD199" s="31"/>
      <c r="AE199" s="31"/>
      <c r="AF199" s="32"/>
      <c r="AG199" s="32"/>
      <c r="AH199" s="31"/>
      <c r="AI199" s="31"/>
      <c r="AJ199" s="32"/>
      <c r="AK199" s="31"/>
      <c r="AL199" s="31"/>
      <c r="AM199" s="31"/>
      <c r="AN199" s="31"/>
      <c r="AO199" s="31"/>
      <c r="AP199" s="31"/>
      <c r="AQ199" s="31"/>
      <c r="AR199" s="32"/>
      <c r="AS199" s="31"/>
      <c r="AT199" s="31"/>
      <c r="AU199" s="31"/>
      <c r="AV199" s="31"/>
      <c r="AW199" s="31"/>
      <c r="AX199" s="31"/>
      <c r="AY199" s="31"/>
      <c r="AZ199" s="32"/>
      <c r="BA199" s="31"/>
      <c r="BB199" s="31"/>
      <c r="BC199" s="31"/>
      <c r="BD199" s="31"/>
      <c r="BE199" s="31"/>
      <c r="BF199" s="31"/>
      <c r="BG199" s="31"/>
      <c r="BH199" s="32"/>
      <c r="BI199" s="31"/>
      <c r="BJ199" s="31"/>
      <c r="BK199" s="31"/>
      <c r="BL199" s="31"/>
      <c r="BM199" s="31"/>
      <c r="BN199" s="31"/>
      <c r="BO199" s="31"/>
      <c r="BP199" s="32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  <c r="HG199" s="31"/>
      <c r="HH199" s="31"/>
      <c r="HI199" s="31"/>
      <c r="HJ199" s="31"/>
      <c r="HK199" s="31"/>
      <c r="HL199" s="31"/>
      <c r="HM199" s="31"/>
      <c r="HN199" s="31"/>
      <c r="HO199" s="31"/>
      <c r="HP199" s="31"/>
      <c r="HQ199" s="31"/>
      <c r="HR199" s="31"/>
      <c r="HS199" s="31"/>
      <c r="HT199" s="31"/>
      <c r="HU199" s="31"/>
      <c r="HV199" s="31"/>
      <c r="HW199" s="31"/>
      <c r="HX199" s="31"/>
      <c r="HY199" s="31"/>
      <c r="HZ199" s="31"/>
      <c r="IA199" s="31"/>
      <c r="IB199" s="31"/>
      <c r="IC199" s="31"/>
      <c r="ID199" s="31"/>
      <c r="IE199" s="31"/>
      <c r="IF199" s="31"/>
      <c r="IG199" s="31"/>
      <c r="IH199" s="31"/>
      <c r="II199" s="31"/>
      <c r="IJ199" s="31"/>
      <c r="IK199" s="31"/>
      <c r="IL199" s="31"/>
      <c r="IM199" s="31"/>
      <c r="IN199" s="31"/>
      <c r="IO199" s="31"/>
      <c r="IP199" s="31"/>
      <c r="IQ199" s="31"/>
      <c r="IR199" s="31"/>
      <c r="IS199" s="31"/>
      <c r="IT199" s="31"/>
      <c r="IU199" s="31"/>
      <c r="IV199" s="31"/>
      <c r="IW199" s="31"/>
      <c r="IX199" s="31"/>
      <c r="IY199" s="31"/>
      <c r="IZ199" s="31"/>
      <c r="JA199" s="31"/>
      <c r="JB199" s="31"/>
      <c r="JC199" s="31"/>
      <c r="JD199" s="31"/>
      <c r="JE199" s="31"/>
      <c r="JF199" s="31"/>
    </row>
    <row r="200" customFormat="1" ht="17.25" spans="1:266">
      <c r="A200" s="32">
        <f>40000000+INDEX(编号表!$B:$B,MATCH(B200,编号表!$A:$A,0))*10000+C200</f>
        <v>40090009</v>
      </c>
      <c r="B200" s="27" t="s">
        <v>618</v>
      </c>
      <c r="C200" s="32">
        <v>9</v>
      </c>
      <c r="D200" s="32" t="s">
        <v>608</v>
      </c>
      <c r="E200" s="32" t="s">
        <v>617</v>
      </c>
      <c r="F200" s="31">
        <f t="shared" si="20"/>
        <v>0</v>
      </c>
      <c r="G200" s="31"/>
      <c r="H200" s="32"/>
      <c r="I200" s="32"/>
      <c r="J200" s="32">
        <f t="shared" si="21"/>
        <v>0</v>
      </c>
      <c r="K200" s="32"/>
      <c r="L200" s="32"/>
      <c r="M200" s="31"/>
      <c r="N200" s="31"/>
      <c r="O200" s="31"/>
      <c r="P200" s="32"/>
      <c r="Q200" s="32"/>
      <c r="R200" s="31"/>
      <c r="S200" s="32"/>
      <c r="T200" s="32"/>
      <c r="U200" s="31"/>
      <c r="V200" s="31"/>
      <c r="W200" s="31"/>
      <c r="X200" s="32"/>
      <c r="Y200" s="32"/>
      <c r="Z200" s="31"/>
      <c r="AA200" s="32"/>
      <c r="AB200" s="32"/>
      <c r="AC200" s="31"/>
      <c r="AD200" s="31"/>
      <c r="AE200" s="31"/>
      <c r="AF200" s="32"/>
      <c r="AG200" s="32"/>
      <c r="AH200" s="31"/>
      <c r="AI200" s="31"/>
      <c r="AJ200" s="32"/>
      <c r="AK200" s="31"/>
      <c r="AL200" s="31"/>
      <c r="AM200" s="31"/>
      <c r="AN200" s="31"/>
      <c r="AO200" s="31"/>
      <c r="AP200" s="31"/>
      <c r="AQ200" s="31"/>
      <c r="AR200" s="32"/>
      <c r="AS200" s="31"/>
      <c r="AT200" s="31"/>
      <c r="AU200" s="31"/>
      <c r="AV200" s="31"/>
      <c r="AW200" s="31"/>
      <c r="AX200" s="31"/>
      <c r="AY200" s="31"/>
      <c r="AZ200" s="32"/>
      <c r="BA200" s="31"/>
      <c r="BB200" s="31"/>
      <c r="BC200" s="31"/>
      <c r="BD200" s="31"/>
      <c r="BE200" s="31"/>
      <c r="BF200" s="31"/>
      <c r="BG200" s="31"/>
      <c r="BH200" s="32"/>
      <c r="BI200" s="31"/>
      <c r="BJ200" s="31"/>
      <c r="BK200" s="31"/>
      <c r="BL200" s="31"/>
      <c r="BM200" s="31"/>
      <c r="BN200" s="31"/>
      <c r="BO200" s="31"/>
      <c r="BP200" s="32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  <c r="GI200" s="31"/>
      <c r="GJ200" s="31"/>
      <c r="GK200" s="31"/>
      <c r="GL200" s="31"/>
      <c r="GM200" s="31"/>
      <c r="GN200" s="31"/>
      <c r="GO200" s="31"/>
      <c r="GP200" s="31"/>
      <c r="GQ200" s="31"/>
      <c r="GR200" s="31"/>
      <c r="GS200" s="31"/>
      <c r="GT200" s="31"/>
      <c r="GU200" s="31"/>
      <c r="GV200" s="31"/>
      <c r="GW200" s="31"/>
      <c r="GX200" s="31"/>
      <c r="GY200" s="31"/>
      <c r="GZ200" s="31"/>
      <c r="HA200" s="31"/>
      <c r="HB200" s="31"/>
      <c r="HC200" s="31"/>
      <c r="HD200" s="31"/>
      <c r="HE200" s="31"/>
      <c r="HF200" s="31"/>
      <c r="HG200" s="31"/>
      <c r="HH200" s="31"/>
      <c r="HI200" s="31"/>
      <c r="HJ200" s="31"/>
      <c r="HK200" s="31"/>
      <c r="HL200" s="31"/>
      <c r="HM200" s="31"/>
      <c r="HN200" s="31"/>
      <c r="HO200" s="31"/>
      <c r="HP200" s="31"/>
      <c r="HQ200" s="31"/>
      <c r="HR200" s="31"/>
      <c r="HS200" s="31"/>
      <c r="HT200" s="31"/>
      <c r="HU200" s="31"/>
      <c r="HV200" s="31"/>
      <c r="HW200" s="31"/>
      <c r="HX200" s="31"/>
      <c r="HY200" s="31"/>
      <c r="HZ200" s="31"/>
      <c r="IA200" s="31"/>
      <c r="IB200" s="31"/>
      <c r="IC200" s="31"/>
      <c r="ID200" s="31"/>
      <c r="IE200" s="31"/>
      <c r="IF200" s="31"/>
      <c r="IG200" s="31"/>
      <c r="IH200" s="31"/>
      <c r="II200" s="31"/>
      <c r="IJ200" s="31"/>
      <c r="IK200" s="31"/>
      <c r="IL200" s="31"/>
      <c r="IM200" s="31"/>
      <c r="IN200" s="31"/>
      <c r="IO200" s="31"/>
      <c r="IP200" s="31"/>
      <c r="IQ200" s="31"/>
      <c r="IR200" s="31"/>
      <c r="IS200" s="31"/>
      <c r="IT200" s="31"/>
      <c r="IU200" s="31"/>
      <c r="IV200" s="31"/>
      <c r="IW200" s="31"/>
      <c r="IX200" s="31"/>
      <c r="IY200" s="31"/>
      <c r="IZ200" s="31"/>
      <c r="JA200" s="31"/>
      <c r="JB200" s="31"/>
      <c r="JC200" s="31"/>
      <c r="JD200" s="31"/>
      <c r="JE200" s="31"/>
      <c r="JF200" s="31"/>
    </row>
    <row r="201" customFormat="1" ht="17.25" spans="1:266">
      <c r="A201" s="32">
        <f>40000000+INDEX(编号表!$B:$B,MATCH(B201,编号表!$A:$A,0))*10000+C201</f>
        <v>40090010</v>
      </c>
      <c r="B201" s="27" t="s">
        <v>618</v>
      </c>
      <c r="C201" s="32">
        <v>10</v>
      </c>
      <c r="D201" s="32" t="s">
        <v>609</v>
      </c>
      <c r="E201" s="32" t="s">
        <v>617</v>
      </c>
      <c r="F201" s="31">
        <f t="shared" si="20"/>
        <v>0</v>
      </c>
      <c r="G201" s="31"/>
      <c r="H201" s="32"/>
      <c r="I201" s="32"/>
      <c r="J201" s="32">
        <f t="shared" si="21"/>
        <v>0</v>
      </c>
      <c r="K201" s="32"/>
      <c r="L201" s="32"/>
      <c r="M201" s="31"/>
      <c r="N201" s="31"/>
      <c r="O201" s="31"/>
      <c r="P201" s="32"/>
      <c r="Q201" s="32"/>
      <c r="R201" s="31"/>
      <c r="S201" s="32"/>
      <c r="T201" s="32"/>
      <c r="U201" s="31"/>
      <c r="V201" s="31"/>
      <c r="W201" s="31"/>
      <c r="X201" s="32"/>
      <c r="Y201" s="32"/>
      <c r="Z201" s="31"/>
      <c r="AA201" s="32"/>
      <c r="AB201" s="32"/>
      <c r="AC201" s="31"/>
      <c r="AD201" s="31"/>
      <c r="AE201" s="31"/>
      <c r="AF201" s="32"/>
      <c r="AG201" s="32"/>
      <c r="AH201" s="31"/>
      <c r="AI201" s="31"/>
      <c r="AJ201" s="32"/>
      <c r="AK201" s="31"/>
      <c r="AL201" s="31"/>
      <c r="AM201" s="31"/>
      <c r="AN201" s="31"/>
      <c r="AO201" s="31"/>
      <c r="AP201" s="31"/>
      <c r="AQ201" s="31"/>
      <c r="AR201" s="32"/>
      <c r="AS201" s="31"/>
      <c r="AT201" s="31"/>
      <c r="AU201" s="31"/>
      <c r="AV201" s="31"/>
      <c r="AW201" s="31"/>
      <c r="AX201" s="31"/>
      <c r="AY201" s="31"/>
      <c r="AZ201" s="32"/>
      <c r="BA201" s="31"/>
      <c r="BB201" s="31"/>
      <c r="BC201" s="31"/>
      <c r="BD201" s="31"/>
      <c r="BE201" s="31"/>
      <c r="BF201" s="31"/>
      <c r="BG201" s="31"/>
      <c r="BH201" s="32"/>
      <c r="BI201" s="31"/>
      <c r="BJ201" s="31"/>
      <c r="BK201" s="31"/>
      <c r="BL201" s="31"/>
      <c r="BM201" s="31"/>
      <c r="BN201" s="31"/>
      <c r="BO201" s="31"/>
      <c r="BP201" s="32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  <c r="HI201" s="31"/>
      <c r="HJ201" s="31"/>
      <c r="HK201" s="31"/>
      <c r="HL201" s="31"/>
      <c r="HM201" s="31"/>
      <c r="HN201" s="31"/>
      <c r="HO201" s="31"/>
      <c r="HP201" s="31"/>
      <c r="HQ201" s="31"/>
      <c r="HR201" s="31"/>
      <c r="HS201" s="31"/>
      <c r="HT201" s="31"/>
      <c r="HU201" s="31"/>
      <c r="HV201" s="31"/>
      <c r="HW201" s="31"/>
      <c r="HX201" s="31"/>
      <c r="HY201" s="31"/>
      <c r="HZ201" s="31"/>
      <c r="IA201" s="31"/>
      <c r="IB201" s="31"/>
      <c r="IC201" s="31"/>
      <c r="ID201" s="31"/>
      <c r="IE201" s="31"/>
      <c r="IF201" s="31"/>
      <c r="IG201" s="31"/>
      <c r="IH201" s="31"/>
      <c r="II201" s="31"/>
      <c r="IJ201" s="31"/>
      <c r="IK201" s="31"/>
      <c r="IL201" s="31"/>
      <c r="IM201" s="31"/>
      <c r="IN201" s="31"/>
      <c r="IO201" s="31"/>
      <c r="IP201" s="31"/>
      <c r="IQ201" s="31"/>
      <c r="IR201" s="31"/>
      <c r="IS201" s="31"/>
      <c r="IT201" s="31"/>
      <c r="IU201" s="31"/>
      <c r="IV201" s="31"/>
      <c r="IW201" s="31"/>
      <c r="IX201" s="31"/>
      <c r="IY201" s="31"/>
      <c r="IZ201" s="31"/>
      <c r="JA201" s="31"/>
      <c r="JB201" s="31"/>
      <c r="JC201" s="31"/>
      <c r="JD201" s="31"/>
      <c r="JE201" s="31"/>
      <c r="JF201" s="31"/>
    </row>
    <row r="202" customFormat="1" ht="17.25" spans="1:266">
      <c r="A202" s="32">
        <f>40000000+INDEX(编号表!$B:$B,MATCH(B202,编号表!$A:$A,0))*10000+C202</f>
        <v>40090011</v>
      </c>
      <c r="B202" s="27" t="s">
        <v>618</v>
      </c>
      <c r="C202" s="32">
        <v>11</v>
      </c>
      <c r="D202" s="32" t="s">
        <v>610</v>
      </c>
      <c r="E202" s="32" t="s">
        <v>617</v>
      </c>
      <c r="F202" s="31">
        <f t="shared" si="20"/>
        <v>0</v>
      </c>
      <c r="G202" s="31"/>
      <c r="H202" s="32"/>
      <c r="I202" s="32"/>
      <c r="J202" s="32">
        <f t="shared" ref="J202:J255" si="22">COUNT(P202,X202,AF202,AN202,AV202,BD202,BL202,BT202,CB202,CJ202,CR202,CZ202,DH202,DP202,DX202,EF202,EN202,EV202,FD202,FL202,FT202,GB202,GJ202,GR202,GZ202,HH202,HP202,HX202,IF202,IN202,IV202,JD202)</f>
        <v>0</v>
      </c>
      <c r="K202" s="32"/>
      <c r="L202" s="32"/>
      <c r="M202" s="31"/>
      <c r="N202" s="31"/>
      <c r="O202" s="31"/>
      <c r="P202" s="32"/>
      <c r="Q202" s="32"/>
      <c r="R202" s="31"/>
      <c r="S202" s="32"/>
      <c r="T202" s="32"/>
      <c r="U202" s="31"/>
      <c r="V202" s="31"/>
      <c r="W202" s="31"/>
      <c r="X202" s="32"/>
      <c r="Y202" s="32"/>
      <c r="Z202" s="31"/>
      <c r="AA202" s="32"/>
      <c r="AB202" s="32"/>
      <c r="AC202" s="31"/>
      <c r="AD202" s="31"/>
      <c r="AE202" s="31"/>
      <c r="AF202" s="32"/>
      <c r="AG202" s="32"/>
      <c r="AH202" s="31"/>
      <c r="AI202" s="31"/>
      <c r="AJ202" s="32"/>
      <c r="AK202" s="31"/>
      <c r="AL202" s="31"/>
      <c r="AM202" s="31"/>
      <c r="AN202" s="31"/>
      <c r="AO202" s="31"/>
      <c r="AP202" s="31"/>
      <c r="AQ202" s="31"/>
      <c r="AR202" s="32"/>
      <c r="AS202" s="31"/>
      <c r="AT202" s="31"/>
      <c r="AU202" s="31"/>
      <c r="AV202" s="31"/>
      <c r="AW202" s="31"/>
      <c r="AX202" s="31"/>
      <c r="AY202" s="31"/>
      <c r="AZ202" s="32"/>
      <c r="BA202" s="31"/>
      <c r="BB202" s="31"/>
      <c r="BC202" s="31"/>
      <c r="BD202" s="31"/>
      <c r="BE202" s="31"/>
      <c r="BF202" s="31"/>
      <c r="BG202" s="31"/>
      <c r="BH202" s="32"/>
      <c r="BI202" s="31"/>
      <c r="BJ202" s="31"/>
      <c r="BK202" s="31"/>
      <c r="BL202" s="31"/>
      <c r="BM202" s="31"/>
      <c r="BN202" s="31"/>
      <c r="BO202" s="31"/>
      <c r="BP202" s="32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/>
      <c r="FW202" s="31"/>
      <c r="FX202" s="31"/>
      <c r="FY202" s="31"/>
      <c r="FZ202" s="31"/>
      <c r="GA202" s="31"/>
      <c r="GB202" s="31"/>
      <c r="GC202" s="31"/>
      <c r="GD202" s="31"/>
      <c r="GE202" s="31"/>
      <c r="GF202" s="31"/>
      <c r="GG202" s="31"/>
      <c r="GH202" s="31"/>
      <c r="GI202" s="31"/>
      <c r="GJ202" s="31"/>
      <c r="GK202" s="31"/>
      <c r="GL202" s="31"/>
      <c r="GM202" s="31"/>
      <c r="GN202" s="31"/>
      <c r="GO202" s="31"/>
      <c r="GP202" s="31"/>
      <c r="GQ202" s="31"/>
      <c r="GR202" s="31"/>
      <c r="GS202" s="31"/>
      <c r="GT202" s="31"/>
      <c r="GU202" s="31"/>
      <c r="GV202" s="31"/>
      <c r="GW202" s="31"/>
      <c r="GX202" s="31"/>
      <c r="GY202" s="31"/>
      <c r="GZ202" s="31"/>
      <c r="HA202" s="31"/>
      <c r="HB202" s="31"/>
      <c r="HC202" s="31"/>
      <c r="HD202" s="31"/>
      <c r="HE202" s="31"/>
      <c r="HF202" s="31"/>
      <c r="HG202" s="31"/>
      <c r="HH202" s="31"/>
      <c r="HI202" s="31"/>
      <c r="HJ202" s="31"/>
      <c r="HK202" s="31"/>
      <c r="HL202" s="31"/>
      <c r="HM202" s="31"/>
      <c r="HN202" s="31"/>
      <c r="HO202" s="31"/>
      <c r="HP202" s="31"/>
      <c r="HQ202" s="31"/>
      <c r="HR202" s="31"/>
      <c r="HS202" s="31"/>
      <c r="HT202" s="31"/>
      <c r="HU202" s="31"/>
      <c r="HV202" s="31"/>
      <c r="HW202" s="31"/>
      <c r="HX202" s="31"/>
      <c r="HY202" s="31"/>
      <c r="HZ202" s="31"/>
      <c r="IA202" s="31"/>
      <c r="IB202" s="31"/>
      <c r="IC202" s="31"/>
      <c r="ID202" s="31"/>
      <c r="IE202" s="31"/>
      <c r="IF202" s="31"/>
      <c r="IG202" s="31"/>
      <c r="IH202" s="31"/>
      <c r="II202" s="31"/>
      <c r="IJ202" s="31"/>
      <c r="IK202" s="31"/>
      <c r="IL202" s="31"/>
      <c r="IM202" s="31"/>
      <c r="IN202" s="31"/>
      <c r="IO202" s="31"/>
      <c r="IP202" s="31"/>
      <c r="IQ202" s="31"/>
      <c r="IR202" s="31"/>
      <c r="IS202" s="31"/>
      <c r="IT202" s="31"/>
      <c r="IU202" s="31"/>
      <c r="IV202" s="31"/>
      <c r="IW202" s="31"/>
      <c r="IX202" s="31"/>
      <c r="IY202" s="31"/>
      <c r="IZ202" s="31"/>
      <c r="JA202" s="31"/>
      <c r="JB202" s="31"/>
      <c r="JC202" s="31"/>
      <c r="JD202" s="31"/>
      <c r="JE202" s="31"/>
      <c r="JF202" s="31"/>
    </row>
    <row r="203" customFormat="1" ht="17.25" spans="1:266">
      <c r="A203" s="32">
        <f>40000000+INDEX(编号表!$B:$B,MATCH(B203,编号表!$A:$A,0))*10000+C203</f>
        <v>40090012</v>
      </c>
      <c r="B203" s="27" t="s">
        <v>618</v>
      </c>
      <c r="C203" s="32">
        <v>12</v>
      </c>
      <c r="D203" s="32" t="s">
        <v>611</v>
      </c>
      <c r="E203" s="32" t="s">
        <v>617</v>
      </c>
      <c r="F203" s="31">
        <f t="shared" si="20"/>
        <v>0</v>
      </c>
      <c r="G203" s="31"/>
      <c r="H203" s="32"/>
      <c r="I203" s="32"/>
      <c r="J203" s="32">
        <f t="shared" si="22"/>
        <v>0</v>
      </c>
      <c r="K203" s="32"/>
      <c r="L203" s="32"/>
      <c r="M203" s="31"/>
      <c r="N203" s="31"/>
      <c r="O203" s="31"/>
      <c r="P203" s="32"/>
      <c r="Q203" s="32"/>
      <c r="R203" s="31"/>
      <c r="S203" s="32"/>
      <c r="T203" s="32"/>
      <c r="U203" s="31"/>
      <c r="V203" s="31"/>
      <c r="W203" s="31"/>
      <c r="X203" s="32"/>
      <c r="Y203" s="32"/>
      <c r="Z203" s="31"/>
      <c r="AA203" s="32"/>
      <c r="AB203" s="32"/>
      <c r="AC203" s="31"/>
      <c r="AD203" s="31"/>
      <c r="AE203" s="31"/>
      <c r="AF203" s="32"/>
      <c r="AG203" s="32"/>
      <c r="AH203" s="31"/>
      <c r="AI203" s="31"/>
      <c r="AJ203" s="32"/>
      <c r="AK203" s="31"/>
      <c r="AL203" s="31"/>
      <c r="AM203" s="31"/>
      <c r="AN203" s="31"/>
      <c r="AO203" s="31"/>
      <c r="AP203" s="31"/>
      <c r="AQ203" s="31"/>
      <c r="AR203" s="32"/>
      <c r="AS203" s="31"/>
      <c r="AT203" s="31"/>
      <c r="AU203" s="31"/>
      <c r="AV203" s="31"/>
      <c r="AW203" s="31"/>
      <c r="AX203" s="31"/>
      <c r="AY203" s="31"/>
      <c r="AZ203" s="32"/>
      <c r="BA203" s="31"/>
      <c r="BB203" s="31"/>
      <c r="BC203" s="31"/>
      <c r="BD203" s="31"/>
      <c r="BE203" s="31"/>
      <c r="BF203" s="31"/>
      <c r="BG203" s="31"/>
      <c r="BH203" s="32"/>
      <c r="BI203" s="31"/>
      <c r="BJ203" s="31"/>
      <c r="BK203" s="31"/>
      <c r="BL203" s="31"/>
      <c r="BM203" s="31"/>
      <c r="BN203" s="31"/>
      <c r="BO203" s="31"/>
      <c r="BP203" s="32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  <c r="GI203" s="31"/>
      <c r="GJ203" s="31"/>
      <c r="GK203" s="31"/>
      <c r="GL203" s="31"/>
      <c r="GM203" s="31"/>
      <c r="GN203" s="31"/>
      <c r="GO203" s="31"/>
      <c r="GP203" s="31"/>
      <c r="GQ203" s="31"/>
      <c r="GR203" s="31"/>
      <c r="GS203" s="31"/>
      <c r="GT203" s="31"/>
      <c r="GU203" s="31"/>
      <c r="GV203" s="31"/>
      <c r="GW203" s="31"/>
      <c r="GX203" s="31"/>
      <c r="GY203" s="31"/>
      <c r="GZ203" s="31"/>
      <c r="HA203" s="31"/>
      <c r="HB203" s="31"/>
      <c r="HC203" s="31"/>
      <c r="HD203" s="31"/>
      <c r="HE203" s="31"/>
      <c r="HF203" s="31"/>
      <c r="HG203" s="31"/>
      <c r="HH203" s="31"/>
      <c r="HI203" s="31"/>
      <c r="HJ203" s="31"/>
      <c r="HK203" s="31"/>
      <c r="HL203" s="31"/>
      <c r="HM203" s="31"/>
      <c r="HN203" s="31"/>
      <c r="HO203" s="31"/>
      <c r="HP203" s="31"/>
      <c r="HQ203" s="31"/>
      <c r="HR203" s="31"/>
      <c r="HS203" s="31"/>
      <c r="HT203" s="31"/>
      <c r="HU203" s="31"/>
      <c r="HV203" s="31"/>
      <c r="HW203" s="31"/>
      <c r="HX203" s="31"/>
      <c r="HY203" s="31"/>
      <c r="HZ203" s="31"/>
      <c r="IA203" s="31"/>
      <c r="IB203" s="31"/>
      <c r="IC203" s="31"/>
      <c r="ID203" s="31"/>
      <c r="IE203" s="31"/>
      <c r="IF203" s="31"/>
      <c r="IG203" s="31"/>
      <c r="IH203" s="31"/>
      <c r="II203" s="31"/>
      <c r="IJ203" s="31"/>
      <c r="IK203" s="31"/>
      <c r="IL203" s="31"/>
      <c r="IM203" s="31"/>
      <c r="IN203" s="31"/>
      <c r="IO203" s="31"/>
      <c r="IP203" s="31"/>
      <c r="IQ203" s="31"/>
      <c r="IR203" s="31"/>
      <c r="IS203" s="31"/>
      <c r="IT203" s="31"/>
      <c r="IU203" s="31"/>
      <c r="IV203" s="31"/>
      <c r="IW203" s="31"/>
      <c r="IX203" s="31"/>
      <c r="IY203" s="31"/>
      <c r="IZ203" s="31"/>
      <c r="JA203" s="31"/>
      <c r="JB203" s="31"/>
      <c r="JC203" s="31"/>
      <c r="JD203" s="31"/>
      <c r="JE203" s="31"/>
      <c r="JF203" s="31"/>
    </row>
    <row r="204" customFormat="1" ht="17.25" spans="1:266">
      <c r="A204" s="32">
        <f>40000000+INDEX(编号表!$B:$B,MATCH(B204,编号表!$A:$A,0))*10000+C204</f>
        <v>40100001</v>
      </c>
      <c r="B204" s="27" t="s">
        <v>619</v>
      </c>
      <c r="C204" s="32">
        <v>1</v>
      </c>
      <c r="D204" s="32" t="s">
        <v>613</v>
      </c>
      <c r="E204" s="32" t="s">
        <v>617</v>
      </c>
      <c r="F204" s="31">
        <f t="shared" si="20"/>
        <v>100000000</v>
      </c>
      <c r="G204" s="31"/>
      <c r="H204" s="32">
        <v>3</v>
      </c>
      <c r="I204" s="32">
        <v>5</v>
      </c>
      <c r="J204" s="32">
        <f t="shared" si="22"/>
        <v>8</v>
      </c>
      <c r="K204" s="31">
        <v>34050001</v>
      </c>
      <c r="L204" s="32" t="str" cm="1">
        <f t="array" ref="L204">INDEX(编号表!$E:$E,MATCH(K204,编号表!$D:$D,0))</f>
        <v>小魔法药</v>
      </c>
      <c r="M204" s="31"/>
      <c r="N204" s="31"/>
      <c r="O204" s="31"/>
      <c r="P204" s="32">
        <v>20000000</v>
      </c>
      <c r="Q204" s="32">
        <v>1</v>
      </c>
      <c r="R204" s="31"/>
      <c r="S204" s="31">
        <f>K204+1</f>
        <v>34050002</v>
      </c>
      <c r="T204" s="32" t="str" cm="1">
        <f t="array" ref="T204">INDEX(编号表!$E:$E,MATCH(S204,编号表!$D:$D,0))</f>
        <v>强效魔法药</v>
      </c>
      <c r="U204" s="31"/>
      <c r="V204" s="31"/>
      <c r="W204" s="31"/>
      <c r="X204" s="32">
        <v>20000000</v>
      </c>
      <c r="Y204" s="32">
        <v>1</v>
      </c>
      <c r="Z204" s="31"/>
      <c r="AA204" s="31">
        <f>S204+1</f>
        <v>34050003</v>
      </c>
      <c r="AB204" s="32" t="str" cm="1">
        <f t="array" ref="AB204">INDEX(编号表!$E:$E,MATCH(AA204,编号表!$D:$D,0))</f>
        <v>特级魔法药</v>
      </c>
      <c r="AC204" s="31"/>
      <c r="AD204" s="31"/>
      <c r="AE204" s="31"/>
      <c r="AF204" s="32">
        <v>10000000</v>
      </c>
      <c r="AG204" s="32">
        <v>1</v>
      </c>
      <c r="AH204" s="31"/>
      <c r="AI204" s="31">
        <f>AA204+1</f>
        <v>34050004</v>
      </c>
      <c r="AJ204" s="32" t="str" cm="1">
        <f t="array" ref="AJ204">INDEX(编号表!$E:$E,MATCH(AI204,编号表!$D:$D,0))</f>
        <v>小金创药</v>
      </c>
      <c r="AK204" s="31"/>
      <c r="AL204" s="31"/>
      <c r="AM204" s="31"/>
      <c r="AN204" s="32">
        <v>18000000</v>
      </c>
      <c r="AO204" s="32">
        <v>1</v>
      </c>
      <c r="AP204" s="31"/>
      <c r="AQ204" s="31">
        <f>AI204+1</f>
        <v>34050005</v>
      </c>
      <c r="AR204" s="32" t="str" cm="1">
        <f t="array" ref="AR204">INDEX(编号表!$E:$E,MATCH(AQ204,编号表!$D:$D,0))</f>
        <v>强效金创药</v>
      </c>
      <c r="AS204" s="31"/>
      <c r="AT204" s="31"/>
      <c r="AU204" s="31"/>
      <c r="AV204" s="32">
        <v>15000000</v>
      </c>
      <c r="AW204" s="32">
        <v>1</v>
      </c>
      <c r="AX204" s="31"/>
      <c r="AY204" s="31">
        <f>AQ204+1</f>
        <v>34050006</v>
      </c>
      <c r="AZ204" s="32" t="str" cm="1">
        <f t="array" ref="AZ204">INDEX(编号表!$E:$E,MATCH(AY204,编号表!$D:$D,0))</f>
        <v>特级金创药</v>
      </c>
      <c r="BA204" s="31"/>
      <c r="BB204" s="31"/>
      <c r="BC204" s="31"/>
      <c r="BD204" s="32">
        <v>10000000</v>
      </c>
      <c r="BE204" s="32">
        <v>1</v>
      </c>
      <c r="BF204" s="31"/>
      <c r="BG204" s="31">
        <f>AY204+1</f>
        <v>34050007</v>
      </c>
      <c r="BH204" s="32" t="str" cm="1">
        <f t="array" ref="BH204">INDEX(编号表!$E:$E,MATCH(BG204,编号表!$D:$D,0))</f>
        <v>太阳水</v>
      </c>
      <c r="BI204" s="31"/>
      <c r="BJ204" s="31"/>
      <c r="BK204" s="31"/>
      <c r="BL204" s="32">
        <v>5000000</v>
      </c>
      <c r="BM204" s="32">
        <v>1</v>
      </c>
      <c r="BN204" s="31"/>
      <c r="BO204" s="31">
        <f>BG204+1</f>
        <v>34050008</v>
      </c>
      <c r="BP204" s="32" t="str" cm="1">
        <f t="array" ref="BP204">INDEX(编号表!$E:$E,MATCH(BO204,编号表!$D:$D,0))</f>
        <v>强效太阳水</v>
      </c>
      <c r="BQ204" s="31"/>
      <c r="BR204" s="31"/>
      <c r="BS204" s="31"/>
      <c r="BT204" s="32">
        <v>2000000</v>
      </c>
      <c r="BU204" s="32">
        <v>1</v>
      </c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  <c r="FN204" s="31"/>
      <c r="FO204" s="31"/>
      <c r="FP204" s="31"/>
      <c r="FQ204" s="31"/>
      <c r="FR204" s="31"/>
      <c r="FS204" s="31"/>
      <c r="FT204" s="31"/>
      <c r="FU204" s="31"/>
      <c r="FV204" s="31"/>
      <c r="FW204" s="31"/>
      <c r="FX204" s="31"/>
      <c r="FY204" s="31"/>
      <c r="FZ204" s="31"/>
      <c r="GA204" s="31"/>
      <c r="GB204" s="31"/>
      <c r="GC204" s="31"/>
      <c r="GD204" s="31"/>
      <c r="GE204" s="31"/>
      <c r="GF204" s="31"/>
      <c r="GG204" s="31"/>
      <c r="GH204" s="31"/>
      <c r="GI204" s="31"/>
      <c r="GJ204" s="31"/>
      <c r="GK204" s="31"/>
      <c r="GL204" s="31"/>
      <c r="GM204" s="31"/>
      <c r="GN204" s="31"/>
      <c r="GO204" s="31"/>
      <c r="GP204" s="31"/>
      <c r="GQ204" s="31"/>
      <c r="GR204" s="31"/>
      <c r="GS204" s="31"/>
      <c r="GT204" s="31"/>
      <c r="GU204" s="31"/>
      <c r="GV204" s="31"/>
      <c r="GW204" s="31"/>
      <c r="GX204" s="31"/>
      <c r="GY204" s="31"/>
      <c r="GZ204" s="31"/>
      <c r="HA204" s="31"/>
      <c r="HB204" s="31"/>
      <c r="HC204" s="31"/>
      <c r="HD204" s="31"/>
      <c r="HE204" s="31"/>
      <c r="HF204" s="31"/>
      <c r="HG204" s="31"/>
      <c r="HH204" s="31"/>
      <c r="HI204" s="31"/>
      <c r="HJ204" s="31"/>
      <c r="HK204" s="31"/>
      <c r="HL204" s="31"/>
      <c r="HM204" s="31"/>
      <c r="HN204" s="31"/>
      <c r="HO204" s="31"/>
      <c r="HP204" s="31"/>
      <c r="HQ204" s="31"/>
      <c r="HR204" s="31"/>
      <c r="HS204" s="31"/>
      <c r="HT204" s="31"/>
      <c r="HU204" s="31"/>
      <c r="HV204" s="31"/>
      <c r="HW204" s="31"/>
      <c r="HX204" s="31"/>
      <c r="HY204" s="31"/>
      <c r="HZ204" s="31"/>
      <c r="IA204" s="31"/>
      <c r="IB204" s="31"/>
      <c r="IC204" s="31"/>
      <c r="ID204" s="31"/>
      <c r="IE204" s="31"/>
      <c r="IF204" s="31"/>
      <c r="IG204" s="31"/>
      <c r="IH204" s="31"/>
      <c r="II204" s="31"/>
      <c r="IJ204" s="31"/>
      <c r="IK204" s="31"/>
      <c r="IL204" s="31"/>
      <c r="IM204" s="31"/>
      <c r="IN204" s="31"/>
      <c r="IO204" s="31"/>
      <c r="IP204" s="31"/>
      <c r="IQ204" s="31"/>
      <c r="IR204" s="31"/>
      <c r="IS204" s="31"/>
      <c r="IT204" s="31"/>
      <c r="IU204" s="31"/>
      <c r="IV204" s="31"/>
      <c r="IW204" s="31"/>
      <c r="IX204" s="31"/>
      <c r="IY204" s="31"/>
      <c r="IZ204" s="31"/>
      <c r="JA204" s="31"/>
      <c r="JB204" s="31"/>
      <c r="JC204" s="31"/>
      <c r="JD204" s="31"/>
      <c r="JE204" s="31"/>
      <c r="JF204" s="31"/>
    </row>
    <row r="205" customFormat="1" ht="17.25" spans="1:266">
      <c r="A205" s="32">
        <f>40000000+INDEX(编号表!$B:$B,MATCH(B205,编号表!$A:$A,0))*10000+C205</f>
        <v>40100002</v>
      </c>
      <c r="B205" s="27" t="s">
        <v>619</v>
      </c>
      <c r="C205" s="32">
        <v>2</v>
      </c>
      <c r="D205" s="32" t="s">
        <v>614</v>
      </c>
      <c r="E205" s="32" t="s">
        <v>617</v>
      </c>
      <c r="F205" s="31">
        <f t="shared" si="20"/>
        <v>0</v>
      </c>
      <c r="G205" s="31"/>
      <c r="H205" s="32"/>
      <c r="I205" s="32"/>
      <c r="J205" s="32">
        <f t="shared" si="22"/>
        <v>0</v>
      </c>
      <c r="K205" s="32"/>
      <c r="L205" s="32"/>
      <c r="M205" s="31"/>
      <c r="N205" s="31"/>
      <c r="O205" s="31"/>
      <c r="P205" s="32"/>
      <c r="Q205" s="32"/>
      <c r="R205" s="31"/>
      <c r="S205" s="32"/>
      <c r="T205" s="32"/>
      <c r="U205" s="31"/>
      <c r="V205" s="31"/>
      <c r="W205" s="31"/>
      <c r="X205" s="32"/>
      <c r="Y205" s="32"/>
      <c r="Z205" s="31"/>
      <c r="AA205" s="32"/>
      <c r="AB205" s="32"/>
      <c r="AC205" s="31"/>
      <c r="AD205" s="31"/>
      <c r="AE205" s="31"/>
      <c r="AF205" s="32"/>
      <c r="AG205" s="32"/>
      <c r="AH205" s="31"/>
      <c r="AI205" s="31"/>
      <c r="AJ205" s="32"/>
      <c r="AK205" s="31"/>
      <c r="AL205" s="31"/>
      <c r="AM205" s="31"/>
      <c r="AN205" s="31"/>
      <c r="AO205" s="31"/>
      <c r="AP205" s="31"/>
      <c r="AQ205" s="31"/>
      <c r="AR205" s="32"/>
      <c r="AS205" s="31"/>
      <c r="AT205" s="31"/>
      <c r="AU205" s="31"/>
      <c r="AV205" s="31"/>
      <c r="AW205" s="31"/>
      <c r="AX205" s="31"/>
      <c r="AY205" s="31"/>
      <c r="AZ205" s="32"/>
      <c r="BA205" s="31"/>
      <c r="BB205" s="31"/>
      <c r="BC205" s="31"/>
      <c r="BD205" s="31"/>
      <c r="BE205" s="31"/>
      <c r="BF205" s="31"/>
      <c r="BG205" s="31"/>
      <c r="BH205" s="32"/>
      <c r="BI205" s="31"/>
      <c r="BJ205" s="31"/>
      <c r="BK205" s="31"/>
      <c r="BL205" s="31"/>
      <c r="BM205" s="31"/>
      <c r="BN205" s="31"/>
      <c r="BO205" s="31"/>
      <c r="BP205" s="32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31"/>
      <c r="GO205" s="31"/>
      <c r="GP205" s="31"/>
      <c r="GQ205" s="31"/>
      <c r="GR205" s="31"/>
      <c r="GS205" s="31"/>
      <c r="GT205" s="31"/>
      <c r="GU205" s="31"/>
      <c r="GV205" s="31"/>
      <c r="GW205" s="31"/>
      <c r="GX205" s="31"/>
      <c r="GY205" s="31"/>
      <c r="GZ205" s="31"/>
      <c r="HA205" s="31"/>
      <c r="HB205" s="31"/>
      <c r="HC205" s="31"/>
      <c r="HD205" s="31"/>
      <c r="HE205" s="31"/>
      <c r="HF205" s="31"/>
      <c r="HG205" s="31"/>
      <c r="HH205" s="31"/>
      <c r="HI205" s="31"/>
      <c r="HJ205" s="31"/>
      <c r="HK205" s="31"/>
      <c r="HL205" s="31"/>
      <c r="HM205" s="31"/>
      <c r="HN205" s="31"/>
      <c r="HO205" s="31"/>
      <c r="HP205" s="31"/>
      <c r="HQ205" s="31"/>
      <c r="HR205" s="31"/>
      <c r="HS205" s="31"/>
      <c r="HT205" s="31"/>
      <c r="HU205" s="31"/>
      <c r="HV205" s="31"/>
      <c r="HW205" s="31"/>
      <c r="HX205" s="31"/>
      <c r="HY205" s="31"/>
      <c r="HZ205" s="31"/>
      <c r="IA205" s="31"/>
      <c r="IB205" s="31"/>
      <c r="IC205" s="31"/>
      <c r="ID205" s="31"/>
      <c r="IE205" s="31"/>
      <c r="IF205" s="31"/>
      <c r="IG205" s="31"/>
      <c r="IH205" s="31"/>
      <c r="II205" s="31"/>
      <c r="IJ205" s="31"/>
      <c r="IK205" s="31"/>
      <c r="IL205" s="31"/>
      <c r="IM205" s="31"/>
      <c r="IN205" s="31"/>
      <c r="IO205" s="31"/>
      <c r="IP205" s="31"/>
      <c r="IQ205" s="31"/>
      <c r="IR205" s="31"/>
      <c r="IS205" s="31"/>
      <c r="IT205" s="31"/>
      <c r="IU205" s="31"/>
      <c r="IV205" s="31"/>
      <c r="IW205" s="31"/>
      <c r="IX205" s="31"/>
      <c r="IY205" s="31"/>
      <c r="IZ205" s="31"/>
      <c r="JA205" s="31"/>
      <c r="JB205" s="31"/>
      <c r="JC205" s="31"/>
      <c r="JD205" s="31"/>
      <c r="JE205" s="31"/>
      <c r="JF205" s="31"/>
    </row>
    <row r="206" customFormat="1" ht="17.25" spans="1:266">
      <c r="A206" s="32">
        <f>40000000+INDEX(编号表!$B:$B,MATCH(B206,编号表!$A:$A,0))*10000+C206</f>
        <v>40100003</v>
      </c>
      <c r="B206" s="27" t="s">
        <v>619</v>
      </c>
      <c r="C206" s="32">
        <v>3</v>
      </c>
      <c r="D206" s="32" t="s">
        <v>615</v>
      </c>
      <c r="E206" s="32" t="s">
        <v>617</v>
      </c>
      <c r="F206" s="31">
        <f t="shared" si="20"/>
        <v>0</v>
      </c>
      <c r="G206" s="31"/>
      <c r="H206" s="32"/>
      <c r="I206" s="32"/>
      <c r="J206" s="32">
        <f t="shared" si="22"/>
        <v>0</v>
      </c>
      <c r="K206" s="32"/>
      <c r="L206" s="32"/>
      <c r="M206" s="31"/>
      <c r="N206" s="31"/>
      <c r="O206" s="31"/>
      <c r="P206" s="32"/>
      <c r="Q206" s="32"/>
      <c r="R206" s="31"/>
      <c r="S206" s="32"/>
      <c r="T206" s="32"/>
      <c r="U206" s="31"/>
      <c r="V206" s="31"/>
      <c r="W206" s="31"/>
      <c r="X206" s="32"/>
      <c r="Y206" s="32"/>
      <c r="Z206" s="31"/>
      <c r="AA206" s="32"/>
      <c r="AB206" s="32"/>
      <c r="AC206" s="31"/>
      <c r="AD206" s="31"/>
      <c r="AE206" s="31"/>
      <c r="AF206" s="32"/>
      <c r="AG206" s="32"/>
      <c r="AH206" s="31"/>
      <c r="AI206" s="31"/>
      <c r="AJ206" s="32"/>
      <c r="AK206" s="31"/>
      <c r="AL206" s="31"/>
      <c r="AM206" s="31"/>
      <c r="AN206" s="31"/>
      <c r="AO206" s="31"/>
      <c r="AP206" s="31"/>
      <c r="AQ206" s="31"/>
      <c r="AR206" s="32"/>
      <c r="AS206" s="31"/>
      <c r="AT206" s="31"/>
      <c r="AU206" s="31"/>
      <c r="AV206" s="31"/>
      <c r="AW206" s="31"/>
      <c r="AX206" s="31"/>
      <c r="AY206" s="31"/>
      <c r="AZ206" s="32"/>
      <c r="BA206" s="31"/>
      <c r="BB206" s="31"/>
      <c r="BC206" s="31"/>
      <c r="BD206" s="31"/>
      <c r="BE206" s="31"/>
      <c r="BF206" s="31"/>
      <c r="BG206" s="31"/>
      <c r="BH206" s="32"/>
      <c r="BI206" s="31"/>
      <c r="BJ206" s="31"/>
      <c r="BK206" s="31"/>
      <c r="BL206" s="31"/>
      <c r="BM206" s="31"/>
      <c r="BN206" s="31"/>
      <c r="BO206" s="31"/>
      <c r="BP206" s="32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  <c r="FN206" s="31"/>
      <c r="FO206" s="31"/>
      <c r="FP206" s="31"/>
      <c r="FQ206" s="31"/>
      <c r="FR206" s="31"/>
      <c r="FS206" s="31"/>
      <c r="FT206" s="31"/>
      <c r="FU206" s="31"/>
      <c r="FV206" s="31"/>
      <c r="FW206" s="31"/>
      <c r="FX206" s="31"/>
      <c r="FY206" s="31"/>
      <c r="FZ206" s="31"/>
      <c r="GA206" s="31"/>
      <c r="GB206" s="31"/>
      <c r="GC206" s="31"/>
      <c r="GD206" s="31"/>
      <c r="GE206" s="31"/>
      <c r="GF206" s="31"/>
      <c r="GG206" s="31"/>
      <c r="GH206" s="31"/>
      <c r="GI206" s="31"/>
      <c r="GJ206" s="31"/>
      <c r="GK206" s="31"/>
      <c r="GL206" s="31"/>
      <c r="GM206" s="31"/>
      <c r="GN206" s="31"/>
      <c r="GO206" s="31"/>
      <c r="GP206" s="31"/>
      <c r="GQ206" s="31"/>
      <c r="GR206" s="31"/>
      <c r="GS206" s="31"/>
      <c r="GT206" s="31"/>
      <c r="GU206" s="31"/>
      <c r="GV206" s="31"/>
      <c r="GW206" s="31"/>
      <c r="GX206" s="31"/>
      <c r="GY206" s="31"/>
      <c r="GZ206" s="31"/>
      <c r="HA206" s="31"/>
      <c r="HB206" s="31"/>
      <c r="HC206" s="31"/>
      <c r="HD206" s="31"/>
      <c r="HE206" s="31"/>
      <c r="HF206" s="31"/>
      <c r="HG206" s="31"/>
      <c r="HH206" s="31"/>
      <c r="HI206" s="31"/>
      <c r="HJ206" s="31"/>
      <c r="HK206" s="31"/>
      <c r="HL206" s="31"/>
      <c r="HM206" s="31"/>
      <c r="HN206" s="31"/>
      <c r="HO206" s="31"/>
      <c r="HP206" s="31"/>
      <c r="HQ206" s="31"/>
      <c r="HR206" s="31"/>
      <c r="HS206" s="31"/>
      <c r="HT206" s="31"/>
      <c r="HU206" s="31"/>
      <c r="HV206" s="31"/>
      <c r="HW206" s="31"/>
      <c r="HX206" s="31"/>
      <c r="HY206" s="31"/>
      <c r="HZ206" s="31"/>
      <c r="IA206" s="31"/>
      <c r="IB206" s="31"/>
      <c r="IC206" s="31"/>
      <c r="ID206" s="31"/>
      <c r="IE206" s="31"/>
      <c r="IF206" s="31"/>
      <c r="IG206" s="31"/>
      <c r="IH206" s="31"/>
      <c r="II206" s="31"/>
      <c r="IJ206" s="31"/>
      <c r="IK206" s="31"/>
      <c r="IL206" s="31"/>
      <c r="IM206" s="31"/>
      <c r="IN206" s="31"/>
      <c r="IO206" s="31"/>
      <c r="IP206" s="31"/>
      <c r="IQ206" s="31"/>
      <c r="IR206" s="31"/>
      <c r="IS206" s="31"/>
      <c r="IT206" s="31"/>
      <c r="IU206" s="31"/>
      <c r="IV206" s="31"/>
      <c r="IW206" s="31"/>
      <c r="IX206" s="31"/>
      <c r="IY206" s="31"/>
      <c r="IZ206" s="31"/>
      <c r="JA206" s="31"/>
      <c r="JB206" s="31"/>
      <c r="JC206" s="31"/>
      <c r="JD206" s="31"/>
      <c r="JE206" s="31"/>
      <c r="JF206" s="31"/>
    </row>
    <row r="207" customFormat="1" ht="17.25" spans="1:266">
      <c r="A207" s="32">
        <f>40000000+INDEX(编号表!$B:$B,MATCH(B207,编号表!$A:$A,0))*10000+C207</f>
        <v>40100004</v>
      </c>
      <c r="B207" s="27" t="s">
        <v>619</v>
      </c>
      <c r="C207" s="32">
        <v>4</v>
      </c>
      <c r="D207" s="32" t="s">
        <v>602</v>
      </c>
      <c r="E207" s="32" t="s">
        <v>617</v>
      </c>
      <c r="F207" s="31">
        <f t="shared" si="20"/>
        <v>0</v>
      </c>
      <c r="G207" s="31"/>
      <c r="H207" s="32"/>
      <c r="I207" s="32"/>
      <c r="J207" s="32">
        <f t="shared" si="22"/>
        <v>0</v>
      </c>
      <c r="K207" s="32"/>
      <c r="L207" s="32"/>
      <c r="M207" s="31"/>
      <c r="N207" s="31"/>
      <c r="O207" s="31"/>
      <c r="P207" s="32"/>
      <c r="Q207" s="32"/>
      <c r="R207" s="31"/>
      <c r="S207" s="32"/>
      <c r="T207" s="32"/>
      <c r="U207" s="31"/>
      <c r="V207" s="31"/>
      <c r="W207" s="31"/>
      <c r="X207" s="32"/>
      <c r="Y207" s="32"/>
      <c r="Z207" s="31"/>
      <c r="AA207" s="32"/>
      <c r="AB207" s="32"/>
      <c r="AC207" s="31"/>
      <c r="AD207" s="31"/>
      <c r="AE207" s="31"/>
      <c r="AF207" s="32"/>
      <c r="AG207" s="32"/>
      <c r="AH207" s="31"/>
      <c r="AI207" s="31"/>
      <c r="AJ207" s="32"/>
      <c r="AK207" s="31"/>
      <c r="AL207" s="31"/>
      <c r="AM207" s="31"/>
      <c r="AN207" s="31"/>
      <c r="AO207" s="31"/>
      <c r="AP207" s="31"/>
      <c r="AQ207" s="31"/>
      <c r="AR207" s="32"/>
      <c r="AS207" s="31"/>
      <c r="AT207" s="31"/>
      <c r="AU207" s="31"/>
      <c r="AV207" s="31"/>
      <c r="AW207" s="31"/>
      <c r="AX207" s="31"/>
      <c r="AY207" s="31"/>
      <c r="AZ207" s="32"/>
      <c r="BA207" s="31"/>
      <c r="BB207" s="31"/>
      <c r="BC207" s="31"/>
      <c r="BD207" s="31"/>
      <c r="BE207" s="31"/>
      <c r="BF207" s="31"/>
      <c r="BG207" s="31"/>
      <c r="BH207" s="32"/>
      <c r="BI207" s="31"/>
      <c r="BJ207" s="31"/>
      <c r="BK207" s="31"/>
      <c r="BL207" s="31"/>
      <c r="BM207" s="31"/>
      <c r="BN207" s="31"/>
      <c r="BO207" s="31"/>
      <c r="BP207" s="32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  <c r="GI207" s="31"/>
      <c r="GJ207" s="31"/>
      <c r="GK207" s="31"/>
      <c r="GL207" s="31"/>
      <c r="GM207" s="31"/>
      <c r="GN207" s="31"/>
      <c r="GO207" s="31"/>
      <c r="GP207" s="31"/>
      <c r="GQ207" s="31"/>
      <c r="GR207" s="31"/>
      <c r="GS207" s="31"/>
      <c r="GT207" s="31"/>
      <c r="GU207" s="31"/>
      <c r="GV207" s="31"/>
      <c r="GW207" s="31"/>
      <c r="GX207" s="31"/>
      <c r="GY207" s="31"/>
      <c r="GZ207" s="31"/>
      <c r="HA207" s="31"/>
      <c r="HB207" s="31"/>
      <c r="HC207" s="31"/>
      <c r="HD207" s="31"/>
      <c r="HE207" s="31"/>
      <c r="HF207" s="31"/>
      <c r="HG207" s="31"/>
      <c r="HH207" s="31"/>
      <c r="HI207" s="31"/>
      <c r="HJ207" s="31"/>
      <c r="HK207" s="31"/>
      <c r="HL207" s="31"/>
      <c r="HM207" s="31"/>
      <c r="HN207" s="31"/>
      <c r="HO207" s="31"/>
      <c r="HP207" s="31"/>
      <c r="HQ207" s="31"/>
      <c r="HR207" s="31"/>
      <c r="HS207" s="31"/>
      <c r="HT207" s="31"/>
      <c r="HU207" s="31"/>
      <c r="HV207" s="31"/>
      <c r="HW207" s="31"/>
      <c r="HX207" s="31"/>
      <c r="HY207" s="31"/>
      <c r="HZ207" s="31"/>
      <c r="IA207" s="31"/>
      <c r="IB207" s="31"/>
      <c r="IC207" s="31"/>
      <c r="ID207" s="31"/>
      <c r="IE207" s="31"/>
      <c r="IF207" s="31"/>
      <c r="IG207" s="31"/>
      <c r="IH207" s="31"/>
      <c r="II207" s="31"/>
      <c r="IJ207" s="31"/>
      <c r="IK207" s="31"/>
      <c r="IL207" s="31"/>
      <c r="IM207" s="31"/>
      <c r="IN207" s="31"/>
      <c r="IO207" s="31"/>
      <c r="IP207" s="31"/>
      <c r="IQ207" s="31"/>
      <c r="IR207" s="31"/>
      <c r="IS207" s="31"/>
      <c r="IT207" s="31"/>
      <c r="IU207" s="31"/>
      <c r="IV207" s="31"/>
      <c r="IW207" s="31"/>
      <c r="IX207" s="31"/>
      <c r="IY207" s="31"/>
      <c r="IZ207" s="31"/>
      <c r="JA207" s="31"/>
      <c r="JB207" s="31"/>
      <c r="JC207" s="31"/>
      <c r="JD207" s="31"/>
      <c r="JE207" s="31"/>
      <c r="JF207" s="31"/>
    </row>
    <row r="208" customFormat="1" ht="17.25" spans="1:266">
      <c r="A208" s="32">
        <f>40000000+INDEX(编号表!$B:$B,MATCH(B208,编号表!$A:$A,0))*10000+C208</f>
        <v>40100005</v>
      </c>
      <c r="B208" s="27" t="s">
        <v>619</v>
      </c>
      <c r="C208" s="32">
        <v>5</v>
      </c>
      <c r="D208" s="32" t="s">
        <v>604</v>
      </c>
      <c r="E208" s="32" t="s">
        <v>617</v>
      </c>
      <c r="F208" s="31">
        <f t="shared" si="20"/>
        <v>0</v>
      </c>
      <c r="G208" s="31"/>
      <c r="H208" s="32"/>
      <c r="I208" s="32"/>
      <c r="J208" s="32">
        <f t="shared" si="22"/>
        <v>0</v>
      </c>
      <c r="K208" s="32"/>
      <c r="L208" s="32"/>
      <c r="M208" s="31"/>
      <c r="N208" s="31"/>
      <c r="O208" s="31"/>
      <c r="P208" s="32"/>
      <c r="Q208" s="32"/>
      <c r="R208" s="31"/>
      <c r="S208" s="32"/>
      <c r="T208" s="32"/>
      <c r="U208" s="31"/>
      <c r="V208" s="31"/>
      <c r="W208" s="31"/>
      <c r="X208" s="32"/>
      <c r="Y208" s="32"/>
      <c r="Z208" s="31"/>
      <c r="AA208" s="32"/>
      <c r="AB208" s="32"/>
      <c r="AC208" s="31"/>
      <c r="AD208" s="31"/>
      <c r="AE208" s="31"/>
      <c r="AF208" s="32"/>
      <c r="AG208" s="32"/>
      <c r="AH208" s="31"/>
      <c r="AI208" s="31"/>
      <c r="AJ208" s="32"/>
      <c r="AK208" s="31"/>
      <c r="AL208" s="31"/>
      <c r="AM208" s="31"/>
      <c r="AN208" s="31"/>
      <c r="AO208" s="31"/>
      <c r="AP208" s="31"/>
      <c r="AQ208" s="31"/>
      <c r="AR208" s="32"/>
      <c r="AS208" s="31"/>
      <c r="AT208" s="31"/>
      <c r="AU208" s="31"/>
      <c r="AV208" s="31"/>
      <c r="AW208" s="31"/>
      <c r="AX208" s="31"/>
      <c r="AY208" s="31"/>
      <c r="AZ208" s="32"/>
      <c r="BA208" s="31"/>
      <c r="BB208" s="31"/>
      <c r="BC208" s="31"/>
      <c r="BD208" s="31"/>
      <c r="BE208" s="31"/>
      <c r="BF208" s="31"/>
      <c r="BG208" s="31"/>
      <c r="BH208" s="32"/>
      <c r="BI208" s="31"/>
      <c r="BJ208" s="31"/>
      <c r="BK208" s="31"/>
      <c r="BL208" s="31"/>
      <c r="BM208" s="31"/>
      <c r="BN208" s="31"/>
      <c r="BO208" s="31"/>
      <c r="BP208" s="32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  <c r="FN208" s="31"/>
      <c r="FO208" s="31"/>
      <c r="FP208" s="31"/>
      <c r="FQ208" s="31"/>
      <c r="FR208" s="31"/>
      <c r="FS208" s="31"/>
      <c r="FT208" s="31"/>
      <c r="FU208" s="31"/>
      <c r="FV208" s="31"/>
      <c r="FW208" s="31"/>
      <c r="FX208" s="31"/>
      <c r="FY208" s="31"/>
      <c r="FZ208" s="31"/>
      <c r="GA208" s="31"/>
      <c r="GB208" s="31"/>
      <c r="GC208" s="31"/>
      <c r="GD208" s="31"/>
      <c r="GE208" s="31"/>
      <c r="GF208" s="31"/>
      <c r="GG208" s="31"/>
      <c r="GH208" s="31"/>
      <c r="GI208" s="31"/>
      <c r="GJ208" s="31"/>
      <c r="GK208" s="31"/>
      <c r="GL208" s="31"/>
      <c r="GM208" s="31"/>
      <c r="GN208" s="31"/>
      <c r="GO208" s="31"/>
      <c r="GP208" s="31"/>
      <c r="GQ208" s="31"/>
      <c r="GR208" s="31"/>
      <c r="GS208" s="31"/>
      <c r="GT208" s="31"/>
      <c r="GU208" s="31"/>
      <c r="GV208" s="31"/>
      <c r="GW208" s="31"/>
      <c r="GX208" s="31"/>
      <c r="GY208" s="31"/>
      <c r="GZ208" s="31"/>
      <c r="HA208" s="31"/>
      <c r="HB208" s="31"/>
      <c r="HC208" s="31"/>
      <c r="HD208" s="31"/>
      <c r="HE208" s="31"/>
      <c r="HF208" s="31"/>
      <c r="HG208" s="31"/>
      <c r="HH208" s="31"/>
      <c r="HI208" s="31"/>
      <c r="HJ208" s="31"/>
      <c r="HK208" s="31"/>
      <c r="HL208" s="31"/>
      <c r="HM208" s="31"/>
      <c r="HN208" s="31"/>
      <c r="HO208" s="31"/>
      <c r="HP208" s="31"/>
      <c r="HQ208" s="31"/>
      <c r="HR208" s="31"/>
      <c r="HS208" s="31"/>
      <c r="HT208" s="31"/>
      <c r="HU208" s="31"/>
      <c r="HV208" s="31"/>
      <c r="HW208" s="31"/>
      <c r="HX208" s="31"/>
      <c r="HY208" s="31"/>
      <c r="HZ208" s="31"/>
      <c r="IA208" s="31"/>
      <c r="IB208" s="31"/>
      <c r="IC208" s="31"/>
      <c r="ID208" s="31"/>
      <c r="IE208" s="31"/>
      <c r="IF208" s="31"/>
      <c r="IG208" s="31"/>
      <c r="IH208" s="31"/>
      <c r="II208" s="31"/>
      <c r="IJ208" s="31"/>
      <c r="IK208" s="31"/>
      <c r="IL208" s="31"/>
      <c r="IM208" s="31"/>
      <c r="IN208" s="31"/>
      <c r="IO208" s="31"/>
      <c r="IP208" s="31"/>
      <c r="IQ208" s="31"/>
      <c r="IR208" s="31"/>
      <c r="IS208" s="31"/>
      <c r="IT208" s="31"/>
      <c r="IU208" s="31"/>
      <c r="IV208" s="31"/>
      <c r="IW208" s="31"/>
      <c r="IX208" s="31"/>
      <c r="IY208" s="31"/>
      <c r="IZ208" s="31"/>
      <c r="JA208" s="31"/>
      <c r="JB208" s="31"/>
      <c r="JC208" s="31"/>
      <c r="JD208" s="31"/>
      <c r="JE208" s="31"/>
      <c r="JF208" s="31"/>
    </row>
    <row r="209" customFormat="1" ht="17.25" spans="1:266">
      <c r="A209" s="32">
        <f>40000000+INDEX(编号表!$B:$B,MATCH(B209,编号表!$A:$A,0))*10000+C209</f>
        <v>40100006</v>
      </c>
      <c r="B209" s="27" t="s">
        <v>619</v>
      </c>
      <c r="C209" s="32">
        <v>6</v>
      </c>
      <c r="D209" s="32" t="s">
        <v>605</v>
      </c>
      <c r="E209" s="32" t="s">
        <v>617</v>
      </c>
      <c r="F209" s="31">
        <f t="shared" si="20"/>
        <v>0</v>
      </c>
      <c r="G209" s="31"/>
      <c r="H209" s="32"/>
      <c r="I209" s="32"/>
      <c r="J209" s="32">
        <f t="shared" si="22"/>
        <v>0</v>
      </c>
      <c r="K209" s="32"/>
      <c r="L209" s="32"/>
      <c r="M209" s="31"/>
      <c r="N209" s="31"/>
      <c r="O209" s="31"/>
      <c r="P209" s="32"/>
      <c r="Q209" s="32"/>
      <c r="R209" s="31"/>
      <c r="S209" s="32"/>
      <c r="T209" s="32"/>
      <c r="U209" s="31"/>
      <c r="V209" s="31"/>
      <c r="W209" s="31"/>
      <c r="X209" s="32"/>
      <c r="Y209" s="32"/>
      <c r="Z209" s="31"/>
      <c r="AA209" s="32"/>
      <c r="AB209" s="32"/>
      <c r="AC209" s="31"/>
      <c r="AD209" s="31"/>
      <c r="AE209" s="31"/>
      <c r="AF209" s="32"/>
      <c r="AG209" s="32"/>
      <c r="AH209" s="31"/>
      <c r="AI209" s="31"/>
      <c r="AJ209" s="32"/>
      <c r="AK209" s="31"/>
      <c r="AL209" s="31"/>
      <c r="AM209" s="31"/>
      <c r="AN209" s="31"/>
      <c r="AO209" s="31"/>
      <c r="AP209" s="31"/>
      <c r="AQ209" s="31"/>
      <c r="AR209" s="32"/>
      <c r="AS209" s="31"/>
      <c r="AT209" s="31"/>
      <c r="AU209" s="31"/>
      <c r="AV209" s="31"/>
      <c r="AW209" s="31"/>
      <c r="AX209" s="31"/>
      <c r="AY209" s="31"/>
      <c r="AZ209" s="32"/>
      <c r="BA209" s="31"/>
      <c r="BB209" s="31"/>
      <c r="BC209" s="31"/>
      <c r="BD209" s="31"/>
      <c r="BE209" s="31"/>
      <c r="BF209" s="31"/>
      <c r="BG209" s="31"/>
      <c r="BH209" s="32"/>
      <c r="BI209" s="31"/>
      <c r="BJ209" s="31"/>
      <c r="BK209" s="31"/>
      <c r="BL209" s="31"/>
      <c r="BM209" s="31"/>
      <c r="BN209" s="31"/>
      <c r="BO209" s="31"/>
      <c r="BP209" s="32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  <c r="GI209" s="31"/>
      <c r="GJ209" s="31"/>
      <c r="GK209" s="31"/>
      <c r="GL209" s="31"/>
      <c r="GM209" s="31"/>
      <c r="GN209" s="31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/>
      <c r="HB209" s="31"/>
      <c r="HC209" s="31"/>
      <c r="HD209" s="31"/>
      <c r="HE209" s="31"/>
      <c r="HF209" s="31"/>
      <c r="HG209" s="31"/>
      <c r="HH209" s="31"/>
      <c r="HI209" s="31"/>
      <c r="HJ209" s="31"/>
      <c r="HK209" s="31"/>
      <c r="HL209" s="31"/>
      <c r="HM209" s="31"/>
      <c r="HN209" s="31"/>
      <c r="HO209" s="31"/>
      <c r="HP209" s="31"/>
      <c r="HQ209" s="31"/>
      <c r="HR209" s="31"/>
      <c r="HS209" s="31"/>
      <c r="HT209" s="31"/>
      <c r="HU209" s="31"/>
      <c r="HV209" s="31"/>
      <c r="HW209" s="31"/>
      <c r="HX209" s="31"/>
      <c r="HY209" s="31"/>
      <c r="HZ209" s="31"/>
      <c r="IA209" s="31"/>
      <c r="IB209" s="31"/>
      <c r="IC209" s="31"/>
      <c r="ID209" s="31"/>
      <c r="IE209" s="31"/>
      <c r="IF209" s="31"/>
      <c r="IG209" s="31"/>
      <c r="IH209" s="31"/>
      <c r="II209" s="31"/>
      <c r="IJ209" s="31"/>
      <c r="IK209" s="31"/>
      <c r="IL209" s="31"/>
      <c r="IM209" s="31"/>
      <c r="IN209" s="31"/>
      <c r="IO209" s="31"/>
      <c r="IP209" s="31"/>
      <c r="IQ209" s="31"/>
      <c r="IR209" s="31"/>
      <c r="IS209" s="31"/>
      <c r="IT209" s="31"/>
      <c r="IU209" s="31"/>
      <c r="IV209" s="31"/>
      <c r="IW209" s="31"/>
      <c r="IX209" s="31"/>
      <c r="IY209" s="31"/>
      <c r="IZ209" s="31"/>
      <c r="JA209" s="31"/>
      <c r="JB209" s="31"/>
      <c r="JC209" s="31"/>
      <c r="JD209" s="31"/>
      <c r="JE209" s="31"/>
      <c r="JF209" s="31"/>
    </row>
    <row r="210" customFormat="1" ht="17.25" spans="1:266">
      <c r="A210" s="32">
        <f>40000000+INDEX(编号表!$B:$B,MATCH(B210,编号表!$A:$A,0))*10000+C210</f>
        <v>40100007</v>
      </c>
      <c r="B210" s="27" t="s">
        <v>619</v>
      </c>
      <c r="C210" s="32">
        <v>7</v>
      </c>
      <c r="D210" s="32" t="s">
        <v>606</v>
      </c>
      <c r="E210" s="32" t="s">
        <v>617</v>
      </c>
      <c r="F210" s="31">
        <f t="shared" si="20"/>
        <v>0</v>
      </c>
      <c r="G210" s="31"/>
      <c r="H210" s="32"/>
      <c r="I210" s="32"/>
      <c r="J210" s="32">
        <f t="shared" si="22"/>
        <v>0</v>
      </c>
      <c r="K210" s="32"/>
      <c r="L210" s="32"/>
      <c r="M210" s="31"/>
      <c r="N210" s="31"/>
      <c r="O210" s="31"/>
      <c r="P210" s="32"/>
      <c r="Q210" s="32"/>
      <c r="R210" s="31"/>
      <c r="S210" s="32"/>
      <c r="T210" s="32"/>
      <c r="U210" s="31"/>
      <c r="V210" s="31"/>
      <c r="W210" s="31"/>
      <c r="X210" s="32"/>
      <c r="Y210" s="32"/>
      <c r="Z210" s="31"/>
      <c r="AA210" s="32"/>
      <c r="AB210" s="32"/>
      <c r="AC210" s="31"/>
      <c r="AD210" s="31"/>
      <c r="AE210" s="31"/>
      <c r="AF210" s="32"/>
      <c r="AG210" s="32"/>
      <c r="AH210" s="31"/>
      <c r="AI210" s="31"/>
      <c r="AJ210" s="32"/>
      <c r="AK210" s="31"/>
      <c r="AL210" s="31"/>
      <c r="AM210" s="31"/>
      <c r="AN210" s="31"/>
      <c r="AO210" s="31"/>
      <c r="AP210" s="31"/>
      <c r="AQ210" s="31"/>
      <c r="AR210" s="32"/>
      <c r="AS210" s="31"/>
      <c r="AT210" s="31"/>
      <c r="AU210" s="31"/>
      <c r="AV210" s="31"/>
      <c r="AW210" s="31"/>
      <c r="AX210" s="31"/>
      <c r="AY210" s="31"/>
      <c r="AZ210" s="32"/>
      <c r="BA210" s="31"/>
      <c r="BB210" s="31"/>
      <c r="BC210" s="31"/>
      <c r="BD210" s="31"/>
      <c r="BE210" s="31"/>
      <c r="BF210" s="31"/>
      <c r="BG210" s="31"/>
      <c r="BH210" s="32"/>
      <c r="BI210" s="31"/>
      <c r="BJ210" s="31"/>
      <c r="BK210" s="31"/>
      <c r="BL210" s="31"/>
      <c r="BM210" s="31"/>
      <c r="BN210" s="31"/>
      <c r="BO210" s="31"/>
      <c r="BP210" s="32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  <c r="FN210" s="31"/>
      <c r="FO210" s="31"/>
      <c r="FP210" s="31"/>
      <c r="FQ210" s="31"/>
      <c r="FR210" s="31"/>
      <c r="FS210" s="31"/>
      <c r="FT210" s="31"/>
      <c r="FU210" s="31"/>
      <c r="FV210" s="31"/>
      <c r="FW210" s="31"/>
      <c r="FX210" s="31"/>
      <c r="FY210" s="31"/>
      <c r="FZ210" s="31"/>
      <c r="GA210" s="31"/>
      <c r="GB210" s="31"/>
      <c r="GC210" s="31"/>
      <c r="GD210" s="31"/>
      <c r="GE210" s="31"/>
      <c r="GF210" s="31"/>
      <c r="GG210" s="31"/>
      <c r="GH210" s="31"/>
      <c r="GI210" s="31"/>
      <c r="GJ210" s="31"/>
      <c r="GK210" s="31"/>
      <c r="GL210" s="31"/>
      <c r="GM210" s="31"/>
      <c r="GN210" s="31"/>
      <c r="GO210" s="31"/>
      <c r="GP210" s="31"/>
      <c r="GQ210" s="31"/>
      <c r="GR210" s="31"/>
      <c r="GS210" s="31"/>
      <c r="GT210" s="31"/>
      <c r="GU210" s="31"/>
      <c r="GV210" s="31"/>
      <c r="GW210" s="31"/>
      <c r="GX210" s="31"/>
      <c r="GY210" s="31"/>
      <c r="GZ210" s="31"/>
      <c r="HA210" s="31"/>
      <c r="HB210" s="31"/>
      <c r="HC210" s="31"/>
      <c r="HD210" s="31"/>
      <c r="HE210" s="31"/>
      <c r="HF210" s="31"/>
      <c r="HG210" s="31"/>
      <c r="HH210" s="31"/>
      <c r="HI210" s="31"/>
      <c r="HJ210" s="31"/>
      <c r="HK210" s="31"/>
      <c r="HL210" s="31"/>
      <c r="HM210" s="31"/>
      <c r="HN210" s="31"/>
      <c r="HO210" s="31"/>
      <c r="HP210" s="31"/>
      <c r="HQ210" s="31"/>
      <c r="HR210" s="31"/>
      <c r="HS210" s="31"/>
      <c r="HT210" s="31"/>
      <c r="HU210" s="31"/>
      <c r="HV210" s="31"/>
      <c r="HW210" s="31"/>
      <c r="HX210" s="31"/>
      <c r="HY210" s="31"/>
      <c r="HZ210" s="31"/>
      <c r="IA210" s="31"/>
      <c r="IB210" s="31"/>
      <c r="IC210" s="31"/>
      <c r="ID210" s="31"/>
      <c r="IE210" s="31"/>
      <c r="IF210" s="31"/>
      <c r="IG210" s="31"/>
      <c r="IH210" s="31"/>
      <c r="II210" s="31"/>
      <c r="IJ210" s="31"/>
      <c r="IK210" s="31"/>
      <c r="IL210" s="31"/>
      <c r="IM210" s="31"/>
      <c r="IN210" s="31"/>
      <c r="IO210" s="31"/>
      <c r="IP210" s="31"/>
      <c r="IQ210" s="31"/>
      <c r="IR210" s="31"/>
      <c r="IS210" s="31"/>
      <c r="IT210" s="31"/>
      <c r="IU210" s="31"/>
      <c r="IV210" s="31"/>
      <c r="IW210" s="31"/>
      <c r="IX210" s="31"/>
      <c r="IY210" s="31"/>
      <c r="IZ210" s="31"/>
      <c r="JA210" s="31"/>
      <c r="JB210" s="31"/>
      <c r="JC210" s="31"/>
      <c r="JD210" s="31"/>
      <c r="JE210" s="31"/>
      <c r="JF210" s="31"/>
    </row>
    <row r="211" customFormat="1" ht="17.25" spans="1:266">
      <c r="A211" s="32">
        <f>40000000+INDEX(编号表!$B:$B,MATCH(B211,编号表!$A:$A,0))*10000+C211</f>
        <v>40100008</v>
      </c>
      <c r="B211" s="27" t="s">
        <v>619</v>
      </c>
      <c r="C211" s="32">
        <v>8</v>
      </c>
      <c r="D211" s="32" t="s">
        <v>607</v>
      </c>
      <c r="E211" s="32" t="s">
        <v>617</v>
      </c>
      <c r="F211" s="31">
        <f t="shared" si="20"/>
        <v>0</v>
      </c>
      <c r="G211" s="31"/>
      <c r="H211" s="32"/>
      <c r="I211" s="32"/>
      <c r="J211" s="32">
        <f t="shared" si="22"/>
        <v>0</v>
      </c>
      <c r="K211" s="32"/>
      <c r="L211" s="32"/>
      <c r="M211" s="31"/>
      <c r="N211" s="31"/>
      <c r="O211" s="31"/>
      <c r="P211" s="32"/>
      <c r="Q211" s="32"/>
      <c r="R211" s="31"/>
      <c r="S211" s="32"/>
      <c r="T211" s="32"/>
      <c r="U211" s="31"/>
      <c r="V211" s="31"/>
      <c r="W211" s="31"/>
      <c r="X211" s="32"/>
      <c r="Y211" s="32"/>
      <c r="Z211" s="31"/>
      <c r="AA211" s="32"/>
      <c r="AB211" s="32"/>
      <c r="AC211" s="31"/>
      <c r="AD211" s="31"/>
      <c r="AE211" s="31"/>
      <c r="AF211" s="32"/>
      <c r="AG211" s="32"/>
      <c r="AH211" s="31"/>
      <c r="AI211" s="31"/>
      <c r="AJ211" s="32"/>
      <c r="AK211" s="31"/>
      <c r="AL211" s="31"/>
      <c r="AM211" s="31"/>
      <c r="AN211" s="31"/>
      <c r="AO211" s="31"/>
      <c r="AP211" s="31"/>
      <c r="AQ211" s="31"/>
      <c r="AR211" s="32"/>
      <c r="AS211" s="31"/>
      <c r="AT211" s="31"/>
      <c r="AU211" s="31"/>
      <c r="AV211" s="31"/>
      <c r="AW211" s="31"/>
      <c r="AX211" s="31"/>
      <c r="AY211" s="31"/>
      <c r="AZ211" s="32"/>
      <c r="BA211" s="31"/>
      <c r="BB211" s="31"/>
      <c r="BC211" s="31"/>
      <c r="BD211" s="31"/>
      <c r="BE211" s="31"/>
      <c r="BF211" s="31"/>
      <c r="BG211" s="31"/>
      <c r="BH211" s="32"/>
      <c r="BI211" s="31"/>
      <c r="BJ211" s="31"/>
      <c r="BK211" s="31"/>
      <c r="BL211" s="31"/>
      <c r="BM211" s="31"/>
      <c r="BN211" s="31"/>
      <c r="BO211" s="31"/>
      <c r="BP211" s="32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  <c r="HE211" s="31"/>
      <c r="HF211" s="31"/>
      <c r="HG211" s="31"/>
      <c r="HH211" s="31"/>
      <c r="HI211" s="31"/>
      <c r="HJ211" s="31"/>
      <c r="HK211" s="31"/>
      <c r="HL211" s="31"/>
      <c r="HM211" s="31"/>
      <c r="HN211" s="31"/>
      <c r="HO211" s="31"/>
      <c r="HP211" s="31"/>
      <c r="HQ211" s="31"/>
      <c r="HR211" s="31"/>
      <c r="HS211" s="31"/>
      <c r="HT211" s="31"/>
      <c r="HU211" s="31"/>
      <c r="HV211" s="31"/>
      <c r="HW211" s="31"/>
      <c r="HX211" s="31"/>
      <c r="HY211" s="31"/>
      <c r="HZ211" s="31"/>
      <c r="IA211" s="31"/>
      <c r="IB211" s="31"/>
      <c r="IC211" s="31"/>
      <c r="ID211" s="31"/>
      <c r="IE211" s="31"/>
      <c r="IF211" s="31"/>
      <c r="IG211" s="31"/>
      <c r="IH211" s="31"/>
      <c r="II211" s="31"/>
      <c r="IJ211" s="31"/>
      <c r="IK211" s="31"/>
      <c r="IL211" s="31"/>
      <c r="IM211" s="31"/>
      <c r="IN211" s="31"/>
      <c r="IO211" s="31"/>
      <c r="IP211" s="31"/>
      <c r="IQ211" s="31"/>
      <c r="IR211" s="31"/>
      <c r="IS211" s="31"/>
      <c r="IT211" s="31"/>
      <c r="IU211" s="31"/>
      <c r="IV211" s="31"/>
      <c r="IW211" s="31"/>
      <c r="IX211" s="31"/>
      <c r="IY211" s="31"/>
      <c r="IZ211" s="31"/>
      <c r="JA211" s="31"/>
      <c r="JB211" s="31"/>
      <c r="JC211" s="31"/>
      <c r="JD211" s="31"/>
      <c r="JE211" s="31"/>
      <c r="JF211" s="31"/>
    </row>
    <row r="212" customFormat="1" ht="17.25" spans="1:266">
      <c r="A212" s="32">
        <f>40000000+INDEX(编号表!$B:$B,MATCH(B212,编号表!$A:$A,0))*10000+C212</f>
        <v>40100009</v>
      </c>
      <c r="B212" s="27" t="s">
        <v>619</v>
      </c>
      <c r="C212" s="32">
        <v>9</v>
      </c>
      <c r="D212" s="32" t="s">
        <v>608</v>
      </c>
      <c r="E212" s="32" t="s">
        <v>617</v>
      </c>
      <c r="F212" s="31">
        <f t="shared" si="20"/>
        <v>0</v>
      </c>
      <c r="G212" s="31"/>
      <c r="H212" s="32"/>
      <c r="I212" s="32"/>
      <c r="J212" s="32">
        <f t="shared" si="22"/>
        <v>0</v>
      </c>
      <c r="K212" s="32"/>
      <c r="L212" s="32"/>
      <c r="M212" s="31"/>
      <c r="N212" s="31"/>
      <c r="O212" s="31"/>
      <c r="P212" s="32"/>
      <c r="Q212" s="32"/>
      <c r="R212" s="31"/>
      <c r="S212" s="32"/>
      <c r="T212" s="32"/>
      <c r="U212" s="31"/>
      <c r="V212" s="31"/>
      <c r="W212" s="31"/>
      <c r="X212" s="32"/>
      <c r="Y212" s="32"/>
      <c r="Z212" s="31"/>
      <c r="AA212" s="32"/>
      <c r="AB212" s="32"/>
      <c r="AC212" s="31"/>
      <c r="AD212" s="31"/>
      <c r="AE212" s="31"/>
      <c r="AF212" s="32"/>
      <c r="AG212" s="32"/>
      <c r="AH212" s="31"/>
      <c r="AI212" s="31"/>
      <c r="AJ212" s="32"/>
      <c r="AK212" s="31"/>
      <c r="AL212" s="31"/>
      <c r="AM212" s="31"/>
      <c r="AN212" s="31"/>
      <c r="AO212" s="31"/>
      <c r="AP212" s="31"/>
      <c r="AQ212" s="31"/>
      <c r="AR212" s="32"/>
      <c r="AS212" s="31"/>
      <c r="AT212" s="31"/>
      <c r="AU212" s="31"/>
      <c r="AV212" s="31"/>
      <c r="AW212" s="31"/>
      <c r="AX212" s="31"/>
      <c r="AY212" s="31"/>
      <c r="AZ212" s="32"/>
      <c r="BA212" s="31"/>
      <c r="BB212" s="31"/>
      <c r="BC212" s="31"/>
      <c r="BD212" s="31"/>
      <c r="BE212" s="31"/>
      <c r="BF212" s="31"/>
      <c r="BG212" s="31"/>
      <c r="BH212" s="32"/>
      <c r="BI212" s="31"/>
      <c r="BJ212" s="31"/>
      <c r="BK212" s="31"/>
      <c r="BL212" s="31"/>
      <c r="BM212" s="31"/>
      <c r="BN212" s="31"/>
      <c r="BO212" s="31"/>
      <c r="BP212" s="32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  <c r="FN212" s="31"/>
      <c r="FO212" s="31"/>
      <c r="FP212" s="31"/>
      <c r="FQ212" s="31"/>
      <c r="FR212" s="31"/>
      <c r="FS212" s="31"/>
      <c r="FT212" s="31"/>
      <c r="FU212" s="31"/>
      <c r="FV212" s="31"/>
      <c r="FW212" s="31"/>
      <c r="FX212" s="31"/>
      <c r="FY212" s="31"/>
      <c r="FZ212" s="31"/>
      <c r="GA212" s="31"/>
      <c r="GB212" s="31"/>
      <c r="GC212" s="31"/>
      <c r="GD212" s="31"/>
      <c r="GE212" s="31"/>
      <c r="GF212" s="31"/>
      <c r="GG212" s="31"/>
      <c r="GH212" s="31"/>
      <c r="GI212" s="31"/>
      <c r="GJ212" s="31"/>
      <c r="GK212" s="31"/>
      <c r="GL212" s="31"/>
      <c r="GM212" s="31"/>
      <c r="GN212" s="31"/>
      <c r="GO212" s="31"/>
      <c r="GP212" s="31"/>
      <c r="GQ212" s="31"/>
      <c r="GR212" s="31"/>
      <c r="GS212" s="31"/>
      <c r="GT212" s="31"/>
      <c r="GU212" s="31"/>
      <c r="GV212" s="31"/>
      <c r="GW212" s="31"/>
      <c r="GX212" s="31"/>
      <c r="GY212" s="31"/>
      <c r="GZ212" s="31"/>
      <c r="HA212" s="31"/>
      <c r="HB212" s="31"/>
      <c r="HC212" s="31"/>
      <c r="HD212" s="31"/>
      <c r="HE212" s="31"/>
      <c r="HF212" s="31"/>
      <c r="HG212" s="31"/>
      <c r="HH212" s="31"/>
      <c r="HI212" s="31"/>
      <c r="HJ212" s="31"/>
      <c r="HK212" s="31"/>
      <c r="HL212" s="31"/>
      <c r="HM212" s="31"/>
      <c r="HN212" s="31"/>
      <c r="HO212" s="31"/>
      <c r="HP212" s="31"/>
      <c r="HQ212" s="31"/>
      <c r="HR212" s="31"/>
      <c r="HS212" s="31"/>
      <c r="HT212" s="31"/>
      <c r="HU212" s="31"/>
      <c r="HV212" s="31"/>
      <c r="HW212" s="31"/>
      <c r="HX212" s="31"/>
      <c r="HY212" s="31"/>
      <c r="HZ212" s="31"/>
      <c r="IA212" s="31"/>
      <c r="IB212" s="31"/>
      <c r="IC212" s="31"/>
      <c r="ID212" s="31"/>
      <c r="IE212" s="31"/>
      <c r="IF212" s="31"/>
      <c r="IG212" s="31"/>
      <c r="IH212" s="31"/>
      <c r="II212" s="31"/>
      <c r="IJ212" s="31"/>
      <c r="IK212" s="31"/>
      <c r="IL212" s="31"/>
      <c r="IM212" s="31"/>
      <c r="IN212" s="31"/>
      <c r="IO212" s="31"/>
      <c r="IP212" s="31"/>
      <c r="IQ212" s="31"/>
      <c r="IR212" s="31"/>
      <c r="IS212" s="31"/>
      <c r="IT212" s="31"/>
      <c r="IU212" s="31"/>
      <c r="IV212" s="31"/>
      <c r="IW212" s="31"/>
      <c r="IX212" s="31"/>
      <c r="IY212" s="31"/>
      <c r="IZ212" s="31"/>
      <c r="JA212" s="31"/>
      <c r="JB212" s="31"/>
      <c r="JC212" s="31"/>
      <c r="JD212" s="31"/>
      <c r="JE212" s="31"/>
      <c r="JF212" s="31"/>
    </row>
    <row r="213" customFormat="1" ht="17.25" spans="1:266">
      <c r="A213" s="32">
        <f>40000000+INDEX(编号表!$B:$B,MATCH(B213,编号表!$A:$A,0))*10000+C213</f>
        <v>40100010</v>
      </c>
      <c r="B213" s="27" t="s">
        <v>619</v>
      </c>
      <c r="C213" s="32">
        <v>10</v>
      </c>
      <c r="D213" s="32" t="s">
        <v>609</v>
      </c>
      <c r="E213" s="32" t="s">
        <v>617</v>
      </c>
      <c r="F213" s="31">
        <f t="shared" si="20"/>
        <v>0</v>
      </c>
      <c r="G213" s="31"/>
      <c r="H213" s="32"/>
      <c r="I213" s="32"/>
      <c r="J213" s="32">
        <f t="shared" si="22"/>
        <v>0</v>
      </c>
      <c r="K213" s="32"/>
      <c r="L213" s="32"/>
      <c r="M213" s="31"/>
      <c r="N213" s="31"/>
      <c r="O213" s="31"/>
      <c r="P213" s="32"/>
      <c r="Q213" s="32"/>
      <c r="R213" s="31"/>
      <c r="S213" s="32"/>
      <c r="T213" s="32"/>
      <c r="U213" s="31"/>
      <c r="V213" s="31"/>
      <c r="W213" s="31"/>
      <c r="X213" s="32"/>
      <c r="Y213" s="32"/>
      <c r="Z213" s="31"/>
      <c r="AA213" s="32"/>
      <c r="AB213" s="32"/>
      <c r="AC213" s="31"/>
      <c r="AD213" s="31"/>
      <c r="AE213" s="31"/>
      <c r="AF213" s="32"/>
      <c r="AG213" s="32"/>
      <c r="AH213" s="31"/>
      <c r="AI213" s="31"/>
      <c r="AJ213" s="32"/>
      <c r="AK213" s="31"/>
      <c r="AL213" s="31"/>
      <c r="AM213" s="31"/>
      <c r="AN213" s="31"/>
      <c r="AO213" s="31"/>
      <c r="AP213" s="31"/>
      <c r="AQ213" s="31"/>
      <c r="AR213" s="32"/>
      <c r="AS213" s="31"/>
      <c r="AT213" s="31"/>
      <c r="AU213" s="31"/>
      <c r="AV213" s="31"/>
      <c r="AW213" s="31"/>
      <c r="AX213" s="31"/>
      <c r="AY213" s="31"/>
      <c r="AZ213" s="32"/>
      <c r="BA213" s="31"/>
      <c r="BB213" s="31"/>
      <c r="BC213" s="31"/>
      <c r="BD213" s="31"/>
      <c r="BE213" s="31"/>
      <c r="BF213" s="31"/>
      <c r="BG213" s="31"/>
      <c r="BH213" s="32"/>
      <c r="BI213" s="31"/>
      <c r="BJ213" s="31"/>
      <c r="BK213" s="31"/>
      <c r="BL213" s="31"/>
      <c r="BM213" s="31"/>
      <c r="BN213" s="31"/>
      <c r="BO213" s="31"/>
      <c r="BP213" s="32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  <c r="HI213" s="31"/>
      <c r="HJ213" s="31"/>
      <c r="HK213" s="31"/>
      <c r="HL213" s="31"/>
      <c r="HM213" s="31"/>
      <c r="HN213" s="31"/>
      <c r="HO213" s="31"/>
      <c r="HP213" s="31"/>
      <c r="HQ213" s="31"/>
      <c r="HR213" s="31"/>
      <c r="HS213" s="31"/>
      <c r="HT213" s="31"/>
      <c r="HU213" s="31"/>
      <c r="HV213" s="31"/>
      <c r="HW213" s="31"/>
      <c r="HX213" s="31"/>
      <c r="HY213" s="31"/>
      <c r="HZ213" s="31"/>
      <c r="IA213" s="31"/>
      <c r="IB213" s="31"/>
      <c r="IC213" s="31"/>
      <c r="ID213" s="31"/>
      <c r="IE213" s="31"/>
      <c r="IF213" s="31"/>
      <c r="IG213" s="31"/>
      <c r="IH213" s="31"/>
      <c r="II213" s="31"/>
      <c r="IJ213" s="31"/>
      <c r="IK213" s="31"/>
      <c r="IL213" s="31"/>
      <c r="IM213" s="31"/>
      <c r="IN213" s="31"/>
      <c r="IO213" s="31"/>
      <c r="IP213" s="31"/>
      <c r="IQ213" s="31"/>
      <c r="IR213" s="31"/>
      <c r="IS213" s="31"/>
      <c r="IT213" s="31"/>
      <c r="IU213" s="31"/>
      <c r="IV213" s="31"/>
      <c r="IW213" s="31"/>
      <c r="IX213" s="31"/>
      <c r="IY213" s="31"/>
      <c r="IZ213" s="31"/>
      <c r="JA213" s="31"/>
      <c r="JB213" s="31"/>
      <c r="JC213" s="31"/>
      <c r="JD213" s="31"/>
      <c r="JE213" s="31"/>
      <c r="JF213" s="31"/>
    </row>
    <row r="214" customFormat="1" ht="17.25" spans="1:266">
      <c r="A214" s="32">
        <f>40000000+INDEX(编号表!$B:$B,MATCH(B214,编号表!$A:$A,0))*10000+C214</f>
        <v>40100011</v>
      </c>
      <c r="B214" s="27" t="s">
        <v>619</v>
      </c>
      <c r="C214" s="32">
        <v>11</v>
      </c>
      <c r="D214" s="32" t="s">
        <v>610</v>
      </c>
      <c r="E214" s="32" t="s">
        <v>617</v>
      </c>
      <c r="F214" s="31">
        <f t="shared" si="20"/>
        <v>0</v>
      </c>
      <c r="G214" s="31"/>
      <c r="H214" s="32"/>
      <c r="I214" s="32"/>
      <c r="J214" s="32">
        <f t="shared" si="22"/>
        <v>0</v>
      </c>
      <c r="K214" s="32"/>
      <c r="L214" s="32"/>
      <c r="M214" s="31"/>
      <c r="N214" s="31"/>
      <c r="O214" s="31"/>
      <c r="P214" s="32"/>
      <c r="Q214" s="32"/>
      <c r="R214" s="31"/>
      <c r="S214" s="32"/>
      <c r="T214" s="32"/>
      <c r="U214" s="31"/>
      <c r="V214" s="31"/>
      <c r="W214" s="31"/>
      <c r="X214" s="32"/>
      <c r="Y214" s="32"/>
      <c r="Z214" s="31"/>
      <c r="AA214" s="32"/>
      <c r="AB214" s="32"/>
      <c r="AC214" s="31"/>
      <c r="AD214" s="31"/>
      <c r="AE214" s="31"/>
      <c r="AF214" s="32"/>
      <c r="AG214" s="32"/>
      <c r="AH214" s="31"/>
      <c r="AI214" s="31"/>
      <c r="AJ214" s="32"/>
      <c r="AK214" s="31"/>
      <c r="AL214" s="31"/>
      <c r="AM214" s="31"/>
      <c r="AN214" s="31"/>
      <c r="AO214" s="31"/>
      <c r="AP214" s="31"/>
      <c r="AQ214" s="31"/>
      <c r="AR214" s="32"/>
      <c r="AS214" s="31"/>
      <c r="AT214" s="31"/>
      <c r="AU214" s="31"/>
      <c r="AV214" s="31"/>
      <c r="AW214" s="31"/>
      <c r="AX214" s="31"/>
      <c r="AY214" s="31"/>
      <c r="AZ214" s="32"/>
      <c r="BA214" s="31"/>
      <c r="BB214" s="31"/>
      <c r="BC214" s="31"/>
      <c r="BD214" s="31"/>
      <c r="BE214" s="31"/>
      <c r="BF214" s="31"/>
      <c r="BG214" s="31"/>
      <c r="BH214" s="32"/>
      <c r="BI214" s="31"/>
      <c r="BJ214" s="31"/>
      <c r="BK214" s="31"/>
      <c r="BL214" s="31"/>
      <c r="BM214" s="31"/>
      <c r="BN214" s="31"/>
      <c r="BO214" s="31"/>
      <c r="BP214" s="32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  <c r="HE214" s="31"/>
      <c r="HF214" s="31"/>
      <c r="HG214" s="31"/>
      <c r="HH214" s="31"/>
      <c r="HI214" s="31"/>
      <c r="HJ214" s="31"/>
      <c r="HK214" s="31"/>
      <c r="HL214" s="31"/>
      <c r="HM214" s="31"/>
      <c r="HN214" s="31"/>
      <c r="HO214" s="31"/>
      <c r="HP214" s="31"/>
      <c r="HQ214" s="31"/>
      <c r="HR214" s="31"/>
      <c r="HS214" s="31"/>
      <c r="HT214" s="31"/>
      <c r="HU214" s="31"/>
      <c r="HV214" s="31"/>
      <c r="HW214" s="31"/>
      <c r="HX214" s="31"/>
      <c r="HY214" s="31"/>
      <c r="HZ214" s="31"/>
      <c r="IA214" s="31"/>
      <c r="IB214" s="31"/>
      <c r="IC214" s="31"/>
      <c r="ID214" s="31"/>
      <c r="IE214" s="31"/>
      <c r="IF214" s="31"/>
      <c r="IG214" s="31"/>
      <c r="IH214" s="31"/>
      <c r="II214" s="31"/>
      <c r="IJ214" s="31"/>
      <c r="IK214" s="31"/>
      <c r="IL214" s="31"/>
      <c r="IM214" s="31"/>
      <c r="IN214" s="31"/>
      <c r="IO214" s="31"/>
      <c r="IP214" s="31"/>
      <c r="IQ214" s="31"/>
      <c r="IR214" s="31"/>
      <c r="IS214" s="31"/>
      <c r="IT214" s="31"/>
      <c r="IU214" s="31"/>
      <c r="IV214" s="31"/>
      <c r="IW214" s="31"/>
      <c r="IX214" s="31"/>
      <c r="IY214" s="31"/>
      <c r="IZ214" s="31"/>
      <c r="JA214" s="31"/>
      <c r="JB214" s="31"/>
      <c r="JC214" s="31"/>
      <c r="JD214" s="31"/>
      <c r="JE214" s="31"/>
      <c r="JF214" s="31"/>
    </row>
    <row r="215" customFormat="1" ht="17.25" spans="1:266">
      <c r="A215" s="32">
        <f>40000000+INDEX(编号表!$B:$B,MATCH(B215,编号表!$A:$A,0))*10000+C215</f>
        <v>40100012</v>
      </c>
      <c r="B215" s="27" t="s">
        <v>619</v>
      </c>
      <c r="C215" s="32">
        <v>12</v>
      </c>
      <c r="D215" s="32" t="s">
        <v>611</v>
      </c>
      <c r="E215" s="32" t="s">
        <v>617</v>
      </c>
      <c r="F215" s="31">
        <f t="shared" si="20"/>
        <v>0</v>
      </c>
      <c r="G215" s="31"/>
      <c r="H215" s="32"/>
      <c r="I215" s="32"/>
      <c r="J215" s="32">
        <f t="shared" si="22"/>
        <v>0</v>
      </c>
      <c r="K215" s="32"/>
      <c r="L215" s="32"/>
      <c r="M215" s="31"/>
      <c r="N215" s="31"/>
      <c r="O215" s="31"/>
      <c r="P215" s="32"/>
      <c r="Q215" s="32"/>
      <c r="R215" s="31"/>
      <c r="S215" s="32"/>
      <c r="T215" s="32"/>
      <c r="U215" s="31"/>
      <c r="V215" s="31"/>
      <c r="W215" s="31"/>
      <c r="X215" s="32"/>
      <c r="Y215" s="32"/>
      <c r="Z215" s="31"/>
      <c r="AA215" s="32"/>
      <c r="AB215" s="32"/>
      <c r="AC215" s="31"/>
      <c r="AD215" s="31"/>
      <c r="AE215" s="31"/>
      <c r="AF215" s="32"/>
      <c r="AG215" s="32"/>
      <c r="AH215" s="31"/>
      <c r="AI215" s="31"/>
      <c r="AJ215" s="32"/>
      <c r="AK215" s="31"/>
      <c r="AL215" s="31"/>
      <c r="AM215" s="31"/>
      <c r="AN215" s="31"/>
      <c r="AO215" s="31"/>
      <c r="AP215" s="31"/>
      <c r="AQ215" s="31"/>
      <c r="AR215" s="32"/>
      <c r="AS215" s="31"/>
      <c r="AT215" s="31"/>
      <c r="AU215" s="31"/>
      <c r="AV215" s="31"/>
      <c r="AW215" s="31"/>
      <c r="AX215" s="31"/>
      <c r="AY215" s="31"/>
      <c r="AZ215" s="32"/>
      <c r="BA215" s="31"/>
      <c r="BB215" s="31"/>
      <c r="BC215" s="31"/>
      <c r="BD215" s="31"/>
      <c r="BE215" s="31"/>
      <c r="BF215" s="31"/>
      <c r="BG215" s="31"/>
      <c r="BH215" s="32"/>
      <c r="BI215" s="31"/>
      <c r="BJ215" s="31"/>
      <c r="BK215" s="31"/>
      <c r="BL215" s="31"/>
      <c r="BM215" s="31"/>
      <c r="BN215" s="31"/>
      <c r="BO215" s="31"/>
      <c r="BP215" s="32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  <c r="GI215" s="31"/>
      <c r="GJ215" s="31"/>
      <c r="GK215" s="31"/>
      <c r="GL215" s="31"/>
      <c r="GM215" s="31"/>
      <c r="GN215" s="31"/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  <c r="HE215" s="31"/>
      <c r="HF215" s="31"/>
      <c r="HG215" s="31"/>
      <c r="HH215" s="31"/>
      <c r="HI215" s="31"/>
      <c r="HJ215" s="31"/>
      <c r="HK215" s="31"/>
      <c r="HL215" s="31"/>
      <c r="HM215" s="31"/>
      <c r="HN215" s="31"/>
      <c r="HO215" s="31"/>
      <c r="HP215" s="31"/>
      <c r="HQ215" s="31"/>
      <c r="HR215" s="31"/>
      <c r="HS215" s="31"/>
      <c r="HT215" s="31"/>
      <c r="HU215" s="31"/>
      <c r="HV215" s="31"/>
      <c r="HW215" s="31"/>
      <c r="HX215" s="31"/>
      <c r="HY215" s="31"/>
      <c r="HZ215" s="31"/>
      <c r="IA215" s="31"/>
      <c r="IB215" s="31"/>
      <c r="IC215" s="31"/>
      <c r="ID215" s="31"/>
      <c r="IE215" s="31"/>
      <c r="IF215" s="31"/>
      <c r="IG215" s="31"/>
      <c r="IH215" s="31"/>
      <c r="II215" s="31"/>
      <c r="IJ215" s="31"/>
      <c r="IK215" s="31"/>
      <c r="IL215" s="31"/>
      <c r="IM215" s="31"/>
      <c r="IN215" s="31"/>
      <c r="IO215" s="31"/>
      <c r="IP215" s="31"/>
      <c r="IQ215" s="31"/>
      <c r="IR215" s="31"/>
      <c r="IS215" s="31"/>
      <c r="IT215" s="31"/>
      <c r="IU215" s="31"/>
      <c r="IV215" s="31"/>
      <c r="IW215" s="31"/>
      <c r="IX215" s="31"/>
      <c r="IY215" s="31"/>
      <c r="IZ215" s="31"/>
      <c r="JA215" s="31"/>
      <c r="JB215" s="31"/>
      <c r="JC215" s="31"/>
      <c r="JD215" s="31"/>
      <c r="JE215" s="31"/>
      <c r="JF215" s="31"/>
    </row>
    <row r="216" customFormat="1" ht="17.25" spans="1:266">
      <c r="A216" s="32">
        <f>40000000+INDEX(编号表!$B:$B,MATCH(B216,编号表!$A:$A,0))*10000+C216</f>
        <v>40120001</v>
      </c>
      <c r="B216" s="27" t="s">
        <v>620</v>
      </c>
      <c r="C216" s="32">
        <v>1</v>
      </c>
      <c r="D216" s="32" t="s">
        <v>621</v>
      </c>
      <c r="E216" s="32" t="s">
        <v>617</v>
      </c>
      <c r="F216" s="31">
        <f t="shared" ref="F216:F255" si="23">P216+X216+AF216+AN216+AV216+BD216+BL216+BT216</f>
        <v>100000000</v>
      </c>
      <c r="G216" s="31"/>
      <c r="H216" s="32">
        <v>3</v>
      </c>
      <c r="I216" s="32">
        <v>5</v>
      </c>
      <c r="J216" s="32">
        <f t="shared" si="22"/>
        <v>8</v>
      </c>
      <c r="K216" s="31">
        <v>34050001</v>
      </c>
      <c r="L216" s="32" t="str" cm="1">
        <f t="array" ref="L216">INDEX(编号表!$E:$E,MATCH(K216,编号表!$D:$D,0))</f>
        <v>小魔法药</v>
      </c>
      <c r="M216" s="31"/>
      <c r="N216" s="31"/>
      <c r="O216" s="31"/>
      <c r="P216" s="32">
        <v>20000000</v>
      </c>
      <c r="Q216" s="32">
        <v>1</v>
      </c>
      <c r="R216" s="31"/>
      <c r="S216" s="31">
        <f>K216+1</f>
        <v>34050002</v>
      </c>
      <c r="T216" s="32" t="str" cm="1">
        <f t="array" ref="T216">INDEX(编号表!$E:$E,MATCH(S216,编号表!$D:$D,0))</f>
        <v>强效魔法药</v>
      </c>
      <c r="U216" s="31"/>
      <c r="V216" s="31"/>
      <c r="W216" s="31"/>
      <c r="X216" s="32">
        <v>20000000</v>
      </c>
      <c r="Y216" s="32">
        <v>1</v>
      </c>
      <c r="Z216" s="31"/>
      <c r="AA216" s="31">
        <f>S216+1</f>
        <v>34050003</v>
      </c>
      <c r="AB216" s="32" t="str" cm="1">
        <f t="array" ref="AB216">INDEX(编号表!$E:$E,MATCH(AA216,编号表!$D:$D,0))</f>
        <v>特级魔法药</v>
      </c>
      <c r="AC216" s="31"/>
      <c r="AD216" s="31"/>
      <c r="AE216" s="31"/>
      <c r="AF216" s="32">
        <v>10000000</v>
      </c>
      <c r="AG216" s="32">
        <v>1</v>
      </c>
      <c r="AH216" s="31"/>
      <c r="AI216" s="31">
        <f>AA216+1</f>
        <v>34050004</v>
      </c>
      <c r="AJ216" s="32" t="str" cm="1">
        <f t="array" ref="AJ216">INDEX(编号表!$E:$E,MATCH(AI216,编号表!$D:$D,0))</f>
        <v>小金创药</v>
      </c>
      <c r="AK216" s="31"/>
      <c r="AL216" s="31"/>
      <c r="AM216" s="31"/>
      <c r="AN216" s="32">
        <v>18000000</v>
      </c>
      <c r="AO216" s="32">
        <v>1</v>
      </c>
      <c r="AP216" s="31"/>
      <c r="AQ216" s="31">
        <f>AI216+1</f>
        <v>34050005</v>
      </c>
      <c r="AR216" s="32" t="str" cm="1">
        <f t="array" ref="AR216">INDEX(编号表!$E:$E,MATCH(AQ216,编号表!$D:$D,0))</f>
        <v>强效金创药</v>
      </c>
      <c r="AS216" s="31"/>
      <c r="AT216" s="31"/>
      <c r="AU216" s="31"/>
      <c r="AV216" s="32">
        <v>15000000</v>
      </c>
      <c r="AW216" s="32">
        <v>1</v>
      </c>
      <c r="AX216" s="31"/>
      <c r="AY216" s="31">
        <f>AQ216+1</f>
        <v>34050006</v>
      </c>
      <c r="AZ216" s="32" t="str" cm="1">
        <f t="array" ref="AZ216">INDEX(编号表!$E:$E,MATCH(AY216,编号表!$D:$D,0))</f>
        <v>特级金创药</v>
      </c>
      <c r="BA216" s="31"/>
      <c r="BB216" s="31"/>
      <c r="BC216" s="31"/>
      <c r="BD216" s="32">
        <v>10000000</v>
      </c>
      <c r="BE216" s="32">
        <v>1</v>
      </c>
      <c r="BF216" s="31"/>
      <c r="BG216" s="31">
        <f>AY216+1</f>
        <v>34050007</v>
      </c>
      <c r="BH216" s="32" t="str" cm="1">
        <f t="array" ref="BH216">INDEX(编号表!$E:$E,MATCH(BG216,编号表!$D:$D,0))</f>
        <v>太阳水</v>
      </c>
      <c r="BI216" s="31"/>
      <c r="BJ216" s="31"/>
      <c r="BK216" s="31"/>
      <c r="BL216" s="32">
        <v>5000000</v>
      </c>
      <c r="BM216" s="32">
        <v>1</v>
      </c>
      <c r="BN216" s="31"/>
      <c r="BO216" s="31">
        <f>BG216+1</f>
        <v>34050008</v>
      </c>
      <c r="BP216" s="32" t="str" cm="1">
        <f t="array" ref="BP216">INDEX(编号表!$E:$E,MATCH(BO216,编号表!$D:$D,0))</f>
        <v>强效太阳水</v>
      </c>
      <c r="BQ216" s="31"/>
      <c r="BR216" s="31"/>
      <c r="BS216" s="31"/>
      <c r="BT216" s="32">
        <v>2000000</v>
      </c>
      <c r="BU216" s="32">
        <v>1</v>
      </c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  <c r="GI216" s="31"/>
      <c r="GJ216" s="31"/>
      <c r="GK216" s="31"/>
      <c r="GL216" s="31"/>
      <c r="GM216" s="31"/>
      <c r="GN216" s="31"/>
      <c r="GO216" s="31"/>
      <c r="GP216" s="31"/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/>
      <c r="HB216" s="31"/>
      <c r="HC216" s="31"/>
      <c r="HD216" s="31"/>
      <c r="HE216" s="31"/>
      <c r="HF216" s="31"/>
      <c r="HG216" s="31"/>
      <c r="HH216" s="31"/>
      <c r="HI216" s="31"/>
      <c r="HJ216" s="31"/>
      <c r="HK216" s="31"/>
      <c r="HL216" s="31"/>
      <c r="HM216" s="31"/>
      <c r="HN216" s="31"/>
      <c r="HO216" s="31"/>
      <c r="HP216" s="31"/>
      <c r="HQ216" s="31"/>
      <c r="HR216" s="31"/>
      <c r="HS216" s="31"/>
      <c r="HT216" s="31"/>
      <c r="HU216" s="31"/>
      <c r="HV216" s="31"/>
      <c r="HW216" s="31"/>
      <c r="HX216" s="31"/>
      <c r="HY216" s="31"/>
      <c r="HZ216" s="31"/>
      <c r="IA216" s="31"/>
      <c r="IB216" s="31"/>
      <c r="IC216" s="31"/>
      <c r="ID216" s="31"/>
      <c r="IE216" s="31"/>
      <c r="IF216" s="31"/>
      <c r="IG216" s="31"/>
      <c r="IH216" s="31"/>
      <c r="II216" s="31"/>
      <c r="IJ216" s="31"/>
      <c r="IK216" s="31"/>
      <c r="IL216" s="31"/>
      <c r="IM216" s="31"/>
      <c r="IN216" s="31"/>
      <c r="IO216" s="31"/>
      <c r="IP216" s="31"/>
      <c r="IQ216" s="31"/>
      <c r="IR216" s="31"/>
      <c r="IS216" s="31"/>
      <c r="IT216" s="31"/>
      <c r="IU216" s="31"/>
      <c r="IV216" s="31"/>
      <c r="IW216" s="31"/>
      <c r="IX216" s="31"/>
      <c r="IY216" s="31"/>
      <c r="IZ216" s="31"/>
      <c r="JA216" s="31"/>
      <c r="JB216" s="31"/>
      <c r="JC216" s="31"/>
      <c r="JD216" s="31"/>
      <c r="JE216" s="31"/>
      <c r="JF216" s="31"/>
    </row>
    <row r="217" customFormat="1" ht="17.25" spans="1:266">
      <c r="A217" s="32">
        <f>40000000+INDEX(编号表!$B:$B,MATCH(B217,编号表!$A:$A,0))*10000+C217</f>
        <v>40120002</v>
      </c>
      <c r="B217" s="27" t="s">
        <v>620</v>
      </c>
      <c r="C217" s="32">
        <v>2</v>
      </c>
      <c r="D217" s="32" t="s">
        <v>622</v>
      </c>
      <c r="E217" s="32" t="s">
        <v>617</v>
      </c>
      <c r="F217" s="31">
        <f t="shared" si="23"/>
        <v>0</v>
      </c>
      <c r="G217" s="31"/>
      <c r="H217" s="32"/>
      <c r="I217" s="32"/>
      <c r="J217" s="32">
        <f t="shared" si="22"/>
        <v>0</v>
      </c>
      <c r="K217" s="32"/>
      <c r="L217" s="32"/>
      <c r="M217" s="31"/>
      <c r="N217" s="31"/>
      <c r="O217" s="31"/>
      <c r="P217" s="32"/>
      <c r="Q217" s="32"/>
      <c r="R217" s="31"/>
      <c r="S217" s="32"/>
      <c r="T217" s="32"/>
      <c r="U217" s="31"/>
      <c r="V217" s="31"/>
      <c r="W217" s="31"/>
      <c r="X217" s="32"/>
      <c r="Y217" s="32"/>
      <c r="Z217" s="31"/>
      <c r="AA217" s="32"/>
      <c r="AB217" s="32"/>
      <c r="AC217" s="31"/>
      <c r="AD217" s="31"/>
      <c r="AE217" s="31"/>
      <c r="AF217" s="32"/>
      <c r="AG217" s="32"/>
      <c r="AH217" s="31"/>
      <c r="AI217" s="31"/>
      <c r="AJ217" s="32"/>
      <c r="AK217" s="31"/>
      <c r="AL217" s="31"/>
      <c r="AM217" s="31"/>
      <c r="AN217" s="31"/>
      <c r="AO217" s="31"/>
      <c r="AP217" s="31"/>
      <c r="AQ217" s="31"/>
      <c r="AR217" s="32"/>
      <c r="AS217" s="31"/>
      <c r="AT217" s="31"/>
      <c r="AU217" s="31"/>
      <c r="AV217" s="31"/>
      <c r="AW217" s="31"/>
      <c r="AX217" s="31"/>
      <c r="AY217" s="31"/>
      <c r="AZ217" s="32"/>
      <c r="BA217" s="31"/>
      <c r="BB217" s="31"/>
      <c r="BC217" s="31"/>
      <c r="BD217" s="31"/>
      <c r="BE217" s="31"/>
      <c r="BF217" s="31"/>
      <c r="BG217" s="31"/>
      <c r="BH217" s="32"/>
      <c r="BI217" s="31"/>
      <c r="BJ217" s="31"/>
      <c r="BK217" s="31"/>
      <c r="BL217" s="31"/>
      <c r="BM217" s="31"/>
      <c r="BN217" s="31"/>
      <c r="BO217" s="31"/>
      <c r="BP217" s="32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  <c r="FN217" s="31"/>
      <c r="FO217" s="31"/>
      <c r="FP217" s="31"/>
      <c r="FQ217" s="31"/>
      <c r="FR217" s="31"/>
      <c r="FS217" s="31"/>
      <c r="FT217" s="31"/>
      <c r="FU217" s="31"/>
      <c r="FV217" s="31"/>
      <c r="FW217" s="31"/>
      <c r="FX217" s="31"/>
      <c r="FY217" s="31"/>
      <c r="FZ217" s="31"/>
      <c r="GA217" s="31"/>
      <c r="GB217" s="31"/>
      <c r="GC217" s="31"/>
      <c r="GD217" s="31"/>
      <c r="GE217" s="31"/>
      <c r="GF217" s="31"/>
      <c r="GG217" s="31"/>
      <c r="GH217" s="31"/>
      <c r="GI217" s="31"/>
      <c r="GJ217" s="31"/>
      <c r="GK217" s="31"/>
      <c r="GL217" s="31"/>
      <c r="GM217" s="31"/>
      <c r="GN217" s="31"/>
      <c r="GO217" s="31"/>
      <c r="GP217" s="31"/>
      <c r="GQ217" s="31"/>
      <c r="GR217" s="31"/>
      <c r="GS217" s="31"/>
      <c r="GT217" s="31"/>
      <c r="GU217" s="31"/>
      <c r="GV217" s="31"/>
      <c r="GW217" s="31"/>
      <c r="GX217" s="31"/>
      <c r="GY217" s="31"/>
      <c r="GZ217" s="31"/>
      <c r="HA217" s="31"/>
      <c r="HB217" s="31"/>
      <c r="HC217" s="31"/>
      <c r="HD217" s="31"/>
      <c r="HE217" s="31"/>
      <c r="HF217" s="31"/>
      <c r="HG217" s="31"/>
      <c r="HH217" s="31"/>
      <c r="HI217" s="31"/>
      <c r="HJ217" s="31"/>
      <c r="HK217" s="31"/>
      <c r="HL217" s="31"/>
      <c r="HM217" s="31"/>
      <c r="HN217" s="31"/>
      <c r="HO217" s="31"/>
      <c r="HP217" s="31"/>
      <c r="HQ217" s="31"/>
      <c r="HR217" s="31"/>
      <c r="HS217" s="31"/>
      <c r="HT217" s="31"/>
      <c r="HU217" s="31"/>
      <c r="HV217" s="31"/>
      <c r="HW217" s="31"/>
      <c r="HX217" s="31"/>
      <c r="HY217" s="31"/>
      <c r="HZ217" s="31"/>
      <c r="IA217" s="31"/>
      <c r="IB217" s="31"/>
      <c r="IC217" s="31"/>
      <c r="ID217" s="31"/>
      <c r="IE217" s="31"/>
      <c r="IF217" s="31"/>
      <c r="IG217" s="31"/>
      <c r="IH217" s="31"/>
      <c r="II217" s="31"/>
      <c r="IJ217" s="31"/>
      <c r="IK217" s="31"/>
      <c r="IL217" s="31"/>
      <c r="IM217" s="31"/>
      <c r="IN217" s="31"/>
      <c r="IO217" s="31"/>
      <c r="IP217" s="31"/>
      <c r="IQ217" s="31"/>
      <c r="IR217" s="31"/>
      <c r="IS217" s="31"/>
      <c r="IT217" s="31"/>
      <c r="IU217" s="31"/>
      <c r="IV217" s="31"/>
      <c r="IW217" s="31"/>
      <c r="IX217" s="31"/>
      <c r="IY217" s="31"/>
      <c r="IZ217" s="31"/>
      <c r="JA217" s="31"/>
      <c r="JB217" s="31"/>
      <c r="JC217" s="31"/>
      <c r="JD217" s="31"/>
      <c r="JE217" s="31"/>
      <c r="JF217" s="31"/>
    </row>
    <row r="218" customFormat="1" ht="17.25" spans="1:266">
      <c r="A218" s="32">
        <f>40000000+INDEX(编号表!$B:$B,MATCH(B218,编号表!$A:$A,0))*10000+C218</f>
        <v>40120003</v>
      </c>
      <c r="B218" s="27" t="s">
        <v>620</v>
      </c>
      <c r="C218" s="32">
        <v>3</v>
      </c>
      <c r="D218" s="32" t="s">
        <v>623</v>
      </c>
      <c r="E218" s="32" t="s">
        <v>617</v>
      </c>
      <c r="F218" s="31">
        <f t="shared" si="23"/>
        <v>0</v>
      </c>
      <c r="G218" s="31"/>
      <c r="H218" s="32"/>
      <c r="I218" s="32"/>
      <c r="J218" s="32">
        <f t="shared" si="22"/>
        <v>0</v>
      </c>
      <c r="K218" s="32"/>
      <c r="L218" s="32"/>
      <c r="M218" s="31"/>
      <c r="N218" s="31"/>
      <c r="O218" s="31"/>
      <c r="P218" s="32"/>
      <c r="Q218" s="32"/>
      <c r="R218" s="31"/>
      <c r="S218" s="32"/>
      <c r="T218" s="32"/>
      <c r="U218" s="31"/>
      <c r="V218" s="31"/>
      <c r="W218" s="31"/>
      <c r="X218" s="32"/>
      <c r="Y218" s="32"/>
      <c r="Z218" s="31"/>
      <c r="AA218" s="32"/>
      <c r="AB218" s="32"/>
      <c r="AC218" s="31"/>
      <c r="AD218" s="31"/>
      <c r="AE218" s="31"/>
      <c r="AF218" s="32"/>
      <c r="AG218" s="32"/>
      <c r="AH218" s="31"/>
      <c r="AI218" s="31"/>
      <c r="AJ218" s="32"/>
      <c r="AK218" s="31"/>
      <c r="AL218" s="31"/>
      <c r="AM218" s="31"/>
      <c r="AN218" s="31"/>
      <c r="AO218" s="31"/>
      <c r="AP218" s="31"/>
      <c r="AQ218" s="31"/>
      <c r="AR218" s="32"/>
      <c r="AS218" s="31"/>
      <c r="AT218" s="31"/>
      <c r="AU218" s="31"/>
      <c r="AV218" s="31"/>
      <c r="AW218" s="31"/>
      <c r="AX218" s="31"/>
      <c r="AY218" s="31"/>
      <c r="AZ218" s="32"/>
      <c r="BA218" s="31"/>
      <c r="BB218" s="31"/>
      <c r="BC218" s="31"/>
      <c r="BD218" s="31"/>
      <c r="BE218" s="31"/>
      <c r="BF218" s="31"/>
      <c r="BG218" s="31"/>
      <c r="BH218" s="32"/>
      <c r="BI218" s="31"/>
      <c r="BJ218" s="31"/>
      <c r="BK218" s="31"/>
      <c r="BL218" s="31"/>
      <c r="BM218" s="31"/>
      <c r="BN218" s="31"/>
      <c r="BO218" s="31"/>
      <c r="BP218" s="32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  <c r="GI218" s="31"/>
      <c r="GJ218" s="31"/>
      <c r="GK218" s="31"/>
      <c r="GL218" s="31"/>
      <c r="GM218" s="31"/>
      <c r="GN218" s="31"/>
      <c r="GO218" s="31"/>
      <c r="GP218" s="31"/>
      <c r="GQ218" s="31"/>
      <c r="GR218" s="31"/>
      <c r="GS218" s="31"/>
      <c r="GT218" s="31"/>
      <c r="GU218" s="31"/>
      <c r="GV218" s="31"/>
      <c r="GW218" s="31"/>
      <c r="GX218" s="31"/>
      <c r="GY218" s="31"/>
      <c r="GZ218" s="31"/>
      <c r="HA218" s="31"/>
      <c r="HB218" s="31"/>
      <c r="HC218" s="31"/>
      <c r="HD218" s="31"/>
      <c r="HE218" s="31"/>
      <c r="HF218" s="31"/>
      <c r="HG218" s="31"/>
      <c r="HH218" s="31"/>
      <c r="HI218" s="31"/>
      <c r="HJ218" s="31"/>
      <c r="HK218" s="31"/>
      <c r="HL218" s="31"/>
      <c r="HM218" s="31"/>
      <c r="HN218" s="31"/>
      <c r="HO218" s="31"/>
      <c r="HP218" s="31"/>
      <c r="HQ218" s="31"/>
      <c r="HR218" s="31"/>
      <c r="HS218" s="31"/>
      <c r="HT218" s="31"/>
      <c r="HU218" s="31"/>
      <c r="HV218" s="31"/>
      <c r="HW218" s="31"/>
      <c r="HX218" s="31"/>
      <c r="HY218" s="31"/>
      <c r="HZ218" s="31"/>
      <c r="IA218" s="31"/>
      <c r="IB218" s="31"/>
      <c r="IC218" s="31"/>
      <c r="ID218" s="31"/>
      <c r="IE218" s="31"/>
      <c r="IF218" s="31"/>
      <c r="IG218" s="31"/>
      <c r="IH218" s="31"/>
      <c r="II218" s="31"/>
      <c r="IJ218" s="31"/>
      <c r="IK218" s="31"/>
      <c r="IL218" s="31"/>
      <c r="IM218" s="31"/>
      <c r="IN218" s="31"/>
      <c r="IO218" s="31"/>
      <c r="IP218" s="31"/>
      <c r="IQ218" s="31"/>
      <c r="IR218" s="31"/>
      <c r="IS218" s="31"/>
      <c r="IT218" s="31"/>
      <c r="IU218" s="31"/>
      <c r="IV218" s="31"/>
      <c r="IW218" s="31"/>
      <c r="IX218" s="31"/>
      <c r="IY218" s="31"/>
      <c r="IZ218" s="31"/>
      <c r="JA218" s="31"/>
      <c r="JB218" s="31"/>
      <c r="JC218" s="31"/>
      <c r="JD218" s="31"/>
      <c r="JE218" s="31"/>
      <c r="JF218" s="31"/>
    </row>
    <row r="219" customFormat="1" ht="17.25" spans="1:266">
      <c r="A219" s="32">
        <f>40000000+INDEX(编号表!$B:$B,MATCH(B219,编号表!$A:$A,0))*10000+C219</f>
        <v>40120004</v>
      </c>
      <c r="B219" s="27" t="s">
        <v>620</v>
      </c>
      <c r="C219" s="32">
        <v>4</v>
      </c>
      <c r="D219" s="32" t="s">
        <v>624</v>
      </c>
      <c r="E219" s="32" t="s">
        <v>617</v>
      </c>
      <c r="F219" s="31">
        <f t="shared" si="23"/>
        <v>0</v>
      </c>
      <c r="G219" s="31"/>
      <c r="H219" s="32"/>
      <c r="I219" s="32"/>
      <c r="J219" s="32">
        <f t="shared" si="22"/>
        <v>0</v>
      </c>
      <c r="K219" s="32"/>
      <c r="L219" s="32"/>
      <c r="M219" s="31"/>
      <c r="N219" s="31"/>
      <c r="O219" s="31"/>
      <c r="P219" s="32"/>
      <c r="Q219" s="32"/>
      <c r="R219" s="31"/>
      <c r="S219" s="32"/>
      <c r="T219" s="32"/>
      <c r="U219" s="31"/>
      <c r="V219" s="31"/>
      <c r="W219" s="31"/>
      <c r="X219" s="32"/>
      <c r="Y219" s="32"/>
      <c r="Z219" s="31"/>
      <c r="AA219" s="32"/>
      <c r="AB219" s="32"/>
      <c r="AC219" s="31"/>
      <c r="AD219" s="31"/>
      <c r="AE219" s="31"/>
      <c r="AF219" s="32"/>
      <c r="AG219" s="32"/>
      <c r="AH219" s="31"/>
      <c r="AI219" s="31"/>
      <c r="AJ219" s="32"/>
      <c r="AK219" s="31"/>
      <c r="AL219" s="31"/>
      <c r="AM219" s="31"/>
      <c r="AN219" s="31"/>
      <c r="AO219" s="31"/>
      <c r="AP219" s="31"/>
      <c r="AQ219" s="31"/>
      <c r="AR219" s="32"/>
      <c r="AS219" s="31"/>
      <c r="AT219" s="31"/>
      <c r="AU219" s="31"/>
      <c r="AV219" s="31"/>
      <c r="AW219" s="31"/>
      <c r="AX219" s="31"/>
      <c r="AY219" s="31"/>
      <c r="AZ219" s="32"/>
      <c r="BA219" s="31"/>
      <c r="BB219" s="31"/>
      <c r="BC219" s="31"/>
      <c r="BD219" s="31"/>
      <c r="BE219" s="31"/>
      <c r="BF219" s="31"/>
      <c r="BG219" s="31"/>
      <c r="BH219" s="32"/>
      <c r="BI219" s="31"/>
      <c r="BJ219" s="31"/>
      <c r="BK219" s="31"/>
      <c r="BL219" s="31"/>
      <c r="BM219" s="31"/>
      <c r="BN219" s="31"/>
      <c r="BO219" s="31"/>
      <c r="BP219" s="32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1"/>
      <c r="DU219" s="31"/>
      <c r="DV219" s="31"/>
      <c r="DW219" s="31"/>
      <c r="DX219" s="31"/>
      <c r="DY219" s="31"/>
      <c r="DZ219" s="31"/>
      <c r="EA219" s="31"/>
      <c r="EB219" s="31"/>
      <c r="EC219" s="31"/>
      <c r="ED219" s="31"/>
      <c r="EE219" s="31"/>
      <c r="EF219" s="31"/>
      <c r="EG219" s="31"/>
      <c r="EH219" s="31"/>
      <c r="EI219" s="31"/>
      <c r="EJ219" s="31"/>
      <c r="EK219" s="31"/>
      <c r="EL219" s="31"/>
      <c r="EM219" s="31"/>
      <c r="EN219" s="31"/>
      <c r="EO219" s="31"/>
      <c r="EP219" s="31"/>
      <c r="EQ219" s="31"/>
      <c r="ER219" s="31"/>
      <c r="ES219" s="31"/>
      <c r="ET219" s="31"/>
      <c r="EU219" s="31"/>
      <c r="EV219" s="31"/>
      <c r="EW219" s="31"/>
      <c r="EX219" s="31"/>
      <c r="EY219" s="31"/>
      <c r="EZ219" s="31"/>
      <c r="FA219" s="31"/>
      <c r="FB219" s="31"/>
      <c r="FC219" s="31"/>
      <c r="FD219" s="31"/>
      <c r="FE219" s="31"/>
      <c r="FF219" s="31"/>
      <c r="FG219" s="31"/>
      <c r="FH219" s="31"/>
      <c r="FI219" s="31"/>
      <c r="FJ219" s="31"/>
      <c r="FK219" s="31"/>
      <c r="FL219" s="31"/>
      <c r="FM219" s="31"/>
      <c r="FN219" s="31"/>
      <c r="FO219" s="31"/>
      <c r="FP219" s="31"/>
      <c r="FQ219" s="31"/>
      <c r="FR219" s="31"/>
      <c r="FS219" s="31"/>
      <c r="FT219" s="31"/>
      <c r="FU219" s="31"/>
      <c r="FV219" s="31"/>
      <c r="FW219" s="31"/>
      <c r="FX219" s="31"/>
      <c r="FY219" s="31"/>
      <c r="FZ219" s="31"/>
      <c r="GA219" s="31"/>
      <c r="GB219" s="31"/>
      <c r="GC219" s="31"/>
      <c r="GD219" s="31"/>
      <c r="GE219" s="31"/>
      <c r="GF219" s="31"/>
      <c r="GG219" s="31"/>
      <c r="GH219" s="31"/>
      <c r="GI219" s="31"/>
      <c r="GJ219" s="31"/>
      <c r="GK219" s="31"/>
      <c r="GL219" s="31"/>
      <c r="GM219" s="31"/>
      <c r="GN219" s="31"/>
      <c r="GO219" s="31"/>
      <c r="GP219" s="31"/>
      <c r="GQ219" s="31"/>
      <c r="GR219" s="31"/>
      <c r="GS219" s="31"/>
      <c r="GT219" s="31"/>
      <c r="GU219" s="31"/>
      <c r="GV219" s="31"/>
      <c r="GW219" s="31"/>
      <c r="GX219" s="31"/>
      <c r="GY219" s="31"/>
      <c r="GZ219" s="31"/>
      <c r="HA219" s="31"/>
      <c r="HB219" s="31"/>
      <c r="HC219" s="31"/>
      <c r="HD219" s="31"/>
      <c r="HE219" s="31"/>
      <c r="HF219" s="31"/>
      <c r="HG219" s="31"/>
      <c r="HH219" s="31"/>
      <c r="HI219" s="31"/>
      <c r="HJ219" s="31"/>
      <c r="HK219" s="31"/>
      <c r="HL219" s="31"/>
      <c r="HM219" s="31"/>
      <c r="HN219" s="31"/>
      <c r="HO219" s="31"/>
      <c r="HP219" s="31"/>
      <c r="HQ219" s="31"/>
      <c r="HR219" s="31"/>
      <c r="HS219" s="31"/>
      <c r="HT219" s="31"/>
      <c r="HU219" s="31"/>
      <c r="HV219" s="31"/>
      <c r="HW219" s="31"/>
      <c r="HX219" s="31"/>
      <c r="HY219" s="31"/>
      <c r="HZ219" s="31"/>
      <c r="IA219" s="31"/>
      <c r="IB219" s="31"/>
      <c r="IC219" s="31"/>
      <c r="ID219" s="31"/>
      <c r="IE219" s="31"/>
      <c r="IF219" s="31"/>
      <c r="IG219" s="31"/>
      <c r="IH219" s="31"/>
      <c r="II219" s="31"/>
      <c r="IJ219" s="31"/>
      <c r="IK219" s="31"/>
      <c r="IL219" s="31"/>
      <c r="IM219" s="31"/>
      <c r="IN219" s="31"/>
      <c r="IO219" s="31"/>
      <c r="IP219" s="31"/>
      <c r="IQ219" s="31"/>
      <c r="IR219" s="31"/>
      <c r="IS219" s="31"/>
      <c r="IT219" s="31"/>
      <c r="IU219" s="31"/>
      <c r="IV219" s="31"/>
      <c r="IW219" s="31"/>
      <c r="IX219" s="31"/>
      <c r="IY219" s="31"/>
      <c r="IZ219" s="31"/>
      <c r="JA219" s="31"/>
      <c r="JB219" s="31"/>
      <c r="JC219" s="31"/>
      <c r="JD219" s="31"/>
      <c r="JE219" s="31"/>
      <c r="JF219" s="31"/>
    </row>
    <row r="220" customFormat="1" ht="17.25" spans="1:266">
      <c r="A220" s="32">
        <f>40000000+INDEX(编号表!$B:$B,MATCH(B220,编号表!$A:$A,0))*10000+C220</f>
        <v>40120005</v>
      </c>
      <c r="B220" s="27" t="s">
        <v>620</v>
      </c>
      <c r="C220" s="32">
        <v>5</v>
      </c>
      <c r="D220" s="32" t="s">
        <v>625</v>
      </c>
      <c r="E220" s="32" t="s">
        <v>617</v>
      </c>
      <c r="F220" s="31">
        <f t="shared" si="23"/>
        <v>0</v>
      </c>
      <c r="G220" s="31"/>
      <c r="H220" s="32"/>
      <c r="I220" s="32"/>
      <c r="J220" s="32">
        <f t="shared" si="22"/>
        <v>0</v>
      </c>
      <c r="K220" s="32"/>
      <c r="L220" s="32"/>
      <c r="M220" s="31"/>
      <c r="N220" s="31"/>
      <c r="O220" s="31"/>
      <c r="P220" s="32"/>
      <c r="Q220" s="32"/>
      <c r="R220" s="31"/>
      <c r="S220" s="32"/>
      <c r="T220" s="32"/>
      <c r="U220" s="31"/>
      <c r="V220" s="31"/>
      <c r="W220" s="31"/>
      <c r="X220" s="32"/>
      <c r="Y220" s="32"/>
      <c r="Z220" s="31"/>
      <c r="AA220" s="32"/>
      <c r="AB220" s="32"/>
      <c r="AC220" s="31"/>
      <c r="AD220" s="31"/>
      <c r="AE220" s="31"/>
      <c r="AF220" s="32"/>
      <c r="AG220" s="32"/>
      <c r="AH220" s="31"/>
      <c r="AI220" s="31"/>
      <c r="AJ220" s="32"/>
      <c r="AK220" s="31"/>
      <c r="AL220" s="31"/>
      <c r="AM220" s="31"/>
      <c r="AN220" s="31"/>
      <c r="AO220" s="31"/>
      <c r="AP220" s="31"/>
      <c r="AQ220" s="31"/>
      <c r="AR220" s="32"/>
      <c r="AS220" s="31"/>
      <c r="AT220" s="31"/>
      <c r="AU220" s="31"/>
      <c r="AV220" s="31"/>
      <c r="AW220" s="31"/>
      <c r="AX220" s="31"/>
      <c r="AY220" s="31"/>
      <c r="AZ220" s="32"/>
      <c r="BA220" s="31"/>
      <c r="BB220" s="31"/>
      <c r="BC220" s="31"/>
      <c r="BD220" s="31"/>
      <c r="BE220" s="31"/>
      <c r="BF220" s="31"/>
      <c r="BG220" s="31"/>
      <c r="BH220" s="32"/>
      <c r="BI220" s="31"/>
      <c r="BJ220" s="31"/>
      <c r="BK220" s="31"/>
      <c r="BL220" s="31"/>
      <c r="BM220" s="31"/>
      <c r="BN220" s="31"/>
      <c r="BO220" s="31"/>
      <c r="BP220" s="32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1"/>
      <c r="EH220" s="31"/>
      <c r="EI220" s="31"/>
      <c r="EJ220" s="31"/>
      <c r="EK220" s="31"/>
      <c r="EL220" s="31"/>
      <c r="EM220" s="31"/>
      <c r="EN220" s="31"/>
      <c r="EO220" s="31"/>
      <c r="EP220" s="31"/>
      <c r="EQ220" s="31"/>
      <c r="ER220" s="31"/>
      <c r="ES220" s="31"/>
      <c r="ET220" s="31"/>
      <c r="EU220" s="31"/>
      <c r="EV220" s="31"/>
      <c r="EW220" s="31"/>
      <c r="EX220" s="31"/>
      <c r="EY220" s="31"/>
      <c r="EZ220" s="31"/>
      <c r="FA220" s="31"/>
      <c r="FB220" s="31"/>
      <c r="FC220" s="31"/>
      <c r="FD220" s="31"/>
      <c r="FE220" s="31"/>
      <c r="FF220" s="31"/>
      <c r="FG220" s="31"/>
      <c r="FH220" s="31"/>
      <c r="FI220" s="31"/>
      <c r="FJ220" s="31"/>
      <c r="FK220" s="31"/>
      <c r="FL220" s="31"/>
      <c r="FM220" s="31"/>
      <c r="FN220" s="31"/>
      <c r="FO220" s="31"/>
      <c r="FP220" s="31"/>
      <c r="FQ220" s="31"/>
      <c r="FR220" s="31"/>
      <c r="FS220" s="31"/>
      <c r="FT220" s="31"/>
      <c r="FU220" s="31"/>
      <c r="FV220" s="31"/>
      <c r="FW220" s="31"/>
      <c r="FX220" s="31"/>
      <c r="FY220" s="31"/>
      <c r="FZ220" s="31"/>
      <c r="GA220" s="31"/>
      <c r="GB220" s="31"/>
      <c r="GC220" s="31"/>
      <c r="GD220" s="31"/>
      <c r="GE220" s="31"/>
      <c r="GF220" s="31"/>
      <c r="GG220" s="31"/>
      <c r="GH220" s="31"/>
      <c r="GI220" s="31"/>
      <c r="GJ220" s="31"/>
      <c r="GK220" s="31"/>
      <c r="GL220" s="31"/>
      <c r="GM220" s="31"/>
      <c r="GN220" s="31"/>
      <c r="GO220" s="31"/>
      <c r="GP220" s="31"/>
      <c r="GQ220" s="31"/>
      <c r="GR220" s="31"/>
      <c r="GS220" s="31"/>
      <c r="GT220" s="31"/>
      <c r="GU220" s="31"/>
      <c r="GV220" s="31"/>
      <c r="GW220" s="31"/>
      <c r="GX220" s="31"/>
      <c r="GY220" s="31"/>
      <c r="GZ220" s="31"/>
      <c r="HA220" s="31"/>
      <c r="HB220" s="31"/>
      <c r="HC220" s="31"/>
      <c r="HD220" s="31"/>
      <c r="HE220" s="31"/>
      <c r="HF220" s="31"/>
      <c r="HG220" s="31"/>
      <c r="HH220" s="31"/>
      <c r="HI220" s="31"/>
      <c r="HJ220" s="31"/>
      <c r="HK220" s="31"/>
      <c r="HL220" s="31"/>
      <c r="HM220" s="31"/>
      <c r="HN220" s="31"/>
      <c r="HO220" s="31"/>
      <c r="HP220" s="31"/>
      <c r="HQ220" s="31"/>
      <c r="HR220" s="31"/>
      <c r="HS220" s="31"/>
      <c r="HT220" s="31"/>
      <c r="HU220" s="31"/>
      <c r="HV220" s="31"/>
      <c r="HW220" s="31"/>
      <c r="HX220" s="31"/>
      <c r="HY220" s="31"/>
      <c r="HZ220" s="31"/>
      <c r="IA220" s="31"/>
      <c r="IB220" s="31"/>
      <c r="IC220" s="31"/>
      <c r="ID220" s="31"/>
      <c r="IE220" s="31"/>
      <c r="IF220" s="31"/>
      <c r="IG220" s="31"/>
      <c r="IH220" s="31"/>
      <c r="II220" s="31"/>
      <c r="IJ220" s="31"/>
      <c r="IK220" s="31"/>
      <c r="IL220" s="31"/>
      <c r="IM220" s="31"/>
      <c r="IN220" s="31"/>
      <c r="IO220" s="31"/>
      <c r="IP220" s="31"/>
      <c r="IQ220" s="31"/>
      <c r="IR220" s="31"/>
      <c r="IS220" s="31"/>
      <c r="IT220" s="31"/>
      <c r="IU220" s="31"/>
      <c r="IV220" s="31"/>
      <c r="IW220" s="31"/>
      <c r="IX220" s="31"/>
      <c r="IY220" s="31"/>
      <c r="IZ220" s="31"/>
      <c r="JA220" s="31"/>
      <c r="JB220" s="31"/>
      <c r="JC220" s="31"/>
      <c r="JD220" s="31"/>
      <c r="JE220" s="31"/>
      <c r="JF220" s="31"/>
    </row>
    <row r="221" customFormat="1" ht="17.25" spans="1:266">
      <c r="A221" s="32">
        <f>40000000+INDEX(编号表!$B:$B,MATCH(B221,编号表!$A:$A,0))*10000+C221</f>
        <v>40120006</v>
      </c>
      <c r="B221" s="27" t="s">
        <v>620</v>
      </c>
      <c r="C221" s="32">
        <v>6</v>
      </c>
      <c r="D221" s="32" t="s">
        <v>626</v>
      </c>
      <c r="E221" s="32" t="s">
        <v>617</v>
      </c>
      <c r="F221" s="31">
        <f t="shared" si="23"/>
        <v>0</v>
      </c>
      <c r="G221" s="31"/>
      <c r="H221" s="32"/>
      <c r="I221" s="32"/>
      <c r="J221" s="32">
        <f t="shared" si="22"/>
        <v>0</v>
      </c>
      <c r="K221" s="32"/>
      <c r="L221" s="32"/>
      <c r="M221" s="31"/>
      <c r="N221" s="31"/>
      <c r="O221" s="31"/>
      <c r="P221" s="32"/>
      <c r="Q221" s="32"/>
      <c r="R221" s="31"/>
      <c r="S221" s="32"/>
      <c r="T221" s="32"/>
      <c r="U221" s="31"/>
      <c r="V221" s="31"/>
      <c r="W221" s="31"/>
      <c r="X221" s="32"/>
      <c r="Y221" s="32"/>
      <c r="Z221" s="31"/>
      <c r="AA221" s="32"/>
      <c r="AB221" s="32"/>
      <c r="AC221" s="31"/>
      <c r="AD221" s="31"/>
      <c r="AE221" s="31"/>
      <c r="AF221" s="32"/>
      <c r="AG221" s="32"/>
      <c r="AH221" s="31"/>
      <c r="AI221" s="31"/>
      <c r="AJ221" s="32"/>
      <c r="AK221" s="31"/>
      <c r="AL221" s="31"/>
      <c r="AM221" s="31"/>
      <c r="AN221" s="31"/>
      <c r="AO221" s="31"/>
      <c r="AP221" s="31"/>
      <c r="AQ221" s="31"/>
      <c r="AR221" s="32"/>
      <c r="AS221" s="31"/>
      <c r="AT221" s="31"/>
      <c r="AU221" s="31"/>
      <c r="AV221" s="31"/>
      <c r="AW221" s="31"/>
      <c r="AX221" s="31"/>
      <c r="AY221" s="31"/>
      <c r="AZ221" s="32"/>
      <c r="BA221" s="31"/>
      <c r="BB221" s="31"/>
      <c r="BC221" s="31"/>
      <c r="BD221" s="31"/>
      <c r="BE221" s="31"/>
      <c r="BF221" s="31"/>
      <c r="BG221" s="31"/>
      <c r="BH221" s="32"/>
      <c r="BI221" s="31"/>
      <c r="BJ221" s="31"/>
      <c r="BK221" s="31"/>
      <c r="BL221" s="31"/>
      <c r="BM221" s="31"/>
      <c r="BN221" s="31"/>
      <c r="BO221" s="31"/>
      <c r="BP221" s="32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1"/>
      <c r="DU221" s="31"/>
      <c r="DV221" s="31"/>
      <c r="DW221" s="31"/>
      <c r="DX221" s="31"/>
      <c r="DY221" s="31"/>
      <c r="DZ221" s="31"/>
      <c r="EA221" s="31"/>
      <c r="EB221" s="31"/>
      <c r="EC221" s="31"/>
      <c r="ED221" s="31"/>
      <c r="EE221" s="31"/>
      <c r="EF221" s="31"/>
      <c r="EG221" s="31"/>
      <c r="EH221" s="31"/>
      <c r="EI221" s="31"/>
      <c r="EJ221" s="31"/>
      <c r="EK221" s="31"/>
      <c r="EL221" s="31"/>
      <c r="EM221" s="31"/>
      <c r="EN221" s="31"/>
      <c r="EO221" s="31"/>
      <c r="EP221" s="31"/>
      <c r="EQ221" s="31"/>
      <c r="ER221" s="31"/>
      <c r="ES221" s="31"/>
      <c r="ET221" s="31"/>
      <c r="EU221" s="31"/>
      <c r="EV221" s="31"/>
      <c r="EW221" s="31"/>
      <c r="EX221" s="31"/>
      <c r="EY221" s="31"/>
      <c r="EZ221" s="31"/>
      <c r="FA221" s="31"/>
      <c r="FB221" s="31"/>
      <c r="FC221" s="31"/>
      <c r="FD221" s="31"/>
      <c r="FE221" s="31"/>
      <c r="FF221" s="31"/>
      <c r="FG221" s="31"/>
      <c r="FH221" s="31"/>
      <c r="FI221" s="31"/>
      <c r="FJ221" s="31"/>
      <c r="FK221" s="31"/>
      <c r="FL221" s="31"/>
      <c r="FM221" s="31"/>
      <c r="FN221" s="31"/>
      <c r="FO221" s="31"/>
      <c r="FP221" s="31"/>
      <c r="FQ221" s="31"/>
      <c r="FR221" s="31"/>
      <c r="FS221" s="31"/>
      <c r="FT221" s="31"/>
      <c r="FU221" s="31"/>
      <c r="FV221" s="31"/>
      <c r="FW221" s="31"/>
      <c r="FX221" s="31"/>
      <c r="FY221" s="31"/>
      <c r="FZ221" s="31"/>
      <c r="GA221" s="31"/>
      <c r="GB221" s="31"/>
      <c r="GC221" s="31"/>
      <c r="GD221" s="31"/>
      <c r="GE221" s="31"/>
      <c r="GF221" s="31"/>
      <c r="GG221" s="31"/>
      <c r="GH221" s="31"/>
      <c r="GI221" s="31"/>
      <c r="GJ221" s="31"/>
      <c r="GK221" s="31"/>
      <c r="GL221" s="31"/>
      <c r="GM221" s="31"/>
      <c r="GN221" s="31"/>
      <c r="GO221" s="31"/>
      <c r="GP221" s="31"/>
      <c r="GQ221" s="31"/>
      <c r="GR221" s="31"/>
      <c r="GS221" s="31"/>
      <c r="GT221" s="31"/>
      <c r="GU221" s="31"/>
      <c r="GV221" s="31"/>
      <c r="GW221" s="31"/>
      <c r="GX221" s="31"/>
      <c r="GY221" s="31"/>
      <c r="GZ221" s="31"/>
      <c r="HA221" s="31"/>
      <c r="HB221" s="31"/>
      <c r="HC221" s="31"/>
      <c r="HD221" s="31"/>
      <c r="HE221" s="31"/>
      <c r="HF221" s="31"/>
      <c r="HG221" s="31"/>
      <c r="HH221" s="31"/>
      <c r="HI221" s="31"/>
      <c r="HJ221" s="31"/>
      <c r="HK221" s="31"/>
      <c r="HL221" s="31"/>
      <c r="HM221" s="31"/>
      <c r="HN221" s="31"/>
      <c r="HO221" s="31"/>
      <c r="HP221" s="31"/>
      <c r="HQ221" s="31"/>
      <c r="HR221" s="31"/>
      <c r="HS221" s="31"/>
      <c r="HT221" s="31"/>
      <c r="HU221" s="31"/>
      <c r="HV221" s="31"/>
      <c r="HW221" s="31"/>
      <c r="HX221" s="31"/>
      <c r="HY221" s="31"/>
      <c r="HZ221" s="31"/>
      <c r="IA221" s="31"/>
      <c r="IB221" s="31"/>
      <c r="IC221" s="31"/>
      <c r="ID221" s="31"/>
      <c r="IE221" s="31"/>
      <c r="IF221" s="31"/>
      <c r="IG221" s="31"/>
      <c r="IH221" s="31"/>
      <c r="II221" s="31"/>
      <c r="IJ221" s="31"/>
      <c r="IK221" s="31"/>
      <c r="IL221" s="31"/>
      <c r="IM221" s="31"/>
      <c r="IN221" s="31"/>
      <c r="IO221" s="31"/>
      <c r="IP221" s="31"/>
      <c r="IQ221" s="31"/>
      <c r="IR221" s="31"/>
      <c r="IS221" s="31"/>
      <c r="IT221" s="31"/>
      <c r="IU221" s="31"/>
      <c r="IV221" s="31"/>
      <c r="IW221" s="31"/>
      <c r="IX221" s="31"/>
      <c r="IY221" s="31"/>
      <c r="IZ221" s="31"/>
      <c r="JA221" s="31"/>
      <c r="JB221" s="31"/>
      <c r="JC221" s="31"/>
      <c r="JD221" s="31"/>
      <c r="JE221" s="31"/>
      <c r="JF221" s="31"/>
    </row>
    <row r="222" customFormat="1" ht="17.25" spans="1:266">
      <c r="A222" s="32">
        <f>40000000+INDEX(编号表!$B:$B,MATCH(B222,编号表!$A:$A,0))*10000+C222</f>
        <v>40120007</v>
      </c>
      <c r="B222" s="27" t="s">
        <v>620</v>
      </c>
      <c r="C222" s="32">
        <v>7</v>
      </c>
      <c r="D222" s="32" t="s">
        <v>627</v>
      </c>
      <c r="E222" s="32" t="s">
        <v>617</v>
      </c>
      <c r="F222" s="31">
        <f t="shared" si="23"/>
        <v>0</v>
      </c>
      <c r="G222" s="31"/>
      <c r="H222" s="32"/>
      <c r="I222" s="32"/>
      <c r="J222" s="32">
        <f t="shared" si="22"/>
        <v>0</v>
      </c>
      <c r="K222" s="32"/>
      <c r="L222" s="32"/>
      <c r="M222" s="31"/>
      <c r="N222" s="31"/>
      <c r="O222" s="31"/>
      <c r="P222" s="32"/>
      <c r="Q222" s="32"/>
      <c r="R222" s="31"/>
      <c r="S222" s="32"/>
      <c r="T222" s="32"/>
      <c r="U222" s="31"/>
      <c r="V222" s="31"/>
      <c r="W222" s="31"/>
      <c r="X222" s="32"/>
      <c r="Y222" s="32"/>
      <c r="Z222" s="31"/>
      <c r="AA222" s="32"/>
      <c r="AB222" s="32"/>
      <c r="AC222" s="31"/>
      <c r="AD222" s="31"/>
      <c r="AE222" s="31"/>
      <c r="AF222" s="32"/>
      <c r="AG222" s="32"/>
      <c r="AH222" s="31"/>
      <c r="AI222" s="31"/>
      <c r="AJ222" s="32"/>
      <c r="AK222" s="31"/>
      <c r="AL222" s="31"/>
      <c r="AM222" s="31"/>
      <c r="AN222" s="31"/>
      <c r="AO222" s="31"/>
      <c r="AP222" s="31"/>
      <c r="AQ222" s="31"/>
      <c r="AR222" s="32"/>
      <c r="AS222" s="31"/>
      <c r="AT222" s="31"/>
      <c r="AU222" s="31"/>
      <c r="AV222" s="31"/>
      <c r="AW222" s="31"/>
      <c r="AX222" s="31"/>
      <c r="AY222" s="31"/>
      <c r="AZ222" s="32"/>
      <c r="BA222" s="31"/>
      <c r="BB222" s="31"/>
      <c r="BC222" s="31"/>
      <c r="BD222" s="31"/>
      <c r="BE222" s="31"/>
      <c r="BF222" s="31"/>
      <c r="BG222" s="31"/>
      <c r="BH222" s="32"/>
      <c r="BI222" s="31"/>
      <c r="BJ222" s="31"/>
      <c r="BK222" s="31"/>
      <c r="BL222" s="31"/>
      <c r="BM222" s="31"/>
      <c r="BN222" s="31"/>
      <c r="BO222" s="31"/>
      <c r="BP222" s="32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  <c r="DY222" s="31"/>
      <c r="DZ222" s="31"/>
      <c r="EA222" s="31"/>
      <c r="EB222" s="31"/>
      <c r="EC222" s="31"/>
      <c r="ED222" s="31"/>
      <c r="EE222" s="31"/>
      <c r="EF222" s="31"/>
      <c r="EG222" s="31"/>
      <c r="EH222" s="31"/>
      <c r="EI222" s="31"/>
      <c r="EJ222" s="31"/>
      <c r="EK222" s="31"/>
      <c r="EL222" s="31"/>
      <c r="EM222" s="31"/>
      <c r="EN222" s="31"/>
      <c r="EO222" s="31"/>
      <c r="EP222" s="31"/>
      <c r="EQ222" s="31"/>
      <c r="ER222" s="31"/>
      <c r="ES222" s="31"/>
      <c r="ET222" s="31"/>
      <c r="EU222" s="31"/>
      <c r="EV222" s="31"/>
      <c r="EW222" s="31"/>
      <c r="EX222" s="31"/>
      <c r="EY222" s="31"/>
      <c r="EZ222" s="31"/>
      <c r="FA222" s="31"/>
      <c r="FB222" s="31"/>
      <c r="FC222" s="31"/>
      <c r="FD222" s="31"/>
      <c r="FE222" s="31"/>
      <c r="FF222" s="31"/>
      <c r="FG222" s="31"/>
      <c r="FH222" s="31"/>
      <c r="FI222" s="31"/>
      <c r="FJ222" s="31"/>
      <c r="FK222" s="31"/>
      <c r="FL222" s="31"/>
      <c r="FM222" s="31"/>
      <c r="FN222" s="31"/>
      <c r="FO222" s="31"/>
      <c r="FP222" s="31"/>
      <c r="FQ222" s="31"/>
      <c r="FR222" s="31"/>
      <c r="FS222" s="31"/>
      <c r="FT222" s="31"/>
      <c r="FU222" s="31"/>
      <c r="FV222" s="31"/>
      <c r="FW222" s="31"/>
      <c r="FX222" s="31"/>
      <c r="FY222" s="31"/>
      <c r="FZ222" s="31"/>
      <c r="GA222" s="31"/>
      <c r="GB222" s="31"/>
      <c r="GC222" s="31"/>
      <c r="GD222" s="31"/>
      <c r="GE222" s="31"/>
      <c r="GF222" s="31"/>
      <c r="GG222" s="31"/>
      <c r="GH222" s="31"/>
      <c r="GI222" s="31"/>
      <c r="GJ222" s="31"/>
      <c r="GK222" s="31"/>
      <c r="GL222" s="31"/>
      <c r="GM222" s="31"/>
      <c r="GN222" s="31"/>
      <c r="GO222" s="31"/>
      <c r="GP222" s="31"/>
      <c r="GQ222" s="31"/>
      <c r="GR222" s="31"/>
      <c r="GS222" s="31"/>
      <c r="GT222" s="31"/>
      <c r="GU222" s="31"/>
      <c r="GV222" s="31"/>
      <c r="GW222" s="31"/>
      <c r="GX222" s="31"/>
      <c r="GY222" s="31"/>
      <c r="GZ222" s="31"/>
      <c r="HA222" s="31"/>
      <c r="HB222" s="31"/>
      <c r="HC222" s="31"/>
      <c r="HD222" s="31"/>
      <c r="HE222" s="31"/>
      <c r="HF222" s="31"/>
      <c r="HG222" s="31"/>
      <c r="HH222" s="31"/>
      <c r="HI222" s="31"/>
      <c r="HJ222" s="31"/>
      <c r="HK222" s="31"/>
      <c r="HL222" s="31"/>
      <c r="HM222" s="31"/>
      <c r="HN222" s="31"/>
      <c r="HO222" s="31"/>
      <c r="HP222" s="31"/>
      <c r="HQ222" s="31"/>
      <c r="HR222" s="31"/>
      <c r="HS222" s="31"/>
      <c r="HT222" s="31"/>
      <c r="HU222" s="31"/>
      <c r="HV222" s="31"/>
      <c r="HW222" s="31"/>
      <c r="HX222" s="31"/>
      <c r="HY222" s="31"/>
      <c r="HZ222" s="31"/>
      <c r="IA222" s="31"/>
      <c r="IB222" s="31"/>
      <c r="IC222" s="31"/>
      <c r="ID222" s="31"/>
      <c r="IE222" s="31"/>
      <c r="IF222" s="31"/>
      <c r="IG222" s="31"/>
      <c r="IH222" s="31"/>
      <c r="II222" s="31"/>
      <c r="IJ222" s="31"/>
      <c r="IK222" s="31"/>
      <c r="IL222" s="31"/>
      <c r="IM222" s="31"/>
      <c r="IN222" s="31"/>
      <c r="IO222" s="31"/>
      <c r="IP222" s="31"/>
      <c r="IQ222" s="31"/>
      <c r="IR222" s="31"/>
      <c r="IS222" s="31"/>
      <c r="IT222" s="31"/>
      <c r="IU222" s="31"/>
      <c r="IV222" s="31"/>
      <c r="IW222" s="31"/>
      <c r="IX222" s="31"/>
      <c r="IY222" s="31"/>
      <c r="IZ222" s="31"/>
      <c r="JA222" s="31"/>
      <c r="JB222" s="31"/>
      <c r="JC222" s="31"/>
      <c r="JD222" s="31"/>
      <c r="JE222" s="31"/>
      <c r="JF222" s="31"/>
    </row>
    <row r="223" customFormat="1" ht="17.25" spans="1:266">
      <c r="A223" s="32">
        <f>40000000+INDEX(编号表!$B:$B,MATCH(B223,编号表!$A:$A,0))*10000+C223</f>
        <v>40120008</v>
      </c>
      <c r="B223" s="27" t="s">
        <v>620</v>
      </c>
      <c r="C223" s="32">
        <v>8</v>
      </c>
      <c r="D223" s="32" t="s">
        <v>628</v>
      </c>
      <c r="E223" s="32" t="s">
        <v>617</v>
      </c>
      <c r="F223" s="31">
        <f t="shared" si="23"/>
        <v>0</v>
      </c>
      <c r="G223" s="31"/>
      <c r="H223" s="32"/>
      <c r="I223" s="32"/>
      <c r="J223" s="32">
        <f t="shared" si="22"/>
        <v>0</v>
      </c>
      <c r="K223" s="32"/>
      <c r="L223" s="32"/>
      <c r="M223" s="31"/>
      <c r="N223" s="31"/>
      <c r="O223" s="31"/>
      <c r="P223" s="32"/>
      <c r="Q223" s="32"/>
      <c r="R223" s="31"/>
      <c r="S223" s="32"/>
      <c r="T223" s="32"/>
      <c r="U223" s="31"/>
      <c r="V223" s="31"/>
      <c r="W223" s="31"/>
      <c r="X223" s="32"/>
      <c r="Y223" s="32"/>
      <c r="Z223" s="31"/>
      <c r="AA223" s="32"/>
      <c r="AB223" s="32"/>
      <c r="AC223" s="31"/>
      <c r="AD223" s="31"/>
      <c r="AE223" s="31"/>
      <c r="AF223" s="32"/>
      <c r="AG223" s="32"/>
      <c r="AH223" s="31"/>
      <c r="AI223" s="31"/>
      <c r="AJ223" s="32"/>
      <c r="AK223" s="31"/>
      <c r="AL223" s="31"/>
      <c r="AM223" s="31"/>
      <c r="AN223" s="31"/>
      <c r="AO223" s="31"/>
      <c r="AP223" s="31"/>
      <c r="AQ223" s="31"/>
      <c r="AR223" s="32"/>
      <c r="AS223" s="31"/>
      <c r="AT223" s="31"/>
      <c r="AU223" s="31"/>
      <c r="AV223" s="31"/>
      <c r="AW223" s="31"/>
      <c r="AX223" s="31"/>
      <c r="AY223" s="31"/>
      <c r="AZ223" s="32"/>
      <c r="BA223" s="31"/>
      <c r="BB223" s="31"/>
      <c r="BC223" s="31"/>
      <c r="BD223" s="31"/>
      <c r="BE223" s="31"/>
      <c r="BF223" s="31"/>
      <c r="BG223" s="31"/>
      <c r="BH223" s="32"/>
      <c r="BI223" s="31"/>
      <c r="BJ223" s="31"/>
      <c r="BK223" s="31"/>
      <c r="BL223" s="31"/>
      <c r="BM223" s="31"/>
      <c r="BN223" s="31"/>
      <c r="BO223" s="31"/>
      <c r="BP223" s="32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  <c r="DT223" s="31"/>
      <c r="DU223" s="31"/>
      <c r="DV223" s="31"/>
      <c r="DW223" s="31"/>
      <c r="DX223" s="31"/>
      <c r="DY223" s="31"/>
      <c r="DZ223" s="31"/>
      <c r="EA223" s="31"/>
      <c r="EB223" s="31"/>
      <c r="EC223" s="31"/>
      <c r="ED223" s="31"/>
      <c r="EE223" s="31"/>
      <c r="EF223" s="31"/>
      <c r="EG223" s="31"/>
      <c r="EH223" s="31"/>
      <c r="EI223" s="31"/>
      <c r="EJ223" s="31"/>
      <c r="EK223" s="31"/>
      <c r="EL223" s="31"/>
      <c r="EM223" s="31"/>
      <c r="EN223" s="31"/>
      <c r="EO223" s="31"/>
      <c r="EP223" s="31"/>
      <c r="EQ223" s="31"/>
      <c r="ER223" s="31"/>
      <c r="ES223" s="31"/>
      <c r="ET223" s="31"/>
      <c r="EU223" s="31"/>
      <c r="EV223" s="31"/>
      <c r="EW223" s="31"/>
      <c r="EX223" s="31"/>
      <c r="EY223" s="31"/>
      <c r="EZ223" s="31"/>
      <c r="FA223" s="31"/>
      <c r="FB223" s="31"/>
      <c r="FC223" s="31"/>
      <c r="FD223" s="31"/>
      <c r="FE223" s="31"/>
      <c r="FF223" s="31"/>
      <c r="FG223" s="31"/>
      <c r="FH223" s="31"/>
      <c r="FI223" s="31"/>
      <c r="FJ223" s="31"/>
      <c r="FK223" s="31"/>
      <c r="FL223" s="31"/>
      <c r="FM223" s="31"/>
      <c r="FN223" s="31"/>
      <c r="FO223" s="31"/>
      <c r="FP223" s="31"/>
      <c r="FQ223" s="31"/>
      <c r="FR223" s="31"/>
      <c r="FS223" s="31"/>
      <c r="FT223" s="31"/>
      <c r="FU223" s="31"/>
      <c r="FV223" s="31"/>
      <c r="FW223" s="31"/>
      <c r="FX223" s="31"/>
      <c r="FY223" s="31"/>
      <c r="FZ223" s="31"/>
      <c r="GA223" s="31"/>
      <c r="GB223" s="31"/>
      <c r="GC223" s="31"/>
      <c r="GD223" s="31"/>
      <c r="GE223" s="31"/>
      <c r="GF223" s="31"/>
      <c r="GG223" s="31"/>
      <c r="GH223" s="31"/>
      <c r="GI223" s="31"/>
      <c r="GJ223" s="31"/>
      <c r="GK223" s="31"/>
      <c r="GL223" s="31"/>
      <c r="GM223" s="31"/>
      <c r="GN223" s="31"/>
      <c r="GO223" s="31"/>
      <c r="GP223" s="31"/>
      <c r="GQ223" s="31"/>
      <c r="GR223" s="31"/>
      <c r="GS223" s="31"/>
      <c r="GT223" s="31"/>
      <c r="GU223" s="31"/>
      <c r="GV223" s="31"/>
      <c r="GW223" s="31"/>
      <c r="GX223" s="31"/>
      <c r="GY223" s="31"/>
      <c r="GZ223" s="31"/>
      <c r="HA223" s="31"/>
      <c r="HB223" s="31"/>
      <c r="HC223" s="31"/>
      <c r="HD223" s="31"/>
      <c r="HE223" s="31"/>
      <c r="HF223" s="31"/>
      <c r="HG223" s="31"/>
      <c r="HH223" s="31"/>
      <c r="HI223" s="31"/>
      <c r="HJ223" s="31"/>
      <c r="HK223" s="31"/>
      <c r="HL223" s="31"/>
      <c r="HM223" s="31"/>
      <c r="HN223" s="31"/>
      <c r="HO223" s="31"/>
      <c r="HP223" s="31"/>
      <c r="HQ223" s="31"/>
      <c r="HR223" s="31"/>
      <c r="HS223" s="31"/>
      <c r="HT223" s="31"/>
      <c r="HU223" s="31"/>
      <c r="HV223" s="31"/>
      <c r="HW223" s="31"/>
      <c r="HX223" s="31"/>
      <c r="HY223" s="31"/>
      <c r="HZ223" s="31"/>
      <c r="IA223" s="31"/>
      <c r="IB223" s="31"/>
      <c r="IC223" s="31"/>
      <c r="ID223" s="31"/>
      <c r="IE223" s="31"/>
      <c r="IF223" s="31"/>
      <c r="IG223" s="31"/>
      <c r="IH223" s="31"/>
      <c r="II223" s="31"/>
      <c r="IJ223" s="31"/>
      <c r="IK223" s="31"/>
      <c r="IL223" s="31"/>
      <c r="IM223" s="31"/>
      <c r="IN223" s="31"/>
      <c r="IO223" s="31"/>
      <c r="IP223" s="31"/>
      <c r="IQ223" s="31"/>
      <c r="IR223" s="31"/>
      <c r="IS223" s="31"/>
      <c r="IT223" s="31"/>
      <c r="IU223" s="31"/>
      <c r="IV223" s="31"/>
      <c r="IW223" s="31"/>
      <c r="IX223" s="31"/>
      <c r="IY223" s="31"/>
      <c r="IZ223" s="31"/>
      <c r="JA223" s="31"/>
      <c r="JB223" s="31"/>
      <c r="JC223" s="31"/>
      <c r="JD223" s="31"/>
      <c r="JE223" s="31"/>
      <c r="JF223" s="31"/>
    </row>
    <row r="224" customFormat="1" ht="17.25" spans="1:266">
      <c r="A224" s="32">
        <f>40000000+INDEX(编号表!$B:$B,MATCH(B224,编号表!$A:$A,0))*10000+C224</f>
        <v>40120009</v>
      </c>
      <c r="B224" s="27" t="s">
        <v>620</v>
      </c>
      <c r="C224" s="32">
        <v>9</v>
      </c>
      <c r="D224" s="32" t="s">
        <v>629</v>
      </c>
      <c r="E224" s="32" t="s">
        <v>617</v>
      </c>
      <c r="F224" s="31">
        <f t="shared" si="23"/>
        <v>0</v>
      </c>
      <c r="G224" s="31"/>
      <c r="H224" s="32"/>
      <c r="I224" s="32"/>
      <c r="J224" s="32">
        <f t="shared" si="22"/>
        <v>0</v>
      </c>
      <c r="K224" s="32"/>
      <c r="L224" s="32"/>
      <c r="M224" s="31"/>
      <c r="N224" s="31"/>
      <c r="O224" s="31"/>
      <c r="P224" s="32"/>
      <c r="Q224" s="32"/>
      <c r="R224" s="31"/>
      <c r="S224" s="32"/>
      <c r="T224" s="32"/>
      <c r="U224" s="31"/>
      <c r="V224" s="31"/>
      <c r="W224" s="31"/>
      <c r="X224" s="32"/>
      <c r="Y224" s="32"/>
      <c r="Z224" s="31"/>
      <c r="AA224" s="32"/>
      <c r="AB224" s="32"/>
      <c r="AC224" s="31"/>
      <c r="AD224" s="31"/>
      <c r="AE224" s="31"/>
      <c r="AF224" s="32"/>
      <c r="AG224" s="32"/>
      <c r="AH224" s="31"/>
      <c r="AI224" s="31"/>
      <c r="AJ224" s="32"/>
      <c r="AK224" s="31"/>
      <c r="AL224" s="31"/>
      <c r="AM224" s="31"/>
      <c r="AN224" s="31"/>
      <c r="AO224" s="31"/>
      <c r="AP224" s="31"/>
      <c r="AQ224" s="31"/>
      <c r="AR224" s="32"/>
      <c r="AS224" s="31"/>
      <c r="AT224" s="31"/>
      <c r="AU224" s="31"/>
      <c r="AV224" s="31"/>
      <c r="AW224" s="31"/>
      <c r="AX224" s="31"/>
      <c r="AY224" s="31"/>
      <c r="AZ224" s="32"/>
      <c r="BA224" s="31"/>
      <c r="BB224" s="31"/>
      <c r="BC224" s="31"/>
      <c r="BD224" s="31"/>
      <c r="BE224" s="31"/>
      <c r="BF224" s="31"/>
      <c r="BG224" s="31"/>
      <c r="BH224" s="32"/>
      <c r="BI224" s="31"/>
      <c r="BJ224" s="31"/>
      <c r="BK224" s="31"/>
      <c r="BL224" s="31"/>
      <c r="BM224" s="31"/>
      <c r="BN224" s="31"/>
      <c r="BO224" s="31"/>
      <c r="BP224" s="32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1"/>
      <c r="EH224" s="31"/>
      <c r="EI224" s="31"/>
      <c r="EJ224" s="31"/>
      <c r="EK224" s="31"/>
      <c r="EL224" s="31"/>
      <c r="EM224" s="31"/>
      <c r="EN224" s="31"/>
      <c r="EO224" s="31"/>
      <c r="EP224" s="31"/>
      <c r="EQ224" s="31"/>
      <c r="ER224" s="31"/>
      <c r="ES224" s="31"/>
      <c r="ET224" s="31"/>
      <c r="EU224" s="31"/>
      <c r="EV224" s="31"/>
      <c r="EW224" s="31"/>
      <c r="EX224" s="31"/>
      <c r="EY224" s="31"/>
      <c r="EZ224" s="31"/>
      <c r="FA224" s="31"/>
      <c r="FB224" s="31"/>
      <c r="FC224" s="31"/>
      <c r="FD224" s="31"/>
      <c r="FE224" s="31"/>
      <c r="FF224" s="31"/>
      <c r="FG224" s="31"/>
      <c r="FH224" s="31"/>
      <c r="FI224" s="31"/>
      <c r="FJ224" s="31"/>
      <c r="FK224" s="31"/>
      <c r="FL224" s="31"/>
      <c r="FM224" s="31"/>
      <c r="FN224" s="31"/>
      <c r="FO224" s="31"/>
      <c r="FP224" s="31"/>
      <c r="FQ224" s="31"/>
      <c r="FR224" s="31"/>
      <c r="FS224" s="31"/>
      <c r="FT224" s="31"/>
      <c r="FU224" s="31"/>
      <c r="FV224" s="31"/>
      <c r="FW224" s="31"/>
      <c r="FX224" s="31"/>
      <c r="FY224" s="31"/>
      <c r="FZ224" s="31"/>
      <c r="GA224" s="31"/>
      <c r="GB224" s="31"/>
      <c r="GC224" s="31"/>
      <c r="GD224" s="31"/>
      <c r="GE224" s="31"/>
      <c r="GF224" s="31"/>
      <c r="GG224" s="31"/>
      <c r="GH224" s="31"/>
      <c r="GI224" s="31"/>
      <c r="GJ224" s="31"/>
      <c r="GK224" s="31"/>
      <c r="GL224" s="31"/>
      <c r="GM224" s="31"/>
      <c r="GN224" s="31"/>
      <c r="GO224" s="31"/>
      <c r="GP224" s="31"/>
      <c r="GQ224" s="31"/>
      <c r="GR224" s="31"/>
      <c r="GS224" s="31"/>
      <c r="GT224" s="31"/>
      <c r="GU224" s="31"/>
      <c r="GV224" s="31"/>
      <c r="GW224" s="31"/>
      <c r="GX224" s="31"/>
      <c r="GY224" s="31"/>
      <c r="GZ224" s="31"/>
      <c r="HA224" s="31"/>
      <c r="HB224" s="31"/>
      <c r="HC224" s="31"/>
      <c r="HD224" s="31"/>
      <c r="HE224" s="31"/>
      <c r="HF224" s="31"/>
      <c r="HG224" s="31"/>
      <c r="HH224" s="31"/>
      <c r="HI224" s="31"/>
      <c r="HJ224" s="31"/>
      <c r="HK224" s="31"/>
      <c r="HL224" s="31"/>
      <c r="HM224" s="31"/>
      <c r="HN224" s="31"/>
      <c r="HO224" s="31"/>
      <c r="HP224" s="31"/>
      <c r="HQ224" s="31"/>
      <c r="HR224" s="31"/>
      <c r="HS224" s="31"/>
      <c r="HT224" s="31"/>
      <c r="HU224" s="31"/>
      <c r="HV224" s="31"/>
      <c r="HW224" s="31"/>
      <c r="HX224" s="31"/>
      <c r="HY224" s="31"/>
      <c r="HZ224" s="31"/>
      <c r="IA224" s="31"/>
      <c r="IB224" s="31"/>
      <c r="IC224" s="31"/>
      <c r="ID224" s="31"/>
      <c r="IE224" s="31"/>
      <c r="IF224" s="31"/>
      <c r="IG224" s="31"/>
      <c r="IH224" s="31"/>
      <c r="II224" s="31"/>
      <c r="IJ224" s="31"/>
      <c r="IK224" s="31"/>
      <c r="IL224" s="31"/>
      <c r="IM224" s="31"/>
      <c r="IN224" s="31"/>
      <c r="IO224" s="31"/>
      <c r="IP224" s="31"/>
      <c r="IQ224" s="31"/>
      <c r="IR224" s="31"/>
      <c r="IS224" s="31"/>
      <c r="IT224" s="31"/>
      <c r="IU224" s="31"/>
      <c r="IV224" s="31"/>
      <c r="IW224" s="31"/>
      <c r="IX224" s="31"/>
      <c r="IY224" s="31"/>
      <c r="IZ224" s="31"/>
      <c r="JA224" s="31"/>
      <c r="JB224" s="31"/>
      <c r="JC224" s="31"/>
      <c r="JD224" s="31"/>
      <c r="JE224" s="31"/>
      <c r="JF224" s="31"/>
    </row>
    <row r="225" customFormat="1" ht="17.25" spans="1:266">
      <c r="A225" s="32">
        <f>40000000+INDEX(编号表!$B:$B,MATCH(B225,编号表!$A:$A,0))*10000+C225</f>
        <v>40120010</v>
      </c>
      <c r="B225" s="27" t="s">
        <v>620</v>
      </c>
      <c r="C225" s="32">
        <v>10</v>
      </c>
      <c r="D225" s="32" t="s">
        <v>630</v>
      </c>
      <c r="E225" s="32" t="s">
        <v>617</v>
      </c>
      <c r="F225" s="31">
        <f t="shared" si="23"/>
        <v>0</v>
      </c>
      <c r="G225" s="31"/>
      <c r="H225" s="32"/>
      <c r="I225" s="32"/>
      <c r="J225" s="32">
        <f t="shared" si="22"/>
        <v>0</v>
      </c>
      <c r="K225" s="32"/>
      <c r="L225" s="32"/>
      <c r="M225" s="31"/>
      <c r="N225" s="31"/>
      <c r="O225" s="31"/>
      <c r="P225" s="32"/>
      <c r="Q225" s="32"/>
      <c r="R225" s="31"/>
      <c r="S225" s="32"/>
      <c r="T225" s="32"/>
      <c r="U225" s="31"/>
      <c r="V225" s="31"/>
      <c r="W225" s="31"/>
      <c r="X225" s="32"/>
      <c r="Y225" s="32"/>
      <c r="Z225" s="31"/>
      <c r="AA225" s="32"/>
      <c r="AB225" s="32"/>
      <c r="AC225" s="31"/>
      <c r="AD225" s="31"/>
      <c r="AE225" s="31"/>
      <c r="AF225" s="32"/>
      <c r="AG225" s="32"/>
      <c r="AH225" s="31"/>
      <c r="AI225" s="31"/>
      <c r="AJ225" s="32"/>
      <c r="AK225" s="31"/>
      <c r="AL225" s="31"/>
      <c r="AM225" s="31"/>
      <c r="AN225" s="31"/>
      <c r="AO225" s="31"/>
      <c r="AP225" s="31"/>
      <c r="AQ225" s="31"/>
      <c r="AR225" s="32"/>
      <c r="AS225" s="31"/>
      <c r="AT225" s="31"/>
      <c r="AU225" s="31"/>
      <c r="AV225" s="31"/>
      <c r="AW225" s="31"/>
      <c r="AX225" s="31"/>
      <c r="AY225" s="31"/>
      <c r="AZ225" s="32"/>
      <c r="BA225" s="31"/>
      <c r="BB225" s="31"/>
      <c r="BC225" s="31"/>
      <c r="BD225" s="31"/>
      <c r="BE225" s="31"/>
      <c r="BF225" s="31"/>
      <c r="BG225" s="31"/>
      <c r="BH225" s="32"/>
      <c r="BI225" s="31"/>
      <c r="BJ225" s="31"/>
      <c r="BK225" s="31"/>
      <c r="BL225" s="31"/>
      <c r="BM225" s="31"/>
      <c r="BN225" s="31"/>
      <c r="BO225" s="31"/>
      <c r="BP225" s="32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  <c r="HI225" s="31"/>
      <c r="HJ225" s="31"/>
      <c r="HK225" s="31"/>
      <c r="HL225" s="31"/>
      <c r="HM225" s="31"/>
      <c r="HN225" s="31"/>
      <c r="HO225" s="31"/>
      <c r="HP225" s="31"/>
      <c r="HQ225" s="31"/>
      <c r="HR225" s="31"/>
      <c r="HS225" s="31"/>
      <c r="HT225" s="31"/>
      <c r="HU225" s="31"/>
      <c r="HV225" s="31"/>
      <c r="HW225" s="31"/>
      <c r="HX225" s="31"/>
      <c r="HY225" s="31"/>
      <c r="HZ225" s="31"/>
      <c r="IA225" s="31"/>
      <c r="IB225" s="31"/>
      <c r="IC225" s="31"/>
      <c r="ID225" s="31"/>
      <c r="IE225" s="31"/>
      <c r="IF225" s="31"/>
      <c r="IG225" s="31"/>
      <c r="IH225" s="31"/>
      <c r="II225" s="31"/>
      <c r="IJ225" s="31"/>
      <c r="IK225" s="31"/>
      <c r="IL225" s="31"/>
      <c r="IM225" s="31"/>
      <c r="IN225" s="31"/>
      <c r="IO225" s="31"/>
      <c r="IP225" s="31"/>
      <c r="IQ225" s="31"/>
      <c r="IR225" s="31"/>
      <c r="IS225" s="31"/>
      <c r="IT225" s="31"/>
      <c r="IU225" s="31"/>
      <c r="IV225" s="31"/>
      <c r="IW225" s="31"/>
      <c r="IX225" s="31"/>
      <c r="IY225" s="31"/>
      <c r="IZ225" s="31"/>
      <c r="JA225" s="31"/>
      <c r="JB225" s="31"/>
      <c r="JC225" s="31"/>
      <c r="JD225" s="31"/>
      <c r="JE225" s="31"/>
      <c r="JF225" s="31"/>
    </row>
    <row r="226" customFormat="1" ht="17.25" spans="1:266">
      <c r="A226" s="32">
        <f>40000000+INDEX(编号表!$B:$B,MATCH(B226,编号表!$A:$A,0))*10000+C226</f>
        <v>40120011</v>
      </c>
      <c r="B226" s="27" t="s">
        <v>620</v>
      </c>
      <c r="C226" s="32">
        <v>11</v>
      </c>
      <c r="D226" s="32" t="s">
        <v>631</v>
      </c>
      <c r="E226" s="32" t="s">
        <v>617</v>
      </c>
      <c r="F226" s="31">
        <f t="shared" si="23"/>
        <v>0</v>
      </c>
      <c r="G226" s="31"/>
      <c r="H226" s="32"/>
      <c r="I226" s="32"/>
      <c r="J226" s="32">
        <f t="shared" si="22"/>
        <v>0</v>
      </c>
      <c r="K226" s="32"/>
      <c r="L226" s="32"/>
      <c r="M226" s="31"/>
      <c r="N226" s="31"/>
      <c r="O226" s="31"/>
      <c r="P226" s="32"/>
      <c r="Q226" s="32"/>
      <c r="R226" s="31"/>
      <c r="S226" s="32"/>
      <c r="T226" s="32"/>
      <c r="U226" s="31"/>
      <c r="V226" s="31"/>
      <c r="W226" s="31"/>
      <c r="X226" s="32"/>
      <c r="Y226" s="32"/>
      <c r="Z226" s="31"/>
      <c r="AA226" s="32"/>
      <c r="AB226" s="32"/>
      <c r="AC226" s="31"/>
      <c r="AD226" s="31"/>
      <c r="AE226" s="31"/>
      <c r="AF226" s="32"/>
      <c r="AG226" s="32"/>
      <c r="AH226" s="31"/>
      <c r="AI226" s="31"/>
      <c r="AJ226" s="32"/>
      <c r="AK226" s="31"/>
      <c r="AL226" s="31"/>
      <c r="AM226" s="31"/>
      <c r="AN226" s="31"/>
      <c r="AO226" s="31"/>
      <c r="AP226" s="31"/>
      <c r="AQ226" s="31"/>
      <c r="AR226" s="32"/>
      <c r="AS226" s="31"/>
      <c r="AT226" s="31"/>
      <c r="AU226" s="31"/>
      <c r="AV226" s="31"/>
      <c r="AW226" s="31"/>
      <c r="AX226" s="31"/>
      <c r="AY226" s="31"/>
      <c r="AZ226" s="32"/>
      <c r="BA226" s="31"/>
      <c r="BB226" s="31"/>
      <c r="BC226" s="31"/>
      <c r="BD226" s="31"/>
      <c r="BE226" s="31"/>
      <c r="BF226" s="31"/>
      <c r="BG226" s="31"/>
      <c r="BH226" s="32"/>
      <c r="BI226" s="31"/>
      <c r="BJ226" s="31"/>
      <c r="BK226" s="31"/>
      <c r="BL226" s="31"/>
      <c r="BM226" s="31"/>
      <c r="BN226" s="31"/>
      <c r="BO226" s="31"/>
      <c r="BP226" s="32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  <c r="DY226" s="31"/>
      <c r="DZ226" s="31"/>
      <c r="EA226" s="31"/>
      <c r="EB226" s="31"/>
      <c r="EC226" s="31"/>
      <c r="ED226" s="31"/>
      <c r="EE226" s="31"/>
      <c r="EF226" s="31"/>
      <c r="EG226" s="31"/>
      <c r="EH226" s="31"/>
      <c r="EI226" s="31"/>
      <c r="EJ226" s="31"/>
      <c r="EK226" s="31"/>
      <c r="EL226" s="31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1"/>
      <c r="EZ226" s="31"/>
      <c r="FA226" s="31"/>
      <c r="FB226" s="31"/>
      <c r="FC226" s="31"/>
      <c r="FD226" s="31"/>
      <c r="FE226" s="31"/>
      <c r="FF226" s="31"/>
      <c r="FG226" s="31"/>
      <c r="FH226" s="31"/>
      <c r="FI226" s="31"/>
      <c r="FJ226" s="31"/>
      <c r="FK226" s="31"/>
      <c r="FL226" s="31"/>
      <c r="FM226" s="31"/>
      <c r="FN226" s="31"/>
      <c r="FO226" s="31"/>
      <c r="FP226" s="31"/>
      <c r="FQ226" s="31"/>
      <c r="FR226" s="31"/>
      <c r="FS226" s="31"/>
      <c r="FT226" s="31"/>
      <c r="FU226" s="31"/>
      <c r="FV226" s="31"/>
      <c r="FW226" s="31"/>
      <c r="FX226" s="31"/>
      <c r="FY226" s="31"/>
      <c r="FZ226" s="31"/>
      <c r="GA226" s="31"/>
      <c r="GB226" s="31"/>
      <c r="GC226" s="31"/>
      <c r="GD226" s="31"/>
      <c r="GE226" s="31"/>
      <c r="GF226" s="31"/>
      <c r="GG226" s="31"/>
      <c r="GH226" s="31"/>
      <c r="GI226" s="31"/>
      <c r="GJ226" s="31"/>
      <c r="GK226" s="31"/>
      <c r="GL226" s="31"/>
      <c r="GM226" s="31"/>
      <c r="GN226" s="31"/>
      <c r="GO226" s="31"/>
      <c r="GP226" s="31"/>
      <c r="GQ226" s="31"/>
      <c r="GR226" s="31"/>
      <c r="GS226" s="31"/>
      <c r="GT226" s="31"/>
      <c r="GU226" s="31"/>
      <c r="GV226" s="31"/>
      <c r="GW226" s="31"/>
      <c r="GX226" s="31"/>
      <c r="GY226" s="31"/>
      <c r="GZ226" s="31"/>
      <c r="HA226" s="31"/>
      <c r="HB226" s="31"/>
      <c r="HC226" s="31"/>
      <c r="HD226" s="31"/>
      <c r="HE226" s="31"/>
      <c r="HF226" s="31"/>
      <c r="HG226" s="31"/>
      <c r="HH226" s="31"/>
      <c r="HI226" s="31"/>
      <c r="HJ226" s="31"/>
      <c r="HK226" s="31"/>
      <c r="HL226" s="31"/>
      <c r="HM226" s="31"/>
      <c r="HN226" s="31"/>
      <c r="HO226" s="31"/>
      <c r="HP226" s="31"/>
      <c r="HQ226" s="31"/>
      <c r="HR226" s="31"/>
      <c r="HS226" s="31"/>
      <c r="HT226" s="31"/>
      <c r="HU226" s="31"/>
      <c r="HV226" s="31"/>
      <c r="HW226" s="31"/>
      <c r="HX226" s="31"/>
      <c r="HY226" s="31"/>
      <c r="HZ226" s="31"/>
      <c r="IA226" s="31"/>
      <c r="IB226" s="31"/>
      <c r="IC226" s="31"/>
      <c r="ID226" s="31"/>
      <c r="IE226" s="31"/>
      <c r="IF226" s="31"/>
      <c r="IG226" s="31"/>
      <c r="IH226" s="31"/>
      <c r="II226" s="31"/>
      <c r="IJ226" s="31"/>
      <c r="IK226" s="31"/>
      <c r="IL226" s="31"/>
      <c r="IM226" s="31"/>
      <c r="IN226" s="31"/>
      <c r="IO226" s="31"/>
      <c r="IP226" s="31"/>
      <c r="IQ226" s="31"/>
      <c r="IR226" s="31"/>
      <c r="IS226" s="31"/>
      <c r="IT226" s="31"/>
      <c r="IU226" s="31"/>
      <c r="IV226" s="31"/>
      <c r="IW226" s="31"/>
      <c r="IX226" s="31"/>
      <c r="IY226" s="31"/>
      <c r="IZ226" s="31"/>
      <c r="JA226" s="31"/>
      <c r="JB226" s="31"/>
      <c r="JC226" s="31"/>
      <c r="JD226" s="31"/>
      <c r="JE226" s="31"/>
      <c r="JF226" s="31"/>
    </row>
    <row r="227" customFormat="1" ht="17.25" spans="1:266">
      <c r="A227" s="32">
        <f>40000000+INDEX(编号表!$B:$B,MATCH(B227,编号表!$A:$A,0))*10000+C227</f>
        <v>40120012</v>
      </c>
      <c r="B227" s="27" t="s">
        <v>620</v>
      </c>
      <c r="C227" s="32">
        <v>12</v>
      </c>
      <c r="D227" s="32" t="s">
        <v>632</v>
      </c>
      <c r="E227" s="32" t="s">
        <v>617</v>
      </c>
      <c r="F227" s="31">
        <f t="shared" si="23"/>
        <v>0</v>
      </c>
      <c r="G227" s="31"/>
      <c r="H227" s="32"/>
      <c r="I227" s="32"/>
      <c r="J227" s="32">
        <f t="shared" si="22"/>
        <v>0</v>
      </c>
      <c r="K227" s="32"/>
      <c r="L227" s="32"/>
      <c r="M227" s="31"/>
      <c r="N227" s="31"/>
      <c r="O227" s="31"/>
      <c r="P227" s="32"/>
      <c r="Q227" s="32"/>
      <c r="R227" s="31"/>
      <c r="S227" s="32"/>
      <c r="T227" s="32"/>
      <c r="U227" s="31"/>
      <c r="V227" s="31"/>
      <c r="W227" s="31"/>
      <c r="X227" s="32"/>
      <c r="Y227" s="32"/>
      <c r="Z227" s="31"/>
      <c r="AA227" s="32"/>
      <c r="AB227" s="32"/>
      <c r="AC227" s="31"/>
      <c r="AD227" s="31"/>
      <c r="AE227" s="31"/>
      <c r="AF227" s="32"/>
      <c r="AG227" s="32"/>
      <c r="AH227" s="31"/>
      <c r="AI227" s="31"/>
      <c r="AJ227" s="32"/>
      <c r="AK227" s="31"/>
      <c r="AL227" s="31"/>
      <c r="AM227" s="31"/>
      <c r="AN227" s="31"/>
      <c r="AO227" s="31"/>
      <c r="AP227" s="31"/>
      <c r="AQ227" s="31"/>
      <c r="AR227" s="32"/>
      <c r="AS227" s="31"/>
      <c r="AT227" s="31"/>
      <c r="AU227" s="31"/>
      <c r="AV227" s="31"/>
      <c r="AW227" s="31"/>
      <c r="AX227" s="31"/>
      <c r="AY227" s="31"/>
      <c r="AZ227" s="32"/>
      <c r="BA227" s="31"/>
      <c r="BB227" s="31"/>
      <c r="BC227" s="31"/>
      <c r="BD227" s="31"/>
      <c r="BE227" s="31"/>
      <c r="BF227" s="31"/>
      <c r="BG227" s="31"/>
      <c r="BH227" s="32"/>
      <c r="BI227" s="31"/>
      <c r="BJ227" s="31"/>
      <c r="BK227" s="31"/>
      <c r="BL227" s="31"/>
      <c r="BM227" s="31"/>
      <c r="BN227" s="31"/>
      <c r="BO227" s="31"/>
      <c r="BP227" s="32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  <c r="DT227" s="31"/>
      <c r="DU227" s="31"/>
      <c r="DV227" s="31"/>
      <c r="DW227" s="31"/>
      <c r="DX227" s="31"/>
      <c r="DY227" s="31"/>
      <c r="DZ227" s="31"/>
      <c r="EA227" s="31"/>
      <c r="EB227" s="31"/>
      <c r="EC227" s="31"/>
      <c r="ED227" s="31"/>
      <c r="EE227" s="31"/>
      <c r="EF227" s="31"/>
      <c r="EG227" s="31"/>
      <c r="EH227" s="31"/>
      <c r="EI227" s="31"/>
      <c r="EJ227" s="31"/>
      <c r="EK227" s="31"/>
      <c r="EL227" s="31"/>
      <c r="EM227" s="31"/>
      <c r="EN227" s="31"/>
      <c r="EO227" s="31"/>
      <c r="EP227" s="31"/>
      <c r="EQ227" s="31"/>
      <c r="ER227" s="31"/>
      <c r="ES227" s="31"/>
      <c r="ET227" s="31"/>
      <c r="EU227" s="31"/>
      <c r="EV227" s="31"/>
      <c r="EW227" s="31"/>
      <c r="EX227" s="31"/>
      <c r="EY227" s="31"/>
      <c r="EZ227" s="31"/>
      <c r="FA227" s="31"/>
      <c r="FB227" s="31"/>
      <c r="FC227" s="31"/>
      <c r="FD227" s="31"/>
      <c r="FE227" s="31"/>
      <c r="FF227" s="31"/>
      <c r="FG227" s="31"/>
      <c r="FH227" s="31"/>
      <c r="FI227" s="31"/>
      <c r="FJ227" s="31"/>
      <c r="FK227" s="31"/>
      <c r="FL227" s="31"/>
      <c r="FM227" s="31"/>
      <c r="FN227" s="31"/>
      <c r="FO227" s="31"/>
      <c r="FP227" s="31"/>
      <c r="FQ227" s="31"/>
      <c r="FR227" s="31"/>
      <c r="FS227" s="31"/>
      <c r="FT227" s="31"/>
      <c r="FU227" s="31"/>
      <c r="FV227" s="31"/>
      <c r="FW227" s="31"/>
      <c r="FX227" s="31"/>
      <c r="FY227" s="31"/>
      <c r="FZ227" s="31"/>
      <c r="GA227" s="31"/>
      <c r="GB227" s="31"/>
      <c r="GC227" s="31"/>
      <c r="GD227" s="31"/>
      <c r="GE227" s="31"/>
      <c r="GF227" s="31"/>
      <c r="GG227" s="31"/>
      <c r="GH227" s="31"/>
      <c r="GI227" s="31"/>
      <c r="GJ227" s="31"/>
      <c r="GK227" s="31"/>
      <c r="GL227" s="31"/>
      <c r="GM227" s="31"/>
      <c r="GN227" s="31"/>
      <c r="GO227" s="31"/>
      <c r="GP227" s="31"/>
      <c r="GQ227" s="31"/>
      <c r="GR227" s="31"/>
      <c r="GS227" s="31"/>
      <c r="GT227" s="31"/>
      <c r="GU227" s="31"/>
      <c r="GV227" s="31"/>
      <c r="GW227" s="31"/>
      <c r="GX227" s="31"/>
      <c r="GY227" s="31"/>
      <c r="GZ227" s="31"/>
      <c r="HA227" s="31"/>
      <c r="HB227" s="31"/>
      <c r="HC227" s="31"/>
      <c r="HD227" s="31"/>
      <c r="HE227" s="31"/>
      <c r="HF227" s="31"/>
      <c r="HG227" s="31"/>
      <c r="HH227" s="31"/>
      <c r="HI227" s="31"/>
      <c r="HJ227" s="31"/>
      <c r="HK227" s="31"/>
      <c r="HL227" s="31"/>
      <c r="HM227" s="31"/>
      <c r="HN227" s="31"/>
      <c r="HO227" s="31"/>
      <c r="HP227" s="31"/>
      <c r="HQ227" s="31"/>
      <c r="HR227" s="31"/>
      <c r="HS227" s="31"/>
      <c r="HT227" s="31"/>
      <c r="HU227" s="31"/>
      <c r="HV227" s="31"/>
      <c r="HW227" s="31"/>
      <c r="HX227" s="31"/>
      <c r="HY227" s="31"/>
      <c r="HZ227" s="31"/>
      <c r="IA227" s="31"/>
      <c r="IB227" s="31"/>
      <c r="IC227" s="31"/>
      <c r="ID227" s="31"/>
      <c r="IE227" s="31"/>
      <c r="IF227" s="31"/>
      <c r="IG227" s="31"/>
      <c r="IH227" s="31"/>
      <c r="II227" s="31"/>
      <c r="IJ227" s="31"/>
      <c r="IK227" s="31"/>
      <c r="IL227" s="31"/>
      <c r="IM227" s="31"/>
      <c r="IN227" s="31"/>
      <c r="IO227" s="31"/>
      <c r="IP227" s="31"/>
      <c r="IQ227" s="31"/>
      <c r="IR227" s="31"/>
      <c r="IS227" s="31"/>
      <c r="IT227" s="31"/>
      <c r="IU227" s="31"/>
      <c r="IV227" s="31"/>
      <c r="IW227" s="31"/>
      <c r="IX227" s="31"/>
      <c r="IY227" s="31"/>
      <c r="IZ227" s="31"/>
      <c r="JA227" s="31"/>
      <c r="JB227" s="31"/>
      <c r="JC227" s="31"/>
      <c r="JD227" s="31"/>
      <c r="JE227" s="31"/>
      <c r="JF227" s="31"/>
    </row>
    <row r="228" customFormat="1" ht="17.25" spans="1:266">
      <c r="A228" s="32">
        <f>40000000+INDEX(编号表!$B:$B,MATCH(B228,编号表!$A:$A,0))*10000+C228</f>
        <v>40130001</v>
      </c>
      <c r="B228" s="27" t="s">
        <v>633</v>
      </c>
      <c r="C228" s="32">
        <v>1</v>
      </c>
      <c r="D228" s="32" t="s">
        <v>634</v>
      </c>
      <c r="E228" s="32" t="s">
        <v>617</v>
      </c>
      <c r="F228" s="31">
        <f t="shared" si="23"/>
        <v>100000000</v>
      </c>
      <c r="G228" s="31"/>
      <c r="H228" s="32">
        <v>3</v>
      </c>
      <c r="I228" s="32">
        <v>5</v>
      </c>
      <c r="J228" s="32">
        <f t="shared" si="22"/>
        <v>8</v>
      </c>
      <c r="K228" s="31">
        <v>34050001</v>
      </c>
      <c r="L228" s="32" t="str" cm="1">
        <f t="array" ref="L228">INDEX(编号表!$E:$E,MATCH(K228,编号表!$D:$D,0))</f>
        <v>小魔法药</v>
      </c>
      <c r="M228" s="31"/>
      <c r="N228" s="31"/>
      <c r="O228" s="31"/>
      <c r="P228" s="32">
        <v>20000000</v>
      </c>
      <c r="Q228" s="32">
        <v>1</v>
      </c>
      <c r="R228" s="31"/>
      <c r="S228" s="31">
        <f>K228+1</f>
        <v>34050002</v>
      </c>
      <c r="T228" s="32" t="str" cm="1">
        <f t="array" ref="T228">INDEX(编号表!$E:$E,MATCH(S228,编号表!$D:$D,0))</f>
        <v>强效魔法药</v>
      </c>
      <c r="U228" s="31"/>
      <c r="V228" s="31"/>
      <c r="W228" s="31"/>
      <c r="X228" s="32">
        <v>20000000</v>
      </c>
      <c r="Y228" s="32">
        <v>1</v>
      </c>
      <c r="Z228" s="31"/>
      <c r="AA228" s="31">
        <f>S228+1</f>
        <v>34050003</v>
      </c>
      <c r="AB228" s="32" t="str" cm="1">
        <f t="array" ref="AB228">INDEX(编号表!$E:$E,MATCH(AA228,编号表!$D:$D,0))</f>
        <v>特级魔法药</v>
      </c>
      <c r="AC228" s="31"/>
      <c r="AD228" s="31"/>
      <c r="AE228" s="31"/>
      <c r="AF228" s="32">
        <v>10000000</v>
      </c>
      <c r="AG228" s="32">
        <v>1</v>
      </c>
      <c r="AH228" s="31"/>
      <c r="AI228" s="31">
        <f>AA228+1</f>
        <v>34050004</v>
      </c>
      <c r="AJ228" s="32" t="str" cm="1">
        <f t="array" ref="AJ228">INDEX(编号表!$E:$E,MATCH(AI228,编号表!$D:$D,0))</f>
        <v>小金创药</v>
      </c>
      <c r="AK228" s="31"/>
      <c r="AL228" s="31"/>
      <c r="AM228" s="31"/>
      <c r="AN228" s="32">
        <v>18000000</v>
      </c>
      <c r="AO228" s="32">
        <v>1</v>
      </c>
      <c r="AP228" s="31"/>
      <c r="AQ228" s="31">
        <f>AI228+1</f>
        <v>34050005</v>
      </c>
      <c r="AR228" s="32" t="str" cm="1">
        <f t="array" ref="AR228">INDEX(编号表!$E:$E,MATCH(AQ228,编号表!$D:$D,0))</f>
        <v>强效金创药</v>
      </c>
      <c r="AS228" s="31"/>
      <c r="AT228" s="31"/>
      <c r="AU228" s="31"/>
      <c r="AV228" s="32">
        <v>15000000</v>
      </c>
      <c r="AW228" s="32">
        <v>1</v>
      </c>
      <c r="AX228" s="31"/>
      <c r="AY228" s="31">
        <f>AQ228+1</f>
        <v>34050006</v>
      </c>
      <c r="AZ228" s="32" t="str" cm="1">
        <f t="array" ref="AZ228">INDEX(编号表!$E:$E,MATCH(AY228,编号表!$D:$D,0))</f>
        <v>特级金创药</v>
      </c>
      <c r="BA228" s="31"/>
      <c r="BB228" s="31"/>
      <c r="BC228" s="31"/>
      <c r="BD228" s="32">
        <v>10000000</v>
      </c>
      <c r="BE228" s="32">
        <v>1</v>
      </c>
      <c r="BF228" s="31"/>
      <c r="BG228" s="31">
        <f>AY228+1</f>
        <v>34050007</v>
      </c>
      <c r="BH228" s="32" t="str" cm="1">
        <f t="array" ref="BH228">INDEX(编号表!$E:$E,MATCH(BG228,编号表!$D:$D,0))</f>
        <v>太阳水</v>
      </c>
      <c r="BI228" s="31"/>
      <c r="BJ228" s="31"/>
      <c r="BK228" s="31"/>
      <c r="BL228" s="32">
        <v>5000000</v>
      </c>
      <c r="BM228" s="32">
        <v>1</v>
      </c>
      <c r="BN228" s="31"/>
      <c r="BO228" s="31">
        <f>BG228+1</f>
        <v>34050008</v>
      </c>
      <c r="BP228" s="32" t="str" cm="1">
        <f t="array" ref="BP228">INDEX(编号表!$E:$E,MATCH(BO228,编号表!$D:$D,0))</f>
        <v>强效太阳水</v>
      </c>
      <c r="BQ228" s="31"/>
      <c r="BR228" s="31"/>
      <c r="BS228" s="31"/>
      <c r="BT228" s="32">
        <v>2000000</v>
      </c>
      <c r="BU228" s="32">
        <v>1</v>
      </c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1"/>
      <c r="EH228" s="31"/>
      <c r="EI228" s="31"/>
      <c r="EJ228" s="31"/>
      <c r="EK228" s="31"/>
      <c r="EL228" s="31"/>
      <c r="EM228" s="31"/>
      <c r="EN228" s="31"/>
      <c r="EO228" s="31"/>
      <c r="EP228" s="31"/>
      <c r="EQ228" s="31"/>
      <c r="ER228" s="31"/>
      <c r="ES228" s="31"/>
      <c r="ET228" s="31"/>
      <c r="EU228" s="31"/>
      <c r="EV228" s="31"/>
      <c r="EW228" s="31"/>
      <c r="EX228" s="31"/>
      <c r="EY228" s="31"/>
      <c r="EZ228" s="31"/>
      <c r="FA228" s="31"/>
      <c r="FB228" s="31"/>
      <c r="FC228" s="31"/>
      <c r="FD228" s="31"/>
      <c r="FE228" s="31"/>
      <c r="FF228" s="31"/>
      <c r="FG228" s="31"/>
      <c r="FH228" s="31"/>
      <c r="FI228" s="31"/>
      <c r="FJ228" s="31"/>
      <c r="FK228" s="31"/>
      <c r="FL228" s="31"/>
      <c r="FM228" s="31"/>
      <c r="FN228" s="31"/>
      <c r="FO228" s="31"/>
      <c r="FP228" s="31"/>
      <c r="FQ228" s="31"/>
      <c r="FR228" s="31"/>
      <c r="FS228" s="31"/>
      <c r="FT228" s="31"/>
      <c r="FU228" s="31"/>
      <c r="FV228" s="31"/>
      <c r="FW228" s="31"/>
      <c r="FX228" s="31"/>
      <c r="FY228" s="31"/>
      <c r="FZ228" s="31"/>
      <c r="GA228" s="31"/>
      <c r="GB228" s="31"/>
      <c r="GC228" s="31"/>
      <c r="GD228" s="31"/>
      <c r="GE228" s="31"/>
      <c r="GF228" s="31"/>
      <c r="GG228" s="31"/>
      <c r="GH228" s="31"/>
      <c r="GI228" s="31"/>
      <c r="GJ228" s="31"/>
      <c r="GK228" s="31"/>
      <c r="GL228" s="31"/>
      <c r="GM228" s="31"/>
      <c r="GN228" s="31"/>
      <c r="GO228" s="31"/>
      <c r="GP228" s="31"/>
      <c r="GQ228" s="31"/>
      <c r="GR228" s="31"/>
      <c r="GS228" s="31"/>
      <c r="GT228" s="31"/>
      <c r="GU228" s="31"/>
      <c r="GV228" s="31"/>
      <c r="GW228" s="31"/>
      <c r="GX228" s="31"/>
      <c r="GY228" s="31"/>
      <c r="GZ228" s="31"/>
      <c r="HA228" s="31"/>
      <c r="HB228" s="31"/>
      <c r="HC228" s="31"/>
      <c r="HD228" s="31"/>
      <c r="HE228" s="31"/>
      <c r="HF228" s="31"/>
      <c r="HG228" s="31"/>
      <c r="HH228" s="31"/>
      <c r="HI228" s="31"/>
      <c r="HJ228" s="31"/>
      <c r="HK228" s="31"/>
      <c r="HL228" s="31"/>
      <c r="HM228" s="31"/>
      <c r="HN228" s="31"/>
      <c r="HO228" s="31"/>
      <c r="HP228" s="31"/>
      <c r="HQ228" s="31"/>
      <c r="HR228" s="31"/>
      <c r="HS228" s="31"/>
      <c r="HT228" s="31"/>
      <c r="HU228" s="31"/>
      <c r="HV228" s="31"/>
      <c r="HW228" s="31"/>
      <c r="HX228" s="31"/>
      <c r="HY228" s="31"/>
      <c r="HZ228" s="31"/>
      <c r="IA228" s="31"/>
      <c r="IB228" s="31"/>
      <c r="IC228" s="31"/>
      <c r="ID228" s="31"/>
      <c r="IE228" s="31"/>
      <c r="IF228" s="31"/>
      <c r="IG228" s="31"/>
      <c r="IH228" s="31"/>
      <c r="II228" s="31"/>
      <c r="IJ228" s="31"/>
      <c r="IK228" s="31"/>
      <c r="IL228" s="31"/>
      <c r="IM228" s="31"/>
      <c r="IN228" s="31"/>
      <c r="IO228" s="31"/>
      <c r="IP228" s="31"/>
      <c r="IQ228" s="31"/>
      <c r="IR228" s="31"/>
      <c r="IS228" s="31"/>
      <c r="IT228" s="31"/>
      <c r="IU228" s="31"/>
      <c r="IV228" s="31"/>
      <c r="IW228" s="31"/>
      <c r="IX228" s="31"/>
      <c r="IY228" s="31"/>
      <c r="IZ228" s="31"/>
      <c r="JA228" s="31"/>
      <c r="JB228" s="31"/>
      <c r="JC228" s="31"/>
      <c r="JD228" s="31"/>
      <c r="JE228" s="31"/>
      <c r="JF228" s="31"/>
    </row>
    <row r="229" customFormat="1" ht="17.25" spans="1:266">
      <c r="A229" s="32">
        <f>40000000+INDEX(编号表!$B:$B,MATCH(B229,编号表!$A:$A,0))*10000+C229</f>
        <v>40130002</v>
      </c>
      <c r="B229" s="27" t="s">
        <v>633</v>
      </c>
      <c r="C229" s="32">
        <v>2</v>
      </c>
      <c r="D229" s="32" t="s">
        <v>635</v>
      </c>
      <c r="E229" s="32" t="s">
        <v>617</v>
      </c>
      <c r="F229" s="31">
        <f t="shared" si="23"/>
        <v>0</v>
      </c>
      <c r="G229" s="31"/>
      <c r="H229" s="32"/>
      <c r="I229" s="32"/>
      <c r="J229" s="32">
        <f t="shared" si="22"/>
        <v>0</v>
      </c>
      <c r="K229" s="32"/>
      <c r="L229" s="32"/>
      <c r="M229" s="31"/>
      <c r="N229" s="31"/>
      <c r="O229" s="31"/>
      <c r="P229" s="32"/>
      <c r="Q229" s="32"/>
      <c r="R229" s="31"/>
      <c r="S229" s="32"/>
      <c r="T229" s="32"/>
      <c r="U229" s="31"/>
      <c r="V229" s="31"/>
      <c r="W229" s="31"/>
      <c r="X229" s="32"/>
      <c r="Y229" s="32"/>
      <c r="Z229" s="31"/>
      <c r="AA229" s="32"/>
      <c r="AB229" s="32"/>
      <c r="AC229" s="31"/>
      <c r="AD229" s="31"/>
      <c r="AE229" s="31"/>
      <c r="AF229" s="32"/>
      <c r="AG229" s="32"/>
      <c r="AH229" s="31"/>
      <c r="AI229" s="31"/>
      <c r="AJ229" s="32"/>
      <c r="AK229" s="31"/>
      <c r="AL229" s="31"/>
      <c r="AM229" s="31"/>
      <c r="AN229" s="31"/>
      <c r="AO229" s="31"/>
      <c r="AP229" s="31"/>
      <c r="AQ229" s="31"/>
      <c r="AR229" s="32"/>
      <c r="AS229" s="31"/>
      <c r="AT229" s="31"/>
      <c r="AU229" s="31"/>
      <c r="AV229" s="31"/>
      <c r="AW229" s="31"/>
      <c r="AX229" s="31"/>
      <c r="AY229" s="31"/>
      <c r="AZ229" s="32"/>
      <c r="BA229" s="31"/>
      <c r="BB229" s="31"/>
      <c r="BC229" s="31"/>
      <c r="BD229" s="31"/>
      <c r="BE229" s="31"/>
      <c r="BF229" s="31"/>
      <c r="BG229" s="31"/>
      <c r="BH229" s="32"/>
      <c r="BI229" s="31"/>
      <c r="BJ229" s="31"/>
      <c r="BK229" s="31"/>
      <c r="BL229" s="31"/>
      <c r="BM229" s="31"/>
      <c r="BN229" s="31"/>
      <c r="BO229" s="31"/>
      <c r="BP229" s="32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1"/>
      <c r="DU229" s="31"/>
      <c r="DV229" s="31"/>
      <c r="DW229" s="31"/>
      <c r="DX229" s="31"/>
      <c r="DY229" s="31"/>
      <c r="DZ229" s="31"/>
      <c r="EA229" s="31"/>
      <c r="EB229" s="31"/>
      <c r="EC229" s="31"/>
      <c r="ED229" s="31"/>
      <c r="EE229" s="31"/>
      <c r="EF229" s="31"/>
      <c r="EG229" s="31"/>
      <c r="EH229" s="31"/>
      <c r="EI229" s="31"/>
      <c r="EJ229" s="31"/>
      <c r="EK229" s="31"/>
      <c r="EL229" s="31"/>
      <c r="EM229" s="31"/>
      <c r="EN229" s="31"/>
      <c r="EO229" s="31"/>
      <c r="EP229" s="31"/>
      <c r="EQ229" s="31"/>
      <c r="ER229" s="31"/>
      <c r="ES229" s="31"/>
      <c r="ET229" s="31"/>
      <c r="EU229" s="31"/>
      <c r="EV229" s="31"/>
      <c r="EW229" s="31"/>
      <c r="EX229" s="31"/>
      <c r="EY229" s="31"/>
      <c r="EZ229" s="31"/>
      <c r="FA229" s="31"/>
      <c r="FB229" s="31"/>
      <c r="FC229" s="31"/>
      <c r="FD229" s="31"/>
      <c r="FE229" s="31"/>
      <c r="FF229" s="31"/>
      <c r="FG229" s="31"/>
      <c r="FH229" s="31"/>
      <c r="FI229" s="31"/>
      <c r="FJ229" s="31"/>
      <c r="FK229" s="31"/>
      <c r="FL229" s="31"/>
      <c r="FM229" s="31"/>
      <c r="FN229" s="31"/>
      <c r="FO229" s="31"/>
      <c r="FP229" s="31"/>
      <c r="FQ229" s="31"/>
      <c r="FR229" s="31"/>
      <c r="FS229" s="31"/>
      <c r="FT229" s="31"/>
      <c r="FU229" s="31"/>
      <c r="FV229" s="31"/>
      <c r="FW229" s="31"/>
      <c r="FX229" s="31"/>
      <c r="FY229" s="31"/>
      <c r="FZ229" s="31"/>
      <c r="GA229" s="31"/>
      <c r="GB229" s="31"/>
      <c r="GC229" s="31"/>
      <c r="GD229" s="31"/>
      <c r="GE229" s="31"/>
      <c r="GF229" s="31"/>
      <c r="GG229" s="31"/>
      <c r="GH229" s="31"/>
      <c r="GI229" s="31"/>
      <c r="GJ229" s="31"/>
      <c r="GK229" s="31"/>
      <c r="GL229" s="31"/>
      <c r="GM229" s="31"/>
      <c r="GN229" s="31"/>
      <c r="GO229" s="31"/>
      <c r="GP229" s="31"/>
      <c r="GQ229" s="31"/>
      <c r="GR229" s="31"/>
      <c r="GS229" s="31"/>
      <c r="GT229" s="31"/>
      <c r="GU229" s="31"/>
      <c r="GV229" s="31"/>
      <c r="GW229" s="31"/>
      <c r="GX229" s="31"/>
      <c r="GY229" s="31"/>
      <c r="GZ229" s="31"/>
      <c r="HA229" s="31"/>
      <c r="HB229" s="31"/>
      <c r="HC229" s="31"/>
      <c r="HD229" s="31"/>
      <c r="HE229" s="31"/>
      <c r="HF229" s="31"/>
      <c r="HG229" s="31"/>
      <c r="HH229" s="31"/>
      <c r="HI229" s="31"/>
      <c r="HJ229" s="31"/>
      <c r="HK229" s="31"/>
      <c r="HL229" s="31"/>
      <c r="HM229" s="31"/>
      <c r="HN229" s="31"/>
      <c r="HO229" s="31"/>
      <c r="HP229" s="31"/>
      <c r="HQ229" s="31"/>
      <c r="HR229" s="31"/>
      <c r="HS229" s="31"/>
      <c r="HT229" s="31"/>
      <c r="HU229" s="31"/>
      <c r="HV229" s="31"/>
      <c r="HW229" s="31"/>
      <c r="HX229" s="31"/>
      <c r="HY229" s="31"/>
      <c r="HZ229" s="31"/>
      <c r="IA229" s="31"/>
      <c r="IB229" s="31"/>
      <c r="IC229" s="31"/>
      <c r="ID229" s="31"/>
      <c r="IE229" s="31"/>
      <c r="IF229" s="31"/>
      <c r="IG229" s="31"/>
      <c r="IH229" s="31"/>
      <c r="II229" s="31"/>
      <c r="IJ229" s="31"/>
      <c r="IK229" s="31"/>
      <c r="IL229" s="31"/>
      <c r="IM229" s="31"/>
      <c r="IN229" s="31"/>
      <c r="IO229" s="31"/>
      <c r="IP229" s="31"/>
      <c r="IQ229" s="31"/>
      <c r="IR229" s="31"/>
      <c r="IS229" s="31"/>
      <c r="IT229" s="31"/>
      <c r="IU229" s="31"/>
      <c r="IV229" s="31"/>
      <c r="IW229" s="31"/>
      <c r="IX229" s="31"/>
      <c r="IY229" s="31"/>
      <c r="IZ229" s="31"/>
      <c r="JA229" s="31"/>
      <c r="JB229" s="31"/>
      <c r="JC229" s="31"/>
      <c r="JD229" s="31"/>
      <c r="JE229" s="31"/>
      <c r="JF229" s="31"/>
    </row>
    <row r="230" customFormat="1" ht="17.25" spans="1:266">
      <c r="A230" s="32">
        <f>40000000+INDEX(编号表!$B:$B,MATCH(B230,编号表!$A:$A,0))*10000+C230</f>
        <v>40130003</v>
      </c>
      <c r="B230" s="27" t="s">
        <v>633</v>
      </c>
      <c r="C230" s="32">
        <v>3</v>
      </c>
      <c r="D230" s="32" t="s">
        <v>636</v>
      </c>
      <c r="E230" s="32" t="s">
        <v>617</v>
      </c>
      <c r="F230" s="31">
        <f t="shared" si="23"/>
        <v>0</v>
      </c>
      <c r="G230" s="31"/>
      <c r="H230" s="32"/>
      <c r="I230" s="32"/>
      <c r="J230" s="32">
        <f t="shared" si="22"/>
        <v>0</v>
      </c>
      <c r="K230" s="32"/>
      <c r="L230" s="32"/>
      <c r="M230" s="31"/>
      <c r="N230" s="31"/>
      <c r="O230" s="31"/>
      <c r="P230" s="32"/>
      <c r="Q230" s="32"/>
      <c r="R230" s="31"/>
      <c r="S230" s="32"/>
      <c r="T230" s="32"/>
      <c r="U230" s="31"/>
      <c r="V230" s="31"/>
      <c r="W230" s="31"/>
      <c r="X230" s="32"/>
      <c r="Y230" s="32"/>
      <c r="Z230" s="31"/>
      <c r="AA230" s="32"/>
      <c r="AB230" s="32"/>
      <c r="AC230" s="31"/>
      <c r="AD230" s="31"/>
      <c r="AE230" s="31"/>
      <c r="AF230" s="32"/>
      <c r="AG230" s="32"/>
      <c r="AH230" s="31"/>
      <c r="AI230" s="31"/>
      <c r="AJ230" s="32"/>
      <c r="AK230" s="31"/>
      <c r="AL230" s="31"/>
      <c r="AM230" s="31"/>
      <c r="AN230" s="31"/>
      <c r="AO230" s="31"/>
      <c r="AP230" s="31"/>
      <c r="AQ230" s="31"/>
      <c r="AR230" s="32"/>
      <c r="AS230" s="31"/>
      <c r="AT230" s="31"/>
      <c r="AU230" s="31"/>
      <c r="AV230" s="31"/>
      <c r="AW230" s="31"/>
      <c r="AX230" s="31"/>
      <c r="AY230" s="31"/>
      <c r="AZ230" s="32"/>
      <c r="BA230" s="31"/>
      <c r="BB230" s="31"/>
      <c r="BC230" s="31"/>
      <c r="BD230" s="31"/>
      <c r="BE230" s="31"/>
      <c r="BF230" s="31"/>
      <c r="BG230" s="31"/>
      <c r="BH230" s="32"/>
      <c r="BI230" s="31"/>
      <c r="BJ230" s="31"/>
      <c r="BK230" s="31"/>
      <c r="BL230" s="31"/>
      <c r="BM230" s="31"/>
      <c r="BN230" s="31"/>
      <c r="BO230" s="31"/>
      <c r="BP230" s="32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  <c r="DY230" s="31"/>
      <c r="DZ230" s="31"/>
      <c r="EA230" s="31"/>
      <c r="EB230" s="31"/>
      <c r="EC230" s="31"/>
      <c r="ED230" s="31"/>
      <c r="EE230" s="31"/>
      <c r="EF230" s="31"/>
      <c r="EG230" s="31"/>
      <c r="EH230" s="31"/>
      <c r="EI230" s="31"/>
      <c r="EJ230" s="31"/>
      <c r="EK230" s="31"/>
      <c r="EL230" s="31"/>
      <c r="EM230" s="31"/>
      <c r="EN230" s="31"/>
      <c r="EO230" s="31"/>
      <c r="EP230" s="31"/>
      <c r="EQ230" s="31"/>
      <c r="ER230" s="31"/>
      <c r="ES230" s="31"/>
      <c r="ET230" s="31"/>
      <c r="EU230" s="31"/>
      <c r="EV230" s="31"/>
      <c r="EW230" s="31"/>
      <c r="EX230" s="31"/>
      <c r="EY230" s="31"/>
      <c r="EZ230" s="31"/>
      <c r="FA230" s="31"/>
      <c r="FB230" s="31"/>
      <c r="FC230" s="31"/>
      <c r="FD230" s="31"/>
      <c r="FE230" s="31"/>
      <c r="FF230" s="31"/>
      <c r="FG230" s="31"/>
      <c r="FH230" s="31"/>
      <c r="FI230" s="31"/>
      <c r="FJ230" s="31"/>
      <c r="FK230" s="31"/>
      <c r="FL230" s="31"/>
      <c r="FM230" s="31"/>
      <c r="FN230" s="31"/>
      <c r="FO230" s="31"/>
      <c r="FP230" s="31"/>
      <c r="FQ230" s="31"/>
      <c r="FR230" s="31"/>
      <c r="FS230" s="31"/>
      <c r="FT230" s="31"/>
      <c r="FU230" s="31"/>
      <c r="FV230" s="31"/>
      <c r="FW230" s="31"/>
      <c r="FX230" s="31"/>
      <c r="FY230" s="31"/>
      <c r="FZ230" s="31"/>
      <c r="GA230" s="31"/>
      <c r="GB230" s="31"/>
      <c r="GC230" s="31"/>
      <c r="GD230" s="31"/>
      <c r="GE230" s="31"/>
      <c r="GF230" s="31"/>
      <c r="GG230" s="31"/>
      <c r="GH230" s="31"/>
      <c r="GI230" s="31"/>
      <c r="GJ230" s="31"/>
      <c r="GK230" s="31"/>
      <c r="GL230" s="31"/>
      <c r="GM230" s="31"/>
      <c r="GN230" s="31"/>
      <c r="GO230" s="31"/>
      <c r="GP230" s="31"/>
      <c r="GQ230" s="31"/>
      <c r="GR230" s="31"/>
      <c r="GS230" s="31"/>
      <c r="GT230" s="31"/>
      <c r="GU230" s="31"/>
      <c r="GV230" s="31"/>
      <c r="GW230" s="31"/>
      <c r="GX230" s="31"/>
      <c r="GY230" s="31"/>
      <c r="GZ230" s="31"/>
      <c r="HA230" s="31"/>
      <c r="HB230" s="31"/>
      <c r="HC230" s="31"/>
      <c r="HD230" s="31"/>
      <c r="HE230" s="31"/>
      <c r="HF230" s="31"/>
      <c r="HG230" s="31"/>
      <c r="HH230" s="31"/>
      <c r="HI230" s="31"/>
      <c r="HJ230" s="31"/>
      <c r="HK230" s="31"/>
      <c r="HL230" s="31"/>
      <c r="HM230" s="31"/>
      <c r="HN230" s="31"/>
      <c r="HO230" s="31"/>
      <c r="HP230" s="31"/>
      <c r="HQ230" s="31"/>
      <c r="HR230" s="31"/>
      <c r="HS230" s="31"/>
      <c r="HT230" s="31"/>
      <c r="HU230" s="31"/>
      <c r="HV230" s="31"/>
      <c r="HW230" s="31"/>
      <c r="HX230" s="31"/>
      <c r="HY230" s="31"/>
      <c r="HZ230" s="31"/>
      <c r="IA230" s="31"/>
      <c r="IB230" s="31"/>
      <c r="IC230" s="31"/>
      <c r="ID230" s="31"/>
      <c r="IE230" s="31"/>
      <c r="IF230" s="31"/>
      <c r="IG230" s="31"/>
      <c r="IH230" s="31"/>
      <c r="II230" s="31"/>
      <c r="IJ230" s="31"/>
      <c r="IK230" s="31"/>
      <c r="IL230" s="31"/>
      <c r="IM230" s="31"/>
      <c r="IN230" s="31"/>
      <c r="IO230" s="31"/>
      <c r="IP230" s="31"/>
      <c r="IQ230" s="31"/>
      <c r="IR230" s="31"/>
      <c r="IS230" s="31"/>
      <c r="IT230" s="31"/>
      <c r="IU230" s="31"/>
      <c r="IV230" s="31"/>
      <c r="IW230" s="31"/>
      <c r="IX230" s="31"/>
      <c r="IY230" s="31"/>
      <c r="IZ230" s="31"/>
      <c r="JA230" s="31"/>
      <c r="JB230" s="31"/>
      <c r="JC230" s="31"/>
      <c r="JD230" s="31"/>
      <c r="JE230" s="31"/>
      <c r="JF230" s="31"/>
    </row>
    <row r="231" customFormat="1" ht="17.25" spans="1:266">
      <c r="A231" s="32">
        <f>40000000+INDEX(编号表!$B:$B,MATCH(B231,编号表!$A:$A,0))*10000+C231</f>
        <v>40130004</v>
      </c>
      <c r="B231" s="27" t="s">
        <v>633</v>
      </c>
      <c r="C231" s="32">
        <v>4</v>
      </c>
      <c r="D231" s="32" t="s">
        <v>637</v>
      </c>
      <c r="E231" s="32" t="s">
        <v>617</v>
      </c>
      <c r="F231" s="31">
        <f t="shared" si="23"/>
        <v>0</v>
      </c>
      <c r="G231" s="31"/>
      <c r="H231" s="32"/>
      <c r="I231" s="32"/>
      <c r="J231" s="32">
        <f t="shared" si="22"/>
        <v>0</v>
      </c>
      <c r="K231" s="32"/>
      <c r="L231" s="32"/>
      <c r="M231" s="31"/>
      <c r="N231" s="31"/>
      <c r="O231" s="31"/>
      <c r="P231" s="32"/>
      <c r="Q231" s="32"/>
      <c r="R231" s="31"/>
      <c r="S231" s="32"/>
      <c r="T231" s="32"/>
      <c r="U231" s="31"/>
      <c r="V231" s="31"/>
      <c r="W231" s="31"/>
      <c r="X231" s="32"/>
      <c r="Y231" s="32"/>
      <c r="Z231" s="31"/>
      <c r="AA231" s="32"/>
      <c r="AB231" s="32"/>
      <c r="AC231" s="31"/>
      <c r="AD231" s="31"/>
      <c r="AE231" s="31"/>
      <c r="AF231" s="32"/>
      <c r="AG231" s="32"/>
      <c r="AH231" s="31"/>
      <c r="AI231" s="31"/>
      <c r="AJ231" s="32"/>
      <c r="AK231" s="31"/>
      <c r="AL231" s="31"/>
      <c r="AM231" s="31"/>
      <c r="AN231" s="31"/>
      <c r="AO231" s="31"/>
      <c r="AP231" s="31"/>
      <c r="AQ231" s="31"/>
      <c r="AR231" s="32"/>
      <c r="AS231" s="31"/>
      <c r="AT231" s="31"/>
      <c r="AU231" s="31"/>
      <c r="AV231" s="31"/>
      <c r="AW231" s="31"/>
      <c r="AX231" s="31"/>
      <c r="AY231" s="31"/>
      <c r="AZ231" s="32"/>
      <c r="BA231" s="31"/>
      <c r="BB231" s="31"/>
      <c r="BC231" s="31"/>
      <c r="BD231" s="31"/>
      <c r="BE231" s="31"/>
      <c r="BF231" s="31"/>
      <c r="BG231" s="31"/>
      <c r="BH231" s="32"/>
      <c r="BI231" s="31"/>
      <c r="BJ231" s="31"/>
      <c r="BK231" s="31"/>
      <c r="BL231" s="31"/>
      <c r="BM231" s="31"/>
      <c r="BN231" s="31"/>
      <c r="BO231" s="31"/>
      <c r="BP231" s="32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1"/>
      <c r="EH231" s="31"/>
      <c r="EI231" s="31"/>
      <c r="EJ231" s="31"/>
      <c r="EK231" s="31"/>
      <c r="EL231" s="31"/>
      <c r="EM231" s="31"/>
      <c r="EN231" s="31"/>
      <c r="EO231" s="31"/>
      <c r="EP231" s="31"/>
      <c r="EQ231" s="31"/>
      <c r="ER231" s="31"/>
      <c r="ES231" s="31"/>
      <c r="ET231" s="31"/>
      <c r="EU231" s="31"/>
      <c r="EV231" s="31"/>
      <c r="EW231" s="31"/>
      <c r="EX231" s="31"/>
      <c r="EY231" s="31"/>
      <c r="EZ231" s="31"/>
      <c r="FA231" s="31"/>
      <c r="FB231" s="31"/>
      <c r="FC231" s="31"/>
      <c r="FD231" s="31"/>
      <c r="FE231" s="31"/>
      <c r="FF231" s="31"/>
      <c r="FG231" s="31"/>
      <c r="FH231" s="31"/>
      <c r="FI231" s="31"/>
      <c r="FJ231" s="31"/>
      <c r="FK231" s="31"/>
      <c r="FL231" s="31"/>
      <c r="FM231" s="31"/>
      <c r="FN231" s="31"/>
      <c r="FO231" s="31"/>
      <c r="FP231" s="31"/>
      <c r="FQ231" s="31"/>
      <c r="FR231" s="31"/>
      <c r="FS231" s="31"/>
      <c r="FT231" s="31"/>
      <c r="FU231" s="31"/>
      <c r="FV231" s="31"/>
      <c r="FW231" s="31"/>
      <c r="FX231" s="31"/>
      <c r="FY231" s="31"/>
      <c r="FZ231" s="31"/>
      <c r="GA231" s="31"/>
      <c r="GB231" s="31"/>
      <c r="GC231" s="31"/>
      <c r="GD231" s="31"/>
      <c r="GE231" s="31"/>
      <c r="GF231" s="31"/>
      <c r="GG231" s="31"/>
      <c r="GH231" s="31"/>
      <c r="GI231" s="31"/>
      <c r="GJ231" s="31"/>
      <c r="GK231" s="31"/>
      <c r="GL231" s="31"/>
      <c r="GM231" s="31"/>
      <c r="GN231" s="31"/>
      <c r="GO231" s="31"/>
      <c r="GP231" s="31"/>
      <c r="GQ231" s="31"/>
      <c r="GR231" s="31"/>
      <c r="GS231" s="31"/>
      <c r="GT231" s="31"/>
      <c r="GU231" s="31"/>
      <c r="GV231" s="31"/>
      <c r="GW231" s="31"/>
      <c r="GX231" s="31"/>
      <c r="GY231" s="31"/>
      <c r="GZ231" s="31"/>
      <c r="HA231" s="31"/>
      <c r="HB231" s="31"/>
      <c r="HC231" s="31"/>
      <c r="HD231" s="31"/>
      <c r="HE231" s="31"/>
      <c r="HF231" s="31"/>
      <c r="HG231" s="31"/>
      <c r="HH231" s="31"/>
      <c r="HI231" s="31"/>
      <c r="HJ231" s="31"/>
      <c r="HK231" s="31"/>
      <c r="HL231" s="31"/>
      <c r="HM231" s="31"/>
      <c r="HN231" s="31"/>
      <c r="HO231" s="31"/>
      <c r="HP231" s="31"/>
      <c r="HQ231" s="31"/>
      <c r="HR231" s="31"/>
      <c r="HS231" s="31"/>
      <c r="HT231" s="31"/>
      <c r="HU231" s="31"/>
      <c r="HV231" s="31"/>
      <c r="HW231" s="31"/>
      <c r="HX231" s="31"/>
      <c r="HY231" s="31"/>
      <c r="HZ231" s="31"/>
      <c r="IA231" s="31"/>
      <c r="IB231" s="31"/>
      <c r="IC231" s="31"/>
      <c r="ID231" s="31"/>
      <c r="IE231" s="31"/>
      <c r="IF231" s="31"/>
      <c r="IG231" s="31"/>
      <c r="IH231" s="31"/>
      <c r="II231" s="31"/>
      <c r="IJ231" s="31"/>
      <c r="IK231" s="31"/>
      <c r="IL231" s="31"/>
      <c r="IM231" s="31"/>
      <c r="IN231" s="31"/>
      <c r="IO231" s="31"/>
      <c r="IP231" s="31"/>
      <c r="IQ231" s="31"/>
      <c r="IR231" s="31"/>
      <c r="IS231" s="31"/>
      <c r="IT231" s="31"/>
      <c r="IU231" s="31"/>
      <c r="IV231" s="31"/>
      <c r="IW231" s="31"/>
      <c r="IX231" s="31"/>
      <c r="IY231" s="31"/>
      <c r="IZ231" s="31"/>
      <c r="JA231" s="31"/>
      <c r="JB231" s="31"/>
      <c r="JC231" s="31"/>
      <c r="JD231" s="31"/>
      <c r="JE231" s="31"/>
      <c r="JF231" s="31"/>
    </row>
    <row r="232" customFormat="1" ht="17.25" spans="1:266">
      <c r="A232" s="32">
        <f>40000000+INDEX(编号表!$B:$B,MATCH(B232,编号表!$A:$A,0))*10000+C232</f>
        <v>40130005</v>
      </c>
      <c r="B232" s="27" t="s">
        <v>633</v>
      </c>
      <c r="C232" s="32">
        <v>5</v>
      </c>
      <c r="D232" s="32" t="s">
        <v>638</v>
      </c>
      <c r="E232" s="32" t="s">
        <v>617</v>
      </c>
      <c r="F232" s="31">
        <f t="shared" si="23"/>
        <v>0</v>
      </c>
      <c r="G232" s="31"/>
      <c r="H232" s="32"/>
      <c r="I232" s="32"/>
      <c r="J232" s="32">
        <f t="shared" si="22"/>
        <v>0</v>
      </c>
      <c r="K232" s="32"/>
      <c r="L232" s="32"/>
      <c r="M232" s="31"/>
      <c r="N232" s="31"/>
      <c r="O232" s="31"/>
      <c r="P232" s="32"/>
      <c r="Q232" s="32"/>
      <c r="R232" s="31"/>
      <c r="S232" s="32"/>
      <c r="T232" s="32"/>
      <c r="U232" s="31"/>
      <c r="V232" s="31"/>
      <c r="W232" s="31"/>
      <c r="X232" s="32"/>
      <c r="Y232" s="32"/>
      <c r="Z232" s="31"/>
      <c r="AA232" s="32"/>
      <c r="AB232" s="32"/>
      <c r="AC232" s="31"/>
      <c r="AD232" s="31"/>
      <c r="AE232" s="31"/>
      <c r="AF232" s="32"/>
      <c r="AG232" s="32"/>
      <c r="AH232" s="31"/>
      <c r="AI232" s="31"/>
      <c r="AJ232" s="32"/>
      <c r="AK232" s="31"/>
      <c r="AL232" s="31"/>
      <c r="AM232" s="31"/>
      <c r="AN232" s="31"/>
      <c r="AO232" s="31"/>
      <c r="AP232" s="31"/>
      <c r="AQ232" s="31"/>
      <c r="AR232" s="32"/>
      <c r="AS232" s="31"/>
      <c r="AT232" s="31"/>
      <c r="AU232" s="31"/>
      <c r="AV232" s="31"/>
      <c r="AW232" s="31"/>
      <c r="AX232" s="31"/>
      <c r="AY232" s="31"/>
      <c r="AZ232" s="32"/>
      <c r="BA232" s="31"/>
      <c r="BB232" s="31"/>
      <c r="BC232" s="31"/>
      <c r="BD232" s="31"/>
      <c r="BE232" s="31"/>
      <c r="BF232" s="31"/>
      <c r="BG232" s="31"/>
      <c r="BH232" s="32"/>
      <c r="BI232" s="31"/>
      <c r="BJ232" s="31"/>
      <c r="BK232" s="31"/>
      <c r="BL232" s="31"/>
      <c r="BM232" s="31"/>
      <c r="BN232" s="31"/>
      <c r="BO232" s="31"/>
      <c r="BP232" s="32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  <c r="DY232" s="31"/>
      <c r="DZ232" s="31"/>
      <c r="EA232" s="31"/>
      <c r="EB232" s="31"/>
      <c r="EC232" s="31"/>
      <c r="ED232" s="31"/>
      <c r="EE232" s="31"/>
      <c r="EF232" s="31"/>
      <c r="EG232" s="31"/>
      <c r="EH232" s="31"/>
      <c r="EI232" s="31"/>
      <c r="EJ232" s="31"/>
      <c r="EK232" s="31"/>
      <c r="EL232" s="31"/>
      <c r="EM232" s="31"/>
      <c r="EN232" s="31"/>
      <c r="EO232" s="31"/>
      <c r="EP232" s="31"/>
      <c r="EQ232" s="31"/>
      <c r="ER232" s="31"/>
      <c r="ES232" s="31"/>
      <c r="ET232" s="31"/>
      <c r="EU232" s="31"/>
      <c r="EV232" s="31"/>
      <c r="EW232" s="31"/>
      <c r="EX232" s="31"/>
      <c r="EY232" s="31"/>
      <c r="EZ232" s="31"/>
      <c r="FA232" s="31"/>
      <c r="FB232" s="31"/>
      <c r="FC232" s="31"/>
      <c r="FD232" s="31"/>
      <c r="FE232" s="31"/>
      <c r="FF232" s="31"/>
      <c r="FG232" s="31"/>
      <c r="FH232" s="31"/>
      <c r="FI232" s="31"/>
      <c r="FJ232" s="31"/>
      <c r="FK232" s="31"/>
      <c r="FL232" s="31"/>
      <c r="FM232" s="31"/>
      <c r="FN232" s="31"/>
      <c r="FO232" s="31"/>
      <c r="FP232" s="31"/>
      <c r="FQ232" s="31"/>
      <c r="FR232" s="31"/>
      <c r="FS232" s="31"/>
      <c r="FT232" s="31"/>
      <c r="FU232" s="31"/>
      <c r="FV232" s="31"/>
      <c r="FW232" s="31"/>
      <c r="FX232" s="31"/>
      <c r="FY232" s="31"/>
      <c r="FZ232" s="31"/>
      <c r="GA232" s="31"/>
      <c r="GB232" s="31"/>
      <c r="GC232" s="31"/>
      <c r="GD232" s="31"/>
      <c r="GE232" s="31"/>
      <c r="GF232" s="31"/>
      <c r="GG232" s="31"/>
      <c r="GH232" s="31"/>
      <c r="GI232" s="31"/>
      <c r="GJ232" s="31"/>
      <c r="GK232" s="31"/>
      <c r="GL232" s="31"/>
      <c r="GM232" s="31"/>
      <c r="GN232" s="31"/>
      <c r="GO232" s="31"/>
      <c r="GP232" s="31"/>
      <c r="GQ232" s="31"/>
      <c r="GR232" s="31"/>
      <c r="GS232" s="31"/>
      <c r="GT232" s="31"/>
      <c r="GU232" s="31"/>
      <c r="GV232" s="31"/>
      <c r="GW232" s="31"/>
      <c r="GX232" s="31"/>
      <c r="GY232" s="31"/>
      <c r="GZ232" s="31"/>
      <c r="HA232" s="31"/>
      <c r="HB232" s="31"/>
      <c r="HC232" s="31"/>
      <c r="HD232" s="31"/>
      <c r="HE232" s="31"/>
      <c r="HF232" s="31"/>
      <c r="HG232" s="31"/>
      <c r="HH232" s="31"/>
      <c r="HI232" s="31"/>
      <c r="HJ232" s="31"/>
      <c r="HK232" s="31"/>
      <c r="HL232" s="31"/>
      <c r="HM232" s="31"/>
      <c r="HN232" s="31"/>
      <c r="HO232" s="31"/>
      <c r="HP232" s="31"/>
      <c r="HQ232" s="31"/>
      <c r="HR232" s="31"/>
      <c r="HS232" s="31"/>
      <c r="HT232" s="31"/>
      <c r="HU232" s="31"/>
      <c r="HV232" s="31"/>
      <c r="HW232" s="31"/>
      <c r="HX232" s="31"/>
      <c r="HY232" s="31"/>
      <c r="HZ232" s="31"/>
      <c r="IA232" s="31"/>
      <c r="IB232" s="31"/>
      <c r="IC232" s="31"/>
      <c r="ID232" s="31"/>
      <c r="IE232" s="31"/>
      <c r="IF232" s="31"/>
      <c r="IG232" s="31"/>
      <c r="IH232" s="31"/>
      <c r="II232" s="31"/>
      <c r="IJ232" s="31"/>
      <c r="IK232" s="31"/>
      <c r="IL232" s="31"/>
      <c r="IM232" s="31"/>
      <c r="IN232" s="31"/>
      <c r="IO232" s="31"/>
      <c r="IP232" s="31"/>
      <c r="IQ232" s="31"/>
      <c r="IR232" s="31"/>
      <c r="IS232" s="31"/>
      <c r="IT232" s="31"/>
      <c r="IU232" s="31"/>
      <c r="IV232" s="31"/>
      <c r="IW232" s="31"/>
      <c r="IX232" s="31"/>
      <c r="IY232" s="31"/>
      <c r="IZ232" s="31"/>
      <c r="JA232" s="31"/>
      <c r="JB232" s="31"/>
      <c r="JC232" s="31"/>
      <c r="JD232" s="31"/>
      <c r="JE232" s="31"/>
      <c r="JF232" s="31"/>
    </row>
    <row r="233" customFormat="1" ht="17.25" spans="1:266">
      <c r="A233" s="32">
        <f>40000000+INDEX(编号表!$B:$B,MATCH(B233,编号表!$A:$A,0))*10000+C233</f>
        <v>40130006</v>
      </c>
      <c r="B233" s="27" t="s">
        <v>633</v>
      </c>
      <c r="C233" s="32">
        <v>6</v>
      </c>
      <c r="D233" s="32" t="s">
        <v>639</v>
      </c>
      <c r="E233" s="32" t="s">
        <v>617</v>
      </c>
      <c r="F233" s="31">
        <f t="shared" si="23"/>
        <v>0</v>
      </c>
      <c r="G233" s="31"/>
      <c r="H233" s="32"/>
      <c r="I233" s="32"/>
      <c r="J233" s="32">
        <f t="shared" si="22"/>
        <v>0</v>
      </c>
      <c r="K233" s="32"/>
      <c r="L233" s="32"/>
      <c r="M233" s="31"/>
      <c r="N233" s="31"/>
      <c r="O233" s="31"/>
      <c r="P233" s="32"/>
      <c r="Q233" s="32"/>
      <c r="R233" s="31"/>
      <c r="S233" s="32"/>
      <c r="T233" s="32"/>
      <c r="U233" s="31"/>
      <c r="V233" s="31"/>
      <c r="W233" s="31"/>
      <c r="X233" s="32"/>
      <c r="Y233" s="32"/>
      <c r="Z233" s="31"/>
      <c r="AA233" s="32"/>
      <c r="AB233" s="32"/>
      <c r="AC233" s="31"/>
      <c r="AD233" s="31"/>
      <c r="AE233" s="31"/>
      <c r="AF233" s="32"/>
      <c r="AG233" s="32"/>
      <c r="AH233" s="31"/>
      <c r="AI233" s="31"/>
      <c r="AJ233" s="32"/>
      <c r="AK233" s="31"/>
      <c r="AL233" s="31"/>
      <c r="AM233" s="31"/>
      <c r="AN233" s="31"/>
      <c r="AO233" s="31"/>
      <c r="AP233" s="31"/>
      <c r="AQ233" s="31"/>
      <c r="AR233" s="32"/>
      <c r="AS233" s="31"/>
      <c r="AT233" s="31"/>
      <c r="AU233" s="31"/>
      <c r="AV233" s="31"/>
      <c r="AW233" s="31"/>
      <c r="AX233" s="31"/>
      <c r="AY233" s="31"/>
      <c r="AZ233" s="32"/>
      <c r="BA233" s="31"/>
      <c r="BB233" s="31"/>
      <c r="BC233" s="31"/>
      <c r="BD233" s="31"/>
      <c r="BE233" s="31"/>
      <c r="BF233" s="31"/>
      <c r="BG233" s="31"/>
      <c r="BH233" s="32"/>
      <c r="BI233" s="31"/>
      <c r="BJ233" s="31"/>
      <c r="BK233" s="31"/>
      <c r="BL233" s="31"/>
      <c r="BM233" s="31"/>
      <c r="BN233" s="31"/>
      <c r="BO233" s="31"/>
      <c r="BP233" s="32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  <c r="DY233" s="31"/>
      <c r="DZ233" s="31"/>
      <c r="EA233" s="31"/>
      <c r="EB233" s="31"/>
      <c r="EC233" s="31"/>
      <c r="ED233" s="31"/>
      <c r="EE233" s="31"/>
      <c r="EF233" s="31"/>
      <c r="EG233" s="31"/>
      <c r="EH233" s="31"/>
      <c r="EI233" s="31"/>
      <c r="EJ233" s="31"/>
      <c r="EK233" s="31"/>
      <c r="EL233" s="31"/>
      <c r="EM233" s="31"/>
      <c r="EN233" s="31"/>
      <c r="EO233" s="31"/>
      <c r="EP233" s="31"/>
      <c r="EQ233" s="31"/>
      <c r="ER233" s="31"/>
      <c r="ES233" s="31"/>
      <c r="ET233" s="31"/>
      <c r="EU233" s="31"/>
      <c r="EV233" s="31"/>
      <c r="EW233" s="31"/>
      <c r="EX233" s="31"/>
      <c r="EY233" s="31"/>
      <c r="EZ233" s="31"/>
      <c r="FA233" s="31"/>
      <c r="FB233" s="31"/>
      <c r="FC233" s="31"/>
      <c r="FD233" s="31"/>
      <c r="FE233" s="31"/>
      <c r="FF233" s="31"/>
      <c r="FG233" s="31"/>
      <c r="FH233" s="31"/>
      <c r="FI233" s="31"/>
      <c r="FJ233" s="31"/>
      <c r="FK233" s="31"/>
      <c r="FL233" s="31"/>
      <c r="FM233" s="31"/>
      <c r="FN233" s="31"/>
      <c r="FO233" s="31"/>
      <c r="FP233" s="31"/>
      <c r="FQ233" s="31"/>
      <c r="FR233" s="31"/>
      <c r="FS233" s="31"/>
      <c r="FT233" s="31"/>
      <c r="FU233" s="31"/>
      <c r="FV233" s="31"/>
      <c r="FW233" s="31"/>
      <c r="FX233" s="31"/>
      <c r="FY233" s="31"/>
      <c r="FZ233" s="31"/>
      <c r="GA233" s="31"/>
      <c r="GB233" s="31"/>
      <c r="GC233" s="31"/>
      <c r="GD233" s="31"/>
      <c r="GE233" s="31"/>
      <c r="GF233" s="31"/>
      <c r="GG233" s="31"/>
      <c r="GH233" s="31"/>
      <c r="GI233" s="31"/>
      <c r="GJ233" s="31"/>
      <c r="GK233" s="31"/>
      <c r="GL233" s="31"/>
      <c r="GM233" s="31"/>
      <c r="GN233" s="31"/>
      <c r="GO233" s="31"/>
      <c r="GP233" s="31"/>
      <c r="GQ233" s="31"/>
      <c r="GR233" s="31"/>
      <c r="GS233" s="31"/>
      <c r="GT233" s="31"/>
      <c r="GU233" s="31"/>
      <c r="GV233" s="31"/>
      <c r="GW233" s="31"/>
      <c r="GX233" s="31"/>
      <c r="GY233" s="31"/>
      <c r="GZ233" s="31"/>
      <c r="HA233" s="31"/>
      <c r="HB233" s="31"/>
      <c r="HC233" s="31"/>
      <c r="HD233" s="31"/>
      <c r="HE233" s="31"/>
      <c r="HF233" s="31"/>
      <c r="HG233" s="31"/>
      <c r="HH233" s="31"/>
      <c r="HI233" s="31"/>
      <c r="HJ233" s="31"/>
      <c r="HK233" s="31"/>
      <c r="HL233" s="31"/>
      <c r="HM233" s="31"/>
      <c r="HN233" s="31"/>
      <c r="HO233" s="31"/>
      <c r="HP233" s="31"/>
      <c r="HQ233" s="31"/>
      <c r="HR233" s="31"/>
      <c r="HS233" s="31"/>
      <c r="HT233" s="31"/>
      <c r="HU233" s="31"/>
      <c r="HV233" s="31"/>
      <c r="HW233" s="31"/>
      <c r="HX233" s="31"/>
      <c r="HY233" s="31"/>
      <c r="HZ233" s="31"/>
      <c r="IA233" s="31"/>
      <c r="IB233" s="31"/>
      <c r="IC233" s="31"/>
      <c r="ID233" s="31"/>
      <c r="IE233" s="31"/>
      <c r="IF233" s="31"/>
      <c r="IG233" s="31"/>
      <c r="IH233" s="31"/>
      <c r="II233" s="31"/>
      <c r="IJ233" s="31"/>
      <c r="IK233" s="31"/>
      <c r="IL233" s="31"/>
      <c r="IM233" s="31"/>
      <c r="IN233" s="31"/>
      <c r="IO233" s="31"/>
      <c r="IP233" s="31"/>
      <c r="IQ233" s="31"/>
      <c r="IR233" s="31"/>
      <c r="IS233" s="31"/>
      <c r="IT233" s="31"/>
      <c r="IU233" s="31"/>
      <c r="IV233" s="31"/>
      <c r="IW233" s="31"/>
      <c r="IX233" s="31"/>
      <c r="IY233" s="31"/>
      <c r="IZ233" s="31"/>
      <c r="JA233" s="31"/>
      <c r="JB233" s="31"/>
      <c r="JC233" s="31"/>
      <c r="JD233" s="31"/>
      <c r="JE233" s="31"/>
      <c r="JF233" s="31"/>
    </row>
    <row r="234" customFormat="1" ht="17.25" spans="1:266">
      <c r="A234" s="32">
        <f>40000000+INDEX(编号表!$B:$B,MATCH(B234,编号表!$A:$A,0))*10000+C234</f>
        <v>40130007</v>
      </c>
      <c r="B234" s="27" t="s">
        <v>633</v>
      </c>
      <c r="C234" s="32">
        <v>7</v>
      </c>
      <c r="D234" s="32" t="s">
        <v>640</v>
      </c>
      <c r="E234" s="32" t="s">
        <v>617</v>
      </c>
      <c r="F234" s="31">
        <f t="shared" si="23"/>
        <v>0</v>
      </c>
      <c r="G234" s="31"/>
      <c r="H234" s="32"/>
      <c r="I234" s="32"/>
      <c r="J234" s="32">
        <f t="shared" si="22"/>
        <v>0</v>
      </c>
      <c r="K234" s="32"/>
      <c r="L234" s="32"/>
      <c r="M234" s="31"/>
      <c r="N234" s="31"/>
      <c r="O234" s="31"/>
      <c r="P234" s="32"/>
      <c r="Q234" s="32"/>
      <c r="R234" s="31"/>
      <c r="S234" s="32"/>
      <c r="T234" s="32"/>
      <c r="U234" s="31"/>
      <c r="V234" s="31"/>
      <c r="W234" s="31"/>
      <c r="X234" s="32"/>
      <c r="Y234" s="32"/>
      <c r="Z234" s="31"/>
      <c r="AA234" s="32"/>
      <c r="AB234" s="32"/>
      <c r="AC234" s="31"/>
      <c r="AD234" s="31"/>
      <c r="AE234" s="31"/>
      <c r="AF234" s="32"/>
      <c r="AG234" s="32"/>
      <c r="AH234" s="31"/>
      <c r="AI234" s="31"/>
      <c r="AJ234" s="32"/>
      <c r="AK234" s="31"/>
      <c r="AL234" s="31"/>
      <c r="AM234" s="31"/>
      <c r="AN234" s="31"/>
      <c r="AO234" s="31"/>
      <c r="AP234" s="31"/>
      <c r="AQ234" s="31"/>
      <c r="AR234" s="32"/>
      <c r="AS234" s="31"/>
      <c r="AT234" s="31"/>
      <c r="AU234" s="31"/>
      <c r="AV234" s="31"/>
      <c r="AW234" s="31"/>
      <c r="AX234" s="31"/>
      <c r="AY234" s="31"/>
      <c r="AZ234" s="32"/>
      <c r="BA234" s="31"/>
      <c r="BB234" s="31"/>
      <c r="BC234" s="31"/>
      <c r="BD234" s="31"/>
      <c r="BE234" s="31"/>
      <c r="BF234" s="31"/>
      <c r="BG234" s="31"/>
      <c r="BH234" s="32"/>
      <c r="BI234" s="31"/>
      <c r="BJ234" s="31"/>
      <c r="BK234" s="31"/>
      <c r="BL234" s="31"/>
      <c r="BM234" s="31"/>
      <c r="BN234" s="31"/>
      <c r="BO234" s="31"/>
      <c r="BP234" s="32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1"/>
      <c r="DU234" s="31"/>
      <c r="DV234" s="31"/>
      <c r="DW234" s="31"/>
      <c r="DX234" s="31"/>
      <c r="DY234" s="31"/>
      <c r="DZ234" s="31"/>
      <c r="EA234" s="31"/>
      <c r="EB234" s="31"/>
      <c r="EC234" s="31"/>
      <c r="ED234" s="31"/>
      <c r="EE234" s="31"/>
      <c r="EF234" s="31"/>
      <c r="EG234" s="31"/>
      <c r="EH234" s="31"/>
      <c r="EI234" s="31"/>
      <c r="EJ234" s="31"/>
      <c r="EK234" s="31"/>
      <c r="EL234" s="31"/>
      <c r="EM234" s="31"/>
      <c r="EN234" s="31"/>
      <c r="EO234" s="31"/>
      <c r="EP234" s="31"/>
      <c r="EQ234" s="31"/>
      <c r="ER234" s="31"/>
      <c r="ES234" s="31"/>
      <c r="ET234" s="31"/>
      <c r="EU234" s="31"/>
      <c r="EV234" s="31"/>
      <c r="EW234" s="31"/>
      <c r="EX234" s="31"/>
      <c r="EY234" s="31"/>
      <c r="EZ234" s="31"/>
      <c r="FA234" s="31"/>
      <c r="FB234" s="31"/>
      <c r="FC234" s="31"/>
      <c r="FD234" s="31"/>
      <c r="FE234" s="31"/>
      <c r="FF234" s="31"/>
      <c r="FG234" s="31"/>
      <c r="FH234" s="31"/>
      <c r="FI234" s="31"/>
      <c r="FJ234" s="31"/>
      <c r="FK234" s="31"/>
      <c r="FL234" s="31"/>
      <c r="FM234" s="31"/>
      <c r="FN234" s="31"/>
      <c r="FO234" s="31"/>
      <c r="FP234" s="31"/>
      <c r="FQ234" s="31"/>
      <c r="FR234" s="31"/>
      <c r="FS234" s="31"/>
      <c r="FT234" s="31"/>
      <c r="FU234" s="31"/>
      <c r="FV234" s="31"/>
      <c r="FW234" s="31"/>
      <c r="FX234" s="31"/>
      <c r="FY234" s="31"/>
      <c r="FZ234" s="31"/>
      <c r="GA234" s="31"/>
      <c r="GB234" s="31"/>
      <c r="GC234" s="31"/>
      <c r="GD234" s="31"/>
      <c r="GE234" s="31"/>
      <c r="GF234" s="31"/>
      <c r="GG234" s="31"/>
      <c r="GH234" s="31"/>
      <c r="GI234" s="31"/>
      <c r="GJ234" s="31"/>
      <c r="GK234" s="31"/>
      <c r="GL234" s="31"/>
      <c r="GM234" s="31"/>
      <c r="GN234" s="31"/>
      <c r="GO234" s="31"/>
      <c r="GP234" s="31"/>
      <c r="GQ234" s="31"/>
      <c r="GR234" s="31"/>
      <c r="GS234" s="31"/>
      <c r="GT234" s="31"/>
      <c r="GU234" s="31"/>
      <c r="GV234" s="31"/>
      <c r="GW234" s="31"/>
      <c r="GX234" s="31"/>
      <c r="GY234" s="31"/>
      <c r="GZ234" s="31"/>
      <c r="HA234" s="31"/>
      <c r="HB234" s="31"/>
      <c r="HC234" s="31"/>
      <c r="HD234" s="31"/>
      <c r="HE234" s="31"/>
      <c r="HF234" s="31"/>
      <c r="HG234" s="31"/>
      <c r="HH234" s="31"/>
      <c r="HI234" s="31"/>
      <c r="HJ234" s="31"/>
      <c r="HK234" s="31"/>
      <c r="HL234" s="31"/>
      <c r="HM234" s="31"/>
      <c r="HN234" s="31"/>
      <c r="HO234" s="31"/>
      <c r="HP234" s="31"/>
      <c r="HQ234" s="31"/>
      <c r="HR234" s="31"/>
      <c r="HS234" s="31"/>
      <c r="HT234" s="31"/>
      <c r="HU234" s="31"/>
      <c r="HV234" s="31"/>
      <c r="HW234" s="31"/>
      <c r="HX234" s="31"/>
      <c r="HY234" s="31"/>
      <c r="HZ234" s="31"/>
      <c r="IA234" s="31"/>
      <c r="IB234" s="31"/>
      <c r="IC234" s="31"/>
      <c r="ID234" s="31"/>
      <c r="IE234" s="31"/>
      <c r="IF234" s="31"/>
      <c r="IG234" s="31"/>
      <c r="IH234" s="31"/>
      <c r="II234" s="31"/>
      <c r="IJ234" s="31"/>
      <c r="IK234" s="31"/>
      <c r="IL234" s="31"/>
      <c r="IM234" s="31"/>
      <c r="IN234" s="31"/>
      <c r="IO234" s="31"/>
      <c r="IP234" s="31"/>
      <c r="IQ234" s="31"/>
      <c r="IR234" s="31"/>
      <c r="IS234" s="31"/>
      <c r="IT234" s="31"/>
      <c r="IU234" s="31"/>
      <c r="IV234" s="31"/>
      <c r="IW234" s="31"/>
      <c r="IX234" s="31"/>
      <c r="IY234" s="31"/>
      <c r="IZ234" s="31"/>
      <c r="JA234" s="31"/>
      <c r="JB234" s="31"/>
      <c r="JC234" s="31"/>
      <c r="JD234" s="31"/>
      <c r="JE234" s="31"/>
      <c r="JF234" s="31"/>
    </row>
    <row r="235" customFormat="1" ht="17.25" spans="1:266">
      <c r="A235" s="32">
        <f>40000000+INDEX(编号表!$B:$B,MATCH(B235,编号表!$A:$A,0))*10000+C235</f>
        <v>40130008</v>
      </c>
      <c r="B235" s="27" t="s">
        <v>633</v>
      </c>
      <c r="C235" s="32">
        <v>8</v>
      </c>
      <c r="D235" s="32" t="s">
        <v>641</v>
      </c>
      <c r="E235" s="32" t="s">
        <v>617</v>
      </c>
      <c r="F235" s="31">
        <f t="shared" si="23"/>
        <v>0</v>
      </c>
      <c r="G235" s="31"/>
      <c r="H235" s="32"/>
      <c r="I235" s="32"/>
      <c r="J235" s="32">
        <f t="shared" si="22"/>
        <v>0</v>
      </c>
      <c r="K235" s="32"/>
      <c r="L235" s="32"/>
      <c r="M235" s="31"/>
      <c r="N235" s="31"/>
      <c r="O235" s="31"/>
      <c r="P235" s="32"/>
      <c r="Q235" s="32"/>
      <c r="R235" s="31"/>
      <c r="S235" s="32"/>
      <c r="T235" s="32"/>
      <c r="U235" s="31"/>
      <c r="V235" s="31"/>
      <c r="W235" s="31"/>
      <c r="X235" s="32"/>
      <c r="Y235" s="32"/>
      <c r="Z235" s="31"/>
      <c r="AA235" s="32"/>
      <c r="AB235" s="32"/>
      <c r="AC235" s="31"/>
      <c r="AD235" s="31"/>
      <c r="AE235" s="31"/>
      <c r="AF235" s="32"/>
      <c r="AG235" s="32"/>
      <c r="AH235" s="31"/>
      <c r="AI235" s="31"/>
      <c r="AJ235" s="32"/>
      <c r="AK235" s="31"/>
      <c r="AL235" s="31"/>
      <c r="AM235" s="31"/>
      <c r="AN235" s="31"/>
      <c r="AO235" s="31"/>
      <c r="AP235" s="31"/>
      <c r="AQ235" s="31"/>
      <c r="AR235" s="32"/>
      <c r="AS235" s="31"/>
      <c r="AT235" s="31"/>
      <c r="AU235" s="31"/>
      <c r="AV235" s="31"/>
      <c r="AW235" s="31"/>
      <c r="AX235" s="31"/>
      <c r="AY235" s="31"/>
      <c r="AZ235" s="32"/>
      <c r="BA235" s="31"/>
      <c r="BB235" s="31"/>
      <c r="BC235" s="31"/>
      <c r="BD235" s="31"/>
      <c r="BE235" s="31"/>
      <c r="BF235" s="31"/>
      <c r="BG235" s="31"/>
      <c r="BH235" s="32"/>
      <c r="BI235" s="31"/>
      <c r="BJ235" s="31"/>
      <c r="BK235" s="31"/>
      <c r="BL235" s="31"/>
      <c r="BM235" s="31"/>
      <c r="BN235" s="31"/>
      <c r="BO235" s="31"/>
      <c r="BP235" s="32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  <c r="DY235" s="31"/>
      <c r="DZ235" s="31"/>
      <c r="EA235" s="31"/>
      <c r="EB235" s="31"/>
      <c r="EC235" s="31"/>
      <c r="ED235" s="31"/>
      <c r="EE235" s="31"/>
      <c r="EF235" s="31"/>
      <c r="EG235" s="31"/>
      <c r="EH235" s="31"/>
      <c r="EI235" s="31"/>
      <c r="EJ235" s="31"/>
      <c r="EK235" s="31"/>
      <c r="EL235" s="31"/>
      <c r="EM235" s="31"/>
      <c r="EN235" s="31"/>
      <c r="EO235" s="31"/>
      <c r="EP235" s="31"/>
      <c r="EQ235" s="31"/>
      <c r="ER235" s="31"/>
      <c r="ES235" s="31"/>
      <c r="ET235" s="31"/>
      <c r="EU235" s="31"/>
      <c r="EV235" s="31"/>
      <c r="EW235" s="31"/>
      <c r="EX235" s="31"/>
      <c r="EY235" s="31"/>
      <c r="EZ235" s="31"/>
      <c r="FA235" s="31"/>
      <c r="FB235" s="31"/>
      <c r="FC235" s="31"/>
      <c r="FD235" s="31"/>
      <c r="FE235" s="31"/>
      <c r="FF235" s="31"/>
      <c r="FG235" s="31"/>
      <c r="FH235" s="31"/>
      <c r="FI235" s="31"/>
      <c r="FJ235" s="31"/>
      <c r="FK235" s="31"/>
      <c r="FL235" s="31"/>
      <c r="FM235" s="31"/>
      <c r="FN235" s="31"/>
      <c r="FO235" s="31"/>
      <c r="FP235" s="31"/>
      <c r="FQ235" s="31"/>
      <c r="FR235" s="31"/>
      <c r="FS235" s="31"/>
      <c r="FT235" s="31"/>
      <c r="FU235" s="31"/>
      <c r="FV235" s="31"/>
      <c r="FW235" s="31"/>
      <c r="FX235" s="31"/>
      <c r="FY235" s="31"/>
      <c r="FZ235" s="31"/>
      <c r="GA235" s="31"/>
      <c r="GB235" s="31"/>
      <c r="GC235" s="31"/>
      <c r="GD235" s="31"/>
      <c r="GE235" s="31"/>
      <c r="GF235" s="31"/>
      <c r="GG235" s="31"/>
      <c r="GH235" s="31"/>
      <c r="GI235" s="31"/>
      <c r="GJ235" s="31"/>
      <c r="GK235" s="31"/>
      <c r="GL235" s="31"/>
      <c r="GM235" s="31"/>
      <c r="GN235" s="31"/>
      <c r="GO235" s="31"/>
      <c r="GP235" s="31"/>
      <c r="GQ235" s="31"/>
      <c r="GR235" s="31"/>
      <c r="GS235" s="31"/>
      <c r="GT235" s="31"/>
      <c r="GU235" s="31"/>
      <c r="GV235" s="31"/>
      <c r="GW235" s="31"/>
      <c r="GX235" s="31"/>
      <c r="GY235" s="31"/>
      <c r="GZ235" s="31"/>
      <c r="HA235" s="31"/>
      <c r="HB235" s="31"/>
      <c r="HC235" s="31"/>
      <c r="HD235" s="31"/>
      <c r="HE235" s="31"/>
      <c r="HF235" s="31"/>
      <c r="HG235" s="31"/>
      <c r="HH235" s="31"/>
      <c r="HI235" s="31"/>
      <c r="HJ235" s="31"/>
      <c r="HK235" s="31"/>
      <c r="HL235" s="31"/>
      <c r="HM235" s="31"/>
      <c r="HN235" s="31"/>
      <c r="HO235" s="31"/>
      <c r="HP235" s="31"/>
      <c r="HQ235" s="31"/>
      <c r="HR235" s="31"/>
      <c r="HS235" s="31"/>
      <c r="HT235" s="31"/>
      <c r="HU235" s="31"/>
      <c r="HV235" s="31"/>
      <c r="HW235" s="31"/>
      <c r="HX235" s="31"/>
      <c r="HY235" s="31"/>
      <c r="HZ235" s="31"/>
      <c r="IA235" s="31"/>
      <c r="IB235" s="31"/>
      <c r="IC235" s="31"/>
      <c r="ID235" s="31"/>
      <c r="IE235" s="31"/>
      <c r="IF235" s="31"/>
      <c r="IG235" s="31"/>
      <c r="IH235" s="31"/>
      <c r="II235" s="31"/>
      <c r="IJ235" s="31"/>
      <c r="IK235" s="31"/>
      <c r="IL235" s="31"/>
      <c r="IM235" s="31"/>
      <c r="IN235" s="31"/>
      <c r="IO235" s="31"/>
      <c r="IP235" s="31"/>
      <c r="IQ235" s="31"/>
      <c r="IR235" s="31"/>
      <c r="IS235" s="31"/>
      <c r="IT235" s="31"/>
      <c r="IU235" s="31"/>
      <c r="IV235" s="31"/>
      <c r="IW235" s="31"/>
      <c r="IX235" s="31"/>
      <c r="IY235" s="31"/>
      <c r="IZ235" s="31"/>
      <c r="JA235" s="31"/>
      <c r="JB235" s="31"/>
      <c r="JC235" s="31"/>
      <c r="JD235" s="31"/>
      <c r="JE235" s="31"/>
      <c r="JF235" s="31"/>
    </row>
    <row r="236" customFormat="1" ht="17.25" spans="1:266">
      <c r="A236" s="32">
        <f>40000000+INDEX(编号表!$B:$B,MATCH(B236,编号表!$A:$A,0))*10000+C236</f>
        <v>40130009</v>
      </c>
      <c r="B236" s="27" t="s">
        <v>633</v>
      </c>
      <c r="C236" s="32">
        <v>9</v>
      </c>
      <c r="D236" s="32" t="s">
        <v>642</v>
      </c>
      <c r="E236" s="32" t="s">
        <v>617</v>
      </c>
      <c r="F236" s="31">
        <f t="shared" si="23"/>
        <v>0</v>
      </c>
      <c r="G236" s="31"/>
      <c r="H236" s="32"/>
      <c r="I236" s="32"/>
      <c r="J236" s="32">
        <f t="shared" si="22"/>
        <v>0</v>
      </c>
      <c r="K236" s="32"/>
      <c r="L236" s="32"/>
      <c r="M236" s="31"/>
      <c r="N236" s="31"/>
      <c r="O236" s="31"/>
      <c r="P236" s="32"/>
      <c r="Q236" s="32"/>
      <c r="R236" s="31"/>
      <c r="S236" s="32"/>
      <c r="T236" s="32"/>
      <c r="U236" s="31"/>
      <c r="V236" s="31"/>
      <c r="W236" s="31"/>
      <c r="X236" s="32"/>
      <c r="Y236" s="32"/>
      <c r="Z236" s="31"/>
      <c r="AA236" s="32"/>
      <c r="AB236" s="32"/>
      <c r="AC236" s="31"/>
      <c r="AD236" s="31"/>
      <c r="AE236" s="31"/>
      <c r="AF236" s="32"/>
      <c r="AG236" s="32"/>
      <c r="AH236" s="31"/>
      <c r="AI236" s="31"/>
      <c r="AJ236" s="32"/>
      <c r="AK236" s="31"/>
      <c r="AL236" s="31"/>
      <c r="AM236" s="31"/>
      <c r="AN236" s="31"/>
      <c r="AO236" s="31"/>
      <c r="AP236" s="31"/>
      <c r="AQ236" s="31"/>
      <c r="AR236" s="32"/>
      <c r="AS236" s="31"/>
      <c r="AT236" s="31"/>
      <c r="AU236" s="31"/>
      <c r="AV236" s="31"/>
      <c r="AW236" s="31"/>
      <c r="AX236" s="31"/>
      <c r="AY236" s="31"/>
      <c r="AZ236" s="32"/>
      <c r="BA236" s="31"/>
      <c r="BB236" s="31"/>
      <c r="BC236" s="31"/>
      <c r="BD236" s="31"/>
      <c r="BE236" s="31"/>
      <c r="BF236" s="31"/>
      <c r="BG236" s="31"/>
      <c r="BH236" s="32"/>
      <c r="BI236" s="31"/>
      <c r="BJ236" s="31"/>
      <c r="BK236" s="31"/>
      <c r="BL236" s="31"/>
      <c r="BM236" s="31"/>
      <c r="BN236" s="31"/>
      <c r="BO236" s="31"/>
      <c r="BP236" s="32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1"/>
      <c r="DU236" s="31"/>
      <c r="DV236" s="31"/>
      <c r="DW236" s="31"/>
      <c r="DX236" s="31"/>
      <c r="DY236" s="31"/>
      <c r="DZ236" s="31"/>
      <c r="EA236" s="31"/>
      <c r="EB236" s="31"/>
      <c r="EC236" s="31"/>
      <c r="ED236" s="31"/>
      <c r="EE236" s="31"/>
      <c r="EF236" s="31"/>
      <c r="EG236" s="31"/>
      <c r="EH236" s="31"/>
      <c r="EI236" s="31"/>
      <c r="EJ236" s="31"/>
      <c r="EK236" s="31"/>
      <c r="EL236" s="31"/>
      <c r="EM236" s="31"/>
      <c r="EN236" s="31"/>
      <c r="EO236" s="31"/>
      <c r="EP236" s="31"/>
      <c r="EQ236" s="31"/>
      <c r="ER236" s="31"/>
      <c r="ES236" s="31"/>
      <c r="ET236" s="31"/>
      <c r="EU236" s="31"/>
      <c r="EV236" s="31"/>
      <c r="EW236" s="31"/>
      <c r="EX236" s="31"/>
      <c r="EY236" s="31"/>
      <c r="EZ236" s="31"/>
      <c r="FA236" s="31"/>
      <c r="FB236" s="31"/>
      <c r="FC236" s="31"/>
      <c r="FD236" s="31"/>
      <c r="FE236" s="31"/>
      <c r="FF236" s="31"/>
      <c r="FG236" s="31"/>
      <c r="FH236" s="31"/>
      <c r="FI236" s="31"/>
      <c r="FJ236" s="31"/>
      <c r="FK236" s="31"/>
      <c r="FL236" s="31"/>
      <c r="FM236" s="31"/>
      <c r="FN236" s="31"/>
      <c r="FO236" s="31"/>
      <c r="FP236" s="31"/>
      <c r="FQ236" s="31"/>
      <c r="FR236" s="31"/>
      <c r="FS236" s="31"/>
      <c r="FT236" s="31"/>
      <c r="FU236" s="31"/>
      <c r="FV236" s="31"/>
      <c r="FW236" s="31"/>
      <c r="FX236" s="31"/>
      <c r="FY236" s="31"/>
      <c r="FZ236" s="31"/>
      <c r="GA236" s="31"/>
      <c r="GB236" s="31"/>
      <c r="GC236" s="31"/>
      <c r="GD236" s="31"/>
      <c r="GE236" s="31"/>
      <c r="GF236" s="31"/>
      <c r="GG236" s="31"/>
      <c r="GH236" s="31"/>
      <c r="GI236" s="31"/>
      <c r="GJ236" s="31"/>
      <c r="GK236" s="31"/>
      <c r="GL236" s="31"/>
      <c r="GM236" s="31"/>
      <c r="GN236" s="31"/>
      <c r="GO236" s="31"/>
      <c r="GP236" s="31"/>
      <c r="GQ236" s="31"/>
      <c r="GR236" s="31"/>
      <c r="GS236" s="31"/>
      <c r="GT236" s="31"/>
      <c r="GU236" s="31"/>
      <c r="GV236" s="31"/>
      <c r="GW236" s="31"/>
      <c r="GX236" s="31"/>
      <c r="GY236" s="31"/>
      <c r="GZ236" s="31"/>
      <c r="HA236" s="31"/>
      <c r="HB236" s="31"/>
      <c r="HC236" s="31"/>
      <c r="HD236" s="31"/>
      <c r="HE236" s="31"/>
      <c r="HF236" s="31"/>
      <c r="HG236" s="31"/>
      <c r="HH236" s="31"/>
      <c r="HI236" s="31"/>
      <c r="HJ236" s="31"/>
      <c r="HK236" s="31"/>
      <c r="HL236" s="31"/>
      <c r="HM236" s="31"/>
      <c r="HN236" s="31"/>
      <c r="HO236" s="31"/>
      <c r="HP236" s="31"/>
      <c r="HQ236" s="31"/>
      <c r="HR236" s="31"/>
      <c r="HS236" s="31"/>
      <c r="HT236" s="31"/>
      <c r="HU236" s="31"/>
      <c r="HV236" s="31"/>
      <c r="HW236" s="31"/>
      <c r="HX236" s="31"/>
      <c r="HY236" s="31"/>
      <c r="HZ236" s="31"/>
      <c r="IA236" s="31"/>
      <c r="IB236" s="31"/>
      <c r="IC236" s="31"/>
      <c r="ID236" s="31"/>
      <c r="IE236" s="31"/>
      <c r="IF236" s="31"/>
      <c r="IG236" s="31"/>
      <c r="IH236" s="31"/>
      <c r="II236" s="31"/>
      <c r="IJ236" s="31"/>
      <c r="IK236" s="31"/>
      <c r="IL236" s="31"/>
      <c r="IM236" s="31"/>
      <c r="IN236" s="31"/>
      <c r="IO236" s="31"/>
      <c r="IP236" s="31"/>
      <c r="IQ236" s="31"/>
      <c r="IR236" s="31"/>
      <c r="IS236" s="31"/>
      <c r="IT236" s="31"/>
      <c r="IU236" s="31"/>
      <c r="IV236" s="31"/>
      <c r="IW236" s="31"/>
      <c r="IX236" s="31"/>
      <c r="IY236" s="31"/>
      <c r="IZ236" s="31"/>
      <c r="JA236" s="31"/>
      <c r="JB236" s="31"/>
      <c r="JC236" s="31"/>
      <c r="JD236" s="31"/>
      <c r="JE236" s="31"/>
      <c r="JF236" s="31"/>
    </row>
    <row r="237" customFormat="1" ht="17.25" spans="1:266">
      <c r="A237" s="32">
        <f>40000000+INDEX(编号表!$B:$B,MATCH(B237,编号表!$A:$A,0))*10000+C237</f>
        <v>40130010</v>
      </c>
      <c r="B237" s="27" t="s">
        <v>633</v>
      </c>
      <c r="C237" s="32">
        <v>10</v>
      </c>
      <c r="D237" s="32" t="s">
        <v>643</v>
      </c>
      <c r="E237" s="32" t="s">
        <v>617</v>
      </c>
      <c r="F237" s="31">
        <f t="shared" si="23"/>
        <v>0</v>
      </c>
      <c r="G237" s="31"/>
      <c r="H237" s="32"/>
      <c r="I237" s="32"/>
      <c r="J237" s="32">
        <f t="shared" si="22"/>
        <v>0</v>
      </c>
      <c r="K237" s="32"/>
      <c r="L237" s="32"/>
      <c r="M237" s="31"/>
      <c r="N237" s="31"/>
      <c r="O237" s="31"/>
      <c r="P237" s="32"/>
      <c r="Q237" s="32"/>
      <c r="R237" s="31"/>
      <c r="S237" s="32"/>
      <c r="T237" s="32"/>
      <c r="U237" s="31"/>
      <c r="V237" s="31"/>
      <c r="W237" s="31"/>
      <c r="X237" s="32"/>
      <c r="Y237" s="32"/>
      <c r="Z237" s="31"/>
      <c r="AA237" s="32"/>
      <c r="AB237" s="32"/>
      <c r="AC237" s="31"/>
      <c r="AD237" s="31"/>
      <c r="AE237" s="31"/>
      <c r="AF237" s="32"/>
      <c r="AG237" s="32"/>
      <c r="AH237" s="31"/>
      <c r="AI237" s="31"/>
      <c r="AJ237" s="32"/>
      <c r="AK237" s="31"/>
      <c r="AL237" s="31"/>
      <c r="AM237" s="31"/>
      <c r="AN237" s="31"/>
      <c r="AO237" s="31"/>
      <c r="AP237" s="31"/>
      <c r="AQ237" s="31"/>
      <c r="AR237" s="32"/>
      <c r="AS237" s="31"/>
      <c r="AT237" s="31"/>
      <c r="AU237" s="31"/>
      <c r="AV237" s="31"/>
      <c r="AW237" s="31"/>
      <c r="AX237" s="31"/>
      <c r="AY237" s="31"/>
      <c r="AZ237" s="32"/>
      <c r="BA237" s="31"/>
      <c r="BB237" s="31"/>
      <c r="BC237" s="31"/>
      <c r="BD237" s="31"/>
      <c r="BE237" s="31"/>
      <c r="BF237" s="31"/>
      <c r="BG237" s="31"/>
      <c r="BH237" s="32"/>
      <c r="BI237" s="31"/>
      <c r="BJ237" s="31"/>
      <c r="BK237" s="31"/>
      <c r="BL237" s="31"/>
      <c r="BM237" s="31"/>
      <c r="BN237" s="31"/>
      <c r="BO237" s="31"/>
      <c r="BP237" s="32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  <c r="HI237" s="31"/>
      <c r="HJ237" s="31"/>
      <c r="HK237" s="31"/>
      <c r="HL237" s="31"/>
      <c r="HM237" s="31"/>
      <c r="HN237" s="31"/>
      <c r="HO237" s="31"/>
      <c r="HP237" s="31"/>
      <c r="HQ237" s="31"/>
      <c r="HR237" s="31"/>
      <c r="HS237" s="31"/>
      <c r="HT237" s="31"/>
      <c r="HU237" s="31"/>
      <c r="HV237" s="31"/>
      <c r="HW237" s="31"/>
      <c r="HX237" s="31"/>
      <c r="HY237" s="31"/>
      <c r="HZ237" s="31"/>
      <c r="IA237" s="31"/>
      <c r="IB237" s="31"/>
      <c r="IC237" s="31"/>
      <c r="ID237" s="31"/>
      <c r="IE237" s="31"/>
      <c r="IF237" s="31"/>
      <c r="IG237" s="31"/>
      <c r="IH237" s="31"/>
      <c r="II237" s="31"/>
      <c r="IJ237" s="31"/>
      <c r="IK237" s="31"/>
      <c r="IL237" s="31"/>
      <c r="IM237" s="31"/>
      <c r="IN237" s="31"/>
      <c r="IO237" s="31"/>
      <c r="IP237" s="31"/>
      <c r="IQ237" s="31"/>
      <c r="IR237" s="31"/>
      <c r="IS237" s="31"/>
      <c r="IT237" s="31"/>
      <c r="IU237" s="31"/>
      <c r="IV237" s="31"/>
      <c r="IW237" s="31"/>
      <c r="IX237" s="31"/>
      <c r="IY237" s="31"/>
      <c r="IZ237" s="31"/>
      <c r="JA237" s="31"/>
      <c r="JB237" s="31"/>
      <c r="JC237" s="31"/>
      <c r="JD237" s="31"/>
      <c r="JE237" s="31"/>
      <c r="JF237" s="31"/>
    </row>
    <row r="238" customFormat="1" ht="17.25" spans="1:266">
      <c r="A238" s="32">
        <f>40000000+INDEX(编号表!$B:$B,MATCH(B238,编号表!$A:$A,0))*10000+C238</f>
        <v>40130011</v>
      </c>
      <c r="B238" s="27" t="s">
        <v>633</v>
      </c>
      <c r="C238" s="32">
        <v>11</v>
      </c>
      <c r="D238" s="32" t="s">
        <v>644</v>
      </c>
      <c r="E238" s="32" t="s">
        <v>617</v>
      </c>
      <c r="F238" s="31">
        <f t="shared" si="23"/>
        <v>0</v>
      </c>
      <c r="G238" s="31"/>
      <c r="H238" s="32"/>
      <c r="I238" s="32"/>
      <c r="J238" s="32">
        <f t="shared" si="22"/>
        <v>0</v>
      </c>
      <c r="K238" s="32"/>
      <c r="L238" s="32"/>
      <c r="M238" s="31"/>
      <c r="N238" s="31"/>
      <c r="O238" s="31"/>
      <c r="P238" s="32"/>
      <c r="Q238" s="32"/>
      <c r="R238" s="31"/>
      <c r="S238" s="32"/>
      <c r="T238" s="32"/>
      <c r="U238" s="31"/>
      <c r="V238" s="31"/>
      <c r="W238" s="31"/>
      <c r="X238" s="32"/>
      <c r="Y238" s="32"/>
      <c r="Z238" s="31"/>
      <c r="AA238" s="32"/>
      <c r="AB238" s="32"/>
      <c r="AC238" s="31"/>
      <c r="AD238" s="31"/>
      <c r="AE238" s="31"/>
      <c r="AF238" s="32"/>
      <c r="AG238" s="32"/>
      <c r="AH238" s="31"/>
      <c r="AI238" s="31"/>
      <c r="AJ238" s="32"/>
      <c r="AK238" s="31"/>
      <c r="AL238" s="31"/>
      <c r="AM238" s="31"/>
      <c r="AN238" s="31"/>
      <c r="AO238" s="31"/>
      <c r="AP238" s="31"/>
      <c r="AQ238" s="31"/>
      <c r="AR238" s="32"/>
      <c r="AS238" s="31"/>
      <c r="AT238" s="31"/>
      <c r="AU238" s="31"/>
      <c r="AV238" s="31"/>
      <c r="AW238" s="31"/>
      <c r="AX238" s="31"/>
      <c r="AY238" s="31"/>
      <c r="AZ238" s="32"/>
      <c r="BA238" s="31"/>
      <c r="BB238" s="31"/>
      <c r="BC238" s="31"/>
      <c r="BD238" s="31"/>
      <c r="BE238" s="31"/>
      <c r="BF238" s="31"/>
      <c r="BG238" s="31"/>
      <c r="BH238" s="32"/>
      <c r="BI238" s="31"/>
      <c r="BJ238" s="31"/>
      <c r="BK238" s="31"/>
      <c r="BL238" s="31"/>
      <c r="BM238" s="31"/>
      <c r="BN238" s="31"/>
      <c r="BO238" s="31"/>
      <c r="BP238" s="32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1"/>
      <c r="DU238" s="31"/>
      <c r="DV238" s="31"/>
      <c r="DW238" s="31"/>
      <c r="DX238" s="31"/>
      <c r="DY238" s="31"/>
      <c r="DZ238" s="31"/>
      <c r="EA238" s="31"/>
      <c r="EB238" s="31"/>
      <c r="EC238" s="31"/>
      <c r="ED238" s="31"/>
      <c r="EE238" s="31"/>
      <c r="EF238" s="31"/>
      <c r="EG238" s="31"/>
      <c r="EH238" s="31"/>
      <c r="EI238" s="31"/>
      <c r="EJ238" s="31"/>
      <c r="EK238" s="31"/>
      <c r="EL238" s="31"/>
      <c r="EM238" s="31"/>
      <c r="EN238" s="31"/>
      <c r="EO238" s="31"/>
      <c r="EP238" s="31"/>
      <c r="EQ238" s="31"/>
      <c r="ER238" s="31"/>
      <c r="ES238" s="31"/>
      <c r="ET238" s="31"/>
      <c r="EU238" s="31"/>
      <c r="EV238" s="31"/>
      <c r="EW238" s="31"/>
      <c r="EX238" s="31"/>
      <c r="EY238" s="31"/>
      <c r="EZ238" s="31"/>
      <c r="FA238" s="31"/>
      <c r="FB238" s="31"/>
      <c r="FC238" s="31"/>
      <c r="FD238" s="31"/>
      <c r="FE238" s="31"/>
      <c r="FF238" s="31"/>
      <c r="FG238" s="31"/>
      <c r="FH238" s="31"/>
      <c r="FI238" s="31"/>
      <c r="FJ238" s="31"/>
      <c r="FK238" s="31"/>
      <c r="FL238" s="31"/>
      <c r="FM238" s="31"/>
      <c r="FN238" s="31"/>
      <c r="FO238" s="31"/>
      <c r="FP238" s="31"/>
      <c r="FQ238" s="31"/>
      <c r="FR238" s="31"/>
      <c r="FS238" s="31"/>
      <c r="FT238" s="31"/>
      <c r="FU238" s="31"/>
      <c r="FV238" s="31"/>
      <c r="FW238" s="31"/>
      <c r="FX238" s="31"/>
      <c r="FY238" s="31"/>
      <c r="FZ238" s="31"/>
      <c r="GA238" s="31"/>
      <c r="GB238" s="31"/>
      <c r="GC238" s="31"/>
      <c r="GD238" s="31"/>
      <c r="GE238" s="31"/>
      <c r="GF238" s="31"/>
      <c r="GG238" s="31"/>
      <c r="GH238" s="31"/>
      <c r="GI238" s="31"/>
      <c r="GJ238" s="31"/>
      <c r="GK238" s="31"/>
      <c r="GL238" s="31"/>
      <c r="GM238" s="31"/>
      <c r="GN238" s="31"/>
      <c r="GO238" s="31"/>
      <c r="GP238" s="31"/>
      <c r="GQ238" s="31"/>
      <c r="GR238" s="31"/>
      <c r="GS238" s="31"/>
      <c r="GT238" s="31"/>
      <c r="GU238" s="31"/>
      <c r="GV238" s="31"/>
      <c r="GW238" s="31"/>
      <c r="GX238" s="31"/>
      <c r="GY238" s="31"/>
      <c r="GZ238" s="31"/>
      <c r="HA238" s="31"/>
      <c r="HB238" s="31"/>
      <c r="HC238" s="31"/>
      <c r="HD238" s="31"/>
      <c r="HE238" s="31"/>
      <c r="HF238" s="31"/>
      <c r="HG238" s="31"/>
      <c r="HH238" s="31"/>
      <c r="HI238" s="31"/>
      <c r="HJ238" s="31"/>
      <c r="HK238" s="31"/>
      <c r="HL238" s="31"/>
      <c r="HM238" s="31"/>
      <c r="HN238" s="31"/>
      <c r="HO238" s="31"/>
      <c r="HP238" s="31"/>
      <c r="HQ238" s="31"/>
      <c r="HR238" s="31"/>
      <c r="HS238" s="31"/>
      <c r="HT238" s="31"/>
      <c r="HU238" s="31"/>
      <c r="HV238" s="31"/>
      <c r="HW238" s="31"/>
      <c r="HX238" s="31"/>
      <c r="HY238" s="31"/>
      <c r="HZ238" s="31"/>
      <c r="IA238" s="31"/>
      <c r="IB238" s="31"/>
      <c r="IC238" s="31"/>
      <c r="ID238" s="31"/>
      <c r="IE238" s="31"/>
      <c r="IF238" s="31"/>
      <c r="IG238" s="31"/>
      <c r="IH238" s="31"/>
      <c r="II238" s="31"/>
      <c r="IJ238" s="31"/>
      <c r="IK238" s="31"/>
      <c r="IL238" s="31"/>
      <c r="IM238" s="31"/>
      <c r="IN238" s="31"/>
      <c r="IO238" s="31"/>
      <c r="IP238" s="31"/>
      <c r="IQ238" s="31"/>
      <c r="IR238" s="31"/>
      <c r="IS238" s="31"/>
      <c r="IT238" s="31"/>
      <c r="IU238" s="31"/>
      <c r="IV238" s="31"/>
      <c r="IW238" s="31"/>
      <c r="IX238" s="31"/>
      <c r="IY238" s="31"/>
      <c r="IZ238" s="31"/>
      <c r="JA238" s="31"/>
      <c r="JB238" s="31"/>
      <c r="JC238" s="31"/>
      <c r="JD238" s="31"/>
      <c r="JE238" s="31"/>
      <c r="JF238" s="31"/>
    </row>
    <row r="239" customFormat="1" ht="17.25" spans="1:266">
      <c r="A239" s="32">
        <f>40000000+INDEX(编号表!$B:$B,MATCH(B239,编号表!$A:$A,0))*10000+C239</f>
        <v>40130012</v>
      </c>
      <c r="B239" s="27" t="s">
        <v>633</v>
      </c>
      <c r="C239" s="32">
        <v>12</v>
      </c>
      <c r="D239" s="32" t="s">
        <v>645</v>
      </c>
      <c r="E239" s="32" t="s">
        <v>617</v>
      </c>
      <c r="F239" s="31">
        <f t="shared" si="23"/>
        <v>0</v>
      </c>
      <c r="G239" s="31"/>
      <c r="H239" s="32"/>
      <c r="I239" s="32"/>
      <c r="J239" s="32">
        <f t="shared" si="22"/>
        <v>0</v>
      </c>
      <c r="K239" s="32"/>
      <c r="L239" s="32"/>
      <c r="M239" s="31"/>
      <c r="N239" s="31"/>
      <c r="O239" s="31"/>
      <c r="P239" s="32"/>
      <c r="Q239" s="32"/>
      <c r="R239" s="31"/>
      <c r="S239" s="32"/>
      <c r="T239" s="32"/>
      <c r="U239" s="31"/>
      <c r="V239" s="31"/>
      <c r="W239" s="31"/>
      <c r="X239" s="32"/>
      <c r="Y239" s="32"/>
      <c r="Z239" s="31"/>
      <c r="AA239" s="32"/>
      <c r="AB239" s="32"/>
      <c r="AC239" s="31"/>
      <c r="AD239" s="31"/>
      <c r="AE239" s="31"/>
      <c r="AF239" s="32"/>
      <c r="AG239" s="32"/>
      <c r="AH239" s="31"/>
      <c r="AI239" s="31"/>
      <c r="AJ239" s="32"/>
      <c r="AK239" s="31"/>
      <c r="AL239" s="31"/>
      <c r="AM239" s="31"/>
      <c r="AN239" s="31"/>
      <c r="AO239" s="31"/>
      <c r="AP239" s="31"/>
      <c r="AQ239" s="31"/>
      <c r="AR239" s="32"/>
      <c r="AS239" s="31"/>
      <c r="AT239" s="31"/>
      <c r="AU239" s="31"/>
      <c r="AV239" s="31"/>
      <c r="AW239" s="31"/>
      <c r="AX239" s="31"/>
      <c r="AY239" s="31"/>
      <c r="AZ239" s="32"/>
      <c r="BA239" s="31"/>
      <c r="BB239" s="31"/>
      <c r="BC239" s="31"/>
      <c r="BD239" s="31"/>
      <c r="BE239" s="31"/>
      <c r="BF239" s="31"/>
      <c r="BG239" s="31"/>
      <c r="BH239" s="32"/>
      <c r="BI239" s="31"/>
      <c r="BJ239" s="31"/>
      <c r="BK239" s="31"/>
      <c r="BL239" s="31"/>
      <c r="BM239" s="31"/>
      <c r="BN239" s="31"/>
      <c r="BO239" s="31"/>
      <c r="BP239" s="32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1"/>
      <c r="EH239" s="31"/>
      <c r="EI239" s="31"/>
      <c r="EJ239" s="31"/>
      <c r="EK239" s="31"/>
      <c r="EL239" s="31"/>
      <c r="EM239" s="31"/>
      <c r="EN239" s="31"/>
      <c r="EO239" s="31"/>
      <c r="EP239" s="31"/>
      <c r="EQ239" s="31"/>
      <c r="ER239" s="31"/>
      <c r="ES239" s="31"/>
      <c r="ET239" s="31"/>
      <c r="EU239" s="31"/>
      <c r="EV239" s="31"/>
      <c r="EW239" s="31"/>
      <c r="EX239" s="31"/>
      <c r="EY239" s="31"/>
      <c r="EZ239" s="31"/>
      <c r="FA239" s="31"/>
      <c r="FB239" s="31"/>
      <c r="FC239" s="31"/>
      <c r="FD239" s="31"/>
      <c r="FE239" s="31"/>
      <c r="FF239" s="31"/>
      <c r="FG239" s="31"/>
      <c r="FH239" s="31"/>
      <c r="FI239" s="31"/>
      <c r="FJ239" s="31"/>
      <c r="FK239" s="31"/>
      <c r="FL239" s="31"/>
      <c r="FM239" s="31"/>
      <c r="FN239" s="31"/>
      <c r="FO239" s="31"/>
      <c r="FP239" s="31"/>
      <c r="FQ239" s="31"/>
      <c r="FR239" s="31"/>
      <c r="FS239" s="31"/>
      <c r="FT239" s="31"/>
      <c r="FU239" s="31"/>
      <c r="FV239" s="31"/>
      <c r="FW239" s="31"/>
      <c r="FX239" s="31"/>
      <c r="FY239" s="31"/>
      <c r="FZ239" s="31"/>
      <c r="GA239" s="31"/>
      <c r="GB239" s="31"/>
      <c r="GC239" s="31"/>
      <c r="GD239" s="31"/>
      <c r="GE239" s="31"/>
      <c r="GF239" s="31"/>
      <c r="GG239" s="31"/>
      <c r="GH239" s="31"/>
      <c r="GI239" s="31"/>
      <c r="GJ239" s="31"/>
      <c r="GK239" s="31"/>
      <c r="GL239" s="31"/>
      <c r="GM239" s="31"/>
      <c r="GN239" s="31"/>
      <c r="GO239" s="31"/>
      <c r="GP239" s="31"/>
      <c r="GQ239" s="31"/>
      <c r="GR239" s="31"/>
      <c r="GS239" s="31"/>
      <c r="GT239" s="31"/>
      <c r="GU239" s="31"/>
      <c r="GV239" s="31"/>
      <c r="GW239" s="31"/>
      <c r="GX239" s="31"/>
      <c r="GY239" s="31"/>
      <c r="GZ239" s="31"/>
      <c r="HA239" s="31"/>
      <c r="HB239" s="31"/>
      <c r="HC239" s="31"/>
      <c r="HD239" s="31"/>
      <c r="HE239" s="31"/>
      <c r="HF239" s="31"/>
      <c r="HG239" s="31"/>
      <c r="HH239" s="31"/>
      <c r="HI239" s="31"/>
      <c r="HJ239" s="31"/>
      <c r="HK239" s="31"/>
      <c r="HL239" s="31"/>
      <c r="HM239" s="31"/>
      <c r="HN239" s="31"/>
      <c r="HO239" s="31"/>
      <c r="HP239" s="31"/>
      <c r="HQ239" s="31"/>
      <c r="HR239" s="31"/>
      <c r="HS239" s="31"/>
      <c r="HT239" s="31"/>
      <c r="HU239" s="31"/>
      <c r="HV239" s="31"/>
      <c r="HW239" s="31"/>
      <c r="HX239" s="31"/>
      <c r="HY239" s="31"/>
      <c r="HZ239" s="31"/>
      <c r="IA239" s="31"/>
      <c r="IB239" s="31"/>
      <c r="IC239" s="31"/>
      <c r="ID239" s="31"/>
      <c r="IE239" s="31"/>
      <c r="IF239" s="31"/>
      <c r="IG239" s="31"/>
      <c r="IH239" s="31"/>
      <c r="II239" s="31"/>
      <c r="IJ239" s="31"/>
      <c r="IK239" s="31"/>
      <c r="IL239" s="31"/>
      <c r="IM239" s="31"/>
      <c r="IN239" s="31"/>
      <c r="IO239" s="31"/>
      <c r="IP239" s="31"/>
      <c r="IQ239" s="31"/>
      <c r="IR239" s="31"/>
      <c r="IS239" s="31"/>
      <c r="IT239" s="31"/>
      <c r="IU239" s="31"/>
      <c r="IV239" s="31"/>
      <c r="IW239" s="31"/>
      <c r="IX239" s="31"/>
      <c r="IY239" s="31"/>
      <c r="IZ239" s="31"/>
      <c r="JA239" s="31"/>
      <c r="JB239" s="31"/>
      <c r="JC239" s="31"/>
      <c r="JD239" s="31"/>
      <c r="JE239" s="31"/>
      <c r="JF239" s="31"/>
    </row>
    <row r="240" s="29" customFormat="1" ht="17.25" spans="1:266">
      <c r="A240" s="33">
        <f>40000000+INDEX(编号表!$B:$B,MATCH(B240,编号表!$A:$A,0))*10000+C240</f>
        <v>40140001</v>
      </c>
      <c r="B240" s="34" t="s">
        <v>646</v>
      </c>
      <c r="C240" s="33">
        <v>1</v>
      </c>
      <c r="D240" s="32" t="s">
        <v>647</v>
      </c>
      <c r="E240" s="32" t="s">
        <v>437</v>
      </c>
      <c r="F240" s="31">
        <f t="shared" si="23"/>
        <v>72000000</v>
      </c>
      <c r="G240" s="36"/>
      <c r="H240" s="36"/>
      <c r="I240" s="36"/>
      <c r="J240" s="33">
        <f t="shared" si="22"/>
        <v>11</v>
      </c>
      <c r="K240" s="36">
        <v>40010018</v>
      </c>
      <c r="L240" s="32" t="str" cm="1">
        <f t="array" ref="L240">INDEX($D:$D,MATCH(K240,$A:$A,0))</f>
        <v>5级精英金币150</v>
      </c>
      <c r="M240" s="36"/>
      <c r="N240" s="36"/>
      <c r="O240" s="36"/>
      <c r="P240" s="32">
        <v>26000000</v>
      </c>
      <c r="Q240" s="36">
        <v>1</v>
      </c>
      <c r="R240" s="36"/>
      <c r="S240" s="36">
        <v>40020001</v>
      </c>
      <c r="T240" s="32" t="str" cm="1">
        <f t="array" ref="T240">INDEX($D:$D,MATCH(S240,$A:$A,0))</f>
        <v>5级精英灵符5</v>
      </c>
      <c r="U240" s="36"/>
      <c r="V240" s="36"/>
      <c r="W240" s="36"/>
      <c r="X240" s="32">
        <v>5000000</v>
      </c>
      <c r="Y240" s="36">
        <v>1</v>
      </c>
      <c r="Z240" s="36"/>
      <c r="AA240" s="32">
        <v>40050001</v>
      </c>
      <c r="AB240" s="32" t="str" cm="1">
        <f t="array" ref="AB240">INDEX($D:$D,MATCH(AA240,$A:$A,0))</f>
        <v>前10级六格</v>
      </c>
      <c r="AC240" s="36"/>
      <c r="AD240" s="36"/>
      <c r="AE240" s="36"/>
      <c r="AF240" s="32">
        <v>12000000</v>
      </c>
      <c r="AG240" s="36">
        <v>1</v>
      </c>
      <c r="AH240" s="36"/>
      <c r="AI240" s="15">
        <v>40030001</v>
      </c>
      <c r="AJ240" s="32" t="str" cm="1">
        <f t="array" ref="AJ240">INDEX($D:$D,MATCH(AI240,$A:$A,0))</f>
        <v>前10级装备</v>
      </c>
      <c r="AK240" s="36"/>
      <c r="AL240" s="36"/>
      <c r="AM240" s="36"/>
      <c r="AN240" s="32">
        <v>8000000</v>
      </c>
      <c r="AO240" s="36">
        <v>1</v>
      </c>
      <c r="AP240" s="36"/>
      <c r="AQ240" s="15">
        <v>40040001</v>
      </c>
      <c r="AR240" s="32" t="str" cm="1">
        <f t="array" ref="AR240">INDEX($D:$D,MATCH(AQ240,$A:$A,0))</f>
        <v>前10级四格</v>
      </c>
      <c r="AS240" s="36"/>
      <c r="AT240" s="36"/>
      <c r="AU240" s="36"/>
      <c r="AV240" s="32">
        <v>5000000</v>
      </c>
      <c r="AW240" s="36">
        <v>1</v>
      </c>
      <c r="AX240" s="36"/>
      <c r="AY240" s="15"/>
      <c r="AZ240" s="32"/>
      <c r="BA240" s="36"/>
      <c r="BB240" s="36"/>
      <c r="BC240" s="36"/>
      <c r="BD240" s="32">
        <v>8000000</v>
      </c>
      <c r="BE240" s="36">
        <v>1</v>
      </c>
      <c r="BF240" s="36"/>
      <c r="BG240" s="32">
        <v>40160001</v>
      </c>
      <c r="BH240" s="32" t="str" cm="1">
        <f t="array" ref="BH240">INDEX($D:$D,MATCH(BG240,$A:$A,0))</f>
        <v>战士技能书</v>
      </c>
      <c r="BI240" s="36"/>
      <c r="BJ240" s="36"/>
      <c r="BK240" s="36"/>
      <c r="BL240" s="32">
        <v>4000000</v>
      </c>
      <c r="BM240" s="36">
        <v>1</v>
      </c>
      <c r="BN240" s="36"/>
      <c r="BO240" s="32">
        <v>40160002</v>
      </c>
      <c r="BP240" s="32" t="str" cm="1">
        <f t="array" ref="BP240">INDEX($D:$D,MATCH(BO240,$A:$A,0))</f>
        <v>法师技能书</v>
      </c>
      <c r="BQ240" s="36"/>
      <c r="BR240" s="36"/>
      <c r="BS240" s="36"/>
      <c r="BT240" s="32">
        <v>4000000</v>
      </c>
      <c r="BU240" s="36">
        <v>1</v>
      </c>
      <c r="BV240" s="36"/>
      <c r="BW240" s="32">
        <v>40160003</v>
      </c>
      <c r="BX240" s="32" t="str" cm="1">
        <f t="array" ref="BX240">INDEX($D:$D,MATCH(BW240,$A:$A,0))</f>
        <v>道士技能数</v>
      </c>
      <c r="BY240" s="36"/>
      <c r="BZ240" s="36"/>
      <c r="CA240" s="36"/>
      <c r="CB240" s="32">
        <v>4000000</v>
      </c>
      <c r="CC240" s="36">
        <v>1</v>
      </c>
      <c r="CD240" s="32"/>
      <c r="CE240" s="32">
        <v>40160004</v>
      </c>
      <c r="CF240" s="32" t="str" cm="1">
        <f t="array" ref="CF240">INDEX($D:$D,MATCH(CE240,$A:$A,0))</f>
        <v>珍惜道具</v>
      </c>
      <c r="CG240" s="36"/>
      <c r="CH240" s="36"/>
      <c r="CI240" s="36"/>
      <c r="CJ240" s="32">
        <v>4000000</v>
      </c>
      <c r="CK240" s="36">
        <v>1</v>
      </c>
      <c r="CL240" s="36"/>
      <c r="CM240" s="32">
        <v>40160005</v>
      </c>
      <c r="CN240" s="32" t="str" cm="1">
        <f t="array" ref="CN240">INDEX($D:$D,MATCH(CM240,$A:$A,0))</f>
        <v>杂货道具</v>
      </c>
      <c r="CO240" s="36"/>
      <c r="CP240" s="36"/>
      <c r="CQ240" s="36"/>
      <c r="CR240" s="32">
        <v>4000000</v>
      </c>
      <c r="CS240" s="36">
        <v>1</v>
      </c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6"/>
      <c r="EG240" s="36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6"/>
      <c r="EX240" s="36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6"/>
      <c r="FO240" s="36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6"/>
      <c r="GF240" s="36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6"/>
      <c r="GW240" s="36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6"/>
      <c r="HN240" s="36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6"/>
      <c r="IE240" s="36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6"/>
      <c r="IV240" s="36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</row>
    <row r="241" s="29" customFormat="1" ht="17.25" spans="1:266">
      <c r="A241" s="33">
        <f>40000000+INDEX(编号表!$B:$B,MATCH(B241,编号表!$A:$A,0))*10000+C241</f>
        <v>40140002</v>
      </c>
      <c r="B241" s="34" t="s">
        <v>646</v>
      </c>
      <c r="C241" s="33">
        <v>2</v>
      </c>
      <c r="D241" s="32" t="s">
        <v>648</v>
      </c>
      <c r="E241" s="32" t="s">
        <v>437</v>
      </c>
      <c r="F241" s="31">
        <f t="shared" si="23"/>
        <v>72000000</v>
      </c>
      <c r="G241" s="36"/>
      <c r="H241" s="36"/>
      <c r="I241" s="36"/>
      <c r="J241" s="33">
        <f t="shared" si="22"/>
        <v>11</v>
      </c>
      <c r="K241" s="36">
        <v>40010019</v>
      </c>
      <c r="L241" s="32" t="str" cm="1">
        <f t="array" ref="L241">INDEX($D:$D,MATCH(K241,$A:$A,0))</f>
        <v>10级精英金币300</v>
      </c>
      <c r="M241" s="36"/>
      <c r="N241" s="36"/>
      <c r="O241" s="36"/>
      <c r="P241" s="32">
        <v>26000000</v>
      </c>
      <c r="Q241" s="36">
        <v>1</v>
      </c>
      <c r="R241" s="36"/>
      <c r="S241" s="36">
        <v>40020002</v>
      </c>
      <c r="T241" s="32" t="str" cm="1">
        <f t="array" ref="T241">INDEX($D:$D,MATCH(S241,$A:$A,0))</f>
        <v>10级精英灵符10</v>
      </c>
      <c r="U241" s="36"/>
      <c r="V241" s="36"/>
      <c r="W241" s="36"/>
      <c r="X241" s="32">
        <v>5000000</v>
      </c>
      <c r="Y241" s="36">
        <v>1</v>
      </c>
      <c r="Z241" s="36"/>
      <c r="AA241" s="32">
        <v>40050002</v>
      </c>
      <c r="AB241" s="32" t="str" cm="1">
        <f t="array" ref="AB241">INDEX($D:$D,MATCH(AA241,$A:$A,0))</f>
        <v>11到20级六格</v>
      </c>
      <c r="AC241" s="36"/>
      <c r="AD241" s="36"/>
      <c r="AE241" s="36"/>
      <c r="AF241" s="32">
        <v>12000000</v>
      </c>
      <c r="AG241" s="36">
        <v>1</v>
      </c>
      <c r="AH241" s="36"/>
      <c r="AI241" s="15">
        <v>40030002</v>
      </c>
      <c r="AJ241" s="32" t="str" cm="1">
        <f t="array" ref="AJ241">INDEX($D:$D,MATCH(AI241,$A:$A,0))</f>
        <v>11到20级装备</v>
      </c>
      <c r="AK241" s="36"/>
      <c r="AL241" s="36"/>
      <c r="AM241" s="36"/>
      <c r="AN241" s="32">
        <v>8000000</v>
      </c>
      <c r="AO241" s="36">
        <v>1</v>
      </c>
      <c r="AP241" s="36"/>
      <c r="AQ241" s="15">
        <v>40040002</v>
      </c>
      <c r="AR241" s="32" t="str" cm="1">
        <f t="array" ref="AR241">INDEX($D:$D,MATCH(AQ241,$A:$A,0))</f>
        <v>11到20级四格</v>
      </c>
      <c r="AS241" s="36"/>
      <c r="AT241" s="36"/>
      <c r="AU241" s="36"/>
      <c r="AV241" s="32">
        <v>5000000</v>
      </c>
      <c r="AW241" s="36">
        <v>1</v>
      </c>
      <c r="AX241" s="36"/>
      <c r="AY241" s="15"/>
      <c r="AZ241" s="32"/>
      <c r="BA241" s="36"/>
      <c r="BB241" s="36"/>
      <c r="BC241" s="36"/>
      <c r="BD241" s="32">
        <v>8000000</v>
      </c>
      <c r="BE241" s="36">
        <v>1</v>
      </c>
      <c r="BF241" s="36"/>
      <c r="BG241" s="32">
        <v>40160001</v>
      </c>
      <c r="BH241" s="32" t="str" cm="1">
        <f t="array" ref="BH241">INDEX($D:$D,MATCH(BG241,$A:$A,0))</f>
        <v>战士技能书</v>
      </c>
      <c r="BI241" s="36"/>
      <c r="BJ241" s="36"/>
      <c r="BK241" s="36"/>
      <c r="BL241" s="32">
        <v>4000000</v>
      </c>
      <c r="BM241" s="36">
        <v>1</v>
      </c>
      <c r="BN241" s="36"/>
      <c r="BO241" s="32">
        <v>40160002</v>
      </c>
      <c r="BP241" s="32" t="str" cm="1">
        <f t="array" ref="BP241">INDEX($D:$D,MATCH(BO241,$A:$A,0))</f>
        <v>法师技能书</v>
      </c>
      <c r="BQ241" s="36"/>
      <c r="BR241" s="36"/>
      <c r="BS241" s="36"/>
      <c r="BT241" s="32">
        <v>4000000</v>
      </c>
      <c r="BU241" s="36">
        <v>1</v>
      </c>
      <c r="BV241" s="36"/>
      <c r="BW241" s="32">
        <v>40160003</v>
      </c>
      <c r="BX241" s="32" t="str" cm="1">
        <f t="array" ref="BX241">INDEX($D:$D,MATCH(BW241,$A:$A,0))</f>
        <v>道士技能数</v>
      </c>
      <c r="BY241" s="36"/>
      <c r="BZ241" s="36"/>
      <c r="CA241" s="36"/>
      <c r="CB241" s="32">
        <v>4000000</v>
      </c>
      <c r="CC241" s="36">
        <v>1</v>
      </c>
      <c r="CD241" s="32"/>
      <c r="CE241" s="32">
        <v>40160004</v>
      </c>
      <c r="CF241" s="32" t="str" cm="1">
        <f t="array" ref="CF241">INDEX($D:$D,MATCH(CE241,$A:$A,0))</f>
        <v>珍惜道具</v>
      </c>
      <c r="CG241" s="36"/>
      <c r="CH241" s="36"/>
      <c r="CI241" s="36"/>
      <c r="CJ241" s="32">
        <v>4000000</v>
      </c>
      <c r="CK241" s="36">
        <v>1</v>
      </c>
      <c r="CL241" s="36"/>
      <c r="CM241" s="32">
        <v>40160005</v>
      </c>
      <c r="CN241" s="32" t="str" cm="1">
        <f t="array" ref="CN241">INDEX($D:$D,MATCH(CM241,$A:$A,0))</f>
        <v>杂货道具</v>
      </c>
      <c r="CO241" s="36"/>
      <c r="CP241" s="36"/>
      <c r="CQ241" s="36"/>
      <c r="CR241" s="32">
        <v>4000000</v>
      </c>
      <c r="CS241" s="36">
        <v>1</v>
      </c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6"/>
      <c r="EG241" s="36"/>
      <c r="EH241" s="36"/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/>
      <c r="EW241" s="36"/>
      <c r="EX241" s="36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6"/>
      <c r="FO241" s="36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6"/>
      <c r="GF241" s="36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6"/>
      <c r="GW241" s="36"/>
      <c r="GX241" s="36"/>
      <c r="GY241" s="36"/>
      <c r="GZ241" s="36"/>
      <c r="HA241" s="36"/>
      <c r="HB241" s="36"/>
      <c r="HC241" s="36"/>
      <c r="HD241" s="36"/>
      <c r="HE241" s="36"/>
      <c r="HF241" s="36"/>
      <c r="HG241" s="36"/>
      <c r="HH241" s="36"/>
      <c r="HI241" s="36"/>
      <c r="HJ241" s="36"/>
      <c r="HK241" s="36"/>
      <c r="HL241" s="36"/>
      <c r="HM241" s="36"/>
      <c r="HN241" s="36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/>
      <c r="IB241" s="36"/>
      <c r="IC241" s="36"/>
      <c r="ID241" s="36"/>
      <c r="IE241" s="36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6"/>
      <c r="IV241" s="36"/>
      <c r="IW241" s="36"/>
      <c r="IX241" s="36"/>
      <c r="IY241" s="36"/>
      <c r="IZ241" s="36"/>
      <c r="JA241" s="36"/>
      <c r="JB241" s="36"/>
      <c r="JC241" s="36"/>
      <c r="JD241" s="36"/>
      <c r="JE241" s="36"/>
      <c r="JF241" s="36"/>
    </row>
    <row r="242" s="29" customFormat="1" ht="17.25" spans="1:266">
      <c r="A242" s="33">
        <f>40000000+INDEX(编号表!$B:$B,MATCH(B242,编号表!$A:$A,0))*10000+C242</f>
        <v>40140003</v>
      </c>
      <c r="B242" s="34" t="s">
        <v>646</v>
      </c>
      <c r="C242" s="33">
        <v>3</v>
      </c>
      <c r="D242" s="32" t="s">
        <v>649</v>
      </c>
      <c r="E242" s="32" t="s">
        <v>437</v>
      </c>
      <c r="F242" s="31">
        <f t="shared" si="23"/>
        <v>72000000</v>
      </c>
      <c r="G242" s="36"/>
      <c r="H242" s="36"/>
      <c r="I242" s="36"/>
      <c r="J242" s="33">
        <f t="shared" si="22"/>
        <v>11</v>
      </c>
      <c r="K242" s="36">
        <v>40010020</v>
      </c>
      <c r="L242" s="32" t="str" cm="1">
        <f t="array" ref="L242">INDEX($D:$D,MATCH(K242,$A:$A,0))</f>
        <v>15级精英金币450</v>
      </c>
      <c r="M242" s="36"/>
      <c r="N242" s="36"/>
      <c r="O242" s="36"/>
      <c r="P242" s="32">
        <v>26000000</v>
      </c>
      <c r="Q242" s="36">
        <v>1</v>
      </c>
      <c r="R242" s="36"/>
      <c r="S242" s="36">
        <v>40020003</v>
      </c>
      <c r="T242" s="32" t="str" cm="1">
        <f t="array" ref="T242">INDEX($D:$D,MATCH(S242,$A:$A,0))</f>
        <v>15级精英灵符15</v>
      </c>
      <c r="U242" s="36"/>
      <c r="V242" s="36"/>
      <c r="W242" s="36"/>
      <c r="X242" s="32">
        <v>5000000</v>
      </c>
      <c r="Y242" s="36">
        <v>1</v>
      </c>
      <c r="Z242" s="36"/>
      <c r="AA242" s="32">
        <v>40050003</v>
      </c>
      <c r="AB242" s="32" t="str" cm="1">
        <f t="array" ref="AB242">INDEX($D:$D,MATCH(AA242,$A:$A,0))</f>
        <v>21到30级六格</v>
      </c>
      <c r="AC242" s="36"/>
      <c r="AD242" s="36"/>
      <c r="AE242" s="36"/>
      <c r="AF242" s="32">
        <v>12000000</v>
      </c>
      <c r="AG242" s="36">
        <v>1</v>
      </c>
      <c r="AH242" s="36"/>
      <c r="AI242" s="15">
        <v>40030003</v>
      </c>
      <c r="AJ242" s="32" t="str" cm="1">
        <f t="array" ref="AJ242">INDEX($D:$D,MATCH(AI242,$A:$A,0))</f>
        <v>21到30级装备</v>
      </c>
      <c r="AK242" s="36"/>
      <c r="AL242" s="36"/>
      <c r="AM242" s="36"/>
      <c r="AN242" s="32">
        <v>8000000</v>
      </c>
      <c r="AO242" s="36">
        <v>1</v>
      </c>
      <c r="AP242" s="36"/>
      <c r="AQ242" s="15">
        <v>40040003</v>
      </c>
      <c r="AR242" s="32" t="str" cm="1">
        <f t="array" ref="AR242">INDEX($D:$D,MATCH(AQ242,$A:$A,0))</f>
        <v>21到30级四格</v>
      </c>
      <c r="AS242" s="36"/>
      <c r="AT242" s="36"/>
      <c r="AU242" s="36"/>
      <c r="AV242" s="32">
        <v>5000000</v>
      </c>
      <c r="AW242" s="36">
        <v>1</v>
      </c>
      <c r="AX242" s="36"/>
      <c r="AY242" s="15"/>
      <c r="AZ242" s="32"/>
      <c r="BA242" s="36"/>
      <c r="BB242" s="36"/>
      <c r="BC242" s="36"/>
      <c r="BD242" s="32">
        <v>8000000</v>
      </c>
      <c r="BE242" s="36">
        <v>1</v>
      </c>
      <c r="BF242" s="36"/>
      <c r="BG242" s="32">
        <v>40160001</v>
      </c>
      <c r="BH242" s="32" t="str" cm="1">
        <f t="array" ref="BH242">INDEX($D:$D,MATCH(BG242,$A:$A,0))</f>
        <v>战士技能书</v>
      </c>
      <c r="BI242" s="36"/>
      <c r="BJ242" s="36"/>
      <c r="BK242" s="36"/>
      <c r="BL242" s="32">
        <v>4000000</v>
      </c>
      <c r="BM242" s="36">
        <v>1</v>
      </c>
      <c r="BN242" s="36"/>
      <c r="BO242" s="32">
        <v>40160002</v>
      </c>
      <c r="BP242" s="32" t="str" cm="1">
        <f t="array" ref="BP242">INDEX($D:$D,MATCH(BO242,$A:$A,0))</f>
        <v>法师技能书</v>
      </c>
      <c r="BQ242" s="36"/>
      <c r="BR242" s="36"/>
      <c r="BS242" s="36"/>
      <c r="BT242" s="32">
        <v>4000000</v>
      </c>
      <c r="BU242" s="36">
        <v>1</v>
      </c>
      <c r="BV242" s="36"/>
      <c r="BW242" s="32">
        <v>40160003</v>
      </c>
      <c r="BX242" s="32" t="str" cm="1">
        <f t="array" ref="BX242">INDEX($D:$D,MATCH(BW242,$A:$A,0))</f>
        <v>道士技能数</v>
      </c>
      <c r="BY242" s="36"/>
      <c r="BZ242" s="36"/>
      <c r="CA242" s="36"/>
      <c r="CB242" s="32">
        <v>4000000</v>
      </c>
      <c r="CC242" s="36">
        <v>1</v>
      </c>
      <c r="CD242" s="32"/>
      <c r="CE242" s="32">
        <v>40160004</v>
      </c>
      <c r="CF242" s="32" t="str" cm="1">
        <f t="array" ref="CF242">INDEX($D:$D,MATCH(CE242,$A:$A,0))</f>
        <v>珍惜道具</v>
      </c>
      <c r="CG242" s="36"/>
      <c r="CH242" s="36"/>
      <c r="CI242" s="36"/>
      <c r="CJ242" s="32">
        <v>4000000</v>
      </c>
      <c r="CK242" s="36">
        <v>1</v>
      </c>
      <c r="CL242" s="36"/>
      <c r="CM242" s="32">
        <v>40160005</v>
      </c>
      <c r="CN242" s="32" t="str" cm="1">
        <f t="array" ref="CN242">INDEX($D:$D,MATCH(CM242,$A:$A,0))</f>
        <v>杂货道具</v>
      </c>
      <c r="CO242" s="36"/>
      <c r="CP242" s="36"/>
      <c r="CQ242" s="36"/>
      <c r="CR242" s="32">
        <v>4000000</v>
      </c>
      <c r="CS242" s="36">
        <v>1</v>
      </c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/>
      <c r="GF242" s="36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6"/>
      <c r="IV242" s="36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</row>
    <row r="243" s="29" customFormat="1" ht="17.25" spans="1:266">
      <c r="A243" s="33">
        <f>40000000+INDEX(编号表!$B:$B,MATCH(B243,编号表!$A:$A,0))*10000+C243</f>
        <v>40140004</v>
      </c>
      <c r="B243" s="34" t="s">
        <v>646</v>
      </c>
      <c r="C243" s="33">
        <v>4</v>
      </c>
      <c r="D243" s="32" t="s">
        <v>650</v>
      </c>
      <c r="E243" s="32" t="s">
        <v>437</v>
      </c>
      <c r="F243" s="31">
        <f t="shared" si="23"/>
        <v>72000000</v>
      </c>
      <c r="G243" s="36"/>
      <c r="H243" s="36"/>
      <c r="I243" s="36"/>
      <c r="J243" s="33">
        <f t="shared" si="22"/>
        <v>11</v>
      </c>
      <c r="K243" s="36">
        <v>40010021</v>
      </c>
      <c r="L243" s="32" t="str" cm="1">
        <f t="array" ref="L243">INDEX($D:$D,MATCH(K243,$A:$A,0))</f>
        <v>20级精英金币600</v>
      </c>
      <c r="M243" s="36"/>
      <c r="N243" s="36"/>
      <c r="O243" s="36"/>
      <c r="P243" s="32">
        <v>26000000</v>
      </c>
      <c r="Q243" s="36">
        <v>1</v>
      </c>
      <c r="R243" s="36"/>
      <c r="S243" s="36">
        <v>40020004</v>
      </c>
      <c r="T243" s="32" t="str" cm="1">
        <f t="array" ref="T243">INDEX($D:$D,MATCH(S243,$A:$A,0))</f>
        <v>20级精英灵符20</v>
      </c>
      <c r="U243" s="36"/>
      <c r="V243" s="36"/>
      <c r="W243" s="36"/>
      <c r="X243" s="32">
        <v>5000000</v>
      </c>
      <c r="Y243" s="36">
        <v>1</v>
      </c>
      <c r="Z243" s="36"/>
      <c r="AA243" s="32">
        <v>40050004</v>
      </c>
      <c r="AB243" s="32" t="str" cm="1">
        <f t="array" ref="AB243">INDEX($D:$D,MATCH(AA243,$A:$A,0))</f>
        <v>31到35级六格</v>
      </c>
      <c r="AC243" s="36"/>
      <c r="AD243" s="36"/>
      <c r="AE243" s="36"/>
      <c r="AF243" s="32">
        <v>12000000</v>
      </c>
      <c r="AG243" s="36">
        <v>1</v>
      </c>
      <c r="AH243" s="36"/>
      <c r="AI243" s="15">
        <v>40030004</v>
      </c>
      <c r="AJ243" s="32" t="str" cm="1">
        <f t="array" ref="AJ243">INDEX($D:$D,MATCH(AI243,$A:$A,0))</f>
        <v>31到35级装备</v>
      </c>
      <c r="AK243" s="36"/>
      <c r="AL243" s="36"/>
      <c r="AM243" s="36"/>
      <c r="AN243" s="32">
        <v>8000000</v>
      </c>
      <c r="AO243" s="36">
        <v>1</v>
      </c>
      <c r="AP243" s="36"/>
      <c r="AQ243" s="15">
        <v>40040004</v>
      </c>
      <c r="AR243" s="32" t="str" cm="1">
        <f t="array" ref="AR243">INDEX($D:$D,MATCH(AQ243,$A:$A,0))</f>
        <v>31到35级四格</v>
      </c>
      <c r="AS243" s="36"/>
      <c r="AT243" s="36"/>
      <c r="AU243" s="36"/>
      <c r="AV243" s="32">
        <v>5000000</v>
      </c>
      <c r="AW243" s="36">
        <v>1</v>
      </c>
      <c r="AX243" s="36"/>
      <c r="AY243" s="15"/>
      <c r="AZ243" s="32"/>
      <c r="BA243" s="36"/>
      <c r="BB243" s="36"/>
      <c r="BC243" s="36"/>
      <c r="BD243" s="32">
        <v>8000000</v>
      </c>
      <c r="BE243" s="36">
        <v>1</v>
      </c>
      <c r="BF243" s="36"/>
      <c r="BG243" s="32">
        <v>40160001</v>
      </c>
      <c r="BH243" s="32" t="str" cm="1">
        <f t="array" ref="BH243">INDEX($D:$D,MATCH(BG243,$A:$A,0))</f>
        <v>战士技能书</v>
      </c>
      <c r="BI243" s="36"/>
      <c r="BJ243" s="36"/>
      <c r="BK243" s="36"/>
      <c r="BL243" s="32">
        <v>4000000</v>
      </c>
      <c r="BM243" s="36">
        <v>1</v>
      </c>
      <c r="BN243" s="36"/>
      <c r="BO243" s="32">
        <v>40160002</v>
      </c>
      <c r="BP243" s="32" t="str" cm="1">
        <f t="array" ref="BP243">INDEX($D:$D,MATCH(BO243,$A:$A,0))</f>
        <v>法师技能书</v>
      </c>
      <c r="BQ243" s="36"/>
      <c r="BR243" s="36"/>
      <c r="BS243" s="36"/>
      <c r="BT243" s="32">
        <v>4000000</v>
      </c>
      <c r="BU243" s="36">
        <v>1</v>
      </c>
      <c r="BV243" s="36"/>
      <c r="BW243" s="32">
        <v>40160003</v>
      </c>
      <c r="BX243" s="32" t="str" cm="1">
        <f t="array" ref="BX243">INDEX($D:$D,MATCH(BW243,$A:$A,0))</f>
        <v>道士技能数</v>
      </c>
      <c r="BY243" s="36"/>
      <c r="BZ243" s="36"/>
      <c r="CA243" s="36"/>
      <c r="CB243" s="32">
        <v>4000000</v>
      </c>
      <c r="CC243" s="36">
        <v>1</v>
      </c>
      <c r="CD243" s="32"/>
      <c r="CE243" s="32">
        <v>40160004</v>
      </c>
      <c r="CF243" s="32" t="str" cm="1">
        <f t="array" ref="CF243">INDEX($D:$D,MATCH(CE243,$A:$A,0))</f>
        <v>珍惜道具</v>
      </c>
      <c r="CG243" s="36"/>
      <c r="CH243" s="36"/>
      <c r="CI243" s="36"/>
      <c r="CJ243" s="32">
        <v>4000000</v>
      </c>
      <c r="CK243" s="36">
        <v>1</v>
      </c>
      <c r="CL243" s="36"/>
      <c r="CM243" s="32">
        <v>40160005</v>
      </c>
      <c r="CN243" s="32" t="str" cm="1">
        <f t="array" ref="CN243">INDEX($D:$D,MATCH(CM243,$A:$A,0))</f>
        <v>杂货道具</v>
      </c>
      <c r="CO243" s="36"/>
      <c r="CP243" s="36"/>
      <c r="CQ243" s="36"/>
      <c r="CR243" s="32">
        <v>4000000</v>
      </c>
      <c r="CS243" s="36">
        <v>1</v>
      </c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6"/>
      <c r="GF243" s="36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6"/>
      <c r="GW243" s="36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6"/>
      <c r="HN243" s="36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6"/>
      <c r="IE243" s="36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6"/>
      <c r="IV243" s="36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</row>
    <row r="244" s="29" customFormat="1" ht="17.25" spans="1:266">
      <c r="A244" s="33">
        <f>40000000+INDEX(编号表!$B:$B,MATCH(B244,编号表!$A:$A,0))*10000+C244</f>
        <v>40140005</v>
      </c>
      <c r="B244" s="34" t="s">
        <v>646</v>
      </c>
      <c r="C244" s="33">
        <v>5</v>
      </c>
      <c r="D244" s="32" t="s">
        <v>651</v>
      </c>
      <c r="E244" s="32" t="s">
        <v>437</v>
      </c>
      <c r="F244" s="31">
        <f t="shared" si="23"/>
        <v>72000000</v>
      </c>
      <c r="G244" s="36"/>
      <c r="H244" s="36"/>
      <c r="I244" s="36"/>
      <c r="J244" s="33">
        <f t="shared" si="22"/>
        <v>11</v>
      </c>
      <c r="K244" s="36">
        <v>40010022</v>
      </c>
      <c r="L244" s="32" t="str" cm="1">
        <f t="array" ref="L244">INDEX($D:$D,MATCH(K244,$A:$A,0))</f>
        <v>25级精英金币750</v>
      </c>
      <c r="M244" s="36"/>
      <c r="N244" s="36"/>
      <c r="O244" s="36"/>
      <c r="P244" s="32">
        <v>26000000</v>
      </c>
      <c r="Q244" s="36">
        <v>1</v>
      </c>
      <c r="R244" s="36"/>
      <c r="S244" s="36">
        <v>40020005</v>
      </c>
      <c r="T244" s="32" t="str" cm="1">
        <f t="array" ref="T244">INDEX($D:$D,MATCH(S244,$A:$A,0))</f>
        <v>25级精英灵符25</v>
      </c>
      <c r="U244" s="36"/>
      <c r="V244" s="36"/>
      <c r="W244" s="36"/>
      <c r="X244" s="32">
        <v>5000000</v>
      </c>
      <c r="Y244" s="36">
        <v>1</v>
      </c>
      <c r="Z244" s="36"/>
      <c r="AA244" s="32">
        <v>40050005</v>
      </c>
      <c r="AB244" s="32" t="str" cm="1">
        <f t="array" ref="AB244">INDEX($D:$D,MATCH(AA244,$A:$A,0))</f>
        <v>35到40级六格</v>
      </c>
      <c r="AC244" s="36"/>
      <c r="AD244" s="36"/>
      <c r="AE244" s="36"/>
      <c r="AF244" s="32">
        <v>12000000</v>
      </c>
      <c r="AG244" s="36">
        <v>1</v>
      </c>
      <c r="AH244" s="36"/>
      <c r="AI244" s="15">
        <v>40030005</v>
      </c>
      <c r="AJ244" s="32" t="str" cm="1">
        <f t="array" ref="AJ244">INDEX($D:$D,MATCH(AI244,$A:$A,0))</f>
        <v>35到40级装备</v>
      </c>
      <c r="AK244" s="36"/>
      <c r="AL244" s="36"/>
      <c r="AM244" s="36"/>
      <c r="AN244" s="32">
        <v>8000000</v>
      </c>
      <c r="AO244" s="36">
        <v>1</v>
      </c>
      <c r="AP244" s="36"/>
      <c r="AQ244" s="15">
        <v>40040005</v>
      </c>
      <c r="AR244" s="32" t="str" cm="1">
        <f t="array" ref="AR244">INDEX($D:$D,MATCH(AQ244,$A:$A,0))</f>
        <v>35到40级四格</v>
      </c>
      <c r="AS244" s="36"/>
      <c r="AT244" s="36"/>
      <c r="AU244" s="36"/>
      <c r="AV244" s="32">
        <v>5000000</v>
      </c>
      <c r="AW244" s="36">
        <v>1</v>
      </c>
      <c r="AX244" s="36"/>
      <c r="AY244" s="15"/>
      <c r="AZ244" s="32"/>
      <c r="BA244" s="36"/>
      <c r="BB244" s="36"/>
      <c r="BC244" s="36"/>
      <c r="BD244" s="32">
        <v>8000000</v>
      </c>
      <c r="BE244" s="36">
        <v>1</v>
      </c>
      <c r="BF244" s="36"/>
      <c r="BG244" s="32">
        <v>40160001</v>
      </c>
      <c r="BH244" s="32" t="str" cm="1">
        <f t="array" ref="BH244">INDEX($D:$D,MATCH(BG244,$A:$A,0))</f>
        <v>战士技能书</v>
      </c>
      <c r="BI244" s="36"/>
      <c r="BJ244" s="36"/>
      <c r="BK244" s="36"/>
      <c r="BL244" s="32">
        <v>4000000</v>
      </c>
      <c r="BM244" s="36">
        <v>1</v>
      </c>
      <c r="BN244" s="36"/>
      <c r="BO244" s="32">
        <v>40160002</v>
      </c>
      <c r="BP244" s="32" t="str" cm="1">
        <f t="array" ref="BP244">INDEX($D:$D,MATCH(BO244,$A:$A,0))</f>
        <v>法师技能书</v>
      </c>
      <c r="BQ244" s="36"/>
      <c r="BR244" s="36"/>
      <c r="BS244" s="36"/>
      <c r="BT244" s="32">
        <v>4000000</v>
      </c>
      <c r="BU244" s="36">
        <v>1</v>
      </c>
      <c r="BV244" s="36"/>
      <c r="BW244" s="32">
        <v>40160003</v>
      </c>
      <c r="BX244" s="32" t="str" cm="1">
        <f t="array" ref="BX244">INDEX($D:$D,MATCH(BW244,$A:$A,0))</f>
        <v>道士技能数</v>
      </c>
      <c r="BY244" s="36"/>
      <c r="BZ244" s="36"/>
      <c r="CA244" s="36"/>
      <c r="CB244" s="32">
        <v>4000000</v>
      </c>
      <c r="CC244" s="36">
        <v>1</v>
      </c>
      <c r="CD244" s="32"/>
      <c r="CE244" s="32">
        <v>40160004</v>
      </c>
      <c r="CF244" s="32" t="str" cm="1">
        <f t="array" ref="CF244">INDEX($D:$D,MATCH(CE244,$A:$A,0))</f>
        <v>珍惜道具</v>
      </c>
      <c r="CG244" s="36"/>
      <c r="CH244" s="36"/>
      <c r="CI244" s="36"/>
      <c r="CJ244" s="32">
        <v>4000000</v>
      </c>
      <c r="CK244" s="36">
        <v>1</v>
      </c>
      <c r="CL244" s="36"/>
      <c r="CM244" s="32">
        <v>40160005</v>
      </c>
      <c r="CN244" s="32" t="str" cm="1">
        <f t="array" ref="CN244">INDEX($D:$D,MATCH(CM244,$A:$A,0))</f>
        <v>杂货道具</v>
      </c>
      <c r="CO244" s="36"/>
      <c r="CP244" s="36"/>
      <c r="CQ244" s="36"/>
      <c r="CR244" s="32">
        <v>4000000</v>
      </c>
      <c r="CS244" s="36">
        <v>1</v>
      </c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/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</row>
    <row r="245" s="29" customFormat="1" ht="17.25" spans="1:266">
      <c r="A245" s="33">
        <f>40000000+INDEX(编号表!$B:$B,MATCH(B245,编号表!$A:$A,0))*10000+C245</f>
        <v>40140006</v>
      </c>
      <c r="B245" s="34" t="s">
        <v>646</v>
      </c>
      <c r="C245" s="33">
        <v>6</v>
      </c>
      <c r="D245" s="32" t="s">
        <v>652</v>
      </c>
      <c r="E245" s="32" t="s">
        <v>437</v>
      </c>
      <c r="F245" s="31">
        <f t="shared" si="23"/>
        <v>72000000</v>
      </c>
      <c r="G245" s="36"/>
      <c r="H245" s="36"/>
      <c r="I245" s="36"/>
      <c r="J245" s="33">
        <f t="shared" si="22"/>
        <v>11</v>
      </c>
      <c r="K245" s="36">
        <v>40010023</v>
      </c>
      <c r="L245" s="32" t="str" cm="1">
        <f t="array" ref="L245">INDEX($D:$D,MATCH(K245,$A:$A,0))</f>
        <v>30级精英金币900</v>
      </c>
      <c r="M245" s="36"/>
      <c r="N245" s="36"/>
      <c r="O245" s="36"/>
      <c r="P245" s="32">
        <v>26000000</v>
      </c>
      <c r="Q245" s="36">
        <v>1</v>
      </c>
      <c r="R245" s="36"/>
      <c r="S245" s="36">
        <v>40020006</v>
      </c>
      <c r="T245" s="32" t="str" cm="1">
        <f t="array" ref="T245">INDEX($D:$D,MATCH(S245,$A:$A,0))</f>
        <v>30级精英灵符30</v>
      </c>
      <c r="U245" s="36"/>
      <c r="V245" s="36"/>
      <c r="W245" s="36"/>
      <c r="X245" s="32">
        <v>5000000</v>
      </c>
      <c r="Y245" s="36">
        <v>1</v>
      </c>
      <c r="Z245" s="36"/>
      <c r="AA245" s="32">
        <v>40050006</v>
      </c>
      <c r="AB245" s="32" t="str" cm="1">
        <f t="array" ref="AB245">INDEX($D:$D,MATCH(AA245,$A:$A,0))</f>
        <v>41到45级六格</v>
      </c>
      <c r="AC245" s="36"/>
      <c r="AD245" s="36"/>
      <c r="AE245" s="36"/>
      <c r="AF245" s="32">
        <v>12000000</v>
      </c>
      <c r="AG245" s="36">
        <v>1</v>
      </c>
      <c r="AH245" s="36"/>
      <c r="AI245" s="15">
        <v>40030006</v>
      </c>
      <c r="AJ245" s="32" t="str" cm="1">
        <f t="array" ref="AJ245">INDEX($D:$D,MATCH(AI245,$A:$A,0))</f>
        <v>41到45级装备</v>
      </c>
      <c r="AK245" s="36"/>
      <c r="AL245" s="36"/>
      <c r="AM245" s="36"/>
      <c r="AN245" s="32">
        <v>8000000</v>
      </c>
      <c r="AO245" s="36">
        <v>1</v>
      </c>
      <c r="AP245" s="36"/>
      <c r="AQ245" s="15">
        <v>40040006</v>
      </c>
      <c r="AR245" s="32" t="str" cm="1">
        <f t="array" ref="AR245">INDEX($D:$D,MATCH(AQ245,$A:$A,0))</f>
        <v>41到45级四格</v>
      </c>
      <c r="AS245" s="36"/>
      <c r="AT245" s="36"/>
      <c r="AU245" s="36"/>
      <c r="AV245" s="32">
        <v>5000000</v>
      </c>
      <c r="AW245" s="36">
        <v>1</v>
      </c>
      <c r="AX245" s="36"/>
      <c r="AY245" s="15"/>
      <c r="AZ245" s="32"/>
      <c r="BA245" s="36"/>
      <c r="BB245" s="36"/>
      <c r="BC245" s="36"/>
      <c r="BD245" s="32">
        <v>8000000</v>
      </c>
      <c r="BE245" s="36">
        <v>1</v>
      </c>
      <c r="BF245" s="36"/>
      <c r="BG245" s="32">
        <v>40160001</v>
      </c>
      <c r="BH245" s="32" t="str" cm="1">
        <f t="array" ref="BH245">INDEX($D:$D,MATCH(BG245,$A:$A,0))</f>
        <v>战士技能书</v>
      </c>
      <c r="BI245" s="36"/>
      <c r="BJ245" s="36"/>
      <c r="BK245" s="36"/>
      <c r="BL245" s="32">
        <v>4000000</v>
      </c>
      <c r="BM245" s="36">
        <v>1</v>
      </c>
      <c r="BN245" s="36"/>
      <c r="BO245" s="32">
        <v>40160002</v>
      </c>
      <c r="BP245" s="32" t="str" cm="1">
        <f t="array" ref="BP245">INDEX($D:$D,MATCH(BO245,$A:$A,0))</f>
        <v>法师技能书</v>
      </c>
      <c r="BQ245" s="36"/>
      <c r="BR245" s="36"/>
      <c r="BS245" s="36"/>
      <c r="BT245" s="32">
        <v>4000000</v>
      </c>
      <c r="BU245" s="36">
        <v>1</v>
      </c>
      <c r="BV245" s="36"/>
      <c r="BW245" s="32">
        <v>40160003</v>
      </c>
      <c r="BX245" s="32" t="str" cm="1">
        <f t="array" ref="BX245">INDEX($D:$D,MATCH(BW245,$A:$A,0))</f>
        <v>道士技能数</v>
      </c>
      <c r="BY245" s="36"/>
      <c r="BZ245" s="36"/>
      <c r="CA245" s="36"/>
      <c r="CB245" s="32">
        <v>4000000</v>
      </c>
      <c r="CC245" s="36">
        <v>1</v>
      </c>
      <c r="CD245" s="32"/>
      <c r="CE245" s="32">
        <v>40160004</v>
      </c>
      <c r="CF245" s="32" t="str" cm="1">
        <f t="array" ref="CF245">INDEX($D:$D,MATCH(CE245,$A:$A,0))</f>
        <v>珍惜道具</v>
      </c>
      <c r="CG245" s="36"/>
      <c r="CH245" s="36"/>
      <c r="CI245" s="36"/>
      <c r="CJ245" s="32">
        <v>4000000</v>
      </c>
      <c r="CK245" s="36">
        <v>1</v>
      </c>
      <c r="CL245" s="36"/>
      <c r="CM245" s="32">
        <v>40160005</v>
      </c>
      <c r="CN245" s="32" t="str" cm="1">
        <f t="array" ref="CN245">INDEX($D:$D,MATCH(CM245,$A:$A,0))</f>
        <v>杂货道具</v>
      </c>
      <c r="CO245" s="36"/>
      <c r="CP245" s="36"/>
      <c r="CQ245" s="36"/>
      <c r="CR245" s="32">
        <v>4000000</v>
      </c>
      <c r="CS245" s="36">
        <v>1</v>
      </c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6"/>
      <c r="EX245" s="36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6"/>
      <c r="FO245" s="36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6"/>
      <c r="GF245" s="36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6"/>
      <c r="GW245" s="36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6"/>
      <c r="HN245" s="36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6"/>
      <c r="IE245" s="36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6"/>
      <c r="IV245" s="36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</row>
    <row r="246" s="29" customFormat="1" ht="17.25" spans="1:266">
      <c r="A246" s="33">
        <f>40000000+INDEX(编号表!$B:$B,MATCH(B246,编号表!$A:$A,0))*10000+C246</f>
        <v>40140007</v>
      </c>
      <c r="B246" s="34" t="s">
        <v>646</v>
      </c>
      <c r="C246" s="33">
        <v>7</v>
      </c>
      <c r="D246" s="32" t="s">
        <v>653</v>
      </c>
      <c r="E246" s="32" t="s">
        <v>437</v>
      </c>
      <c r="F246" s="31">
        <f t="shared" si="23"/>
        <v>72000000</v>
      </c>
      <c r="G246" s="36"/>
      <c r="H246" s="36"/>
      <c r="I246" s="36"/>
      <c r="J246" s="33">
        <f t="shared" si="22"/>
        <v>11</v>
      </c>
      <c r="K246" s="36">
        <v>40010024</v>
      </c>
      <c r="L246" s="32" t="str" cm="1">
        <f t="array" ref="L246">INDEX($D:$D,MATCH(K246,$A:$A,0))</f>
        <v>35级精英金币1050</v>
      </c>
      <c r="M246" s="36"/>
      <c r="N246" s="36"/>
      <c r="O246" s="36"/>
      <c r="P246" s="32">
        <v>26000000</v>
      </c>
      <c r="Q246" s="36">
        <v>1</v>
      </c>
      <c r="R246" s="36"/>
      <c r="S246" s="36">
        <v>40020007</v>
      </c>
      <c r="T246" s="32" t="str" cm="1">
        <f t="array" ref="T246">INDEX($D:$D,MATCH(S246,$A:$A,0))</f>
        <v>35级精英灵符35</v>
      </c>
      <c r="U246" s="36"/>
      <c r="V246" s="36"/>
      <c r="W246" s="36"/>
      <c r="X246" s="32">
        <v>5000000</v>
      </c>
      <c r="Y246" s="36">
        <v>1</v>
      </c>
      <c r="Z246" s="36"/>
      <c r="AA246" s="32">
        <v>40050007</v>
      </c>
      <c r="AB246" s="32" t="str" cm="1">
        <f t="array" ref="AB246">INDEX($D:$D,MATCH(AA246,$A:$A,0))</f>
        <v>46到50级六格</v>
      </c>
      <c r="AC246" s="36"/>
      <c r="AD246" s="36"/>
      <c r="AE246" s="36"/>
      <c r="AF246" s="32">
        <v>12000000</v>
      </c>
      <c r="AG246" s="36">
        <v>1</v>
      </c>
      <c r="AH246" s="36"/>
      <c r="AI246" s="15">
        <v>40030007</v>
      </c>
      <c r="AJ246" s="32" t="str" cm="1">
        <f t="array" ref="AJ246">INDEX($D:$D,MATCH(AI246,$A:$A,0))</f>
        <v>46到50级装备</v>
      </c>
      <c r="AK246" s="36"/>
      <c r="AL246" s="36"/>
      <c r="AM246" s="36"/>
      <c r="AN246" s="32">
        <v>8000000</v>
      </c>
      <c r="AO246" s="36">
        <v>1</v>
      </c>
      <c r="AP246" s="36"/>
      <c r="AQ246" s="15">
        <v>40040007</v>
      </c>
      <c r="AR246" s="32" t="str" cm="1">
        <f t="array" ref="AR246">INDEX($D:$D,MATCH(AQ246,$A:$A,0))</f>
        <v>46到50级四格</v>
      </c>
      <c r="AS246" s="36"/>
      <c r="AT246" s="36"/>
      <c r="AU246" s="36"/>
      <c r="AV246" s="32">
        <v>5000000</v>
      </c>
      <c r="AW246" s="36">
        <v>1</v>
      </c>
      <c r="AX246" s="36"/>
      <c r="AY246" s="15"/>
      <c r="AZ246" s="32"/>
      <c r="BA246" s="36"/>
      <c r="BB246" s="36"/>
      <c r="BC246" s="36"/>
      <c r="BD246" s="32">
        <v>8000000</v>
      </c>
      <c r="BE246" s="36">
        <v>1</v>
      </c>
      <c r="BF246" s="36"/>
      <c r="BG246" s="32">
        <v>40160001</v>
      </c>
      <c r="BH246" s="32" t="str" cm="1">
        <f t="array" ref="BH246">INDEX($D:$D,MATCH(BG246,$A:$A,0))</f>
        <v>战士技能书</v>
      </c>
      <c r="BI246" s="36"/>
      <c r="BJ246" s="36"/>
      <c r="BK246" s="36"/>
      <c r="BL246" s="32">
        <v>4000000</v>
      </c>
      <c r="BM246" s="36">
        <v>1</v>
      </c>
      <c r="BN246" s="36"/>
      <c r="BO246" s="32">
        <v>40160002</v>
      </c>
      <c r="BP246" s="32" t="str" cm="1">
        <f t="array" ref="BP246">INDEX($D:$D,MATCH(BO246,$A:$A,0))</f>
        <v>法师技能书</v>
      </c>
      <c r="BQ246" s="36"/>
      <c r="BR246" s="36"/>
      <c r="BS246" s="36"/>
      <c r="BT246" s="32">
        <v>4000000</v>
      </c>
      <c r="BU246" s="36">
        <v>1</v>
      </c>
      <c r="BV246" s="36"/>
      <c r="BW246" s="32">
        <v>40160003</v>
      </c>
      <c r="BX246" s="32" t="str" cm="1">
        <f t="array" ref="BX246">INDEX($D:$D,MATCH(BW246,$A:$A,0))</f>
        <v>道士技能数</v>
      </c>
      <c r="BY246" s="36"/>
      <c r="BZ246" s="36"/>
      <c r="CA246" s="36"/>
      <c r="CB246" s="32">
        <v>4000000</v>
      </c>
      <c r="CC246" s="36">
        <v>1</v>
      </c>
      <c r="CD246" s="32"/>
      <c r="CE246" s="32">
        <v>40160004</v>
      </c>
      <c r="CF246" s="32" t="str" cm="1">
        <f t="array" ref="CF246">INDEX($D:$D,MATCH(CE246,$A:$A,0))</f>
        <v>珍惜道具</v>
      </c>
      <c r="CG246" s="36"/>
      <c r="CH246" s="36"/>
      <c r="CI246" s="36"/>
      <c r="CJ246" s="32">
        <v>4000000</v>
      </c>
      <c r="CK246" s="36">
        <v>1</v>
      </c>
      <c r="CL246" s="36"/>
      <c r="CM246" s="32">
        <v>40160005</v>
      </c>
      <c r="CN246" s="32" t="str" cm="1">
        <f t="array" ref="CN246">INDEX($D:$D,MATCH(CM246,$A:$A,0))</f>
        <v>杂货道具</v>
      </c>
      <c r="CO246" s="36"/>
      <c r="CP246" s="36"/>
      <c r="CQ246" s="36"/>
      <c r="CR246" s="32">
        <v>4000000</v>
      </c>
      <c r="CS246" s="36">
        <v>1</v>
      </c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6"/>
      <c r="GF246" s="36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6"/>
      <c r="GW246" s="36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6"/>
      <c r="HN246" s="36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6"/>
      <c r="IE246" s="36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6"/>
      <c r="IV246" s="36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</row>
    <row r="247" s="29" customFormat="1" ht="17.25" spans="1:266">
      <c r="A247" s="33">
        <f>40000000+INDEX(编号表!$B:$B,MATCH(B247,编号表!$A:$A,0))*10000+C247</f>
        <v>40140008</v>
      </c>
      <c r="B247" s="34" t="s">
        <v>646</v>
      </c>
      <c r="C247" s="33">
        <v>8</v>
      </c>
      <c r="D247" s="32" t="s">
        <v>654</v>
      </c>
      <c r="E247" s="32" t="s">
        <v>437</v>
      </c>
      <c r="F247" s="31">
        <f t="shared" si="23"/>
        <v>72000000</v>
      </c>
      <c r="G247" s="36"/>
      <c r="H247" s="36"/>
      <c r="I247" s="36"/>
      <c r="J247" s="33">
        <f t="shared" si="22"/>
        <v>11</v>
      </c>
      <c r="K247" s="36">
        <v>40010025</v>
      </c>
      <c r="L247" s="32" t="str" cm="1">
        <f t="array" ref="L247">INDEX($D:$D,MATCH(K247,$A:$A,0))</f>
        <v>40级精英金币1200</v>
      </c>
      <c r="M247" s="36"/>
      <c r="N247" s="36"/>
      <c r="O247" s="36"/>
      <c r="P247" s="32">
        <v>26000000</v>
      </c>
      <c r="Q247" s="36">
        <v>1</v>
      </c>
      <c r="R247" s="36"/>
      <c r="S247" s="36">
        <v>40020008</v>
      </c>
      <c r="T247" s="32" t="str" cm="1">
        <f t="array" ref="T247">INDEX($D:$D,MATCH(S247,$A:$A,0))</f>
        <v>40级精英灵符40</v>
      </c>
      <c r="U247" s="36"/>
      <c r="V247" s="36"/>
      <c r="W247" s="36"/>
      <c r="X247" s="32">
        <v>5000000</v>
      </c>
      <c r="Y247" s="36">
        <v>1</v>
      </c>
      <c r="Z247" s="36"/>
      <c r="AA247" s="32">
        <v>40050008</v>
      </c>
      <c r="AB247" s="32" t="str" cm="1">
        <f t="array" ref="AB247">INDEX($D:$D,MATCH(AA247,$A:$A,0))</f>
        <v>51到55级六格</v>
      </c>
      <c r="AC247" s="36"/>
      <c r="AD247" s="36"/>
      <c r="AE247" s="36"/>
      <c r="AF247" s="32">
        <v>12000000</v>
      </c>
      <c r="AG247" s="36">
        <v>1</v>
      </c>
      <c r="AH247" s="36"/>
      <c r="AI247" s="15">
        <v>40030008</v>
      </c>
      <c r="AJ247" s="32" t="str" cm="1">
        <f t="array" ref="AJ247">INDEX($D:$D,MATCH(AI247,$A:$A,0))</f>
        <v>51到55级装备</v>
      </c>
      <c r="AK247" s="36"/>
      <c r="AL247" s="36"/>
      <c r="AM247" s="36"/>
      <c r="AN247" s="32">
        <v>8000000</v>
      </c>
      <c r="AO247" s="36">
        <v>1</v>
      </c>
      <c r="AP247" s="36"/>
      <c r="AQ247" s="15">
        <v>40040008</v>
      </c>
      <c r="AR247" s="32" t="str" cm="1">
        <f t="array" ref="AR247">INDEX($D:$D,MATCH(AQ247,$A:$A,0))</f>
        <v>51到55级四格</v>
      </c>
      <c r="AS247" s="36"/>
      <c r="AT247" s="36"/>
      <c r="AU247" s="36"/>
      <c r="AV247" s="32">
        <v>5000000</v>
      </c>
      <c r="AW247" s="36">
        <v>1</v>
      </c>
      <c r="AX247" s="36"/>
      <c r="AY247" s="15"/>
      <c r="AZ247" s="32"/>
      <c r="BA247" s="36"/>
      <c r="BB247" s="36"/>
      <c r="BC247" s="36"/>
      <c r="BD247" s="32">
        <v>8000000</v>
      </c>
      <c r="BE247" s="36">
        <v>1</v>
      </c>
      <c r="BF247" s="36"/>
      <c r="BG247" s="32">
        <v>40160001</v>
      </c>
      <c r="BH247" s="32" t="str" cm="1">
        <f t="array" ref="BH247">INDEX($D:$D,MATCH(BG247,$A:$A,0))</f>
        <v>战士技能书</v>
      </c>
      <c r="BI247" s="36"/>
      <c r="BJ247" s="36"/>
      <c r="BK247" s="36"/>
      <c r="BL247" s="32">
        <v>4000000</v>
      </c>
      <c r="BM247" s="36">
        <v>1</v>
      </c>
      <c r="BN247" s="36"/>
      <c r="BO247" s="32">
        <v>40160002</v>
      </c>
      <c r="BP247" s="32" t="str" cm="1">
        <f t="array" ref="BP247">INDEX($D:$D,MATCH(BO247,$A:$A,0))</f>
        <v>法师技能书</v>
      </c>
      <c r="BQ247" s="36"/>
      <c r="BR247" s="36"/>
      <c r="BS247" s="36"/>
      <c r="BT247" s="32">
        <v>4000000</v>
      </c>
      <c r="BU247" s="36">
        <v>1</v>
      </c>
      <c r="BV247" s="36"/>
      <c r="BW247" s="32">
        <v>40160003</v>
      </c>
      <c r="BX247" s="32" t="str" cm="1">
        <f t="array" ref="BX247">INDEX($D:$D,MATCH(BW247,$A:$A,0))</f>
        <v>道士技能数</v>
      </c>
      <c r="BY247" s="36"/>
      <c r="BZ247" s="36"/>
      <c r="CA247" s="36"/>
      <c r="CB247" s="32">
        <v>4000000</v>
      </c>
      <c r="CC247" s="36">
        <v>1</v>
      </c>
      <c r="CD247" s="32"/>
      <c r="CE247" s="32">
        <v>40160004</v>
      </c>
      <c r="CF247" s="32" t="str" cm="1">
        <f t="array" ref="CF247">INDEX($D:$D,MATCH(CE247,$A:$A,0))</f>
        <v>珍惜道具</v>
      </c>
      <c r="CG247" s="36"/>
      <c r="CH247" s="36"/>
      <c r="CI247" s="36"/>
      <c r="CJ247" s="32">
        <v>4000000</v>
      </c>
      <c r="CK247" s="36">
        <v>1</v>
      </c>
      <c r="CL247" s="36"/>
      <c r="CM247" s="32">
        <v>40160005</v>
      </c>
      <c r="CN247" s="32" t="str" cm="1">
        <f t="array" ref="CN247">INDEX($D:$D,MATCH(CM247,$A:$A,0))</f>
        <v>杂货道具</v>
      </c>
      <c r="CO247" s="36"/>
      <c r="CP247" s="36"/>
      <c r="CQ247" s="36"/>
      <c r="CR247" s="32">
        <v>4000000</v>
      </c>
      <c r="CS247" s="36">
        <v>1</v>
      </c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6"/>
      <c r="GF247" s="36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6"/>
      <c r="GW247" s="36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6"/>
      <c r="HN247" s="36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6"/>
      <c r="IE247" s="36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6"/>
      <c r="IV247" s="36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</row>
    <row r="248" s="29" customFormat="1" ht="17.25" spans="1:266">
      <c r="A248" s="33">
        <f>40000000+INDEX(编号表!$B:$B,MATCH(B248,编号表!$A:$A,0))*10000+C248</f>
        <v>40140009</v>
      </c>
      <c r="B248" s="34" t="s">
        <v>646</v>
      </c>
      <c r="C248" s="33">
        <v>9</v>
      </c>
      <c r="D248" s="32" t="s">
        <v>655</v>
      </c>
      <c r="E248" s="32" t="s">
        <v>437</v>
      </c>
      <c r="F248" s="31">
        <f t="shared" si="23"/>
        <v>72000000</v>
      </c>
      <c r="G248" s="36"/>
      <c r="H248" s="36"/>
      <c r="I248" s="36"/>
      <c r="J248" s="33">
        <f t="shared" si="22"/>
        <v>11</v>
      </c>
      <c r="K248" s="36">
        <v>40010026</v>
      </c>
      <c r="L248" s="32" t="str" cm="1">
        <f t="array" ref="L248">INDEX($D:$D,MATCH(K248,$A:$A,0))</f>
        <v>45级精英金币1350</v>
      </c>
      <c r="M248" s="36"/>
      <c r="N248" s="36"/>
      <c r="O248" s="36"/>
      <c r="P248" s="32">
        <v>26000000</v>
      </c>
      <c r="Q248" s="36">
        <v>1</v>
      </c>
      <c r="R248" s="36"/>
      <c r="S248" s="36">
        <v>40020009</v>
      </c>
      <c r="T248" s="32" t="str" cm="1">
        <f t="array" ref="T248">INDEX($D:$D,MATCH(S248,$A:$A,0))</f>
        <v>45级精英灵符45</v>
      </c>
      <c r="U248" s="36"/>
      <c r="V248" s="36"/>
      <c r="W248" s="36"/>
      <c r="X248" s="32">
        <v>5000000</v>
      </c>
      <c r="Y248" s="36">
        <v>1</v>
      </c>
      <c r="Z248" s="36"/>
      <c r="AA248" s="32">
        <v>40050009</v>
      </c>
      <c r="AB248" s="32" t="str" cm="1">
        <f t="array" ref="AB248">INDEX($D:$D,MATCH(AA248,$A:$A,0))</f>
        <v>56到60级六格</v>
      </c>
      <c r="AC248" s="36"/>
      <c r="AD248" s="36"/>
      <c r="AE248" s="36"/>
      <c r="AF248" s="32">
        <v>12000000</v>
      </c>
      <c r="AG248" s="36">
        <v>1</v>
      </c>
      <c r="AH248" s="36"/>
      <c r="AI248" s="15">
        <v>40030009</v>
      </c>
      <c r="AJ248" s="32" t="str" cm="1">
        <f t="array" ref="AJ248">INDEX($D:$D,MATCH(AI248,$A:$A,0))</f>
        <v>56到60级装备</v>
      </c>
      <c r="AK248" s="36"/>
      <c r="AL248" s="36"/>
      <c r="AM248" s="36"/>
      <c r="AN248" s="32">
        <v>8000000</v>
      </c>
      <c r="AO248" s="36">
        <v>1</v>
      </c>
      <c r="AP248" s="36"/>
      <c r="AQ248" s="15">
        <v>40040009</v>
      </c>
      <c r="AR248" s="32" t="str" cm="1">
        <f t="array" ref="AR248">INDEX($D:$D,MATCH(AQ248,$A:$A,0))</f>
        <v>56到60级四格</v>
      </c>
      <c r="AS248" s="36"/>
      <c r="AT248" s="36"/>
      <c r="AU248" s="36"/>
      <c r="AV248" s="32">
        <v>5000000</v>
      </c>
      <c r="AW248" s="36">
        <v>1</v>
      </c>
      <c r="AX248" s="36"/>
      <c r="AY248" s="15"/>
      <c r="AZ248" s="32"/>
      <c r="BA248" s="36"/>
      <c r="BB248" s="36"/>
      <c r="BC248" s="36"/>
      <c r="BD248" s="32">
        <v>8000000</v>
      </c>
      <c r="BE248" s="36">
        <v>1</v>
      </c>
      <c r="BF248" s="36"/>
      <c r="BG248" s="32">
        <v>40160001</v>
      </c>
      <c r="BH248" s="32" t="str" cm="1">
        <f t="array" ref="BH248">INDEX($D:$D,MATCH(BG248,$A:$A,0))</f>
        <v>战士技能书</v>
      </c>
      <c r="BI248" s="36"/>
      <c r="BJ248" s="36"/>
      <c r="BK248" s="36"/>
      <c r="BL248" s="32">
        <v>4000000</v>
      </c>
      <c r="BM248" s="36">
        <v>1</v>
      </c>
      <c r="BN248" s="36"/>
      <c r="BO248" s="32">
        <v>40160002</v>
      </c>
      <c r="BP248" s="32" t="str" cm="1">
        <f t="array" ref="BP248">INDEX($D:$D,MATCH(BO248,$A:$A,0))</f>
        <v>法师技能书</v>
      </c>
      <c r="BQ248" s="36"/>
      <c r="BR248" s="36"/>
      <c r="BS248" s="36"/>
      <c r="BT248" s="32">
        <v>4000000</v>
      </c>
      <c r="BU248" s="36">
        <v>1</v>
      </c>
      <c r="BV248" s="36"/>
      <c r="BW248" s="32">
        <v>40160003</v>
      </c>
      <c r="BX248" s="32" t="str" cm="1">
        <f t="array" ref="BX248">INDEX($D:$D,MATCH(BW248,$A:$A,0))</f>
        <v>道士技能数</v>
      </c>
      <c r="BY248" s="36"/>
      <c r="BZ248" s="36"/>
      <c r="CA248" s="36"/>
      <c r="CB248" s="32">
        <v>4000000</v>
      </c>
      <c r="CC248" s="36">
        <v>1</v>
      </c>
      <c r="CD248" s="32"/>
      <c r="CE248" s="32">
        <v>40160004</v>
      </c>
      <c r="CF248" s="32" t="str" cm="1">
        <f t="array" ref="CF248">INDEX($D:$D,MATCH(CE248,$A:$A,0))</f>
        <v>珍惜道具</v>
      </c>
      <c r="CG248" s="36"/>
      <c r="CH248" s="36"/>
      <c r="CI248" s="36"/>
      <c r="CJ248" s="32">
        <v>4000000</v>
      </c>
      <c r="CK248" s="36">
        <v>1</v>
      </c>
      <c r="CL248" s="36"/>
      <c r="CM248" s="32">
        <v>40160005</v>
      </c>
      <c r="CN248" s="32" t="str" cm="1">
        <f t="array" ref="CN248">INDEX($D:$D,MATCH(CM248,$A:$A,0))</f>
        <v>杂货道具</v>
      </c>
      <c r="CO248" s="36"/>
      <c r="CP248" s="36"/>
      <c r="CQ248" s="36"/>
      <c r="CR248" s="32">
        <v>4000000</v>
      </c>
      <c r="CS248" s="36">
        <v>1</v>
      </c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6"/>
      <c r="GF248" s="36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6"/>
      <c r="GW248" s="36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6"/>
      <c r="HN248" s="36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6"/>
      <c r="IE248" s="36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6"/>
      <c r="IV248" s="36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</row>
    <row r="249" s="29" customFormat="1" ht="17.25" spans="1:266">
      <c r="A249" s="33">
        <f>40000000+INDEX(编号表!$B:$B,MATCH(B249,编号表!$A:$A,0))*10000+C249</f>
        <v>40140010</v>
      </c>
      <c r="B249" s="34" t="s">
        <v>646</v>
      </c>
      <c r="C249" s="33">
        <v>10</v>
      </c>
      <c r="D249" s="32" t="s">
        <v>656</v>
      </c>
      <c r="E249" s="32" t="s">
        <v>437</v>
      </c>
      <c r="F249" s="31">
        <f t="shared" si="23"/>
        <v>72000000</v>
      </c>
      <c r="G249" s="36"/>
      <c r="H249" s="36"/>
      <c r="I249" s="36"/>
      <c r="J249" s="33">
        <f t="shared" si="22"/>
        <v>11</v>
      </c>
      <c r="K249" s="36">
        <v>40010027</v>
      </c>
      <c r="L249" s="32" t="str" cm="1">
        <f t="array" ref="L249">INDEX($D:$D,MATCH(K249,$A:$A,0))</f>
        <v>50级精英金币1500</v>
      </c>
      <c r="M249" s="36"/>
      <c r="N249" s="36"/>
      <c r="O249" s="36"/>
      <c r="P249" s="32">
        <v>26000000</v>
      </c>
      <c r="Q249" s="36">
        <v>1</v>
      </c>
      <c r="R249" s="36"/>
      <c r="S249" s="36">
        <v>40020010</v>
      </c>
      <c r="T249" s="32" t="str" cm="1">
        <f t="array" ref="T249">INDEX($D:$D,MATCH(S249,$A:$A,0))</f>
        <v>50级精英灵符50</v>
      </c>
      <c r="U249" s="36"/>
      <c r="V249" s="36"/>
      <c r="W249" s="36"/>
      <c r="X249" s="32">
        <v>5000000</v>
      </c>
      <c r="Y249" s="36">
        <v>1</v>
      </c>
      <c r="Z249" s="36"/>
      <c r="AA249" s="32">
        <v>40050010</v>
      </c>
      <c r="AB249" s="32" t="str" cm="1">
        <f t="array" ref="AB249">INDEX($D:$D,MATCH(AA249,$A:$A,0))</f>
        <v>61到65级六格</v>
      </c>
      <c r="AC249" s="36"/>
      <c r="AD249" s="36"/>
      <c r="AE249" s="36"/>
      <c r="AF249" s="32">
        <v>12000000</v>
      </c>
      <c r="AG249" s="36">
        <v>1</v>
      </c>
      <c r="AH249" s="36"/>
      <c r="AI249" s="15">
        <v>40030010</v>
      </c>
      <c r="AJ249" s="32" t="str" cm="1">
        <f t="array" ref="AJ249">INDEX($D:$D,MATCH(AI249,$A:$A,0))</f>
        <v>61到65级装备</v>
      </c>
      <c r="AK249" s="36"/>
      <c r="AL249" s="36"/>
      <c r="AM249" s="36"/>
      <c r="AN249" s="32">
        <v>8000000</v>
      </c>
      <c r="AO249" s="36">
        <v>1</v>
      </c>
      <c r="AP249" s="36"/>
      <c r="AQ249" s="15">
        <v>40040010</v>
      </c>
      <c r="AR249" s="32" t="str" cm="1">
        <f t="array" ref="AR249">INDEX($D:$D,MATCH(AQ249,$A:$A,0))</f>
        <v>61到65级四格</v>
      </c>
      <c r="AS249" s="36"/>
      <c r="AT249" s="36"/>
      <c r="AU249" s="36"/>
      <c r="AV249" s="32">
        <v>5000000</v>
      </c>
      <c r="AW249" s="36">
        <v>1</v>
      </c>
      <c r="AX249" s="36"/>
      <c r="AY249" s="15"/>
      <c r="AZ249" s="32"/>
      <c r="BA249" s="36"/>
      <c r="BB249" s="36"/>
      <c r="BC249" s="36"/>
      <c r="BD249" s="32">
        <v>8000000</v>
      </c>
      <c r="BE249" s="36">
        <v>1</v>
      </c>
      <c r="BF249" s="36"/>
      <c r="BG249" s="32">
        <v>40160001</v>
      </c>
      <c r="BH249" s="32" t="str" cm="1">
        <f t="array" ref="BH249">INDEX($D:$D,MATCH(BG249,$A:$A,0))</f>
        <v>战士技能书</v>
      </c>
      <c r="BI249" s="36"/>
      <c r="BJ249" s="36"/>
      <c r="BK249" s="36"/>
      <c r="BL249" s="32">
        <v>4000000</v>
      </c>
      <c r="BM249" s="36">
        <v>1</v>
      </c>
      <c r="BN249" s="36"/>
      <c r="BO249" s="32">
        <v>40160002</v>
      </c>
      <c r="BP249" s="32" t="str" cm="1">
        <f t="array" ref="BP249">INDEX($D:$D,MATCH(BO249,$A:$A,0))</f>
        <v>法师技能书</v>
      </c>
      <c r="BQ249" s="36"/>
      <c r="BR249" s="36"/>
      <c r="BS249" s="36"/>
      <c r="BT249" s="32">
        <v>4000000</v>
      </c>
      <c r="BU249" s="36">
        <v>1</v>
      </c>
      <c r="BV249" s="36"/>
      <c r="BW249" s="32">
        <v>40160003</v>
      </c>
      <c r="BX249" s="32" t="str" cm="1">
        <f t="array" ref="BX249">INDEX($D:$D,MATCH(BW249,$A:$A,0))</f>
        <v>道士技能数</v>
      </c>
      <c r="BY249" s="36"/>
      <c r="BZ249" s="36"/>
      <c r="CA249" s="36"/>
      <c r="CB249" s="32">
        <v>4000000</v>
      </c>
      <c r="CC249" s="36">
        <v>1</v>
      </c>
      <c r="CD249" s="32"/>
      <c r="CE249" s="32">
        <v>40160004</v>
      </c>
      <c r="CF249" s="32" t="str" cm="1">
        <f t="array" ref="CF249">INDEX($D:$D,MATCH(CE249,$A:$A,0))</f>
        <v>珍惜道具</v>
      </c>
      <c r="CG249" s="36"/>
      <c r="CH249" s="36"/>
      <c r="CI249" s="36"/>
      <c r="CJ249" s="32">
        <v>4000000</v>
      </c>
      <c r="CK249" s="36">
        <v>1</v>
      </c>
      <c r="CL249" s="36"/>
      <c r="CM249" s="32">
        <v>40160005</v>
      </c>
      <c r="CN249" s="32" t="str" cm="1">
        <f t="array" ref="CN249">INDEX($D:$D,MATCH(CM249,$A:$A,0))</f>
        <v>杂货道具</v>
      </c>
      <c r="CO249" s="36"/>
      <c r="CP249" s="36"/>
      <c r="CQ249" s="36"/>
      <c r="CR249" s="32">
        <v>4000000</v>
      </c>
      <c r="CS249" s="36">
        <v>1</v>
      </c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6"/>
      <c r="EX249" s="36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/>
      <c r="FO249" s="36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6"/>
      <c r="GF249" s="36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6"/>
      <c r="GW249" s="36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6"/>
      <c r="HN249" s="36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6"/>
      <c r="IE249" s="36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6"/>
      <c r="IV249" s="36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</row>
    <row r="250" s="29" customFormat="1" ht="17.25" spans="1:266">
      <c r="A250" s="33">
        <f>40000000+INDEX(编号表!$B:$B,MATCH(B250,编号表!$A:$A,0))*10000+C250</f>
        <v>40140011</v>
      </c>
      <c r="B250" s="34" t="s">
        <v>646</v>
      </c>
      <c r="C250" s="33">
        <v>11</v>
      </c>
      <c r="D250" s="32" t="s">
        <v>657</v>
      </c>
      <c r="E250" s="32" t="s">
        <v>437</v>
      </c>
      <c r="F250" s="31">
        <f t="shared" si="23"/>
        <v>72000000</v>
      </c>
      <c r="G250" s="36"/>
      <c r="H250" s="36"/>
      <c r="I250" s="36"/>
      <c r="J250" s="33">
        <f t="shared" si="22"/>
        <v>11</v>
      </c>
      <c r="K250" s="36">
        <v>40010028</v>
      </c>
      <c r="L250" s="32" t="str" cm="1">
        <f t="array" ref="L250">INDEX($D:$D,MATCH(K250,$A:$A,0))</f>
        <v>55级精英金币1650</v>
      </c>
      <c r="M250" s="36"/>
      <c r="N250" s="36"/>
      <c r="O250" s="36"/>
      <c r="P250" s="32">
        <v>26000000</v>
      </c>
      <c r="Q250" s="36">
        <v>1</v>
      </c>
      <c r="R250" s="36"/>
      <c r="S250" s="36">
        <v>40020011</v>
      </c>
      <c r="T250" s="32" t="str" cm="1">
        <f t="array" ref="T250">INDEX($D:$D,MATCH(S250,$A:$A,0))</f>
        <v>55级精英灵符55</v>
      </c>
      <c r="U250" s="36"/>
      <c r="V250" s="36"/>
      <c r="W250" s="36"/>
      <c r="X250" s="32">
        <v>5000000</v>
      </c>
      <c r="Y250" s="36">
        <v>1</v>
      </c>
      <c r="Z250" s="36"/>
      <c r="AA250" s="32">
        <v>40050011</v>
      </c>
      <c r="AB250" s="32" t="str" cm="1">
        <f t="array" ref="AB250">INDEX($D:$D,MATCH(AA250,$A:$A,0))</f>
        <v>66到70级六格</v>
      </c>
      <c r="AC250" s="36"/>
      <c r="AD250" s="36"/>
      <c r="AE250" s="36"/>
      <c r="AF250" s="32">
        <v>12000000</v>
      </c>
      <c r="AG250" s="36">
        <v>1</v>
      </c>
      <c r="AH250" s="36"/>
      <c r="AI250" s="15">
        <v>40030011</v>
      </c>
      <c r="AJ250" s="32" t="str" cm="1">
        <f t="array" ref="AJ250">INDEX($D:$D,MATCH(AI250,$A:$A,0))</f>
        <v>66到70级装备</v>
      </c>
      <c r="AK250" s="36"/>
      <c r="AL250" s="36"/>
      <c r="AM250" s="36"/>
      <c r="AN250" s="32">
        <v>8000000</v>
      </c>
      <c r="AO250" s="36">
        <v>1</v>
      </c>
      <c r="AP250" s="36"/>
      <c r="AQ250" s="15">
        <v>40040011</v>
      </c>
      <c r="AR250" s="32" t="str" cm="1">
        <f t="array" ref="AR250">INDEX($D:$D,MATCH(AQ250,$A:$A,0))</f>
        <v>66到70级四格</v>
      </c>
      <c r="AS250" s="36"/>
      <c r="AT250" s="36"/>
      <c r="AU250" s="36"/>
      <c r="AV250" s="32">
        <v>5000000</v>
      </c>
      <c r="AW250" s="36">
        <v>1</v>
      </c>
      <c r="AX250" s="36"/>
      <c r="AY250" s="15"/>
      <c r="AZ250" s="32"/>
      <c r="BA250" s="36"/>
      <c r="BB250" s="36"/>
      <c r="BC250" s="36"/>
      <c r="BD250" s="32">
        <v>8000000</v>
      </c>
      <c r="BE250" s="36">
        <v>1</v>
      </c>
      <c r="BF250" s="36"/>
      <c r="BG250" s="32">
        <v>40160001</v>
      </c>
      <c r="BH250" s="32" t="str" cm="1">
        <f t="array" ref="BH250">INDEX($D:$D,MATCH(BG250,$A:$A,0))</f>
        <v>战士技能书</v>
      </c>
      <c r="BI250" s="36"/>
      <c r="BJ250" s="36"/>
      <c r="BK250" s="36"/>
      <c r="BL250" s="32">
        <v>4000000</v>
      </c>
      <c r="BM250" s="36">
        <v>1</v>
      </c>
      <c r="BN250" s="36"/>
      <c r="BO250" s="32">
        <v>40160002</v>
      </c>
      <c r="BP250" s="32" t="str" cm="1">
        <f t="array" ref="BP250">INDEX($D:$D,MATCH(BO250,$A:$A,0))</f>
        <v>法师技能书</v>
      </c>
      <c r="BQ250" s="36"/>
      <c r="BR250" s="36"/>
      <c r="BS250" s="36"/>
      <c r="BT250" s="32">
        <v>4000000</v>
      </c>
      <c r="BU250" s="36">
        <v>1</v>
      </c>
      <c r="BV250" s="36"/>
      <c r="BW250" s="32">
        <v>40160003</v>
      </c>
      <c r="BX250" s="32" t="str" cm="1">
        <f t="array" ref="BX250">INDEX($D:$D,MATCH(BW250,$A:$A,0))</f>
        <v>道士技能数</v>
      </c>
      <c r="BY250" s="36"/>
      <c r="BZ250" s="36"/>
      <c r="CA250" s="36"/>
      <c r="CB250" s="32">
        <v>4000000</v>
      </c>
      <c r="CC250" s="36">
        <v>1</v>
      </c>
      <c r="CD250" s="32"/>
      <c r="CE250" s="32">
        <v>40160004</v>
      </c>
      <c r="CF250" s="32" t="str" cm="1">
        <f t="array" ref="CF250">INDEX($D:$D,MATCH(CE250,$A:$A,0))</f>
        <v>珍惜道具</v>
      </c>
      <c r="CG250" s="36"/>
      <c r="CH250" s="36"/>
      <c r="CI250" s="36"/>
      <c r="CJ250" s="32">
        <v>4000000</v>
      </c>
      <c r="CK250" s="36">
        <v>1</v>
      </c>
      <c r="CL250" s="36"/>
      <c r="CM250" s="32">
        <v>40160005</v>
      </c>
      <c r="CN250" s="32" t="str" cm="1">
        <f t="array" ref="CN250">INDEX($D:$D,MATCH(CM250,$A:$A,0))</f>
        <v>杂货道具</v>
      </c>
      <c r="CO250" s="36"/>
      <c r="CP250" s="36"/>
      <c r="CQ250" s="36"/>
      <c r="CR250" s="32">
        <v>4000000</v>
      </c>
      <c r="CS250" s="36">
        <v>1</v>
      </c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6"/>
      <c r="EG250" s="36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6"/>
      <c r="EX250" s="36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6"/>
      <c r="FO250" s="36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6"/>
      <c r="GF250" s="36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6"/>
      <c r="GW250" s="36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6"/>
      <c r="HN250" s="36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6"/>
      <c r="IE250" s="36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6"/>
      <c r="IV250" s="36"/>
      <c r="IW250" s="36"/>
      <c r="IX250" s="36"/>
      <c r="IY250" s="36"/>
      <c r="IZ250" s="36"/>
      <c r="JA250" s="36"/>
      <c r="JB250" s="36"/>
      <c r="JC250" s="36"/>
      <c r="JD250" s="36"/>
      <c r="JE250" s="36"/>
      <c r="JF250" s="36"/>
    </row>
    <row r="251" s="29" customFormat="1" ht="17.25" spans="1:266">
      <c r="A251" s="33">
        <f>40000000+INDEX(编号表!$B:$B,MATCH(B251,编号表!$A:$A,0))*10000+C251</f>
        <v>40140012</v>
      </c>
      <c r="B251" s="34" t="s">
        <v>646</v>
      </c>
      <c r="C251" s="33">
        <v>12</v>
      </c>
      <c r="D251" s="32" t="s">
        <v>658</v>
      </c>
      <c r="E251" s="32" t="s">
        <v>437</v>
      </c>
      <c r="F251" s="31">
        <f t="shared" si="23"/>
        <v>72000000</v>
      </c>
      <c r="G251" s="36"/>
      <c r="H251" s="36"/>
      <c r="I251" s="36"/>
      <c r="J251" s="33">
        <f t="shared" si="22"/>
        <v>11</v>
      </c>
      <c r="K251" s="36">
        <v>40010029</v>
      </c>
      <c r="L251" s="32" t="str" cm="1">
        <f t="array" ref="L251">INDEX($D:$D,MATCH(K251,$A:$A,0))</f>
        <v>60级精英金币1800</v>
      </c>
      <c r="M251" s="36"/>
      <c r="N251" s="36"/>
      <c r="O251" s="36"/>
      <c r="P251" s="32">
        <v>26000000</v>
      </c>
      <c r="Q251" s="36">
        <v>1</v>
      </c>
      <c r="R251" s="36"/>
      <c r="S251" s="36">
        <v>40020012</v>
      </c>
      <c r="T251" s="32" t="str" cm="1">
        <f t="array" ref="T251">INDEX($D:$D,MATCH(S251,$A:$A,0))</f>
        <v>60级精英灵符60</v>
      </c>
      <c r="U251" s="36"/>
      <c r="V251" s="36"/>
      <c r="W251" s="36"/>
      <c r="X251" s="32">
        <v>5000000</v>
      </c>
      <c r="Y251" s="36">
        <v>1</v>
      </c>
      <c r="Z251" s="36"/>
      <c r="AA251" s="32">
        <v>40050012</v>
      </c>
      <c r="AB251" s="32" t="str" cm="1">
        <f t="array" ref="AB251">INDEX($D:$D,MATCH(AA251,$A:$A,0))</f>
        <v>71到75级六格</v>
      </c>
      <c r="AC251" s="36"/>
      <c r="AD251" s="36"/>
      <c r="AE251" s="36"/>
      <c r="AF251" s="32">
        <v>12000000</v>
      </c>
      <c r="AG251" s="36">
        <v>1</v>
      </c>
      <c r="AH251" s="36"/>
      <c r="AI251" s="15">
        <v>40030012</v>
      </c>
      <c r="AJ251" s="32" t="str" cm="1">
        <f t="array" ref="AJ251">INDEX($D:$D,MATCH(AI251,$A:$A,0))</f>
        <v>71到75级装备</v>
      </c>
      <c r="AK251" s="36"/>
      <c r="AL251" s="36"/>
      <c r="AM251" s="36"/>
      <c r="AN251" s="32">
        <v>8000000</v>
      </c>
      <c r="AO251" s="36">
        <v>1</v>
      </c>
      <c r="AP251" s="36"/>
      <c r="AQ251" s="15">
        <v>40040012</v>
      </c>
      <c r="AR251" s="32" t="str" cm="1">
        <f t="array" ref="AR251">INDEX($D:$D,MATCH(AQ251,$A:$A,0))</f>
        <v>71到75级四格</v>
      </c>
      <c r="AS251" s="36"/>
      <c r="AT251" s="36"/>
      <c r="AU251" s="36"/>
      <c r="AV251" s="32">
        <v>5000000</v>
      </c>
      <c r="AW251" s="36">
        <v>1</v>
      </c>
      <c r="AX251" s="36"/>
      <c r="AY251" s="15"/>
      <c r="AZ251" s="32"/>
      <c r="BA251" s="36"/>
      <c r="BB251" s="36"/>
      <c r="BC251" s="36"/>
      <c r="BD251" s="32">
        <v>8000000</v>
      </c>
      <c r="BE251" s="36">
        <v>1</v>
      </c>
      <c r="BF251" s="36"/>
      <c r="BG251" s="32">
        <v>40160001</v>
      </c>
      <c r="BH251" s="32" t="str" cm="1">
        <f t="array" ref="BH251">INDEX($D:$D,MATCH(BG251,$A:$A,0))</f>
        <v>战士技能书</v>
      </c>
      <c r="BI251" s="36"/>
      <c r="BJ251" s="36"/>
      <c r="BK251" s="36"/>
      <c r="BL251" s="32">
        <v>4000000</v>
      </c>
      <c r="BM251" s="36">
        <v>1</v>
      </c>
      <c r="BN251" s="36"/>
      <c r="BO251" s="32">
        <v>40160002</v>
      </c>
      <c r="BP251" s="32" t="str" cm="1">
        <f t="array" ref="BP251">INDEX($D:$D,MATCH(BO251,$A:$A,0))</f>
        <v>法师技能书</v>
      </c>
      <c r="BQ251" s="36"/>
      <c r="BR251" s="36"/>
      <c r="BS251" s="36"/>
      <c r="BT251" s="32">
        <v>4000000</v>
      </c>
      <c r="BU251" s="36">
        <v>1</v>
      </c>
      <c r="BV251" s="36"/>
      <c r="BW251" s="32">
        <v>40160003</v>
      </c>
      <c r="BX251" s="32" t="str" cm="1">
        <f t="array" ref="BX251">INDEX($D:$D,MATCH(BW251,$A:$A,0))</f>
        <v>道士技能数</v>
      </c>
      <c r="BY251" s="36"/>
      <c r="BZ251" s="36"/>
      <c r="CA251" s="36"/>
      <c r="CB251" s="32">
        <v>4000000</v>
      </c>
      <c r="CC251" s="36">
        <v>1</v>
      </c>
      <c r="CD251" s="32"/>
      <c r="CE251" s="32">
        <v>40160004</v>
      </c>
      <c r="CF251" s="32" t="str" cm="1">
        <f t="array" ref="CF251">INDEX($D:$D,MATCH(CE251,$A:$A,0))</f>
        <v>珍惜道具</v>
      </c>
      <c r="CG251" s="36"/>
      <c r="CH251" s="36"/>
      <c r="CI251" s="36"/>
      <c r="CJ251" s="32">
        <v>4000000</v>
      </c>
      <c r="CK251" s="36">
        <v>1</v>
      </c>
      <c r="CL251" s="36"/>
      <c r="CM251" s="32">
        <v>40160005</v>
      </c>
      <c r="CN251" s="32" t="str" cm="1">
        <f t="array" ref="CN251">INDEX($D:$D,MATCH(CM251,$A:$A,0))</f>
        <v>杂货道具</v>
      </c>
      <c r="CO251" s="36"/>
      <c r="CP251" s="36"/>
      <c r="CQ251" s="36"/>
      <c r="CR251" s="32">
        <v>4000000</v>
      </c>
      <c r="CS251" s="36">
        <v>1</v>
      </c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6"/>
      <c r="GF251" s="36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6"/>
      <c r="GW251" s="36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6"/>
      <c r="HN251" s="36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6"/>
      <c r="IE251" s="36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6"/>
      <c r="IV251" s="36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</row>
    <row r="252" s="29" customFormat="1" ht="17.25" spans="1:266">
      <c r="A252" s="33">
        <f>40000000+INDEX(编号表!$B:$B,MATCH(B252,编号表!$A:$A,0))*10000+C252</f>
        <v>40140013</v>
      </c>
      <c r="B252" s="34" t="s">
        <v>646</v>
      </c>
      <c r="C252" s="33">
        <v>13</v>
      </c>
      <c r="D252" s="32" t="s">
        <v>659</v>
      </c>
      <c r="E252" s="32" t="s">
        <v>437</v>
      </c>
      <c r="F252" s="31">
        <f t="shared" si="23"/>
        <v>72000000</v>
      </c>
      <c r="G252" s="36"/>
      <c r="H252" s="36"/>
      <c r="I252" s="36"/>
      <c r="J252" s="33">
        <f t="shared" si="22"/>
        <v>11</v>
      </c>
      <c r="K252" s="36">
        <v>40010030</v>
      </c>
      <c r="L252" s="32" t="str" cm="1">
        <f t="array" ref="L252">INDEX($D:$D,MATCH(K252,$A:$A,0))</f>
        <v>65级精英金币1950</v>
      </c>
      <c r="M252" s="36"/>
      <c r="N252" s="36"/>
      <c r="O252" s="36"/>
      <c r="P252" s="32">
        <v>26000000</v>
      </c>
      <c r="Q252" s="36">
        <v>1</v>
      </c>
      <c r="R252" s="36"/>
      <c r="S252" s="36">
        <v>40020013</v>
      </c>
      <c r="T252" s="32" t="str" cm="1">
        <f t="array" ref="T252">INDEX($D:$D,MATCH(S252,$A:$A,0))</f>
        <v>65级精英灵符65</v>
      </c>
      <c r="U252" s="36"/>
      <c r="V252" s="36"/>
      <c r="W252" s="36"/>
      <c r="X252" s="32">
        <v>5000000</v>
      </c>
      <c r="Y252" s="36">
        <v>1</v>
      </c>
      <c r="Z252" s="36"/>
      <c r="AA252" s="32">
        <v>40050013</v>
      </c>
      <c r="AB252" s="32" t="str" cm="1">
        <f t="array" ref="AB252">INDEX($D:$D,MATCH(AA252,$A:$A,0))</f>
        <v>76到80级六格</v>
      </c>
      <c r="AC252" s="36"/>
      <c r="AD252" s="36"/>
      <c r="AE252" s="36"/>
      <c r="AF252" s="32">
        <v>12000000</v>
      </c>
      <c r="AG252" s="36">
        <v>1</v>
      </c>
      <c r="AH252" s="36"/>
      <c r="AI252" s="15">
        <v>40030013</v>
      </c>
      <c r="AJ252" s="32" t="str" cm="1">
        <f t="array" ref="AJ252">INDEX($D:$D,MATCH(AI252,$A:$A,0))</f>
        <v>76到80级装备</v>
      </c>
      <c r="AK252" s="36"/>
      <c r="AL252" s="36"/>
      <c r="AM252" s="36"/>
      <c r="AN252" s="32">
        <v>8000000</v>
      </c>
      <c r="AO252" s="36">
        <v>1</v>
      </c>
      <c r="AP252" s="36"/>
      <c r="AQ252" s="15">
        <v>40040013</v>
      </c>
      <c r="AR252" s="32" t="str" cm="1">
        <f t="array" ref="AR252">INDEX($D:$D,MATCH(AQ252,$A:$A,0))</f>
        <v>76到80级四格</v>
      </c>
      <c r="AS252" s="36"/>
      <c r="AT252" s="36"/>
      <c r="AU252" s="36"/>
      <c r="AV252" s="32">
        <v>5000000</v>
      </c>
      <c r="AW252" s="36">
        <v>1</v>
      </c>
      <c r="AX252" s="36"/>
      <c r="AY252" s="15"/>
      <c r="AZ252" s="32"/>
      <c r="BA252" s="36"/>
      <c r="BB252" s="36"/>
      <c r="BC252" s="36"/>
      <c r="BD252" s="32">
        <v>8000000</v>
      </c>
      <c r="BE252" s="36">
        <v>1</v>
      </c>
      <c r="BF252" s="36"/>
      <c r="BG252" s="32">
        <v>40160001</v>
      </c>
      <c r="BH252" s="32" t="str" cm="1">
        <f t="array" ref="BH252">INDEX($D:$D,MATCH(BG252,$A:$A,0))</f>
        <v>战士技能书</v>
      </c>
      <c r="BI252" s="36"/>
      <c r="BJ252" s="36"/>
      <c r="BK252" s="36"/>
      <c r="BL252" s="32">
        <v>4000000</v>
      </c>
      <c r="BM252" s="36">
        <v>1</v>
      </c>
      <c r="BN252" s="36"/>
      <c r="BO252" s="32">
        <v>40160002</v>
      </c>
      <c r="BP252" s="32" t="str" cm="1">
        <f t="array" ref="BP252">INDEX($D:$D,MATCH(BO252,$A:$A,0))</f>
        <v>法师技能书</v>
      </c>
      <c r="BQ252" s="36"/>
      <c r="BR252" s="36"/>
      <c r="BS252" s="36"/>
      <c r="BT252" s="32">
        <v>4000000</v>
      </c>
      <c r="BU252" s="36">
        <v>1</v>
      </c>
      <c r="BV252" s="36"/>
      <c r="BW252" s="32">
        <v>40160003</v>
      </c>
      <c r="BX252" s="32" t="str" cm="1">
        <f t="array" ref="BX252">INDEX($D:$D,MATCH(BW252,$A:$A,0))</f>
        <v>道士技能数</v>
      </c>
      <c r="BY252" s="36"/>
      <c r="BZ252" s="36"/>
      <c r="CA252" s="36"/>
      <c r="CB252" s="32">
        <v>4000000</v>
      </c>
      <c r="CC252" s="36">
        <v>1</v>
      </c>
      <c r="CD252" s="32"/>
      <c r="CE252" s="32">
        <v>40160004</v>
      </c>
      <c r="CF252" s="32" t="str" cm="1">
        <f t="array" ref="CF252">INDEX($D:$D,MATCH(CE252,$A:$A,0))</f>
        <v>珍惜道具</v>
      </c>
      <c r="CG252" s="36"/>
      <c r="CH252" s="36"/>
      <c r="CI252" s="36"/>
      <c r="CJ252" s="32">
        <v>4000000</v>
      </c>
      <c r="CK252" s="36">
        <v>1</v>
      </c>
      <c r="CL252" s="36"/>
      <c r="CM252" s="32">
        <v>40160005</v>
      </c>
      <c r="CN252" s="32" t="str" cm="1">
        <f t="array" ref="CN252">INDEX($D:$D,MATCH(CM252,$A:$A,0))</f>
        <v>杂货道具</v>
      </c>
      <c r="CO252" s="36"/>
      <c r="CP252" s="36"/>
      <c r="CQ252" s="36"/>
      <c r="CR252" s="32">
        <v>4000000</v>
      </c>
      <c r="CS252" s="36">
        <v>1</v>
      </c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6"/>
      <c r="EG252" s="36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6"/>
      <c r="EX252" s="36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6"/>
      <c r="FO252" s="36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6"/>
      <c r="GF252" s="36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6"/>
      <c r="GW252" s="36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6"/>
      <c r="HN252" s="36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6"/>
      <c r="IE252" s="36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6"/>
      <c r="IV252" s="36"/>
      <c r="IW252" s="36"/>
      <c r="IX252" s="36"/>
      <c r="IY252" s="36"/>
      <c r="IZ252" s="36"/>
      <c r="JA252" s="36"/>
      <c r="JB252" s="36"/>
      <c r="JC252" s="36"/>
      <c r="JD252" s="36"/>
      <c r="JE252" s="36"/>
      <c r="JF252" s="36"/>
    </row>
    <row r="253" s="29" customFormat="1" ht="17.25" spans="1:266">
      <c r="A253" s="33">
        <f>40000000+INDEX(编号表!$B:$B,MATCH(B253,编号表!$A:$A,0))*10000+C253</f>
        <v>40140014</v>
      </c>
      <c r="B253" s="34" t="s">
        <v>646</v>
      </c>
      <c r="C253" s="33">
        <v>14</v>
      </c>
      <c r="D253" s="32" t="s">
        <v>660</v>
      </c>
      <c r="E253" s="32"/>
      <c r="F253" s="31"/>
      <c r="G253" s="36"/>
      <c r="H253" s="36"/>
      <c r="I253" s="36"/>
      <c r="J253" s="33"/>
      <c r="K253" s="36"/>
      <c r="L253" s="32"/>
      <c r="M253" s="36"/>
      <c r="N253" s="36"/>
      <c r="O253" s="36"/>
      <c r="P253" s="32"/>
      <c r="Q253" s="36"/>
      <c r="R253" s="36"/>
      <c r="S253" s="36"/>
      <c r="T253" s="32"/>
      <c r="U253" s="36"/>
      <c r="V253" s="36"/>
      <c r="W253" s="36"/>
      <c r="X253" s="32"/>
      <c r="Y253" s="36"/>
      <c r="Z253" s="36"/>
      <c r="AA253" s="32"/>
      <c r="AB253" s="32"/>
      <c r="AC253" s="36"/>
      <c r="AD253" s="36"/>
      <c r="AE253" s="36"/>
      <c r="AF253" s="32"/>
      <c r="AG253" s="36"/>
      <c r="AH253" s="36"/>
      <c r="AI253" s="36"/>
      <c r="AJ253" s="32"/>
      <c r="AK253" s="36"/>
      <c r="AL253" s="36"/>
      <c r="AM253" s="36"/>
      <c r="AN253" s="32"/>
      <c r="AO253" s="36"/>
      <c r="AP253" s="36"/>
      <c r="AQ253" s="36"/>
      <c r="AR253" s="32"/>
      <c r="AS253" s="36"/>
      <c r="AT253" s="36"/>
      <c r="AU253" s="36"/>
      <c r="AV253" s="32"/>
      <c r="AW253" s="36"/>
      <c r="AX253" s="36"/>
      <c r="AY253" s="36"/>
      <c r="AZ253" s="32"/>
      <c r="BA253" s="36"/>
      <c r="BB253" s="36"/>
      <c r="BC253" s="36"/>
      <c r="BD253" s="32"/>
      <c r="BE253" s="36"/>
      <c r="BF253" s="36"/>
      <c r="BG253" s="36"/>
      <c r="BH253" s="32"/>
      <c r="BI253" s="36"/>
      <c r="BJ253" s="36"/>
      <c r="BK253" s="36"/>
      <c r="BL253" s="32"/>
      <c r="BM253" s="36"/>
      <c r="BN253" s="36"/>
      <c r="BO253" s="36"/>
      <c r="BP253" s="32"/>
      <c r="BQ253" s="36"/>
      <c r="BR253" s="36"/>
      <c r="BS253" s="36"/>
      <c r="BT253" s="32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6"/>
      <c r="FO253" s="36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6"/>
      <c r="GF253" s="36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6"/>
      <c r="GW253" s="36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6"/>
      <c r="HN253" s="36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6"/>
      <c r="IE253" s="36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/>
      <c r="IR253" s="36"/>
      <c r="IS253" s="36"/>
      <c r="IT253" s="36"/>
      <c r="IU253" s="36"/>
      <c r="IV253" s="36"/>
      <c r="IW253" s="36"/>
      <c r="IX253" s="36"/>
      <c r="IY253" s="36"/>
      <c r="IZ253" s="36"/>
      <c r="JA253" s="36"/>
      <c r="JB253" s="36"/>
      <c r="JC253" s="36"/>
      <c r="JD253" s="36"/>
      <c r="JE253" s="36"/>
      <c r="JF253" s="36"/>
    </row>
    <row r="254" s="29" customFormat="1" ht="17.25" spans="1:266">
      <c r="A254" s="33">
        <f>40000000+INDEX(编号表!$B:$B,MATCH(B254,编号表!$A:$A,0))*10000+C254</f>
        <v>40150000</v>
      </c>
      <c r="B254" s="34" t="s">
        <v>661</v>
      </c>
      <c r="C254" s="33">
        <v>0</v>
      </c>
      <c r="D254" s="32" t="s">
        <v>662</v>
      </c>
      <c r="E254" s="32" t="s">
        <v>437</v>
      </c>
      <c r="F254" s="31">
        <f>P254+X254+AF254+AN254+AV254+BD254+BL254+BT254</f>
        <v>100000000</v>
      </c>
      <c r="G254" s="36"/>
      <c r="H254" s="36"/>
      <c r="I254" s="36"/>
      <c r="J254" s="33">
        <f>COUNT(P254,X254,AF254,AN254,AV254,BD254,BL254,BT254,CB254,CJ254,CR254,CZ254,DH254,DP254,DX254,EF254,EN254,EV254,FD254,FL254,FT254,GB254,GJ254,GR254,GZ254,HH254,HP254,HX254,IF254,IN254,IV254,JD254)</f>
        <v>1</v>
      </c>
      <c r="K254" s="31">
        <v>31060000</v>
      </c>
      <c r="L254" s="32" t="str" cm="1">
        <f t="array" ref="L254">INDEX(编号表!$E:$E,MATCH(K254,编号表!$D:$D,0))</f>
        <v>鹿茸</v>
      </c>
      <c r="M254" s="36"/>
      <c r="N254" s="36"/>
      <c r="O254" s="36"/>
      <c r="P254" s="32">
        <v>100000000</v>
      </c>
      <c r="Q254" s="36">
        <v>1</v>
      </c>
      <c r="R254" s="36"/>
      <c r="S254" s="36"/>
      <c r="T254" s="36"/>
      <c r="U254" s="36"/>
      <c r="V254" s="36"/>
      <c r="W254" s="36"/>
      <c r="X254" s="32"/>
      <c r="Y254" s="36"/>
      <c r="Z254" s="36"/>
      <c r="AA254" s="36"/>
      <c r="AB254" s="36"/>
      <c r="AC254" s="36"/>
      <c r="AD254" s="36"/>
      <c r="AE254" s="36"/>
      <c r="AF254" s="32"/>
      <c r="AG254" s="36"/>
      <c r="AH254" s="36"/>
      <c r="AI254" s="36"/>
      <c r="AJ254" s="36"/>
      <c r="AK254" s="36"/>
      <c r="AL254" s="36"/>
      <c r="AM254" s="36"/>
      <c r="AN254" s="32"/>
      <c r="AO254" s="36"/>
      <c r="AP254" s="36"/>
      <c r="AQ254" s="36"/>
      <c r="AR254" s="36"/>
      <c r="AS254" s="36"/>
      <c r="AT254" s="36"/>
      <c r="AU254" s="36"/>
      <c r="AV254" s="32"/>
      <c r="AW254" s="36"/>
      <c r="AX254" s="36"/>
      <c r="AY254" s="36"/>
      <c r="AZ254" s="36"/>
      <c r="BA254" s="36"/>
      <c r="BB254" s="36"/>
      <c r="BC254" s="36"/>
      <c r="BD254" s="32"/>
      <c r="BE254" s="36"/>
      <c r="BF254" s="36"/>
      <c r="BG254" s="36"/>
      <c r="BH254" s="36"/>
      <c r="BI254" s="36"/>
      <c r="BJ254" s="36"/>
      <c r="BK254" s="36"/>
      <c r="BL254" s="32"/>
      <c r="BM254" s="36"/>
      <c r="BN254" s="36"/>
      <c r="BO254" s="36"/>
      <c r="BP254" s="36"/>
      <c r="BQ254" s="36"/>
      <c r="BR254" s="36"/>
      <c r="BS254" s="36"/>
      <c r="BT254" s="32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6"/>
      <c r="FO254" s="36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6"/>
      <c r="GF254" s="36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6"/>
      <c r="GW254" s="36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6"/>
      <c r="HN254" s="36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6"/>
      <c r="IE254" s="36"/>
      <c r="IF254" s="36"/>
      <c r="IG254" s="36"/>
      <c r="IH254" s="36"/>
      <c r="II254" s="36"/>
      <c r="IJ254" s="36"/>
      <c r="IK254" s="36"/>
      <c r="IL254" s="36"/>
      <c r="IM254" s="36"/>
      <c r="IN254" s="36"/>
      <c r="IO254" s="36"/>
      <c r="IP254" s="36"/>
      <c r="IQ254" s="36"/>
      <c r="IR254" s="36"/>
      <c r="IS254" s="36"/>
      <c r="IT254" s="36"/>
      <c r="IU254" s="36"/>
      <c r="IV254" s="36"/>
      <c r="IW254" s="36"/>
      <c r="IX254" s="36"/>
      <c r="IY254" s="36"/>
      <c r="IZ254" s="36"/>
      <c r="JA254" s="36"/>
      <c r="JB254" s="36"/>
      <c r="JC254" s="36"/>
      <c r="JD254" s="36"/>
      <c r="JE254" s="36"/>
      <c r="JF254" s="36"/>
    </row>
    <row r="255" s="29" customFormat="1" ht="17.25" spans="1:266">
      <c r="A255" s="33">
        <f>40000000+INDEX(编号表!$B:$B,MATCH(B255,编号表!$A:$A,0))*10000+C255</f>
        <v>40150001</v>
      </c>
      <c r="B255" s="34" t="s">
        <v>661</v>
      </c>
      <c r="C255" s="33">
        <v>1</v>
      </c>
      <c r="D255" s="32" t="s">
        <v>663</v>
      </c>
      <c r="E255" s="32" t="s">
        <v>437</v>
      </c>
      <c r="F255" s="31">
        <f>P255+X255+AF255+AN255+AV255+BD255+BL255+BT255</f>
        <v>100000000</v>
      </c>
      <c r="G255" s="36"/>
      <c r="H255" s="36"/>
      <c r="I255" s="36"/>
      <c r="J255" s="33">
        <f>COUNT(P255,X255,AF255,AN255,AV255,BD255,BL255,BT255,CB255,CJ255,CR255,CZ255,DH255,DP255,DX255,EF255,EN255,EV255,FD255,FL255,FT255,GB255,GJ255,GR255,GZ255,HH255,HP255,HX255,IF255,IN255,IV255,JD255)</f>
        <v>1</v>
      </c>
      <c r="K255" s="31">
        <v>31060001</v>
      </c>
      <c r="L255" s="32" t="str" cm="1">
        <f t="array" ref="L255">INDEX(编号表!$E:$E,MATCH(K255,编号表!$D:$D,0))</f>
        <v>羊腰子</v>
      </c>
      <c r="M255" s="36"/>
      <c r="N255" s="36"/>
      <c r="O255" s="36"/>
      <c r="P255" s="32">
        <v>100000000</v>
      </c>
      <c r="Q255" s="36">
        <v>1</v>
      </c>
      <c r="R255" s="36"/>
      <c r="S255" s="36"/>
      <c r="T255" s="36"/>
      <c r="U255" s="36"/>
      <c r="V255" s="36"/>
      <c r="W255" s="36"/>
      <c r="X255" s="32"/>
      <c r="Y255" s="36"/>
      <c r="Z255" s="36"/>
      <c r="AA255" s="36"/>
      <c r="AB255" s="36"/>
      <c r="AC255" s="36"/>
      <c r="AD255" s="36"/>
      <c r="AE255" s="36"/>
      <c r="AF255" s="32"/>
      <c r="AG255" s="36"/>
      <c r="AH255" s="36"/>
      <c r="AI255" s="36"/>
      <c r="AJ255" s="36"/>
      <c r="AK255" s="36"/>
      <c r="AL255" s="36"/>
      <c r="AM255" s="36"/>
      <c r="AN255" s="32"/>
      <c r="AO255" s="36"/>
      <c r="AP255" s="36"/>
      <c r="AQ255" s="36"/>
      <c r="AR255" s="36"/>
      <c r="AS255" s="36"/>
      <c r="AT255" s="36"/>
      <c r="AU255" s="36"/>
      <c r="AV255" s="32"/>
      <c r="AW255" s="36"/>
      <c r="AX255" s="36"/>
      <c r="AY255" s="36"/>
      <c r="AZ255" s="36"/>
      <c r="BA255" s="36"/>
      <c r="BB255" s="36"/>
      <c r="BC255" s="36"/>
      <c r="BD255" s="32"/>
      <c r="BE255" s="36"/>
      <c r="BF255" s="36"/>
      <c r="BG255" s="36"/>
      <c r="BH255" s="36"/>
      <c r="BI255" s="36"/>
      <c r="BJ255" s="36"/>
      <c r="BK255" s="36"/>
      <c r="BL255" s="32"/>
      <c r="BM255" s="36"/>
      <c r="BN255" s="36"/>
      <c r="BO255" s="36"/>
      <c r="BP255" s="36"/>
      <c r="BQ255" s="36"/>
      <c r="BR255" s="36"/>
      <c r="BS255" s="36"/>
      <c r="BT255" s="32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6"/>
      <c r="FO255" s="36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6"/>
      <c r="GF255" s="36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6"/>
      <c r="GW255" s="36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6"/>
      <c r="HN255" s="36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6"/>
      <c r="IE255" s="36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6"/>
      <c r="IV255" s="36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</row>
    <row r="256" s="29" customFormat="1" ht="17.25" spans="1:266">
      <c r="A256" s="33">
        <f>40000000+INDEX(编号表!$B:$B,MATCH(B256,编号表!$A:$A,0))*10000+C256</f>
        <v>40150002</v>
      </c>
      <c r="B256" s="34" t="s">
        <v>661</v>
      </c>
      <c r="C256" s="33">
        <v>2</v>
      </c>
      <c r="D256" s="32" t="s">
        <v>664</v>
      </c>
      <c r="E256" s="32" t="s">
        <v>437</v>
      </c>
      <c r="F256" s="31">
        <f>P256+X256+AF256+AN256+AV256+BD256+BL256+BT256</f>
        <v>100000000</v>
      </c>
      <c r="G256" s="36"/>
      <c r="H256" s="36"/>
      <c r="I256" s="36"/>
      <c r="J256" s="33">
        <f>COUNT(P256,X256,AF256,AN256,AV256,BD256,BL256,BT256,CB256,CJ256,CR256,CZ256,DH256,DP256,DX256,EF256,EN256,EV256,FD256,FL256,FT256,GB256,GJ256,GR256,GZ256,HH256,HP256,HX256,IF256,IN256,IV256,JD256)</f>
        <v>1</v>
      </c>
      <c r="K256" s="31">
        <v>31060002</v>
      </c>
      <c r="L256" s="32" t="str" cm="1">
        <f t="array" ref="L256">INDEX(编号表!$E:$E,MATCH(K256,编号表!$D:$D,0))</f>
        <v>猫粮</v>
      </c>
      <c r="M256" s="36"/>
      <c r="N256" s="36"/>
      <c r="O256" s="36"/>
      <c r="P256" s="32">
        <v>100000000</v>
      </c>
      <c r="Q256" s="36">
        <v>1</v>
      </c>
      <c r="R256" s="36"/>
      <c r="S256" s="36"/>
      <c r="T256" s="36"/>
      <c r="U256" s="36"/>
      <c r="V256" s="36"/>
      <c r="W256" s="36"/>
      <c r="X256" s="32"/>
      <c r="Y256" s="36"/>
      <c r="Z256" s="36"/>
      <c r="AA256" s="36"/>
      <c r="AB256" s="36"/>
      <c r="AC256" s="36"/>
      <c r="AD256" s="36"/>
      <c r="AE256" s="36"/>
      <c r="AF256" s="32"/>
      <c r="AG256" s="36"/>
      <c r="AH256" s="36"/>
      <c r="AI256" s="36"/>
      <c r="AJ256" s="36"/>
      <c r="AK256" s="36"/>
      <c r="AL256" s="36"/>
      <c r="AM256" s="36"/>
      <c r="AN256" s="32"/>
      <c r="AO256" s="36"/>
      <c r="AP256" s="36"/>
      <c r="AQ256" s="36"/>
      <c r="AR256" s="36"/>
      <c r="AS256" s="36"/>
      <c r="AT256" s="36"/>
      <c r="AU256" s="36"/>
      <c r="AV256" s="32"/>
      <c r="AW256" s="36"/>
      <c r="AX256" s="36"/>
      <c r="AY256" s="36"/>
      <c r="AZ256" s="36"/>
      <c r="BA256" s="36"/>
      <c r="BB256" s="36"/>
      <c r="BC256" s="36"/>
      <c r="BD256" s="32"/>
      <c r="BE256" s="36"/>
      <c r="BF256" s="36"/>
      <c r="BG256" s="36"/>
      <c r="BH256" s="36"/>
      <c r="BI256" s="36"/>
      <c r="BJ256" s="36"/>
      <c r="BK256" s="36"/>
      <c r="BL256" s="32"/>
      <c r="BM256" s="36"/>
      <c r="BN256" s="36"/>
      <c r="BO256" s="36"/>
      <c r="BP256" s="36"/>
      <c r="BQ256" s="36"/>
      <c r="BR256" s="36"/>
      <c r="BS256" s="36"/>
      <c r="BT256" s="32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6"/>
      <c r="FO256" s="36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/>
      <c r="GC256" s="36"/>
      <c r="GD256" s="36"/>
      <c r="GE256" s="36"/>
      <c r="GF256" s="36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6"/>
      <c r="GW256" s="36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/>
      <c r="HH256" s="36"/>
      <c r="HI256" s="36"/>
      <c r="HJ256" s="36"/>
      <c r="HK256" s="36"/>
      <c r="HL256" s="36"/>
      <c r="HM256" s="36"/>
      <c r="HN256" s="36"/>
      <c r="HO256" s="36"/>
      <c r="HP256" s="36"/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6"/>
      <c r="IE256" s="36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6"/>
      <c r="IV256" s="36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</row>
    <row r="257" s="29" customFormat="1" ht="17.25" spans="1:266">
      <c r="A257" s="33">
        <f>40000000+INDEX(编号表!$B:$B,MATCH(B257,编号表!$A:$A,0))*10000+C257</f>
        <v>40150003</v>
      </c>
      <c r="B257" s="34" t="s">
        <v>661</v>
      </c>
      <c r="C257" s="33">
        <v>3</v>
      </c>
      <c r="D257" s="32" t="s">
        <v>665</v>
      </c>
      <c r="E257" s="32" t="s">
        <v>437</v>
      </c>
      <c r="F257" s="31">
        <f>P257+X257+AF257+AN257+AV257+BD257+BL257+BT257</f>
        <v>100000000</v>
      </c>
      <c r="G257" s="36"/>
      <c r="H257" s="36"/>
      <c r="I257" s="36"/>
      <c r="J257" s="33">
        <f>COUNT(P257,X257,AF257,AN257,AV257,BD257,BL257,BT257,CB257,CJ257,CR257,CZ257,DH257,DP257,DX257,EF257,EN257,EV257,FD257,FL257,FT257,GB257,GJ257,GR257,GZ257,HH257,HP257,HX257,IF257,IN257,IV257,JD257)</f>
        <v>1</v>
      </c>
      <c r="K257" s="31">
        <v>31060003</v>
      </c>
      <c r="L257" s="32" t="str" cm="1">
        <f t="array" ref="L257">INDEX(编号表!$E:$E,MATCH(K257,编号表!$D:$D,0))</f>
        <v>狼肉</v>
      </c>
      <c r="M257" s="36"/>
      <c r="N257" s="36"/>
      <c r="O257" s="36"/>
      <c r="P257" s="32">
        <v>100000000</v>
      </c>
      <c r="Q257" s="36">
        <v>1</v>
      </c>
      <c r="R257" s="36"/>
      <c r="S257" s="36"/>
      <c r="T257" s="36"/>
      <c r="U257" s="36"/>
      <c r="V257" s="36"/>
      <c r="W257" s="36"/>
      <c r="X257" s="32"/>
      <c r="Y257" s="36"/>
      <c r="Z257" s="36"/>
      <c r="AA257" s="36"/>
      <c r="AB257" s="36"/>
      <c r="AC257" s="36"/>
      <c r="AD257" s="36"/>
      <c r="AE257" s="36"/>
      <c r="AF257" s="32"/>
      <c r="AG257" s="36"/>
      <c r="AH257" s="36"/>
      <c r="AI257" s="36"/>
      <c r="AJ257" s="36"/>
      <c r="AK257" s="36"/>
      <c r="AL257" s="36"/>
      <c r="AM257" s="36"/>
      <c r="AN257" s="32"/>
      <c r="AO257" s="36"/>
      <c r="AP257" s="36"/>
      <c r="AQ257" s="36"/>
      <c r="AR257" s="36"/>
      <c r="AS257" s="36"/>
      <c r="AT257" s="36"/>
      <c r="AU257" s="36"/>
      <c r="AV257" s="32"/>
      <c r="AW257" s="36"/>
      <c r="AX257" s="36"/>
      <c r="AY257" s="36"/>
      <c r="AZ257" s="36"/>
      <c r="BA257" s="36"/>
      <c r="BB257" s="36"/>
      <c r="BC257" s="36"/>
      <c r="BD257" s="32"/>
      <c r="BE257" s="36"/>
      <c r="BF257" s="36"/>
      <c r="BG257" s="36"/>
      <c r="BH257" s="36"/>
      <c r="BI257" s="36"/>
      <c r="BJ257" s="36"/>
      <c r="BK257" s="36"/>
      <c r="BL257" s="32"/>
      <c r="BM257" s="36"/>
      <c r="BN257" s="36"/>
      <c r="BO257" s="36"/>
      <c r="BP257" s="36"/>
      <c r="BQ257" s="36"/>
      <c r="BR257" s="36"/>
      <c r="BS257" s="36"/>
      <c r="BT257" s="32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6"/>
      <c r="GF257" s="36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6"/>
      <c r="GW257" s="36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6"/>
      <c r="HN257" s="36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6"/>
      <c r="IE257" s="36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6"/>
      <c r="IV257" s="36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</row>
    <row r="258" ht="16.5" spans="1:266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2">
        <v>40160001</v>
      </c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  <c r="DT258" s="31"/>
      <c r="DU258" s="31"/>
      <c r="DV258" s="31"/>
      <c r="DW258" s="31"/>
      <c r="DX258" s="31"/>
      <c r="DY258" s="31"/>
      <c r="DZ258" s="31"/>
      <c r="EA258" s="31"/>
      <c r="EB258" s="31"/>
      <c r="EC258" s="31"/>
      <c r="ED258" s="31"/>
      <c r="EE258" s="31"/>
      <c r="EF258" s="31"/>
      <c r="EG258" s="31"/>
      <c r="EH258" s="31"/>
      <c r="EI258" s="31"/>
      <c r="EJ258" s="31"/>
      <c r="EK258" s="31"/>
      <c r="EL258" s="31"/>
      <c r="EM258" s="31"/>
      <c r="EN258" s="31"/>
      <c r="EO258" s="31"/>
      <c r="EP258" s="31"/>
      <c r="EQ258" s="31"/>
      <c r="ER258" s="31"/>
      <c r="ES258" s="31"/>
      <c r="ET258" s="31"/>
      <c r="EU258" s="31"/>
      <c r="EV258" s="31"/>
      <c r="EW258" s="31"/>
      <c r="EX258" s="31"/>
      <c r="EY258" s="31"/>
      <c r="EZ258" s="31"/>
      <c r="FA258" s="31"/>
      <c r="FB258" s="31"/>
      <c r="FC258" s="31"/>
      <c r="FD258" s="31"/>
      <c r="FE258" s="31"/>
      <c r="FF258" s="31"/>
      <c r="FG258" s="31"/>
      <c r="FH258" s="31"/>
      <c r="FI258" s="31"/>
      <c r="FJ258" s="31"/>
      <c r="FK258" s="31"/>
      <c r="FL258" s="31"/>
      <c r="FM258" s="31"/>
      <c r="FN258" s="31"/>
      <c r="FO258" s="31"/>
      <c r="FP258" s="31"/>
      <c r="FQ258" s="31"/>
      <c r="FR258" s="31"/>
      <c r="FS258" s="31"/>
      <c r="FT258" s="31"/>
      <c r="FU258" s="31"/>
      <c r="FV258" s="31"/>
      <c r="FW258" s="31"/>
      <c r="FX258" s="31"/>
      <c r="FY258" s="31"/>
      <c r="FZ258" s="31"/>
      <c r="GA258" s="31"/>
      <c r="GB258" s="31"/>
      <c r="GC258" s="31"/>
      <c r="GD258" s="31"/>
      <c r="GE258" s="31"/>
      <c r="GF258" s="31"/>
      <c r="GG258" s="31"/>
      <c r="GH258" s="31"/>
      <c r="GI258" s="31"/>
      <c r="GJ258" s="31"/>
      <c r="GK258" s="31"/>
      <c r="GL258" s="31"/>
      <c r="GM258" s="31"/>
      <c r="GN258" s="31"/>
      <c r="GO258" s="31"/>
      <c r="GP258" s="31"/>
      <c r="GQ258" s="31"/>
      <c r="GR258" s="31"/>
      <c r="GS258" s="31"/>
      <c r="GT258" s="31"/>
      <c r="GU258" s="31"/>
      <c r="GV258" s="31"/>
      <c r="GW258" s="31"/>
      <c r="GX258" s="31"/>
      <c r="GY258" s="31"/>
      <c r="GZ258" s="31"/>
      <c r="HA258" s="31"/>
      <c r="HB258" s="31"/>
      <c r="HC258" s="31"/>
      <c r="HD258" s="31"/>
      <c r="HE258" s="31"/>
      <c r="HF258" s="31"/>
      <c r="HG258" s="31"/>
      <c r="HH258" s="31"/>
      <c r="HI258" s="31"/>
      <c r="HJ258" s="31"/>
      <c r="HK258" s="31"/>
      <c r="HL258" s="31"/>
      <c r="HM258" s="31"/>
      <c r="HN258" s="31"/>
      <c r="HO258" s="31"/>
      <c r="HP258" s="31"/>
      <c r="HQ258" s="31"/>
      <c r="HR258" s="31"/>
      <c r="HS258" s="31"/>
      <c r="HT258" s="31"/>
      <c r="HU258" s="31"/>
      <c r="HV258" s="31"/>
      <c r="HW258" s="31"/>
      <c r="HX258" s="31"/>
      <c r="HY258" s="31"/>
      <c r="HZ258" s="31"/>
      <c r="IA258" s="31"/>
      <c r="IB258" s="31"/>
      <c r="IC258" s="31"/>
      <c r="ID258" s="31"/>
      <c r="IE258" s="31"/>
      <c r="IF258" s="31"/>
      <c r="IG258" s="31"/>
      <c r="IH258" s="31"/>
      <c r="II258" s="31"/>
      <c r="IJ258" s="31"/>
      <c r="IK258" s="31"/>
      <c r="IL258" s="31"/>
      <c r="IM258" s="31"/>
      <c r="IN258" s="31"/>
      <c r="IO258" s="31"/>
      <c r="IP258" s="31"/>
      <c r="IQ258" s="31"/>
      <c r="IR258" s="31"/>
      <c r="IS258" s="31"/>
      <c r="IT258" s="31"/>
      <c r="IU258" s="31"/>
      <c r="IV258" s="31"/>
      <c r="IW258" s="31"/>
      <c r="IX258" s="31"/>
      <c r="IY258" s="31"/>
      <c r="IZ258" s="31"/>
      <c r="JA258" s="31"/>
      <c r="JB258" s="31"/>
      <c r="JC258" s="31"/>
      <c r="JD258" s="31"/>
      <c r="JE258" s="31"/>
      <c r="JF258" s="31"/>
    </row>
    <row r="259" ht="16.5" spans="1:266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2">
        <v>40160002</v>
      </c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1"/>
      <c r="EH259" s="31"/>
      <c r="EI259" s="31"/>
      <c r="EJ259" s="31"/>
      <c r="EK259" s="31"/>
      <c r="EL259" s="31"/>
      <c r="EM259" s="31"/>
      <c r="EN259" s="31"/>
      <c r="EO259" s="31"/>
      <c r="EP259" s="31"/>
      <c r="EQ259" s="31"/>
      <c r="ER259" s="31"/>
      <c r="ES259" s="31"/>
      <c r="ET259" s="31"/>
      <c r="EU259" s="31"/>
      <c r="EV259" s="31"/>
      <c r="EW259" s="31"/>
      <c r="EX259" s="31"/>
      <c r="EY259" s="31"/>
      <c r="EZ259" s="31"/>
      <c r="FA259" s="31"/>
      <c r="FB259" s="31"/>
      <c r="FC259" s="31"/>
      <c r="FD259" s="31"/>
      <c r="FE259" s="31"/>
      <c r="FF259" s="31"/>
      <c r="FG259" s="31"/>
      <c r="FH259" s="31"/>
      <c r="FI259" s="31"/>
      <c r="FJ259" s="31"/>
      <c r="FK259" s="31"/>
      <c r="FL259" s="31"/>
      <c r="FM259" s="31"/>
      <c r="FN259" s="31"/>
      <c r="FO259" s="31"/>
      <c r="FP259" s="31"/>
      <c r="FQ259" s="31"/>
      <c r="FR259" s="31"/>
      <c r="FS259" s="31"/>
      <c r="FT259" s="31"/>
      <c r="FU259" s="31"/>
      <c r="FV259" s="31"/>
      <c r="FW259" s="31"/>
      <c r="FX259" s="31"/>
      <c r="FY259" s="31"/>
      <c r="FZ259" s="31"/>
      <c r="GA259" s="31"/>
      <c r="GB259" s="31"/>
      <c r="GC259" s="31"/>
      <c r="GD259" s="31"/>
      <c r="GE259" s="31"/>
      <c r="GF259" s="31"/>
      <c r="GG259" s="31"/>
      <c r="GH259" s="31"/>
      <c r="GI259" s="31"/>
      <c r="GJ259" s="31"/>
      <c r="GK259" s="31"/>
      <c r="GL259" s="31"/>
      <c r="GM259" s="31"/>
      <c r="GN259" s="31"/>
      <c r="GO259" s="31"/>
      <c r="GP259" s="31"/>
      <c r="GQ259" s="31"/>
      <c r="GR259" s="31"/>
      <c r="GS259" s="31"/>
      <c r="GT259" s="31"/>
      <c r="GU259" s="31"/>
      <c r="GV259" s="31"/>
      <c r="GW259" s="31"/>
      <c r="GX259" s="31"/>
      <c r="GY259" s="31"/>
      <c r="GZ259" s="31"/>
      <c r="HA259" s="31"/>
      <c r="HB259" s="31"/>
      <c r="HC259" s="31"/>
      <c r="HD259" s="31"/>
      <c r="HE259" s="31"/>
      <c r="HF259" s="31"/>
      <c r="HG259" s="31"/>
      <c r="HH259" s="31"/>
      <c r="HI259" s="31"/>
      <c r="HJ259" s="31"/>
      <c r="HK259" s="31"/>
      <c r="HL259" s="31"/>
      <c r="HM259" s="31"/>
      <c r="HN259" s="31"/>
      <c r="HO259" s="31"/>
      <c r="HP259" s="31"/>
      <c r="HQ259" s="31"/>
      <c r="HR259" s="31"/>
      <c r="HS259" s="31"/>
      <c r="HT259" s="31"/>
      <c r="HU259" s="31"/>
      <c r="HV259" s="31"/>
      <c r="HW259" s="31"/>
      <c r="HX259" s="31"/>
      <c r="HY259" s="31"/>
      <c r="HZ259" s="31"/>
      <c r="IA259" s="31"/>
      <c r="IB259" s="31"/>
      <c r="IC259" s="31"/>
      <c r="ID259" s="31"/>
      <c r="IE259" s="31"/>
      <c r="IF259" s="31"/>
      <c r="IG259" s="31"/>
      <c r="IH259" s="31"/>
      <c r="II259" s="31"/>
      <c r="IJ259" s="31"/>
      <c r="IK259" s="31"/>
      <c r="IL259" s="31"/>
      <c r="IM259" s="31"/>
      <c r="IN259" s="31"/>
      <c r="IO259" s="31"/>
      <c r="IP259" s="31"/>
      <c r="IQ259" s="31"/>
      <c r="IR259" s="31"/>
      <c r="IS259" s="31"/>
      <c r="IT259" s="31"/>
      <c r="IU259" s="31"/>
      <c r="IV259" s="31"/>
      <c r="IW259" s="31"/>
      <c r="IX259" s="31"/>
      <c r="IY259" s="31"/>
      <c r="IZ259" s="31"/>
      <c r="JA259" s="31"/>
      <c r="JB259" s="31"/>
      <c r="JC259" s="31"/>
      <c r="JD259" s="31"/>
      <c r="JE259" s="31"/>
      <c r="JF259" s="31"/>
    </row>
    <row r="260" ht="16.5" spans="1:266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2">
        <v>40160003</v>
      </c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  <c r="DY260" s="31"/>
      <c r="DZ260" s="31"/>
      <c r="EA260" s="31"/>
      <c r="EB260" s="31"/>
      <c r="EC260" s="31"/>
      <c r="ED260" s="31"/>
      <c r="EE260" s="31"/>
      <c r="EF260" s="31"/>
      <c r="EG260" s="31"/>
      <c r="EH260" s="31"/>
      <c r="EI260" s="31"/>
      <c r="EJ260" s="31"/>
      <c r="EK260" s="31"/>
      <c r="EL260" s="31"/>
      <c r="EM260" s="31"/>
      <c r="EN260" s="31"/>
      <c r="EO260" s="31"/>
      <c r="EP260" s="31"/>
      <c r="EQ260" s="31"/>
      <c r="ER260" s="31"/>
      <c r="ES260" s="31"/>
      <c r="ET260" s="31"/>
      <c r="EU260" s="31"/>
      <c r="EV260" s="31"/>
      <c r="EW260" s="31"/>
      <c r="EX260" s="31"/>
      <c r="EY260" s="31"/>
      <c r="EZ260" s="31"/>
      <c r="FA260" s="31"/>
      <c r="FB260" s="31"/>
      <c r="FC260" s="31"/>
      <c r="FD260" s="31"/>
      <c r="FE260" s="31"/>
      <c r="FF260" s="31"/>
      <c r="FG260" s="31"/>
      <c r="FH260" s="31"/>
      <c r="FI260" s="31"/>
      <c r="FJ260" s="31"/>
      <c r="FK260" s="31"/>
      <c r="FL260" s="31"/>
      <c r="FM260" s="31"/>
      <c r="FN260" s="31"/>
      <c r="FO260" s="31"/>
      <c r="FP260" s="31"/>
      <c r="FQ260" s="31"/>
      <c r="FR260" s="31"/>
      <c r="FS260" s="31"/>
      <c r="FT260" s="31"/>
      <c r="FU260" s="31"/>
      <c r="FV260" s="31"/>
      <c r="FW260" s="31"/>
      <c r="FX260" s="31"/>
      <c r="FY260" s="31"/>
      <c r="FZ260" s="31"/>
      <c r="GA260" s="31"/>
      <c r="GB260" s="31"/>
      <c r="GC260" s="31"/>
      <c r="GD260" s="31"/>
      <c r="GE260" s="31"/>
      <c r="GF260" s="31"/>
      <c r="GG260" s="31"/>
      <c r="GH260" s="31"/>
      <c r="GI260" s="31"/>
      <c r="GJ260" s="31"/>
      <c r="GK260" s="31"/>
      <c r="GL260" s="31"/>
      <c r="GM260" s="31"/>
      <c r="GN260" s="31"/>
      <c r="GO260" s="31"/>
      <c r="GP260" s="31"/>
      <c r="GQ260" s="31"/>
      <c r="GR260" s="31"/>
      <c r="GS260" s="31"/>
      <c r="GT260" s="31"/>
      <c r="GU260" s="31"/>
      <c r="GV260" s="31"/>
      <c r="GW260" s="31"/>
      <c r="GX260" s="31"/>
      <c r="GY260" s="31"/>
      <c r="GZ260" s="31"/>
      <c r="HA260" s="31"/>
      <c r="HB260" s="31"/>
      <c r="HC260" s="31"/>
      <c r="HD260" s="31"/>
      <c r="HE260" s="31"/>
      <c r="HF260" s="31"/>
      <c r="HG260" s="31"/>
      <c r="HH260" s="31"/>
      <c r="HI260" s="31"/>
      <c r="HJ260" s="31"/>
      <c r="HK260" s="31"/>
      <c r="HL260" s="31"/>
      <c r="HM260" s="31"/>
      <c r="HN260" s="31"/>
      <c r="HO260" s="31"/>
      <c r="HP260" s="31"/>
      <c r="HQ260" s="31"/>
      <c r="HR260" s="31"/>
      <c r="HS260" s="31"/>
      <c r="HT260" s="31"/>
      <c r="HU260" s="31"/>
      <c r="HV260" s="31"/>
      <c r="HW260" s="31"/>
      <c r="HX260" s="31"/>
      <c r="HY260" s="31"/>
      <c r="HZ260" s="31"/>
      <c r="IA260" s="31"/>
      <c r="IB260" s="31"/>
      <c r="IC260" s="31"/>
      <c r="ID260" s="31"/>
      <c r="IE260" s="31"/>
      <c r="IF260" s="31"/>
      <c r="IG260" s="31"/>
      <c r="IH260" s="31"/>
      <c r="II260" s="31"/>
      <c r="IJ260" s="31"/>
      <c r="IK260" s="31"/>
      <c r="IL260" s="31"/>
      <c r="IM260" s="31"/>
      <c r="IN260" s="31"/>
      <c r="IO260" s="31"/>
      <c r="IP260" s="31"/>
      <c r="IQ260" s="31"/>
      <c r="IR260" s="31"/>
      <c r="IS260" s="31"/>
      <c r="IT260" s="31"/>
      <c r="IU260" s="31"/>
      <c r="IV260" s="31"/>
      <c r="IW260" s="31"/>
      <c r="IX260" s="31"/>
      <c r="IY260" s="31"/>
      <c r="IZ260" s="31"/>
      <c r="JA260" s="31"/>
      <c r="JB260" s="31"/>
      <c r="JC260" s="31"/>
      <c r="JD260" s="31"/>
      <c r="JE260" s="31"/>
      <c r="JF260" s="31"/>
    </row>
    <row r="261" ht="16.5" spans="1:266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2">
        <v>40160004</v>
      </c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1"/>
      <c r="EH261" s="31"/>
      <c r="EI261" s="31"/>
      <c r="EJ261" s="31"/>
      <c r="EK261" s="31"/>
      <c r="EL261" s="31"/>
      <c r="EM261" s="31"/>
      <c r="EN261" s="31"/>
      <c r="EO261" s="31"/>
      <c r="EP261" s="31"/>
      <c r="EQ261" s="31"/>
      <c r="ER261" s="31"/>
      <c r="ES261" s="31"/>
      <c r="ET261" s="31"/>
      <c r="EU261" s="31"/>
      <c r="EV261" s="31"/>
      <c r="EW261" s="31"/>
      <c r="EX261" s="31"/>
      <c r="EY261" s="31"/>
      <c r="EZ261" s="31"/>
      <c r="FA261" s="31"/>
      <c r="FB261" s="31"/>
      <c r="FC261" s="31"/>
      <c r="FD261" s="31"/>
      <c r="FE261" s="31"/>
      <c r="FF261" s="31"/>
      <c r="FG261" s="31"/>
      <c r="FH261" s="31"/>
      <c r="FI261" s="31"/>
      <c r="FJ261" s="31"/>
      <c r="FK261" s="31"/>
      <c r="FL261" s="31"/>
      <c r="FM261" s="31"/>
      <c r="FN261" s="31"/>
      <c r="FO261" s="31"/>
      <c r="FP261" s="31"/>
      <c r="FQ261" s="31"/>
      <c r="FR261" s="31"/>
      <c r="FS261" s="31"/>
      <c r="FT261" s="31"/>
      <c r="FU261" s="31"/>
      <c r="FV261" s="31"/>
      <c r="FW261" s="31"/>
      <c r="FX261" s="31"/>
      <c r="FY261" s="31"/>
      <c r="FZ261" s="31"/>
      <c r="GA261" s="31"/>
      <c r="GB261" s="31"/>
      <c r="GC261" s="31"/>
      <c r="GD261" s="31"/>
      <c r="GE261" s="31"/>
      <c r="GF261" s="31"/>
      <c r="GG261" s="31"/>
      <c r="GH261" s="31"/>
      <c r="GI261" s="31"/>
      <c r="GJ261" s="31"/>
      <c r="GK261" s="31"/>
      <c r="GL261" s="31"/>
      <c r="GM261" s="31"/>
      <c r="GN261" s="31"/>
      <c r="GO261" s="31"/>
      <c r="GP261" s="31"/>
      <c r="GQ261" s="31"/>
      <c r="GR261" s="31"/>
      <c r="GS261" s="31"/>
      <c r="GT261" s="31"/>
      <c r="GU261" s="31"/>
      <c r="GV261" s="31"/>
      <c r="GW261" s="31"/>
      <c r="GX261" s="31"/>
      <c r="GY261" s="31"/>
      <c r="GZ261" s="31"/>
      <c r="HA261" s="31"/>
      <c r="HB261" s="31"/>
      <c r="HC261" s="31"/>
      <c r="HD261" s="31"/>
      <c r="HE261" s="31"/>
      <c r="HF261" s="31"/>
      <c r="HG261" s="31"/>
      <c r="HH261" s="31"/>
      <c r="HI261" s="31"/>
      <c r="HJ261" s="31"/>
      <c r="HK261" s="31"/>
      <c r="HL261" s="31"/>
      <c r="HM261" s="31"/>
      <c r="HN261" s="31"/>
      <c r="HO261" s="31"/>
      <c r="HP261" s="31"/>
      <c r="HQ261" s="31"/>
      <c r="HR261" s="31"/>
      <c r="HS261" s="31"/>
      <c r="HT261" s="31"/>
      <c r="HU261" s="31"/>
      <c r="HV261" s="31"/>
      <c r="HW261" s="31"/>
      <c r="HX261" s="31"/>
      <c r="HY261" s="31"/>
      <c r="HZ261" s="31"/>
      <c r="IA261" s="31"/>
      <c r="IB261" s="31"/>
      <c r="IC261" s="31"/>
      <c r="ID261" s="31"/>
      <c r="IE261" s="31"/>
      <c r="IF261" s="31"/>
      <c r="IG261" s="31"/>
      <c r="IH261" s="31"/>
      <c r="II261" s="31"/>
      <c r="IJ261" s="31"/>
      <c r="IK261" s="31"/>
      <c r="IL261" s="31"/>
      <c r="IM261" s="31"/>
      <c r="IN261" s="31"/>
      <c r="IO261" s="31"/>
      <c r="IP261" s="31"/>
      <c r="IQ261" s="31"/>
      <c r="IR261" s="31"/>
      <c r="IS261" s="31"/>
      <c r="IT261" s="31"/>
      <c r="IU261" s="31"/>
      <c r="IV261" s="31"/>
      <c r="IW261" s="31"/>
      <c r="IX261" s="31"/>
      <c r="IY261" s="31"/>
      <c r="IZ261" s="31"/>
      <c r="JA261" s="31"/>
      <c r="JB261" s="31"/>
      <c r="JC261" s="31"/>
      <c r="JD261" s="31"/>
      <c r="JE261" s="31"/>
      <c r="JF261" s="31"/>
    </row>
    <row r="262" ht="16.5" spans="1:266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3">
        <v>40160005</v>
      </c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  <c r="DT262" s="31"/>
      <c r="DU262" s="31"/>
      <c r="DV262" s="31"/>
      <c r="DW262" s="31"/>
      <c r="DX262" s="31"/>
      <c r="DY262" s="31"/>
      <c r="DZ262" s="31"/>
      <c r="EA262" s="31"/>
      <c r="EB262" s="31"/>
      <c r="EC262" s="31"/>
      <c r="ED262" s="31"/>
      <c r="EE262" s="31"/>
      <c r="EF262" s="31"/>
      <c r="EG262" s="31"/>
      <c r="EH262" s="31"/>
      <c r="EI262" s="31"/>
      <c r="EJ262" s="31"/>
      <c r="EK262" s="31"/>
      <c r="EL262" s="31"/>
      <c r="EM262" s="31"/>
      <c r="EN262" s="31"/>
      <c r="EO262" s="31"/>
      <c r="EP262" s="31"/>
      <c r="EQ262" s="31"/>
      <c r="ER262" s="31"/>
      <c r="ES262" s="31"/>
      <c r="ET262" s="31"/>
      <c r="EU262" s="31"/>
      <c r="EV262" s="31"/>
      <c r="EW262" s="31"/>
      <c r="EX262" s="31"/>
      <c r="EY262" s="31"/>
      <c r="EZ262" s="31"/>
      <c r="FA262" s="31"/>
      <c r="FB262" s="31"/>
      <c r="FC262" s="31"/>
      <c r="FD262" s="31"/>
      <c r="FE262" s="31"/>
      <c r="FF262" s="31"/>
      <c r="FG262" s="31"/>
      <c r="FH262" s="31"/>
      <c r="FI262" s="31"/>
      <c r="FJ262" s="31"/>
      <c r="FK262" s="31"/>
      <c r="FL262" s="31"/>
      <c r="FM262" s="31"/>
      <c r="FN262" s="31"/>
      <c r="FO262" s="31"/>
      <c r="FP262" s="31"/>
      <c r="FQ262" s="31"/>
      <c r="FR262" s="31"/>
      <c r="FS262" s="31"/>
      <c r="FT262" s="31"/>
      <c r="FU262" s="31"/>
      <c r="FV262" s="31"/>
      <c r="FW262" s="31"/>
      <c r="FX262" s="31"/>
      <c r="FY262" s="31"/>
      <c r="FZ262" s="31"/>
      <c r="GA262" s="31"/>
      <c r="GB262" s="31"/>
      <c r="GC262" s="31"/>
      <c r="GD262" s="31"/>
      <c r="GE262" s="31"/>
      <c r="GF262" s="31"/>
      <c r="GG262" s="31"/>
      <c r="GH262" s="31"/>
      <c r="GI262" s="31"/>
      <c r="GJ262" s="31"/>
      <c r="GK262" s="31"/>
      <c r="GL262" s="31"/>
      <c r="GM262" s="31"/>
      <c r="GN262" s="31"/>
      <c r="GO262" s="31"/>
      <c r="GP262" s="31"/>
      <c r="GQ262" s="31"/>
      <c r="GR262" s="31"/>
      <c r="GS262" s="31"/>
      <c r="GT262" s="31"/>
      <c r="GU262" s="31"/>
      <c r="GV262" s="31"/>
      <c r="GW262" s="31"/>
      <c r="GX262" s="31"/>
      <c r="GY262" s="31"/>
      <c r="GZ262" s="31"/>
      <c r="HA262" s="31"/>
      <c r="HB262" s="31"/>
      <c r="HC262" s="31"/>
      <c r="HD262" s="31"/>
      <c r="HE262" s="31"/>
      <c r="HF262" s="31"/>
      <c r="HG262" s="31"/>
      <c r="HH262" s="31"/>
      <c r="HI262" s="31"/>
      <c r="HJ262" s="31"/>
      <c r="HK262" s="31"/>
      <c r="HL262" s="31"/>
      <c r="HM262" s="31"/>
      <c r="HN262" s="31"/>
      <c r="HO262" s="31"/>
      <c r="HP262" s="31"/>
      <c r="HQ262" s="31"/>
      <c r="HR262" s="31"/>
      <c r="HS262" s="31"/>
      <c r="HT262" s="31"/>
      <c r="HU262" s="31"/>
      <c r="HV262" s="31"/>
      <c r="HW262" s="31"/>
      <c r="HX262" s="31"/>
      <c r="HY262" s="31"/>
      <c r="HZ262" s="31"/>
      <c r="IA262" s="31"/>
      <c r="IB262" s="31"/>
      <c r="IC262" s="31"/>
      <c r="ID262" s="31"/>
      <c r="IE262" s="31"/>
      <c r="IF262" s="31"/>
      <c r="IG262" s="31"/>
      <c r="IH262" s="31"/>
      <c r="II262" s="31"/>
      <c r="IJ262" s="31"/>
      <c r="IK262" s="31"/>
      <c r="IL262" s="31"/>
      <c r="IM262" s="31"/>
      <c r="IN262" s="31"/>
      <c r="IO262" s="31"/>
      <c r="IP262" s="31"/>
      <c r="IQ262" s="31"/>
      <c r="IR262" s="31"/>
      <c r="IS262" s="31"/>
      <c r="IT262" s="31"/>
      <c r="IU262" s="31"/>
      <c r="IV262" s="31"/>
      <c r="IW262" s="31"/>
      <c r="IX262" s="31"/>
      <c r="IY262" s="31"/>
      <c r="IZ262" s="31"/>
      <c r="JA262" s="31"/>
      <c r="JB262" s="31"/>
      <c r="JC262" s="31"/>
      <c r="JD262" s="31"/>
      <c r="JE262" s="31"/>
      <c r="JF262" s="31"/>
    </row>
    <row r="263" spans="1:266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  <c r="DY263" s="31"/>
      <c r="DZ263" s="31"/>
      <c r="EA263" s="31"/>
      <c r="EB263" s="31"/>
      <c r="EC263" s="31"/>
      <c r="ED263" s="31"/>
      <c r="EE263" s="31"/>
      <c r="EF263" s="31"/>
      <c r="EG263" s="31"/>
      <c r="EH263" s="31"/>
      <c r="EI263" s="31"/>
      <c r="EJ263" s="31"/>
      <c r="EK263" s="31"/>
      <c r="EL263" s="31"/>
      <c r="EM263" s="31"/>
      <c r="EN263" s="31"/>
      <c r="EO263" s="31"/>
      <c r="EP263" s="31"/>
      <c r="EQ263" s="31"/>
      <c r="ER263" s="31"/>
      <c r="ES263" s="31"/>
      <c r="ET263" s="31"/>
      <c r="EU263" s="31"/>
      <c r="EV263" s="31"/>
      <c r="EW263" s="31"/>
      <c r="EX263" s="31"/>
      <c r="EY263" s="31"/>
      <c r="EZ263" s="31"/>
      <c r="FA263" s="31"/>
      <c r="FB263" s="31"/>
      <c r="FC263" s="31"/>
      <c r="FD263" s="31"/>
      <c r="FE263" s="31"/>
      <c r="FF263" s="31"/>
      <c r="FG263" s="31"/>
      <c r="FH263" s="31"/>
      <c r="FI263" s="31"/>
      <c r="FJ263" s="31"/>
      <c r="FK263" s="31"/>
      <c r="FL263" s="31"/>
      <c r="FM263" s="31"/>
      <c r="FN263" s="31"/>
      <c r="FO263" s="31"/>
      <c r="FP263" s="31"/>
      <c r="FQ263" s="31"/>
      <c r="FR263" s="31"/>
      <c r="FS263" s="31"/>
      <c r="FT263" s="31"/>
      <c r="FU263" s="31"/>
      <c r="FV263" s="31"/>
      <c r="FW263" s="31"/>
      <c r="FX263" s="31"/>
      <c r="FY263" s="31"/>
      <c r="FZ263" s="31"/>
      <c r="GA263" s="31"/>
      <c r="GB263" s="31"/>
      <c r="GC263" s="31"/>
      <c r="GD263" s="31"/>
      <c r="GE263" s="31"/>
      <c r="GF263" s="31"/>
      <c r="GG263" s="31"/>
      <c r="GH263" s="31"/>
      <c r="GI263" s="31"/>
      <c r="GJ263" s="31"/>
      <c r="GK263" s="31"/>
      <c r="GL263" s="31"/>
      <c r="GM263" s="31"/>
      <c r="GN263" s="31"/>
      <c r="GO263" s="31"/>
      <c r="GP263" s="31"/>
      <c r="GQ263" s="31"/>
      <c r="GR263" s="31"/>
      <c r="GS263" s="31"/>
      <c r="GT263" s="31"/>
      <c r="GU263" s="31"/>
      <c r="GV263" s="31"/>
      <c r="GW263" s="31"/>
      <c r="GX263" s="31"/>
      <c r="GY263" s="31"/>
      <c r="GZ263" s="31"/>
      <c r="HA263" s="31"/>
      <c r="HB263" s="31"/>
      <c r="HC263" s="31"/>
      <c r="HD263" s="31"/>
      <c r="HE263" s="31"/>
      <c r="HF263" s="31"/>
      <c r="HG263" s="31"/>
      <c r="HH263" s="31"/>
      <c r="HI263" s="31"/>
      <c r="HJ263" s="31"/>
      <c r="HK263" s="31"/>
      <c r="HL263" s="31"/>
      <c r="HM263" s="31"/>
      <c r="HN263" s="31"/>
      <c r="HO263" s="31"/>
      <c r="HP263" s="31"/>
      <c r="HQ263" s="31"/>
      <c r="HR263" s="31"/>
      <c r="HS263" s="31"/>
      <c r="HT263" s="31"/>
      <c r="HU263" s="31"/>
      <c r="HV263" s="31"/>
      <c r="HW263" s="31"/>
      <c r="HX263" s="31"/>
      <c r="HY263" s="31"/>
      <c r="HZ263" s="31"/>
      <c r="IA263" s="31"/>
      <c r="IB263" s="31"/>
      <c r="IC263" s="31"/>
      <c r="ID263" s="31"/>
      <c r="IE263" s="31"/>
      <c r="IF263" s="31"/>
      <c r="IG263" s="31"/>
      <c r="IH263" s="31"/>
      <c r="II263" s="31"/>
      <c r="IJ263" s="31"/>
      <c r="IK263" s="31"/>
      <c r="IL263" s="31"/>
      <c r="IM263" s="31"/>
      <c r="IN263" s="31"/>
      <c r="IO263" s="31"/>
      <c r="IP263" s="31"/>
      <c r="IQ263" s="31"/>
      <c r="IR263" s="31"/>
      <c r="IS263" s="31"/>
      <c r="IT263" s="31"/>
      <c r="IU263" s="31"/>
      <c r="IV263" s="31"/>
      <c r="IW263" s="31"/>
      <c r="IX263" s="31"/>
      <c r="IY263" s="31"/>
      <c r="IZ263" s="31"/>
      <c r="JA263" s="31"/>
      <c r="JB263" s="31"/>
      <c r="JC263" s="31"/>
      <c r="JD263" s="31"/>
      <c r="JE263" s="31"/>
      <c r="JF263" s="31"/>
    </row>
    <row r="264" spans="1:266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  <c r="DY264" s="31"/>
      <c r="DZ264" s="31"/>
      <c r="EA264" s="31"/>
      <c r="EB264" s="31"/>
      <c r="EC264" s="31"/>
      <c r="ED264" s="31"/>
      <c r="EE264" s="31"/>
      <c r="EF264" s="31"/>
      <c r="EG264" s="31"/>
      <c r="EH264" s="31"/>
      <c r="EI264" s="31"/>
      <c r="EJ264" s="31"/>
      <c r="EK264" s="31"/>
      <c r="EL264" s="31"/>
      <c r="EM264" s="31"/>
      <c r="EN264" s="31"/>
      <c r="EO264" s="31"/>
      <c r="EP264" s="31"/>
      <c r="EQ264" s="31"/>
      <c r="ER264" s="31"/>
      <c r="ES264" s="31"/>
      <c r="ET264" s="31"/>
      <c r="EU264" s="31"/>
      <c r="EV264" s="31"/>
      <c r="EW264" s="31"/>
      <c r="EX264" s="31"/>
      <c r="EY264" s="31"/>
      <c r="EZ264" s="31"/>
      <c r="FA264" s="31"/>
      <c r="FB264" s="31"/>
      <c r="FC264" s="31"/>
      <c r="FD264" s="31"/>
      <c r="FE264" s="31"/>
      <c r="FF264" s="31"/>
      <c r="FG264" s="31"/>
      <c r="FH264" s="31"/>
      <c r="FI264" s="31"/>
      <c r="FJ264" s="31"/>
      <c r="FK264" s="31"/>
      <c r="FL264" s="31"/>
      <c r="FM264" s="31"/>
      <c r="FN264" s="31"/>
      <c r="FO264" s="31"/>
      <c r="FP264" s="31"/>
      <c r="FQ264" s="31"/>
      <c r="FR264" s="31"/>
      <c r="FS264" s="31"/>
      <c r="FT264" s="31"/>
      <c r="FU264" s="31"/>
      <c r="FV264" s="31"/>
      <c r="FW264" s="31"/>
      <c r="FX264" s="31"/>
      <c r="FY264" s="31"/>
      <c r="FZ264" s="31"/>
      <c r="GA264" s="31"/>
      <c r="GB264" s="31"/>
      <c r="GC264" s="31"/>
      <c r="GD264" s="31"/>
      <c r="GE264" s="31"/>
      <c r="GF264" s="31"/>
      <c r="GG264" s="31"/>
      <c r="GH264" s="31"/>
      <c r="GI264" s="31"/>
      <c r="GJ264" s="31"/>
      <c r="GK264" s="31"/>
      <c r="GL264" s="31"/>
      <c r="GM264" s="31"/>
      <c r="GN264" s="31"/>
      <c r="GO264" s="31"/>
      <c r="GP264" s="31"/>
      <c r="GQ264" s="31"/>
      <c r="GR264" s="31"/>
      <c r="GS264" s="31"/>
      <c r="GT264" s="31"/>
      <c r="GU264" s="31"/>
      <c r="GV264" s="31"/>
      <c r="GW264" s="31"/>
      <c r="GX264" s="31"/>
      <c r="GY264" s="31"/>
      <c r="GZ264" s="31"/>
      <c r="HA264" s="31"/>
      <c r="HB264" s="31"/>
      <c r="HC264" s="31"/>
      <c r="HD264" s="31"/>
      <c r="HE264" s="31"/>
      <c r="HF264" s="31"/>
      <c r="HG264" s="31"/>
      <c r="HH264" s="31"/>
      <c r="HI264" s="31"/>
      <c r="HJ264" s="31"/>
      <c r="HK264" s="31"/>
      <c r="HL264" s="31"/>
      <c r="HM264" s="31"/>
      <c r="HN264" s="31"/>
      <c r="HO264" s="31"/>
      <c r="HP264" s="31"/>
      <c r="HQ264" s="31"/>
      <c r="HR264" s="31"/>
      <c r="HS264" s="31"/>
      <c r="HT264" s="31"/>
      <c r="HU264" s="31"/>
      <c r="HV264" s="31"/>
      <c r="HW264" s="31"/>
      <c r="HX264" s="31"/>
      <c r="HY264" s="31"/>
      <c r="HZ264" s="31"/>
      <c r="IA264" s="31"/>
      <c r="IB264" s="31"/>
      <c r="IC264" s="31"/>
      <c r="ID264" s="31"/>
      <c r="IE264" s="31"/>
      <c r="IF264" s="31"/>
      <c r="IG264" s="31"/>
      <c r="IH264" s="31"/>
      <c r="II264" s="31"/>
      <c r="IJ264" s="31"/>
      <c r="IK264" s="31"/>
      <c r="IL264" s="31"/>
      <c r="IM264" s="31"/>
      <c r="IN264" s="31"/>
      <c r="IO264" s="31"/>
      <c r="IP264" s="31"/>
      <c r="IQ264" s="31"/>
      <c r="IR264" s="31"/>
      <c r="IS264" s="31"/>
      <c r="IT264" s="31"/>
      <c r="IU264" s="31"/>
      <c r="IV264" s="31"/>
      <c r="IW264" s="31"/>
      <c r="IX264" s="31"/>
      <c r="IY264" s="31"/>
      <c r="IZ264" s="31"/>
      <c r="JA264" s="31"/>
      <c r="JB264" s="31"/>
      <c r="JC264" s="31"/>
      <c r="JD264" s="31"/>
      <c r="JE264" s="31"/>
      <c r="JF264" s="31"/>
    </row>
    <row r="265" spans="1:266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  <c r="DY265" s="31"/>
      <c r="DZ265" s="31"/>
      <c r="EA265" s="31"/>
      <c r="EB265" s="31"/>
      <c r="EC265" s="31"/>
      <c r="ED265" s="31"/>
      <c r="EE265" s="31"/>
      <c r="EF265" s="31"/>
      <c r="EG265" s="31"/>
      <c r="EH265" s="31"/>
      <c r="EI265" s="31"/>
      <c r="EJ265" s="31"/>
      <c r="EK265" s="31"/>
      <c r="EL265" s="31"/>
      <c r="EM265" s="31"/>
      <c r="EN265" s="31"/>
      <c r="EO265" s="31"/>
      <c r="EP265" s="31"/>
      <c r="EQ265" s="31"/>
      <c r="ER265" s="31"/>
      <c r="ES265" s="31"/>
      <c r="ET265" s="31"/>
      <c r="EU265" s="31"/>
      <c r="EV265" s="31"/>
      <c r="EW265" s="31"/>
      <c r="EX265" s="31"/>
      <c r="EY265" s="31"/>
      <c r="EZ265" s="31"/>
      <c r="FA265" s="31"/>
      <c r="FB265" s="31"/>
      <c r="FC265" s="31"/>
      <c r="FD265" s="31"/>
      <c r="FE265" s="31"/>
      <c r="FF265" s="31"/>
      <c r="FG265" s="31"/>
      <c r="FH265" s="31"/>
      <c r="FI265" s="31"/>
      <c r="FJ265" s="31"/>
      <c r="FK265" s="31"/>
      <c r="FL265" s="31"/>
      <c r="FM265" s="31"/>
      <c r="FN265" s="31"/>
      <c r="FO265" s="31"/>
      <c r="FP265" s="31"/>
      <c r="FQ265" s="31"/>
      <c r="FR265" s="31"/>
      <c r="FS265" s="31"/>
      <c r="FT265" s="31"/>
      <c r="FU265" s="31"/>
      <c r="FV265" s="31"/>
      <c r="FW265" s="31"/>
      <c r="FX265" s="31"/>
      <c r="FY265" s="31"/>
      <c r="FZ265" s="31"/>
      <c r="GA265" s="31"/>
      <c r="GB265" s="31"/>
      <c r="GC265" s="31"/>
      <c r="GD265" s="31"/>
      <c r="GE265" s="31"/>
      <c r="GF265" s="31"/>
      <c r="GG265" s="31"/>
      <c r="GH265" s="31"/>
      <c r="GI265" s="31"/>
      <c r="GJ265" s="31"/>
      <c r="GK265" s="31"/>
      <c r="GL265" s="31"/>
      <c r="GM265" s="31"/>
      <c r="GN265" s="31"/>
      <c r="GO265" s="31"/>
      <c r="GP265" s="31"/>
      <c r="GQ265" s="31"/>
      <c r="GR265" s="31"/>
      <c r="GS265" s="31"/>
      <c r="GT265" s="31"/>
      <c r="GU265" s="31"/>
      <c r="GV265" s="31"/>
      <c r="GW265" s="31"/>
      <c r="GX265" s="31"/>
      <c r="GY265" s="31"/>
      <c r="GZ265" s="31"/>
      <c r="HA265" s="31"/>
      <c r="HB265" s="31"/>
      <c r="HC265" s="31"/>
      <c r="HD265" s="31"/>
      <c r="HE265" s="31"/>
      <c r="HF265" s="31"/>
      <c r="HG265" s="31"/>
      <c r="HH265" s="31"/>
      <c r="HI265" s="31"/>
      <c r="HJ265" s="31"/>
      <c r="HK265" s="31"/>
      <c r="HL265" s="31"/>
      <c r="HM265" s="31"/>
      <c r="HN265" s="31"/>
      <c r="HO265" s="31"/>
      <c r="HP265" s="31"/>
      <c r="HQ265" s="31"/>
      <c r="HR265" s="31"/>
      <c r="HS265" s="31"/>
      <c r="HT265" s="31"/>
      <c r="HU265" s="31"/>
      <c r="HV265" s="31"/>
      <c r="HW265" s="31"/>
      <c r="HX265" s="31"/>
      <c r="HY265" s="31"/>
      <c r="HZ265" s="31"/>
      <c r="IA265" s="31"/>
      <c r="IB265" s="31"/>
      <c r="IC265" s="31"/>
      <c r="ID265" s="31"/>
      <c r="IE265" s="31"/>
      <c r="IF265" s="31"/>
      <c r="IG265" s="31"/>
      <c r="IH265" s="31"/>
      <c r="II265" s="31"/>
      <c r="IJ265" s="31"/>
      <c r="IK265" s="31"/>
      <c r="IL265" s="31"/>
      <c r="IM265" s="31"/>
      <c r="IN265" s="31"/>
      <c r="IO265" s="31"/>
      <c r="IP265" s="31"/>
      <c r="IQ265" s="31"/>
      <c r="IR265" s="31"/>
      <c r="IS265" s="31"/>
      <c r="IT265" s="31"/>
      <c r="IU265" s="31"/>
      <c r="IV265" s="31"/>
      <c r="IW265" s="31"/>
      <c r="IX265" s="31"/>
      <c r="IY265" s="31"/>
      <c r="IZ265" s="31"/>
      <c r="JA265" s="31"/>
      <c r="JB265" s="31"/>
      <c r="JC265" s="31"/>
      <c r="JD265" s="31"/>
      <c r="JE265" s="31"/>
      <c r="JF265" s="31"/>
    </row>
    <row r="266" spans="1: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  <c r="DT266" s="31"/>
      <c r="DU266" s="31"/>
      <c r="DV266" s="31"/>
      <c r="DW266" s="31"/>
      <c r="DX266" s="31"/>
      <c r="DY266" s="31"/>
      <c r="DZ266" s="31"/>
      <c r="EA266" s="31"/>
      <c r="EB266" s="31"/>
      <c r="EC266" s="31"/>
      <c r="ED266" s="31"/>
      <c r="EE266" s="31"/>
      <c r="EF266" s="31"/>
      <c r="EG266" s="31"/>
      <c r="EH266" s="31"/>
      <c r="EI266" s="31"/>
      <c r="EJ266" s="31"/>
      <c r="EK266" s="31"/>
      <c r="EL266" s="31"/>
      <c r="EM266" s="31"/>
      <c r="EN266" s="31"/>
      <c r="EO266" s="31"/>
      <c r="EP266" s="31"/>
      <c r="EQ266" s="31"/>
      <c r="ER266" s="31"/>
      <c r="ES266" s="31"/>
      <c r="ET266" s="31"/>
      <c r="EU266" s="31"/>
      <c r="EV266" s="31"/>
      <c r="EW266" s="31"/>
      <c r="EX266" s="31"/>
      <c r="EY266" s="31"/>
      <c r="EZ266" s="31"/>
      <c r="FA266" s="31"/>
      <c r="FB266" s="31"/>
      <c r="FC266" s="31"/>
      <c r="FD266" s="31"/>
      <c r="FE266" s="31"/>
      <c r="FF266" s="31"/>
      <c r="FG266" s="31"/>
      <c r="FH266" s="31"/>
      <c r="FI266" s="31"/>
      <c r="FJ266" s="31"/>
      <c r="FK266" s="31"/>
      <c r="FL266" s="31"/>
      <c r="FM266" s="31"/>
      <c r="FN266" s="31"/>
      <c r="FO266" s="31"/>
      <c r="FP266" s="31"/>
      <c r="FQ266" s="31"/>
      <c r="FR266" s="31"/>
      <c r="FS266" s="31"/>
      <c r="FT266" s="31"/>
      <c r="FU266" s="31"/>
      <c r="FV266" s="31"/>
      <c r="FW266" s="31"/>
      <c r="FX266" s="31"/>
      <c r="FY266" s="31"/>
      <c r="FZ266" s="31"/>
      <c r="GA266" s="31"/>
      <c r="GB266" s="31"/>
      <c r="GC266" s="31"/>
      <c r="GD266" s="31"/>
      <c r="GE266" s="31"/>
      <c r="GF266" s="31"/>
      <c r="GG266" s="31"/>
      <c r="GH266" s="31"/>
      <c r="GI266" s="31"/>
      <c r="GJ266" s="31"/>
      <c r="GK266" s="31"/>
      <c r="GL266" s="31"/>
      <c r="GM266" s="31"/>
      <c r="GN266" s="31"/>
      <c r="GO266" s="31"/>
      <c r="GP266" s="31"/>
      <c r="GQ266" s="31"/>
      <c r="GR266" s="31"/>
      <c r="GS266" s="31"/>
      <c r="GT266" s="31"/>
      <c r="GU266" s="31"/>
      <c r="GV266" s="31"/>
      <c r="GW266" s="31"/>
      <c r="GX266" s="31"/>
      <c r="GY266" s="31"/>
      <c r="GZ266" s="31"/>
      <c r="HA266" s="31"/>
      <c r="HB266" s="31"/>
      <c r="HC266" s="31"/>
      <c r="HD266" s="31"/>
      <c r="HE266" s="31"/>
      <c r="HF266" s="31"/>
      <c r="HG266" s="31"/>
      <c r="HH266" s="31"/>
      <c r="HI266" s="31"/>
      <c r="HJ266" s="31"/>
      <c r="HK266" s="31"/>
      <c r="HL266" s="31"/>
      <c r="HM266" s="31"/>
      <c r="HN266" s="31"/>
      <c r="HO266" s="31"/>
      <c r="HP266" s="31"/>
      <c r="HQ266" s="31"/>
      <c r="HR266" s="31"/>
      <c r="HS266" s="31"/>
      <c r="HT266" s="31"/>
      <c r="HU266" s="31"/>
      <c r="HV266" s="31"/>
      <c r="HW266" s="31"/>
      <c r="HX266" s="31"/>
      <c r="HY266" s="31"/>
      <c r="HZ266" s="31"/>
      <c r="IA266" s="31"/>
      <c r="IB266" s="31"/>
      <c r="IC266" s="31"/>
      <c r="ID266" s="31"/>
      <c r="IE266" s="31"/>
      <c r="IF266" s="31"/>
      <c r="IG266" s="31"/>
      <c r="IH266" s="31"/>
      <c r="II266" s="31"/>
      <c r="IJ266" s="31"/>
      <c r="IK266" s="31"/>
      <c r="IL266" s="31"/>
      <c r="IM266" s="31"/>
      <c r="IN266" s="31"/>
      <c r="IO266" s="31"/>
      <c r="IP266" s="31"/>
      <c r="IQ266" s="31"/>
      <c r="IR266" s="31"/>
      <c r="IS266" s="31"/>
      <c r="IT266" s="31"/>
      <c r="IU266" s="31"/>
      <c r="IV266" s="31"/>
      <c r="IW266" s="31"/>
      <c r="IX266" s="31"/>
      <c r="IY266" s="31"/>
      <c r="IZ266" s="31"/>
      <c r="JA266" s="31"/>
      <c r="JB266" s="31"/>
      <c r="JC266" s="31"/>
      <c r="JD266" s="31"/>
      <c r="JE266" s="31"/>
      <c r="JF266" s="31"/>
    </row>
    <row r="267" spans="1:266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1"/>
      <c r="EH267" s="31"/>
      <c r="EI267" s="31"/>
      <c r="EJ267" s="31"/>
      <c r="EK267" s="31"/>
      <c r="EL267" s="31"/>
      <c r="EM267" s="31"/>
      <c r="EN267" s="31"/>
      <c r="EO267" s="31"/>
      <c r="EP267" s="31"/>
      <c r="EQ267" s="31"/>
      <c r="ER267" s="31"/>
      <c r="ES267" s="31"/>
      <c r="ET267" s="31"/>
      <c r="EU267" s="31"/>
      <c r="EV267" s="31"/>
      <c r="EW267" s="31"/>
      <c r="EX267" s="31"/>
      <c r="EY267" s="31"/>
      <c r="EZ267" s="31"/>
      <c r="FA267" s="31"/>
      <c r="FB267" s="31"/>
      <c r="FC267" s="31"/>
      <c r="FD267" s="31"/>
      <c r="FE267" s="31"/>
      <c r="FF267" s="31"/>
      <c r="FG267" s="31"/>
      <c r="FH267" s="31"/>
      <c r="FI267" s="31"/>
      <c r="FJ267" s="31"/>
      <c r="FK267" s="31"/>
      <c r="FL267" s="31"/>
      <c r="FM267" s="31"/>
      <c r="FN267" s="31"/>
      <c r="FO267" s="31"/>
      <c r="FP267" s="31"/>
      <c r="FQ267" s="31"/>
      <c r="FR267" s="31"/>
      <c r="FS267" s="31"/>
      <c r="FT267" s="31"/>
      <c r="FU267" s="31"/>
      <c r="FV267" s="31"/>
      <c r="FW267" s="31"/>
      <c r="FX267" s="31"/>
      <c r="FY267" s="31"/>
      <c r="FZ267" s="31"/>
      <c r="GA267" s="31"/>
      <c r="GB267" s="31"/>
      <c r="GC267" s="31"/>
      <c r="GD267" s="31"/>
      <c r="GE267" s="31"/>
      <c r="GF267" s="31"/>
      <c r="GG267" s="31"/>
      <c r="GH267" s="31"/>
      <c r="GI267" s="31"/>
      <c r="GJ267" s="31"/>
      <c r="GK267" s="31"/>
      <c r="GL267" s="31"/>
      <c r="GM267" s="31"/>
      <c r="GN267" s="31"/>
      <c r="GO267" s="31"/>
      <c r="GP267" s="31"/>
      <c r="GQ267" s="31"/>
      <c r="GR267" s="31"/>
      <c r="GS267" s="31"/>
      <c r="GT267" s="31"/>
      <c r="GU267" s="31"/>
      <c r="GV267" s="31"/>
      <c r="GW267" s="31"/>
      <c r="GX267" s="31"/>
      <c r="GY267" s="31"/>
      <c r="GZ267" s="31"/>
      <c r="HA267" s="31"/>
      <c r="HB267" s="31"/>
      <c r="HC267" s="31"/>
      <c r="HD267" s="31"/>
      <c r="HE267" s="31"/>
      <c r="HF267" s="31"/>
      <c r="HG267" s="31"/>
      <c r="HH267" s="31"/>
      <c r="HI267" s="31"/>
      <c r="HJ267" s="31"/>
      <c r="HK267" s="31"/>
      <c r="HL267" s="31"/>
      <c r="HM267" s="31"/>
      <c r="HN267" s="31"/>
      <c r="HO267" s="31"/>
      <c r="HP267" s="31"/>
      <c r="HQ267" s="31"/>
      <c r="HR267" s="31"/>
      <c r="HS267" s="31"/>
      <c r="HT267" s="31"/>
      <c r="HU267" s="31"/>
      <c r="HV267" s="31"/>
      <c r="HW267" s="31"/>
      <c r="HX267" s="31"/>
      <c r="HY267" s="31"/>
      <c r="HZ267" s="31"/>
      <c r="IA267" s="31"/>
      <c r="IB267" s="31"/>
      <c r="IC267" s="31"/>
      <c r="ID267" s="31"/>
      <c r="IE267" s="31"/>
      <c r="IF267" s="31"/>
      <c r="IG267" s="31"/>
      <c r="IH267" s="31"/>
      <c r="II267" s="31"/>
      <c r="IJ267" s="31"/>
      <c r="IK267" s="31"/>
      <c r="IL267" s="31"/>
      <c r="IM267" s="31"/>
      <c r="IN267" s="31"/>
      <c r="IO267" s="31"/>
      <c r="IP267" s="31"/>
      <c r="IQ267" s="31"/>
      <c r="IR267" s="31"/>
      <c r="IS267" s="31"/>
      <c r="IT267" s="31"/>
      <c r="IU267" s="31"/>
      <c r="IV267" s="31"/>
      <c r="IW267" s="31"/>
      <c r="IX267" s="31"/>
      <c r="IY267" s="31"/>
      <c r="IZ267" s="31"/>
      <c r="JA267" s="31"/>
      <c r="JB267" s="31"/>
      <c r="JC267" s="31"/>
      <c r="JD267" s="31"/>
      <c r="JE267" s="31"/>
      <c r="JF267" s="31"/>
    </row>
    <row r="268" spans="1:266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1"/>
      <c r="EH268" s="31"/>
      <c r="EI268" s="31"/>
      <c r="EJ268" s="31"/>
      <c r="EK268" s="31"/>
      <c r="EL268" s="31"/>
      <c r="EM268" s="31"/>
      <c r="EN268" s="31"/>
      <c r="EO268" s="31"/>
      <c r="EP268" s="31"/>
      <c r="EQ268" s="31"/>
      <c r="ER268" s="31"/>
      <c r="ES268" s="31"/>
      <c r="ET268" s="31"/>
      <c r="EU268" s="31"/>
      <c r="EV268" s="31"/>
      <c r="EW268" s="31"/>
      <c r="EX268" s="31"/>
      <c r="EY268" s="31"/>
      <c r="EZ268" s="31"/>
      <c r="FA268" s="31"/>
      <c r="FB268" s="31"/>
      <c r="FC268" s="31"/>
      <c r="FD268" s="31"/>
      <c r="FE268" s="31"/>
      <c r="FF268" s="31"/>
      <c r="FG268" s="31"/>
      <c r="FH268" s="31"/>
      <c r="FI268" s="31"/>
      <c r="FJ268" s="31"/>
      <c r="FK268" s="31"/>
      <c r="FL268" s="31"/>
      <c r="FM268" s="31"/>
      <c r="FN268" s="31"/>
      <c r="FO268" s="31"/>
      <c r="FP268" s="31"/>
      <c r="FQ268" s="31"/>
      <c r="FR268" s="31"/>
      <c r="FS268" s="31"/>
      <c r="FT268" s="31"/>
      <c r="FU268" s="31"/>
      <c r="FV268" s="31"/>
      <c r="FW268" s="31"/>
      <c r="FX268" s="31"/>
      <c r="FY268" s="31"/>
      <c r="FZ268" s="31"/>
      <c r="GA268" s="31"/>
      <c r="GB268" s="31"/>
      <c r="GC268" s="31"/>
      <c r="GD268" s="31"/>
      <c r="GE268" s="31"/>
      <c r="GF268" s="31"/>
      <c r="GG268" s="31"/>
      <c r="GH268" s="31"/>
      <c r="GI268" s="31"/>
      <c r="GJ268" s="31"/>
      <c r="GK268" s="31"/>
      <c r="GL268" s="31"/>
      <c r="GM268" s="31"/>
      <c r="GN268" s="31"/>
      <c r="GO268" s="31"/>
      <c r="GP268" s="31"/>
      <c r="GQ268" s="31"/>
      <c r="GR268" s="31"/>
      <c r="GS268" s="31"/>
      <c r="GT268" s="31"/>
      <c r="GU268" s="31"/>
      <c r="GV268" s="31"/>
      <c r="GW268" s="31"/>
      <c r="GX268" s="31"/>
      <c r="GY268" s="31"/>
      <c r="GZ268" s="31"/>
      <c r="HA268" s="31"/>
      <c r="HB268" s="31"/>
      <c r="HC268" s="31"/>
      <c r="HD268" s="31"/>
      <c r="HE268" s="31"/>
      <c r="HF268" s="31"/>
      <c r="HG268" s="31"/>
      <c r="HH268" s="31"/>
      <c r="HI268" s="31"/>
      <c r="HJ268" s="31"/>
      <c r="HK268" s="31"/>
      <c r="HL268" s="31"/>
      <c r="HM268" s="31"/>
      <c r="HN268" s="31"/>
      <c r="HO268" s="31"/>
      <c r="HP268" s="31"/>
      <c r="HQ268" s="31"/>
      <c r="HR268" s="31"/>
      <c r="HS268" s="31"/>
      <c r="HT268" s="31"/>
      <c r="HU268" s="31"/>
      <c r="HV268" s="31"/>
      <c r="HW268" s="31"/>
      <c r="HX268" s="31"/>
      <c r="HY268" s="31"/>
      <c r="HZ268" s="31"/>
      <c r="IA268" s="31"/>
      <c r="IB268" s="31"/>
      <c r="IC268" s="31"/>
      <c r="ID268" s="31"/>
      <c r="IE268" s="31"/>
      <c r="IF268" s="31"/>
      <c r="IG268" s="31"/>
      <c r="IH268" s="31"/>
      <c r="II268" s="31"/>
      <c r="IJ268" s="31"/>
      <c r="IK268" s="31"/>
      <c r="IL268" s="31"/>
      <c r="IM268" s="31"/>
      <c r="IN268" s="31"/>
      <c r="IO268" s="31"/>
      <c r="IP268" s="31"/>
      <c r="IQ268" s="31"/>
      <c r="IR268" s="31"/>
      <c r="IS268" s="31"/>
      <c r="IT268" s="31"/>
      <c r="IU268" s="31"/>
      <c r="IV268" s="31"/>
      <c r="IW268" s="31"/>
      <c r="IX268" s="31"/>
      <c r="IY268" s="31"/>
      <c r="IZ268" s="31"/>
      <c r="JA268" s="31"/>
      <c r="JB268" s="31"/>
      <c r="JC268" s="31"/>
      <c r="JD268" s="31"/>
      <c r="JE268" s="31"/>
      <c r="JF268" s="31"/>
    </row>
    <row r="269" spans="1:266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  <c r="FN269" s="31"/>
      <c r="FO269" s="31"/>
      <c r="FP269" s="31"/>
      <c r="FQ269" s="31"/>
      <c r="FR269" s="31"/>
      <c r="FS269" s="31"/>
      <c r="FT269" s="31"/>
      <c r="FU269" s="31"/>
      <c r="FV269" s="31"/>
      <c r="FW269" s="31"/>
      <c r="FX269" s="31"/>
      <c r="FY269" s="31"/>
      <c r="FZ269" s="31"/>
      <c r="GA269" s="31"/>
      <c r="GB269" s="31"/>
      <c r="GC269" s="31"/>
      <c r="GD269" s="31"/>
      <c r="GE269" s="31"/>
      <c r="GF269" s="31"/>
      <c r="GG269" s="31"/>
      <c r="GH269" s="31"/>
      <c r="GI269" s="31"/>
      <c r="GJ269" s="31"/>
      <c r="GK269" s="31"/>
      <c r="GL269" s="31"/>
      <c r="GM269" s="31"/>
      <c r="GN269" s="31"/>
      <c r="GO269" s="31"/>
      <c r="GP269" s="31"/>
      <c r="GQ269" s="31"/>
      <c r="GR269" s="31"/>
      <c r="GS269" s="31"/>
      <c r="GT269" s="31"/>
      <c r="GU269" s="31"/>
      <c r="GV269" s="31"/>
      <c r="GW269" s="31"/>
      <c r="GX269" s="31"/>
      <c r="GY269" s="31"/>
      <c r="GZ269" s="31"/>
      <c r="HA269" s="31"/>
      <c r="HB269" s="31"/>
      <c r="HC269" s="31"/>
      <c r="HD269" s="31"/>
      <c r="HE269" s="31"/>
      <c r="HF269" s="31"/>
      <c r="HG269" s="31"/>
      <c r="HH269" s="31"/>
      <c r="HI269" s="31"/>
      <c r="HJ269" s="31"/>
      <c r="HK269" s="31"/>
      <c r="HL269" s="31"/>
      <c r="HM269" s="31"/>
      <c r="HN269" s="31"/>
      <c r="HO269" s="31"/>
      <c r="HP269" s="31"/>
      <c r="HQ269" s="31"/>
      <c r="HR269" s="31"/>
      <c r="HS269" s="31"/>
      <c r="HT269" s="31"/>
      <c r="HU269" s="31"/>
      <c r="HV269" s="31"/>
      <c r="HW269" s="31"/>
      <c r="HX269" s="31"/>
      <c r="HY269" s="31"/>
      <c r="HZ269" s="31"/>
      <c r="IA269" s="31"/>
      <c r="IB269" s="31"/>
      <c r="IC269" s="31"/>
      <c r="ID269" s="31"/>
      <c r="IE269" s="31"/>
      <c r="IF269" s="31"/>
      <c r="IG269" s="31"/>
      <c r="IH269" s="31"/>
      <c r="II269" s="31"/>
      <c r="IJ269" s="31"/>
      <c r="IK269" s="31"/>
      <c r="IL269" s="31"/>
      <c r="IM269" s="31"/>
      <c r="IN269" s="31"/>
      <c r="IO269" s="31"/>
      <c r="IP269" s="31"/>
      <c r="IQ269" s="31"/>
      <c r="IR269" s="31"/>
      <c r="IS269" s="31"/>
      <c r="IT269" s="31"/>
      <c r="IU269" s="31"/>
      <c r="IV269" s="31"/>
      <c r="IW269" s="31"/>
      <c r="IX269" s="31"/>
      <c r="IY269" s="31"/>
      <c r="IZ269" s="31"/>
      <c r="JA269" s="31"/>
      <c r="JB269" s="31"/>
      <c r="JC269" s="31"/>
      <c r="JD269" s="31"/>
      <c r="JE269" s="31"/>
      <c r="JF269" s="31"/>
    </row>
    <row r="270" spans="1:266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1"/>
      <c r="EH270" s="31"/>
      <c r="EI270" s="31"/>
      <c r="EJ270" s="31"/>
      <c r="EK270" s="31"/>
      <c r="EL270" s="31"/>
      <c r="EM270" s="31"/>
      <c r="EN270" s="31"/>
      <c r="EO270" s="31"/>
      <c r="EP270" s="31"/>
      <c r="EQ270" s="31"/>
      <c r="ER270" s="31"/>
      <c r="ES270" s="31"/>
      <c r="ET270" s="31"/>
      <c r="EU270" s="31"/>
      <c r="EV270" s="31"/>
      <c r="EW270" s="31"/>
      <c r="EX270" s="31"/>
      <c r="EY270" s="31"/>
      <c r="EZ270" s="31"/>
      <c r="FA270" s="31"/>
      <c r="FB270" s="31"/>
      <c r="FC270" s="31"/>
      <c r="FD270" s="31"/>
      <c r="FE270" s="31"/>
      <c r="FF270" s="31"/>
      <c r="FG270" s="31"/>
      <c r="FH270" s="31"/>
      <c r="FI270" s="31"/>
      <c r="FJ270" s="31"/>
      <c r="FK270" s="31"/>
      <c r="FL270" s="31"/>
      <c r="FM270" s="31"/>
      <c r="FN270" s="31"/>
      <c r="FO270" s="31"/>
      <c r="FP270" s="31"/>
      <c r="FQ270" s="31"/>
      <c r="FR270" s="31"/>
      <c r="FS270" s="31"/>
      <c r="FT270" s="31"/>
      <c r="FU270" s="31"/>
      <c r="FV270" s="31"/>
      <c r="FW270" s="31"/>
      <c r="FX270" s="31"/>
      <c r="FY270" s="31"/>
      <c r="FZ270" s="31"/>
      <c r="GA270" s="31"/>
      <c r="GB270" s="31"/>
      <c r="GC270" s="31"/>
      <c r="GD270" s="31"/>
      <c r="GE270" s="31"/>
      <c r="GF270" s="31"/>
      <c r="GG270" s="31"/>
      <c r="GH270" s="31"/>
      <c r="GI270" s="31"/>
      <c r="GJ270" s="31"/>
      <c r="GK270" s="31"/>
      <c r="GL270" s="31"/>
      <c r="GM270" s="31"/>
      <c r="GN270" s="31"/>
      <c r="GO270" s="31"/>
      <c r="GP270" s="31"/>
      <c r="GQ270" s="31"/>
      <c r="GR270" s="31"/>
      <c r="GS270" s="31"/>
      <c r="GT270" s="31"/>
      <c r="GU270" s="31"/>
      <c r="GV270" s="31"/>
      <c r="GW270" s="31"/>
      <c r="GX270" s="31"/>
      <c r="GY270" s="31"/>
      <c r="GZ270" s="31"/>
      <c r="HA270" s="31"/>
      <c r="HB270" s="31"/>
      <c r="HC270" s="31"/>
      <c r="HD270" s="31"/>
      <c r="HE270" s="31"/>
      <c r="HF270" s="31"/>
      <c r="HG270" s="31"/>
      <c r="HH270" s="31"/>
      <c r="HI270" s="31"/>
      <c r="HJ270" s="31"/>
      <c r="HK270" s="31"/>
      <c r="HL270" s="31"/>
      <c r="HM270" s="31"/>
      <c r="HN270" s="31"/>
      <c r="HO270" s="31"/>
      <c r="HP270" s="31"/>
      <c r="HQ270" s="31"/>
      <c r="HR270" s="31"/>
      <c r="HS270" s="31"/>
      <c r="HT270" s="31"/>
      <c r="HU270" s="31"/>
      <c r="HV270" s="31"/>
      <c r="HW270" s="31"/>
      <c r="HX270" s="31"/>
      <c r="HY270" s="31"/>
      <c r="HZ270" s="31"/>
      <c r="IA270" s="31"/>
      <c r="IB270" s="31"/>
      <c r="IC270" s="31"/>
      <c r="ID270" s="31"/>
      <c r="IE270" s="31"/>
      <c r="IF270" s="31"/>
      <c r="IG270" s="31"/>
      <c r="IH270" s="31"/>
      <c r="II270" s="31"/>
      <c r="IJ270" s="31"/>
      <c r="IK270" s="31"/>
      <c r="IL270" s="31"/>
      <c r="IM270" s="31"/>
      <c r="IN270" s="31"/>
      <c r="IO270" s="31"/>
      <c r="IP270" s="31"/>
      <c r="IQ270" s="31"/>
      <c r="IR270" s="31"/>
      <c r="IS270" s="31"/>
      <c r="IT270" s="31"/>
      <c r="IU270" s="31"/>
      <c r="IV270" s="31"/>
      <c r="IW270" s="31"/>
      <c r="IX270" s="31"/>
      <c r="IY270" s="31"/>
      <c r="IZ270" s="31"/>
      <c r="JA270" s="31"/>
      <c r="JB270" s="31"/>
      <c r="JC270" s="31"/>
      <c r="JD270" s="31"/>
      <c r="JE270" s="31"/>
      <c r="JF270" s="31"/>
    </row>
    <row r="271" spans="1:266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1"/>
      <c r="EH271" s="31"/>
      <c r="EI271" s="31"/>
      <c r="EJ271" s="31"/>
      <c r="EK271" s="31"/>
      <c r="EL271" s="31"/>
      <c r="EM271" s="31"/>
      <c r="EN271" s="31"/>
      <c r="EO271" s="31"/>
      <c r="EP271" s="31"/>
      <c r="EQ271" s="31"/>
      <c r="ER271" s="31"/>
      <c r="ES271" s="31"/>
      <c r="ET271" s="31"/>
      <c r="EU271" s="31"/>
      <c r="EV271" s="31"/>
      <c r="EW271" s="31"/>
      <c r="EX271" s="31"/>
      <c r="EY271" s="31"/>
      <c r="EZ271" s="31"/>
      <c r="FA271" s="31"/>
      <c r="FB271" s="31"/>
      <c r="FC271" s="31"/>
      <c r="FD271" s="31"/>
      <c r="FE271" s="31"/>
      <c r="FF271" s="31"/>
      <c r="FG271" s="31"/>
      <c r="FH271" s="31"/>
      <c r="FI271" s="31"/>
      <c r="FJ271" s="31"/>
      <c r="FK271" s="31"/>
      <c r="FL271" s="31"/>
      <c r="FM271" s="31"/>
      <c r="FN271" s="31"/>
      <c r="FO271" s="31"/>
      <c r="FP271" s="31"/>
      <c r="FQ271" s="31"/>
      <c r="FR271" s="31"/>
      <c r="FS271" s="31"/>
      <c r="FT271" s="31"/>
      <c r="FU271" s="31"/>
      <c r="FV271" s="31"/>
      <c r="FW271" s="31"/>
      <c r="FX271" s="31"/>
      <c r="FY271" s="31"/>
      <c r="FZ271" s="31"/>
      <c r="GA271" s="31"/>
      <c r="GB271" s="31"/>
      <c r="GC271" s="31"/>
      <c r="GD271" s="31"/>
      <c r="GE271" s="31"/>
      <c r="GF271" s="31"/>
      <c r="GG271" s="31"/>
      <c r="GH271" s="31"/>
      <c r="GI271" s="31"/>
      <c r="GJ271" s="31"/>
      <c r="GK271" s="31"/>
      <c r="GL271" s="31"/>
      <c r="GM271" s="31"/>
      <c r="GN271" s="31"/>
      <c r="GO271" s="31"/>
      <c r="GP271" s="31"/>
      <c r="GQ271" s="31"/>
      <c r="GR271" s="31"/>
      <c r="GS271" s="31"/>
      <c r="GT271" s="31"/>
      <c r="GU271" s="31"/>
      <c r="GV271" s="31"/>
      <c r="GW271" s="31"/>
      <c r="GX271" s="31"/>
      <c r="GY271" s="31"/>
      <c r="GZ271" s="31"/>
      <c r="HA271" s="31"/>
      <c r="HB271" s="31"/>
      <c r="HC271" s="31"/>
      <c r="HD271" s="31"/>
      <c r="HE271" s="31"/>
      <c r="HF271" s="31"/>
      <c r="HG271" s="31"/>
      <c r="HH271" s="31"/>
      <c r="HI271" s="31"/>
      <c r="HJ271" s="31"/>
      <c r="HK271" s="31"/>
      <c r="HL271" s="31"/>
      <c r="HM271" s="31"/>
      <c r="HN271" s="31"/>
      <c r="HO271" s="31"/>
      <c r="HP271" s="31"/>
      <c r="HQ271" s="31"/>
      <c r="HR271" s="31"/>
      <c r="HS271" s="31"/>
      <c r="HT271" s="31"/>
      <c r="HU271" s="31"/>
      <c r="HV271" s="31"/>
      <c r="HW271" s="31"/>
      <c r="HX271" s="31"/>
      <c r="HY271" s="31"/>
      <c r="HZ271" s="31"/>
      <c r="IA271" s="31"/>
      <c r="IB271" s="31"/>
      <c r="IC271" s="31"/>
      <c r="ID271" s="31"/>
      <c r="IE271" s="31"/>
      <c r="IF271" s="31"/>
      <c r="IG271" s="31"/>
      <c r="IH271" s="31"/>
      <c r="II271" s="31"/>
      <c r="IJ271" s="31"/>
      <c r="IK271" s="31"/>
      <c r="IL271" s="31"/>
      <c r="IM271" s="31"/>
      <c r="IN271" s="31"/>
      <c r="IO271" s="31"/>
      <c r="IP271" s="31"/>
      <c r="IQ271" s="31"/>
      <c r="IR271" s="31"/>
      <c r="IS271" s="31"/>
      <c r="IT271" s="31"/>
      <c r="IU271" s="31"/>
      <c r="IV271" s="31"/>
      <c r="IW271" s="31"/>
      <c r="IX271" s="31"/>
      <c r="IY271" s="31"/>
      <c r="IZ271" s="31"/>
      <c r="JA271" s="31"/>
      <c r="JB271" s="31"/>
      <c r="JC271" s="31"/>
      <c r="JD271" s="31"/>
      <c r="JE271" s="31"/>
      <c r="JF271" s="31"/>
    </row>
    <row r="272" spans="1:266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  <c r="DY272" s="31"/>
      <c r="DZ272" s="31"/>
      <c r="EA272" s="31"/>
      <c r="EB272" s="31"/>
      <c r="EC272" s="31"/>
      <c r="ED272" s="31"/>
      <c r="EE272" s="31"/>
      <c r="EF272" s="31"/>
      <c r="EG272" s="31"/>
      <c r="EH272" s="31"/>
      <c r="EI272" s="31"/>
      <c r="EJ272" s="31"/>
      <c r="EK272" s="31"/>
      <c r="EL272" s="31"/>
      <c r="EM272" s="31"/>
      <c r="EN272" s="31"/>
      <c r="EO272" s="31"/>
      <c r="EP272" s="31"/>
      <c r="EQ272" s="31"/>
      <c r="ER272" s="31"/>
      <c r="ES272" s="31"/>
      <c r="ET272" s="31"/>
      <c r="EU272" s="31"/>
      <c r="EV272" s="31"/>
      <c r="EW272" s="31"/>
      <c r="EX272" s="31"/>
      <c r="EY272" s="31"/>
      <c r="EZ272" s="31"/>
      <c r="FA272" s="31"/>
      <c r="FB272" s="31"/>
      <c r="FC272" s="31"/>
      <c r="FD272" s="31"/>
      <c r="FE272" s="31"/>
      <c r="FF272" s="31"/>
      <c r="FG272" s="31"/>
      <c r="FH272" s="31"/>
      <c r="FI272" s="31"/>
      <c r="FJ272" s="31"/>
      <c r="FK272" s="31"/>
      <c r="FL272" s="31"/>
      <c r="FM272" s="31"/>
      <c r="FN272" s="31"/>
      <c r="FO272" s="31"/>
      <c r="FP272" s="31"/>
      <c r="FQ272" s="31"/>
      <c r="FR272" s="31"/>
      <c r="FS272" s="31"/>
      <c r="FT272" s="31"/>
      <c r="FU272" s="31"/>
      <c r="FV272" s="31"/>
      <c r="FW272" s="31"/>
      <c r="FX272" s="31"/>
      <c r="FY272" s="31"/>
      <c r="FZ272" s="31"/>
      <c r="GA272" s="31"/>
      <c r="GB272" s="31"/>
      <c r="GC272" s="31"/>
      <c r="GD272" s="31"/>
      <c r="GE272" s="31"/>
      <c r="GF272" s="31"/>
      <c r="GG272" s="31"/>
      <c r="GH272" s="31"/>
      <c r="GI272" s="31"/>
      <c r="GJ272" s="31"/>
      <c r="GK272" s="31"/>
      <c r="GL272" s="31"/>
      <c r="GM272" s="31"/>
      <c r="GN272" s="31"/>
      <c r="GO272" s="31"/>
      <c r="GP272" s="31"/>
      <c r="GQ272" s="31"/>
      <c r="GR272" s="31"/>
      <c r="GS272" s="31"/>
      <c r="GT272" s="31"/>
      <c r="GU272" s="31"/>
      <c r="GV272" s="31"/>
      <c r="GW272" s="31"/>
      <c r="GX272" s="31"/>
      <c r="GY272" s="31"/>
      <c r="GZ272" s="31"/>
      <c r="HA272" s="31"/>
      <c r="HB272" s="31"/>
      <c r="HC272" s="31"/>
      <c r="HD272" s="31"/>
      <c r="HE272" s="31"/>
      <c r="HF272" s="31"/>
      <c r="HG272" s="31"/>
      <c r="HH272" s="31"/>
      <c r="HI272" s="31"/>
      <c r="HJ272" s="31"/>
      <c r="HK272" s="31"/>
      <c r="HL272" s="31"/>
      <c r="HM272" s="31"/>
      <c r="HN272" s="31"/>
      <c r="HO272" s="31"/>
      <c r="HP272" s="31"/>
      <c r="HQ272" s="31"/>
      <c r="HR272" s="31"/>
      <c r="HS272" s="31"/>
      <c r="HT272" s="31"/>
      <c r="HU272" s="31"/>
      <c r="HV272" s="31"/>
      <c r="HW272" s="31"/>
      <c r="HX272" s="31"/>
      <c r="HY272" s="31"/>
      <c r="HZ272" s="31"/>
      <c r="IA272" s="31"/>
      <c r="IB272" s="31"/>
      <c r="IC272" s="31"/>
      <c r="ID272" s="31"/>
      <c r="IE272" s="31"/>
      <c r="IF272" s="31"/>
      <c r="IG272" s="31"/>
      <c r="IH272" s="31"/>
      <c r="II272" s="31"/>
      <c r="IJ272" s="31"/>
      <c r="IK272" s="31"/>
      <c r="IL272" s="31"/>
      <c r="IM272" s="31"/>
      <c r="IN272" s="31"/>
      <c r="IO272" s="31"/>
      <c r="IP272" s="31"/>
      <c r="IQ272" s="31"/>
      <c r="IR272" s="31"/>
      <c r="IS272" s="31"/>
      <c r="IT272" s="31"/>
      <c r="IU272" s="31"/>
      <c r="IV272" s="31"/>
      <c r="IW272" s="31"/>
      <c r="IX272" s="31"/>
      <c r="IY272" s="31"/>
      <c r="IZ272" s="31"/>
      <c r="JA272" s="31"/>
      <c r="JB272" s="31"/>
      <c r="JC272" s="31"/>
      <c r="JD272" s="31"/>
      <c r="JE272" s="31"/>
      <c r="JF272" s="31"/>
    </row>
    <row r="273" spans="1:266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  <c r="EO273" s="31"/>
      <c r="EP273" s="31"/>
      <c r="EQ273" s="31"/>
      <c r="ER273" s="31"/>
      <c r="ES273" s="31"/>
      <c r="ET273" s="31"/>
      <c r="EU273" s="31"/>
      <c r="EV273" s="31"/>
      <c r="EW273" s="31"/>
      <c r="EX273" s="31"/>
      <c r="EY273" s="31"/>
      <c r="EZ273" s="31"/>
      <c r="FA273" s="31"/>
      <c r="FB273" s="31"/>
      <c r="FC273" s="31"/>
      <c r="FD273" s="31"/>
      <c r="FE273" s="31"/>
      <c r="FF273" s="31"/>
      <c r="FG273" s="31"/>
      <c r="FH273" s="31"/>
      <c r="FI273" s="31"/>
      <c r="FJ273" s="31"/>
      <c r="FK273" s="31"/>
      <c r="FL273" s="31"/>
      <c r="FM273" s="31"/>
      <c r="FN273" s="31"/>
      <c r="FO273" s="31"/>
      <c r="FP273" s="31"/>
      <c r="FQ273" s="31"/>
      <c r="FR273" s="31"/>
      <c r="FS273" s="31"/>
      <c r="FT273" s="31"/>
      <c r="FU273" s="31"/>
      <c r="FV273" s="31"/>
      <c r="FW273" s="31"/>
      <c r="FX273" s="31"/>
      <c r="FY273" s="31"/>
      <c r="FZ273" s="31"/>
      <c r="GA273" s="31"/>
      <c r="GB273" s="31"/>
      <c r="GC273" s="31"/>
      <c r="GD273" s="31"/>
      <c r="GE273" s="31"/>
      <c r="GF273" s="31"/>
      <c r="GG273" s="31"/>
      <c r="GH273" s="31"/>
      <c r="GI273" s="31"/>
      <c r="GJ273" s="31"/>
      <c r="GK273" s="31"/>
      <c r="GL273" s="31"/>
      <c r="GM273" s="31"/>
      <c r="GN273" s="31"/>
      <c r="GO273" s="31"/>
      <c r="GP273" s="31"/>
      <c r="GQ273" s="31"/>
      <c r="GR273" s="31"/>
      <c r="GS273" s="31"/>
      <c r="GT273" s="31"/>
      <c r="GU273" s="31"/>
      <c r="GV273" s="31"/>
      <c r="GW273" s="31"/>
      <c r="GX273" s="31"/>
      <c r="GY273" s="31"/>
      <c r="GZ273" s="31"/>
      <c r="HA273" s="31"/>
      <c r="HB273" s="31"/>
      <c r="HC273" s="31"/>
      <c r="HD273" s="31"/>
      <c r="HE273" s="31"/>
      <c r="HF273" s="31"/>
      <c r="HG273" s="31"/>
      <c r="HH273" s="31"/>
      <c r="HI273" s="31"/>
      <c r="HJ273" s="31"/>
      <c r="HK273" s="31"/>
      <c r="HL273" s="31"/>
      <c r="HM273" s="31"/>
      <c r="HN273" s="31"/>
      <c r="HO273" s="31"/>
      <c r="HP273" s="31"/>
      <c r="HQ273" s="31"/>
      <c r="HR273" s="31"/>
      <c r="HS273" s="31"/>
      <c r="HT273" s="31"/>
      <c r="HU273" s="31"/>
      <c r="HV273" s="31"/>
      <c r="HW273" s="31"/>
      <c r="HX273" s="31"/>
      <c r="HY273" s="31"/>
      <c r="HZ273" s="31"/>
      <c r="IA273" s="31"/>
      <c r="IB273" s="31"/>
      <c r="IC273" s="31"/>
      <c r="ID273" s="31"/>
      <c r="IE273" s="31"/>
      <c r="IF273" s="31"/>
      <c r="IG273" s="31"/>
      <c r="IH273" s="31"/>
      <c r="II273" s="31"/>
      <c r="IJ273" s="31"/>
      <c r="IK273" s="31"/>
      <c r="IL273" s="31"/>
      <c r="IM273" s="31"/>
      <c r="IN273" s="31"/>
      <c r="IO273" s="31"/>
      <c r="IP273" s="31"/>
      <c r="IQ273" s="31"/>
      <c r="IR273" s="31"/>
      <c r="IS273" s="31"/>
      <c r="IT273" s="31"/>
      <c r="IU273" s="31"/>
      <c r="IV273" s="31"/>
      <c r="IW273" s="31"/>
      <c r="IX273" s="31"/>
      <c r="IY273" s="31"/>
      <c r="IZ273" s="31"/>
      <c r="JA273" s="31"/>
      <c r="JB273" s="31"/>
      <c r="JC273" s="31"/>
      <c r="JD273" s="31"/>
      <c r="JE273" s="31"/>
      <c r="JF273" s="31"/>
    </row>
    <row r="274" spans="1:266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  <c r="ED274" s="31"/>
      <c r="EE274" s="31"/>
      <c r="EF274" s="31"/>
      <c r="EG274" s="31"/>
      <c r="EH274" s="31"/>
      <c r="EI274" s="31"/>
      <c r="EJ274" s="31"/>
      <c r="EK274" s="31"/>
      <c r="EL274" s="31"/>
      <c r="EM274" s="31"/>
      <c r="EN274" s="31"/>
      <c r="EO274" s="31"/>
      <c r="EP274" s="31"/>
      <c r="EQ274" s="31"/>
      <c r="ER274" s="31"/>
      <c r="ES274" s="31"/>
      <c r="ET274" s="31"/>
      <c r="EU274" s="31"/>
      <c r="EV274" s="31"/>
      <c r="EW274" s="31"/>
      <c r="EX274" s="31"/>
      <c r="EY274" s="31"/>
      <c r="EZ274" s="31"/>
      <c r="FA274" s="31"/>
      <c r="FB274" s="31"/>
      <c r="FC274" s="31"/>
      <c r="FD274" s="31"/>
      <c r="FE274" s="31"/>
      <c r="FF274" s="31"/>
      <c r="FG274" s="31"/>
      <c r="FH274" s="31"/>
      <c r="FI274" s="31"/>
      <c r="FJ274" s="31"/>
      <c r="FK274" s="31"/>
      <c r="FL274" s="31"/>
      <c r="FM274" s="31"/>
      <c r="FN274" s="31"/>
      <c r="FO274" s="31"/>
      <c r="FP274" s="31"/>
      <c r="FQ274" s="31"/>
      <c r="FR274" s="31"/>
      <c r="FS274" s="31"/>
      <c r="FT274" s="31"/>
      <c r="FU274" s="31"/>
      <c r="FV274" s="31"/>
      <c r="FW274" s="31"/>
      <c r="FX274" s="31"/>
      <c r="FY274" s="31"/>
      <c r="FZ274" s="31"/>
      <c r="GA274" s="31"/>
      <c r="GB274" s="31"/>
      <c r="GC274" s="31"/>
      <c r="GD274" s="31"/>
      <c r="GE274" s="31"/>
      <c r="GF274" s="31"/>
      <c r="GG274" s="31"/>
      <c r="GH274" s="31"/>
      <c r="GI274" s="31"/>
      <c r="GJ274" s="31"/>
      <c r="GK274" s="31"/>
      <c r="GL274" s="31"/>
      <c r="GM274" s="31"/>
      <c r="GN274" s="31"/>
      <c r="GO274" s="31"/>
      <c r="GP274" s="31"/>
      <c r="GQ274" s="31"/>
      <c r="GR274" s="31"/>
      <c r="GS274" s="31"/>
      <c r="GT274" s="31"/>
      <c r="GU274" s="31"/>
      <c r="GV274" s="31"/>
      <c r="GW274" s="31"/>
      <c r="GX274" s="31"/>
      <c r="GY274" s="31"/>
      <c r="GZ274" s="31"/>
      <c r="HA274" s="31"/>
      <c r="HB274" s="31"/>
      <c r="HC274" s="31"/>
      <c r="HD274" s="31"/>
      <c r="HE274" s="31"/>
      <c r="HF274" s="31"/>
      <c r="HG274" s="31"/>
      <c r="HH274" s="31"/>
      <c r="HI274" s="31"/>
      <c r="HJ274" s="31"/>
      <c r="HK274" s="31"/>
      <c r="HL274" s="31"/>
      <c r="HM274" s="31"/>
      <c r="HN274" s="31"/>
      <c r="HO274" s="31"/>
      <c r="HP274" s="31"/>
      <c r="HQ274" s="31"/>
      <c r="HR274" s="31"/>
      <c r="HS274" s="31"/>
      <c r="HT274" s="31"/>
      <c r="HU274" s="31"/>
      <c r="HV274" s="31"/>
      <c r="HW274" s="31"/>
      <c r="HX274" s="31"/>
      <c r="HY274" s="31"/>
      <c r="HZ274" s="31"/>
      <c r="IA274" s="31"/>
      <c r="IB274" s="31"/>
      <c r="IC274" s="31"/>
      <c r="ID274" s="31"/>
      <c r="IE274" s="31"/>
      <c r="IF274" s="31"/>
      <c r="IG274" s="31"/>
      <c r="IH274" s="31"/>
      <c r="II274" s="31"/>
      <c r="IJ274" s="31"/>
      <c r="IK274" s="31"/>
      <c r="IL274" s="31"/>
      <c r="IM274" s="31"/>
      <c r="IN274" s="31"/>
      <c r="IO274" s="31"/>
      <c r="IP274" s="31"/>
      <c r="IQ274" s="31"/>
      <c r="IR274" s="31"/>
      <c r="IS274" s="31"/>
      <c r="IT274" s="31"/>
      <c r="IU274" s="31"/>
      <c r="IV274" s="31"/>
      <c r="IW274" s="31"/>
      <c r="IX274" s="31"/>
      <c r="IY274" s="31"/>
      <c r="IZ274" s="31"/>
      <c r="JA274" s="31"/>
      <c r="JB274" s="31"/>
      <c r="JC274" s="31"/>
      <c r="JD274" s="31"/>
      <c r="JE274" s="31"/>
      <c r="JF274" s="31"/>
    </row>
    <row r="275" spans="1:266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  <c r="FH275" s="31"/>
      <c r="FI275" s="31"/>
      <c r="FJ275" s="31"/>
      <c r="FK275" s="31"/>
      <c r="FL275" s="31"/>
      <c r="FM275" s="31"/>
      <c r="FN275" s="31"/>
      <c r="FO275" s="31"/>
      <c r="FP275" s="31"/>
      <c r="FQ275" s="31"/>
      <c r="FR275" s="31"/>
      <c r="FS275" s="31"/>
      <c r="FT275" s="31"/>
      <c r="FU275" s="31"/>
      <c r="FV275" s="31"/>
      <c r="FW275" s="31"/>
      <c r="FX275" s="31"/>
      <c r="FY275" s="31"/>
      <c r="FZ275" s="31"/>
      <c r="GA275" s="31"/>
      <c r="GB275" s="31"/>
      <c r="GC275" s="31"/>
      <c r="GD275" s="31"/>
      <c r="GE275" s="31"/>
      <c r="GF275" s="31"/>
      <c r="GG275" s="31"/>
      <c r="GH275" s="31"/>
      <c r="GI275" s="31"/>
      <c r="GJ275" s="31"/>
      <c r="GK275" s="31"/>
      <c r="GL275" s="31"/>
      <c r="GM275" s="31"/>
      <c r="GN275" s="31"/>
      <c r="GO275" s="31"/>
      <c r="GP275" s="31"/>
      <c r="GQ275" s="31"/>
      <c r="GR275" s="31"/>
      <c r="GS275" s="31"/>
      <c r="GT275" s="31"/>
      <c r="GU275" s="31"/>
      <c r="GV275" s="31"/>
      <c r="GW275" s="31"/>
      <c r="GX275" s="31"/>
      <c r="GY275" s="31"/>
      <c r="GZ275" s="31"/>
      <c r="HA275" s="31"/>
      <c r="HB275" s="31"/>
      <c r="HC275" s="31"/>
      <c r="HD275" s="31"/>
      <c r="HE275" s="31"/>
      <c r="HF275" s="31"/>
      <c r="HG275" s="31"/>
      <c r="HH275" s="31"/>
      <c r="HI275" s="31"/>
      <c r="HJ275" s="31"/>
      <c r="HK275" s="31"/>
      <c r="HL275" s="31"/>
      <c r="HM275" s="31"/>
      <c r="HN275" s="31"/>
      <c r="HO275" s="31"/>
      <c r="HP275" s="31"/>
      <c r="HQ275" s="31"/>
      <c r="HR275" s="31"/>
      <c r="HS275" s="31"/>
      <c r="HT275" s="31"/>
      <c r="HU275" s="31"/>
      <c r="HV275" s="31"/>
      <c r="HW275" s="31"/>
      <c r="HX275" s="31"/>
      <c r="HY275" s="31"/>
      <c r="HZ275" s="31"/>
      <c r="IA275" s="31"/>
      <c r="IB275" s="31"/>
      <c r="IC275" s="31"/>
      <c r="ID275" s="31"/>
      <c r="IE275" s="31"/>
      <c r="IF275" s="31"/>
      <c r="IG275" s="31"/>
      <c r="IH275" s="31"/>
      <c r="II275" s="31"/>
      <c r="IJ275" s="31"/>
      <c r="IK275" s="31"/>
      <c r="IL275" s="31"/>
      <c r="IM275" s="31"/>
      <c r="IN275" s="31"/>
      <c r="IO275" s="31"/>
      <c r="IP275" s="31"/>
      <c r="IQ275" s="31"/>
      <c r="IR275" s="31"/>
      <c r="IS275" s="31"/>
      <c r="IT275" s="31"/>
      <c r="IU275" s="31"/>
      <c r="IV275" s="31"/>
      <c r="IW275" s="31"/>
      <c r="IX275" s="31"/>
      <c r="IY275" s="31"/>
      <c r="IZ275" s="31"/>
      <c r="JA275" s="31"/>
      <c r="JB275" s="31"/>
      <c r="JC275" s="31"/>
      <c r="JD275" s="31"/>
      <c r="JE275" s="31"/>
      <c r="JF275" s="31"/>
    </row>
    <row r="276" spans="1:26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1"/>
      <c r="EH276" s="31"/>
      <c r="EI276" s="31"/>
      <c r="EJ276" s="31"/>
      <c r="EK276" s="31"/>
      <c r="EL276" s="31"/>
      <c r="EM276" s="31"/>
      <c r="EN276" s="31"/>
      <c r="EO276" s="31"/>
      <c r="EP276" s="31"/>
      <c r="EQ276" s="31"/>
      <c r="ER276" s="31"/>
      <c r="ES276" s="31"/>
      <c r="ET276" s="31"/>
      <c r="EU276" s="31"/>
      <c r="EV276" s="31"/>
      <c r="EW276" s="31"/>
      <c r="EX276" s="31"/>
      <c r="EY276" s="31"/>
      <c r="EZ276" s="31"/>
      <c r="FA276" s="31"/>
      <c r="FB276" s="31"/>
      <c r="FC276" s="31"/>
      <c r="FD276" s="31"/>
      <c r="FE276" s="31"/>
      <c r="FF276" s="31"/>
      <c r="FG276" s="31"/>
      <c r="FH276" s="31"/>
      <c r="FI276" s="31"/>
      <c r="FJ276" s="31"/>
      <c r="FK276" s="31"/>
      <c r="FL276" s="31"/>
      <c r="FM276" s="31"/>
      <c r="FN276" s="31"/>
      <c r="FO276" s="31"/>
      <c r="FP276" s="31"/>
      <c r="FQ276" s="31"/>
      <c r="FR276" s="31"/>
      <c r="FS276" s="31"/>
      <c r="FT276" s="31"/>
      <c r="FU276" s="31"/>
      <c r="FV276" s="31"/>
      <c r="FW276" s="31"/>
      <c r="FX276" s="31"/>
      <c r="FY276" s="31"/>
      <c r="FZ276" s="31"/>
      <c r="GA276" s="31"/>
      <c r="GB276" s="31"/>
      <c r="GC276" s="31"/>
      <c r="GD276" s="31"/>
      <c r="GE276" s="31"/>
      <c r="GF276" s="31"/>
      <c r="GG276" s="31"/>
      <c r="GH276" s="31"/>
      <c r="GI276" s="31"/>
      <c r="GJ276" s="31"/>
      <c r="GK276" s="31"/>
      <c r="GL276" s="31"/>
      <c r="GM276" s="31"/>
      <c r="GN276" s="31"/>
      <c r="GO276" s="31"/>
      <c r="GP276" s="31"/>
      <c r="GQ276" s="31"/>
      <c r="GR276" s="31"/>
      <c r="GS276" s="31"/>
      <c r="GT276" s="31"/>
      <c r="GU276" s="31"/>
      <c r="GV276" s="31"/>
      <c r="GW276" s="31"/>
      <c r="GX276" s="31"/>
      <c r="GY276" s="31"/>
      <c r="GZ276" s="31"/>
      <c r="HA276" s="31"/>
      <c r="HB276" s="31"/>
      <c r="HC276" s="31"/>
      <c r="HD276" s="31"/>
      <c r="HE276" s="31"/>
      <c r="HF276" s="31"/>
      <c r="HG276" s="31"/>
      <c r="HH276" s="31"/>
      <c r="HI276" s="31"/>
      <c r="HJ276" s="31"/>
      <c r="HK276" s="31"/>
      <c r="HL276" s="31"/>
      <c r="HM276" s="31"/>
      <c r="HN276" s="31"/>
      <c r="HO276" s="31"/>
      <c r="HP276" s="31"/>
      <c r="HQ276" s="31"/>
      <c r="HR276" s="31"/>
      <c r="HS276" s="31"/>
      <c r="HT276" s="31"/>
      <c r="HU276" s="31"/>
      <c r="HV276" s="31"/>
      <c r="HW276" s="31"/>
      <c r="HX276" s="31"/>
      <c r="HY276" s="31"/>
      <c r="HZ276" s="31"/>
      <c r="IA276" s="31"/>
      <c r="IB276" s="31"/>
      <c r="IC276" s="31"/>
      <c r="ID276" s="31"/>
      <c r="IE276" s="31"/>
      <c r="IF276" s="31"/>
      <c r="IG276" s="31"/>
      <c r="IH276" s="31"/>
      <c r="II276" s="31"/>
      <c r="IJ276" s="31"/>
      <c r="IK276" s="31"/>
      <c r="IL276" s="31"/>
      <c r="IM276" s="31"/>
      <c r="IN276" s="31"/>
      <c r="IO276" s="31"/>
      <c r="IP276" s="31"/>
      <c r="IQ276" s="31"/>
      <c r="IR276" s="31"/>
      <c r="IS276" s="31"/>
      <c r="IT276" s="31"/>
      <c r="IU276" s="31"/>
      <c r="IV276" s="31"/>
      <c r="IW276" s="31"/>
      <c r="IX276" s="31"/>
      <c r="IY276" s="31"/>
      <c r="IZ276" s="31"/>
      <c r="JA276" s="31"/>
      <c r="JB276" s="31"/>
      <c r="JC276" s="31"/>
      <c r="JD276" s="31"/>
      <c r="JE276" s="31"/>
      <c r="JF276" s="31"/>
    </row>
    <row r="277" spans="1:266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  <c r="DT277" s="31"/>
      <c r="DU277" s="31"/>
      <c r="DV277" s="31"/>
      <c r="DW277" s="31"/>
      <c r="DX277" s="31"/>
      <c r="DY277" s="31"/>
      <c r="DZ277" s="31"/>
      <c r="EA277" s="31"/>
      <c r="EB277" s="31"/>
      <c r="EC277" s="31"/>
      <c r="ED277" s="31"/>
      <c r="EE277" s="31"/>
      <c r="EF277" s="31"/>
      <c r="EG277" s="31"/>
      <c r="EH277" s="31"/>
      <c r="EI277" s="31"/>
      <c r="EJ277" s="31"/>
      <c r="EK277" s="31"/>
      <c r="EL277" s="31"/>
      <c r="EM277" s="31"/>
      <c r="EN277" s="31"/>
      <c r="EO277" s="31"/>
      <c r="EP277" s="31"/>
      <c r="EQ277" s="31"/>
      <c r="ER277" s="31"/>
      <c r="ES277" s="31"/>
      <c r="ET277" s="31"/>
      <c r="EU277" s="31"/>
      <c r="EV277" s="31"/>
      <c r="EW277" s="31"/>
      <c r="EX277" s="31"/>
      <c r="EY277" s="31"/>
      <c r="EZ277" s="31"/>
      <c r="FA277" s="31"/>
      <c r="FB277" s="31"/>
      <c r="FC277" s="31"/>
      <c r="FD277" s="31"/>
      <c r="FE277" s="31"/>
      <c r="FF277" s="31"/>
      <c r="FG277" s="31"/>
      <c r="FH277" s="31"/>
      <c r="FI277" s="31"/>
      <c r="FJ277" s="31"/>
      <c r="FK277" s="31"/>
      <c r="FL277" s="31"/>
      <c r="FM277" s="31"/>
      <c r="FN277" s="31"/>
      <c r="FO277" s="31"/>
      <c r="FP277" s="31"/>
      <c r="FQ277" s="31"/>
      <c r="FR277" s="31"/>
      <c r="FS277" s="31"/>
      <c r="FT277" s="31"/>
      <c r="FU277" s="31"/>
      <c r="FV277" s="31"/>
      <c r="FW277" s="31"/>
      <c r="FX277" s="31"/>
      <c r="FY277" s="31"/>
      <c r="FZ277" s="31"/>
      <c r="GA277" s="31"/>
      <c r="GB277" s="31"/>
      <c r="GC277" s="31"/>
      <c r="GD277" s="31"/>
      <c r="GE277" s="31"/>
      <c r="GF277" s="31"/>
      <c r="GG277" s="31"/>
      <c r="GH277" s="31"/>
      <c r="GI277" s="31"/>
      <c r="GJ277" s="31"/>
      <c r="GK277" s="31"/>
      <c r="GL277" s="31"/>
      <c r="GM277" s="31"/>
      <c r="GN277" s="31"/>
      <c r="GO277" s="31"/>
      <c r="GP277" s="31"/>
      <c r="GQ277" s="31"/>
      <c r="GR277" s="31"/>
      <c r="GS277" s="31"/>
      <c r="GT277" s="31"/>
      <c r="GU277" s="31"/>
      <c r="GV277" s="31"/>
      <c r="GW277" s="31"/>
      <c r="GX277" s="31"/>
      <c r="GY277" s="31"/>
      <c r="GZ277" s="31"/>
      <c r="HA277" s="31"/>
      <c r="HB277" s="31"/>
      <c r="HC277" s="31"/>
      <c r="HD277" s="31"/>
      <c r="HE277" s="31"/>
      <c r="HF277" s="31"/>
      <c r="HG277" s="31"/>
      <c r="HH277" s="31"/>
      <c r="HI277" s="31"/>
      <c r="HJ277" s="31"/>
      <c r="HK277" s="31"/>
      <c r="HL277" s="31"/>
      <c r="HM277" s="31"/>
      <c r="HN277" s="31"/>
      <c r="HO277" s="31"/>
      <c r="HP277" s="31"/>
      <c r="HQ277" s="31"/>
      <c r="HR277" s="31"/>
      <c r="HS277" s="31"/>
      <c r="HT277" s="31"/>
      <c r="HU277" s="31"/>
      <c r="HV277" s="31"/>
      <c r="HW277" s="31"/>
      <c r="HX277" s="31"/>
      <c r="HY277" s="31"/>
      <c r="HZ277" s="31"/>
      <c r="IA277" s="31"/>
      <c r="IB277" s="31"/>
      <c r="IC277" s="31"/>
      <c r="ID277" s="31"/>
      <c r="IE277" s="31"/>
      <c r="IF277" s="31"/>
      <c r="IG277" s="31"/>
      <c r="IH277" s="31"/>
      <c r="II277" s="31"/>
      <c r="IJ277" s="31"/>
      <c r="IK277" s="31"/>
      <c r="IL277" s="31"/>
      <c r="IM277" s="31"/>
      <c r="IN277" s="31"/>
      <c r="IO277" s="31"/>
      <c r="IP277" s="31"/>
      <c r="IQ277" s="31"/>
      <c r="IR277" s="31"/>
      <c r="IS277" s="31"/>
      <c r="IT277" s="31"/>
      <c r="IU277" s="31"/>
      <c r="IV277" s="31"/>
      <c r="IW277" s="31"/>
      <c r="IX277" s="31"/>
      <c r="IY277" s="31"/>
      <c r="IZ277" s="31"/>
      <c r="JA277" s="31"/>
      <c r="JB277" s="31"/>
      <c r="JC277" s="31"/>
      <c r="JD277" s="31"/>
      <c r="JE277" s="31"/>
      <c r="JF277" s="31"/>
    </row>
  </sheetData>
  <conditionalFormatting sqref="A4">
    <cfRule type="duplicateValues" dxfId="0" priority="958"/>
  </conditionalFormatting>
  <conditionalFormatting sqref="A5">
    <cfRule type="duplicateValues" dxfId="0" priority="957"/>
  </conditionalFormatting>
  <conditionalFormatting sqref="A6">
    <cfRule type="duplicateValues" dxfId="0" priority="956"/>
  </conditionalFormatting>
  <conditionalFormatting sqref="A7">
    <cfRule type="duplicateValues" dxfId="0" priority="955"/>
  </conditionalFormatting>
  <conditionalFormatting sqref="A8">
    <cfRule type="duplicateValues" dxfId="0" priority="954"/>
  </conditionalFormatting>
  <conditionalFormatting sqref="A9">
    <cfRule type="duplicateValues" dxfId="0" priority="953"/>
  </conditionalFormatting>
  <conditionalFormatting sqref="A10">
    <cfRule type="duplicateValues" dxfId="0" priority="952"/>
  </conditionalFormatting>
  <conditionalFormatting sqref="A11">
    <cfRule type="duplicateValues" dxfId="0" priority="951"/>
  </conditionalFormatting>
  <conditionalFormatting sqref="A12">
    <cfRule type="duplicateValues" dxfId="0" priority="950"/>
  </conditionalFormatting>
  <conditionalFormatting sqref="A13">
    <cfRule type="duplicateValues" dxfId="0" priority="949"/>
  </conditionalFormatting>
  <conditionalFormatting sqref="A14">
    <cfRule type="duplicateValues" dxfId="0" priority="948"/>
  </conditionalFormatting>
  <conditionalFormatting sqref="A15">
    <cfRule type="duplicateValues" dxfId="0" priority="947"/>
  </conditionalFormatting>
  <conditionalFormatting sqref="A16">
    <cfRule type="duplicateValues" dxfId="0" priority="946"/>
  </conditionalFormatting>
  <conditionalFormatting sqref="A17">
    <cfRule type="duplicateValues" dxfId="0" priority="945"/>
  </conditionalFormatting>
  <conditionalFormatting sqref="A18">
    <cfRule type="duplicateValues" dxfId="0" priority="944"/>
  </conditionalFormatting>
  <conditionalFormatting sqref="A19">
    <cfRule type="duplicateValues" dxfId="0" priority="943"/>
  </conditionalFormatting>
  <conditionalFormatting sqref="A20">
    <cfRule type="duplicateValues" dxfId="0" priority="942"/>
  </conditionalFormatting>
  <conditionalFormatting sqref="A21">
    <cfRule type="duplicateValues" dxfId="0" priority="941"/>
  </conditionalFormatting>
  <conditionalFormatting sqref="A22">
    <cfRule type="duplicateValues" dxfId="0" priority="940"/>
  </conditionalFormatting>
  <conditionalFormatting sqref="A23">
    <cfRule type="duplicateValues" dxfId="0" priority="939"/>
  </conditionalFormatting>
  <conditionalFormatting sqref="A24">
    <cfRule type="duplicateValues" dxfId="0" priority="938"/>
  </conditionalFormatting>
  <conditionalFormatting sqref="A25">
    <cfRule type="duplicateValues" dxfId="0" priority="937"/>
  </conditionalFormatting>
  <conditionalFormatting sqref="A26">
    <cfRule type="duplicateValues" dxfId="0" priority="936"/>
  </conditionalFormatting>
  <conditionalFormatting sqref="A27">
    <cfRule type="duplicateValues" dxfId="0" priority="935"/>
  </conditionalFormatting>
  <conditionalFormatting sqref="A28">
    <cfRule type="duplicateValues" dxfId="0" priority="934"/>
  </conditionalFormatting>
  <conditionalFormatting sqref="A29">
    <cfRule type="duplicateValues" dxfId="0" priority="933"/>
  </conditionalFormatting>
  <conditionalFormatting sqref="A30">
    <cfRule type="duplicateValues" dxfId="0" priority="932"/>
  </conditionalFormatting>
  <conditionalFormatting sqref="A31">
    <cfRule type="duplicateValues" dxfId="0" priority="931"/>
  </conditionalFormatting>
  <conditionalFormatting sqref="A32">
    <cfRule type="duplicateValues" dxfId="0" priority="930"/>
  </conditionalFormatting>
  <conditionalFormatting sqref="A33">
    <cfRule type="duplicateValues" dxfId="0" priority="929"/>
  </conditionalFormatting>
  <conditionalFormatting sqref="A34">
    <cfRule type="duplicateValues" dxfId="0" priority="928"/>
  </conditionalFormatting>
  <conditionalFormatting sqref="A35">
    <cfRule type="duplicateValues" dxfId="0" priority="927"/>
  </conditionalFormatting>
  <conditionalFormatting sqref="A36">
    <cfRule type="duplicateValues" dxfId="0" priority="926"/>
  </conditionalFormatting>
  <conditionalFormatting sqref="A37">
    <cfRule type="duplicateValues" dxfId="0" priority="925"/>
  </conditionalFormatting>
  <conditionalFormatting sqref="A38">
    <cfRule type="duplicateValues" dxfId="0" priority="924"/>
  </conditionalFormatting>
  <conditionalFormatting sqref="A39">
    <cfRule type="duplicateValues" dxfId="0" priority="923"/>
  </conditionalFormatting>
  <conditionalFormatting sqref="A40">
    <cfRule type="duplicateValues" dxfId="0" priority="922"/>
  </conditionalFormatting>
  <conditionalFormatting sqref="A41">
    <cfRule type="duplicateValues" dxfId="0" priority="921"/>
  </conditionalFormatting>
  <conditionalFormatting sqref="A42">
    <cfRule type="duplicateValues" dxfId="0" priority="920"/>
  </conditionalFormatting>
  <conditionalFormatting sqref="A43">
    <cfRule type="duplicateValues" dxfId="0" priority="919"/>
  </conditionalFormatting>
  <conditionalFormatting sqref="A44">
    <cfRule type="duplicateValues" dxfId="0" priority="918"/>
  </conditionalFormatting>
  <conditionalFormatting sqref="A45">
    <cfRule type="duplicateValues" dxfId="0" priority="917"/>
  </conditionalFormatting>
  <conditionalFormatting sqref="A46">
    <cfRule type="duplicateValues" dxfId="0" priority="916"/>
  </conditionalFormatting>
  <conditionalFormatting sqref="A47">
    <cfRule type="duplicateValues" dxfId="0" priority="915"/>
  </conditionalFormatting>
  <conditionalFormatting sqref="A48">
    <cfRule type="duplicateValues" dxfId="0" priority="914"/>
  </conditionalFormatting>
  <conditionalFormatting sqref="A49">
    <cfRule type="duplicateValues" dxfId="0" priority="913"/>
  </conditionalFormatting>
  <conditionalFormatting sqref="A50">
    <cfRule type="duplicateValues" dxfId="0" priority="912"/>
  </conditionalFormatting>
  <conditionalFormatting sqref="A51">
    <cfRule type="duplicateValues" dxfId="0" priority="911"/>
  </conditionalFormatting>
  <conditionalFormatting sqref="A52">
    <cfRule type="duplicateValues" dxfId="0" priority="910"/>
  </conditionalFormatting>
  <conditionalFormatting sqref="A53">
    <cfRule type="duplicateValues" dxfId="0" priority="909"/>
  </conditionalFormatting>
  <conditionalFormatting sqref="A54">
    <cfRule type="duplicateValues" dxfId="0" priority="907"/>
  </conditionalFormatting>
  <conditionalFormatting sqref="A55">
    <cfRule type="duplicateValues" dxfId="0" priority="906"/>
  </conditionalFormatting>
  <conditionalFormatting sqref="A56">
    <cfRule type="duplicateValues" dxfId="0" priority="905"/>
  </conditionalFormatting>
  <conditionalFormatting sqref="A57">
    <cfRule type="duplicateValues" dxfId="0" priority="904"/>
  </conditionalFormatting>
  <conditionalFormatting sqref="A58">
    <cfRule type="duplicateValues" dxfId="0" priority="903"/>
  </conditionalFormatting>
  <conditionalFormatting sqref="A59">
    <cfRule type="duplicateValues" dxfId="0" priority="902"/>
  </conditionalFormatting>
  <conditionalFormatting sqref="A60">
    <cfRule type="duplicateValues" dxfId="0" priority="901"/>
  </conditionalFormatting>
  <conditionalFormatting sqref="A61">
    <cfRule type="duplicateValues" dxfId="0" priority="900"/>
  </conditionalFormatting>
  <conditionalFormatting sqref="A62">
    <cfRule type="duplicateValues" dxfId="0" priority="899"/>
  </conditionalFormatting>
  <conditionalFormatting sqref="A63">
    <cfRule type="duplicateValues" dxfId="0" priority="898"/>
  </conditionalFormatting>
  <conditionalFormatting sqref="A64">
    <cfRule type="duplicateValues" dxfId="0" priority="897"/>
  </conditionalFormatting>
  <conditionalFormatting sqref="A65">
    <cfRule type="duplicateValues" dxfId="0" priority="896"/>
  </conditionalFormatting>
  <conditionalFormatting sqref="A66">
    <cfRule type="duplicateValues" dxfId="0" priority="895"/>
  </conditionalFormatting>
  <conditionalFormatting sqref="A67">
    <cfRule type="duplicateValues" dxfId="0" priority="894"/>
  </conditionalFormatting>
  <conditionalFormatting sqref="A68">
    <cfRule type="duplicateValues" dxfId="0" priority="893"/>
  </conditionalFormatting>
  <conditionalFormatting sqref="A69">
    <cfRule type="duplicateValues" dxfId="0" priority="892"/>
  </conditionalFormatting>
  <conditionalFormatting sqref="A70">
    <cfRule type="duplicateValues" dxfId="0" priority="891"/>
  </conditionalFormatting>
  <conditionalFormatting sqref="A71">
    <cfRule type="duplicateValues" dxfId="0" priority="890"/>
  </conditionalFormatting>
  <conditionalFormatting sqref="A72">
    <cfRule type="duplicateValues" dxfId="0" priority="889"/>
  </conditionalFormatting>
  <conditionalFormatting sqref="A73">
    <cfRule type="duplicateValues" dxfId="0" priority="888"/>
  </conditionalFormatting>
  <conditionalFormatting sqref="A74">
    <cfRule type="duplicateValues" dxfId="0" priority="887"/>
  </conditionalFormatting>
  <conditionalFormatting sqref="A75">
    <cfRule type="duplicateValues" dxfId="0" priority="886"/>
  </conditionalFormatting>
  <conditionalFormatting sqref="A76">
    <cfRule type="duplicateValues" dxfId="0" priority="885"/>
  </conditionalFormatting>
  <conditionalFormatting sqref="A77">
    <cfRule type="duplicateValues" dxfId="0" priority="884"/>
  </conditionalFormatting>
  <conditionalFormatting sqref="A78">
    <cfRule type="duplicateValues" dxfId="0" priority="883"/>
  </conditionalFormatting>
  <conditionalFormatting sqref="A79">
    <cfRule type="duplicateValues" dxfId="0" priority="882"/>
  </conditionalFormatting>
  <conditionalFormatting sqref="A80">
    <cfRule type="duplicateValues" dxfId="0" priority="881"/>
  </conditionalFormatting>
  <conditionalFormatting sqref="A81">
    <cfRule type="duplicateValues" dxfId="0" priority="880"/>
  </conditionalFormatting>
  <conditionalFormatting sqref="A82">
    <cfRule type="duplicateValues" dxfId="0" priority="879"/>
  </conditionalFormatting>
  <conditionalFormatting sqref="A83">
    <cfRule type="duplicateValues" dxfId="0" priority="878"/>
  </conditionalFormatting>
  <conditionalFormatting sqref="A84">
    <cfRule type="duplicateValues" dxfId="0" priority="877"/>
  </conditionalFormatting>
  <conditionalFormatting sqref="A85">
    <cfRule type="duplicateValues" dxfId="0" priority="876"/>
  </conditionalFormatting>
  <conditionalFormatting sqref="A86">
    <cfRule type="duplicateValues" dxfId="0" priority="875"/>
  </conditionalFormatting>
  <conditionalFormatting sqref="A87">
    <cfRule type="duplicateValues" dxfId="0" priority="874"/>
  </conditionalFormatting>
  <conditionalFormatting sqref="A88">
    <cfRule type="duplicateValues" dxfId="0" priority="847"/>
  </conditionalFormatting>
  <conditionalFormatting sqref="A89">
    <cfRule type="duplicateValues" dxfId="0" priority="846"/>
  </conditionalFormatting>
  <conditionalFormatting sqref="A90">
    <cfRule type="duplicateValues" dxfId="0" priority="845"/>
  </conditionalFormatting>
  <conditionalFormatting sqref="A91">
    <cfRule type="duplicateValues" dxfId="0" priority="844"/>
  </conditionalFormatting>
  <conditionalFormatting sqref="A92">
    <cfRule type="duplicateValues" dxfId="0" priority="843"/>
  </conditionalFormatting>
  <conditionalFormatting sqref="A93">
    <cfRule type="duplicateValues" dxfId="0" priority="840"/>
  </conditionalFormatting>
  <conditionalFormatting sqref="A94">
    <cfRule type="duplicateValues" dxfId="0" priority="839"/>
  </conditionalFormatting>
  <conditionalFormatting sqref="A95">
    <cfRule type="duplicateValues" dxfId="0" priority="838"/>
  </conditionalFormatting>
  <conditionalFormatting sqref="A96">
    <cfRule type="duplicateValues" dxfId="0" priority="837"/>
  </conditionalFormatting>
  <conditionalFormatting sqref="A97">
    <cfRule type="duplicateValues" dxfId="0" priority="836"/>
  </conditionalFormatting>
  <conditionalFormatting sqref="A98">
    <cfRule type="duplicateValues" dxfId="0" priority="833"/>
  </conditionalFormatting>
  <conditionalFormatting sqref="A99">
    <cfRule type="duplicateValues" dxfId="0" priority="832"/>
  </conditionalFormatting>
  <conditionalFormatting sqref="A100">
    <cfRule type="duplicateValues" dxfId="0" priority="819"/>
  </conditionalFormatting>
  <conditionalFormatting sqref="A101">
    <cfRule type="duplicateValues" dxfId="0" priority="818"/>
    <cfRule type="expression" dxfId="1" priority="1012">
      <formula>AND(#REF!&lt;&gt;"",COUNTIF($A:$A,#REF!)&gt;1)</formula>
    </cfRule>
    <cfRule type="duplicateValues" dxfId="2" priority="1014"/>
  </conditionalFormatting>
  <conditionalFormatting sqref="A102">
    <cfRule type="duplicateValues" dxfId="0" priority="800"/>
    <cfRule type="expression" dxfId="1" priority="988">
      <formula>AND(A104&lt;&gt;"",COUNTIF($A:$A,A104)&gt;1)</formula>
    </cfRule>
    <cfRule type="duplicateValues" dxfId="2" priority="990"/>
  </conditionalFormatting>
  <conditionalFormatting sqref="A103">
    <cfRule type="duplicateValues" dxfId="2" priority="297"/>
    <cfRule type="duplicateValues" dxfId="0" priority="298"/>
    <cfRule type="expression" dxfId="1" priority="301">
      <formula>AND(A105&lt;&gt;"",COUNTIF($A:$A,A105)&gt;1)</formula>
    </cfRule>
  </conditionalFormatting>
  <conditionalFormatting sqref="A104">
    <cfRule type="duplicateValues" dxfId="0" priority="799"/>
    <cfRule type="expression" dxfId="1" priority="995">
      <formula>AND(A106&lt;&gt;"",COUNTIF($A:$A,A106)&gt;1)</formula>
    </cfRule>
    <cfRule type="duplicateValues" dxfId="2" priority="997"/>
  </conditionalFormatting>
  <conditionalFormatting sqref="A105">
    <cfRule type="duplicateValues" dxfId="2" priority="290"/>
    <cfRule type="duplicateValues" dxfId="0" priority="291"/>
    <cfRule type="expression" dxfId="1" priority="294">
      <formula>AND(A107&lt;&gt;"",COUNTIF($A:$A,A107)&gt;1)</formula>
    </cfRule>
  </conditionalFormatting>
  <conditionalFormatting sqref="A106">
    <cfRule type="duplicateValues" dxfId="0" priority="798"/>
  </conditionalFormatting>
  <conditionalFormatting sqref="A107">
    <cfRule type="duplicateValues" dxfId="0" priority="797"/>
  </conditionalFormatting>
  <conditionalFormatting sqref="A108">
    <cfRule type="duplicateValues" dxfId="0" priority="796"/>
  </conditionalFormatting>
  <conditionalFormatting sqref="A109">
    <cfRule type="duplicateValues" dxfId="0" priority="793"/>
  </conditionalFormatting>
  <conditionalFormatting sqref="A110">
    <cfRule type="duplicateValues" dxfId="0" priority="792"/>
  </conditionalFormatting>
  <conditionalFormatting sqref="A111">
    <cfRule type="duplicateValues" dxfId="0" priority="791"/>
  </conditionalFormatting>
  <conditionalFormatting sqref="A112">
    <cfRule type="duplicateValues" dxfId="0" priority="790"/>
  </conditionalFormatting>
  <conditionalFormatting sqref="A113">
    <cfRule type="duplicateValues" dxfId="0" priority="789"/>
  </conditionalFormatting>
  <conditionalFormatting sqref="A114">
    <cfRule type="duplicateValues" dxfId="0" priority="786"/>
  </conditionalFormatting>
  <conditionalFormatting sqref="A115">
    <cfRule type="duplicateValues" dxfId="0" priority="785"/>
  </conditionalFormatting>
  <conditionalFormatting sqref="A129">
    <cfRule type="expression" dxfId="1" priority="1015">
      <formula>AND(A144&lt;&gt;"",COUNTIF($A:$A,A144)&gt;1)</formula>
    </cfRule>
    <cfRule type="duplicateValues" dxfId="0" priority="1016"/>
    <cfRule type="duplicateValues" dxfId="2" priority="1017"/>
  </conditionalFormatting>
  <conditionalFormatting sqref="A143">
    <cfRule type="expression" dxfId="1" priority="257">
      <formula>AND(A158&lt;&gt;"",COUNTIF($A:$A,A158)&gt;1)</formula>
    </cfRule>
    <cfRule type="duplicateValues" dxfId="0" priority="258"/>
    <cfRule type="duplicateValues" dxfId="2" priority="259"/>
  </conditionalFormatting>
  <conditionalFormatting sqref="A144">
    <cfRule type="duplicateValues" dxfId="0" priority="754"/>
  </conditionalFormatting>
  <conditionalFormatting sqref="A145">
    <cfRule type="duplicateValues" dxfId="0" priority="753"/>
  </conditionalFormatting>
  <conditionalFormatting sqref="A146">
    <cfRule type="duplicateValues" dxfId="0" priority="752"/>
  </conditionalFormatting>
  <conditionalFormatting sqref="A147">
    <cfRule type="duplicateValues" dxfId="0" priority="751"/>
  </conditionalFormatting>
  <conditionalFormatting sqref="A148">
    <cfRule type="duplicateValues" dxfId="0" priority="750"/>
  </conditionalFormatting>
  <conditionalFormatting sqref="M148">
    <cfRule type="expression" dxfId="3" priority="63">
      <formula>AND($M148="蓝色",#REF!="")</formula>
    </cfRule>
    <cfRule type="expression" dxfId="4" priority="62">
      <formula>AND($M148="紫色",#REF!="")</formula>
    </cfRule>
    <cfRule type="expression" dxfId="5" priority="61">
      <formula>AND($M148="橙色",#REF!="")</formula>
    </cfRule>
    <cfRule type="expression" dxfId="6" priority="60">
      <formula>AND($M148="红色",#REF!="")</formula>
    </cfRule>
    <cfRule type="expression" dxfId="7" priority="59">
      <formula>AND($M148="金色",#REF!="")</formula>
    </cfRule>
  </conditionalFormatting>
  <conditionalFormatting sqref="N148">
    <cfRule type="expression" dxfId="3" priority="58">
      <formula>AND($M148="蓝色",#REF!="")</formula>
    </cfRule>
    <cfRule type="expression" dxfId="4" priority="57">
      <formula>AND($M148="紫色",#REF!="")</formula>
    </cfRule>
    <cfRule type="expression" dxfId="5" priority="56">
      <formula>AND($M148="橙色",#REF!="")</formula>
    </cfRule>
    <cfRule type="expression" dxfId="6" priority="55">
      <formula>AND($M148="红色",#REF!="")</formula>
    </cfRule>
    <cfRule type="expression" dxfId="7" priority="54">
      <formula>AND($M148="金色",#REF!="")</formula>
    </cfRule>
  </conditionalFormatting>
  <conditionalFormatting sqref="A149">
    <cfRule type="duplicateValues" dxfId="0" priority="747"/>
  </conditionalFormatting>
  <conditionalFormatting sqref="A150">
    <cfRule type="duplicateValues" dxfId="0" priority="746"/>
  </conditionalFormatting>
  <conditionalFormatting sqref="A151">
    <cfRule type="duplicateValues" dxfId="0" priority="745"/>
  </conditionalFormatting>
  <conditionalFormatting sqref="A152">
    <cfRule type="duplicateValues" dxfId="0" priority="744"/>
  </conditionalFormatting>
  <conditionalFormatting sqref="A153">
    <cfRule type="duplicateValues" dxfId="0" priority="743"/>
  </conditionalFormatting>
  <conditionalFormatting sqref="A154">
    <cfRule type="duplicateValues" dxfId="0" priority="740"/>
  </conditionalFormatting>
  <conditionalFormatting sqref="A155">
    <cfRule type="duplicateValues" dxfId="0" priority="739"/>
  </conditionalFormatting>
  <conditionalFormatting sqref="A156">
    <cfRule type="duplicateValues" dxfId="0" priority="735"/>
  </conditionalFormatting>
  <conditionalFormatting sqref="A157">
    <cfRule type="duplicateValues" dxfId="0" priority="734"/>
  </conditionalFormatting>
  <conditionalFormatting sqref="A158">
    <cfRule type="duplicateValues" dxfId="0" priority="733"/>
  </conditionalFormatting>
  <conditionalFormatting sqref="A159">
    <cfRule type="duplicateValues" dxfId="0" priority="732"/>
  </conditionalFormatting>
  <conditionalFormatting sqref="A160">
    <cfRule type="duplicateValues" dxfId="0" priority="731"/>
  </conditionalFormatting>
  <conditionalFormatting sqref="A161">
    <cfRule type="duplicateValues" dxfId="0" priority="728"/>
  </conditionalFormatting>
  <conditionalFormatting sqref="A162">
    <cfRule type="duplicateValues" dxfId="0" priority="727"/>
  </conditionalFormatting>
  <conditionalFormatting sqref="A163">
    <cfRule type="duplicateValues" dxfId="0" priority="726"/>
  </conditionalFormatting>
  <conditionalFormatting sqref="A164">
    <cfRule type="duplicateValues" dxfId="0" priority="725"/>
  </conditionalFormatting>
  <conditionalFormatting sqref="A165">
    <cfRule type="duplicateValues" dxfId="0" priority="724"/>
  </conditionalFormatting>
  <conditionalFormatting sqref="A166">
    <cfRule type="duplicateValues" dxfId="0" priority="721"/>
  </conditionalFormatting>
  <conditionalFormatting sqref="A167">
    <cfRule type="duplicateValues" dxfId="0" priority="720"/>
  </conditionalFormatting>
  <conditionalFormatting sqref="A168">
    <cfRule type="duplicateValues" dxfId="0" priority="548"/>
  </conditionalFormatting>
  <conditionalFormatting sqref="A169">
    <cfRule type="duplicateValues" dxfId="0" priority="547"/>
  </conditionalFormatting>
  <conditionalFormatting sqref="A170">
    <cfRule type="duplicateValues" dxfId="0" priority="546"/>
  </conditionalFormatting>
  <conditionalFormatting sqref="A171">
    <cfRule type="duplicateValues" dxfId="0" priority="545"/>
  </conditionalFormatting>
  <conditionalFormatting sqref="A172">
    <cfRule type="duplicateValues" dxfId="0" priority="544"/>
  </conditionalFormatting>
  <conditionalFormatting sqref="A173">
    <cfRule type="duplicateValues" dxfId="0" priority="541"/>
  </conditionalFormatting>
  <conditionalFormatting sqref="A174">
    <cfRule type="duplicateValues" dxfId="0" priority="540"/>
  </conditionalFormatting>
  <conditionalFormatting sqref="A175">
    <cfRule type="duplicateValues" dxfId="0" priority="539"/>
  </conditionalFormatting>
  <conditionalFormatting sqref="A176">
    <cfRule type="duplicateValues" dxfId="0" priority="538"/>
  </conditionalFormatting>
  <conditionalFormatting sqref="A177">
    <cfRule type="duplicateValues" dxfId="0" priority="537"/>
  </conditionalFormatting>
  <conditionalFormatting sqref="A178">
    <cfRule type="duplicateValues" dxfId="0" priority="534"/>
  </conditionalFormatting>
  <conditionalFormatting sqref="A179">
    <cfRule type="duplicateValues" dxfId="0" priority="533"/>
  </conditionalFormatting>
  <conditionalFormatting sqref="A180">
    <cfRule type="duplicateValues" dxfId="0" priority="716"/>
  </conditionalFormatting>
  <conditionalFormatting sqref="A181">
    <cfRule type="duplicateValues" dxfId="0" priority="715"/>
  </conditionalFormatting>
  <conditionalFormatting sqref="A182">
    <cfRule type="duplicateValues" dxfId="0" priority="714"/>
  </conditionalFormatting>
  <conditionalFormatting sqref="A183">
    <cfRule type="duplicateValues" dxfId="0" priority="713"/>
  </conditionalFormatting>
  <conditionalFormatting sqref="A184">
    <cfRule type="duplicateValues" dxfId="0" priority="712"/>
  </conditionalFormatting>
  <conditionalFormatting sqref="A185">
    <cfRule type="duplicateValues" dxfId="0" priority="709"/>
  </conditionalFormatting>
  <conditionalFormatting sqref="A186">
    <cfRule type="duplicateValues" dxfId="0" priority="708"/>
  </conditionalFormatting>
  <conditionalFormatting sqref="A187">
    <cfRule type="duplicateValues" dxfId="0" priority="707"/>
  </conditionalFormatting>
  <conditionalFormatting sqref="A188">
    <cfRule type="duplicateValues" dxfId="0" priority="706"/>
  </conditionalFormatting>
  <conditionalFormatting sqref="A189">
    <cfRule type="duplicateValues" dxfId="0" priority="705"/>
  </conditionalFormatting>
  <conditionalFormatting sqref="A190">
    <cfRule type="duplicateValues" dxfId="0" priority="702"/>
  </conditionalFormatting>
  <conditionalFormatting sqref="A191">
    <cfRule type="duplicateValues" dxfId="0" priority="701"/>
  </conditionalFormatting>
  <conditionalFormatting sqref="A192">
    <cfRule type="duplicateValues" dxfId="0" priority="697"/>
  </conditionalFormatting>
  <conditionalFormatting sqref="A193">
    <cfRule type="duplicateValues" dxfId="0" priority="696"/>
  </conditionalFormatting>
  <conditionalFormatting sqref="A194">
    <cfRule type="duplicateValues" dxfId="0" priority="695"/>
  </conditionalFormatting>
  <conditionalFormatting sqref="A195">
    <cfRule type="duplicateValues" dxfId="0" priority="694"/>
  </conditionalFormatting>
  <conditionalFormatting sqref="A196">
    <cfRule type="duplicateValues" dxfId="0" priority="693"/>
  </conditionalFormatting>
  <conditionalFormatting sqref="A197">
    <cfRule type="duplicateValues" dxfId="0" priority="690"/>
  </conditionalFormatting>
  <conditionalFormatting sqref="A198">
    <cfRule type="duplicateValues" dxfId="0" priority="689"/>
  </conditionalFormatting>
  <conditionalFormatting sqref="A199">
    <cfRule type="duplicateValues" dxfId="0" priority="688"/>
  </conditionalFormatting>
  <conditionalFormatting sqref="A200">
    <cfRule type="duplicateValues" dxfId="0" priority="687"/>
  </conditionalFormatting>
  <conditionalFormatting sqref="A201">
    <cfRule type="duplicateValues" dxfId="0" priority="686"/>
  </conditionalFormatting>
  <conditionalFormatting sqref="A202">
    <cfRule type="duplicateValues" dxfId="0" priority="683"/>
  </conditionalFormatting>
  <conditionalFormatting sqref="A203">
    <cfRule type="duplicateValues" dxfId="0" priority="682"/>
  </conditionalFormatting>
  <conditionalFormatting sqref="A204">
    <cfRule type="duplicateValues" dxfId="0" priority="678"/>
  </conditionalFormatting>
  <conditionalFormatting sqref="A205">
    <cfRule type="duplicateValues" dxfId="0" priority="677"/>
  </conditionalFormatting>
  <conditionalFormatting sqref="A206">
    <cfRule type="duplicateValues" dxfId="0" priority="676"/>
  </conditionalFormatting>
  <conditionalFormatting sqref="A207">
    <cfRule type="duplicateValues" dxfId="0" priority="675"/>
  </conditionalFormatting>
  <conditionalFormatting sqref="A208">
    <cfRule type="duplicateValues" dxfId="0" priority="674"/>
  </conditionalFormatting>
  <conditionalFormatting sqref="A209">
    <cfRule type="duplicateValues" dxfId="0" priority="671"/>
  </conditionalFormatting>
  <conditionalFormatting sqref="A210">
    <cfRule type="duplicateValues" dxfId="0" priority="670"/>
  </conditionalFormatting>
  <conditionalFormatting sqref="A211">
    <cfRule type="duplicateValues" dxfId="0" priority="669"/>
  </conditionalFormatting>
  <conditionalFormatting sqref="A212">
    <cfRule type="duplicateValues" dxfId="0" priority="668"/>
  </conditionalFormatting>
  <conditionalFormatting sqref="A213">
    <cfRule type="duplicateValues" dxfId="0" priority="667"/>
  </conditionalFormatting>
  <conditionalFormatting sqref="A214">
    <cfRule type="duplicateValues" dxfId="0" priority="664"/>
  </conditionalFormatting>
  <conditionalFormatting sqref="A215">
    <cfRule type="duplicateValues" dxfId="0" priority="663"/>
  </conditionalFormatting>
  <conditionalFormatting sqref="A216">
    <cfRule type="duplicateValues" dxfId="0" priority="659"/>
  </conditionalFormatting>
  <conditionalFormatting sqref="A217">
    <cfRule type="duplicateValues" dxfId="0" priority="658"/>
  </conditionalFormatting>
  <conditionalFormatting sqref="A218">
    <cfRule type="duplicateValues" dxfId="0" priority="657"/>
  </conditionalFormatting>
  <conditionalFormatting sqref="A219">
    <cfRule type="duplicateValues" dxfId="0" priority="656"/>
  </conditionalFormatting>
  <conditionalFormatting sqref="A220">
    <cfRule type="duplicateValues" dxfId="0" priority="655"/>
  </conditionalFormatting>
  <conditionalFormatting sqref="A221">
    <cfRule type="duplicateValues" dxfId="0" priority="652"/>
  </conditionalFormatting>
  <conditionalFormatting sqref="A222">
    <cfRule type="duplicateValues" dxfId="0" priority="651"/>
  </conditionalFormatting>
  <conditionalFormatting sqref="A223">
    <cfRule type="duplicateValues" dxfId="0" priority="650"/>
  </conditionalFormatting>
  <conditionalFormatting sqref="A224">
    <cfRule type="duplicateValues" dxfId="0" priority="649"/>
  </conditionalFormatting>
  <conditionalFormatting sqref="A225">
    <cfRule type="duplicateValues" dxfId="0" priority="648"/>
  </conditionalFormatting>
  <conditionalFormatting sqref="A226">
    <cfRule type="duplicateValues" dxfId="0" priority="645"/>
  </conditionalFormatting>
  <conditionalFormatting sqref="A227">
    <cfRule type="duplicateValues" dxfId="0" priority="644"/>
  </conditionalFormatting>
  <conditionalFormatting sqref="A228">
    <cfRule type="duplicateValues" dxfId="0" priority="640"/>
  </conditionalFormatting>
  <conditionalFormatting sqref="A229">
    <cfRule type="duplicateValues" dxfId="0" priority="639"/>
  </conditionalFormatting>
  <conditionalFormatting sqref="A230">
    <cfRule type="duplicateValues" dxfId="0" priority="638"/>
  </conditionalFormatting>
  <conditionalFormatting sqref="A231">
    <cfRule type="duplicateValues" dxfId="0" priority="637"/>
  </conditionalFormatting>
  <conditionalFormatting sqref="A232">
    <cfRule type="duplicateValues" dxfId="0" priority="636"/>
  </conditionalFormatting>
  <conditionalFormatting sqref="A233">
    <cfRule type="duplicateValues" dxfId="0" priority="633"/>
  </conditionalFormatting>
  <conditionalFormatting sqref="A234">
    <cfRule type="duplicateValues" dxfId="0" priority="632"/>
  </conditionalFormatting>
  <conditionalFormatting sqref="A235">
    <cfRule type="duplicateValues" dxfId="0" priority="631"/>
  </conditionalFormatting>
  <conditionalFormatting sqref="A236">
    <cfRule type="duplicateValues" dxfId="0" priority="630"/>
  </conditionalFormatting>
  <conditionalFormatting sqref="A237">
    <cfRule type="duplicateValues" dxfId="0" priority="629"/>
  </conditionalFormatting>
  <conditionalFormatting sqref="A238">
    <cfRule type="duplicateValues" dxfId="0" priority="626"/>
  </conditionalFormatting>
  <conditionalFormatting sqref="A239">
    <cfRule type="duplicateValues" dxfId="0" priority="625"/>
  </conditionalFormatting>
  <conditionalFormatting sqref="A240">
    <cfRule type="duplicateValues" dxfId="0" priority="618"/>
    <cfRule type="expression" dxfId="1" priority="985">
      <formula>AND(A242&lt;&gt;"",COUNTIF($A:$A,A242)&gt;1)</formula>
    </cfRule>
    <cfRule type="duplicateValues" dxfId="2" priority="987"/>
  </conditionalFormatting>
  <conditionalFormatting sqref="AA240">
    <cfRule type="duplicateValues" dxfId="0" priority="85"/>
  </conditionalFormatting>
  <conditionalFormatting sqref="A241">
    <cfRule type="duplicateValues" dxfId="2" priority="304"/>
    <cfRule type="duplicateValues" dxfId="0" priority="305"/>
    <cfRule type="expression" dxfId="1" priority="306">
      <formula>AND(A243&lt;&gt;"",COUNTIF($A:$A,A243)&gt;1)</formula>
    </cfRule>
  </conditionalFormatting>
  <conditionalFormatting sqref="AA241">
    <cfRule type="duplicateValues" dxfId="0" priority="84"/>
  </conditionalFormatting>
  <conditionalFormatting sqref="A242">
    <cfRule type="duplicateValues" dxfId="0" priority="587"/>
  </conditionalFormatting>
  <conditionalFormatting sqref="AA242">
    <cfRule type="duplicateValues" dxfId="0" priority="83"/>
  </conditionalFormatting>
  <conditionalFormatting sqref="A243">
    <cfRule type="duplicateValues" dxfId="0" priority="586"/>
  </conditionalFormatting>
  <conditionalFormatting sqref="AA243">
    <cfRule type="duplicateValues" dxfId="0" priority="82"/>
  </conditionalFormatting>
  <conditionalFormatting sqref="A244">
    <cfRule type="duplicateValues" dxfId="0" priority="585"/>
  </conditionalFormatting>
  <conditionalFormatting sqref="AA244">
    <cfRule type="duplicateValues" dxfId="0" priority="81"/>
  </conditionalFormatting>
  <conditionalFormatting sqref="A245">
    <cfRule type="duplicateValues" dxfId="0" priority="584"/>
  </conditionalFormatting>
  <conditionalFormatting sqref="AA245">
    <cfRule type="duplicateValues" dxfId="0" priority="79"/>
  </conditionalFormatting>
  <conditionalFormatting sqref="A246">
    <cfRule type="duplicateValues" dxfId="0" priority="583"/>
  </conditionalFormatting>
  <conditionalFormatting sqref="AA246">
    <cfRule type="duplicateValues" dxfId="0" priority="78"/>
  </conditionalFormatting>
  <conditionalFormatting sqref="A247">
    <cfRule type="duplicateValues" dxfId="0" priority="582"/>
  </conditionalFormatting>
  <conditionalFormatting sqref="AA247">
    <cfRule type="duplicateValues" dxfId="0" priority="77"/>
  </conditionalFormatting>
  <conditionalFormatting sqref="A248">
    <cfRule type="duplicateValues" dxfId="0" priority="581"/>
  </conditionalFormatting>
  <conditionalFormatting sqref="AA248">
    <cfRule type="duplicateValues" dxfId="0" priority="76"/>
  </conditionalFormatting>
  <conditionalFormatting sqref="AA249">
    <cfRule type="duplicateValues" dxfId="0" priority="75"/>
  </conditionalFormatting>
  <conditionalFormatting sqref="A250">
    <cfRule type="duplicateValues" dxfId="0" priority="579"/>
  </conditionalFormatting>
  <conditionalFormatting sqref="AA250">
    <cfRule type="duplicateValues" dxfId="0" priority="73"/>
  </conditionalFormatting>
  <conditionalFormatting sqref="A251">
    <cfRule type="duplicateValues" dxfId="0" priority="578"/>
  </conditionalFormatting>
  <conditionalFormatting sqref="AA251">
    <cfRule type="duplicateValues" dxfId="0" priority="72"/>
  </conditionalFormatting>
  <conditionalFormatting sqref="A254">
    <cfRule type="duplicateValues" dxfId="0" priority="316"/>
  </conditionalFormatting>
  <conditionalFormatting sqref="A255">
    <cfRule type="duplicateValues" dxfId="0" priority="315"/>
  </conditionalFormatting>
  <conditionalFormatting sqref="A256">
    <cfRule type="duplicateValues" dxfId="0" priority="314"/>
  </conditionalFormatting>
  <conditionalFormatting sqref="A257">
    <cfRule type="duplicateValues" dxfId="0" priority="313"/>
    <cfRule type="expression" dxfId="1" priority="317">
      <formula>AND(#REF!&lt;&gt;"",COUNTIF($A:$A,#REF!)&gt;1)</formula>
    </cfRule>
    <cfRule type="duplicateValues" dxfId="2" priority="318"/>
  </conditionalFormatting>
  <conditionalFormatting sqref="A258">
    <cfRule type="expression" dxfId="1" priority="1023">
      <formula>AND(#REF!&lt;&gt;"",COUNTIF($A:$A,#REF!)&gt;1)</formula>
    </cfRule>
    <cfRule type="duplicateValues" dxfId="0" priority="1024"/>
    <cfRule type="duplicateValues" dxfId="2" priority="1025"/>
  </conditionalFormatting>
  <conditionalFormatting sqref="BG258">
    <cfRule type="duplicateValues" dxfId="0" priority="53"/>
  </conditionalFormatting>
  <conditionalFormatting sqref="BG259">
    <cfRule type="duplicateValues" dxfId="0" priority="52"/>
  </conditionalFormatting>
  <conditionalFormatting sqref="BG260">
    <cfRule type="duplicateValues" dxfId="0" priority="51"/>
  </conditionalFormatting>
  <conditionalFormatting sqref="BG261">
    <cfRule type="duplicateValues" dxfId="0" priority="50"/>
  </conditionalFormatting>
  <conditionalFormatting sqref="BG262">
    <cfRule type="duplicateValues" dxfId="0" priority="49"/>
  </conditionalFormatting>
  <conditionalFormatting sqref="A54:A87">
    <cfRule type="duplicateValues" dxfId="0" priority="856"/>
  </conditionalFormatting>
  <conditionalFormatting sqref="A88:A92">
    <cfRule type="duplicateValues" dxfId="0" priority="842"/>
  </conditionalFormatting>
  <conditionalFormatting sqref="A93:A97">
    <cfRule type="duplicateValues" dxfId="0" priority="835"/>
  </conditionalFormatting>
  <conditionalFormatting sqref="A98:A99">
    <cfRule type="duplicateValues" dxfId="0" priority="827"/>
  </conditionalFormatting>
  <conditionalFormatting sqref="A100:A101">
    <cfRule type="duplicateValues" dxfId="0" priority="814"/>
  </conditionalFormatting>
  <conditionalFormatting sqref="A109:A113">
    <cfRule type="duplicateValues" dxfId="0" priority="788"/>
  </conditionalFormatting>
  <conditionalFormatting sqref="A114:A115">
    <cfRule type="duplicateValues" dxfId="0" priority="784"/>
  </conditionalFormatting>
  <conditionalFormatting sqref="A116:A129">
    <cfRule type="duplicateValues" dxfId="0" priority="763"/>
  </conditionalFormatting>
  <conditionalFormatting sqref="A130:A143">
    <cfRule type="duplicateValues" dxfId="0" priority="252"/>
    <cfRule type="duplicateValues" dxfId="2" priority="250"/>
  </conditionalFormatting>
  <conditionalFormatting sqref="A130:A142">
    <cfRule type="expression" dxfId="1" priority="247">
      <formula>AND(A131&lt;&gt;"",COUNTIF($A:$A,A131)&gt;1)</formula>
    </cfRule>
    <cfRule type="duplicateValues" dxfId="0" priority="248"/>
    <cfRule type="duplicateValues" dxfId="2" priority="249"/>
  </conditionalFormatting>
  <conditionalFormatting sqref="A144:A148">
    <cfRule type="duplicateValues" dxfId="0" priority="749"/>
  </conditionalFormatting>
  <conditionalFormatting sqref="A144:A155">
    <cfRule type="duplicateValues" dxfId="0" priority="736"/>
  </conditionalFormatting>
  <conditionalFormatting sqref="A149:A153">
    <cfRule type="duplicateValues" dxfId="0" priority="742"/>
  </conditionalFormatting>
  <conditionalFormatting sqref="A154:A155">
    <cfRule type="duplicateValues" dxfId="0" priority="737"/>
  </conditionalFormatting>
  <conditionalFormatting sqref="A156:A160">
    <cfRule type="duplicateValues" dxfId="0" priority="730"/>
  </conditionalFormatting>
  <conditionalFormatting sqref="A156:A167">
    <cfRule type="duplicateValues" dxfId="0" priority="717"/>
  </conditionalFormatting>
  <conditionalFormatting sqref="A161:A165">
    <cfRule type="duplicateValues" dxfId="0" priority="723"/>
  </conditionalFormatting>
  <conditionalFormatting sqref="A166:A167">
    <cfRule type="duplicateValues" dxfId="0" priority="718"/>
  </conditionalFormatting>
  <conditionalFormatting sqref="A168:A172">
    <cfRule type="duplicateValues" dxfId="0" priority="543"/>
  </conditionalFormatting>
  <conditionalFormatting sqref="A168:A179">
    <cfRule type="duplicateValues" dxfId="2" priority="529"/>
    <cfRule type="duplicateValues" dxfId="0" priority="530"/>
  </conditionalFormatting>
  <conditionalFormatting sqref="A173:A177">
    <cfRule type="duplicateValues" dxfId="0" priority="536"/>
  </conditionalFormatting>
  <conditionalFormatting sqref="A178:A179">
    <cfRule type="duplicateValues" dxfId="0" priority="532"/>
  </conditionalFormatting>
  <conditionalFormatting sqref="A180:A184">
    <cfRule type="duplicateValues" dxfId="0" priority="710"/>
  </conditionalFormatting>
  <conditionalFormatting sqref="A180:A191">
    <cfRule type="duplicateValues" dxfId="0" priority="698"/>
  </conditionalFormatting>
  <conditionalFormatting sqref="A185:A189">
    <cfRule type="duplicateValues" dxfId="0" priority="703"/>
  </conditionalFormatting>
  <conditionalFormatting sqref="A190:A191">
    <cfRule type="duplicateValues" dxfId="0" priority="699"/>
  </conditionalFormatting>
  <conditionalFormatting sqref="A192:A196">
    <cfRule type="duplicateValues" dxfId="0" priority="691"/>
  </conditionalFormatting>
  <conditionalFormatting sqref="A192:A203">
    <cfRule type="duplicateValues" dxfId="0" priority="679"/>
  </conditionalFormatting>
  <conditionalFormatting sqref="A197:A201">
    <cfRule type="duplicateValues" dxfId="0" priority="684"/>
  </conditionalFormatting>
  <conditionalFormatting sqref="A202:A203">
    <cfRule type="duplicateValues" dxfId="0" priority="680"/>
  </conditionalFormatting>
  <conditionalFormatting sqref="A204:A208">
    <cfRule type="duplicateValues" dxfId="0" priority="672"/>
  </conditionalFormatting>
  <conditionalFormatting sqref="A204:A215">
    <cfRule type="duplicateValues" dxfId="0" priority="660"/>
  </conditionalFormatting>
  <conditionalFormatting sqref="A209:A213">
    <cfRule type="duplicateValues" dxfId="0" priority="665"/>
  </conditionalFormatting>
  <conditionalFormatting sqref="A214:A215">
    <cfRule type="duplicateValues" dxfId="0" priority="661"/>
  </conditionalFormatting>
  <conditionalFormatting sqref="A216:A220">
    <cfRule type="duplicateValues" dxfId="0" priority="653"/>
  </conditionalFormatting>
  <conditionalFormatting sqref="A216:A227">
    <cfRule type="duplicateValues" dxfId="0" priority="641"/>
  </conditionalFormatting>
  <conditionalFormatting sqref="A221:A225">
    <cfRule type="duplicateValues" dxfId="0" priority="646"/>
  </conditionalFormatting>
  <conditionalFormatting sqref="A226:A227">
    <cfRule type="duplicateValues" dxfId="0" priority="642"/>
  </conditionalFormatting>
  <conditionalFormatting sqref="A228:A232">
    <cfRule type="duplicateValues" dxfId="0" priority="634"/>
  </conditionalFormatting>
  <conditionalFormatting sqref="A228:A239">
    <cfRule type="duplicateValues" dxfId="0" priority="622"/>
  </conditionalFormatting>
  <conditionalFormatting sqref="A233:A237">
    <cfRule type="duplicateValues" dxfId="0" priority="627"/>
  </conditionalFormatting>
  <conditionalFormatting sqref="A238:A239">
    <cfRule type="duplicateValues" dxfId="0" priority="623"/>
  </conditionalFormatting>
  <conditionalFormatting sqref="A252:A253">
    <cfRule type="duplicateValues" dxfId="0" priority="574"/>
    <cfRule type="expression" dxfId="1" priority="982">
      <formula>AND(#REF!&lt;&gt;"",COUNTIF($A:$A,#REF!)&gt;1)</formula>
    </cfRule>
    <cfRule type="duplicateValues" dxfId="2" priority="984"/>
  </conditionalFormatting>
  <conditionalFormatting sqref="A254:A257">
    <cfRule type="duplicateValues" dxfId="2" priority="312"/>
  </conditionalFormatting>
  <conditionalFormatting sqref="A254:A256">
    <cfRule type="expression" dxfId="1" priority="309">
      <formula>AND(A255&lt;&gt;"",COUNTIF($A:$A,A255)&gt;1)</formula>
    </cfRule>
    <cfRule type="duplicateValues" dxfId="0" priority="310"/>
    <cfRule type="duplicateValues" dxfId="2" priority="311"/>
  </conditionalFormatting>
  <conditionalFormatting sqref="A1048543:A1048576">
    <cfRule type="expression" dxfId="1" priority="977">
      <formula>AND(A1&lt;&gt;"",COUNTIF($A:$A,A1)&gt;1)</formula>
    </cfRule>
    <cfRule type="duplicateValues" dxfId="0" priority="978"/>
    <cfRule type="duplicateValues" dxfId="2" priority="979"/>
  </conditionalFormatting>
  <conditionalFormatting sqref="M88:M101">
    <cfRule type="expression" dxfId="3" priority="246">
      <formula>AND($M88="蓝色",#REF!="")</formula>
    </cfRule>
    <cfRule type="expression" dxfId="4" priority="245">
      <formula>AND($M88="紫色",#REF!="")</formula>
    </cfRule>
    <cfRule type="expression" dxfId="5" priority="244">
      <formula>AND($M88="橙色",#REF!="")</formula>
    </cfRule>
    <cfRule type="expression" dxfId="6" priority="243">
      <formula>AND($M88="红色",#REF!="")</formula>
    </cfRule>
    <cfRule type="expression" dxfId="7" priority="242">
      <formula>AND($M88="金色",#REF!="")</formula>
    </cfRule>
  </conditionalFormatting>
  <conditionalFormatting sqref="M102:M115">
    <cfRule type="expression" dxfId="7" priority="285">
      <formula>AND($M102="金色",#REF!="")</formula>
    </cfRule>
    <cfRule type="expression" dxfId="6" priority="286">
      <formula>AND($M102="红色",#REF!="")</formula>
    </cfRule>
    <cfRule type="expression" dxfId="5" priority="287">
      <formula>AND($M102="橙色",#REF!="")</formula>
    </cfRule>
    <cfRule type="expression" dxfId="4" priority="288">
      <formula>AND($M102="紫色",#REF!="")</formula>
    </cfRule>
    <cfRule type="expression" dxfId="3" priority="289">
      <formula>AND($M102="蓝色",#REF!="")</formula>
    </cfRule>
  </conditionalFormatting>
  <conditionalFormatting sqref="M116:M129">
    <cfRule type="expression" dxfId="3" priority="211">
      <formula>AND($M116="蓝色",#REF!="")</formula>
    </cfRule>
    <cfRule type="expression" dxfId="4" priority="210">
      <formula>AND($M116="紫色",#REF!="")</formula>
    </cfRule>
    <cfRule type="expression" dxfId="5" priority="209">
      <formula>AND($M116="橙色",#REF!="")</formula>
    </cfRule>
    <cfRule type="expression" dxfId="6" priority="208">
      <formula>AND($M116="红色",#REF!="")</formula>
    </cfRule>
    <cfRule type="expression" dxfId="7" priority="207">
      <formula>AND($M116="金色",#REF!="")</formula>
    </cfRule>
  </conditionalFormatting>
  <conditionalFormatting sqref="M130:M143">
    <cfRule type="expression" dxfId="3" priority="161">
      <formula>AND($M130="蓝色",#REF!="")</formula>
    </cfRule>
    <cfRule type="expression" dxfId="4" priority="160">
      <formula>AND($M130="紫色",#REF!="")</formula>
    </cfRule>
    <cfRule type="expression" dxfId="5" priority="159">
      <formula>AND($M130="橙色",#REF!="")</formula>
    </cfRule>
    <cfRule type="expression" dxfId="6" priority="158">
      <formula>AND($M130="红色",#REF!="")</formula>
    </cfRule>
    <cfRule type="expression" dxfId="7" priority="157">
      <formula>AND($M130="金色",#REF!="")</formula>
    </cfRule>
  </conditionalFormatting>
  <conditionalFormatting sqref="N88:N90">
    <cfRule type="expression" dxfId="3" priority="236">
      <formula>AND($M88="蓝色",#REF!="")</formula>
    </cfRule>
    <cfRule type="expression" dxfId="4" priority="235">
      <formula>AND($M88="紫色",#REF!="")</formula>
    </cfRule>
    <cfRule type="expression" dxfId="5" priority="234">
      <formula>AND($M88="橙色",#REF!="")</formula>
    </cfRule>
    <cfRule type="expression" dxfId="6" priority="233">
      <formula>AND($M88="红色",#REF!="")</formula>
    </cfRule>
    <cfRule type="expression" dxfId="7" priority="232">
      <formula>AND($M88="金色",#REF!="")</formula>
    </cfRule>
  </conditionalFormatting>
  <conditionalFormatting sqref="N91:N101">
    <cfRule type="expression" dxfId="3" priority="241">
      <formula>AND($M91="蓝色",#REF!="")</formula>
    </cfRule>
    <cfRule type="expression" dxfId="4" priority="240">
      <formula>AND($M91="紫色",#REF!="")</formula>
    </cfRule>
    <cfRule type="expression" dxfId="5" priority="239">
      <formula>AND($M91="橙色",#REF!="")</formula>
    </cfRule>
    <cfRule type="expression" dxfId="6" priority="238">
      <formula>AND($M91="红色",#REF!="")</formula>
    </cfRule>
    <cfRule type="expression" dxfId="7" priority="237">
      <formula>AND($M91="金色",#REF!="")</formula>
    </cfRule>
  </conditionalFormatting>
  <conditionalFormatting sqref="S102:S115">
    <cfRule type="expression" dxfId="7" priority="275">
      <formula>AND($M102="金色",#REF!="")</formula>
    </cfRule>
    <cfRule type="expression" dxfId="6" priority="276">
      <formula>AND($M102="红色",#REF!="")</formula>
    </cfRule>
    <cfRule type="expression" dxfId="5" priority="277">
      <formula>AND($M102="橙色",#REF!="")</formula>
    </cfRule>
    <cfRule type="expression" dxfId="4" priority="278">
      <formula>AND($M102="紫色",#REF!="")</formula>
    </cfRule>
    <cfRule type="expression" dxfId="3" priority="279">
      <formula>AND($M102="蓝色",#REF!="")</formula>
    </cfRule>
  </conditionalFormatting>
  <conditionalFormatting sqref="U102:U115">
    <cfRule type="expression" dxfId="7" priority="265">
      <formula>AND($M102="金色",#REF!="")</formula>
    </cfRule>
    <cfRule type="expression" dxfId="6" priority="266">
      <formula>AND($M102="红色",#REF!="")</formula>
    </cfRule>
    <cfRule type="expression" dxfId="5" priority="267">
      <formula>AND($M102="橙色",#REF!="")</formula>
    </cfRule>
    <cfRule type="expression" dxfId="4" priority="268">
      <formula>AND($M102="紫色",#REF!="")</formula>
    </cfRule>
    <cfRule type="expression" dxfId="3" priority="269">
      <formula>AND($M102="蓝色",#REF!="")</formula>
    </cfRule>
  </conditionalFormatting>
  <conditionalFormatting sqref="U116:U129">
    <cfRule type="expression" dxfId="3" priority="201">
      <formula>AND($M116="蓝色",#REF!="")</formula>
    </cfRule>
    <cfRule type="expression" dxfId="4" priority="200">
      <formula>AND($M116="紫色",#REF!="")</formula>
    </cfRule>
    <cfRule type="expression" dxfId="5" priority="199">
      <formula>AND($M116="橙色",#REF!="")</formula>
    </cfRule>
    <cfRule type="expression" dxfId="6" priority="198">
      <formula>AND($M116="红色",#REF!="")</formula>
    </cfRule>
    <cfRule type="expression" dxfId="7" priority="197">
      <formula>AND($M116="金色",#REF!="")</formula>
    </cfRule>
  </conditionalFormatting>
  <conditionalFormatting sqref="U130:U143">
    <cfRule type="expression" dxfId="3" priority="151">
      <formula>AND($M130="蓝色",#REF!="")</formula>
    </cfRule>
    <cfRule type="expression" dxfId="4" priority="150">
      <formula>AND($M130="紫色",#REF!="")</formula>
    </cfRule>
    <cfRule type="expression" dxfId="5" priority="149">
      <formula>AND($M130="橙色",#REF!="")</formula>
    </cfRule>
    <cfRule type="expression" dxfId="6" priority="148">
      <formula>AND($M130="红色",#REF!="")</formula>
    </cfRule>
    <cfRule type="expression" dxfId="7" priority="147">
      <formula>AND($M130="金色",#REF!="")</formula>
    </cfRule>
  </conditionalFormatting>
  <conditionalFormatting sqref="AA240:AA244">
    <cfRule type="duplicateValues" dxfId="0" priority="80"/>
  </conditionalFormatting>
  <conditionalFormatting sqref="AA240:AA251">
    <cfRule type="expression" dxfId="1" priority="64">
      <formula>AND(AA241&lt;&gt;"",COUNTIF($A:$A,AA241)&gt;1)</formula>
    </cfRule>
    <cfRule type="duplicateValues" dxfId="0" priority="65"/>
    <cfRule type="duplicateValues" dxfId="2" priority="66"/>
  </conditionalFormatting>
  <conditionalFormatting sqref="AA245:AA249">
    <cfRule type="duplicateValues" dxfId="0" priority="74"/>
  </conditionalFormatting>
  <conditionalFormatting sqref="AA250:AA251">
    <cfRule type="duplicateValues" dxfId="0" priority="71"/>
  </conditionalFormatting>
  <conditionalFormatting sqref="AA252:AA253">
    <cfRule type="duplicateValues" dxfId="0" priority="69"/>
    <cfRule type="expression" dxfId="1" priority="1018">
      <formula>AND(AA254&lt;&gt;"",COUNTIF($A:$A,AA254)&gt;1)</formula>
    </cfRule>
    <cfRule type="duplicateValues" dxfId="2" priority="1020"/>
  </conditionalFormatting>
  <conditionalFormatting sqref="AC102:AC115">
    <cfRule type="expression" dxfId="3" priority="231">
      <formula>AND($M102="蓝色",#REF!="")</formula>
    </cfRule>
    <cfRule type="expression" dxfId="4" priority="230">
      <formula>AND($M102="紫色",#REF!="")</formula>
    </cfRule>
    <cfRule type="expression" dxfId="5" priority="229">
      <formula>AND($M102="橙色",#REF!="")</formula>
    </cfRule>
    <cfRule type="expression" dxfId="6" priority="228">
      <formula>AND($M102="红色",#REF!="")</formula>
    </cfRule>
    <cfRule type="expression" dxfId="7" priority="227">
      <formula>AND($M102="金色",#REF!="")</formula>
    </cfRule>
  </conditionalFormatting>
  <conditionalFormatting sqref="AC116:AC129">
    <cfRule type="expression" dxfId="3" priority="191">
      <formula>AND($M116="蓝色",#REF!="")</formula>
    </cfRule>
    <cfRule type="expression" dxfId="4" priority="190">
      <formula>AND($M116="紫色",#REF!="")</formula>
    </cfRule>
    <cfRule type="expression" dxfId="5" priority="189">
      <formula>AND($M116="橙色",#REF!="")</formula>
    </cfRule>
    <cfRule type="expression" dxfId="6" priority="188">
      <formula>AND($M116="红色",#REF!="")</formula>
    </cfRule>
    <cfRule type="expression" dxfId="7" priority="187">
      <formula>AND($M116="金色",#REF!="")</formula>
    </cfRule>
  </conditionalFormatting>
  <conditionalFormatting sqref="AC130:AC143">
    <cfRule type="expression" dxfId="3" priority="141">
      <formula>AND($M130="蓝色",#REF!="")</formula>
    </cfRule>
    <cfRule type="expression" dxfId="4" priority="140">
      <formula>AND($M130="紫色",#REF!="")</formula>
    </cfRule>
    <cfRule type="expression" dxfId="5" priority="139">
      <formula>AND($M130="橙色",#REF!="")</formula>
    </cfRule>
    <cfRule type="expression" dxfId="6" priority="138">
      <formula>AND($M130="红色",#REF!="")</formula>
    </cfRule>
    <cfRule type="expression" dxfId="7" priority="137">
      <formula>AND($M130="金色",#REF!="")</formula>
    </cfRule>
  </conditionalFormatting>
  <conditionalFormatting sqref="AK102:AK115">
    <cfRule type="expression" dxfId="3" priority="221">
      <formula>AND($M102="蓝色",#REF!="")</formula>
    </cfRule>
    <cfRule type="expression" dxfId="4" priority="220">
      <formula>AND($M102="紫色",#REF!="")</formula>
    </cfRule>
    <cfRule type="expression" dxfId="5" priority="219">
      <formula>AND($M102="橙色",#REF!="")</formula>
    </cfRule>
    <cfRule type="expression" dxfId="6" priority="218">
      <formula>AND($M102="红色",#REF!="")</formula>
    </cfRule>
    <cfRule type="expression" dxfId="7" priority="217">
      <formula>AND($M102="金色",#REF!="")</formula>
    </cfRule>
  </conditionalFormatting>
  <conditionalFormatting sqref="AK116:AK129">
    <cfRule type="expression" dxfId="3" priority="181">
      <formula>AND($M116="蓝色",#REF!="")</formula>
    </cfRule>
    <cfRule type="expression" dxfId="4" priority="180">
      <formula>AND($M116="紫色",#REF!="")</formula>
    </cfRule>
    <cfRule type="expression" dxfId="5" priority="179">
      <formula>AND($M116="橙色",#REF!="")</formula>
    </cfRule>
    <cfRule type="expression" dxfId="6" priority="178">
      <formula>AND($M116="红色",#REF!="")</formula>
    </cfRule>
    <cfRule type="expression" dxfId="7" priority="177">
      <formula>AND($M116="金色",#REF!="")</formula>
    </cfRule>
  </conditionalFormatting>
  <conditionalFormatting sqref="AK130:AK143">
    <cfRule type="expression" dxfId="3" priority="131">
      <formula>AND($M130="蓝色",#REF!="")</formula>
    </cfRule>
    <cfRule type="expression" dxfId="4" priority="130">
      <formula>AND($M130="紫色",#REF!="")</formula>
    </cfRule>
    <cfRule type="expression" dxfId="5" priority="129">
      <formula>AND($M130="橙色",#REF!="")</formula>
    </cfRule>
    <cfRule type="expression" dxfId="6" priority="128">
      <formula>AND($M130="红色",#REF!="")</formula>
    </cfRule>
    <cfRule type="expression" dxfId="7" priority="127">
      <formula>AND($M130="金色",#REF!="")</formula>
    </cfRule>
  </conditionalFormatting>
  <conditionalFormatting sqref="AS116:AS129">
    <cfRule type="expression" dxfId="3" priority="171">
      <formula>AND($M116="蓝色",#REF!="")</formula>
    </cfRule>
    <cfRule type="expression" dxfId="4" priority="170">
      <formula>AND($M116="紫色",#REF!="")</formula>
    </cfRule>
    <cfRule type="expression" dxfId="5" priority="169">
      <formula>AND($M116="橙色",#REF!="")</formula>
    </cfRule>
    <cfRule type="expression" dxfId="6" priority="168">
      <formula>AND($M116="红色",#REF!="")</formula>
    </cfRule>
    <cfRule type="expression" dxfId="7" priority="167">
      <formula>AND($M116="金色",#REF!="")</formula>
    </cfRule>
  </conditionalFormatting>
  <conditionalFormatting sqref="AS130:AS143">
    <cfRule type="expression" dxfId="3" priority="121">
      <formula>AND($M130="蓝色",#REF!="")</formula>
    </cfRule>
    <cfRule type="expression" dxfId="4" priority="120">
      <formula>AND($M130="紫色",#REF!="")</formula>
    </cfRule>
    <cfRule type="expression" dxfId="5" priority="119">
      <formula>AND($M130="橙色",#REF!="")</formula>
    </cfRule>
    <cfRule type="expression" dxfId="6" priority="118">
      <formula>AND($M130="红色",#REF!="")</formula>
    </cfRule>
    <cfRule type="expression" dxfId="7" priority="117">
      <formula>AND($M130="金色",#REF!="")</formula>
    </cfRule>
  </conditionalFormatting>
  <conditionalFormatting sqref="BG240:BG252">
    <cfRule type="duplicateValues" dxfId="0" priority="42"/>
    <cfRule type="duplicateValues" dxfId="2" priority="39"/>
    <cfRule type="expression" dxfId="1" priority="36">
      <formula>AND(BG241&lt;&gt;"",COUNTIF($A:$A,BG241)&gt;1)</formula>
    </cfRule>
  </conditionalFormatting>
  <conditionalFormatting sqref="BG258:BG262">
    <cfRule type="duplicateValues" dxfId="0" priority="48"/>
    <cfRule type="duplicateValues" dxfId="2" priority="46"/>
    <cfRule type="expression" dxfId="1" priority="43">
      <formula>AND(BG259&lt;&gt;"",COUNTIF($A:$A,BG259)&gt;1)</formula>
    </cfRule>
  </conditionalFormatting>
  <conditionalFormatting sqref="BO240:BO252">
    <cfRule type="duplicateValues" dxfId="0" priority="35"/>
    <cfRule type="duplicateValues" dxfId="2" priority="32"/>
    <cfRule type="expression" dxfId="1" priority="29">
      <formula>AND(BO241&lt;&gt;"",COUNTIF($A:$A,BO241)&gt;1)</formula>
    </cfRule>
  </conditionalFormatting>
  <conditionalFormatting sqref="BW240:BW252">
    <cfRule type="duplicateValues" dxfId="0" priority="21"/>
    <cfRule type="duplicateValues" dxfId="2" priority="18"/>
    <cfRule type="expression" dxfId="1" priority="15">
      <formula>AND(BW241&lt;&gt;"",COUNTIF($A:$A,BW241)&gt;1)</formula>
    </cfRule>
  </conditionalFormatting>
  <conditionalFormatting sqref="CE240:CE252">
    <cfRule type="duplicateValues" dxfId="0" priority="14"/>
    <cfRule type="duplicateValues" dxfId="2" priority="11"/>
    <cfRule type="expression" dxfId="1" priority="8">
      <formula>AND(CE241&lt;&gt;"",COUNTIF($A:$A,CE241)&gt;1)</formula>
    </cfRule>
  </conditionalFormatting>
  <conditionalFormatting sqref="CM240:CM252">
    <cfRule type="duplicateValues" dxfId="0" priority="7"/>
    <cfRule type="duplicateValues" dxfId="2" priority="4"/>
    <cfRule type="expression" dxfId="1" priority="1">
      <formula>AND(CM241&lt;&gt;"",COUNTIF($A:$A,CM241)&gt;1)</formula>
    </cfRule>
  </conditionalFormatting>
  <conditionalFormatting sqref="A1:A101 A258:A1048576">
    <cfRule type="duplicateValues" dxfId="0" priority="801"/>
  </conditionalFormatting>
  <conditionalFormatting sqref="A1:A87 A258:A1048576">
    <cfRule type="duplicateValues" dxfId="0" priority="855"/>
  </conditionalFormatting>
  <conditionalFormatting sqref="A1 A2:C2 A3 A258:C1048576">
    <cfRule type="duplicateValues" dxfId="0" priority="971"/>
  </conditionalFormatting>
  <conditionalFormatting sqref="A1:A53 A258:A1048576">
    <cfRule type="duplicateValues" dxfId="0" priority="908"/>
  </conditionalFormatting>
  <conditionalFormatting sqref="A1:A102 A104 A106:A129 A144:A167 A180:A240 A242:A253 A258:A1048576">
    <cfRule type="duplicateValues" dxfId="2" priority="573"/>
  </conditionalFormatting>
  <conditionalFormatting sqref="A1:A100 A106:A128 A144:A239 A242:A251 A253 A259:A1048542">
    <cfRule type="expression" dxfId="1" priority="362">
      <formula>AND(A2&lt;&gt;"",COUNTIF($A:$A,A2)&gt;1)</formula>
    </cfRule>
    <cfRule type="duplicateValues" dxfId="0" priority="408"/>
    <cfRule type="duplicateValues" dxfId="2" priority="457"/>
  </conditionalFormatting>
  <conditionalFormatting sqref="A102 A104 A106:A108">
    <cfRule type="duplicateValues" dxfId="0" priority="795"/>
  </conditionalFormatting>
  <conditionalFormatting sqref="A102 A104 A106:A115">
    <cfRule type="duplicateValues" dxfId="0" priority="782"/>
  </conditionalFormatting>
  <conditionalFormatting sqref="N102 N104:N115">
    <cfRule type="expression" dxfId="7" priority="280">
      <formula>AND($M102="金色",#REF!="")</formula>
    </cfRule>
    <cfRule type="expression" dxfId="6" priority="281">
      <formula>AND($M102="红色",#REF!="")</formula>
    </cfRule>
    <cfRule type="expression" dxfId="5" priority="282">
      <formula>AND($M102="橙色",#REF!="")</formula>
    </cfRule>
    <cfRule type="expression" dxfId="4" priority="283">
      <formula>AND($M102="紫色",#REF!="")</formula>
    </cfRule>
    <cfRule type="expression" dxfId="3" priority="284">
      <formula>AND($M102="蓝色",#REF!="")</formula>
    </cfRule>
  </conditionalFormatting>
  <conditionalFormatting sqref="T102 T104:T115">
    <cfRule type="expression" dxfId="7" priority="270">
      <formula>AND($M102="金色",#REF!="")</formula>
    </cfRule>
    <cfRule type="expression" dxfId="6" priority="271">
      <formula>AND($M102="红色",#REF!="")</formula>
    </cfRule>
    <cfRule type="expression" dxfId="5" priority="272">
      <formula>AND($M102="橙色",#REF!="")</formula>
    </cfRule>
    <cfRule type="expression" dxfId="4" priority="273">
      <formula>AND($M102="紫色",#REF!="")</formula>
    </cfRule>
    <cfRule type="expression" dxfId="3" priority="274">
      <formula>AND($M102="蓝色",#REF!="")</formula>
    </cfRule>
  </conditionalFormatting>
  <conditionalFormatting sqref="V102 V104:V115">
    <cfRule type="expression" dxfId="7" priority="260">
      <formula>AND($M102="金色",#REF!="")</formula>
    </cfRule>
    <cfRule type="expression" dxfId="6" priority="261">
      <formula>AND($M102="红色",#REF!="")</formula>
    </cfRule>
    <cfRule type="expression" dxfId="5" priority="262">
      <formula>AND($M102="橙色",#REF!="")</formula>
    </cfRule>
    <cfRule type="expression" dxfId="4" priority="263">
      <formula>AND($M102="紫色",#REF!="")</formula>
    </cfRule>
    <cfRule type="expression" dxfId="3" priority="264">
      <formula>AND($M102="蓝色",#REF!="")</formula>
    </cfRule>
  </conditionalFormatting>
  <conditionalFormatting sqref="AD102 AD104:AD115">
    <cfRule type="expression" dxfId="3" priority="226">
      <formula>AND($M102="蓝色",#REF!="")</formula>
    </cfRule>
    <cfRule type="expression" dxfId="4" priority="225">
      <formula>AND($M102="紫色",#REF!="")</formula>
    </cfRule>
    <cfRule type="expression" dxfId="5" priority="224">
      <formula>AND($M102="橙色",#REF!="")</formula>
    </cfRule>
    <cfRule type="expression" dxfId="6" priority="223">
      <formula>AND($M102="红色",#REF!="")</formula>
    </cfRule>
    <cfRule type="expression" dxfId="7" priority="222">
      <formula>AND($M102="金色",#REF!="")</formula>
    </cfRule>
  </conditionalFormatting>
  <conditionalFormatting sqref="AL102 AL104:AL115">
    <cfRule type="expression" dxfId="3" priority="216">
      <formula>AND($M102="蓝色",#REF!="")</formula>
    </cfRule>
    <cfRule type="expression" dxfId="4" priority="215">
      <formula>AND($M102="紫色",#REF!="")</formula>
    </cfRule>
    <cfRule type="expression" dxfId="5" priority="214">
      <formula>AND($M102="橙色",#REF!="")</formula>
    </cfRule>
    <cfRule type="expression" dxfId="6" priority="213">
      <formula>AND($M102="红色",#REF!="")</formula>
    </cfRule>
    <cfRule type="expression" dxfId="7" priority="212">
      <formula>AND($M102="金色",#REF!="")</formula>
    </cfRule>
  </conditionalFormatting>
  <conditionalFormatting sqref="A116 A120 A124 A128">
    <cfRule type="duplicateValues" dxfId="0" priority="781"/>
  </conditionalFormatting>
  <conditionalFormatting sqref="N116 N118:N129">
    <cfRule type="expression" dxfId="3" priority="206">
      <formula>AND($M116="蓝色",#REF!="")</formula>
    </cfRule>
    <cfRule type="expression" dxfId="4" priority="205">
      <formula>AND($M116="紫色",#REF!="")</formula>
    </cfRule>
    <cfRule type="expression" dxfId="5" priority="204">
      <formula>AND($M116="橙色",#REF!="")</formula>
    </cfRule>
    <cfRule type="expression" dxfId="6" priority="203">
      <formula>AND($M116="红色",#REF!="")</formula>
    </cfRule>
    <cfRule type="expression" dxfId="7" priority="202">
      <formula>AND($M116="金色",#REF!="")</formula>
    </cfRule>
  </conditionalFormatting>
  <conditionalFormatting sqref="V116 V118:V129">
    <cfRule type="expression" dxfId="3" priority="196">
      <formula>AND($M116="蓝色",#REF!="")</formula>
    </cfRule>
    <cfRule type="expression" dxfId="4" priority="195">
      <formula>AND($M116="紫色",#REF!="")</formula>
    </cfRule>
    <cfRule type="expression" dxfId="5" priority="194">
      <formula>AND($M116="橙色",#REF!="")</formula>
    </cfRule>
    <cfRule type="expression" dxfId="6" priority="193">
      <formula>AND($M116="红色",#REF!="")</formula>
    </cfRule>
    <cfRule type="expression" dxfId="7" priority="192">
      <formula>AND($M116="金色",#REF!="")</formula>
    </cfRule>
  </conditionalFormatting>
  <conditionalFormatting sqref="AD116 AD118:AD129">
    <cfRule type="expression" dxfId="3" priority="186">
      <formula>AND($M116="蓝色",#REF!="")</formula>
    </cfRule>
    <cfRule type="expression" dxfId="4" priority="185">
      <formula>AND($M116="紫色",#REF!="")</formula>
    </cfRule>
    <cfRule type="expression" dxfId="5" priority="184">
      <formula>AND($M116="橙色",#REF!="")</formula>
    </cfRule>
    <cfRule type="expression" dxfId="6" priority="183">
      <formula>AND($M116="红色",#REF!="")</formula>
    </cfRule>
    <cfRule type="expression" dxfId="7" priority="182">
      <formula>AND($M116="金色",#REF!="")</formula>
    </cfRule>
  </conditionalFormatting>
  <conditionalFormatting sqref="AL116 AL118:AL129">
    <cfRule type="expression" dxfId="3" priority="176">
      <formula>AND($M116="蓝色",#REF!="")</formula>
    </cfRule>
    <cfRule type="expression" dxfId="4" priority="175">
      <formula>AND($M116="紫色",#REF!="")</formula>
    </cfRule>
    <cfRule type="expression" dxfId="5" priority="174">
      <formula>AND($M116="橙色",#REF!="")</formula>
    </cfRule>
    <cfRule type="expression" dxfId="6" priority="173">
      <formula>AND($M116="红色",#REF!="")</formula>
    </cfRule>
    <cfRule type="expression" dxfId="7" priority="172">
      <formula>AND($M116="金色",#REF!="")</formula>
    </cfRule>
  </conditionalFormatting>
  <conditionalFormatting sqref="AT116 AT118:AT129">
    <cfRule type="expression" dxfId="3" priority="166">
      <formula>AND($M116="蓝色",#REF!="")</formula>
    </cfRule>
    <cfRule type="expression" dxfId="4" priority="165">
      <formula>AND($M116="紫色",#REF!="")</formula>
    </cfRule>
    <cfRule type="expression" dxfId="5" priority="164">
      <formula>AND($M116="橙色",#REF!="")</formula>
    </cfRule>
    <cfRule type="expression" dxfId="6" priority="163">
      <formula>AND($M116="红色",#REF!="")</formula>
    </cfRule>
    <cfRule type="expression" dxfId="7" priority="162">
      <formula>AND($M116="金色",#REF!="")</formula>
    </cfRule>
  </conditionalFormatting>
  <conditionalFormatting sqref="A117 A121 A125 A129">
    <cfRule type="duplicateValues" dxfId="0" priority="780"/>
  </conditionalFormatting>
  <conditionalFormatting sqref="A118 A122 A126">
    <cfRule type="duplicateValues" dxfId="0" priority="779"/>
  </conditionalFormatting>
  <conditionalFormatting sqref="A119 A123 A127">
    <cfRule type="duplicateValues" dxfId="0" priority="778"/>
  </conditionalFormatting>
  <conditionalFormatting sqref="A130 A134 A138 A142">
    <cfRule type="duplicateValues" dxfId="0" priority="256"/>
  </conditionalFormatting>
  <conditionalFormatting sqref="N130 N132:N143">
    <cfRule type="expression" dxfId="3" priority="156">
      <formula>AND($M130="蓝色",#REF!="")</formula>
    </cfRule>
    <cfRule type="expression" dxfId="4" priority="155">
      <formula>AND($M130="紫色",#REF!="")</formula>
    </cfRule>
    <cfRule type="expression" dxfId="5" priority="154">
      <formula>AND($M130="橙色",#REF!="")</formula>
    </cfRule>
    <cfRule type="expression" dxfId="6" priority="153">
      <formula>AND($M130="红色",#REF!="")</formula>
    </cfRule>
    <cfRule type="expression" dxfId="7" priority="152">
      <formula>AND($M130="金色",#REF!="")</formula>
    </cfRule>
  </conditionalFormatting>
  <conditionalFormatting sqref="V130 V132:V143">
    <cfRule type="expression" dxfId="3" priority="146">
      <formula>AND($M130="蓝色",#REF!="")</formula>
    </cfRule>
    <cfRule type="expression" dxfId="4" priority="145">
      <formula>AND($M130="紫色",#REF!="")</formula>
    </cfRule>
    <cfRule type="expression" dxfId="5" priority="144">
      <formula>AND($M130="橙色",#REF!="")</formula>
    </cfRule>
    <cfRule type="expression" dxfId="6" priority="143">
      <formula>AND($M130="红色",#REF!="")</formula>
    </cfRule>
    <cfRule type="expression" dxfId="7" priority="142">
      <formula>AND($M130="金色",#REF!="")</formula>
    </cfRule>
  </conditionalFormatting>
  <conditionalFormatting sqref="AD130 AD132:AD143">
    <cfRule type="expression" dxfId="3" priority="136">
      <formula>AND($M130="蓝色",#REF!="")</formula>
    </cfRule>
    <cfRule type="expression" dxfId="4" priority="135">
      <formula>AND($M130="紫色",#REF!="")</formula>
    </cfRule>
    <cfRule type="expression" dxfId="5" priority="134">
      <formula>AND($M130="橙色",#REF!="")</formula>
    </cfRule>
    <cfRule type="expression" dxfId="6" priority="133">
      <formula>AND($M130="红色",#REF!="")</formula>
    </cfRule>
    <cfRule type="expression" dxfId="7" priority="132">
      <formula>AND($M130="金色",#REF!="")</formula>
    </cfRule>
  </conditionalFormatting>
  <conditionalFormatting sqref="AL130 AL132:AL143">
    <cfRule type="expression" dxfId="3" priority="126">
      <formula>AND($M130="蓝色",#REF!="")</formula>
    </cfRule>
    <cfRule type="expression" dxfId="4" priority="125">
      <formula>AND($M130="紫色",#REF!="")</formula>
    </cfRule>
    <cfRule type="expression" dxfId="5" priority="124">
      <formula>AND($M130="橙色",#REF!="")</formula>
    </cfRule>
    <cfRule type="expression" dxfId="6" priority="123">
      <formula>AND($M130="红色",#REF!="")</formula>
    </cfRule>
    <cfRule type="expression" dxfId="7" priority="122">
      <formula>AND($M130="金色",#REF!="")</formula>
    </cfRule>
  </conditionalFormatting>
  <conditionalFormatting sqref="AT130 AT132:AT143">
    <cfRule type="expression" dxfId="3" priority="116">
      <formula>AND($M130="蓝色",#REF!="")</formula>
    </cfRule>
    <cfRule type="expression" dxfId="4" priority="115">
      <formula>AND($M130="紫色",#REF!="")</formula>
    </cfRule>
    <cfRule type="expression" dxfId="5" priority="114">
      <formula>AND($M130="橙色",#REF!="")</formula>
    </cfRule>
    <cfRule type="expression" dxfId="6" priority="113">
      <formula>AND($M130="红色",#REF!="")</formula>
    </cfRule>
    <cfRule type="expression" dxfId="7" priority="112">
      <formula>AND($M130="金色",#REF!="")</formula>
    </cfRule>
  </conditionalFormatting>
  <conditionalFormatting sqref="A131 A135 A139 A143">
    <cfRule type="duplicateValues" dxfId="0" priority="255"/>
  </conditionalFormatting>
  <conditionalFormatting sqref="A132 A136 A140">
    <cfRule type="duplicateValues" dxfId="0" priority="254"/>
  </conditionalFormatting>
  <conditionalFormatting sqref="A133 A137 A141">
    <cfRule type="duplicateValues" dxfId="0" priority="253"/>
  </conditionalFormatting>
  <conditionalFormatting sqref="A249 A253">
    <cfRule type="duplicateValues" dxfId="0" priority="580"/>
  </conditionalFormatting>
  <dataValidations count="3">
    <dataValidation type="whole" operator="between" allowBlank="1" showInputMessage="1" showErrorMessage="1" sqref="A3:A257 AA240:AA253 BG240:BG252 BG258:BG262 BO240:BO252 BW240:BW252 CE240:CE252 CM240:CM252">
      <formula1>40000001</formula1>
      <formula2>49999999</formula2>
    </dataValidation>
    <dataValidation type="list" allowBlank="1" showInputMessage="1" showErrorMessage="1" sqref="E$1:E$1048576">
      <formula1>名称表!$A:$A</formula1>
    </dataValidation>
    <dataValidation type="whole" operator="between" allowBlank="1" showInputMessage="1" showErrorMessage="1" sqref="A258:C57361">
      <formula1>60000001</formula1>
      <formula2>69999999</formula2>
    </dataValidation>
  </dataValidation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9"/>
  <sheetViews>
    <sheetView workbookViewId="0">
      <selection activeCell="A18" sqref="A18"/>
    </sheetView>
  </sheetViews>
  <sheetFormatPr defaultColWidth="8.66666666666667" defaultRowHeight="17.25" outlineLevelCol="7"/>
  <cols>
    <col min="1" max="1" width="12.5" style="26" customWidth="1"/>
    <col min="2" max="2" width="7.41666666666667" style="26" customWidth="1"/>
    <col min="3" max="3" width="8.66666666666667" style="26"/>
    <col min="4" max="4" width="12.6666666666667" style="26" customWidth="1"/>
    <col min="5" max="16384" width="8.66666666666667" style="26"/>
  </cols>
  <sheetData>
    <row r="1" spans="1:8">
      <c r="A1" s="26" t="s">
        <v>666</v>
      </c>
      <c r="B1" s="26" t="s">
        <v>667</v>
      </c>
      <c r="D1" s="26" t="s">
        <v>668</v>
      </c>
      <c r="E1" s="26" t="s">
        <v>669</v>
      </c>
    </row>
    <row r="2" spans="1:8">
      <c r="A2" s="26" t="s">
        <v>435</v>
      </c>
      <c r="B2" s="26">
        <v>1</v>
      </c>
      <c r="D2" s="26" t="s">
        <v>205</v>
      </c>
      <c r="E2" s="26" t="s">
        <v>670</v>
      </c>
    </row>
    <row r="3" spans="1:8">
      <c r="A3" s="26" t="s">
        <v>488</v>
      </c>
      <c r="B3" s="26">
        <v>2</v>
      </c>
      <c r="D3" s="26">
        <v>31010001</v>
      </c>
      <c r="E3" s="26" t="s">
        <v>671</v>
      </c>
    </row>
    <row r="4" spans="1:8">
      <c r="A4" s="26" t="s">
        <v>554</v>
      </c>
      <c r="B4" s="26">
        <v>3</v>
      </c>
      <c r="D4" s="26">
        <v>31010002</v>
      </c>
      <c r="E4" s="26" t="s">
        <v>672</v>
      </c>
    </row>
    <row r="5" spans="1:8">
      <c r="A5" s="27" t="s">
        <v>574</v>
      </c>
      <c r="B5" s="26">
        <v>4</v>
      </c>
      <c r="D5" s="26">
        <v>31010003</v>
      </c>
      <c r="E5" s="26" t="s">
        <v>673</v>
      </c>
    </row>
    <row r="6" spans="1:8">
      <c r="A6" s="26" t="s">
        <v>523</v>
      </c>
      <c r="B6" s="26">
        <v>5</v>
      </c>
      <c r="D6" s="26">
        <v>31010004</v>
      </c>
      <c r="E6" s="26" t="s">
        <v>674</v>
      </c>
    </row>
    <row r="7" spans="1:8">
      <c r="A7" s="26" t="s">
        <v>590</v>
      </c>
      <c r="B7" s="26">
        <v>6</v>
      </c>
      <c r="D7" s="26">
        <v>31010005</v>
      </c>
      <c r="E7" s="26" t="s">
        <v>675</v>
      </c>
    </row>
    <row r="8" spans="1:8">
      <c r="A8" s="26" t="s">
        <v>676</v>
      </c>
      <c r="B8" s="26">
        <v>7</v>
      </c>
      <c r="D8" s="26">
        <v>31010006</v>
      </c>
      <c r="E8" s="26" t="s">
        <v>677</v>
      </c>
    </row>
    <row r="9" spans="1:8">
      <c r="A9" s="26" t="s">
        <v>616</v>
      </c>
      <c r="B9" s="26">
        <v>8</v>
      </c>
      <c r="D9" s="26">
        <v>31010007</v>
      </c>
      <c r="E9" s="26" t="s">
        <v>678</v>
      </c>
    </row>
    <row r="10" spans="1:8">
      <c r="A10" s="26" t="s">
        <v>618</v>
      </c>
      <c r="B10" s="26">
        <v>9</v>
      </c>
      <c r="D10" s="26">
        <v>31010008</v>
      </c>
      <c r="E10" s="26" t="s">
        <v>679</v>
      </c>
    </row>
    <row r="11" spans="1:8">
      <c r="A11" s="26" t="s">
        <v>619</v>
      </c>
      <c r="B11" s="26">
        <v>10</v>
      </c>
      <c r="D11" s="26">
        <v>31010009</v>
      </c>
      <c r="E11" s="26" t="s">
        <v>680</v>
      </c>
    </row>
    <row r="12" ht="48.75" spans="1:8">
      <c r="A12" s="26" t="s">
        <v>612</v>
      </c>
      <c r="B12" s="26">
        <v>11</v>
      </c>
      <c r="D12" s="26">
        <v>31010010</v>
      </c>
      <c r="E12" s="26" t="s">
        <v>681</v>
      </c>
      <c r="H12" s="28" t="s">
        <v>682</v>
      </c>
    </row>
    <row r="13" spans="1:8">
      <c r="A13" s="26" t="s">
        <v>620</v>
      </c>
      <c r="B13" s="26">
        <v>12</v>
      </c>
      <c r="D13" s="26">
        <v>31010011</v>
      </c>
      <c r="E13" s="26" t="s">
        <v>683</v>
      </c>
    </row>
    <row r="14" spans="1:8">
      <c r="A14" s="26" t="s">
        <v>633</v>
      </c>
      <c r="B14" s="26">
        <v>13</v>
      </c>
      <c r="D14" s="26">
        <v>31010012</v>
      </c>
      <c r="E14" s="26" t="s">
        <v>684</v>
      </c>
    </row>
    <row r="15" spans="1:8">
      <c r="A15" s="26" t="s">
        <v>646</v>
      </c>
      <c r="B15" s="26">
        <v>14</v>
      </c>
      <c r="D15" s="26">
        <v>31010013</v>
      </c>
      <c r="E15" s="26" t="s">
        <v>685</v>
      </c>
    </row>
    <row r="16" spans="1:8">
      <c r="A16" s="26" t="s">
        <v>661</v>
      </c>
      <c r="B16" s="26">
        <v>15</v>
      </c>
      <c r="D16" s="26">
        <v>31010014</v>
      </c>
      <c r="E16" s="26" t="s">
        <v>686</v>
      </c>
    </row>
    <row r="17" spans="1:5">
      <c r="A17" s="26" t="s">
        <v>592</v>
      </c>
      <c r="B17" s="26">
        <v>16</v>
      </c>
      <c r="D17" s="26">
        <v>31010015</v>
      </c>
      <c r="E17" s="26" t="s">
        <v>687</v>
      </c>
    </row>
    <row r="18" spans="1:5">
      <c r="B18" s="26">
        <v>17</v>
      </c>
      <c r="D18" s="26">
        <v>31010016</v>
      </c>
      <c r="E18" s="26" t="s">
        <v>688</v>
      </c>
    </row>
    <row r="19" spans="1:5">
      <c r="B19" s="26">
        <v>18</v>
      </c>
      <c r="D19" s="26">
        <v>34020001</v>
      </c>
      <c r="E19" s="26" t="s">
        <v>689</v>
      </c>
    </row>
    <row r="20" spans="1:5">
      <c r="B20" s="26">
        <v>19</v>
      </c>
      <c r="D20" s="26">
        <v>34020002</v>
      </c>
      <c r="E20" s="26" t="s">
        <v>690</v>
      </c>
    </row>
    <row r="21" spans="1:5">
      <c r="B21" s="26">
        <v>20</v>
      </c>
      <c r="D21" s="26">
        <v>34020003</v>
      </c>
      <c r="E21" s="26" t="s">
        <v>691</v>
      </c>
    </row>
    <row r="22" spans="1:5">
      <c r="B22" s="26">
        <v>21</v>
      </c>
      <c r="D22" s="26">
        <v>34020004</v>
      </c>
      <c r="E22" s="26" t="s">
        <v>692</v>
      </c>
    </row>
    <row r="23" spans="1:5">
      <c r="B23" s="26">
        <v>22</v>
      </c>
      <c r="D23" s="26">
        <v>34020005</v>
      </c>
      <c r="E23" s="26" t="s">
        <v>693</v>
      </c>
    </row>
    <row r="24" spans="1:5">
      <c r="B24" s="26">
        <v>23</v>
      </c>
      <c r="D24" s="26">
        <v>34020006</v>
      </c>
      <c r="E24" s="26" t="s">
        <v>694</v>
      </c>
    </row>
    <row r="25" spans="1:5">
      <c r="B25" s="26">
        <v>24</v>
      </c>
      <c r="D25" s="26">
        <v>34020031</v>
      </c>
      <c r="E25" s="26" t="s">
        <v>695</v>
      </c>
    </row>
    <row r="26" spans="1:5">
      <c r="B26" s="26">
        <v>25</v>
      </c>
      <c r="D26" s="26">
        <v>34020032</v>
      </c>
      <c r="E26" s="26" t="s">
        <v>696</v>
      </c>
    </row>
    <row r="27" spans="1:5">
      <c r="B27" s="26">
        <v>26</v>
      </c>
      <c r="D27" s="26">
        <v>34020033</v>
      </c>
      <c r="E27" s="26" t="s">
        <v>697</v>
      </c>
    </row>
    <row r="28" spans="1:5">
      <c r="B28" s="26">
        <v>27</v>
      </c>
      <c r="D28" s="26">
        <v>34020034</v>
      </c>
      <c r="E28" s="26" t="s">
        <v>698</v>
      </c>
    </row>
    <row r="29" spans="1:5">
      <c r="B29" s="26">
        <v>28</v>
      </c>
      <c r="D29" s="26">
        <v>34020035</v>
      </c>
      <c r="E29" s="26" t="s">
        <v>699</v>
      </c>
    </row>
    <row r="30" spans="1:5">
      <c r="B30" s="26">
        <v>29</v>
      </c>
      <c r="D30" s="26">
        <v>34020036</v>
      </c>
      <c r="E30" s="26" t="s">
        <v>700</v>
      </c>
    </row>
    <row r="31" spans="1:5">
      <c r="B31" s="26">
        <v>30</v>
      </c>
      <c r="D31" s="26">
        <v>34020037</v>
      </c>
      <c r="E31" s="26" t="s">
        <v>701</v>
      </c>
    </row>
    <row r="32" spans="1:5">
      <c r="B32" s="26">
        <v>31</v>
      </c>
      <c r="D32" s="26">
        <v>34020061</v>
      </c>
      <c r="E32" s="26" t="s">
        <v>702</v>
      </c>
    </row>
    <row r="33" spans="2:5">
      <c r="B33" s="26">
        <v>32</v>
      </c>
      <c r="D33" s="26">
        <v>34020062</v>
      </c>
      <c r="E33" s="26" t="s">
        <v>703</v>
      </c>
    </row>
    <row r="34" spans="2:5">
      <c r="B34" s="26">
        <v>33</v>
      </c>
      <c r="D34" s="26">
        <v>34020063</v>
      </c>
      <c r="E34" s="26" t="s">
        <v>704</v>
      </c>
    </row>
    <row r="35" spans="2:5">
      <c r="B35" s="26">
        <v>34</v>
      </c>
      <c r="D35" s="26">
        <v>34020064</v>
      </c>
      <c r="E35" s="26" t="s">
        <v>705</v>
      </c>
    </row>
    <row r="36" spans="2:5">
      <c r="B36" s="26">
        <v>35</v>
      </c>
      <c r="D36" s="26">
        <v>34020065</v>
      </c>
      <c r="E36" s="26" t="s">
        <v>706</v>
      </c>
    </row>
    <row r="37" spans="2:5">
      <c r="B37" s="26">
        <v>36</v>
      </c>
      <c r="D37" s="26">
        <v>34020066</v>
      </c>
      <c r="E37" s="26" t="s">
        <v>707</v>
      </c>
    </row>
    <row r="38" spans="2:5">
      <c r="B38" s="26">
        <v>37</v>
      </c>
      <c r="D38" s="26">
        <v>34020067</v>
      </c>
      <c r="E38" s="26" t="s">
        <v>708</v>
      </c>
    </row>
    <row r="39" spans="2:5">
      <c r="B39" s="26">
        <v>38</v>
      </c>
      <c r="D39" s="26">
        <v>34020068</v>
      </c>
      <c r="E39" s="26" t="s">
        <v>709</v>
      </c>
    </row>
    <row r="40" spans="2:5">
      <c r="B40" s="26">
        <v>39</v>
      </c>
      <c r="D40" s="26">
        <v>34020100</v>
      </c>
      <c r="E40" s="26" t="s">
        <v>710</v>
      </c>
    </row>
    <row r="41" spans="2:5">
      <c r="B41" s="26">
        <v>40</v>
      </c>
      <c r="D41" s="26">
        <v>34040001</v>
      </c>
      <c r="E41" s="26" t="s">
        <v>711</v>
      </c>
    </row>
    <row r="42" spans="2:5">
      <c r="B42" s="26">
        <v>41</v>
      </c>
      <c r="D42" s="26">
        <v>34040002</v>
      </c>
      <c r="E42" s="26" t="s">
        <v>712</v>
      </c>
    </row>
    <row r="43" spans="2:5">
      <c r="B43" s="26">
        <v>42</v>
      </c>
      <c r="D43" s="26">
        <v>34040003</v>
      </c>
      <c r="E43" s="26" t="s">
        <v>713</v>
      </c>
    </row>
    <row r="44" spans="2:5">
      <c r="B44" s="26">
        <v>43</v>
      </c>
      <c r="D44" s="26">
        <v>34040004</v>
      </c>
      <c r="E44" s="26" t="s">
        <v>714</v>
      </c>
    </row>
    <row r="45" spans="2:5">
      <c r="B45" s="26">
        <v>44</v>
      </c>
      <c r="D45" s="26">
        <v>34040005</v>
      </c>
      <c r="E45" s="26" t="s">
        <v>715</v>
      </c>
    </row>
    <row r="46" spans="2:5">
      <c r="B46" s="26">
        <v>45</v>
      </c>
      <c r="D46" s="26">
        <v>34040006</v>
      </c>
      <c r="E46" s="26" t="s">
        <v>716</v>
      </c>
    </row>
    <row r="47" spans="2:5">
      <c r="B47" s="26">
        <v>46</v>
      </c>
      <c r="D47" s="26">
        <v>34040007</v>
      </c>
      <c r="E47" s="26" t="s">
        <v>717</v>
      </c>
    </row>
    <row r="48" spans="2:5">
      <c r="B48" s="26">
        <v>47</v>
      </c>
      <c r="D48" s="26">
        <v>34040008</v>
      </c>
      <c r="E48" s="26" t="s">
        <v>718</v>
      </c>
    </row>
    <row r="49" spans="2:5">
      <c r="B49" s="26">
        <v>48</v>
      </c>
      <c r="D49" s="26">
        <v>34040009</v>
      </c>
      <c r="E49" s="26" t="s">
        <v>719</v>
      </c>
    </row>
    <row r="50" spans="2:5">
      <c r="B50" s="26">
        <v>49</v>
      </c>
      <c r="D50" s="26">
        <v>34040010</v>
      </c>
      <c r="E50" s="26" t="s">
        <v>720</v>
      </c>
    </row>
    <row r="51" spans="2:5">
      <c r="B51" s="26">
        <v>50</v>
      </c>
      <c r="D51" s="26">
        <v>34040011</v>
      </c>
      <c r="E51" s="26" t="s">
        <v>721</v>
      </c>
    </row>
    <row r="52" spans="2:5">
      <c r="B52" s="26">
        <v>51</v>
      </c>
      <c r="D52" s="26">
        <v>34040012</v>
      </c>
      <c r="E52" s="26" t="s">
        <v>722</v>
      </c>
    </row>
    <row r="53" spans="2:5">
      <c r="B53" s="26">
        <v>52</v>
      </c>
      <c r="D53" s="26">
        <v>34040013</v>
      </c>
      <c r="E53" s="26" t="s">
        <v>723</v>
      </c>
    </row>
    <row r="54" spans="2:5">
      <c r="B54" s="26">
        <v>53</v>
      </c>
      <c r="D54" s="26">
        <v>34040014</v>
      </c>
      <c r="E54" s="26" t="s">
        <v>724</v>
      </c>
    </row>
    <row r="55" spans="2:5">
      <c r="B55" s="26">
        <v>54</v>
      </c>
      <c r="D55" s="26">
        <v>34040015</v>
      </c>
      <c r="E55" s="26" t="s">
        <v>725</v>
      </c>
    </row>
    <row r="56" spans="2:5">
      <c r="B56" s="26">
        <v>55</v>
      </c>
      <c r="D56" s="26">
        <v>34040016</v>
      </c>
      <c r="E56" s="26" t="s">
        <v>726</v>
      </c>
    </row>
    <row r="57" spans="2:5">
      <c r="B57" s="26">
        <v>56</v>
      </c>
      <c r="D57" s="26">
        <v>30070000</v>
      </c>
      <c r="E57" s="26" t="s">
        <v>727</v>
      </c>
    </row>
    <row r="58" spans="2:5">
      <c r="B58" s="26">
        <v>57</v>
      </c>
      <c r="D58" s="26">
        <v>30070001</v>
      </c>
      <c r="E58" s="26" t="s">
        <v>728</v>
      </c>
    </row>
    <row r="59" spans="2:5">
      <c r="B59" s="26">
        <v>58</v>
      </c>
      <c r="D59" s="26">
        <v>30070002</v>
      </c>
      <c r="E59" s="26" t="s">
        <v>729</v>
      </c>
    </row>
    <row r="60" spans="2:5">
      <c r="B60" s="26">
        <v>59</v>
      </c>
      <c r="D60" s="26">
        <v>30070003</v>
      </c>
      <c r="E60" s="26" t="s">
        <v>730</v>
      </c>
    </row>
    <row r="61" spans="2:5">
      <c r="B61" s="26">
        <v>60</v>
      </c>
      <c r="D61" s="26">
        <v>30070004</v>
      </c>
      <c r="E61" s="26" t="s">
        <v>731</v>
      </c>
    </row>
    <row r="62" spans="2:5">
      <c r="B62" s="26">
        <v>61</v>
      </c>
      <c r="D62" s="26">
        <v>30070005</v>
      </c>
      <c r="E62" s="26" t="s">
        <v>732</v>
      </c>
    </row>
    <row r="63" spans="2:5">
      <c r="B63" s="26">
        <v>62</v>
      </c>
      <c r="D63" s="26">
        <v>30070006</v>
      </c>
      <c r="E63" s="26" t="s">
        <v>733</v>
      </c>
    </row>
    <row r="64" spans="2:5">
      <c r="B64" s="26">
        <v>63</v>
      </c>
      <c r="D64" s="26">
        <v>30070007</v>
      </c>
      <c r="E64" s="26" t="s">
        <v>734</v>
      </c>
    </row>
    <row r="65" spans="2:5">
      <c r="B65" s="26">
        <v>64</v>
      </c>
      <c r="D65" s="26">
        <v>30070008</v>
      </c>
      <c r="E65" s="26" t="s">
        <v>735</v>
      </c>
    </row>
    <row r="66" spans="2:5">
      <c r="B66" s="26">
        <v>65</v>
      </c>
      <c r="D66" s="26">
        <v>30070009</v>
      </c>
      <c r="E66" s="26" t="s">
        <v>736</v>
      </c>
    </row>
    <row r="67" spans="2:5">
      <c r="B67" s="26">
        <v>66</v>
      </c>
      <c r="D67" s="26">
        <v>30070010</v>
      </c>
      <c r="E67" s="26" t="s">
        <v>737</v>
      </c>
    </row>
    <row r="68" spans="2:5">
      <c r="B68" s="26">
        <v>67</v>
      </c>
      <c r="D68" s="26">
        <v>30070011</v>
      </c>
      <c r="E68" s="26" t="s">
        <v>738</v>
      </c>
    </row>
    <row r="69" spans="2:5">
      <c r="B69" s="26">
        <v>68</v>
      </c>
      <c r="D69" s="26">
        <v>30070012</v>
      </c>
      <c r="E69" s="26" t="s">
        <v>739</v>
      </c>
    </row>
    <row r="70" spans="2:5">
      <c r="B70" s="26">
        <v>69</v>
      </c>
      <c r="D70" s="26">
        <v>30070013</v>
      </c>
      <c r="E70" s="26" t="s">
        <v>740</v>
      </c>
    </row>
    <row r="71" spans="2:5">
      <c r="B71" s="26">
        <v>70</v>
      </c>
      <c r="D71" s="26">
        <v>30070014</v>
      </c>
      <c r="E71" s="26" t="s">
        <v>741</v>
      </c>
    </row>
    <row r="72" spans="2:5">
      <c r="B72" s="26">
        <v>71</v>
      </c>
      <c r="D72" s="26">
        <v>30070015</v>
      </c>
      <c r="E72" s="26" t="s">
        <v>742</v>
      </c>
    </row>
    <row r="73" spans="2:5">
      <c r="B73" s="26">
        <v>72</v>
      </c>
      <c r="D73" s="26">
        <v>30070016</v>
      </c>
      <c r="E73" s="26" t="s">
        <v>743</v>
      </c>
    </row>
    <row r="74" spans="2:5">
      <c r="B74" s="26">
        <v>73</v>
      </c>
      <c r="D74" s="26">
        <v>30070017</v>
      </c>
      <c r="E74" s="26" t="s">
        <v>744</v>
      </c>
    </row>
    <row r="75" spans="2:5">
      <c r="D75" s="26">
        <v>30070018</v>
      </c>
      <c r="E75" s="26" t="s">
        <v>745</v>
      </c>
    </row>
    <row r="76" spans="2:5">
      <c r="D76" s="26">
        <v>30070019</v>
      </c>
      <c r="E76" s="26" t="s">
        <v>746</v>
      </c>
    </row>
    <row r="77" spans="2:5">
      <c r="D77" s="26">
        <v>30070020</v>
      </c>
      <c r="E77" s="26" t="s">
        <v>747</v>
      </c>
    </row>
    <row r="78" spans="2:5">
      <c r="D78" s="26">
        <v>30070021</v>
      </c>
      <c r="E78" s="26" t="s">
        <v>748</v>
      </c>
    </row>
    <row r="79" spans="2:5">
      <c r="D79" s="26">
        <v>30070022</v>
      </c>
      <c r="E79" s="26" t="s">
        <v>749</v>
      </c>
    </row>
    <row r="80" spans="2:5">
      <c r="D80" s="26">
        <v>30070023</v>
      </c>
      <c r="E80" s="26" t="s">
        <v>750</v>
      </c>
    </row>
    <row r="81" spans="4:5">
      <c r="D81" s="26">
        <v>30070024</v>
      </c>
      <c r="E81" s="26" t="s">
        <v>751</v>
      </c>
    </row>
    <row r="82" spans="4:5">
      <c r="D82" s="26">
        <v>30070025</v>
      </c>
      <c r="E82" s="26" t="s">
        <v>752</v>
      </c>
    </row>
    <row r="83" spans="4:5">
      <c r="D83" s="26">
        <v>30070026</v>
      </c>
      <c r="E83" s="26" t="s">
        <v>753</v>
      </c>
    </row>
    <row r="84" spans="4:5">
      <c r="D84" s="26">
        <v>30070027</v>
      </c>
      <c r="E84" s="26" t="s">
        <v>754</v>
      </c>
    </row>
    <row r="85" spans="4:5">
      <c r="D85" s="26">
        <v>31060000</v>
      </c>
      <c r="E85" s="26" t="s">
        <v>755</v>
      </c>
    </row>
    <row r="86" spans="4:5">
      <c r="D86" s="26">
        <v>31060001</v>
      </c>
      <c r="E86" s="26" t="s">
        <v>756</v>
      </c>
    </row>
    <row r="87" spans="4:5">
      <c r="D87" s="26">
        <v>31060002</v>
      </c>
      <c r="E87" s="26" t="s">
        <v>757</v>
      </c>
    </row>
    <row r="88" spans="4:5">
      <c r="D88" s="26">
        <v>31060003</v>
      </c>
      <c r="E88" s="26" t="s">
        <v>758</v>
      </c>
    </row>
    <row r="89" spans="4:5">
      <c r="D89" s="26">
        <v>34050001</v>
      </c>
      <c r="E89" s="26" t="s">
        <v>759</v>
      </c>
    </row>
    <row r="90" spans="4:5">
      <c r="D90" s="26">
        <v>34050002</v>
      </c>
      <c r="E90" s="26" t="s">
        <v>760</v>
      </c>
    </row>
    <row r="91" spans="4:5">
      <c r="D91" s="26">
        <v>34050003</v>
      </c>
      <c r="E91" s="26" t="s">
        <v>761</v>
      </c>
    </row>
    <row r="92" spans="4:5">
      <c r="D92" s="26">
        <v>34050004</v>
      </c>
      <c r="E92" s="26" t="s">
        <v>762</v>
      </c>
    </row>
    <row r="93" spans="4:5">
      <c r="D93" s="26">
        <v>34050005</v>
      </c>
      <c r="E93" s="26" t="s">
        <v>763</v>
      </c>
    </row>
    <row r="94" spans="4:5">
      <c r="D94" s="26">
        <v>34050006</v>
      </c>
      <c r="E94" s="26" t="s">
        <v>764</v>
      </c>
    </row>
    <row r="95" spans="4:5">
      <c r="D95" s="26">
        <v>34050007</v>
      </c>
      <c r="E95" s="26" t="s">
        <v>765</v>
      </c>
    </row>
    <row r="96" spans="4:5">
      <c r="D96" s="26">
        <v>34050008</v>
      </c>
      <c r="E96" s="26" t="s">
        <v>766</v>
      </c>
    </row>
    <row r="97" spans="4:5">
      <c r="D97" s="26">
        <v>34050009</v>
      </c>
      <c r="E97" s="26" t="s">
        <v>767</v>
      </c>
    </row>
    <row r="98" spans="4:5">
      <c r="D98" s="26">
        <v>34050010</v>
      </c>
      <c r="E98" s="26" t="s">
        <v>768</v>
      </c>
    </row>
    <row r="99" spans="4:5">
      <c r="D99" s="26">
        <v>30080000</v>
      </c>
      <c r="E99" s="26" t="s">
        <v>769</v>
      </c>
    </row>
    <row r="100" spans="4:5">
      <c r="D100" s="26">
        <v>30080001</v>
      </c>
      <c r="E100" s="26" t="s">
        <v>770</v>
      </c>
    </row>
    <row r="101" spans="4:5">
      <c r="D101" s="26">
        <v>30080002</v>
      </c>
      <c r="E101" s="26" t="s">
        <v>771</v>
      </c>
    </row>
    <row r="102" spans="4:5">
      <c r="D102" s="26">
        <v>30080003</v>
      </c>
      <c r="E102" s="26" t="s">
        <v>772</v>
      </c>
    </row>
    <row r="103" spans="4:5">
      <c r="D103" s="26">
        <v>30080004</v>
      </c>
      <c r="E103" s="26" t="s">
        <v>773</v>
      </c>
    </row>
    <row r="104" spans="4:5">
      <c r="D104" s="26">
        <v>30080005</v>
      </c>
      <c r="E104" s="26" t="s">
        <v>774</v>
      </c>
    </row>
    <row r="105" spans="4:5">
      <c r="D105" s="26">
        <v>30080006</v>
      </c>
      <c r="E105" s="26" t="s">
        <v>775</v>
      </c>
    </row>
    <row r="106" spans="4:5">
      <c r="D106" s="26">
        <v>30080007</v>
      </c>
      <c r="E106" s="26" t="s">
        <v>776</v>
      </c>
    </row>
    <row r="107" spans="4:5">
      <c r="D107" s="26">
        <v>30080008</v>
      </c>
      <c r="E107" s="26" t="s">
        <v>777</v>
      </c>
    </row>
    <row r="108" spans="4:5">
      <c r="D108" s="26">
        <v>30080009</v>
      </c>
      <c r="E108" s="26" t="s">
        <v>778</v>
      </c>
    </row>
    <row r="109" spans="4:5">
      <c r="D109" s="26">
        <v>30080010</v>
      </c>
      <c r="E109" s="26" t="s">
        <v>779</v>
      </c>
    </row>
    <row r="110" spans="4:5">
      <c r="D110" s="26">
        <v>30080011</v>
      </c>
      <c r="E110" s="26" t="s">
        <v>780</v>
      </c>
    </row>
    <row r="111" spans="4:5">
      <c r="D111" s="26">
        <v>30080012</v>
      </c>
      <c r="E111" s="26" t="s">
        <v>781</v>
      </c>
    </row>
    <row r="112" spans="4:5">
      <c r="D112" s="26">
        <v>30090000</v>
      </c>
      <c r="E112" s="26" t="s">
        <v>782</v>
      </c>
    </row>
    <row r="113" spans="4:5">
      <c r="D113" s="26">
        <v>30090001</v>
      </c>
      <c r="E113" s="26" t="s">
        <v>783</v>
      </c>
    </row>
    <row r="114" spans="4:5">
      <c r="D114" s="26">
        <v>30090002</v>
      </c>
      <c r="E114" s="26" t="s">
        <v>784</v>
      </c>
    </row>
    <row r="115" spans="4:5">
      <c r="D115" s="26">
        <v>30090003</v>
      </c>
      <c r="E115" s="26" t="s">
        <v>785</v>
      </c>
    </row>
    <row r="116" spans="4:5">
      <c r="D116" s="26">
        <v>30090004</v>
      </c>
      <c r="E116" s="26" t="s">
        <v>786</v>
      </c>
    </row>
    <row r="117" spans="4:5">
      <c r="D117" s="26">
        <v>30090005</v>
      </c>
      <c r="E117" s="26" t="s">
        <v>787</v>
      </c>
    </row>
    <row r="118" spans="4:5">
      <c r="D118" s="26">
        <v>30090006</v>
      </c>
      <c r="E118" s="26" t="s">
        <v>788</v>
      </c>
    </row>
    <row r="119" spans="4:5">
      <c r="D119" s="26">
        <v>30090007</v>
      </c>
      <c r="E119" s="26" t="s">
        <v>789</v>
      </c>
    </row>
    <row r="120" spans="4:5">
      <c r="D120" s="26">
        <v>30090008</v>
      </c>
      <c r="E120" s="26" t="s">
        <v>790</v>
      </c>
    </row>
    <row r="121" spans="4:5">
      <c r="D121" s="26">
        <v>30090009</v>
      </c>
      <c r="E121" s="26" t="s">
        <v>791</v>
      </c>
    </row>
    <row r="122" spans="4:5">
      <c r="D122" s="26">
        <v>30090010</v>
      </c>
      <c r="E122" s="26" t="s">
        <v>792</v>
      </c>
    </row>
    <row r="123" spans="4:5">
      <c r="D123" s="26">
        <v>30090011</v>
      </c>
      <c r="E123" s="26" t="s">
        <v>793</v>
      </c>
    </row>
    <row r="124" spans="4:5">
      <c r="D124" s="26">
        <v>30090012</v>
      </c>
      <c r="E124" s="26" t="s">
        <v>794</v>
      </c>
    </row>
    <row r="125" spans="4:5">
      <c r="D125" s="26">
        <v>30090013</v>
      </c>
      <c r="E125" s="26" t="s">
        <v>795</v>
      </c>
    </row>
    <row r="126" spans="4:5">
      <c r="D126" s="26">
        <v>30090014</v>
      </c>
      <c r="E126" s="26" t="s">
        <v>796</v>
      </c>
    </row>
    <row r="127" spans="4:5">
      <c r="D127" s="26">
        <v>30090015</v>
      </c>
      <c r="E127" s="26" t="s">
        <v>797</v>
      </c>
    </row>
    <row r="128" spans="4:5">
      <c r="D128" s="26">
        <v>30090016</v>
      </c>
      <c r="E128" s="26" t="s">
        <v>798</v>
      </c>
    </row>
    <row r="129" spans="4:5">
      <c r="D129" s="26">
        <v>30090017</v>
      </c>
      <c r="E129" s="26" t="s">
        <v>799</v>
      </c>
    </row>
    <row r="130" spans="4:5">
      <c r="D130" s="26">
        <v>30090018</v>
      </c>
      <c r="E130" s="26" t="s">
        <v>800</v>
      </c>
    </row>
    <row r="131" spans="4:5">
      <c r="D131" s="26">
        <v>30090019</v>
      </c>
      <c r="E131" s="26" t="s">
        <v>801</v>
      </c>
    </row>
    <row r="132" spans="4:5">
      <c r="D132" s="26">
        <v>30090020</v>
      </c>
      <c r="E132" s="26" t="s">
        <v>802</v>
      </c>
    </row>
    <row r="133" spans="4:5">
      <c r="D133" s="26">
        <v>30090021</v>
      </c>
      <c r="E133" s="26" t="s">
        <v>803</v>
      </c>
    </row>
    <row r="134" spans="4:5">
      <c r="D134" s="26">
        <v>30090022</v>
      </c>
      <c r="E134" s="26" t="s">
        <v>804</v>
      </c>
    </row>
    <row r="135" spans="4:5">
      <c r="D135" s="26">
        <v>30090023</v>
      </c>
      <c r="E135" s="26" t="s">
        <v>805</v>
      </c>
    </row>
    <row r="136" spans="4:5">
      <c r="D136" s="26">
        <v>30090024</v>
      </c>
      <c r="E136" s="26" t="s">
        <v>806</v>
      </c>
    </row>
    <row r="137" spans="4:5">
      <c r="D137" s="26">
        <v>30090025</v>
      </c>
      <c r="E137" s="26" t="s">
        <v>807</v>
      </c>
    </row>
    <row r="138" spans="4:5">
      <c r="D138" s="26">
        <v>30090026</v>
      </c>
      <c r="E138" s="26" t="s">
        <v>808</v>
      </c>
    </row>
    <row r="139" spans="4:5">
      <c r="D139" s="26">
        <v>30090027</v>
      </c>
      <c r="E139" s="26" t="s">
        <v>809</v>
      </c>
    </row>
    <row r="140" spans="4:5">
      <c r="D140" s="26">
        <v>30090028</v>
      </c>
      <c r="E140" s="26" t="s">
        <v>810</v>
      </c>
    </row>
    <row r="141" spans="4:5">
      <c r="D141" s="26">
        <v>30090029</v>
      </c>
      <c r="E141" s="26" t="s">
        <v>811</v>
      </c>
    </row>
    <row r="142" spans="4:5">
      <c r="D142" s="26">
        <v>30090030</v>
      </c>
      <c r="E142" s="26" t="s">
        <v>812</v>
      </c>
    </row>
    <row r="143" spans="4:5">
      <c r="D143" s="26">
        <v>30090031</v>
      </c>
      <c r="E143" s="26" t="s">
        <v>813</v>
      </c>
    </row>
    <row r="144" spans="4:5">
      <c r="D144" s="26">
        <v>30090032</v>
      </c>
      <c r="E144" s="26" t="s">
        <v>814</v>
      </c>
    </row>
    <row r="145" spans="4:5">
      <c r="D145" s="26">
        <v>30090033</v>
      </c>
      <c r="E145" s="26" t="s">
        <v>815</v>
      </c>
    </row>
    <row r="146" spans="4:5">
      <c r="D146" s="26">
        <v>30090034</v>
      </c>
      <c r="E146" s="26" t="s">
        <v>816</v>
      </c>
    </row>
    <row r="147" spans="4:5">
      <c r="D147" s="26">
        <v>30090035</v>
      </c>
      <c r="E147" s="26" t="s">
        <v>817</v>
      </c>
    </row>
    <row r="148" spans="4:5">
      <c r="D148" s="26">
        <v>30090036</v>
      </c>
      <c r="E148" s="26" t="s">
        <v>818</v>
      </c>
    </row>
    <row r="149" spans="4:5">
      <c r="D149" s="26">
        <v>30090037</v>
      </c>
      <c r="E149" s="26" t="s">
        <v>819</v>
      </c>
    </row>
    <row r="150" spans="4:5">
      <c r="D150" s="26">
        <v>30090038</v>
      </c>
      <c r="E150" s="26" t="s">
        <v>820</v>
      </c>
    </row>
    <row r="151" spans="4:5">
      <c r="D151" s="26">
        <v>30040017</v>
      </c>
      <c r="E151" s="26" t="s">
        <v>821</v>
      </c>
    </row>
    <row r="152" spans="4:5">
      <c r="D152" s="26">
        <v>30040018</v>
      </c>
      <c r="E152" s="26" t="s">
        <v>822</v>
      </c>
    </row>
    <row r="153" spans="4:5">
      <c r="D153" s="26">
        <v>30040019</v>
      </c>
      <c r="E153" s="26" t="s">
        <v>823</v>
      </c>
    </row>
    <row r="154" spans="4:5">
      <c r="D154" s="26">
        <v>30040020</v>
      </c>
      <c r="E154" s="26" t="s">
        <v>824</v>
      </c>
    </row>
    <row r="155" spans="4:5">
      <c r="D155" s="26">
        <v>30040021</v>
      </c>
      <c r="E155" s="26" t="s">
        <v>825</v>
      </c>
    </row>
    <row r="156" spans="4:5">
      <c r="D156" s="26">
        <v>30040022</v>
      </c>
      <c r="E156" s="26" t="s">
        <v>826</v>
      </c>
    </row>
    <row r="157" spans="4:5">
      <c r="D157" s="26">
        <v>30040023</v>
      </c>
      <c r="E157" s="26" t="s">
        <v>827</v>
      </c>
    </row>
    <row r="158" spans="4:5">
      <c r="D158" s="26">
        <v>30040024</v>
      </c>
      <c r="E158" s="26" t="s">
        <v>828</v>
      </c>
    </row>
    <row r="159" spans="4:5">
      <c r="D159" s="26">
        <v>30040025</v>
      </c>
      <c r="E159" s="26" t="s">
        <v>829</v>
      </c>
    </row>
    <row r="160" spans="4:5">
      <c r="D160" s="26">
        <v>30040026</v>
      </c>
      <c r="E160" s="26" t="s">
        <v>830</v>
      </c>
    </row>
    <row r="161" spans="4:5">
      <c r="D161" s="26">
        <v>30040027</v>
      </c>
      <c r="E161" s="26" t="s">
        <v>831</v>
      </c>
    </row>
    <row r="162" spans="4:5">
      <c r="D162" s="26">
        <v>30040028</v>
      </c>
      <c r="E162" s="26" t="s">
        <v>832</v>
      </c>
    </row>
    <row r="163" spans="4:5">
      <c r="D163" s="26">
        <v>30040029</v>
      </c>
      <c r="E163" s="26" t="s">
        <v>833</v>
      </c>
    </row>
    <row r="164" spans="4:5">
      <c r="D164" s="26">
        <v>30040030</v>
      </c>
      <c r="E164" s="26" t="s">
        <v>834</v>
      </c>
    </row>
    <row r="165" spans="4:5">
      <c r="D165" s="26">
        <v>30040031</v>
      </c>
      <c r="E165" s="26" t="s">
        <v>835</v>
      </c>
    </row>
    <row r="166" spans="4:5">
      <c r="D166" s="26">
        <v>30040032</v>
      </c>
      <c r="E166" s="26" t="s">
        <v>836</v>
      </c>
    </row>
    <row r="167" spans="4:5">
      <c r="D167" s="26">
        <v>30040033</v>
      </c>
      <c r="E167" s="26" t="s">
        <v>837</v>
      </c>
    </row>
    <row r="168" spans="4:5">
      <c r="D168" s="26">
        <v>30040034</v>
      </c>
      <c r="E168" s="26" t="s">
        <v>838</v>
      </c>
    </row>
    <row r="169" spans="4:5">
      <c r="D169" s="26">
        <v>30040035</v>
      </c>
      <c r="E169" s="26" t="s">
        <v>839</v>
      </c>
    </row>
  </sheetData>
  <sortState ref="A2:B71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C18" sqref="C18"/>
    </sheetView>
  </sheetViews>
  <sheetFormatPr defaultColWidth="9" defaultRowHeight="14.25"/>
  <cols>
    <col min="1" max="1" width="24.5" customWidth="1"/>
    <col min="3" max="3" width="13.8333333333333" customWidth="1"/>
    <col min="4" max="6" width="10.5" customWidth="1"/>
    <col min="7" max="7" width="7.5" customWidth="1"/>
    <col min="10" max="10" width="24" customWidth="1"/>
    <col min="12" max="12" width="7.5" customWidth="1"/>
    <col min="13" max="13" width="10.5" customWidth="1"/>
    <col min="15" max="15" width="16.3333333333333" customWidth="1"/>
  </cols>
  <sheetData>
    <row r="1" spans="1:17">
      <c r="A1" s="3" t="s">
        <v>437</v>
      </c>
      <c r="C1" s="3" t="s">
        <v>840</v>
      </c>
      <c r="D1" s="11" t="s">
        <v>841</v>
      </c>
      <c r="E1" s="3" t="s">
        <v>842</v>
      </c>
      <c r="F1" s="3" t="s">
        <v>843</v>
      </c>
      <c r="G1" s="3" t="s">
        <v>844</v>
      </c>
      <c r="J1" s="3" t="s">
        <v>845</v>
      </c>
      <c r="L1" s="3" t="s">
        <v>846</v>
      </c>
      <c r="M1" s="3" t="s">
        <v>847</v>
      </c>
      <c r="O1" s="3" t="s">
        <v>848</v>
      </c>
      <c r="Q1" s="3" t="s">
        <v>849</v>
      </c>
    </row>
    <row r="2" spans="1:17">
      <c r="A2" s="3" t="s">
        <v>617</v>
      </c>
      <c r="C2" s="3" t="s">
        <v>850</v>
      </c>
      <c r="D2" s="11" t="s">
        <v>851</v>
      </c>
      <c r="E2" s="3">
        <v>1</v>
      </c>
      <c r="F2" s="3">
        <v>4</v>
      </c>
      <c r="G2" s="3" t="str">
        <f t="shared" ref="G2:G21" si="0">E2&amp;"-"&amp;F2&amp;"级"</f>
        <v>1-4级</v>
      </c>
      <c r="J2" s="3" t="s">
        <v>852</v>
      </c>
      <c r="L2" s="3">
        <v>3</v>
      </c>
      <c r="M2" s="3">
        <v>1</v>
      </c>
      <c r="O2" s="3" t="s">
        <v>853</v>
      </c>
      <c r="Q2" s="3" t="s">
        <v>854</v>
      </c>
    </row>
    <row r="3" spans="1:17">
      <c r="A3" s="3" t="s">
        <v>603</v>
      </c>
      <c r="C3" s="3" t="s">
        <v>855</v>
      </c>
      <c r="D3" s="11" t="s">
        <v>856</v>
      </c>
      <c r="E3" s="3">
        <v>5</v>
      </c>
      <c r="F3" s="3">
        <v>9</v>
      </c>
      <c r="G3" s="3" t="str">
        <f t="shared" si="0"/>
        <v>5-9级</v>
      </c>
      <c r="J3" s="3" t="s">
        <v>857</v>
      </c>
      <c r="L3" s="3">
        <v>8</v>
      </c>
      <c r="M3" s="3">
        <v>2</v>
      </c>
      <c r="O3" s="3" t="s">
        <v>858</v>
      </c>
      <c r="Q3" s="3" t="s">
        <v>859</v>
      </c>
    </row>
    <row r="4" spans="1:17">
      <c r="C4" s="3" t="s">
        <v>860</v>
      </c>
      <c r="D4" s="11" t="s">
        <v>861</v>
      </c>
      <c r="E4" s="3">
        <v>10</v>
      </c>
      <c r="F4" s="3">
        <v>14</v>
      </c>
      <c r="G4" s="3" t="str">
        <f t="shared" si="0"/>
        <v>10-14级</v>
      </c>
      <c r="J4" s="3" t="s">
        <v>862</v>
      </c>
      <c r="L4" s="3">
        <f t="shared" ref="L4:L12" si="1">E4</f>
        <v>10</v>
      </c>
      <c r="M4" s="3">
        <v>3</v>
      </c>
      <c r="O4" s="3" t="s">
        <v>863</v>
      </c>
    </row>
    <row r="5" spans="1:17">
      <c r="D5" s="11" t="s">
        <v>864</v>
      </c>
      <c r="E5" s="3">
        <v>15</v>
      </c>
      <c r="F5" s="3">
        <v>19</v>
      </c>
      <c r="G5" s="3" t="str">
        <f t="shared" si="0"/>
        <v>15-19级</v>
      </c>
      <c r="J5" s="3" t="s">
        <v>865</v>
      </c>
      <c r="L5" s="3">
        <f t="shared" si="1"/>
        <v>15</v>
      </c>
      <c r="M5" s="3">
        <v>4</v>
      </c>
      <c r="O5" s="3" t="s">
        <v>866</v>
      </c>
    </row>
    <row r="6" spans="1:17">
      <c r="E6" s="3">
        <v>20</v>
      </c>
      <c r="F6" s="3">
        <v>24</v>
      </c>
      <c r="G6" s="3" t="str">
        <f t="shared" si="0"/>
        <v>20-24级</v>
      </c>
      <c r="J6" s="3" t="s">
        <v>867</v>
      </c>
      <c r="L6" s="3">
        <f t="shared" si="1"/>
        <v>20</v>
      </c>
      <c r="M6" s="3">
        <v>5</v>
      </c>
      <c r="O6" s="3" t="s">
        <v>868</v>
      </c>
    </row>
    <row r="7" spans="1:17">
      <c r="E7" s="3">
        <v>25</v>
      </c>
      <c r="F7" s="3">
        <v>29</v>
      </c>
      <c r="G7" s="3" t="str">
        <f t="shared" si="0"/>
        <v>25-29级</v>
      </c>
      <c r="J7" s="3" t="s">
        <v>869</v>
      </c>
      <c r="L7" s="3">
        <f t="shared" si="1"/>
        <v>25</v>
      </c>
      <c r="M7" s="3">
        <v>6</v>
      </c>
    </row>
    <row r="8" spans="1:17">
      <c r="E8" s="3">
        <v>30</v>
      </c>
      <c r="F8" s="3">
        <v>34</v>
      </c>
      <c r="G8" s="3" t="str">
        <f t="shared" si="0"/>
        <v>30-34级</v>
      </c>
      <c r="L8" s="3">
        <f t="shared" si="1"/>
        <v>30</v>
      </c>
      <c r="M8" s="3">
        <v>7</v>
      </c>
    </row>
    <row r="9" spans="1:17">
      <c r="E9" s="3">
        <v>35</v>
      </c>
      <c r="F9" s="3">
        <v>39</v>
      </c>
      <c r="G9" s="3" t="str">
        <f t="shared" si="0"/>
        <v>35-39级</v>
      </c>
      <c r="J9" s="3" t="s">
        <v>870</v>
      </c>
      <c r="L9" s="3">
        <f t="shared" si="1"/>
        <v>35</v>
      </c>
      <c r="M9" s="3">
        <v>8</v>
      </c>
    </row>
    <row r="10" spans="1:17">
      <c r="E10" s="3">
        <v>40</v>
      </c>
      <c r="F10" s="3">
        <v>44</v>
      </c>
      <c r="G10" s="3" t="str">
        <f t="shared" si="0"/>
        <v>40-44级</v>
      </c>
      <c r="J10" s="3" t="s">
        <v>871</v>
      </c>
      <c r="L10" s="3">
        <f t="shared" si="1"/>
        <v>40</v>
      </c>
      <c r="M10" s="3">
        <v>9</v>
      </c>
    </row>
    <row r="11" spans="1:17">
      <c r="E11" s="3">
        <v>45</v>
      </c>
      <c r="F11" s="3">
        <v>49</v>
      </c>
      <c r="G11" s="3" t="str">
        <f t="shared" si="0"/>
        <v>45-49级</v>
      </c>
      <c r="J11" s="3" t="s">
        <v>872</v>
      </c>
      <c r="L11" s="3">
        <f t="shared" si="1"/>
        <v>45</v>
      </c>
      <c r="M11" s="3">
        <v>10</v>
      </c>
    </row>
    <row r="12" spans="1:17">
      <c r="E12" s="3">
        <v>50</v>
      </c>
      <c r="F12" s="3">
        <v>54</v>
      </c>
      <c r="G12" s="3" t="str">
        <f t="shared" si="0"/>
        <v>50-54级</v>
      </c>
      <c r="L12" s="3">
        <f t="shared" si="1"/>
        <v>50</v>
      </c>
      <c r="M12" s="3">
        <v>11</v>
      </c>
    </row>
    <row r="13" spans="1:17">
      <c r="E13" s="3">
        <v>55</v>
      </c>
      <c r="F13" s="3">
        <v>59</v>
      </c>
      <c r="G13" s="3" t="str">
        <f t="shared" si="0"/>
        <v>55-59级</v>
      </c>
      <c r="J13" s="3" t="s">
        <v>873</v>
      </c>
      <c r="L13" s="3">
        <v>52</v>
      </c>
      <c r="M13" s="3">
        <v>12</v>
      </c>
    </row>
    <row r="14" spans="1:17">
      <c r="E14" s="3">
        <v>60</v>
      </c>
      <c r="F14" s="3">
        <v>64</v>
      </c>
      <c r="G14" s="3" t="str">
        <f t="shared" si="0"/>
        <v>60-64级</v>
      </c>
      <c r="J14" s="3" t="s">
        <v>874</v>
      </c>
      <c r="L14" s="3">
        <v>60</v>
      </c>
      <c r="M14" s="3">
        <v>13</v>
      </c>
    </row>
    <row r="15" spans="1:17">
      <c r="E15" s="3">
        <v>65</v>
      </c>
      <c r="F15" s="3">
        <v>69</v>
      </c>
      <c r="G15" s="3" t="str">
        <f t="shared" si="0"/>
        <v>65-69级</v>
      </c>
      <c r="J15" s="3" t="s">
        <v>875</v>
      </c>
      <c r="L15" s="3">
        <v>62</v>
      </c>
      <c r="M15" s="3">
        <v>14</v>
      </c>
    </row>
    <row r="16" spans="1:17">
      <c r="E16" s="3">
        <v>70</v>
      </c>
      <c r="F16" s="3">
        <v>74</v>
      </c>
      <c r="G16" s="3" t="str">
        <f t="shared" si="0"/>
        <v>70-74级</v>
      </c>
      <c r="L16" s="3">
        <v>70</v>
      </c>
      <c r="M16" s="3">
        <v>15</v>
      </c>
    </row>
    <row r="17" spans="5:13">
      <c r="E17" s="3">
        <v>75</v>
      </c>
      <c r="F17" s="3">
        <v>79</v>
      </c>
      <c r="G17" s="3" t="str">
        <f t="shared" si="0"/>
        <v>75-79级</v>
      </c>
      <c r="L17" s="3">
        <v>72</v>
      </c>
      <c r="M17" s="3">
        <v>16</v>
      </c>
    </row>
    <row r="18" spans="5:13">
      <c r="E18" s="3">
        <v>80</v>
      </c>
      <c r="F18" s="3">
        <v>84</v>
      </c>
      <c r="G18" s="3" t="str">
        <f t="shared" si="0"/>
        <v>80-84级</v>
      </c>
      <c r="L18" s="3">
        <v>80</v>
      </c>
      <c r="M18" s="3">
        <v>17</v>
      </c>
    </row>
    <row r="19" spans="5:13">
      <c r="E19" s="3">
        <v>85</v>
      </c>
      <c r="F19" s="3">
        <v>89</v>
      </c>
      <c r="G19" s="3" t="str">
        <f t="shared" si="0"/>
        <v>85-89级</v>
      </c>
      <c r="L19" s="3">
        <v>82</v>
      </c>
      <c r="M19" s="3">
        <v>18</v>
      </c>
    </row>
    <row r="20" spans="5:13">
      <c r="E20" s="3">
        <v>90</v>
      </c>
      <c r="F20" s="3">
        <v>94</v>
      </c>
      <c r="G20" s="3" t="str">
        <f t="shared" si="0"/>
        <v>90-94级</v>
      </c>
      <c r="L20" s="3">
        <v>90</v>
      </c>
      <c r="M20" s="3">
        <v>19</v>
      </c>
    </row>
    <row r="21" spans="5:13">
      <c r="E21" s="3">
        <v>95</v>
      </c>
      <c r="F21" s="3">
        <v>99</v>
      </c>
      <c r="G21" s="3" t="str">
        <f t="shared" si="0"/>
        <v>95-99级</v>
      </c>
      <c r="L21" s="3">
        <v>92</v>
      </c>
      <c r="M21" s="3">
        <v>20</v>
      </c>
    </row>
    <row r="22" spans="5:13">
      <c r="L22" s="3">
        <v>100</v>
      </c>
      <c r="M22" s="3">
        <v>21</v>
      </c>
    </row>
    <row r="23" spans="5:13">
      <c r="L23" s="3">
        <v>102</v>
      </c>
      <c r="M23" s="3">
        <v>22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workbookViewId="0">
      <selection activeCell="K35" sqref="K35"/>
    </sheetView>
  </sheetViews>
  <sheetFormatPr defaultColWidth="9" defaultRowHeight="14.25"/>
  <cols>
    <col min="1" max="1" width="17.25" customWidth="1"/>
    <col min="2" max="2" width="49.5833333333333" customWidth="1"/>
  </cols>
  <sheetData>
    <row r="1" spans="1:17">
      <c r="C1" s="11" t="s">
        <v>876</v>
      </c>
    </row>
    <row r="2" ht="16.5" spans="1:17">
      <c r="A2" s="3" t="s">
        <v>877</v>
      </c>
      <c r="B2" s="3" t="s">
        <v>878</v>
      </c>
      <c r="C2" s="12" t="s">
        <v>879</v>
      </c>
      <c r="G2" s="13" t="s">
        <v>880</v>
      </c>
      <c r="H2" s="13" t="s">
        <v>881</v>
      </c>
      <c r="I2" s="14" t="s">
        <v>882</v>
      </c>
      <c r="J2" s="15" t="s">
        <v>883</v>
      </c>
      <c r="K2" s="15"/>
      <c r="L2" s="15"/>
      <c r="M2" s="15"/>
      <c r="N2" s="16" t="s">
        <v>556</v>
      </c>
      <c r="O2" s="16" t="s">
        <v>557</v>
      </c>
      <c r="P2" s="17" t="s">
        <v>884</v>
      </c>
      <c r="Q2" s="16" t="s">
        <v>527</v>
      </c>
    </row>
    <row r="3" ht="16.5" spans="1:17">
      <c r="A3" s="3" t="s">
        <v>885</v>
      </c>
      <c r="B3" s="3" t="s">
        <v>886</v>
      </c>
      <c r="G3" s="18" t="s">
        <v>554</v>
      </c>
      <c r="H3" s="19" t="s">
        <v>887</v>
      </c>
      <c r="I3" s="14">
        <v>1</v>
      </c>
      <c r="J3" s="15" t="s">
        <v>888</v>
      </c>
      <c r="K3" s="15"/>
      <c r="L3" s="15"/>
      <c r="M3" s="15"/>
      <c r="N3" s="16" t="s">
        <v>889</v>
      </c>
      <c r="O3" s="16" t="s">
        <v>560</v>
      </c>
      <c r="P3" s="17" t="s">
        <v>890</v>
      </c>
      <c r="Q3" s="16" t="s">
        <v>533</v>
      </c>
    </row>
    <row r="4" ht="28.5" spans="1:17">
      <c r="A4" s="3" t="s">
        <v>891</v>
      </c>
      <c r="B4" s="20" t="s">
        <v>892</v>
      </c>
      <c r="C4" s="12" t="s">
        <v>879</v>
      </c>
      <c r="G4" s="18" t="s">
        <v>554</v>
      </c>
      <c r="H4" s="19" t="s">
        <v>893</v>
      </c>
      <c r="I4" s="14">
        <v>1</v>
      </c>
      <c r="J4" s="15" t="s">
        <v>888</v>
      </c>
      <c r="K4" s="15"/>
      <c r="L4" s="15"/>
      <c r="M4" s="15"/>
      <c r="N4" s="16" t="s">
        <v>576</v>
      </c>
      <c r="O4" s="16" t="s">
        <v>559</v>
      </c>
      <c r="P4" s="17" t="s">
        <v>894</v>
      </c>
      <c r="Q4" s="16" t="s">
        <v>537</v>
      </c>
    </row>
    <row r="5" ht="16.5" spans="1:17">
      <c r="A5" s="3" t="s">
        <v>895</v>
      </c>
      <c r="B5" s="3" t="s">
        <v>896</v>
      </c>
      <c r="C5" s="12" t="s">
        <v>879</v>
      </c>
      <c r="G5" s="18" t="s">
        <v>554</v>
      </c>
      <c r="H5" s="19" t="s">
        <v>897</v>
      </c>
      <c r="I5" s="14">
        <v>1</v>
      </c>
      <c r="J5" s="15" t="s">
        <v>888</v>
      </c>
      <c r="K5" s="15"/>
      <c r="L5" s="15"/>
      <c r="M5" s="15"/>
      <c r="N5" s="16" t="s">
        <v>898</v>
      </c>
      <c r="O5" s="16" t="s">
        <v>526</v>
      </c>
      <c r="P5" s="17" t="s">
        <v>899</v>
      </c>
      <c r="Q5" s="16" t="s">
        <v>542</v>
      </c>
    </row>
    <row r="6" ht="16.5" spans="1:17">
      <c r="A6" s="3" t="s">
        <v>900</v>
      </c>
      <c r="B6" s="3" t="s">
        <v>901</v>
      </c>
      <c r="C6" s="12" t="s">
        <v>879</v>
      </c>
      <c r="G6" s="18" t="s">
        <v>554</v>
      </c>
      <c r="H6" s="19" t="s">
        <v>902</v>
      </c>
      <c r="I6" s="14">
        <v>1</v>
      </c>
      <c r="J6" s="15" t="s">
        <v>888</v>
      </c>
      <c r="K6" s="15"/>
      <c r="L6" s="15"/>
      <c r="M6" s="15"/>
      <c r="N6" s="16" t="s">
        <v>591</v>
      </c>
      <c r="O6" s="16" t="s">
        <v>532</v>
      </c>
      <c r="P6" s="21" t="s">
        <v>903</v>
      </c>
      <c r="Q6" s="16" t="s">
        <v>547</v>
      </c>
    </row>
    <row r="7" ht="16.5" spans="1:17">
      <c r="A7" s="3" t="s">
        <v>904</v>
      </c>
      <c r="B7" s="3" t="s">
        <v>905</v>
      </c>
      <c r="C7" s="12"/>
      <c r="G7" s="18" t="s">
        <v>554</v>
      </c>
      <c r="H7" s="19" t="s">
        <v>906</v>
      </c>
      <c r="I7" s="14">
        <v>1</v>
      </c>
      <c r="J7" s="15" t="s">
        <v>888</v>
      </c>
      <c r="K7" s="15"/>
      <c r="L7" s="15"/>
      <c r="M7" s="15"/>
      <c r="N7" s="16" t="s">
        <v>525</v>
      </c>
      <c r="O7" s="16" t="s">
        <v>565</v>
      </c>
      <c r="P7" s="21" t="s">
        <v>907</v>
      </c>
      <c r="Q7" s="16"/>
    </row>
    <row r="8" ht="16.5" spans="1:17">
      <c r="A8" s="3" t="s">
        <v>908</v>
      </c>
      <c r="B8" s="3" t="s">
        <v>909</v>
      </c>
      <c r="C8" s="12" t="s">
        <v>879</v>
      </c>
      <c r="G8" s="18" t="s">
        <v>554</v>
      </c>
      <c r="H8" s="22" t="s">
        <v>910</v>
      </c>
      <c r="I8" s="14">
        <v>1</v>
      </c>
      <c r="J8" s="15" t="s">
        <v>888</v>
      </c>
      <c r="K8" s="15"/>
      <c r="L8" s="15"/>
      <c r="M8" s="15"/>
      <c r="N8" s="15"/>
      <c r="O8" s="16" t="s">
        <v>536</v>
      </c>
      <c r="P8" s="23" t="s">
        <v>911</v>
      </c>
      <c r="Q8" s="16"/>
    </row>
    <row r="9" ht="16.5" spans="1:17">
      <c r="A9" s="3" t="s">
        <v>912</v>
      </c>
      <c r="B9" s="3" t="s">
        <v>913</v>
      </c>
      <c r="C9" s="12" t="s">
        <v>879</v>
      </c>
      <c r="G9" s="18" t="s">
        <v>554</v>
      </c>
      <c r="H9" s="19" t="s">
        <v>914</v>
      </c>
      <c r="I9" s="14">
        <v>10</v>
      </c>
      <c r="J9" s="24" t="s">
        <v>915</v>
      </c>
      <c r="K9" s="15"/>
      <c r="L9" s="15"/>
      <c r="M9" s="15"/>
      <c r="N9" s="15"/>
      <c r="O9" s="16" t="s">
        <v>539</v>
      </c>
      <c r="P9" s="23" t="s">
        <v>916</v>
      </c>
      <c r="Q9" s="16"/>
    </row>
    <row r="10" ht="16.5" spans="1:17">
      <c r="A10" s="3" t="s">
        <v>917</v>
      </c>
      <c r="B10" s="3" t="s">
        <v>918</v>
      </c>
      <c r="C10" s="12" t="s">
        <v>879</v>
      </c>
      <c r="G10" s="18" t="s">
        <v>554</v>
      </c>
      <c r="H10" s="25" t="s">
        <v>919</v>
      </c>
      <c r="I10" s="14">
        <v>10</v>
      </c>
      <c r="J10" s="24" t="s">
        <v>915</v>
      </c>
      <c r="K10" s="15"/>
      <c r="L10" s="15"/>
      <c r="M10" s="15"/>
      <c r="N10" s="15"/>
      <c r="O10" s="16" t="s">
        <v>541</v>
      </c>
      <c r="P10" s="23" t="s">
        <v>920</v>
      </c>
      <c r="Q10" s="16"/>
    </row>
    <row r="11" ht="16.5" spans="1:17">
      <c r="A11" s="3" t="s">
        <v>840</v>
      </c>
      <c r="B11" s="3" t="s">
        <v>921</v>
      </c>
      <c r="C11" s="12" t="s">
        <v>879</v>
      </c>
      <c r="G11" s="18" t="s">
        <v>676</v>
      </c>
      <c r="H11" s="19" t="s">
        <v>922</v>
      </c>
      <c r="I11" s="14">
        <v>20</v>
      </c>
      <c r="J11" s="24" t="s">
        <v>915</v>
      </c>
      <c r="K11" s="15"/>
      <c r="L11" s="15"/>
      <c r="M11" s="15"/>
      <c r="N11" s="15"/>
      <c r="O11" s="16" t="s">
        <v>544</v>
      </c>
      <c r="P11" s="23" t="s">
        <v>923</v>
      </c>
      <c r="Q11" s="16"/>
    </row>
    <row r="12" ht="16.5" spans="1:17">
      <c r="A12" s="3" t="s">
        <v>924</v>
      </c>
      <c r="B12" s="3" t="s">
        <v>925</v>
      </c>
      <c r="C12" s="12" t="s">
        <v>879</v>
      </c>
      <c r="G12" s="18" t="s">
        <v>676</v>
      </c>
      <c r="H12" s="19" t="s">
        <v>926</v>
      </c>
      <c r="I12" s="14">
        <v>20</v>
      </c>
      <c r="J12" s="24" t="s">
        <v>915</v>
      </c>
      <c r="K12" s="15"/>
      <c r="L12" s="15"/>
      <c r="M12" s="15"/>
      <c r="N12" s="15"/>
      <c r="O12" s="16" t="s">
        <v>546</v>
      </c>
      <c r="P12" s="23" t="s">
        <v>927</v>
      </c>
      <c r="Q12" s="16"/>
    </row>
    <row r="13" ht="16.5" spans="1:17">
      <c r="A13" s="3" t="s">
        <v>928</v>
      </c>
      <c r="B13" s="3" t="s">
        <v>929</v>
      </c>
      <c r="C13" s="12" t="s">
        <v>879</v>
      </c>
      <c r="G13" s="18" t="s">
        <v>590</v>
      </c>
      <c r="H13" s="19" t="s">
        <v>590</v>
      </c>
      <c r="I13" s="14">
        <v>20</v>
      </c>
      <c r="J13" s="24" t="s">
        <v>915</v>
      </c>
      <c r="K13" s="15"/>
      <c r="L13" s="15"/>
      <c r="M13" s="15"/>
      <c r="N13" s="15"/>
      <c r="O13" s="16" t="s">
        <v>549</v>
      </c>
      <c r="P13" s="23" t="s">
        <v>930</v>
      </c>
      <c r="Q13" s="16"/>
    </row>
    <row r="14" ht="28.5" spans="1:17">
      <c r="A14" s="3" t="s">
        <v>931</v>
      </c>
      <c r="B14" s="20" t="s">
        <v>932</v>
      </c>
      <c r="C14" s="12" t="s">
        <v>879</v>
      </c>
      <c r="G14" s="18" t="s">
        <v>933</v>
      </c>
      <c r="H14" s="19" t="s">
        <v>934</v>
      </c>
      <c r="I14" s="14" t="s">
        <v>935</v>
      </c>
      <c r="J14" s="24"/>
      <c r="K14" s="15"/>
      <c r="L14" s="15"/>
      <c r="M14" s="15"/>
      <c r="N14" s="15"/>
      <c r="O14" s="16" t="s">
        <v>551</v>
      </c>
      <c r="P14" s="23" t="s">
        <v>936</v>
      </c>
      <c r="Q14" s="16"/>
    </row>
    <row r="15" ht="16.5" spans="1:17">
      <c r="A15" s="3" t="s">
        <v>937</v>
      </c>
      <c r="B15" s="3" t="s">
        <v>938</v>
      </c>
      <c r="C15" s="12"/>
      <c r="G15" s="18" t="s">
        <v>574</v>
      </c>
      <c r="H15" s="19" t="s">
        <v>939</v>
      </c>
      <c r="I15" s="14">
        <v>25</v>
      </c>
      <c r="J15" s="24" t="s">
        <v>915</v>
      </c>
      <c r="K15" s="15"/>
      <c r="L15" s="15"/>
      <c r="M15" s="15"/>
      <c r="N15" s="15"/>
      <c r="O15" s="16" t="s">
        <v>553</v>
      </c>
      <c r="P15" s="23" t="s">
        <v>940</v>
      </c>
      <c r="Q15" s="16"/>
    </row>
    <row r="16" ht="16.5" spans="1:17">
      <c r="A16" s="3" t="s">
        <v>941</v>
      </c>
      <c r="B16" s="3" t="s">
        <v>942</v>
      </c>
      <c r="C16" s="12" t="s">
        <v>879</v>
      </c>
      <c r="G16" s="18" t="s">
        <v>574</v>
      </c>
      <c r="H16" s="19" t="s">
        <v>943</v>
      </c>
      <c r="I16" s="14">
        <v>30</v>
      </c>
      <c r="J16" s="24" t="s">
        <v>915</v>
      </c>
      <c r="K16" s="15"/>
      <c r="L16" s="15"/>
      <c r="M16" s="15"/>
      <c r="N16" s="15"/>
      <c r="O16" s="16" t="s">
        <v>944</v>
      </c>
      <c r="P16" s="17" t="s">
        <v>945</v>
      </c>
      <c r="Q16" s="16"/>
    </row>
    <row r="17" ht="16.5" spans="1:17">
      <c r="A17" s="3" t="s">
        <v>946</v>
      </c>
      <c r="B17" s="3" t="s">
        <v>947</v>
      </c>
      <c r="C17" s="12" t="s">
        <v>879</v>
      </c>
      <c r="G17" s="18" t="s">
        <v>574</v>
      </c>
      <c r="H17" s="19" t="s">
        <v>948</v>
      </c>
      <c r="I17" s="14">
        <v>30</v>
      </c>
      <c r="J17" s="24" t="s">
        <v>915</v>
      </c>
      <c r="K17" s="15"/>
      <c r="L17" s="15"/>
      <c r="M17" s="15"/>
      <c r="N17" s="15"/>
      <c r="O17" s="16" t="s">
        <v>949</v>
      </c>
      <c r="P17" s="23" t="s">
        <v>950</v>
      </c>
      <c r="Q17" s="16"/>
    </row>
    <row r="18" ht="16.5" spans="1:17">
      <c r="A18" s="3" t="s">
        <v>951</v>
      </c>
      <c r="B18" s="3" t="s">
        <v>952</v>
      </c>
      <c r="C18" s="12" t="s">
        <v>879</v>
      </c>
      <c r="G18" s="18" t="s">
        <v>933</v>
      </c>
      <c r="H18" s="19" t="s">
        <v>953</v>
      </c>
      <c r="I18" s="14" t="s">
        <v>935</v>
      </c>
      <c r="J18" s="24"/>
      <c r="K18" s="15"/>
      <c r="L18" s="15"/>
      <c r="M18" s="15"/>
      <c r="N18" s="15"/>
      <c r="O18" s="15"/>
      <c r="P18" s="15"/>
      <c r="Q18" s="15"/>
    </row>
    <row r="19" ht="16.5" spans="1:17">
      <c r="A19" s="3" t="s">
        <v>954</v>
      </c>
      <c r="B19" s="3" t="s">
        <v>955</v>
      </c>
      <c r="C19" s="12" t="s">
        <v>879</v>
      </c>
      <c r="G19" s="18" t="s">
        <v>523</v>
      </c>
      <c r="H19" s="19" t="s">
        <v>956</v>
      </c>
      <c r="I19" s="14">
        <v>35</v>
      </c>
      <c r="J19" s="24" t="s">
        <v>957</v>
      </c>
      <c r="K19" s="15"/>
      <c r="L19" s="15"/>
      <c r="M19" s="15"/>
      <c r="N19" s="15"/>
      <c r="O19" s="15"/>
      <c r="P19" s="15"/>
      <c r="Q19" s="15"/>
    </row>
    <row r="20" ht="16.5" spans="1:17">
      <c r="A20" s="3" t="s">
        <v>958</v>
      </c>
      <c r="B20" s="3" t="s">
        <v>959</v>
      </c>
      <c r="C20" s="12" t="s">
        <v>879</v>
      </c>
      <c r="G20" s="18" t="s">
        <v>523</v>
      </c>
      <c r="H20" s="19" t="s">
        <v>960</v>
      </c>
      <c r="I20" s="14">
        <v>35</v>
      </c>
      <c r="J20" s="24" t="s">
        <v>957</v>
      </c>
      <c r="K20" s="15"/>
      <c r="L20" s="15"/>
      <c r="M20" s="15"/>
      <c r="N20" s="15"/>
      <c r="O20" s="15"/>
      <c r="P20" s="15"/>
      <c r="Q20" s="15"/>
    </row>
    <row r="21" ht="16.5" spans="1:17">
      <c r="G21" s="18" t="s">
        <v>523</v>
      </c>
      <c r="H21" s="19" t="s">
        <v>961</v>
      </c>
      <c r="I21" s="14">
        <v>35</v>
      </c>
      <c r="J21" s="24" t="s">
        <v>957</v>
      </c>
      <c r="K21" s="15"/>
      <c r="L21" s="15"/>
      <c r="M21" s="15"/>
      <c r="N21" s="15"/>
      <c r="O21" s="15"/>
      <c r="P21" s="15"/>
      <c r="Q21" s="15"/>
    </row>
    <row r="22" ht="16.5" spans="1:17">
      <c r="G22" s="18" t="s">
        <v>523</v>
      </c>
      <c r="H22" s="19" t="s">
        <v>962</v>
      </c>
      <c r="I22" s="14">
        <v>35</v>
      </c>
      <c r="J22" s="24" t="s">
        <v>957</v>
      </c>
      <c r="K22" s="15"/>
      <c r="L22" s="15"/>
      <c r="M22" s="15"/>
      <c r="N22" s="15"/>
      <c r="O22" s="15"/>
      <c r="P22" s="15"/>
      <c r="Q22" s="15"/>
    </row>
    <row r="23" ht="16.5" spans="1:17">
      <c r="G23" s="18" t="s">
        <v>523</v>
      </c>
      <c r="H23" s="19" t="s">
        <v>963</v>
      </c>
      <c r="I23" s="14">
        <v>35</v>
      </c>
      <c r="J23" s="24" t="s">
        <v>957</v>
      </c>
      <c r="K23" s="15"/>
      <c r="L23" s="15"/>
      <c r="M23" s="15"/>
      <c r="N23" s="15"/>
      <c r="O23" s="15"/>
      <c r="P23" s="15"/>
      <c r="Q23" s="15"/>
    </row>
    <row r="24" ht="16.5" spans="1:17">
      <c r="A24" s="3" t="s">
        <v>964</v>
      </c>
      <c r="B24" s="3" t="s">
        <v>965</v>
      </c>
      <c r="G24" s="18" t="s">
        <v>523</v>
      </c>
      <c r="H24" s="19" t="s">
        <v>966</v>
      </c>
      <c r="I24" s="14">
        <v>35</v>
      </c>
      <c r="J24" s="24" t="s">
        <v>957</v>
      </c>
      <c r="K24" s="15"/>
      <c r="L24" s="15"/>
      <c r="M24" s="15"/>
      <c r="N24" s="15"/>
      <c r="O24" s="15"/>
      <c r="P24" s="15"/>
      <c r="Q24" s="15"/>
    </row>
    <row r="25" spans="1:17">
      <c r="A25" s="3" t="s">
        <v>967</v>
      </c>
      <c r="B25" s="3" t="s">
        <v>968</v>
      </c>
    </row>
  </sheetData>
  <conditionalFormatting sqref="P2">
    <cfRule type="expression" dxfId="3" priority="25">
      <formula>AND($AE2="蓝色",$AF2="")</formula>
    </cfRule>
    <cfRule type="expression" dxfId="4" priority="24">
      <formula>AND($AE2="紫色",$AF2="")</formula>
    </cfRule>
    <cfRule type="expression" dxfId="5" priority="23">
      <formula>AND($AE2="橙色",$AF2="")</formula>
    </cfRule>
    <cfRule type="expression" dxfId="6" priority="22">
      <formula>AND($AE2="红色",$AF2="")</formula>
    </cfRule>
    <cfRule type="expression" dxfId="7" priority="21">
      <formula>AND($AE2="金色",$AF2="")</formula>
    </cfRule>
  </conditionalFormatting>
  <conditionalFormatting sqref="P3">
    <cfRule type="expression" dxfId="3" priority="10">
      <formula>AND($AE3="蓝色",$AF3="")</formula>
    </cfRule>
    <cfRule type="expression" dxfId="4" priority="9">
      <formula>AND($AE3="紫色",$AF3="")</formula>
    </cfRule>
    <cfRule type="expression" dxfId="5" priority="8">
      <formula>AND($AE3="橙色",$AF3="")</formula>
    </cfRule>
    <cfRule type="expression" dxfId="6" priority="7">
      <formula>AND($AE3="红色",$AF3="")</formula>
    </cfRule>
    <cfRule type="expression" dxfId="7" priority="6">
      <formula>AND($AE3="金色",$AF3="")</formula>
    </cfRule>
  </conditionalFormatting>
  <conditionalFormatting sqref="P15">
    <cfRule type="expression" dxfId="3" priority="35">
      <formula>AND($AE13="蓝色",#REF!="")</formula>
    </cfRule>
    <cfRule type="expression" dxfId="4" priority="34">
      <formula>AND($AE13="紫色",#REF!="")</formula>
    </cfRule>
    <cfRule type="expression" dxfId="5" priority="33">
      <formula>AND($AE13="橙色",#REF!="")</formula>
    </cfRule>
    <cfRule type="expression" dxfId="6" priority="32">
      <formula>AND($AE13="红色",#REF!="")</formula>
    </cfRule>
    <cfRule type="expression" dxfId="7" priority="31">
      <formula>AND($AE13="金色",#REF!="")</formula>
    </cfRule>
  </conditionalFormatting>
  <conditionalFormatting sqref="P16">
    <cfRule type="expression" dxfId="3" priority="15">
      <formula>AND($AE16="蓝色",$AF16="")</formula>
    </cfRule>
    <cfRule type="expression" dxfId="4" priority="14">
      <formula>AND($AE16="紫色",$AF16="")</formula>
    </cfRule>
    <cfRule type="expression" dxfId="5" priority="13">
      <formula>AND($AE16="橙色",$AF16="")</formula>
    </cfRule>
    <cfRule type="expression" dxfId="6" priority="12">
      <formula>AND($AE16="红色",$AF16="")</formula>
    </cfRule>
    <cfRule type="expression" dxfId="7" priority="11">
      <formula>AND($AE16="金色",$AF16="")</formula>
    </cfRule>
  </conditionalFormatting>
  <conditionalFormatting sqref="P17">
    <cfRule type="expression" dxfId="3" priority="20">
      <formula>AND($AE18="蓝色",$AF21="")</formula>
    </cfRule>
    <cfRule type="expression" dxfId="4" priority="19">
      <formula>AND($AE18="紫色",$AF21="")</formula>
    </cfRule>
    <cfRule type="expression" dxfId="5" priority="18">
      <formula>AND($AE18="橙色",$AF21="")</formula>
    </cfRule>
    <cfRule type="expression" dxfId="6" priority="17">
      <formula>AND($AE18="红色",$AF21="")</formula>
    </cfRule>
    <cfRule type="expression" dxfId="7" priority="16">
      <formula>AND($AE18="金色",$AF21="")</formula>
    </cfRule>
  </conditionalFormatting>
  <conditionalFormatting sqref="P4:P5">
    <cfRule type="expression" dxfId="3" priority="5">
      <formula>AND($AE4="蓝色",$AF4="")</formula>
    </cfRule>
    <cfRule type="expression" dxfId="4" priority="4">
      <formula>AND($AE4="紫色",$AF4="")</formula>
    </cfRule>
    <cfRule type="expression" dxfId="5" priority="3">
      <formula>AND($AE4="橙色",$AF4="")</formula>
    </cfRule>
    <cfRule type="expression" dxfId="6" priority="2">
      <formula>AND($AE4="红色",$AF4="")</formula>
    </cfRule>
    <cfRule type="expression" dxfId="7" priority="1">
      <formula>AND($AE4="金色",$AF4="")</formula>
    </cfRule>
  </conditionalFormatting>
  <conditionalFormatting sqref="P8:P14">
    <cfRule type="expression" dxfId="3" priority="40">
      <formula>AND($AE6="蓝色",$AF9="")</formula>
    </cfRule>
    <cfRule type="expression" dxfId="4" priority="39">
      <formula>AND($AE6="紫色",$AF9="")</formula>
    </cfRule>
    <cfRule type="expression" dxfId="5" priority="38">
      <formula>AND($AE6="橙色",$AF9="")</formula>
    </cfRule>
    <cfRule type="expression" dxfId="6" priority="37">
      <formula>AND($AE6="红色",$AF9="")</formula>
    </cfRule>
    <cfRule type="expression" dxfId="7" priority="36">
      <formula>AND($AE6="金色",$AF9="")</formula>
    </cfRule>
  </conditionalFormatting>
  <conditionalFormatting sqref="N2:O2 Q2 N4:O4 Q4 N5:O6 Q5:Q6 N7:O7 Q7 O8:O12 Q8:Q12 O13:O15 Q13:Q15 O16:O17 Q16:Q17">
    <cfRule type="expression" dxfId="3" priority="30">
      <formula>AND($M2="蓝色",#REF!="")</formula>
    </cfRule>
    <cfRule type="expression" dxfId="4" priority="29">
      <formula>AND($M2="紫色",#REF!="")</formula>
    </cfRule>
    <cfRule type="expression" dxfId="5" priority="28">
      <formula>AND($M2="橙色",#REF!="")</formula>
    </cfRule>
    <cfRule type="expression" dxfId="6" priority="27">
      <formula>AND($M2="红色",#REF!="")</formula>
    </cfRule>
    <cfRule type="expression" dxfId="7" priority="26">
      <formula>AND($M2="金色",#REF!="")</formula>
    </cfRule>
  </conditionalFormatting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"/>
  <sheetViews>
    <sheetView zoomScale="130" zoomScaleNormal="130" topLeftCell="A35" workbookViewId="0">
      <selection activeCell="B62" sqref="B62"/>
    </sheetView>
  </sheetViews>
  <sheetFormatPr defaultColWidth="9" defaultRowHeight="14.25" outlineLevelCol="2"/>
  <cols>
    <col min="1" max="1" width="24.5" style="3" customWidth="1"/>
    <col min="2" max="2" width="101" style="3" customWidth="1"/>
    <col min="3" max="16384" width="9" style="3"/>
  </cols>
  <sheetData>
    <row r="1" spans="1:3">
      <c r="A1" s="4" t="s">
        <v>969</v>
      </c>
      <c r="B1" s="4"/>
    </row>
    <row r="2" spans="1:3">
      <c r="A2" s="5" t="s">
        <v>970</v>
      </c>
      <c r="B2" s="4" t="s">
        <v>971</v>
      </c>
    </row>
    <row r="3" spans="1:3">
      <c r="A3" s="5" t="s">
        <v>972</v>
      </c>
      <c r="B3" s="4" t="s">
        <v>973</v>
      </c>
    </row>
    <row r="4" spans="1:3">
      <c r="A4" s="5" t="s">
        <v>974</v>
      </c>
      <c r="B4" s="4" t="s">
        <v>975</v>
      </c>
    </row>
    <row r="5" spans="1:3">
      <c r="A5" s="5" t="s">
        <v>976</v>
      </c>
      <c r="B5" s="4" t="s">
        <v>977</v>
      </c>
    </row>
    <row r="6" spans="1:3">
      <c r="A6" s="5" t="s">
        <v>978</v>
      </c>
      <c r="B6" s="4" t="s">
        <v>979</v>
      </c>
    </row>
    <row r="7" spans="1:3">
      <c r="A7" s="5" t="s">
        <v>980</v>
      </c>
      <c r="B7" s="4" t="s">
        <v>981</v>
      </c>
    </row>
    <row r="8" spans="1:3">
      <c r="A8" s="4" t="s">
        <v>982</v>
      </c>
      <c r="B8" s="4"/>
    </row>
    <row r="9" spans="1:3">
      <c r="A9" s="5" t="s">
        <v>970</v>
      </c>
      <c r="B9" s="4" t="s">
        <v>971</v>
      </c>
    </row>
    <row r="10" spans="1:3">
      <c r="A10" s="5" t="s">
        <v>972</v>
      </c>
      <c r="B10" s="4" t="s">
        <v>973</v>
      </c>
      <c r="C10" s="3">
        <v>5</v>
      </c>
    </row>
    <row r="11" spans="1:3">
      <c r="A11" s="5" t="s">
        <v>974</v>
      </c>
      <c r="B11" s="4" t="s">
        <v>975</v>
      </c>
    </row>
    <row r="12" spans="1:3">
      <c r="A12" s="5" t="s">
        <v>976</v>
      </c>
      <c r="B12" s="4" t="s">
        <v>977</v>
      </c>
    </row>
    <row r="13" spans="1:3">
      <c r="A13" s="5" t="s">
        <v>978</v>
      </c>
      <c r="B13" s="4" t="s">
        <v>983</v>
      </c>
    </row>
    <row r="14" spans="1:3">
      <c r="A14" s="5" t="s">
        <v>980</v>
      </c>
      <c r="B14" s="4" t="s">
        <v>984</v>
      </c>
    </row>
    <row r="15" spans="1:3">
      <c r="A15" s="5" t="s">
        <v>985</v>
      </c>
      <c r="B15" s="4" t="s">
        <v>981</v>
      </c>
    </row>
    <row r="16" spans="1:3">
      <c r="A16" s="6" t="s">
        <v>437</v>
      </c>
      <c r="B16" s="6"/>
    </row>
    <row r="17" spans="1:2">
      <c r="A17" s="7" t="s">
        <v>970</v>
      </c>
      <c r="B17" s="3" t="s">
        <v>986</v>
      </c>
    </row>
    <row r="18" spans="1:2">
      <c r="A18" s="7" t="s">
        <v>972</v>
      </c>
      <c r="B18" s="3" t="s">
        <v>987</v>
      </c>
    </row>
    <row r="19" spans="1:2">
      <c r="A19" s="7" t="s">
        <v>974</v>
      </c>
      <c r="B19" s="3" t="s">
        <v>988</v>
      </c>
    </row>
    <row r="20" spans="1:2">
      <c r="A20" s="7" t="s">
        <v>976</v>
      </c>
      <c r="B20" s="3" t="s">
        <v>989</v>
      </c>
    </row>
    <row r="21" spans="1:2">
      <c r="A21" s="7" t="s">
        <v>978</v>
      </c>
      <c r="B21" s="3" t="s">
        <v>990</v>
      </c>
    </row>
    <row r="22" spans="1:2">
      <c r="A22" s="7" t="s">
        <v>980</v>
      </c>
      <c r="B22" s="3" t="s">
        <v>991</v>
      </c>
    </row>
    <row r="23" spans="1:2">
      <c r="A23" s="7"/>
    </row>
    <row r="24" spans="1:2">
      <c r="A24" s="7" t="s">
        <v>992</v>
      </c>
      <c r="B24" s="3" t="s">
        <v>993</v>
      </c>
    </row>
    <row r="26" spans="1:2">
      <c r="A26" s="6" t="s">
        <v>617</v>
      </c>
      <c r="B26" s="6" t="s">
        <v>994</v>
      </c>
    </row>
    <row r="27" spans="1:2">
      <c r="A27" s="7" t="s">
        <v>970</v>
      </c>
      <c r="B27" s="3" t="s">
        <v>971</v>
      </c>
    </row>
    <row r="28" spans="1:2">
      <c r="A28" s="7" t="s">
        <v>972</v>
      </c>
      <c r="B28" s="8" t="s">
        <v>973</v>
      </c>
    </row>
    <row r="29" spans="1:2">
      <c r="A29" s="7" t="s">
        <v>974</v>
      </c>
      <c r="B29" s="8" t="s">
        <v>975</v>
      </c>
    </row>
    <row r="30" spans="1:2">
      <c r="A30" s="7" t="s">
        <v>976</v>
      </c>
      <c r="B30" s="8" t="s">
        <v>977</v>
      </c>
    </row>
    <row r="31" spans="1:2">
      <c r="A31" s="7" t="s">
        <v>978</v>
      </c>
      <c r="B31" s="3" t="s">
        <v>995</v>
      </c>
    </row>
    <row r="32" spans="1:2">
      <c r="A32" s="7" t="s">
        <v>980</v>
      </c>
      <c r="B32" s="3" t="s">
        <v>996</v>
      </c>
    </row>
    <row r="33" spans="1:2">
      <c r="A33" s="7" t="s">
        <v>985</v>
      </c>
      <c r="B33" s="3" t="s">
        <v>997</v>
      </c>
    </row>
    <row r="34" spans="1:2">
      <c r="A34" s="7" t="s">
        <v>998</v>
      </c>
      <c r="B34" s="3" t="s">
        <v>999</v>
      </c>
    </row>
    <row r="35" spans="1:2">
      <c r="A35" s="7" t="s">
        <v>1000</v>
      </c>
      <c r="B35" s="3" t="s">
        <v>1001</v>
      </c>
    </row>
    <row r="36" spans="1:2">
      <c r="A36" s="7" t="s">
        <v>1002</v>
      </c>
      <c r="B36" s="3" t="s">
        <v>1003</v>
      </c>
    </row>
    <row r="37" spans="1:2">
      <c r="A37" s="6" t="s">
        <v>603</v>
      </c>
      <c r="B37" s="6"/>
    </row>
    <row r="38" spans="1:2">
      <c r="A38" s="7" t="s">
        <v>970</v>
      </c>
      <c r="B38" s="3" t="s">
        <v>971</v>
      </c>
    </row>
    <row r="39" spans="1:2">
      <c r="A39" s="7" t="s">
        <v>972</v>
      </c>
      <c r="B39" s="8" t="s">
        <v>973</v>
      </c>
    </row>
    <row r="40" spans="1:2">
      <c r="A40" s="7" t="s">
        <v>974</v>
      </c>
      <c r="B40" s="8" t="s">
        <v>975</v>
      </c>
    </row>
    <row r="41" spans="1:2">
      <c r="A41" s="7" t="s">
        <v>976</v>
      </c>
      <c r="B41" s="8" t="s">
        <v>977</v>
      </c>
    </row>
    <row r="42" spans="1:2">
      <c r="A42" s="7" t="s">
        <v>978</v>
      </c>
      <c r="B42" s="3" t="s">
        <v>1004</v>
      </c>
    </row>
    <row r="43" spans="1:2">
      <c r="A43" s="7" t="s">
        <v>980</v>
      </c>
      <c r="B43" s="3" t="s">
        <v>996</v>
      </c>
    </row>
    <row r="44" spans="1:2">
      <c r="A44" s="7" t="s">
        <v>985</v>
      </c>
      <c r="B44" s="3" t="s">
        <v>997</v>
      </c>
    </row>
    <row r="45" spans="1:2">
      <c r="A45" s="7" t="s">
        <v>998</v>
      </c>
      <c r="B45" s="3" t="s">
        <v>999</v>
      </c>
    </row>
    <row r="46" spans="1:2">
      <c r="A46" s="7" t="s">
        <v>1000</v>
      </c>
      <c r="B46" s="9" t="s">
        <v>1005</v>
      </c>
    </row>
    <row r="47" spans="1:2">
      <c r="A47" s="7" t="s">
        <v>1002</v>
      </c>
      <c r="B47" s="3" t="s">
        <v>1006</v>
      </c>
    </row>
    <row r="48" spans="1:2">
      <c r="A48" s="7" t="s">
        <v>1007</v>
      </c>
      <c r="B48" s="3" t="s">
        <v>1008</v>
      </c>
    </row>
    <row r="49" spans="1:2">
      <c r="A49" s="7" t="s">
        <v>1009</v>
      </c>
      <c r="B49" s="3" t="s">
        <v>1003</v>
      </c>
    </row>
    <row r="50" spans="1:2">
      <c r="A50" s="6"/>
    </row>
    <row r="51" spans="1:2">
      <c r="A51" s="7"/>
    </row>
    <row r="52" spans="1:2">
      <c r="B52" s="3" t="s">
        <v>1010</v>
      </c>
    </row>
    <row r="53" spans="1:2">
      <c r="B53" s="3" t="s">
        <v>1011</v>
      </c>
    </row>
    <row r="54" spans="1:2">
      <c r="B54" s="3" t="s">
        <v>1012</v>
      </c>
    </row>
    <row r="55" spans="1:2">
      <c r="B55" s="3" t="s">
        <v>1013</v>
      </c>
    </row>
    <row r="56" spans="1:2">
      <c r="B56" s="3" t="s">
        <v>1014</v>
      </c>
    </row>
    <row r="57" spans="1:2">
      <c r="B57" s="3" t="s">
        <v>1015</v>
      </c>
    </row>
    <row r="58" spans="1:2">
      <c r="B58" s="3" t="s">
        <v>1016</v>
      </c>
    </row>
    <row r="59" spans="1:2">
      <c r="B59" s="9" t="s">
        <v>1017</v>
      </c>
    </row>
    <row r="60" spans="1:2">
      <c r="B60" s="9" t="s">
        <v>1018</v>
      </c>
    </row>
    <row r="77" ht="42.75" spans="2:2">
      <c r="B77" s="10" t="s">
        <v>1019</v>
      </c>
    </row>
  </sheetData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B9" sqref="B9"/>
    </sheetView>
  </sheetViews>
  <sheetFormatPr defaultColWidth="8.66666666666667" defaultRowHeight="14.25" outlineLevelCol="1"/>
  <cols>
    <col min="2" max="2" width="123.916666666667" customWidth="1"/>
  </cols>
  <sheetData>
    <row r="1" ht="16.5" spans="1:2">
      <c r="A1" s="1" t="s">
        <v>1020</v>
      </c>
      <c r="B1" s="1" t="s">
        <v>1021</v>
      </c>
    </row>
    <row r="2" ht="16.5" spans="1:2">
      <c r="A2" s="1" t="s">
        <v>1022</v>
      </c>
      <c r="B2" s="2" t="s">
        <v>1023</v>
      </c>
    </row>
    <row r="3" ht="16.5" spans="1:2">
      <c r="A3" s="1" t="s">
        <v>1024</v>
      </c>
      <c r="B3" t="s">
        <v>1025</v>
      </c>
    </row>
    <row r="4" ht="16.5" spans="1:2">
      <c r="A4" s="1" t="s">
        <v>1026</v>
      </c>
      <c r="B4" t="s">
        <v>1027</v>
      </c>
    </row>
    <row r="5" ht="16.5" spans="1:2">
      <c r="A5" s="1" t="s">
        <v>1028</v>
      </c>
      <c r="B5" t="s">
        <v>1029</v>
      </c>
    </row>
    <row r="6" ht="16.5" spans="1:2">
      <c r="A6" s="1" t="s">
        <v>1030</v>
      </c>
    </row>
    <row r="7" ht="16.5" spans="1:2">
      <c r="A7" s="1" t="s">
        <v>1031</v>
      </c>
      <c r="B7" t="s">
        <v>1032</v>
      </c>
    </row>
    <row r="8" ht="16.5" spans="1:2">
      <c r="A8" s="1" t="s">
        <v>1033</v>
      </c>
      <c r="B8" t="s">
        <v>1034</v>
      </c>
    </row>
    <row r="9" ht="16.5" spans="1:2">
      <c r="A9" s="1" t="s">
        <v>1035</v>
      </c>
    </row>
    <row r="10" ht="16.5" spans="1:2">
      <c r="A10" s="1" t="s">
        <v>1036</v>
      </c>
    </row>
    <row r="11" ht="16.5" spans="1:2">
      <c r="A11" s="1" t="s">
        <v>1037</v>
      </c>
    </row>
    <row r="12" ht="16.5" spans="1:2">
      <c r="A12" s="1" t="s">
        <v>1038</v>
      </c>
    </row>
    <row r="13" ht="16.5" spans="1:2">
      <c r="A13" s="1" t="s">
        <v>1039</v>
      </c>
    </row>
    <row r="14" ht="16.5" spans="1:2">
      <c r="A14" s="1" t="s">
        <v>1040</v>
      </c>
    </row>
    <row r="15" ht="16.5" spans="1:2">
      <c r="A15" s="1" t="s">
        <v>1041</v>
      </c>
    </row>
    <row r="16" ht="16.5" spans="1:2">
      <c r="A16" s="1" t="s">
        <v>1042</v>
      </c>
    </row>
    <row r="17" ht="16.5" spans="1:1">
      <c r="A17" s="1" t="s">
        <v>1043</v>
      </c>
    </row>
    <row r="18" ht="16.5" spans="1:1">
      <c r="A18" s="1" t="s">
        <v>1044</v>
      </c>
    </row>
    <row r="19" ht="16.5" spans="1:1">
      <c r="A19" s="1" t="s">
        <v>1045</v>
      </c>
    </row>
    <row r="20" ht="16.5" spans="1:1">
      <c r="A20" s="1" t="s">
        <v>1046</v>
      </c>
    </row>
    <row r="21" ht="16.5" spans="1:1">
      <c r="A21" s="1" t="s">
        <v>1047</v>
      </c>
    </row>
    <row r="22" ht="16.5" spans="1:1">
      <c r="A22" s="1" t="s">
        <v>1048</v>
      </c>
    </row>
    <row r="23" ht="16.5" spans="1:1">
      <c r="A23" s="1" t="s">
        <v>1049</v>
      </c>
    </row>
    <row r="24" ht="16.5" spans="1:1">
      <c r="A24" s="1" t="s">
        <v>1050</v>
      </c>
    </row>
    <row r="25" ht="16.5" spans="1:1">
      <c r="A25" s="1" t="s">
        <v>1051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drop_config</vt:lpstr>
      <vt:lpstr>编号表</vt:lpstr>
      <vt:lpstr>名称表</vt:lpstr>
      <vt:lpstr>字段说明</vt:lpstr>
      <vt:lpstr>掉落方式说明</vt:lpstr>
      <vt:lpstr>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czx</dc:creator>
  <cp:lastModifiedBy>thothSSQS</cp:lastModifiedBy>
  <dcterms:created xsi:type="dcterms:W3CDTF">1996-12-17T01:32:00Z</dcterms:created>
  <dcterms:modified xsi:type="dcterms:W3CDTF">2026-06-11T10:58:34Z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true</vt:bool>
  </property>
  <property fmtid="{D5CDD505-2E9C-101B-9397-08002B2CF9AE}" pid="4" name="ICV">
    <vt:lpwstr>84F155DE058443C98D4A4C5B274CBA8C_13</vt:lpwstr>
  </property>
  <property fmtid="{D5CDD505-2E9C-101B-9397-08002B2CF9AE}" pid="5" name="CalculationRule">
    <vt:i4>0</vt:i4>
  </property>
</Properties>
</file>