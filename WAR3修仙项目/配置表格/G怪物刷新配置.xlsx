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Works\War3\mortal-cultivation-war3\xlsx\"/>
    </mc:Choice>
  </mc:AlternateContent>
  <xr:revisionPtr revIDLastSave="0" documentId="13_ncr:1_{0705DDC3-6F1C-4601-A660-FA48A737FD5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pawn_config" sheetId="1" r:id="rId1"/>
    <sheet name="更新说明" sheetId="2" r:id="rId2"/>
    <sheet name="Sheet1" sheetId="3" r:id="rId3"/>
    <sheet name="编号表" sheetId="4" r:id="rId4"/>
  </sheets>
  <externalReferences>
    <externalReference r:id="rId5"/>
    <externalReference r:id="rId6"/>
  </externalReferences>
  <definedNames>
    <definedName name="_xlnm._FilterDatabase" localSheetId="0" hidden="1">spawn_config!$A$2:$Z$1361</definedName>
    <definedName name="怪物类型">[1]名称表!$A$3:$A$26</definedName>
    <definedName name="说明">[2]名称表!$A$3:$A$26</definedName>
    <definedName name="阵营">[1]名称表!$H$2:$H$9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63" i="1" l="1"/>
  <c r="B1363" i="1"/>
  <c r="E1362" i="1"/>
  <c r="B1362" i="1"/>
  <c r="E1361" i="1"/>
  <c r="B1361" i="1"/>
  <c r="E1360" i="1"/>
  <c r="B1360" i="1"/>
  <c r="E1359" i="1"/>
  <c r="B1359" i="1"/>
  <c r="E1358" i="1"/>
  <c r="B1358" i="1"/>
  <c r="E1357" i="1"/>
  <c r="B1357" i="1"/>
  <c r="E1356" i="1"/>
  <c r="B1356" i="1"/>
  <c r="E1355" i="1"/>
  <c r="B1355" i="1"/>
  <c r="E1354" i="1"/>
  <c r="B1354" i="1"/>
  <c r="E1353" i="1"/>
  <c r="B1353" i="1"/>
  <c r="E1352" i="1"/>
  <c r="B1352" i="1"/>
  <c r="E1351" i="1"/>
  <c r="B1351" i="1"/>
  <c r="E1350" i="1"/>
  <c r="B1350" i="1"/>
  <c r="E1349" i="1"/>
  <c r="B1349" i="1"/>
  <c r="E1348" i="1"/>
  <c r="B1348" i="1"/>
  <c r="E1347" i="1"/>
  <c r="B1347" i="1"/>
  <c r="E1346" i="1"/>
  <c r="B1346" i="1"/>
  <c r="E1345" i="1"/>
  <c r="B1345" i="1"/>
  <c r="E1344" i="1"/>
  <c r="B1344" i="1"/>
  <c r="E1343" i="1"/>
  <c r="B1343" i="1"/>
  <c r="E1342" i="1"/>
  <c r="B1342" i="1"/>
  <c r="E1341" i="1"/>
  <c r="B1341" i="1"/>
  <c r="E1340" i="1"/>
  <c r="B1340" i="1"/>
  <c r="E1339" i="1"/>
  <c r="B1339" i="1"/>
  <c r="E1338" i="1"/>
  <c r="B1338" i="1"/>
  <c r="E1337" i="1"/>
  <c r="B1337" i="1"/>
  <c r="E1336" i="1"/>
  <c r="B1336" i="1"/>
  <c r="E1335" i="1"/>
  <c r="B1335" i="1"/>
  <c r="E1334" i="1"/>
  <c r="B1334" i="1"/>
  <c r="B1333" i="1"/>
  <c r="B1332" i="1"/>
  <c r="B1331" i="1"/>
  <c r="B1330" i="1"/>
  <c r="E1329" i="1"/>
  <c r="B1329" i="1"/>
  <c r="E1328" i="1"/>
  <c r="B1328" i="1"/>
  <c r="E1327" i="1"/>
  <c r="B1327" i="1"/>
  <c r="E1326" i="1"/>
  <c r="B1326" i="1"/>
  <c r="E1325" i="1"/>
  <c r="B1325" i="1"/>
  <c r="E1324" i="1"/>
  <c r="B1324" i="1"/>
  <c r="E1323" i="1"/>
  <c r="B1323" i="1"/>
  <c r="E1322" i="1"/>
  <c r="B1322" i="1"/>
  <c r="E1321" i="1"/>
  <c r="B1321" i="1"/>
  <c r="E1320" i="1"/>
  <c r="B1320" i="1"/>
  <c r="E1319" i="1"/>
  <c r="B1319" i="1"/>
  <c r="E1318" i="1"/>
  <c r="B1318" i="1"/>
  <c r="E1317" i="1"/>
  <c r="B1317" i="1"/>
  <c r="E1316" i="1"/>
  <c r="B1316" i="1"/>
  <c r="E1315" i="1"/>
  <c r="B1315" i="1"/>
  <c r="E1314" i="1"/>
  <c r="B1314" i="1"/>
  <c r="E1313" i="1"/>
  <c r="B1313" i="1"/>
  <c r="E1312" i="1"/>
  <c r="B1312" i="1"/>
  <c r="E1311" i="1"/>
  <c r="B1311" i="1"/>
  <c r="E1310" i="1"/>
  <c r="B1310" i="1"/>
  <c r="E1309" i="1"/>
  <c r="B1309" i="1"/>
  <c r="E1308" i="1"/>
  <c r="B1308" i="1"/>
  <c r="E1307" i="1"/>
  <c r="B1307" i="1"/>
  <c r="E1306" i="1"/>
  <c r="B1306" i="1"/>
  <c r="E1305" i="1"/>
  <c r="B1305" i="1"/>
  <c r="E1304" i="1"/>
  <c r="B1304" i="1"/>
  <c r="E1303" i="1"/>
  <c r="B1303" i="1" s="1"/>
  <c r="E1302" i="1"/>
  <c r="B1302" i="1"/>
  <c r="E1301" i="1"/>
  <c r="B1301" i="1"/>
  <c r="E1300" i="1"/>
  <c r="B1300" i="1"/>
  <c r="B1299" i="1"/>
  <c r="B1298" i="1"/>
  <c r="B1297" i="1"/>
  <c r="E1296" i="1"/>
  <c r="B1296" i="1"/>
  <c r="E1295" i="1"/>
  <c r="B1295" i="1"/>
  <c r="E1294" i="1"/>
  <c r="B1294" i="1"/>
  <c r="E1293" i="1"/>
  <c r="B1293" i="1" s="1"/>
  <c r="E1292" i="1"/>
  <c r="B1292" i="1"/>
  <c r="E1291" i="1"/>
  <c r="B1291" i="1"/>
  <c r="E1290" i="1"/>
  <c r="B1290" i="1"/>
  <c r="E1289" i="1"/>
  <c r="B1289" i="1"/>
  <c r="E1288" i="1"/>
  <c r="B1288" i="1"/>
  <c r="E1287" i="1"/>
  <c r="B1287" i="1"/>
  <c r="E1286" i="1"/>
  <c r="B1286" i="1"/>
  <c r="E1285" i="1"/>
  <c r="B1285" i="1"/>
  <c r="E1284" i="1"/>
  <c r="B1284" i="1"/>
  <c r="E1283" i="1"/>
  <c r="B1283" i="1"/>
  <c r="E1282" i="1"/>
  <c r="B1282" i="1" s="1"/>
  <c r="E1281" i="1"/>
  <c r="B1281" i="1"/>
  <c r="E1280" i="1"/>
  <c r="B1280" i="1"/>
  <c r="E1279" i="1"/>
  <c r="B1279" i="1"/>
  <c r="E1278" i="1"/>
  <c r="B1278" i="1"/>
  <c r="E1277" i="1"/>
  <c r="B1277" i="1"/>
  <c r="E1276" i="1"/>
  <c r="B1276" i="1"/>
  <c r="E1275" i="1"/>
  <c r="B1275" i="1"/>
  <c r="E1274" i="1"/>
  <c r="B1274" i="1"/>
  <c r="E1273" i="1"/>
  <c r="B1273" i="1"/>
  <c r="E1272" i="1"/>
  <c r="B1272" i="1"/>
  <c r="E1271" i="1"/>
  <c r="B1271" i="1"/>
  <c r="E1270" i="1"/>
  <c r="B1270" i="1"/>
  <c r="E1269" i="1"/>
  <c r="B1269" i="1"/>
  <c r="E1268" i="1"/>
  <c r="B1268" i="1"/>
  <c r="E1267" i="1"/>
  <c r="B1267" i="1"/>
  <c r="E1266" i="1"/>
  <c r="B1266" i="1"/>
  <c r="E1265" i="1"/>
  <c r="B1265" i="1"/>
  <c r="E1264" i="1"/>
  <c r="B1264" i="1"/>
  <c r="E1263" i="1"/>
  <c r="B1263" i="1"/>
  <c r="E1262" i="1"/>
  <c r="B1262" i="1"/>
  <c r="E1261" i="1"/>
  <c r="B1261" i="1"/>
  <c r="B1260" i="1"/>
  <c r="B1259" i="1"/>
  <c r="B1258" i="1"/>
  <c r="E1257" i="1"/>
  <c r="B1257" i="1"/>
  <c r="E1256" i="1"/>
  <c r="B1256" i="1"/>
  <c r="E1255" i="1"/>
  <c r="B1255" i="1"/>
  <c r="E1254" i="1"/>
  <c r="B1254" i="1"/>
  <c r="E1253" i="1"/>
  <c r="B1253" i="1"/>
  <c r="E1252" i="1"/>
  <c r="B1252" i="1"/>
  <c r="E1251" i="1"/>
  <c r="B1251" i="1"/>
  <c r="E1250" i="1"/>
  <c r="B1250" i="1"/>
  <c r="E1249" i="1"/>
  <c r="B1249" i="1"/>
  <c r="E1248" i="1"/>
  <c r="B1248" i="1"/>
  <c r="E1247" i="1"/>
  <c r="B1247" i="1"/>
  <c r="E1246" i="1"/>
  <c r="B1246" i="1"/>
  <c r="E1245" i="1"/>
  <c r="B1245" i="1"/>
  <c r="E1244" i="1"/>
  <c r="B1244" i="1"/>
  <c r="E1243" i="1"/>
  <c r="B1243" i="1"/>
  <c r="E1242" i="1"/>
  <c r="B1242" i="1"/>
  <c r="E1241" i="1"/>
  <c r="B1241" i="1"/>
  <c r="E1240" i="1"/>
  <c r="B1240" i="1"/>
  <c r="E1239" i="1"/>
  <c r="B1239" i="1"/>
  <c r="E1238" i="1"/>
  <c r="B1238" i="1"/>
  <c r="E1237" i="1"/>
  <c r="B1237" i="1"/>
  <c r="E1236" i="1"/>
  <c r="B1236" i="1"/>
  <c r="E1235" i="1"/>
  <c r="B1235" i="1"/>
  <c r="E1234" i="1"/>
  <c r="B1234" i="1"/>
  <c r="E1233" i="1"/>
  <c r="B1233" i="1"/>
  <c r="E1232" i="1"/>
  <c r="B1232" i="1"/>
  <c r="E1231" i="1"/>
  <c r="B1231" i="1"/>
  <c r="E1230" i="1"/>
  <c r="B1230" i="1"/>
  <c r="E1229" i="1"/>
  <c r="B1229" i="1"/>
  <c r="E1228" i="1"/>
  <c r="B1228" i="1"/>
  <c r="B1227" i="1"/>
  <c r="B1226" i="1"/>
  <c r="E1225" i="1"/>
  <c r="B1225" i="1"/>
  <c r="E1224" i="1"/>
  <c r="B1224" i="1"/>
  <c r="E1223" i="1"/>
  <c r="B1223" i="1"/>
  <c r="E1222" i="1"/>
  <c r="B1222" i="1"/>
  <c r="E1221" i="1"/>
  <c r="B1221" i="1"/>
  <c r="E1220" i="1"/>
  <c r="B1220" i="1"/>
  <c r="E1219" i="1"/>
  <c r="B1219" i="1"/>
  <c r="E1218" i="1"/>
  <c r="B1218" i="1"/>
  <c r="E1217" i="1"/>
  <c r="B1217" i="1"/>
  <c r="E1216" i="1"/>
  <c r="B1216" i="1"/>
  <c r="E1215" i="1"/>
  <c r="B1215" i="1"/>
  <c r="E1214" i="1"/>
  <c r="B1214" i="1"/>
  <c r="E1213" i="1"/>
  <c r="B1213" i="1"/>
  <c r="E1212" i="1"/>
  <c r="B1212" i="1"/>
  <c r="E1211" i="1"/>
  <c r="B1211" i="1"/>
  <c r="E1210" i="1"/>
  <c r="B1210" i="1"/>
  <c r="E1209" i="1"/>
  <c r="B1209" i="1"/>
  <c r="E1208" i="1"/>
  <c r="B1208" i="1"/>
  <c r="E1207" i="1"/>
  <c r="B1207" i="1"/>
  <c r="E1206" i="1"/>
  <c r="B1206" i="1"/>
  <c r="E1205" i="1"/>
  <c r="B1205" i="1"/>
  <c r="E1204" i="1"/>
  <c r="B1204" i="1"/>
  <c r="E1203" i="1"/>
  <c r="B1203" i="1"/>
  <c r="E1202" i="1"/>
  <c r="B1202" i="1"/>
  <c r="E1201" i="1"/>
  <c r="B1201" i="1"/>
  <c r="E1200" i="1"/>
  <c r="B1200" i="1"/>
  <c r="E1199" i="1"/>
  <c r="B1199" i="1"/>
  <c r="E1198" i="1"/>
  <c r="B1198" i="1"/>
  <c r="E1197" i="1"/>
  <c r="B1197" i="1"/>
  <c r="E1196" i="1"/>
  <c r="B1196" i="1"/>
  <c r="B1195" i="1"/>
  <c r="B1194" i="1"/>
  <c r="E1193" i="1"/>
  <c r="B1193" i="1"/>
  <c r="E1192" i="1"/>
  <c r="B1192" i="1"/>
  <c r="E1191" i="1"/>
  <c r="B1191" i="1"/>
  <c r="E1190" i="1"/>
  <c r="B1190" i="1"/>
  <c r="E1189" i="1"/>
  <c r="B1189" i="1"/>
  <c r="E1188" i="1"/>
  <c r="B1188" i="1"/>
  <c r="E1187" i="1"/>
  <c r="B1187" i="1"/>
  <c r="E1186" i="1"/>
  <c r="B1186" i="1"/>
  <c r="E1185" i="1"/>
  <c r="B1185" i="1"/>
  <c r="E1184" i="1"/>
  <c r="B1184" i="1"/>
  <c r="E1183" i="1"/>
  <c r="B1183" i="1"/>
  <c r="E1182" i="1"/>
  <c r="B1182" i="1"/>
  <c r="E1181" i="1"/>
  <c r="B1181" i="1"/>
  <c r="E1180" i="1"/>
  <c r="B1180" i="1"/>
  <c r="E1179" i="1"/>
  <c r="B1179" i="1"/>
  <c r="E1178" i="1"/>
  <c r="B1178" i="1"/>
  <c r="E1177" i="1"/>
  <c r="B1177" i="1"/>
  <c r="E1176" i="1"/>
  <c r="B1176" i="1"/>
  <c r="E1175" i="1"/>
  <c r="B1175" i="1"/>
  <c r="E1174" i="1"/>
  <c r="B1174" i="1"/>
  <c r="E1173" i="1"/>
  <c r="B1173" i="1"/>
  <c r="E1172" i="1"/>
  <c r="B1172" i="1"/>
  <c r="E1171" i="1"/>
  <c r="B1171" i="1"/>
  <c r="E1170" i="1"/>
  <c r="B1170" i="1"/>
  <c r="E1169" i="1"/>
  <c r="B1169" i="1"/>
  <c r="E1168" i="1"/>
  <c r="B1168" i="1"/>
  <c r="E1167" i="1"/>
  <c r="B1167" i="1"/>
  <c r="E1166" i="1"/>
  <c r="B1166" i="1"/>
  <c r="E1165" i="1"/>
  <c r="B1165" i="1"/>
  <c r="E1164" i="1"/>
  <c r="B1164" i="1"/>
  <c r="B1163" i="1"/>
  <c r="B1162" i="1"/>
  <c r="E1161" i="1"/>
  <c r="B1161" i="1"/>
  <c r="E1160" i="1"/>
  <c r="B1160" i="1"/>
  <c r="E1159" i="1"/>
  <c r="B1159" i="1"/>
  <c r="E1158" i="1"/>
  <c r="B1158" i="1"/>
  <c r="E1157" i="1"/>
  <c r="B1157" i="1"/>
  <c r="E1156" i="1"/>
  <c r="B1156" i="1"/>
  <c r="E1155" i="1"/>
  <c r="B1155" i="1"/>
  <c r="E1154" i="1"/>
  <c r="B1154" i="1"/>
  <c r="E1153" i="1"/>
  <c r="B1153" i="1"/>
  <c r="E1152" i="1"/>
  <c r="B1152" i="1"/>
  <c r="E1151" i="1"/>
  <c r="B1151" i="1"/>
  <c r="E1150" i="1"/>
  <c r="B1150" i="1"/>
  <c r="E1149" i="1"/>
  <c r="B1149" i="1"/>
  <c r="E1148" i="1"/>
  <c r="B1148" i="1"/>
  <c r="E1147" i="1"/>
  <c r="B1147" i="1"/>
  <c r="E1146" i="1"/>
  <c r="B1146" i="1"/>
  <c r="E1145" i="1"/>
  <c r="B1145" i="1"/>
  <c r="E1144" i="1"/>
  <c r="B1144" i="1"/>
  <c r="E1143" i="1"/>
  <c r="B1143" i="1"/>
  <c r="E1142" i="1"/>
  <c r="B1142" i="1"/>
  <c r="E1141" i="1"/>
  <c r="B1141" i="1"/>
  <c r="E1140" i="1"/>
  <c r="B1140" i="1"/>
  <c r="E1139" i="1"/>
  <c r="B1139" i="1"/>
  <c r="E1138" i="1"/>
  <c r="B1138" i="1"/>
  <c r="E1137" i="1"/>
  <c r="B1137" i="1"/>
  <c r="E1136" i="1"/>
  <c r="B1136" i="1"/>
  <c r="E1135" i="1"/>
  <c r="B1135" i="1"/>
  <c r="E1134" i="1"/>
  <c r="B1134" i="1"/>
  <c r="E1133" i="1"/>
  <c r="B1133" i="1"/>
  <c r="E1132" i="1"/>
  <c r="B1132" i="1"/>
  <c r="B1131" i="1"/>
  <c r="B1130" i="1"/>
  <c r="E1129" i="1"/>
  <c r="B1129" i="1"/>
  <c r="E1128" i="1"/>
  <c r="B1128" i="1"/>
  <c r="E1127" i="1"/>
  <c r="B1127" i="1"/>
  <c r="E1126" i="1"/>
  <c r="B1126" i="1"/>
  <c r="E1125" i="1"/>
  <c r="B1125" i="1"/>
  <c r="E1124" i="1"/>
  <c r="B1124" i="1"/>
  <c r="E1123" i="1"/>
  <c r="B1123" i="1"/>
  <c r="E1122" i="1"/>
  <c r="B1122" i="1"/>
  <c r="E1121" i="1"/>
  <c r="B1121" i="1"/>
  <c r="E1120" i="1"/>
  <c r="B1120" i="1" s="1"/>
  <c r="E1119" i="1"/>
  <c r="B1119" i="1"/>
  <c r="E1118" i="1"/>
  <c r="B1118" i="1"/>
  <c r="E1117" i="1"/>
  <c r="B1117" i="1"/>
  <c r="E1116" i="1"/>
  <c r="B1116" i="1"/>
  <c r="E1115" i="1"/>
  <c r="B1115" i="1"/>
  <c r="E1114" i="1"/>
  <c r="B1114" i="1"/>
  <c r="E1113" i="1"/>
  <c r="B1113" i="1"/>
  <c r="E1112" i="1"/>
  <c r="B1112" i="1"/>
  <c r="E1111" i="1"/>
  <c r="B1111" i="1"/>
  <c r="E1110" i="1"/>
  <c r="B1110" i="1"/>
  <c r="E1109" i="1"/>
  <c r="B1109" i="1"/>
  <c r="E1108" i="1"/>
  <c r="B1108" i="1"/>
  <c r="E1107" i="1"/>
  <c r="B1107" i="1"/>
  <c r="E1106" i="1"/>
  <c r="B1106" i="1"/>
  <c r="E1105" i="1"/>
  <c r="B1105" i="1"/>
  <c r="E1104" i="1"/>
  <c r="B1104" i="1"/>
  <c r="E1103" i="1"/>
  <c r="B1103" i="1"/>
  <c r="E1102" i="1"/>
  <c r="B1102" i="1"/>
  <c r="E1101" i="1"/>
  <c r="B1101" i="1"/>
  <c r="E1100" i="1"/>
  <c r="B1100" i="1"/>
  <c r="E1099" i="1"/>
  <c r="B1099" i="1"/>
  <c r="E1098" i="1"/>
  <c r="B1098" i="1"/>
  <c r="E1097" i="1"/>
  <c r="B1097" i="1"/>
  <c r="E1096" i="1"/>
  <c r="B1096" i="1"/>
  <c r="E1095" i="1"/>
  <c r="B1095" i="1"/>
  <c r="E1094" i="1"/>
  <c r="B1094" i="1"/>
  <c r="B1093" i="1"/>
  <c r="B1092" i="1"/>
  <c r="B1091" i="1"/>
  <c r="E1090" i="1"/>
  <c r="B1090" i="1"/>
  <c r="E1089" i="1"/>
  <c r="B1089" i="1"/>
  <c r="E1088" i="1"/>
  <c r="B1088" i="1"/>
  <c r="E1087" i="1"/>
  <c r="B1087" i="1"/>
  <c r="E1086" i="1"/>
  <c r="B1086" i="1"/>
  <c r="E1085" i="1"/>
  <c r="B1085" i="1"/>
  <c r="E1084" i="1"/>
  <c r="B1084" i="1"/>
  <c r="E1083" i="1"/>
  <c r="B1083" i="1"/>
  <c r="E1082" i="1"/>
  <c r="B1082" i="1"/>
  <c r="E1081" i="1"/>
  <c r="B1081" i="1"/>
  <c r="E1080" i="1"/>
  <c r="B1080" i="1"/>
  <c r="E1079" i="1"/>
  <c r="B1079" i="1"/>
  <c r="E1078" i="1"/>
  <c r="B1078" i="1"/>
  <c r="E1077" i="1"/>
  <c r="B1077" i="1"/>
  <c r="E1076" i="1"/>
  <c r="B1076" i="1"/>
  <c r="E1075" i="1"/>
  <c r="B1075" i="1"/>
  <c r="E1074" i="1"/>
  <c r="B1074" i="1"/>
  <c r="E1073" i="1"/>
  <c r="B1073" i="1"/>
  <c r="E1072" i="1"/>
  <c r="B1072" i="1"/>
  <c r="E1071" i="1"/>
  <c r="B1071" i="1"/>
  <c r="E1070" i="1"/>
  <c r="B1070" i="1"/>
  <c r="E1069" i="1"/>
  <c r="B1069" i="1"/>
  <c r="E1068" i="1"/>
  <c r="B1068" i="1"/>
  <c r="E1067" i="1"/>
  <c r="B1067" i="1"/>
  <c r="E1066" i="1"/>
  <c r="B1066" i="1"/>
  <c r="E1065" i="1"/>
  <c r="B1065" i="1"/>
  <c r="E1064" i="1"/>
  <c r="B1064" i="1"/>
  <c r="E1063" i="1"/>
  <c r="B1063" i="1"/>
  <c r="E1062" i="1"/>
  <c r="B1062" i="1"/>
  <c r="E1061" i="1"/>
  <c r="B1061" i="1"/>
  <c r="E1060" i="1"/>
  <c r="B1060" i="1"/>
  <c r="E1059" i="1"/>
  <c r="B1059" i="1"/>
  <c r="E1058" i="1"/>
  <c r="B1058" i="1"/>
  <c r="E1057" i="1"/>
  <c r="B1057" i="1"/>
  <c r="E1056" i="1"/>
  <c r="B1056" i="1"/>
  <c r="E1055" i="1"/>
  <c r="B1055" i="1"/>
  <c r="B1054" i="1"/>
  <c r="B1053" i="1"/>
  <c r="B1052" i="1"/>
  <c r="E1051" i="1"/>
  <c r="B1051" i="1"/>
  <c r="E1050" i="1"/>
  <c r="B1050" i="1"/>
  <c r="E1049" i="1"/>
  <c r="B1049" i="1"/>
  <c r="E1048" i="1"/>
  <c r="B1048" i="1"/>
  <c r="E1047" i="1"/>
  <c r="B1047" i="1"/>
  <c r="E1046" i="1"/>
  <c r="B1046" i="1"/>
  <c r="E1045" i="1"/>
  <c r="B1045" i="1"/>
  <c r="E1044" i="1"/>
  <c r="B1044" i="1"/>
  <c r="E1043" i="1"/>
  <c r="B1043" i="1"/>
  <c r="E1042" i="1"/>
  <c r="B1042" i="1"/>
  <c r="E1041" i="1"/>
  <c r="B1041" i="1"/>
  <c r="E1040" i="1"/>
  <c r="B1040" i="1"/>
  <c r="E1039" i="1"/>
  <c r="B1039" i="1" s="1"/>
  <c r="E1038" i="1"/>
  <c r="B1038" i="1"/>
  <c r="E1037" i="1"/>
  <c r="B1037" i="1"/>
  <c r="E1036" i="1"/>
  <c r="B1036" i="1"/>
  <c r="E1035" i="1"/>
  <c r="B1035" i="1"/>
  <c r="E1034" i="1"/>
  <c r="B1034" i="1"/>
  <c r="E1033" i="1"/>
  <c r="B1033" i="1"/>
  <c r="E1032" i="1"/>
  <c r="B1032" i="1"/>
  <c r="E1031" i="1"/>
  <c r="B1031" i="1"/>
  <c r="E1030" i="1"/>
  <c r="B1030" i="1"/>
  <c r="E1029" i="1"/>
  <c r="B1029" i="1"/>
  <c r="E1028" i="1"/>
  <c r="B1028" i="1"/>
  <c r="E1027" i="1"/>
  <c r="B1027" i="1"/>
  <c r="E1026" i="1"/>
  <c r="B1026" i="1"/>
  <c r="E1025" i="1"/>
  <c r="B1025" i="1"/>
  <c r="E1024" i="1"/>
  <c r="B1024" i="1"/>
  <c r="E1023" i="1"/>
  <c r="B1023" i="1"/>
  <c r="E1022" i="1"/>
  <c r="B1022" i="1"/>
  <c r="B1021" i="1"/>
  <c r="B1020" i="1"/>
  <c r="E1019" i="1"/>
  <c r="B1019" i="1"/>
  <c r="E1018" i="1"/>
  <c r="B1018" i="1"/>
  <c r="E1017" i="1"/>
  <c r="B1017" i="1"/>
  <c r="E1016" i="1"/>
  <c r="B1016" i="1"/>
  <c r="E1015" i="1"/>
  <c r="B1015" i="1"/>
  <c r="E1014" i="1"/>
  <c r="B1014" i="1"/>
  <c r="E1013" i="1"/>
  <c r="B1013" i="1"/>
  <c r="E1012" i="1"/>
  <c r="B1012" i="1"/>
  <c r="E1011" i="1"/>
  <c r="B1011" i="1"/>
  <c r="E1010" i="1"/>
  <c r="B1010" i="1"/>
  <c r="E1009" i="1"/>
  <c r="B1009" i="1"/>
  <c r="E1008" i="1"/>
  <c r="B1008" i="1"/>
  <c r="E1007" i="1"/>
  <c r="B1007" i="1"/>
  <c r="E1006" i="1"/>
  <c r="B1006" i="1"/>
  <c r="E1005" i="1"/>
  <c r="B1005" i="1"/>
  <c r="E1004" i="1"/>
  <c r="B1004" i="1"/>
  <c r="E1003" i="1"/>
  <c r="B1003" i="1"/>
  <c r="E1002" i="1"/>
  <c r="B1002" i="1"/>
  <c r="E1001" i="1"/>
  <c r="B1001" i="1"/>
  <c r="E1000" i="1"/>
  <c r="B1000" i="1"/>
  <c r="E999" i="1"/>
  <c r="B999" i="1"/>
  <c r="E998" i="1"/>
  <c r="B998" i="1"/>
  <c r="E997" i="1"/>
  <c r="B997" i="1"/>
  <c r="E996" i="1"/>
  <c r="B996" i="1"/>
  <c r="B995" i="1"/>
  <c r="B994" i="1"/>
  <c r="E993" i="1"/>
  <c r="B993" i="1"/>
  <c r="E992" i="1"/>
  <c r="B992" i="1"/>
  <c r="E991" i="1"/>
  <c r="B991" i="1"/>
  <c r="E990" i="1"/>
  <c r="B990" i="1"/>
  <c r="E989" i="1"/>
  <c r="B989" i="1"/>
  <c r="E988" i="1"/>
  <c r="B988" i="1"/>
  <c r="E987" i="1"/>
  <c r="B987" i="1"/>
  <c r="E986" i="1"/>
  <c r="B986" i="1"/>
  <c r="E985" i="1"/>
  <c r="B985" i="1"/>
  <c r="E984" i="1"/>
  <c r="B984" i="1"/>
  <c r="E983" i="1"/>
  <c r="B983" i="1"/>
  <c r="E982" i="1"/>
  <c r="B982" i="1"/>
  <c r="E981" i="1"/>
  <c r="B981" i="1"/>
  <c r="E980" i="1"/>
  <c r="B980" i="1"/>
  <c r="E979" i="1"/>
  <c r="B979" i="1"/>
  <c r="E978" i="1"/>
  <c r="B978" i="1"/>
  <c r="E977" i="1"/>
  <c r="B977" i="1"/>
  <c r="E976" i="1"/>
  <c r="B976" i="1"/>
  <c r="E975" i="1"/>
  <c r="B975" i="1"/>
  <c r="E974" i="1"/>
  <c r="B974" i="1"/>
  <c r="E973" i="1"/>
  <c r="B973" i="1"/>
  <c r="E972" i="1"/>
  <c r="B972" i="1"/>
  <c r="E971" i="1"/>
  <c r="B971" i="1"/>
  <c r="E970" i="1"/>
  <c r="B970" i="1"/>
  <c r="B969" i="1"/>
  <c r="B968" i="1"/>
  <c r="E967" i="1"/>
  <c r="B967" i="1"/>
  <c r="E966" i="1"/>
  <c r="B966" i="1"/>
  <c r="E965" i="1"/>
  <c r="B965" i="1"/>
  <c r="E964" i="1"/>
  <c r="B964" i="1"/>
  <c r="E963" i="1"/>
  <c r="B963" i="1"/>
  <c r="E962" i="1"/>
  <c r="B962" i="1"/>
  <c r="E961" i="1"/>
  <c r="B961" i="1"/>
  <c r="E960" i="1"/>
  <c r="B960" i="1"/>
  <c r="E959" i="1"/>
  <c r="B959" i="1"/>
  <c r="E958" i="1"/>
  <c r="B958" i="1"/>
  <c r="E957" i="1"/>
  <c r="B957" i="1"/>
  <c r="E956" i="1"/>
  <c r="B956" i="1"/>
  <c r="B955" i="1"/>
  <c r="B954" i="1"/>
  <c r="E953" i="1"/>
  <c r="B953" i="1" s="1"/>
  <c r="E952" i="1"/>
  <c r="B952" i="1"/>
  <c r="E951" i="1"/>
  <c r="B951" i="1"/>
  <c r="E950" i="1"/>
  <c r="B950" i="1"/>
  <c r="E949" i="1"/>
  <c r="B949" i="1"/>
  <c r="E948" i="1"/>
  <c r="B948" i="1"/>
  <c r="E947" i="1"/>
  <c r="B947" i="1"/>
  <c r="E946" i="1"/>
  <c r="B946" i="1"/>
  <c r="E945" i="1"/>
  <c r="B945" i="1"/>
  <c r="E944" i="1"/>
  <c r="B944" i="1"/>
  <c r="E943" i="1"/>
  <c r="B943" i="1"/>
  <c r="E942" i="1"/>
  <c r="B942" i="1"/>
  <c r="B941" i="1"/>
  <c r="B940" i="1"/>
  <c r="E939" i="1"/>
  <c r="B939" i="1"/>
  <c r="E938" i="1"/>
  <c r="B938" i="1"/>
  <c r="E937" i="1"/>
  <c r="B937" i="1"/>
  <c r="E936" i="1"/>
  <c r="B936" i="1"/>
  <c r="E935" i="1"/>
  <c r="B935" i="1"/>
  <c r="E934" i="1"/>
  <c r="B934" i="1"/>
  <c r="E933" i="1"/>
  <c r="B933" i="1"/>
  <c r="E932" i="1"/>
  <c r="B932" i="1"/>
  <c r="E931" i="1"/>
  <c r="B931" i="1"/>
  <c r="E930" i="1"/>
  <c r="B930" i="1"/>
  <c r="E929" i="1"/>
  <c r="B929" i="1"/>
  <c r="E928" i="1"/>
  <c r="B928" i="1" s="1"/>
  <c r="E927" i="1"/>
  <c r="B927" i="1"/>
  <c r="E926" i="1"/>
  <c r="B926" i="1"/>
  <c r="E925" i="1"/>
  <c r="B925" i="1"/>
  <c r="E924" i="1"/>
  <c r="B924" i="1"/>
  <c r="E923" i="1"/>
  <c r="B923" i="1"/>
  <c r="E922" i="1"/>
  <c r="B922" i="1"/>
  <c r="E921" i="1"/>
  <c r="B921" i="1"/>
  <c r="E920" i="1"/>
  <c r="B920" i="1"/>
  <c r="E919" i="1"/>
  <c r="B919" i="1"/>
  <c r="E918" i="1"/>
  <c r="B918" i="1"/>
  <c r="E917" i="1"/>
  <c r="B917" i="1"/>
  <c r="E916" i="1"/>
  <c r="B916" i="1"/>
  <c r="E915" i="1"/>
  <c r="B915" i="1"/>
  <c r="E914" i="1"/>
  <c r="B914" i="1"/>
  <c r="E913" i="1"/>
  <c r="B913" i="1"/>
  <c r="E912" i="1"/>
  <c r="B912" i="1"/>
  <c r="E911" i="1"/>
  <c r="B911" i="1"/>
  <c r="E910" i="1"/>
  <c r="B910" i="1"/>
  <c r="E909" i="1"/>
  <c r="B909" i="1"/>
  <c r="E908" i="1"/>
  <c r="B908" i="1"/>
  <c r="E907" i="1"/>
  <c r="B907" i="1"/>
  <c r="E906" i="1"/>
  <c r="B906" i="1"/>
  <c r="E905" i="1"/>
  <c r="B905" i="1"/>
  <c r="E904" i="1"/>
  <c r="B904" i="1"/>
  <c r="E903" i="1"/>
  <c r="B903" i="1"/>
  <c r="E902" i="1"/>
  <c r="B902" i="1"/>
  <c r="E901" i="1"/>
  <c r="B901" i="1"/>
  <c r="E900" i="1"/>
  <c r="B900" i="1"/>
  <c r="E899" i="1"/>
  <c r="B899" i="1"/>
  <c r="E898" i="1"/>
  <c r="B898" i="1" s="1"/>
  <c r="B897" i="1"/>
  <c r="B896" i="1"/>
  <c r="B895" i="1"/>
  <c r="B894" i="1"/>
  <c r="B893" i="1"/>
  <c r="B892" i="1"/>
  <c r="E891" i="1"/>
  <c r="B891" i="1"/>
  <c r="E890" i="1"/>
  <c r="B890" i="1"/>
  <c r="E889" i="1"/>
  <c r="B889" i="1"/>
  <c r="E888" i="1"/>
  <c r="B888" i="1"/>
  <c r="E887" i="1"/>
  <c r="B887" i="1"/>
  <c r="E886" i="1"/>
  <c r="B886" i="1" s="1"/>
  <c r="E885" i="1"/>
  <c r="B885" i="1"/>
  <c r="E884" i="1"/>
  <c r="B884" i="1"/>
  <c r="E883" i="1"/>
  <c r="B883" i="1"/>
  <c r="E882" i="1"/>
  <c r="B882" i="1"/>
  <c r="E881" i="1"/>
  <c r="B881" i="1"/>
  <c r="E880" i="1"/>
  <c r="B880" i="1"/>
  <c r="E879" i="1"/>
  <c r="B879" i="1"/>
  <c r="E878" i="1"/>
  <c r="B878" i="1"/>
  <c r="E877" i="1"/>
  <c r="B877" i="1"/>
  <c r="E876" i="1"/>
  <c r="B876" i="1"/>
  <c r="E875" i="1"/>
  <c r="B875" i="1"/>
  <c r="E874" i="1"/>
  <c r="B874" i="1"/>
  <c r="E873" i="1"/>
  <c r="B873" i="1"/>
  <c r="E872" i="1"/>
  <c r="B872" i="1"/>
  <c r="E871" i="1"/>
  <c r="B871" i="1"/>
  <c r="E870" i="1"/>
  <c r="B870" i="1"/>
  <c r="E869" i="1"/>
  <c r="B869" i="1"/>
  <c r="E868" i="1"/>
  <c r="B868" i="1"/>
  <c r="E867" i="1"/>
  <c r="B867" i="1"/>
  <c r="E866" i="1"/>
  <c r="B866" i="1"/>
  <c r="E865" i="1"/>
  <c r="B865" i="1"/>
  <c r="E864" i="1"/>
  <c r="B864" i="1"/>
  <c r="E863" i="1"/>
  <c r="B863" i="1"/>
  <c r="E862" i="1"/>
  <c r="B862" i="1"/>
  <c r="E861" i="1"/>
  <c r="B861" i="1"/>
  <c r="E860" i="1"/>
  <c r="B860" i="1"/>
  <c r="E859" i="1"/>
  <c r="B859" i="1"/>
  <c r="E858" i="1"/>
  <c r="B858" i="1"/>
  <c r="E857" i="1"/>
  <c r="B857" i="1"/>
  <c r="E856" i="1"/>
  <c r="B856" i="1"/>
  <c r="E855" i="1"/>
  <c r="B855" i="1"/>
  <c r="E854" i="1"/>
  <c r="B854" i="1"/>
  <c r="E853" i="1"/>
  <c r="B853" i="1"/>
  <c r="E852" i="1"/>
  <c r="B852" i="1"/>
  <c r="E851" i="1"/>
  <c r="B851" i="1"/>
  <c r="E850" i="1"/>
  <c r="B850" i="1"/>
  <c r="E849" i="1"/>
  <c r="B849" i="1"/>
  <c r="E848" i="1"/>
  <c r="B848" i="1"/>
  <c r="E847" i="1"/>
  <c r="B847" i="1"/>
  <c r="E846" i="1"/>
  <c r="B846" i="1"/>
  <c r="E845" i="1"/>
  <c r="B845" i="1"/>
  <c r="E844" i="1"/>
  <c r="B844" i="1"/>
  <c r="B843" i="1"/>
  <c r="B842" i="1"/>
  <c r="B841" i="1"/>
  <c r="E840" i="1"/>
  <c r="B840" i="1"/>
  <c r="E839" i="1"/>
  <c r="B839" i="1"/>
  <c r="E838" i="1"/>
  <c r="B838" i="1"/>
  <c r="E837" i="1"/>
  <c r="B837" i="1"/>
  <c r="E836" i="1"/>
  <c r="B836" i="1"/>
  <c r="E835" i="1"/>
  <c r="B835" i="1"/>
  <c r="E834" i="1"/>
  <c r="B834" i="1"/>
  <c r="E833" i="1"/>
  <c r="B833" i="1"/>
  <c r="E832" i="1"/>
  <c r="B832" i="1"/>
  <c r="E831" i="1"/>
  <c r="B831" i="1"/>
  <c r="E830" i="1"/>
  <c r="B830" i="1"/>
  <c r="E829" i="1"/>
  <c r="B829" i="1"/>
  <c r="E828" i="1"/>
  <c r="B828" i="1"/>
  <c r="E827" i="1"/>
  <c r="B827" i="1"/>
  <c r="E826" i="1"/>
  <c r="B826" i="1"/>
  <c r="E825" i="1"/>
  <c r="B825" i="1"/>
  <c r="E824" i="1"/>
  <c r="B824" i="1"/>
  <c r="E823" i="1"/>
  <c r="B823" i="1"/>
  <c r="E822" i="1"/>
  <c r="B822" i="1"/>
  <c r="E821" i="1"/>
  <c r="B821" i="1"/>
  <c r="E820" i="1"/>
  <c r="B820" i="1"/>
  <c r="E819" i="1"/>
  <c r="B819" i="1"/>
  <c r="E818" i="1"/>
  <c r="B818" i="1"/>
  <c r="E817" i="1"/>
  <c r="B817" i="1"/>
  <c r="E816" i="1"/>
  <c r="B816" i="1" s="1"/>
  <c r="E815" i="1"/>
  <c r="B815" i="1"/>
  <c r="E814" i="1"/>
  <c r="B814" i="1"/>
  <c r="E813" i="1"/>
  <c r="B813" i="1"/>
  <c r="E812" i="1"/>
  <c r="B812" i="1"/>
  <c r="E811" i="1"/>
  <c r="B811" i="1"/>
  <c r="E810" i="1"/>
  <c r="B810" i="1" s="1"/>
  <c r="E809" i="1"/>
  <c r="B809" i="1"/>
  <c r="E808" i="1"/>
  <c r="B808" i="1"/>
  <c r="E807" i="1"/>
  <c r="B807" i="1"/>
  <c r="E806" i="1"/>
  <c r="B806" i="1" s="1"/>
  <c r="E805" i="1"/>
  <c r="B805" i="1"/>
  <c r="B804" i="1"/>
  <c r="B803" i="1"/>
  <c r="E802" i="1"/>
  <c r="B802" i="1"/>
  <c r="E801" i="1"/>
  <c r="B801" i="1"/>
  <c r="E800" i="1"/>
  <c r="B800" i="1"/>
  <c r="E799" i="1"/>
  <c r="B799" i="1"/>
  <c r="E798" i="1"/>
  <c r="B798" i="1"/>
  <c r="E797" i="1"/>
  <c r="B797" i="1"/>
  <c r="E796" i="1"/>
  <c r="B796" i="1"/>
  <c r="E795" i="1"/>
  <c r="B795" i="1"/>
  <c r="E794" i="1"/>
  <c r="B794" i="1"/>
  <c r="E793" i="1"/>
  <c r="B793" i="1"/>
  <c r="E792" i="1"/>
  <c r="B792" i="1"/>
  <c r="E791" i="1"/>
  <c r="B791" i="1"/>
  <c r="E790" i="1"/>
  <c r="B790" i="1"/>
  <c r="E789" i="1"/>
  <c r="B789" i="1"/>
  <c r="E788" i="1"/>
  <c r="B788" i="1"/>
  <c r="E787" i="1"/>
  <c r="B787" i="1"/>
  <c r="E786" i="1"/>
  <c r="B786" i="1"/>
  <c r="E785" i="1"/>
  <c r="B785" i="1"/>
  <c r="E784" i="1"/>
  <c r="B784" i="1" s="1"/>
  <c r="E783" i="1"/>
  <c r="B783" i="1"/>
  <c r="E782" i="1"/>
  <c r="B782" i="1"/>
  <c r="E781" i="1"/>
  <c r="B781" i="1"/>
  <c r="E780" i="1"/>
  <c r="B780" i="1" s="1"/>
  <c r="E779" i="1"/>
  <c r="B779" i="1"/>
  <c r="B778" i="1"/>
  <c r="B777" i="1"/>
  <c r="E776" i="1"/>
  <c r="B776" i="1"/>
  <c r="E775" i="1"/>
  <c r="B775" i="1" s="1"/>
  <c r="E774" i="1"/>
  <c r="B774" i="1"/>
  <c r="E773" i="1"/>
  <c r="B773" i="1"/>
  <c r="E772" i="1"/>
  <c r="B772" i="1"/>
  <c r="E771" i="1"/>
  <c r="B771" i="1"/>
  <c r="E770" i="1"/>
  <c r="B770" i="1"/>
  <c r="E769" i="1"/>
  <c r="B769" i="1"/>
  <c r="E768" i="1"/>
  <c r="B768" i="1" s="1"/>
  <c r="E767" i="1"/>
  <c r="B767" i="1" s="1"/>
  <c r="E766" i="1"/>
  <c r="B766" i="1"/>
  <c r="E765" i="1"/>
  <c r="B765" i="1"/>
  <c r="E764" i="1"/>
  <c r="B764" i="1"/>
  <c r="E763" i="1"/>
  <c r="B763" i="1"/>
  <c r="E762" i="1"/>
  <c r="B762" i="1"/>
  <c r="E761" i="1"/>
  <c r="B761" i="1"/>
  <c r="E760" i="1"/>
  <c r="B760" i="1"/>
  <c r="E759" i="1"/>
  <c r="B759" i="1"/>
  <c r="E758" i="1"/>
  <c r="B758" i="1"/>
  <c r="E757" i="1"/>
  <c r="B757" i="1"/>
  <c r="E756" i="1"/>
  <c r="B756" i="1"/>
  <c r="E755" i="1"/>
  <c r="B755" i="1"/>
  <c r="E754" i="1"/>
  <c r="B754" i="1"/>
  <c r="E753" i="1"/>
  <c r="B753" i="1"/>
  <c r="E752" i="1"/>
  <c r="B752" i="1"/>
  <c r="E751" i="1"/>
  <c r="B751" i="1" s="1"/>
  <c r="E750" i="1"/>
  <c r="B750" i="1"/>
  <c r="E749" i="1"/>
  <c r="B749" i="1" s="1"/>
  <c r="E748" i="1"/>
  <c r="B748" i="1"/>
  <c r="E747" i="1"/>
  <c r="B747" i="1"/>
  <c r="B746" i="1"/>
  <c r="B745" i="1"/>
  <c r="E744" i="1"/>
  <c r="B744" i="1"/>
  <c r="E743" i="1"/>
  <c r="B743" i="1"/>
  <c r="E742" i="1"/>
  <c r="B742" i="1"/>
  <c r="E741" i="1"/>
  <c r="B741" i="1"/>
  <c r="E740" i="1"/>
  <c r="B740" i="1"/>
  <c r="E739" i="1"/>
  <c r="B739" i="1"/>
  <c r="E738" i="1"/>
  <c r="B738" i="1"/>
  <c r="E737" i="1"/>
  <c r="B737" i="1"/>
  <c r="E736" i="1"/>
  <c r="B736" i="1" s="1"/>
  <c r="E735" i="1"/>
  <c r="B735" i="1" s="1"/>
  <c r="E734" i="1"/>
  <c r="B734" i="1" s="1"/>
  <c r="E733" i="1"/>
  <c r="B733" i="1"/>
  <c r="E732" i="1"/>
  <c r="B732" i="1"/>
  <c r="E731" i="1"/>
  <c r="B731" i="1"/>
  <c r="E730" i="1"/>
  <c r="B730" i="1"/>
  <c r="E729" i="1"/>
  <c r="B729" i="1"/>
  <c r="E728" i="1"/>
  <c r="B728" i="1" s="1"/>
  <c r="E727" i="1"/>
  <c r="B727" i="1" s="1"/>
  <c r="E726" i="1"/>
  <c r="B726" i="1"/>
  <c r="E725" i="1"/>
  <c r="B725" i="1"/>
  <c r="E724" i="1"/>
  <c r="B724" i="1" s="1"/>
  <c r="E723" i="1"/>
  <c r="B723" i="1"/>
  <c r="E722" i="1"/>
  <c r="B722" i="1"/>
  <c r="E721" i="1"/>
  <c r="B721" i="1"/>
  <c r="B720" i="1"/>
  <c r="B719" i="1"/>
  <c r="E718" i="1"/>
  <c r="B718" i="1"/>
  <c r="E717" i="1"/>
  <c r="B717" i="1"/>
  <c r="E716" i="1"/>
  <c r="B716" i="1"/>
  <c r="E715" i="1"/>
  <c r="B715" i="1"/>
  <c r="E714" i="1"/>
  <c r="B714" i="1"/>
  <c r="E713" i="1"/>
  <c r="B713" i="1"/>
  <c r="E712" i="1"/>
  <c r="B712" i="1"/>
  <c r="E711" i="1"/>
  <c r="B711" i="1"/>
  <c r="E710" i="1"/>
  <c r="B710" i="1"/>
  <c r="E709" i="1"/>
  <c r="B709" i="1"/>
  <c r="E708" i="1"/>
  <c r="B708" i="1"/>
  <c r="E707" i="1"/>
  <c r="B707" i="1"/>
  <c r="E706" i="1"/>
  <c r="B706" i="1"/>
  <c r="E705" i="1"/>
  <c r="B705" i="1"/>
  <c r="E704" i="1"/>
  <c r="B704" i="1"/>
  <c r="E703" i="1"/>
  <c r="B703" i="1"/>
  <c r="E702" i="1"/>
  <c r="B702" i="1"/>
  <c r="E701" i="1"/>
  <c r="B701" i="1"/>
  <c r="E700" i="1"/>
  <c r="B700" i="1"/>
  <c r="E699" i="1"/>
  <c r="B699" i="1"/>
  <c r="E698" i="1"/>
  <c r="B698" i="1"/>
  <c r="E697" i="1"/>
  <c r="B697" i="1"/>
  <c r="E696" i="1"/>
  <c r="B696" i="1"/>
  <c r="E695" i="1"/>
  <c r="B695" i="1"/>
  <c r="B694" i="1"/>
  <c r="B693" i="1"/>
  <c r="E692" i="1"/>
  <c r="B692" i="1"/>
  <c r="E691" i="1"/>
  <c r="B691" i="1"/>
  <c r="E690" i="1"/>
  <c r="B690" i="1"/>
  <c r="E689" i="1"/>
  <c r="B689" i="1" s="1"/>
  <c r="E688" i="1"/>
  <c r="B688" i="1"/>
  <c r="E687" i="1"/>
  <c r="B687" i="1" s="1"/>
  <c r="E686" i="1"/>
  <c r="B686" i="1" s="1"/>
  <c r="E685" i="1"/>
  <c r="B685" i="1" s="1"/>
  <c r="E684" i="1"/>
  <c r="B684" i="1"/>
  <c r="E683" i="1"/>
  <c r="B683" i="1"/>
  <c r="B682" i="1"/>
  <c r="B681" i="1"/>
  <c r="B680" i="1"/>
  <c r="E679" i="1"/>
  <c r="B679" i="1"/>
  <c r="E678" i="1"/>
  <c r="B678" i="1"/>
  <c r="E677" i="1"/>
  <c r="B677" i="1"/>
  <c r="E676" i="1"/>
  <c r="B676" i="1"/>
  <c r="E675" i="1"/>
  <c r="B675" i="1"/>
  <c r="E674" i="1"/>
  <c r="B674" i="1"/>
  <c r="E673" i="1"/>
  <c r="B673" i="1"/>
  <c r="E672" i="1"/>
  <c r="B672" i="1" s="1"/>
  <c r="E671" i="1"/>
  <c r="B671" i="1" s="1"/>
  <c r="E670" i="1"/>
  <c r="B670" i="1"/>
  <c r="E669" i="1"/>
  <c r="B669" i="1"/>
  <c r="E668" i="1"/>
  <c r="B668" i="1" s="1"/>
  <c r="E667" i="1"/>
  <c r="B667" i="1"/>
  <c r="E666" i="1"/>
  <c r="B666" i="1"/>
  <c r="E665" i="1"/>
  <c r="B665" i="1"/>
  <c r="E664" i="1"/>
  <c r="B664" i="1"/>
  <c r="E663" i="1"/>
  <c r="B663" i="1"/>
  <c r="E662" i="1"/>
  <c r="B662" i="1"/>
  <c r="B661" i="1"/>
  <c r="B660" i="1"/>
  <c r="E659" i="1"/>
  <c r="B659" i="1"/>
  <c r="E658" i="1"/>
  <c r="B658" i="1"/>
  <c r="E657" i="1"/>
  <c r="B657" i="1"/>
  <c r="E656" i="1"/>
  <c r="B656" i="1"/>
  <c r="E655" i="1"/>
  <c r="B655" i="1"/>
  <c r="E654" i="1"/>
  <c r="B654" i="1"/>
  <c r="E653" i="1"/>
  <c r="B653" i="1"/>
  <c r="E652" i="1"/>
  <c r="B652" i="1"/>
  <c r="E651" i="1"/>
  <c r="B651" i="1" s="1"/>
  <c r="E650" i="1"/>
  <c r="B650" i="1"/>
  <c r="E649" i="1"/>
  <c r="B649" i="1"/>
  <c r="E648" i="1"/>
  <c r="B648" i="1"/>
  <c r="E647" i="1"/>
  <c r="B647" i="1"/>
  <c r="E646" i="1"/>
  <c r="B646" i="1"/>
  <c r="E645" i="1"/>
  <c r="B645" i="1"/>
  <c r="E644" i="1"/>
  <c r="B644" i="1"/>
  <c r="E643" i="1"/>
  <c r="B643" i="1" s="1"/>
  <c r="E642" i="1"/>
  <c r="B642" i="1"/>
  <c r="E641" i="1"/>
  <c r="B641" i="1"/>
  <c r="E640" i="1"/>
  <c r="B640" i="1"/>
  <c r="E639" i="1"/>
  <c r="B639" i="1"/>
  <c r="E638" i="1"/>
  <c r="B638" i="1" s="1"/>
  <c r="E637" i="1"/>
  <c r="B637" i="1"/>
  <c r="E636" i="1"/>
  <c r="B636" i="1"/>
  <c r="B635" i="1"/>
  <c r="B634" i="1"/>
  <c r="E633" i="1"/>
  <c r="B633" i="1"/>
  <c r="E632" i="1"/>
  <c r="B632" i="1" s="1"/>
  <c r="E631" i="1"/>
  <c r="B631" i="1" s="1"/>
  <c r="E630" i="1"/>
  <c r="B630" i="1" s="1"/>
  <c r="E629" i="1"/>
  <c r="B629" i="1"/>
  <c r="E628" i="1"/>
  <c r="B628" i="1"/>
  <c r="E627" i="1"/>
  <c r="B627" i="1"/>
  <c r="E626" i="1"/>
  <c r="B626" i="1"/>
  <c r="E625" i="1"/>
  <c r="B625" i="1"/>
  <c r="E624" i="1"/>
  <c r="B624" i="1"/>
  <c r="E623" i="1"/>
  <c r="B623" i="1"/>
  <c r="E622" i="1"/>
  <c r="B622" i="1"/>
  <c r="E621" i="1"/>
  <c r="B621" i="1"/>
  <c r="E620" i="1"/>
  <c r="B620" i="1"/>
  <c r="E619" i="1"/>
  <c r="B619" i="1"/>
  <c r="E618" i="1"/>
  <c r="B618" i="1"/>
  <c r="E617" i="1"/>
  <c r="B617" i="1"/>
  <c r="E616" i="1"/>
  <c r="B616" i="1"/>
  <c r="E615" i="1"/>
  <c r="B615" i="1"/>
  <c r="E614" i="1"/>
  <c r="B614" i="1"/>
  <c r="E613" i="1"/>
  <c r="B613" i="1"/>
  <c r="E612" i="1"/>
  <c r="B612" i="1"/>
  <c r="E611" i="1"/>
  <c r="B611" i="1"/>
  <c r="E610" i="1"/>
  <c r="B610" i="1"/>
  <c r="E609" i="1"/>
  <c r="B609" i="1"/>
  <c r="E608" i="1"/>
  <c r="B608" i="1"/>
  <c r="E607" i="1"/>
  <c r="B607" i="1"/>
  <c r="E606" i="1"/>
  <c r="B606" i="1"/>
  <c r="E605" i="1"/>
  <c r="B605" i="1"/>
  <c r="E604" i="1"/>
  <c r="B604" i="1"/>
  <c r="E603" i="1"/>
  <c r="B603" i="1"/>
  <c r="E602" i="1"/>
  <c r="B602" i="1"/>
  <c r="E601" i="1"/>
  <c r="B601" i="1"/>
  <c r="E600" i="1"/>
  <c r="B600" i="1"/>
  <c r="E599" i="1"/>
  <c r="B599" i="1"/>
  <c r="E598" i="1"/>
  <c r="B598" i="1"/>
  <c r="E597" i="1"/>
  <c r="B597" i="1"/>
  <c r="E596" i="1"/>
  <c r="B596" i="1"/>
  <c r="E595" i="1"/>
  <c r="B595" i="1"/>
  <c r="E594" i="1"/>
  <c r="B594" i="1"/>
  <c r="E593" i="1"/>
  <c r="B593" i="1"/>
  <c r="E592" i="1"/>
  <c r="B592" i="1"/>
  <c r="B590" i="1"/>
  <c r="B589" i="1"/>
  <c r="E588" i="1"/>
  <c r="B588" i="1"/>
  <c r="E587" i="1"/>
  <c r="B587" i="1"/>
  <c r="E586" i="1"/>
  <c r="B586" i="1"/>
  <c r="E585" i="1"/>
  <c r="B585" i="1"/>
  <c r="E584" i="1"/>
  <c r="B584" i="1"/>
  <c r="E583" i="1"/>
  <c r="B583" i="1"/>
  <c r="E582" i="1"/>
  <c r="B582" i="1"/>
  <c r="E581" i="1"/>
  <c r="B581" i="1"/>
  <c r="E580" i="1"/>
  <c r="B580" i="1"/>
  <c r="E579" i="1"/>
  <c r="B579" i="1"/>
  <c r="E578" i="1"/>
  <c r="B578" i="1"/>
  <c r="E577" i="1"/>
  <c r="B577" i="1"/>
  <c r="E576" i="1"/>
  <c r="B576" i="1"/>
  <c r="E575" i="1"/>
  <c r="B575" i="1"/>
  <c r="E574" i="1"/>
  <c r="B574" i="1"/>
  <c r="E573" i="1"/>
  <c r="B573" i="1"/>
  <c r="E572" i="1"/>
  <c r="B572" i="1"/>
  <c r="E571" i="1"/>
  <c r="B571" i="1"/>
  <c r="E570" i="1"/>
  <c r="B570" i="1"/>
  <c r="E569" i="1"/>
  <c r="B569" i="1"/>
  <c r="E568" i="1"/>
  <c r="B568" i="1"/>
  <c r="E567" i="1"/>
  <c r="B567" i="1"/>
  <c r="E566" i="1"/>
  <c r="B566" i="1"/>
  <c r="E565" i="1"/>
  <c r="B565" i="1"/>
  <c r="E564" i="1"/>
  <c r="B564" i="1"/>
  <c r="E563" i="1"/>
  <c r="B563" i="1"/>
  <c r="E562" i="1"/>
  <c r="B562" i="1"/>
  <c r="E561" i="1"/>
  <c r="B561" i="1"/>
  <c r="E560" i="1"/>
  <c r="B560" i="1"/>
  <c r="E559" i="1"/>
  <c r="B559" i="1"/>
  <c r="E558" i="1"/>
  <c r="B558" i="1" s="1"/>
  <c r="E557" i="1"/>
  <c r="B557" i="1"/>
  <c r="E556" i="1"/>
  <c r="B556" i="1"/>
  <c r="E555" i="1"/>
  <c r="B555" i="1"/>
  <c r="E554" i="1"/>
  <c r="B554" i="1"/>
  <c r="E553" i="1"/>
  <c r="B553" i="1"/>
  <c r="B551" i="1"/>
  <c r="B550" i="1"/>
  <c r="E549" i="1"/>
  <c r="B549" i="1"/>
  <c r="E548" i="1"/>
  <c r="B548" i="1"/>
  <c r="E547" i="1"/>
  <c r="B547" i="1"/>
  <c r="E546" i="1"/>
  <c r="B546" i="1"/>
  <c r="E545" i="1"/>
  <c r="B545" i="1"/>
  <c r="E544" i="1"/>
  <c r="B544" i="1"/>
  <c r="E543" i="1"/>
  <c r="B543" i="1"/>
  <c r="E542" i="1"/>
  <c r="B542" i="1"/>
  <c r="E541" i="1"/>
  <c r="B541" i="1"/>
  <c r="E540" i="1"/>
  <c r="B540" i="1"/>
  <c r="E539" i="1"/>
  <c r="B539" i="1"/>
  <c r="E538" i="1"/>
  <c r="B538" i="1"/>
  <c r="E537" i="1"/>
  <c r="B537" i="1"/>
  <c r="E536" i="1"/>
  <c r="B536" i="1"/>
  <c r="E535" i="1"/>
  <c r="B535" i="1"/>
  <c r="E534" i="1"/>
  <c r="B534" i="1"/>
  <c r="E533" i="1"/>
  <c r="B533" i="1"/>
  <c r="E532" i="1"/>
  <c r="B532" i="1"/>
  <c r="E531" i="1"/>
  <c r="B531" i="1"/>
  <c r="E530" i="1"/>
  <c r="B530" i="1"/>
  <c r="E529" i="1"/>
  <c r="B529" i="1"/>
  <c r="E528" i="1"/>
  <c r="B528" i="1"/>
  <c r="E527" i="1"/>
  <c r="B527" i="1"/>
  <c r="E526" i="1"/>
  <c r="B526" i="1"/>
  <c r="B525" i="1"/>
  <c r="B524" i="1"/>
  <c r="E523" i="1"/>
  <c r="B523" i="1"/>
  <c r="E522" i="1"/>
  <c r="B522" i="1"/>
  <c r="E521" i="1"/>
  <c r="B521" i="1"/>
  <c r="E520" i="1"/>
  <c r="B520" i="1"/>
  <c r="E519" i="1"/>
  <c r="B519" i="1"/>
  <c r="E518" i="1"/>
  <c r="B518" i="1"/>
  <c r="E517" i="1"/>
  <c r="B517" i="1"/>
  <c r="E516" i="1"/>
  <c r="B516" i="1"/>
  <c r="E515" i="1"/>
  <c r="B515" i="1"/>
  <c r="E514" i="1"/>
  <c r="B514" i="1"/>
  <c r="E513" i="1"/>
  <c r="B513" i="1"/>
  <c r="E512" i="1"/>
  <c r="B512" i="1"/>
  <c r="E511" i="1"/>
  <c r="B511" i="1"/>
  <c r="E510" i="1"/>
  <c r="B510" i="1"/>
  <c r="E509" i="1"/>
  <c r="B509" i="1"/>
  <c r="E508" i="1"/>
  <c r="B508" i="1"/>
  <c r="E507" i="1"/>
  <c r="B507" i="1"/>
  <c r="E506" i="1"/>
  <c r="B506" i="1"/>
  <c r="E505" i="1"/>
  <c r="B505" i="1"/>
  <c r="E504" i="1"/>
  <c r="B504" i="1"/>
  <c r="E503" i="1"/>
  <c r="B503" i="1"/>
  <c r="E502" i="1"/>
  <c r="B502" i="1"/>
  <c r="E501" i="1"/>
  <c r="B501" i="1"/>
  <c r="E500" i="1"/>
  <c r="B500" i="1"/>
  <c r="E499" i="1"/>
  <c r="B499" i="1"/>
  <c r="E498" i="1"/>
  <c r="B498" i="1"/>
  <c r="E497" i="1"/>
  <c r="B497" i="1"/>
  <c r="E496" i="1"/>
  <c r="B496" i="1"/>
  <c r="E495" i="1"/>
  <c r="B495" i="1"/>
  <c r="E494" i="1"/>
  <c r="B494" i="1"/>
  <c r="B493" i="1"/>
  <c r="B492" i="1"/>
  <c r="E491" i="1"/>
  <c r="B491" i="1"/>
  <c r="E490" i="1"/>
  <c r="B490" i="1"/>
  <c r="E489" i="1"/>
  <c r="B489" i="1"/>
  <c r="E488" i="1"/>
  <c r="B488" i="1"/>
  <c r="E487" i="1"/>
  <c r="B487" i="1"/>
  <c r="E486" i="1"/>
  <c r="B486" i="1"/>
  <c r="E485" i="1"/>
  <c r="B485" i="1"/>
  <c r="E484" i="1"/>
  <c r="B484" i="1"/>
  <c r="E483" i="1"/>
  <c r="B483" i="1"/>
  <c r="E482" i="1"/>
  <c r="B482" i="1"/>
  <c r="E481" i="1"/>
  <c r="B481" i="1"/>
  <c r="E480" i="1"/>
  <c r="B480" i="1"/>
  <c r="E479" i="1"/>
  <c r="B479" i="1"/>
  <c r="E478" i="1"/>
  <c r="B478" i="1"/>
  <c r="E477" i="1"/>
  <c r="B477" i="1"/>
  <c r="E476" i="1"/>
  <c r="B476" i="1"/>
  <c r="E475" i="1"/>
  <c r="B475" i="1"/>
  <c r="E474" i="1"/>
  <c r="B474" i="1"/>
  <c r="E473" i="1"/>
  <c r="B473" i="1"/>
  <c r="E472" i="1"/>
  <c r="B472" i="1"/>
  <c r="E471" i="1"/>
  <c r="B471" i="1"/>
  <c r="E470" i="1"/>
  <c r="B470" i="1"/>
  <c r="E469" i="1"/>
  <c r="B469" i="1"/>
  <c r="E468" i="1"/>
  <c r="B468" i="1"/>
  <c r="E467" i="1"/>
  <c r="B467" i="1"/>
  <c r="E466" i="1"/>
  <c r="B466" i="1"/>
  <c r="E465" i="1"/>
  <c r="B465" i="1"/>
  <c r="E464" i="1"/>
  <c r="B464" i="1"/>
  <c r="E463" i="1"/>
  <c r="B463" i="1"/>
  <c r="E462" i="1"/>
  <c r="B462" i="1"/>
  <c r="B461" i="1"/>
  <c r="B460" i="1"/>
  <c r="E459" i="1"/>
  <c r="B459" i="1"/>
  <c r="E458" i="1"/>
  <c r="B458" i="1"/>
  <c r="E457" i="1"/>
  <c r="B457" i="1"/>
  <c r="E456" i="1"/>
  <c r="B456" i="1"/>
  <c r="E455" i="1"/>
  <c r="B455" i="1"/>
  <c r="E454" i="1"/>
  <c r="B454" i="1"/>
  <c r="E453" i="1"/>
  <c r="B453" i="1"/>
  <c r="E452" i="1"/>
  <c r="B452" i="1"/>
  <c r="E451" i="1"/>
  <c r="B451" i="1"/>
  <c r="E450" i="1"/>
  <c r="B450" i="1"/>
  <c r="E449" i="1"/>
  <c r="B449" i="1"/>
  <c r="E448" i="1"/>
  <c r="B448" i="1"/>
  <c r="E447" i="1"/>
  <c r="B447" i="1"/>
  <c r="E446" i="1"/>
  <c r="B446" i="1"/>
  <c r="E445" i="1"/>
  <c r="B445" i="1"/>
  <c r="E444" i="1"/>
  <c r="B444" i="1"/>
  <c r="E443" i="1"/>
  <c r="B443" i="1"/>
  <c r="E442" i="1"/>
  <c r="B442" i="1"/>
  <c r="E441" i="1"/>
  <c r="B441" i="1"/>
  <c r="E440" i="1"/>
  <c r="B440" i="1"/>
  <c r="E439" i="1"/>
  <c r="B439" i="1"/>
  <c r="E438" i="1"/>
  <c r="B438" i="1"/>
  <c r="E437" i="1"/>
  <c r="B437" i="1"/>
  <c r="E436" i="1"/>
  <c r="B436" i="1"/>
  <c r="E435" i="1"/>
  <c r="B435" i="1"/>
  <c r="E434" i="1"/>
  <c r="B434" i="1"/>
  <c r="E433" i="1"/>
  <c r="B433" i="1"/>
  <c r="E432" i="1"/>
  <c r="B432" i="1"/>
  <c r="E431" i="1"/>
  <c r="B431" i="1"/>
  <c r="E430" i="1"/>
  <c r="B430" i="1"/>
  <c r="B429" i="1"/>
  <c r="B428" i="1"/>
  <c r="E427" i="1"/>
  <c r="B427" i="1"/>
  <c r="E426" i="1"/>
  <c r="B426" i="1"/>
  <c r="E425" i="1"/>
  <c r="B425" i="1"/>
  <c r="E424" i="1"/>
  <c r="B424" i="1"/>
  <c r="E423" i="1"/>
  <c r="B423" i="1"/>
  <c r="E422" i="1"/>
  <c r="B422" i="1"/>
  <c r="E421" i="1"/>
  <c r="B421" i="1"/>
  <c r="E420" i="1"/>
  <c r="B420" i="1"/>
  <c r="E419" i="1"/>
  <c r="B419" i="1"/>
  <c r="E418" i="1"/>
  <c r="B418" i="1"/>
  <c r="E417" i="1"/>
  <c r="B417" i="1"/>
  <c r="E416" i="1"/>
  <c r="B416" i="1"/>
  <c r="E415" i="1"/>
  <c r="B415" i="1"/>
  <c r="E414" i="1"/>
  <c r="B414" i="1"/>
  <c r="E413" i="1"/>
  <c r="B413" i="1"/>
  <c r="E412" i="1"/>
  <c r="B412" i="1"/>
  <c r="E411" i="1"/>
  <c r="B411" i="1"/>
  <c r="E410" i="1"/>
  <c r="B410" i="1"/>
  <c r="E409" i="1"/>
  <c r="B409" i="1"/>
  <c r="E408" i="1"/>
  <c r="B408" i="1"/>
  <c r="E407" i="1"/>
  <c r="B407" i="1"/>
  <c r="E406" i="1"/>
  <c r="B406" i="1"/>
  <c r="E405" i="1"/>
  <c r="B405" i="1"/>
  <c r="E404" i="1"/>
  <c r="B404" i="1"/>
  <c r="E403" i="1"/>
  <c r="B403" i="1"/>
  <c r="E402" i="1"/>
  <c r="B402" i="1"/>
  <c r="E401" i="1"/>
  <c r="B401" i="1"/>
  <c r="E400" i="1"/>
  <c r="B400" i="1"/>
  <c r="E399" i="1"/>
  <c r="B399" i="1"/>
  <c r="E398" i="1"/>
  <c r="B398" i="1"/>
  <c r="E397" i="1"/>
  <c r="B397" i="1"/>
  <c r="E396" i="1"/>
  <c r="B396" i="1"/>
  <c r="E395" i="1"/>
  <c r="B395" i="1"/>
  <c r="E394" i="1"/>
  <c r="B394" i="1"/>
  <c r="E393" i="1"/>
  <c r="B393" i="1"/>
  <c r="E392" i="1"/>
  <c r="B392" i="1"/>
  <c r="B391" i="1"/>
  <c r="B390" i="1"/>
  <c r="B389" i="1"/>
  <c r="B388" i="1"/>
  <c r="B387" i="1"/>
  <c r="E386" i="1"/>
  <c r="B386" i="1"/>
  <c r="E385" i="1"/>
  <c r="B385" i="1"/>
  <c r="E384" i="1"/>
  <c r="B384" i="1"/>
  <c r="E383" i="1"/>
  <c r="B383" i="1"/>
  <c r="E382" i="1"/>
  <c r="B382" i="1"/>
  <c r="E381" i="1"/>
  <c r="B381" i="1"/>
  <c r="E380" i="1"/>
  <c r="B380" i="1"/>
  <c r="E379" i="1"/>
  <c r="B379" i="1"/>
  <c r="E378" i="1"/>
  <c r="B378" i="1"/>
  <c r="E377" i="1"/>
  <c r="B377" i="1"/>
  <c r="E376" i="1"/>
  <c r="B376" i="1"/>
  <c r="E375" i="1"/>
  <c r="B375" i="1"/>
  <c r="E374" i="1"/>
  <c r="B374" i="1"/>
  <c r="E373" i="1"/>
  <c r="B373" i="1"/>
  <c r="E372" i="1"/>
  <c r="B372" i="1"/>
  <c r="E371" i="1"/>
  <c r="B371" i="1"/>
  <c r="E370" i="1"/>
  <c r="B370" i="1"/>
  <c r="E369" i="1"/>
  <c r="B369" i="1"/>
  <c r="E368" i="1"/>
  <c r="B368" i="1"/>
  <c r="E367" i="1"/>
  <c r="B367" i="1"/>
  <c r="E366" i="1"/>
  <c r="B366" i="1"/>
  <c r="E365" i="1"/>
  <c r="B365" i="1"/>
  <c r="E364" i="1"/>
  <c r="B364" i="1"/>
  <c r="E363" i="1"/>
  <c r="B363" i="1"/>
  <c r="E362" i="1"/>
  <c r="B362" i="1"/>
  <c r="E361" i="1"/>
  <c r="B361" i="1"/>
  <c r="E360" i="1"/>
  <c r="B360" i="1"/>
  <c r="E359" i="1"/>
  <c r="B359" i="1"/>
  <c r="E358" i="1"/>
  <c r="B358" i="1"/>
  <c r="E357" i="1"/>
  <c r="B357" i="1"/>
  <c r="B356" i="1"/>
  <c r="B355" i="1"/>
  <c r="B354" i="1"/>
  <c r="E353" i="1"/>
  <c r="B353" i="1"/>
  <c r="E352" i="1"/>
  <c r="B352" i="1"/>
  <c r="E351" i="1"/>
  <c r="B351" i="1"/>
  <c r="E350" i="1"/>
  <c r="B350" i="1"/>
  <c r="E349" i="1"/>
  <c r="B349" i="1"/>
  <c r="E348" i="1"/>
  <c r="B348" i="1"/>
  <c r="E347" i="1"/>
  <c r="B347" i="1"/>
  <c r="E346" i="1"/>
  <c r="B346" i="1"/>
  <c r="E345" i="1"/>
  <c r="B345" i="1"/>
  <c r="E344" i="1"/>
  <c r="B344" i="1"/>
  <c r="E343" i="1"/>
  <c r="B343" i="1"/>
  <c r="E342" i="1"/>
  <c r="B342" i="1"/>
  <c r="E341" i="1"/>
  <c r="B341" i="1"/>
  <c r="E340" i="1"/>
  <c r="B340" i="1"/>
  <c r="E339" i="1"/>
  <c r="B339" i="1"/>
  <c r="E338" i="1"/>
  <c r="B338" i="1"/>
  <c r="E337" i="1"/>
  <c r="B337" i="1"/>
  <c r="E336" i="1"/>
  <c r="B336" i="1"/>
  <c r="E335" i="1"/>
  <c r="B335" i="1"/>
  <c r="E334" i="1"/>
  <c r="B334" i="1"/>
  <c r="E333" i="1"/>
  <c r="B333" i="1"/>
  <c r="E332" i="1"/>
  <c r="B332" i="1"/>
  <c r="E331" i="1"/>
  <c r="B331" i="1"/>
  <c r="E330" i="1"/>
  <c r="B330" i="1"/>
  <c r="E329" i="1"/>
  <c r="B329" i="1"/>
  <c r="E328" i="1"/>
  <c r="B328" i="1"/>
  <c r="E327" i="1"/>
  <c r="B327" i="1"/>
  <c r="E326" i="1"/>
  <c r="B326" i="1"/>
  <c r="E325" i="1"/>
  <c r="B325" i="1"/>
  <c r="E324" i="1"/>
  <c r="B324" i="1"/>
  <c r="B323" i="1"/>
  <c r="B322" i="1"/>
  <c r="B321" i="1"/>
  <c r="E320" i="1"/>
  <c r="B320" i="1"/>
  <c r="E319" i="1"/>
  <c r="B319" i="1"/>
  <c r="E318" i="1"/>
  <c r="B318" i="1"/>
  <c r="E317" i="1"/>
  <c r="B317" i="1"/>
  <c r="E316" i="1"/>
  <c r="B316" i="1"/>
  <c r="E315" i="1"/>
  <c r="B315" i="1"/>
  <c r="E314" i="1"/>
  <c r="B314" i="1"/>
  <c r="E313" i="1"/>
  <c r="B313" i="1"/>
  <c r="E312" i="1"/>
  <c r="B312" i="1"/>
  <c r="E311" i="1"/>
  <c r="B311" i="1"/>
  <c r="E310" i="1"/>
  <c r="B310" i="1"/>
  <c r="E309" i="1"/>
  <c r="B309" i="1"/>
  <c r="E308" i="1"/>
  <c r="B308" i="1"/>
  <c r="E307" i="1"/>
  <c r="B307" i="1"/>
  <c r="E306" i="1"/>
  <c r="B306" i="1"/>
  <c r="E305" i="1"/>
  <c r="B305" i="1"/>
  <c r="E304" i="1"/>
  <c r="B304" i="1"/>
  <c r="E303" i="1"/>
  <c r="B303" i="1"/>
  <c r="E302" i="1"/>
  <c r="B302" i="1"/>
  <c r="E301" i="1"/>
  <c r="B301" i="1"/>
  <c r="B300" i="1"/>
  <c r="B299" i="1"/>
  <c r="B298" i="1"/>
  <c r="E297" i="1"/>
  <c r="B297" i="1"/>
  <c r="E296" i="1"/>
  <c r="B296" i="1"/>
  <c r="E295" i="1"/>
  <c r="B295" i="1"/>
  <c r="E294" i="1"/>
  <c r="B294" i="1"/>
  <c r="E293" i="1"/>
  <c r="B293" i="1"/>
  <c r="E292" i="1"/>
  <c r="B292" i="1"/>
  <c r="E291" i="1"/>
  <c r="B291" i="1"/>
  <c r="E290" i="1"/>
  <c r="B290" i="1"/>
  <c r="E289" i="1"/>
  <c r="B289" i="1"/>
  <c r="E288" i="1"/>
  <c r="B288" i="1"/>
  <c r="E287" i="1"/>
  <c r="B287" i="1"/>
  <c r="E286" i="1"/>
  <c r="B286" i="1"/>
  <c r="E285" i="1"/>
  <c r="B285" i="1"/>
  <c r="E284" i="1"/>
  <c r="B284" i="1"/>
  <c r="E283" i="1"/>
  <c r="B283" i="1"/>
  <c r="B282" i="1"/>
  <c r="B281" i="1"/>
  <c r="B280" i="1"/>
  <c r="B279" i="1"/>
  <c r="E278" i="1"/>
  <c r="B278" i="1"/>
  <c r="E277" i="1"/>
  <c r="B277" i="1"/>
  <c r="E276" i="1"/>
  <c r="B276" i="1"/>
  <c r="E275" i="1"/>
  <c r="B275" i="1"/>
  <c r="E274" i="1"/>
  <c r="B274" i="1"/>
  <c r="E273" i="1"/>
  <c r="B273" i="1"/>
  <c r="E272" i="1"/>
  <c r="B272" i="1"/>
  <c r="E271" i="1"/>
  <c r="B271" i="1"/>
  <c r="E270" i="1"/>
  <c r="B270" i="1"/>
  <c r="E269" i="1"/>
  <c r="B269" i="1"/>
  <c r="E268" i="1"/>
  <c r="B268" i="1"/>
  <c r="E267" i="1"/>
  <c r="B267" i="1"/>
  <c r="E266" i="1"/>
  <c r="B266" i="1"/>
  <c r="E265" i="1"/>
  <c r="B265" i="1"/>
  <c r="E264" i="1"/>
  <c r="B264" i="1"/>
  <c r="E263" i="1"/>
  <c r="B263" i="1"/>
  <c r="E262" i="1"/>
  <c r="B262" i="1"/>
  <c r="E261" i="1"/>
  <c r="B261" i="1"/>
  <c r="E260" i="1"/>
  <c r="B260" i="1"/>
  <c r="E259" i="1"/>
  <c r="B259" i="1"/>
  <c r="E258" i="1"/>
  <c r="B258" i="1"/>
  <c r="E257" i="1"/>
  <c r="B257" i="1"/>
  <c r="E256" i="1"/>
  <c r="B256" i="1"/>
  <c r="E255" i="1"/>
  <c r="B255" i="1"/>
  <c r="E254" i="1"/>
  <c r="B254" i="1"/>
  <c r="E253" i="1"/>
  <c r="B253" i="1"/>
  <c r="E252" i="1"/>
  <c r="B252" i="1"/>
  <c r="E251" i="1"/>
  <c r="B251" i="1"/>
  <c r="E250" i="1"/>
  <c r="B250" i="1"/>
  <c r="E249" i="1"/>
  <c r="B249" i="1"/>
  <c r="E248" i="1"/>
  <c r="B248" i="1"/>
  <c r="E247" i="1"/>
  <c r="B247" i="1"/>
  <c r="E246" i="1"/>
  <c r="B246" i="1"/>
  <c r="E245" i="1"/>
  <c r="B245" i="1"/>
  <c r="E244" i="1"/>
  <c r="B244" i="1"/>
  <c r="E243" i="1"/>
  <c r="B243" i="1"/>
  <c r="E242" i="1"/>
  <c r="B242" i="1"/>
  <c r="E241" i="1"/>
  <c r="B241" i="1"/>
  <c r="E240" i="1"/>
  <c r="B240" i="1"/>
  <c r="E239" i="1"/>
  <c r="B239" i="1"/>
  <c r="E238" i="1"/>
  <c r="B238" i="1"/>
  <c r="E237" i="1"/>
  <c r="B237" i="1"/>
  <c r="B236" i="1"/>
  <c r="B235" i="1"/>
  <c r="B234" i="1"/>
  <c r="B233" i="1"/>
  <c r="E232" i="1"/>
  <c r="B232" i="1"/>
  <c r="E231" i="1"/>
  <c r="B231" i="1"/>
  <c r="E230" i="1"/>
  <c r="B230" i="1"/>
  <c r="E229" i="1"/>
  <c r="B229" i="1"/>
  <c r="E228" i="1"/>
  <c r="B228" i="1"/>
  <c r="E227" i="1"/>
  <c r="B227" i="1"/>
  <c r="E226" i="1"/>
  <c r="B226" i="1"/>
  <c r="E225" i="1"/>
  <c r="B225" i="1"/>
  <c r="E224" i="1"/>
  <c r="B224" i="1"/>
  <c r="E223" i="1"/>
  <c r="B223" i="1"/>
  <c r="E222" i="1"/>
  <c r="B222" i="1"/>
  <c r="E221" i="1"/>
  <c r="B221" i="1"/>
  <c r="E220" i="1"/>
  <c r="B220" i="1"/>
  <c r="E219" i="1"/>
  <c r="B219" i="1"/>
  <c r="E218" i="1"/>
  <c r="B218" i="1"/>
  <c r="B217" i="1"/>
  <c r="B216" i="1"/>
  <c r="B215" i="1"/>
  <c r="E214" i="1"/>
  <c r="B214" i="1"/>
  <c r="E213" i="1"/>
  <c r="B213" i="1"/>
  <c r="E212" i="1"/>
  <c r="B212" i="1"/>
  <c r="E211" i="1"/>
  <c r="B211" i="1"/>
  <c r="E210" i="1"/>
  <c r="B210" i="1"/>
  <c r="E209" i="1"/>
  <c r="B209" i="1"/>
  <c r="E208" i="1"/>
  <c r="B208" i="1"/>
  <c r="E207" i="1"/>
  <c r="B207" i="1"/>
  <c r="E206" i="1"/>
  <c r="B206" i="1"/>
  <c r="E205" i="1"/>
  <c r="B205" i="1"/>
  <c r="E204" i="1"/>
  <c r="B204" i="1"/>
  <c r="E203" i="1"/>
  <c r="B203" i="1"/>
  <c r="E202" i="1"/>
  <c r="B202" i="1"/>
  <c r="E201" i="1"/>
  <c r="B201" i="1"/>
  <c r="E200" i="1"/>
  <c r="B200" i="1"/>
  <c r="E199" i="1"/>
  <c r="B199" i="1"/>
  <c r="E198" i="1"/>
  <c r="B198" i="1"/>
  <c r="E197" i="1"/>
  <c r="B197" i="1"/>
  <c r="E196" i="1"/>
  <c r="B196" i="1"/>
  <c r="E195" i="1"/>
  <c r="B195" i="1"/>
  <c r="E194" i="1"/>
  <c r="B194" i="1"/>
  <c r="E193" i="1"/>
  <c r="B193" i="1"/>
  <c r="E192" i="1"/>
  <c r="B192" i="1"/>
  <c r="E191" i="1"/>
  <c r="B191" i="1"/>
  <c r="E190" i="1"/>
  <c r="B190" i="1"/>
  <c r="E189" i="1"/>
  <c r="B189" i="1"/>
  <c r="E188" i="1"/>
  <c r="B188" i="1"/>
  <c r="E187" i="1"/>
  <c r="B187" i="1"/>
  <c r="E186" i="1"/>
  <c r="B186" i="1"/>
  <c r="E185" i="1"/>
  <c r="B185" i="1"/>
  <c r="E184" i="1"/>
  <c r="B184" i="1"/>
  <c r="E183" i="1"/>
  <c r="B183" i="1"/>
  <c r="E182" i="1"/>
  <c r="B182" i="1"/>
  <c r="E181" i="1"/>
  <c r="B181" i="1"/>
  <c r="E180" i="1"/>
  <c r="B180" i="1"/>
  <c r="E179" i="1"/>
  <c r="B179" i="1"/>
  <c r="B178" i="1"/>
  <c r="B177" i="1"/>
  <c r="B176" i="1"/>
  <c r="E175" i="1"/>
  <c r="B175" i="1"/>
  <c r="E174" i="1"/>
  <c r="B174" i="1"/>
  <c r="E173" i="1"/>
  <c r="B173" i="1"/>
  <c r="E172" i="1"/>
  <c r="B172" i="1"/>
  <c r="E171" i="1"/>
  <c r="B171" i="1"/>
  <c r="E170" i="1"/>
  <c r="B170" i="1"/>
  <c r="E169" i="1"/>
  <c r="B169" i="1"/>
  <c r="E168" i="1"/>
  <c r="B168" i="1"/>
  <c r="E167" i="1"/>
  <c r="B167" i="1"/>
  <c r="E166" i="1"/>
  <c r="B166" i="1"/>
  <c r="E165" i="1"/>
  <c r="B165" i="1"/>
  <c r="E164" i="1"/>
  <c r="B164" i="1"/>
  <c r="E163" i="1"/>
  <c r="B163" i="1"/>
  <c r="E162" i="1"/>
  <c r="B162" i="1"/>
  <c r="E161" i="1"/>
  <c r="B161" i="1"/>
  <c r="E160" i="1"/>
  <c r="B160" i="1"/>
  <c r="E159" i="1"/>
  <c r="B159" i="1"/>
  <c r="E158" i="1"/>
  <c r="B158" i="1"/>
  <c r="E157" i="1"/>
  <c r="B157" i="1"/>
  <c r="E156" i="1"/>
  <c r="B156" i="1"/>
  <c r="E155" i="1"/>
  <c r="B155" i="1"/>
  <c r="E154" i="1"/>
  <c r="B154" i="1"/>
  <c r="E153" i="1"/>
  <c r="B153" i="1"/>
  <c r="E152" i="1"/>
  <c r="B152" i="1"/>
  <c r="E151" i="1"/>
  <c r="B151" i="1"/>
  <c r="E150" i="1"/>
  <c r="B150" i="1"/>
  <c r="E149" i="1"/>
  <c r="B149" i="1"/>
  <c r="E148" i="1"/>
  <c r="B148" i="1"/>
  <c r="E147" i="1"/>
  <c r="B147" i="1"/>
  <c r="E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E40" i="1"/>
  <c r="B40" i="1"/>
  <c r="E39" i="1"/>
  <c r="B39" i="1"/>
  <c r="E38" i="1"/>
  <c r="B38" i="1"/>
  <c r="E37" i="1"/>
  <c r="B37" i="1"/>
  <c r="E36" i="1"/>
  <c r="B36" i="1"/>
  <c r="E35" i="1"/>
  <c r="B35" i="1"/>
  <c r="E34" i="1"/>
  <c r="B34" i="1"/>
  <c r="E33" i="1"/>
  <c r="B33" i="1"/>
  <c r="E32" i="1"/>
  <c r="B32" i="1"/>
  <c r="E31" i="1"/>
  <c r="B31" i="1"/>
  <c r="E30" i="1"/>
  <c r="B30" i="1"/>
  <c r="E29" i="1"/>
  <c r="B29" i="1"/>
  <c r="E28" i="1"/>
  <c r="B28" i="1"/>
  <c r="E27" i="1"/>
  <c r="B27" i="1"/>
  <c r="E26" i="1"/>
  <c r="B26" i="1"/>
  <c r="E25" i="1"/>
  <c r="B25" i="1"/>
  <c r="E24" i="1"/>
  <c r="B24" i="1"/>
  <c r="E23" i="1"/>
  <c r="B23" i="1"/>
  <c r="E22" i="1"/>
  <c r="B22" i="1"/>
  <c r="E21" i="1"/>
  <c r="B21" i="1"/>
  <c r="E20" i="1"/>
  <c r="B20" i="1"/>
  <c r="E19" i="1"/>
  <c r="B19" i="1"/>
  <c r="E18" i="1"/>
  <c r="B18" i="1"/>
  <c r="E17" i="1"/>
  <c r="B17" i="1"/>
  <c r="E16" i="1"/>
  <c r="B16" i="1"/>
  <c r="E15" i="1"/>
  <c r="B15" i="1"/>
  <c r="E14" i="1"/>
  <c r="B14" i="1"/>
  <c r="E13" i="1"/>
  <c r="B13" i="1"/>
  <c r="E12" i="1"/>
  <c r="B12" i="1"/>
  <c r="E11" i="1"/>
  <c r="B11" i="1"/>
  <c r="B10" i="1"/>
  <c r="B9" i="1"/>
  <c r="B8" i="1"/>
  <c r="B7" i="1"/>
  <c r="B6" i="1"/>
  <c r="B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200-000001000000}">
      <text>
        <r>
          <rPr>
            <sz val="11"/>
            <color theme="1"/>
            <rFont val="宋体"/>
            <family val="3"/>
            <charset val="134"/>
            <scheme val="minor"/>
          </rPr>
          <t>Admin:
1、区域中心 刷新数量固定是1，刷新面向角度由[刷新参数1]指定
2、区域随机 刷新数量由[刷新参数1]指定,刷新面向角度随机</t>
        </r>
      </text>
    </comment>
  </commentList>
</comments>
</file>

<file path=xl/sharedStrings.xml><?xml version="1.0" encoding="utf-8"?>
<sst xmlns="http://schemas.openxmlformats.org/spreadsheetml/2006/main" count="5729" uniqueCount="338">
  <si>
    <t>##var</t>
  </si>
  <si>
    <t>config_id</t>
  </si>
  <si>
    <t>position</t>
  </si>
  <si>
    <t>MonsterID1</t>
  </si>
  <si>
    <t>MonsterCount1</t>
  </si>
  <si>
    <t>MonsterID2</t>
  </si>
  <si>
    <t>MonsterCount2</t>
  </si>
  <si>
    <t>MonsterID3</t>
  </si>
  <si>
    <t>MonsterCount3</t>
  </si>
  <si>
    <t>MonsterID4</t>
  </si>
  <si>
    <t>MonsterCount4</t>
  </si>
  <si>
    <t>MonsterID5</t>
  </si>
  <si>
    <t>MonsterCount5</t>
  </si>
  <si>
    <t>MonsterID6</t>
  </si>
  <si>
    <t>MonsterCount6</t>
  </si>
  <si>
    <t>MonsterID7</t>
  </si>
  <si>
    <t>MonsterCount7</t>
  </si>
  <si>
    <t>MonsterID8</t>
  </si>
  <si>
    <t>MonsterCount8</t>
  </si>
  <si>
    <t>MonsterID9</t>
  </si>
  <si>
    <t>MonsterCount9</t>
  </si>
  <si>
    <t>MonsterID10</t>
  </si>
  <si>
    <t>MonsterCount10</t>
  </si>
  <si>
    <t>##type</t>
  </si>
  <si>
    <t>int</t>
  </si>
  <si>
    <t>string</t>
  </si>
  <si>
    <t>##group</t>
  </si>
  <si>
    <t>##</t>
  </si>
  <si>
    <t>编号</t>
  </si>
  <si>
    <t>场景名称</t>
  </si>
  <si>
    <t>怪物类型</t>
  </si>
  <si>
    <t>怪物数量</t>
  </si>
  <si>
    <t>说明</t>
  </si>
  <si>
    <t>刷新位置</t>
  </si>
  <si>
    <t>怪物1配置ID</t>
  </si>
  <si>
    <t>怪物1数量</t>
  </si>
  <si>
    <t>怪物2配置ID</t>
  </si>
  <si>
    <t>怪物2数量</t>
  </si>
  <si>
    <t>怪物3配置ID</t>
  </si>
  <si>
    <t>怪物3数量</t>
  </si>
  <si>
    <t>怪物4配置ID</t>
  </si>
  <si>
    <t>怪物4数量</t>
  </si>
  <si>
    <t>怪物5配置ID</t>
  </si>
  <si>
    <t>怪物5数量</t>
  </si>
  <si>
    <t>怪物6配置ID</t>
  </si>
  <si>
    <t>怪物6数量</t>
  </si>
  <si>
    <t>怪物7配置ID</t>
  </si>
  <si>
    <t>怪物7数量</t>
  </si>
  <si>
    <t>怪物8配置ID</t>
  </si>
  <si>
    <t>怪物8数量</t>
  </si>
  <si>
    <t>怪物9配置ID</t>
  </si>
  <si>
    <t>怪物9数量</t>
  </si>
  <si>
    <t>怪物10配置ID</t>
  </si>
  <si>
    <t>怪物10数量</t>
  </si>
  <si>
    <t>银杏渔村</t>
  </si>
  <si>
    <t>BOSS</t>
  </si>
  <si>
    <t>一个BOSS，数量表示不同BOSS</t>
  </si>
  <si>
    <t>区域中心</t>
  </si>
  <si>
    <t>精英</t>
  </si>
  <si>
    <t>一个精英，数量表示不同精英</t>
  </si>
  <si>
    <t>小怪0</t>
  </si>
  <si>
    <t>鸡</t>
  </si>
  <si>
    <t>区域随机</t>
  </si>
  <si>
    <t>小怪1</t>
  </si>
  <si>
    <t>鹿</t>
  </si>
  <si>
    <t>小怪2</t>
  </si>
  <si>
    <t>羊</t>
  </si>
  <si>
    <t>小怪3</t>
  </si>
  <si>
    <t>稻草人</t>
  </si>
  <si>
    <t>小怪4</t>
  </si>
  <si>
    <t>蛤蟆</t>
  </si>
  <si>
    <t>NPC鸡</t>
  </si>
  <si>
    <t>比奇城</t>
  </si>
  <si>
    <t>本图1个BOSS</t>
  </si>
  <si>
    <t>比奇城内鸡4</t>
  </si>
  <si>
    <t>鹿4只</t>
  </si>
  <si>
    <t>羊4只</t>
  </si>
  <si>
    <t>稻草人4</t>
  </si>
  <si>
    <t>蛤蟆4</t>
  </si>
  <si>
    <t>多钩猫4</t>
  </si>
  <si>
    <t>钉耙猫4</t>
  </si>
  <si>
    <t>半兽人4</t>
  </si>
  <si>
    <t>毒蜘蛛4</t>
  </si>
  <si>
    <t>森林雪人4</t>
  </si>
  <si>
    <t>食人花4</t>
  </si>
  <si>
    <t>红蛇4</t>
  </si>
  <si>
    <t>虎蛇4</t>
  </si>
  <si>
    <t>狼4</t>
  </si>
  <si>
    <t>虎卫4</t>
  </si>
  <si>
    <t>鹰卫4</t>
  </si>
  <si>
    <t>多角虫4</t>
  </si>
  <si>
    <t>盔甲虫4</t>
  </si>
  <si>
    <t>沙虫4</t>
  </si>
  <si>
    <t>蝎子4</t>
  </si>
  <si>
    <t>比奇城内鸡10</t>
  </si>
  <si>
    <t>鹿10只</t>
  </si>
  <si>
    <t>羊10只</t>
  </si>
  <si>
    <t>稻草人10</t>
  </si>
  <si>
    <t>蛤蟆10</t>
  </si>
  <si>
    <t>多钩猫10</t>
  </si>
  <si>
    <t>钉耙猫10</t>
  </si>
  <si>
    <t>半兽人10</t>
  </si>
  <si>
    <t>毒蜘蛛10</t>
  </si>
  <si>
    <t>森林雪人10</t>
  </si>
  <si>
    <t>食人花10</t>
  </si>
  <si>
    <t>红蛇10</t>
  </si>
  <si>
    <t>虎蛇10</t>
  </si>
  <si>
    <t>狼10</t>
  </si>
  <si>
    <t>虎卫10</t>
  </si>
  <si>
    <t>鹰卫10</t>
  </si>
  <si>
    <t>多角虫10</t>
  </si>
  <si>
    <t>盔甲虫10</t>
  </si>
  <si>
    <t>沙虫10</t>
  </si>
  <si>
    <t>蝎子10</t>
  </si>
  <si>
    <t>鹿15只</t>
  </si>
  <si>
    <t>羊15只</t>
  </si>
  <si>
    <t>稻草人15</t>
  </si>
  <si>
    <t>蛤蟆15</t>
  </si>
  <si>
    <t>多钩猫15</t>
  </si>
  <si>
    <t>钉耙猫15</t>
  </si>
  <si>
    <t>半兽人15</t>
  </si>
  <si>
    <t>毒蜘蛛15</t>
  </si>
  <si>
    <t>森林雪人15</t>
  </si>
  <si>
    <t>食人花15</t>
  </si>
  <si>
    <t>红蛇15</t>
  </si>
  <si>
    <t>虎蛇15</t>
  </si>
  <si>
    <t>狼15</t>
  </si>
  <si>
    <t>虎卫15</t>
  </si>
  <si>
    <t>鹰卫15</t>
  </si>
  <si>
    <t>多角虫15</t>
  </si>
  <si>
    <t>盔甲虫15</t>
  </si>
  <si>
    <t>沙虫15</t>
  </si>
  <si>
    <t>蝎子15</t>
  </si>
  <si>
    <t>鹿20只</t>
  </si>
  <si>
    <t>羊20只</t>
  </si>
  <si>
    <t>稻草人20</t>
  </si>
  <si>
    <t>蛤蟆20</t>
  </si>
  <si>
    <t>多钩猫20</t>
  </si>
  <si>
    <t>钉耙猫20</t>
  </si>
  <si>
    <t>半兽人20</t>
  </si>
  <si>
    <t>毒蜘蛛20</t>
  </si>
  <si>
    <t>森林雪人20</t>
  </si>
  <si>
    <t>食人花20</t>
  </si>
  <si>
    <t>红蛇20</t>
  </si>
  <si>
    <t>虎蛇20</t>
  </si>
  <si>
    <t>狼20</t>
  </si>
  <si>
    <t>虎卫20</t>
  </si>
  <si>
    <t>鹰卫20</t>
  </si>
  <si>
    <t>多角虫20</t>
  </si>
  <si>
    <t>盔甲虫20</t>
  </si>
  <si>
    <t>沙虫20</t>
  </si>
  <si>
    <t>蝎子20</t>
  </si>
  <si>
    <t>鹿25只</t>
  </si>
  <si>
    <t>羊25只</t>
  </si>
  <si>
    <t>稻草人25</t>
  </si>
  <si>
    <t>蛤蟆25</t>
  </si>
  <si>
    <t>多钩猫25</t>
  </si>
  <si>
    <t>钉耙猫25</t>
  </si>
  <si>
    <t>半兽人25</t>
  </si>
  <si>
    <t>毒蜘蛛25</t>
  </si>
  <si>
    <t>森林雪人25</t>
  </si>
  <si>
    <t>食人花25</t>
  </si>
  <si>
    <t>红蛇25</t>
  </si>
  <si>
    <t>虎蛇25</t>
  </si>
  <si>
    <t>狼25</t>
  </si>
  <si>
    <t>虎卫25</t>
  </si>
  <si>
    <t>鹰卫25</t>
  </si>
  <si>
    <t>多角虫25</t>
  </si>
  <si>
    <t>盔甲虫25</t>
  </si>
  <si>
    <t>沙虫25</t>
  </si>
  <si>
    <t>蝎子25</t>
  </si>
  <si>
    <t>兽人古墓一层</t>
  </si>
  <si>
    <t>山洞蝙蝠</t>
  </si>
  <si>
    <t>洞蛆</t>
  </si>
  <si>
    <t>骷髅</t>
  </si>
  <si>
    <t>骷髅战士</t>
  </si>
  <si>
    <t>骷髅战将</t>
  </si>
  <si>
    <t>兽人古墓二层</t>
  </si>
  <si>
    <t>掷斧骷髅</t>
  </si>
  <si>
    <t>小怪5</t>
  </si>
  <si>
    <t>骷髅精灵</t>
  </si>
  <si>
    <t>国王陵墓</t>
  </si>
  <si>
    <t>额外新增怪A</t>
  </si>
  <si>
    <t>额外新增怪B</t>
  </si>
  <si>
    <t>额外新增怪C</t>
  </si>
  <si>
    <t>废矿区东部</t>
  </si>
  <si>
    <t>僵尸A</t>
  </si>
  <si>
    <t>僵尸B</t>
  </si>
  <si>
    <t>僵尸C</t>
  </si>
  <si>
    <t>僵尸D</t>
  </si>
  <si>
    <t>僵尸E</t>
  </si>
  <si>
    <t>小怪6</t>
  </si>
  <si>
    <t>电僵尸</t>
  </si>
  <si>
    <t>尸王殿</t>
  </si>
  <si>
    <t>电僵尸A</t>
  </si>
  <si>
    <t>电僵尸B</t>
  </si>
  <si>
    <t>电僵尸C</t>
  </si>
  <si>
    <t>地牢</t>
  </si>
  <si>
    <t>黑色恶蛆</t>
  </si>
  <si>
    <t>跳跳蜂</t>
  </si>
  <si>
    <t>蜈蚣</t>
  </si>
  <si>
    <t>钳虫</t>
  </si>
  <si>
    <t>黑暗地带</t>
  </si>
  <si>
    <t>巨型蠕虫</t>
  </si>
  <si>
    <t>死亡棺材</t>
  </si>
  <si>
    <t>未知暗殿</t>
  </si>
  <si>
    <t>白野猪</t>
  </si>
  <si>
    <t>邪恶钳虫</t>
  </si>
  <si>
    <t>沃玛卫士</t>
  </si>
  <si>
    <t>邪恶毒蛇</t>
  </si>
  <si>
    <t>沃玛教主</t>
  </si>
  <si>
    <t>沃玛寺庙一层</t>
  </si>
  <si>
    <t>粪虫</t>
  </si>
  <si>
    <t>沃玛勇士</t>
  </si>
  <si>
    <t>沃玛战将</t>
  </si>
  <si>
    <t>火焰沃玛</t>
  </si>
  <si>
    <t>沃玛寺庙二层</t>
  </si>
  <si>
    <t>暗黑战士</t>
  </si>
  <si>
    <t>沃玛教主大殿</t>
  </si>
  <si>
    <t>石墓一层</t>
  </si>
  <si>
    <t>楔蛾</t>
  </si>
  <si>
    <t>黑野猪</t>
  </si>
  <si>
    <t>红野猪</t>
  </si>
  <si>
    <t>石墓阵入口</t>
  </si>
  <si>
    <t>蝎蛇</t>
  </si>
  <si>
    <t>角蝇</t>
  </si>
  <si>
    <t>石墓阵出口</t>
  </si>
  <si>
    <t>蝙蝠</t>
  </si>
  <si>
    <t>石墓顶层</t>
  </si>
  <si>
    <t>桃源之门</t>
  </si>
  <si>
    <t>蜜蜂</t>
  </si>
  <si>
    <t>神兽</t>
  </si>
  <si>
    <t>变异骷髅</t>
  </si>
  <si>
    <t>困惑殿堂</t>
  </si>
  <si>
    <t>暗之双头血魔</t>
  </si>
  <si>
    <t>祖玛寺庙一层</t>
  </si>
  <si>
    <t>大老鼠</t>
  </si>
  <si>
    <t>祖玛卫士</t>
  </si>
  <si>
    <t>祖玛弓箭手</t>
  </si>
  <si>
    <t>祖玛寺庙二层</t>
  </si>
  <si>
    <t>祖玛雕像</t>
  </si>
  <si>
    <t>祖玛阁</t>
  </si>
  <si>
    <t>祖玛教主之家</t>
  </si>
  <si>
    <t>封魔矿区</t>
  </si>
  <si>
    <t>僵尸</t>
  </si>
  <si>
    <t>光芒回廊</t>
  </si>
  <si>
    <t>小怪7</t>
  </si>
  <si>
    <t>封魔殿</t>
  </si>
  <si>
    <t>尸魔洞一层</t>
  </si>
  <si>
    <t>恶灵僵尸</t>
  </si>
  <si>
    <t>恶灵尸王</t>
  </si>
  <si>
    <t>尸魔洞二层</t>
  </si>
  <si>
    <t>骨魔洞一层</t>
  </si>
  <si>
    <t>骷髅弓箭手</t>
  </si>
  <si>
    <t>骷髅刀斧手</t>
  </si>
  <si>
    <t>骷髅长枪兵</t>
  </si>
  <si>
    <t>骷髅锤兵</t>
  </si>
  <si>
    <t>骨魔洞二层</t>
  </si>
  <si>
    <t>牛魔寺庙入口</t>
  </si>
  <si>
    <t>牛魔斗士</t>
  </si>
  <si>
    <t>牛头魔</t>
  </si>
  <si>
    <t>牛魔战士</t>
  </si>
  <si>
    <t>牛魔法师</t>
  </si>
  <si>
    <t>牛魔将军</t>
  </si>
  <si>
    <t>牛魔寺庙一层</t>
  </si>
  <si>
    <t>牛魔祭祀</t>
  </si>
  <si>
    <t>牛魔侍卫</t>
  </si>
  <si>
    <t>牛魔寺庙大厅</t>
  </si>
  <si>
    <t>丛林迷宫</t>
  </si>
  <si>
    <t>天狼蜘蛛</t>
  </si>
  <si>
    <t>钢牙蜘蛛</t>
  </si>
  <si>
    <t>暴牙蜘蛛</t>
  </si>
  <si>
    <t>黑锷蜘蛛</t>
  </si>
  <si>
    <t>花吻蜘蛛</t>
  </si>
  <si>
    <t>赤月峡谷西走廊</t>
  </si>
  <si>
    <t>月魔蜘蛛</t>
  </si>
  <si>
    <t>赤月峡谷东二层</t>
  </si>
  <si>
    <t>赤月峡谷广场</t>
  </si>
  <si>
    <t>抉择之地</t>
  </si>
  <si>
    <t>血巨人</t>
  </si>
  <si>
    <t>邪恶巨人</t>
  </si>
  <si>
    <t>血僵尸</t>
  </si>
  <si>
    <t>恶魔祭坛</t>
  </si>
  <si>
    <t>赤月魔穴</t>
  </si>
  <si>
    <t>版本号</t>
  </si>
  <si>
    <t>内容</t>
  </si>
  <si>
    <t>V1.12</t>
  </si>
  <si>
    <t>减少数量</t>
  </si>
  <si>
    <t>V1.13</t>
  </si>
  <si>
    <t>增加刷怪场景</t>
  </si>
  <si>
    <t>V1.14</t>
  </si>
  <si>
    <t>增加两个测试木桩，30和31</t>
  </si>
  <si>
    <t>V1.15</t>
  </si>
  <si>
    <t>增加蛤蟆刷新场景</t>
  </si>
  <si>
    <t>V1.16</t>
  </si>
  <si>
    <t>重新整理怪物刷新配置，新增，改ID规则等</t>
  </si>
  <si>
    <t>V1.17</t>
  </si>
  <si>
    <t>新增新手村刷怪方案；比奇城boss怪物更改为木桩；</t>
  </si>
  <si>
    <t>V1.18</t>
  </si>
  <si>
    <t>V1.19</t>
  </si>
  <si>
    <t>V1.20</t>
  </si>
  <si>
    <t>V1.21</t>
  </si>
  <si>
    <t>V1.22</t>
  </si>
  <si>
    <t>V1.23</t>
  </si>
  <si>
    <t>V1.24</t>
  </si>
  <si>
    <t>V1.25</t>
  </si>
  <si>
    <t>V1.26</t>
  </si>
  <si>
    <t>V1.27</t>
  </si>
  <si>
    <t>V1.28</t>
  </si>
  <si>
    <t>V1.29</t>
  </si>
  <si>
    <t>V1.30</t>
  </si>
  <si>
    <t>V1.31</t>
  </si>
  <si>
    <t>V1.32</t>
  </si>
  <si>
    <t>教主大殿</t>
  </si>
  <si>
    <t>石墓阵顶层</t>
  </si>
  <si>
    <t>怪1</t>
  </si>
  <si>
    <t>怪2</t>
  </si>
  <si>
    <t>怪3</t>
  </si>
  <si>
    <t>怪4</t>
  </si>
  <si>
    <t>怪5</t>
  </si>
  <si>
    <t>怪6</t>
  </si>
  <si>
    <t>场景名</t>
  </si>
  <si>
    <t>类型</t>
  </si>
  <si>
    <t>怪物刷新配置1开头7位数</t>
  </si>
  <si>
    <t>第1位</t>
  </si>
  <si>
    <t>1开头</t>
  </si>
  <si>
    <t>第2位</t>
  </si>
  <si>
    <t>用场景来代表级别。相当于装备的阶级，沃玛级，祖玛级，苍月级，赤月级等，2位应该够，暂时用3位保险。这个级别和场景区域配置严格匹配，相等。和其他一样，表示在哪个地图</t>
  </si>
  <si>
    <t>第3位</t>
  </si>
  <si>
    <t>第4位</t>
  </si>
  <si>
    <t>第5位</t>
  </si>
  <si>
    <t>怪物身份，区分普通/精英怪/BOSS</t>
  </si>
  <si>
    <t>第6位</t>
  </si>
  <si>
    <t>具体数字表示这个怪物刷新配置里刷多少个怪100以内可以随便填
也可以用不同数字代表不同的BOSS，比如末位配置1，2，3，4表示都刷新一个，分别代表BOSS1,BOSS2,BOSS3,BOSS4</t>
  </si>
  <si>
    <t>第7位</t>
  </si>
  <si>
    <t>##</t>
    <phoneticPr fontId="6" type="noConversion"/>
  </si>
  <si>
    <t>spawn_monsters</t>
    <phoneticPr fontId="6" type="noConversion"/>
  </si>
  <si>
    <t>array,SpawnMonster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</si>
</sst>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宋体"/>
      <charset val="134"/>
      <scheme val="minor"/>
    </font>
    <font>
      <sz val="9"/>
      <color indexed="8"/>
      <name val="微软雅黑"/>
      <family val="2"/>
      <charset val="134"/>
    </font>
    <font>
      <sz val="9"/>
      <color rgb="FF00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11"/>
      <color indexed="8"/>
      <name val="宋体"/>
      <family val="3"/>
      <charset val="134"/>
    </font>
    <font>
      <sz val="9"/>
      <color theme="1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3" borderId="0" xfId="0" applyFont="1" applyFill="1">
      <alignment vertical="center"/>
    </xf>
    <xf numFmtId="0" fontId="5" fillId="3" borderId="0" xfId="0" applyFont="1" applyFill="1" applyAlignment="1">
      <alignment horizontal="center" vertical="center"/>
    </xf>
    <xf numFmtId="0" fontId="5" fillId="0" borderId="1" xfId="0" applyFont="1" applyBorder="1">
      <alignment vertical="center"/>
    </xf>
    <xf numFmtId="0" fontId="5" fillId="0" borderId="0" xfId="0" applyFont="1" applyAlignment="1">
      <alignment horizontal="center" vertical="center"/>
    </xf>
    <xf numFmtId="0" fontId="1" fillId="0" borderId="1" xfId="0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1" fillId="4" borderId="0" xfId="0" applyFont="1" applyFill="1">
      <alignment vertical="center"/>
    </xf>
    <xf numFmtId="0" fontId="0" fillId="0" borderId="0" xfId="0" applyAlignment="1"/>
    <xf numFmtId="0" fontId="2" fillId="0" borderId="0" xfId="0" applyFont="1" applyAlignment="1">
      <alignment horizontal="left" vertical="center" wrapText="1"/>
    </xf>
    <xf numFmtId="0" fontId="0" fillId="0" borderId="0" xfId="0" applyAlignment="1"/>
    <xf numFmtId="0" fontId="3" fillId="0" borderId="0" xfId="0" applyFont="1" applyAlignment="1">
      <alignment horizontal="left" vertical="center" wrapText="1"/>
    </xf>
    <xf numFmtId="0" fontId="5" fillId="3" borderId="0" xfId="0" applyFont="1" applyFill="1" applyAlignment="1">
      <alignment horizontal="center" vertical="center"/>
    </xf>
  </cellXfs>
  <cellStyles count="1">
    <cellStyle name="常规" xfId="0" builtinId="0"/>
  </cellStyles>
  <dxfs count="309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308"/>
      <tableStyleElement type="headerRow" dxfId="307"/>
      <tableStyleElement type="totalRow" dxfId="306"/>
      <tableStyleElement type="firstColumn" dxfId="305"/>
      <tableStyleElement type="lastColumn" dxfId="304"/>
      <tableStyleElement type="firstRowStripe" dxfId="303"/>
      <tableStyleElement type="firstColumnStripe" dxfId="302"/>
    </tableStyle>
    <tableStyle name="PivotStylePreset2_Accent1" table="0" count="10" xr9:uid="{00000000-0011-0000-FFFF-FFFF01000000}">
      <tableStyleElement type="headerRow" dxfId="301"/>
      <tableStyleElement type="totalRow" dxfId="300"/>
      <tableStyleElement type="firstRowStripe" dxfId="299"/>
      <tableStyleElement type="firstColumnStripe" dxfId="298"/>
      <tableStyleElement type="firstSubtotalRow" dxfId="297"/>
      <tableStyleElement type="secondSubtotalRow" dxfId="296"/>
      <tableStyleElement type="firstRowSubheading" dxfId="295"/>
      <tableStyleElement type="secondRowSubheading" dxfId="294"/>
      <tableStyleElement type="pageFieldLabels" dxfId="293"/>
      <tableStyleElement type="pageFieldValues" dxfId="29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uaiWu1.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4618;&#29289;&#34920;1.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Monster"/>
      <sheetName val="策划用表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Monster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63"/>
  <sheetViews>
    <sheetView tabSelected="1" workbookViewId="0">
      <pane ySplit="2" topLeftCell="A3" activePane="bottomLeft" state="frozen"/>
      <selection pane="bottomLeft" activeCell="H2" sqref="H2:AA2"/>
    </sheetView>
  </sheetViews>
  <sheetFormatPr defaultColWidth="8.7265625" defaultRowHeight="13" x14ac:dyDescent="0.25"/>
  <cols>
    <col min="1" max="1" width="8.81640625" style="8" customWidth="1"/>
    <col min="2" max="2" width="8.453125" style="8" bestFit="1" customWidth="1"/>
    <col min="3" max="3" width="13" style="8" bestFit="1" customWidth="1"/>
    <col min="4" max="4" width="7.81640625" style="8" bestFit="1" customWidth="1"/>
    <col min="5" max="5" width="23.08984375" style="8" customWidth="1"/>
    <col min="6" max="6" width="25.54296875" style="8" bestFit="1" customWidth="1"/>
    <col min="7" max="7" width="11.26953125" style="8" customWidth="1"/>
    <col min="8" max="8" width="10.6328125" style="8" bestFit="1" customWidth="1"/>
    <col min="9" max="9" width="11.26953125" style="8" customWidth="1"/>
    <col min="10" max="10" width="8.7265625" style="8" customWidth="1"/>
    <col min="11" max="11" width="11.26953125" style="8" customWidth="1"/>
    <col min="12" max="12" width="8.7265625" style="8" customWidth="1"/>
    <col min="13" max="13" width="11.26953125" style="8" customWidth="1"/>
    <col min="14" max="14" width="8.7265625" style="8" customWidth="1"/>
    <col min="15" max="15" width="11.26953125" style="8" customWidth="1"/>
    <col min="16" max="16" width="8.7265625" style="8" customWidth="1"/>
    <col min="17" max="17" width="11.26953125" style="8" customWidth="1"/>
    <col min="18" max="18" width="8.7265625" style="8" customWidth="1"/>
    <col min="19" max="19" width="11.26953125" style="8" customWidth="1"/>
    <col min="20" max="20" width="8.7265625" style="8" customWidth="1"/>
    <col min="21" max="21" width="11.26953125" style="8" customWidth="1"/>
    <col min="22" max="22" width="8.7265625" style="8" customWidth="1"/>
    <col min="23" max="23" width="11.26953125" style="8" customWidth="1"/>
    <col min="24" max="24" width="8.7265625" style="8" customWidth="1"/>
    <col min="25" max="25" width="11.26953125" style="8" customWidth="1"/>
    <col min="26" max="26" width="8.7265625" style="8" customWidth="1"/>
    <col min="27" max="16384" width="8.7265625" style="8"/>
  </cols>
  <sheetData>
    <row r="1" spans="1:27" x14ac:dyDescent="0.25">
      <c r="A1" s="10" t="s">
        <v>0</v>
      </c>
      <c r="B1" s="10" t="s">
        <v>1</v>
      </c>
      <c r="C1" s="9"/>
      <c r="D1" s="9"/>
      <c r="E1" s="9"/>
      <c r="F1" s="9"/>
      <c r="G1" s="10" t="s">
        <v>2</v>
      </c>
      <c r="H1" s="20" t="s">
        <v>336</v>
      </c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spans="1:27" x14ac:dyDescent="0.25">
      <c r="A2" s="10" t="s">
        <v>23</v>
      </c>
      <c r="B2" s="10" t="s">
        <v>24</v>
      </c>
      <c r="C2" s="9"/>
      <c r="D2" s="9"/>
      <c r="E2" s="9"/>
      <c r="F2" s="9"/>
      <c r="G2" s="10" t="s">
        <v>25</v>
      </c>
      <c r="H2" s="20" t="s">
        <v>337</v>
      </c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</row>
    <row r="3" spans="1:27" x14ac:dyDescent="0.25">
      <c r="A3" s="10" t="s">
        <v>26</v>
      </c>
      <c r="B3" s="10"/>
      <c r="C3" s="9"/>
      <c r="D3" s="9"/>
      <c r="E3" s="9"/>
      <c r="F3" s="9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1:27" x14ac:dyDescent="0.25">
      <c r="A4" s="10" t="s">
        <v>27</v>
      </c>
      <c r="B4" s="9" t="s">
        <v>28</v>
      </c>
      <c r="C4" s="9" t="s">
        <v>29</v>
      </c>
      <c r="D4" s="9" t="s">
        <v>30</v>
      </c>
      <c r="E4" s="9" t="s">
        <v>31</v>
      </c>
      <c r="F4" s="9" t="s">
        <v>32</v>
      </c>
      <c r="G4" s="10" t="s">
        <v>33</v>
      </c>
      <c r="H4" s="10" t="s">
        <v>34</v>
      </c>
      <c r="I4" s="9" t="s">
        <v>35</v>
      </c>
      <c r="J4" s="10" t="s">
        <v>36</v>
      </c>
      <c r="K4" s="9" t="s">
        <v>37</v>
      </c>
      <c r="L4" s="10" t="s">
        <v>38</v>
      </c>
      <c r="M4" s="9" t="s">
        <v>39</v>
      </c>
      <c r="N4" s="10" t="s">
        <v>40</v>
      </c>
      <c r="O4" s="9" t="s">
        <v>41</v>
      </c>
      <c r="P4" s="10" t="s">
        <v>42</v>
      </c>
      <c r="Q4" s="9" t="s">
        <v>43</v>
      </c>
      <c r="R4" s="10" t="s">
        <v>44</v>
      </c>
      <c r="S4" s="9" t="s">
        <v>45</v>
      </c>
      <c r="T4" s="10" t="s">
        <v>46</v>
      </c>
      <c r="U4" s="9" t="s">
        <v>47</v>
      </c>
      <c r="V4" s="10" t="s">
        <v>48</v>
      </c>
      <c r="W4" s="9" t="s">
        <v>49</v>
      </c>
      <c r="X4" s="10" t="s">
        <v>50</v>
      </c>
      <c r="Y4" s="9" t="s">
        <v>51</v>
      </c>
      <c r="Z4" s="10" t="s">
        <v>52</v>
      </c>
      <c r="AA4" s="9" t="s">
        <v>53</v>
      </c>
    </row>
    <row r="5" spans="1:27" x14ac:dyDescent="0.25">
      <c r="B5" s="8">
        <f>1000000+INDEX(编号表!$B:$B,MATCH(C5,编号表!$A:$A,0))*1000+INDEX(编号表!$D:$D,MATCH(D5,编号表!$C:$C,0))*100+E5</f>
        <v>1001001</v>
      </c>
      <c r="C5" s="2" t="s">
        <v>54</v>
      </c>
      <c r="D5" s="8" t="s">
        <v>55</v>
      </c>
      <c r="E5" s="8">
        <v>1</v>
      </c>
      <c r="F5" s="11" t="s">
        <v>56</v>
      </c>
      <c r="G5" s="12" t="s">
        <v>57</v>
      </c>
      <c r="H5" s="2">
        <v>60011000</v>
      </c>
      <c r="I5" s="8">
        <v>1</v>
      </c>
    </row>
    <row r="6" spans="1:27" x14ac:dyDescent="0.25">
      <c r="B6" s="8">
        <f>1000000+INDEX(编号表!$B:$B,MATCH(C6,编号表!$A:$A,0))*1000+INDEX(编号表!$D:$D,MATCH(D6,编号表!$C:$C,0))*100+E6</f>
        <v>1001002</v>
      </c>
      <c r="C6" s="2" t="s">
        <v>54</v>
      </c>
      <c r="D6" s="8" t="s">
        <v>55</v>
      </c>
      <c r="E6" s="8">
        <v>2</v>
      </c>
      <c r="F6" s="11" t="s">
        <v>56</v>
      </c>
      <c r="G6" s="12" t="s">
        <v>57</v>
      </c>
      <c r="H6" s="2">
        <v>60011001</v>
      </c>
      <c r="I6" s="8">
        <v>2</v>
      </c>
    </row>
    <row r="7" spans="1:27" x14ac:dyDescent="0.25">
      <c r="B7" s="8">
        <f>1000000+INDEX(编号表!$B:$B,MATCH(C7,编号表!$A:$A,0))*1000+INDEX(编号表!$D:$D,MATCH(D7,编号表!$C:$C,0))*100+E7</f>
        <v>1001003</v>
      </c>
      <c r="C7" s="2" t="s">
        <v>54</v>
      </c>
      <c r="D7" s="8" t="s">
        <v>55</v>
      </c>
      <c r="E7" s="8">
        <v>3</v>
      </c>
      <c r="F7" s="11" t="s">
        <v>56</v>
      </c>
      <c r="G7" s="12" t="s">
        <v>57</v>
      </c>
      <c r="H7" s="2">
        <v>60011002</v>
      </c>
      <c r="I7" s="8">
        <v>3</v>
      </c>
    </row>
    <row r="8" spans="1:27" x14ac:dyDescent="0.25">
      <c r="B8" s="8">
        <f>1000000+INDEX(编号表!$B:$B,MATCH(C8,编号表!$A:$A,0))*1000+INDEX(编号表!$D:$D,MATCH(D8,编号表!$C:$C,0))*100+E8</f>
        <v>1001004</v>
      </c>
      <c r="C8" s="2" t="s">
        <v>54</v>
      </c>
      <c r="D8" s="8" t="s">
        <v>55</v>
      </c>
      <c r="E8" s="8">
        <v>4</v>
      </c>
      <c r="F8" s="11" t="s">
        <v>56</v>
      </c>
      <c r="G8" s="12" t="s">
        <v>57</v>
      </c>
      <c r="H8" s="2">
        <v>60014001</v>
      </c>
      <c r="I8" s="8">
        <v>1</v>
      </c>
    </row>
    <row r="9" spans="1:27" x14ac:dyDescent="0.25">
      <c r="B9" s="8">
        <f>1000000+INDEX(编号表!$B:$B,MATCH(C9,编号表!$A:$A,0))*1000+INDEX(编号表!$D:$D,MATCH(D9,编号表!$C:$C,0))*100+E9</f>
        <v>1001005</v>
      </c>
      <c r="C9" s="2" t="s">
        <v>54</v>
      </c>
      <c r="D9" s="8" t="s">
        <v>55</v>
      </c>
      <c r="E9" s="8">
        <v>5</v>
      </c>
      <c r="F9" s="11" t="s">
        <v>56</v>
      </c>
      <c r="G9" s="12" t="s">
        <v>57</v>
      </c>
      <c r="H9" s="2">
        <v>60014002</v>
      </c>
      <c r="I9" s="8">
        <v>1</v>
      </c>
    </row>
    <row r="10" spans="1:27" x14ac:dyDescent="0.25">
      <c r="B10" s="8">
        <f>1000000+INDEX(编号表!$B:$B,MATCH(C10,编号表!$A:$A,0))*1000+INDEX(编号表!$D:$D,MATCH(D10,编号表!$C:$C,0))*100+E10</f>
        <v>1001101</v>
      </c>
      <c r="C10" s="2" t="s">
        <v>54</v>
      </c>
      <c r="D10" s="8" t="s">
        <v>58</v>
      </c>
      <c r="E10" s="8">
        <v>1</v>
      </c>
      <c r="F10" s="11" t="s">
        <v>59</v>
      </c>
      <c r="G10" s="12" t="s">
        <v>57</v>
      </c>
      <c r="H10" s="8">
        <v>60011003</v>
      </c>
      <c r="I10" s="8">
        <v>1</v>
      </c>
    </row>
    <row r="11" spans="1:27" x14ac:dyDescent="0.25">
      <c r="B11" s="8">
        <f>1000000+INDEX(编号表!$B:$B,MATCH(C11,编号表!$A:$A,0))*1000+INDEX(编号表!$D:$D,MATCH(D11,编号表!$C:$C,0))*100+E11</f>
        <v>1001201</v>
      </c>
      <c r="C11" s="2" t="s">
        <v>54</v>
      </c>
      <c r="D11" s="8" t="s">
        <v>60</v>
      </c>
      <c r="E11" s="8">
        <f t="shared" ref="E11:E40" si="0">I11+K11+M11+O11+Q11+S11+U11+W11+Y11+AA11</f>
        <v>1</v>
      </c>
      <c r="F11" s="2" t="s">
        <v>61</v>
      </c>
      <c r="G11" s="12" t="s">
        <v>62</v>
      </c>
      <c r="H11" s="2">
        <v>60011000</v>
      </c>
      <c r="I11" s="8">
        <v>1</v>
      </c>
    </row>
    <row r="12" spans="1:27" x14ac:dyDescent="0.25">
      <c r="B12" s="8">
        <f>1000000+INDEX(编号表!$B:$B,MATCH(C12,编号表!$A:$A,0))*1000+INDEX(编号表!$D:$D,MATCH(D12,编号表!$C:$C,0))*100+E12</f>
        <v>1001301</v>
      </c>
      <c r="C12" s="2" t="s">
        <v>54</v>
      </c>
      <c r="D12" s="8" t="s">
        <v>63</v>
      </c>
      <c r="E12" s="8">
        <f t="shared" si="0"/>
        <v>1</v>
      </c>
      <c r="F12" s="2" t="s">
        <v>64</v>
      </c>
      <c r="G12" s="12" t="s">
        <v>62</v>
      </c>
      <c r="H12" s="2">
        <v>60011001</v>
      </c>
      <c r="I12" s="8">
        <v>1</v>
      </c>
    </row>
    <row r="13" spans="1:27" x14ac:dyDescent="0.25">
      <c r="B13" s="8">
        <f>1000000+INDEX(编号表!$B:$B,MATCH(C13,编号表!$A:$A,0))*1000+INDEX(编号表!$D:$D,MATCH(D13,编号表!$C:$C,0))*100+E13</f>
        <v>1001401</v>
      </c>
      <c r="C13" s="2" t="s">
        <v>54</v>
      </c>
      <c r="D13" s="8" t="s">
        <v>65</v>
      </c>
      <c r="E13" s="8">
        <f t="shared" si="0"/>
        <v>1</v>
      </c>
      <c r="F13" s="2" t="s">
        <v>66</v>
      </c>
      <c r="G13" s="12" t="s">
        <v>62</v>
      </c>
      <c r="H13" s="2">
        <v>60011002</v>
      </c>
      <c r="I13" s="8">
        <v>1</v>
      </c>
    </row>
    <row r="14" spans="1:27" x14ac:dyDescent="0.25">
      <c r="B14" s="8">
        <f>1000000+INDEX(编号表!$B:$B,MATCH(C14,编号表!$A:$A,0))*1000+INDEX(编号表!$D:$D,MATCH(D14,编号表!$C:$C,0))*100+E14</f>
        <v>1001501</v>
      </c>
      <c r="C14" s="2" t="s">
        <v>54</v>
      </c>
      <c r="D14" s="8" t="s">
        <v>67</v>
      </c>
      <c r="E14" s="8">
        <f t="shared" si="0"/>
        <v>1</v>
      </c>
      <c r="F14" s="2" t="s">
        <v>68</v>
      </c>
      <c r="G14" s="12" t="s">
        <v>62</v>
      </c>
      <c r="H14" s="8">
        <v>60011003</v>
      </c>
      <c r="I14" s="8">
        <v>1</v>
      </c>
    </row>
    <row r="15" spans="1:27" x14ac:dyDescent="0.25">
      <c r="B15" s="8">
        <f>1000000+INDEX(编号表!$B:$B,MATCH(C15,编号表!$A:$A,0))*1000+INDEX(编号表!$D:$D,MATCH(D15,编号表!$C:$C,0))*100+E15</f>
        <v>1001601</v>
      </c>
      <c r="C15" s="2" t="s">
        <v>54</v>
      </c>
      <c r="D15" s="8" t="s">
        <v>69</v>
      </c>
      <c r="E15" s="8">
        <f t="shared" si="0"/>
        <v>1</v>
      </c>
      <c r="F15" s="2" t="s">
        <v>70</v>
      </c>
      <c r="G15" s="12" t="s">
        <v>62</v>
      </c>
      <c r="H15" s="8">
        <v>60011004</v>
      </c>
      <c r="I15" s="8">
        <v>1</v>
      </c>
    </row>
    <row r="16" spans="1:27" x14ac:dyDescent="0.25">
      <c r="B16" s="8">
        <f>1000000+INDEX(编号表!$B:$B,MATCH(C16,编号表!$A:$A,0))*1000+INDEX(编号表!$D:$D,MATCH(D16,编号表!$C:$C,0))*100+E16</f>
        <v>1001202</v>
      </c>
      <c r="C16" s="2" t="s">
        <v>54</v>
      </c>
      <c r="D16" s="8" t="s">
        <v>60</v>
      </c>
      <c r="E16" s="8">
        <f t="shared" si="0"/>
        <v>2</v>
      </c>
      <c r="F16" s="2" t="s">
        <v>71</v>
      </c>
      <c r="G16" s="12" t="s">
        <v>62</v>
      </c>
      <c r="H16" s="8">
        <v>60011020</v>
      </c>
      <c r="I16" s="8">
        <v>2</v>
      </c>
    </row>
    <row r="17" spans="2:9" x14ac:dyDescent="0.25">
      <c r="B17" s="8">
        <f>1000000+INDEX(编号表!$B:$B,MATCH(C17,编号表!$A:$A,0))*1000+INDEX(编号表!$D:$D,MATCH(D17,编号表!$C:$C,0))*100+E17</f>
        <v>1001302</v>
      </c>
      <c r="C17" s="2" t="s">
        <v>54</v>
      </c>
      <c r="D17" s="8" t="s">
        <v>63</v>
      </c>
      <c r="E17" s="8">
        <f t="shared" si="0"/>
        <v>2</v>
      </c>
      <c r="F17" s="2" t="s">
        <v>64</v>
      </c>
      <c r="G17" s="12" t="s">
        <v>62</v>
      </c>
      <c r="H17" s="8">
        <v>60011001</v>
      </c>
      <c r="I17" s="8">
        <v>2</v>
      </c>
    </row>
    <row r="18" spans="2:9" x14ac:dyDescent="0.25">
      <c r="B18" s="8">
        <f>1000000+INDEX(编号表!$B:$B,MATCH(C18,编号表!$A:$A,0))*1000+INDEX(编号表!$D:$D,MATCH(D18,编号表!$C:$C,0))*100+E18</f>
        <v>1001402</v>
      </c>
      <c r="C18" s="2" t="s">
        <v>54</v>
      </c>
      <c r="D18" s="8" t="s">
        <v>65</v>
      </c>
      <c r="E18" s="8">
        <f t="shared" si="0"/>
        <v>2</v>
      </c>
      <c r="F18" s="2" t="s">
        <v>66</v>
      </c>
      <c r="G18" s="12" t="s">
        <v>62</v>
      </c>
      <c r="H18" s="8">
        <v>60011002</v>
      </c>
      <c r="I18" s="8">
        <v>2</v>
      </c>
    </row>
    <row r="19" spans="2:9" x14ac:dyDescent="0.25">
      <c r="B19" s="8">
        <f>1000000+INDEX(编号表!$B:$B,MATCH(C19,编号表!$A:$A,0))*1000+INDEX(编号表!$D:$D,MATCH(D19,编号表!$C:$C,0))*100+E19</f>
        <v>1001502</v>
      </c>
      <c r="C19" s="2" t="s">
        <v>54</v>
      </c>
      <c r="D19" s="8" t="s">
        <v>67</v>
      </c>
      <c r="E19" s="8">
        <f t="shared" si="0"/>
        <v>2</v>
      </c>
      <c r="F19" s="2" t="s">
        <v>68</v>
      </c>
      <c r="G19" s="12" t="s">
        <v>62</v>
      </c>
      <c r="H19" s="8">
        <v>60011003</v>
      </c>
      <c r="I19" s="8">
        <v>2</v>
      </c>
    </row>
    <row r="20" spans="2:9" x14ac:dyDescent="0.25">
      <c r="B20" s="8">
        <f>1000000+INDEX(编号表!$B:$B,MATCH(C20,编号表!$A:$A,0))*1000+INDEX(编号表!$D:$D,MATCH(D20,编号表!$C:$C,0))*100+E20</f>
        <v>1001602</v>
      </c>
      <c r="C20" s="2" t="s">
        <v>54</v>
      </c>
      <c r="D20" s="8" t="s">
        <v>69</v>
      </c>
      <c r="E20" s="8">
        <f t="shared" si="0"/>
        <v>2</v>
      </c>
      <c r="F20" s="2" t="s">
        <v>70</v>
      </c>
      <c r="G20" s="12" t="s">
        <v>62</v>
      </c>
      <c r="H20" s="8">
        <v>60011004</v>
      </c>
      <c r="I20" s="8">
        <v>2</v>
      </c>
    </row>
    <row r="21" spans="2:9" x14ac:dyDescent="0.25">
      <c r="B21" s="8">
        <f>1000000+INDEX(编号表!$B:$B,MATCH(C21,编号表!$A:$A,0))*1000+INDEX(编号表!$D:$D,MATCH(D21,编号表!$C:$C,0))*100+E21</f>
        <v>1001203</v>
      </c>
      <c r="C21" s="2" t="s">
        <v>54</v>
      </c>
      <c r="D21" s="8" t="s">
        <v>60</v>
      </c>
      <c r="E21" s="8">
        <f t="shared" si="0"/>
        <v>3</v>
      </c>
      <c r="F21" s="2" t="s">
        <v>61</v>
      </c>
      <c r="G21" s="12" t="s">
        <v>62</v>
      </c>
      <c r="H21" s="8">
        <v>60011000</v>
      </c>
      <c r="I21" s="8">
        <v>3</v>
      </c>
    </row>
    <row r="22" spans="2:9" x14ac:dyDescent="0.25">
      <c r="B22" s="8">
        <f>1000000+INDEX(编号表!$B:$B,MATCH(C22,编号表!$A:$A,0))*1000+INDEX(编号表!$D:$D,MATCH(D22,编号表!$C:$C,0))*100+E22</f>
        <v>1001303</v>
      </c>
      <c r="C22" s="2" t="s">
        <v>54</v>
      </c>
      <c r="D22" s="8" t="s">
        <v>63</v>
      </c>
      <c r="E22" s="8">
        <f t="shared" si="0"/>
        <v>3</v>
      </c>
      <c r="F22" s="2" t="s">
        <v>64</v>
      </c>
      <c r="G22" s="12" t="s">
        <v>62</v>
      </c>
      <c r="H22" s="8">
        <v>60011001</v>
      </c>
      <c r="I22" s="8">
        <v>3</v>
      </c>
    </row>
    <row r="23" spans="2:9" x14ac:dyDescent="0.25">
      <c r="B23" s="8">
        <f>1000000+INDEX(编号表!$B:$B,MATCH(C23,编号表!$A:$A,0))*1000+INDEX(编号表!$D:$D,MATCH(D23,编号表!$C:$C,0))*100+E23</f>
        <v>1001403</v>
      </c>
      <c r="C23" s="2" t="s">
        <v>54</v>
      </c>
      <c r="D23" s="8" t="s">
        <v>65</v>
      </c>
      <c r="E23" s="8">
        <f t="shared" si="0"/>
        <v>3</v>
      </c>
      <c r="F23" s="2" t="s">
        <v>66</v>
      </c>
      <c r="G23" s="12" t="s">
        <v>62</v>
      </c>
      <c r="H23" s="8">
        <v>60011002</v>
      </c>
      <c r="I23" s="8">
        <v>3</v>
      </c>
    </row>
    <row r="24" spans="2:9" x14ac:dyDescent="0.25">
      <c r="B24" s="8">
        <f>1000000+INDEX(编号表!$B:$B,MATCH(C24,编号表!$A:$A,0))*1000+INDEX(编号表!$D:$D,MATCH(D24,编号表!$C:$C,0))*100+E24</f>
        <v>1001503</v>
      </c>
      <c r="C24" s="2" t="s">
        <v>54</v>
      </c>
      <c r="D24" s="8" t="s">
        <v>67</v>
      </c>
      <c r="E24" s="8">
        <f t="shared" si="0"/>
        <v>3</v>
      </c>
      <c r="F24" s="2" t="s">
        <v>68</v>
      </c>
      <c r="G24" s="12" t="s">
        <v>62</v>
      </c>
      <c r="H24" s="8">
        <v>60011003</v>
      </c>
      <c r="I24" s="8">
        <v>3</v>
      </c>
    </row>
    <row r="25" spans="2:9" x14ac:dyDescent="0.25">
      <c r="B25" s="8">
        <f>1000000+INDEX(编号表!$B:$B,MATCH(C25,编号表!$A:$A,0))*1000+INDEX(编号表!$D:$D,MATCH(D25,编号表!$C:$C,0))*100+E25</f>
        <v>1001603</v>
      </c>
      <c r="C25" s="2" t="s">
        <v>54</v>
      </c>
      <c r="D25" s="8" t="s">
        <v>69</v>
      </c>
      <c r="E25" s="8">
        <f t="shared" si="0"/>
        <v>3</v>
      </c>
      <c r="F25" s="2" t="s">
        <v>70</v>
      </c>
      <c r="G25" s="12" t="s">
        <v>62</v>
      </c>
      <c r="H25" s="8">
        <v>60011004</v>
      </c>
      <c r="I25" s="8">
        <v>3</v>
      </c>
    </row>
    <row r="26" spans="2:9" x14ac:dyDescent="0.25">
      <c r="B26" s="8">
        <f>1000000+INDEX(编号表!$B:$B,MATCH(C26,编号表!$A:$A,0))*1000+INDEX(编号表!$D:$D,MATCH(D26,编号表!$C:$C,0))*100+E26</f>
        <v>1001205</v>
      </c>
      <c r="C26" s="2" t="s">
        <v>54</v>
      </c>
      <c r="D26" s="8" t="s">
        <v>60</v>
      </c>
      <c r="E26" s="8">
        <f t="shared" si="0"/>
        <v>5</v>
      </c>
      <c r="F26" s="2" t="s">
        <v>61</v>
      </c>
      <c r="G26" s="12" t="s">
        <v>62</v>
      </c>
      <c r="H26" s="8">
        <v>60011000</v>
      </c>
      <c r="I26" s="8">
        <v>5</v>
      </c>
    </row>
    <row r="27" spans="2:9" x14ac:dyDescent="0.25">
      <c r="B27" s="8">
        <f>1000000+INDEX(编号表!$B:$B,MATCH(C27,编号表!$A:$A,0))*1000+INDEX(编号表!$D:$D,MATCH(D27,编号表!$C:$C,0))*100+E27</f>
        <v>1001305</v>
      </c>
      <c r="C27" s="2" t="s">
        <v>54</v>
      </c>
      <c r="D27" s="8" t="s">
        <v>63</v>
      </c>
      <c r="E27" s="8">
        <f t="shared" si="0"/>
        <v>5</v>
      </c>
      <c r="F27" s="2" t="s">
        <v>64</v>
      </c>
      <c r="G27" s="12" t="s">
        <v>62</v>
      </c>
      <c r="H27" s="8">
        <v>60011001</v>
      </c>
      <c r="I27" s="8">
        <v>5</v>
      </c>
    </row>
    <row r="28" spans="2:9" x14ac:dyDescent="0.25">
      <c r="B28" s="8">
        <f>1000000+INDEX(编号表!$B:$B,MATCH(C28,编号表!$A:$A,0))*1000+INDEX(编号表!$D:$D,MATCH(D28,编号表!$C:$C,0))*100+E28</f>
        <v>1001405</v>
      </c>
      <c r="C28" s="2" t="s">
        <v>54</v>
      </c>
      <c r="D28" s="8" t="s">
        <v>65</v>
      </c>
      <c r="E28" s="8">
        <f t="shared" si="0"/>
        <v>5</v>
      </c>
      <c r="F28" s="2" t="s">
        <v>66</v>
      </c>
      <c r="G28" s="12" t="s">
        <v>62</v>
      </c>
      <c r="H28" s="8">
        <v>60011002</v>
      </c>
      <c r="I28" s="8">
        <v>5</v>
      </c>
    </row>
    <row r="29" spans="2:9" x14ac:dyDescent="0.25">
      <c r="B29" s="8">
        <f>1000000+INDEX(编号表!$B:$B,MATCH(C29,编号表!$A:$A,0))*1000+INDEX(编号表!$D:$D,MATCH(D29,编号表!$C:$C,0))*100+E29</f>
        <v>1001505</v>
      </c>
      <c r="C29" s="2" t="s">
        <v>54</v>
      </c>
      <c r="D29" s="8" t="s">
        <v>67</v>
      </c>
      <c r="E29" s="8">
        <f t="shared" si="0"/>
        <v>5</v>
      </c>
      <c r="F29" s="2" t="s">
        <v>68</v>
      </c>
      <c r="G29" s="12" t="s">
        <v>62</v>
      </c>
      <c r="H29" s="8">
        <v>60011003</v>
      </c>
      <c r="I29" s="8">
        <v>5</v>
      </c>
    </row>
    <row r="30" spans="2:9" x14ac:dyDescent="0.25">
      <c r="B30" s="8">
        <f>1000000+INDEX(编号表!$B:$B,MATCH(C30,编号表!$A:$A,0))*1000+INDEX(编号表!$D:$D,MATCH(D30,编号表!$C:$C,0))*100+E30</f>
        <v>1001605</v>
      </c>
      <c r="C30" s="2" t="s">
        <v>54</v>
      </c>
      <c r="D30" s="8" t="s">
        <v>69</v>
      </c>
      <c r="E30" s="8">
        <f t="shared" si="0"/>
        <v>5</v>
      </c>
      <c r="F30" s="2" t="s">
        <v>70</v>
      </c>
      <c r="G30" s="12" t="s">
        <v>62</v>
      </c>
      <c r="H30" s="8">
        <v>60011004</v>
      </c>
      <c r="I30" s="8">
        <v>5</v>
      </c>
    </row>
    <row r="31" spans="2:9" x14ac:dyDescent="0.25">
      <c r="B31" s="8">
        <f>1000000+INDEX(编号表!$B:$B,MATCH(C31,编号表!$A:$A,0))*1000+INDEX(编号表!$D:$D,MATCH(D31,编号表!$C:$C,0))*100+E31</f>
        <v>1001210</v>
      </c>
      <c r="C31" s="2" t="s">
        <v>54</v>
      </c>
      <c r="D31" s="8" t="s">
        <v>60</v>
      </c>
      <c r="E31" s="8">
        <f t="shared" si="0"/>
        <v>10</v>
      </c>
      <c r="F31" s="2" t="s">
        <v>61</v>
      </c>
      <c r="G31" s="12" t="s">
        <v>62</v>
      </c>
      <c r="H31" s="8">
        <v>60011000</v>
      </c>
      <c r="I31" s="8">
        <v>10</v>
      </c>
    </row>
    <row r="32" spans="2:9" x14ac:dyDescent="0.25">
      <c r="B32" s="8">
        <f>1000000+INDEX(编号表!$B:$B,MATCH(C32,编号表!$A:$A,0))*1000+INDEX(编号表!$D:$D,MATCH(D32,编号表!$C:$C,0))*100+E32</f>
        <v>1001310</v>
      </c>
      <c r="C32" s="2" t="s">
        <v>54</v>
      </c>
      <c r="D32" s="8" t="s">
        <v>63</v>
      </c>
      <c r="E32" s="8">
        <f t="shared" si="0"/>
        <v>10</v>
      </c>
      <c r="F32" s="2" t="s">
        <v>64</v>
      </c>
      <c r="G32" s="12" t="s">
        <v>62</v>
      </c>
      <c r="H32" s="8">
        <v>60011001</v>
      </c>
      <c r="I32" s="8">
        <v>10</v>
      </c>
    </row>
    <row r="33" spans="2:27" x14ac:dyDescent="0.25">
      <c r="B33" s="8">
        <f>1000000+INDEX(编号表!$B:$B,MATCH(C33,编号表!$A:$A,0))*1000+INDEX(编号表!$D:$D,MATCH(D33,编号表!$C:$C,0))*100+E33</f>
        <v>1001410</v>
      </c>
      <c r="C33" s="2" t="s">
        <v>54</v>
      </c>
      <c r="D33" s="8" t="s">
        <v>65</v>
      </c>
      <c r="E33" s="8">
        <f t="shared" si="0"/>
        <v>10</v>
      </c>
      <c r="F33" s="2" t="s">
        <v>66</v>
      </c>
      <c r="G33" s="12" t="s">
        <v>62</v>
      </c>
      <c r="H33" s="8">
        <v>60011002</v>
      </c>
      <c r="I33" s="8">
        <v>10</v>
      </c>
    </row>
    <row r="34" spans="2:27" x14ac:dyDescent="0.25">
      <c r="B34" s="8">
        <f>1000000+INDEX(编号表!$B:$B,MATCH(C34,编号表!$A:$A,0))*1000+INDEX(编号表!$D:$D,MATCH(D34,编号表!$C:$C,0))*100+E34</f>
        <v>1001510</v>
      </c>
      <c r="C34" s="2" t="s">
        <v>54</v>
      </c>
      <c r="D34" s="8" t="s">
        <v>67</v>
      </c>
      <c r="E34" s="8">
        <f t="shared" si="0"/>
        <v>10</v>
      </c>
      <c r="F34" s="2" t="s">
        <v>68</v>
      </c>
      <c r="G34" s="12" t="s">
        <v>62</v>
      </c>
      <c r="H34" s="8">
        <v>60011003</v>
      </c>
      <c r="I34" s="8">
        <v>10</v>
      </c>
    </row>
    <row r="35" spans="2:27" x14ac:dyDescent="0.25">
      <c r="B35" s="8">
        <f>1000000+INDEX(编号表!$B:$B,MATCH(C35,编号表!$A:$A,0))*1000+INDEX(编号表!$D:$D,MATCH(D35,编号表!$C:$C,0))*100+E35</f>
        <v>1001610</v>
      </c>
      <c r="C35" s="2" t="s">
        <v>54</v>
      </c>
      <c r="D35" s="8" t="s">
        <v>69</v>
      </c>
      <c r="E35" s="8">
        <f t="shared" si="0"/>
        <v>10</v>
      </c>
      <c r="F35" s="2" t="s">
        <v>70</v>
      </c>
      <c r="G35" s="12" t="s">
        <v>62</v>
      </c>
      <c r="H35" s="8">
        <v>60011004</v>
      </c>
      <c r="I35" s="8">
        <v>10</v>
      </c>
    </row>
    <row r="36" spans="2:27" x14ac:dyDescent="0.25">
      <c r="B36" s="8">
        <f>1000000+INDEX(编号表!$B:$B,MATCH(C36,编号表!$A:$A,0))*1000+INDEX(编号表!$D:$D,MATCH(D36,编号表!$C:$C,0))*100+E36</f>
        <v>1001215</v>
      </c>
      <c r="C36" s="2" t="s">
        <v>54</v>
      </c>
      <c r="D36" s="8" t="s">
        <v>60</v>
      </c>
      <c r="E36" s="8">
        <f t="shared" si="0"/>
        <v>15</v>
      </c>
      <c r="F36" s="2" t="s">
        <v>61</v>
      </c>
      <c r="G36" s="12" t="s">
        <v>62</v>
      </c>
      <c r="H36" s="8">
        <v>60011000</v>
      </c>
      <c r="I36" s="8">
        <v>15</v>
      </c>
    </row>
    <row r="37" spans="2:27" x14ac:dyDescent="0.25">
      <c r="B37" s="8">
        <f>1000000+INDEX(编号表!$B:$B,MATCH(C37,编号表!$A:$A,0))*1000+INDEX(编号表!$D:$D,MATCH(D37,编号表!$C:$C,0))*100+E37</f>
        <v>1001315</v>
      </c>
      <c r="C37" s="2" t="s">
        <v>54</v>
      </c>
      <c r="D37" s="8" t="s">
        <v>63</v>
      </c>
      <c r="E37" s="8">
        <f t="shared" si="0"/>
        <v>15</v>
      </c>
      <c r="F37" s="2" t="s">
        <v>64</v>
      </c>
      <c r="G37" s="12" t="s">
        <v>62</v>
      </c>
      <c r="H37" s="8">
        <v>60011001</v>
      </c>
      <c r="I37" s="8">
        <v>15</v>
      </c>
    </row>
    <row r="38" spans="2:27" x14ac:dyDescent="0.25">
      <c r="B38" s="8">
        <f>1000000+INDEX(编号表!$B:$B,MATCH(C38,编号表!$A:$A,0))*1000+INDEX(编号表!$D:$D,MATCH(D38,编号表!$C:$C,0))*100+E38</f>
        <v>1001415</v>
      </c>
      <c r="C38" s="2" t="s">
        <v>54</v>
      </c>
      <c r="D38" s="8" t="s">
        <v>65</v>
      </c>
      <c r="E38" s="8">
        <f t="shared" si="0"/>
        <v>15</v>
      </c>
      <c r="F38" s="2" t="s">
        <v>66</v>
      </c>
      <c r="G38" s="12" t="s">
        <v>62</v>
      </c>
      <c r="H38" s="8">
        <v>60011002</v>
      </c>
      <c r="I38" s="8">
        <v>15</v>
      </c>
    </row>
    <row r="39" spans="2:27" x14ac:dyDescent="0.25">
      <c r="B39" s="8">
        <f>1000000+INDEX(编号表!$B:$B,MATCH(C39,编号表!$A:$A,0))*1000+INDEX(编号表!$D:$D,MATCH(D39,编号表!$C:$C,0))*100+E39</f>
        <v>1001515</v>
      </c>
      <c r="C39" s="2" t="s">
        <v>54</v>
      </c>
      <c r="D39" s="8" t="s">
        <v>67</v>
      </c>
      <c r="E39" s="8">
        <f t="shared" si="0"/>
        <v>15</v>
      </c>
      <c r="F39" s="2" t="s">
        <v>68</v>
      </c>
      <c r="G39" s="12" t="s">
        <v>62</v>
      </c>
      <c r="H39" s="8">
        <v>60011003</v>
      </c>
      <c r="I39" s="8">
        <v>15</v>
      </c>
    </row>
    <row r="40" spans="2:27" x14ac:dyDescent="0.25">
      <c r="B40" s="8">
        <f>1000000+INDEX(编号表!$B:$B,MATCH(C40,编号表!$A:$A,0))*1000+INDEX(编号表!$D:$D,MATCH(D40,编号表!$C:$C,0))*100+E40</f>
        <v>1001615</v>
      </c>
      <c r="C40" s="2" t="s">
        <v>54</v>
      </c>
      <c r="D40" s="8" t="s">
        <v>69</v>
      </c>
      <c r="E40" s="8">
        <f t="shared" si="0"/>
        <v>15</v>
      </c>
      <c r="F40" s="2" t="s">
        <v>70</v>
      </c>
      <c r="G40" s="12" t="s">
        <v>62</v>
      </c>
      <c r="H40" s="8">
        <v>60011004</v>
      </c>
      <c r="I40" s="8">
        <v>15</v>
      </c>
    </row>
    <row r="41" spans="2:27" x14ac:dyDescent="0.25">
      <c r="B41" s="11">
        <f>1000000+INDEX(编号表!$B:$B,MATCH(C41,编号表!$A:$A,0))*1000+INDEX(编号表!$D:$D,MATCH(D41,编号表!$C:$C,0))*100+E41</f>
        <v>1002001</v>
      </c>
      <c r="C41" s="13" t="s">
        <v>72</v>
      </c>
      <c r="D41" s="11" t="s">
        <v>55</v>
      </c>
      <c r="E41" s="11">
        <v>1</v>
      </c>
      <c r="F41" s="11" t="s">
        <v>73</v>
      </c>
      <c r="G41" s="14" t="s">
        <v>57</v>
      </c>
      <c r="H41" s="11">
        <v>60014001</v>
      </c>
      <c r="I41" s="12">
        <v>1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spans="2:27" x14ac:dyDescent="0.25">
      <c r="B42" s="11">
        <f>1000000+INDEX(编号表!$B:$B,MATCH(C42,编号表!$A:$A,0))*1000+INDEX(编号表!$D:$D,MATCH(D42,编号表!$C:$C,0))*100+E42</f>
        <v>1002101</v>
      </c>
      <c r="C42" s="13" t="s">
        <v>72</v>
      </c>
      <c r="D42" s="11" t="s">
        <v>58</v>
      </c>
      <c r="E42" s="11">
        <v>1</v>
      </c>
      <c r="F42" s="11" t="s">
        <v>59</v>
      </c>
      <c r="G42" s="14" t="s">
        <v>57</v>
      </c>
      <c r="H42" s="2">
        <v>60012000</v>
      </c>
      <c r="I42" s="12">
        <v>1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spans="2:27" x14ac:dyDescent="0.25">
      <c r="B43" s="8">
        <f>1000000+INDEX(编号表!$B:$B,MATCH(C43,编号表!$A:$A,0))*1000+INDEX(编号表!$D:$D,MATCH(D43,编号表!$C:$C,0))*100+E43</f>
        <v>1002102</v>
      </c>
      <c r="C43" s="2" t="s">
        <v>72</v>
      </c>
      <c r="D43" s="8" t="s">
        <v>58</v>
      </c>
      <c r="E43" s="8">
        <v>2</v>
      </c>
      <c r="F43" s="11" t="s">
        <v>59</v>
      </c>
      <c r="G43" s="12" t="s">
        <v>57</v>
      </c>
      <c r="H43" s="2">
        <v>60012001</v>
      </c>
      <c r="I43" s="12">
        <v>1</v>
      </c>
    </row>
    <row r="44" spans="2:27" x14ac:dyDescent="0.25">
      <c r="B44" s="8">
        <f>1000000+INDEX(编号表!$B:$B,MATCH(C44,编号表!$A:$A,0))*1000+INDEX(编号表!$D:$D,MATCH(D44,编号表!$C:$C,0))*100+E44</f>
        <v>1002103</v>
      </c>
      <c r="C44" s="2" t="s">
        <v>72</v>
      </c>
      <c r="D44" s="8" t="s">
        <v>58</v>
      </c>
      <c r="E44" s="8">
        <v>3</v>
      </c>
      <c r="F44" s="11" t="s">
        <v>59</v>
      </c>
      <c r="G44" s="12" t="s">
        <v>57</v>
      </c>
      <c r="H44" s="2">
        <v>60012002</v>
      </c>
      <c r="I44" s="12">
        <v>1</v>
      </c>
    </row>
    <row r="45" spans="2:27" x14ac:dyDescent="0.25">
      <c r="B45" s="8">
        <f>1000000+INDEX(编号表!$B:$B,MATCH(C45,编号表!$A:$A,0))*1000+INDEX(编号表!$D:$D,MATCH(D45,编号表!$C:$C,0))*100+E45</f>
        <v>1002104</v>
      </c>
      <c r="C45" s="2" t="s">
        <v>72</v>
      </c>
      <c r="D45" s="8" t="s">
        <v>58</v>
      </c>
      <c r="E45" s="8">
        <v>4</v>
      </c>
      <c r="F45" s="11" t="s">
        <v>59</v>
      </c>
      <c r="G45" s="12" t="s">
        <v>57</v>
      </c>
      <c r="H45" s="2">
        <v>60012003</v>
      </c>
      <c r="I45" s="12">
        <v>1</v>
      </c>
    </row>
    <row r="46" spans="2:27" x14ac:dyDescent="0.25">
      <c r="B46" s="8">
        <f>1000000+INDEX(编号表!$B:$B,MATCH(C46,编号表!$A:$A,0))*1000+INDEX(编号表!$D:$D,MATCH(D46,编号表!$C:$C,0))*100+E46</f>
        <v>1002105</v>
      </c>
      <c r="C46" s="2" t="s">
        <v>72</v>
      </c>
      <c r="D46" s="8" t="s">
        <v>58</v>
      </c>
      <c r="E46" s="8">
        <v>5</v>
      </c>
      <c r="F46" s="11" t="s">
        <v>59</v>
      </c>
      <c r="G46" s="12" t="s">
        <v>57</v>
      </c>
      <c r="H46" s="2">
        <v>60012004</v>
      </c>
      <c r="I46" s="12">
        <v>1</v>
      </c>
    </row>
    <row r="47" spans="2:27" x14ac:dyDescent="0.25">
      <c r="B47" s="8">
        <f>1000000+INDEX(编号表!$B:$B,MATCH(C47,编号表!$A:$A,0))*1000+INDEX(编号表!$D:$D,MATCH(D47,编号表!$C:$C,0))*100+E47</f>
        <v>1002301</v>
      </c>
      <c r="C47" s="2" t="s">
        <v>72</v>
      </c>
      <c r="D47" s="8" t="s">
        <v>63</v>
      </c>
      <c r="E47" s="8">
        <v>1</v>
      </c>
      <c r="F47" s="8" t="s">
        <v>74</v>
      </c>
      <c r="G47" s="12" t="s">
        <v>62</v>
      </c>
      <c r="H47" s="8">
        <v>60011020</v>
      </c>
      <c r="I47" s="12">
        <v>4</v>
      </c>
      <c r="J47" s="12"/>
      <c r="K47" s="12"/>
      <c r="M47" s="12"/>
      <c r="O47" s="12"/>
      <c r="Q47" s="12"/>
      <c r="S47" s="12"/>
      <c r="U47" s="12"/>
      <c r="W47" s="12"/>
      <c r="Y47" s="12"/>
      <c r="AA47" s="12"/>
    </row>
    <row r="48" spans="2:27" x14ac:dyDescent="0.25">
      <c r="B48" s="8">
        <f>1000000+INDEX(编号表!$B:$B,MATCH(C48,编号表!$A:$A,0))*1000+INDEX(编号表!$D:$D,MATCH(D48,编号表!$C:$C,0))*100+E48</f>
        <v>1002302</v>
      </c>
      <c r="C48" s="2" t="s">
        <v>72</v>
      </c>
      <c r="D48" s="8" t="s">
        <v>63</v>
      </c>
      <c r="E48" s="8">
        <v>2</v>
      </c>
      <c r="F48" s="8" t="s">
        <v>75</v>
      </c>
      <c r="G48" s="12" t="s">
        <v>62</v>
      </c>
      <c r="H48" s="8">
        <v>60011001</v>
      </c>
      <c r="I48" s="12">
        <v>1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spans="2:27" x14ac:dyDescent="0.25">
      <c r="B49" s="8">
        <f>1000000+INDEX(编号表!$B:$B,MATCH(C49,编号表!$A:$A,0))*1000+INDEX(编号表!$D:$D,MATCH(D49,编号表!$C:$C,0))*100+E49</f>
        <v>1002303</v>
      </c>
      <c r="C49" s="2" t="s">
        <v>72</v>
      </c>
      <c r="D49" s="8" t="s">
        <v>63</v>
      </c>
      <c r="E49" s="8">
        <v>3</v>
      </c>
      <c r="F49" s="8" t="s">
        <v>76</v>
      </c>
      <c r="G49" s="12" t="s">
        <v>62</v>
      </c>
      <c r="H49" s="8">
        <v>60011002</v>
      </c>
      <c r="I49" s="12">
        <v>1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spans="2:27" x14ac:dyDescent="0.25">
      <c r="B50" s="8">
        <f>1000000+INDEX(编号表!$B:$B,MATCH(C50,编号表!$A:$A,0))*1000+INDEX(编号表!$D:$D,MATCH(D50,编号表!$C:$C,0))*100+E50</f>
        <v>1002304</v>
      </c>
      <c r="C50" s="2" t="s">
        <v>72</v>
      </c>
      <c r="D50" s="8" t="s">
        <v>63</v>
      </c>
      <c r="E50" s="8">
        <v>4</v>
      </c>
      <c r="F50" s="8" t="s">
        <v>77</v>
      </c>
      <c r="G50" s="12" t="s">
        <v>62</v>
      </c>
      <c r="H50" s="8">
        <v>60011003</v>
      </c>
      <c r="I50" s="12">
        <v>1</v>
      </c>
      <c r="J50" s="12"/>
    </row>
    <row r="51" spans="2:27" x14ac:dyDescent="0.25">
      <c r="B51" s="8">
        <f>1000000+INDEX(编号表!$B:$B,MATCH(C51,编号表!$A:$A,0))*1000+INDEX(编号表!$D:$D,MATCH(D51,编号表!$C:$C,0))*100+E51</f>
        <v>1002305</v>
      </c>
      <c r="C51" s="2" t="s">
        <v>72</v>
      </c>
      <c r="D51" s="8" t="s">
        <v>63</v>
      </c>
      <c r="E51" s="8">
        <v>5</v>
      </c>
      <c r="F51" s="8" t="s">
        <v>78</v>
      </c>
      <c r="G51" s="12" t="s">
        <v>62</v>
      </c>
      <c r="H51" s="8">
        <v>60011004</v>
      </c>
      <c r="I51" s="12">
        <v>1</v>
      </c>
    </row>
    <row r="52" spans="2:27" x14ac:dyDescent="0.25">
      <c r="B52" s="8">
        <f>1000000+INDEX(编号表!$B:$B,MATCH(C52,编号表!$A:$A,0))*1000+INDEX(编号表!$D:$D,MATCH(D52,编号表!$C:$C,0))*100+E52</f>
        <v>1002306</v>
      </c>
      <c r="C52" s="2" t="s">
        <v>72</v>
      </c>
      <c r="D52" s="8" t="s">
        <v>63</v>
      </c>
      <c r="E52" s="8">
        <v>6</v>
      </c>
      <c r="F52" s="8" t="s">
        <v>79</v>
      </c>
      <c r="G52" s="12" t="s">
        <v>62</v>
      </c>
      <c r="H52" s="8">
        <v>60011005</v>
      </c>
      <c r="I52" s="12">
        <v>1</v>
      </c>
    </row>
    <row r="53" spans="2:27" x14ac:dyDescent="0.25">
      <c r="B53" s="8">
        <f>1000000+INDEX(编号表!$B:$B,MATCH(C53,编号表!$A:$A,0))*1000+INDEX(编号表!$D:$D,MATCH(D53,编号表!$C:$C,0))*100+E53</f>
        <v>1002307</v>
      </c>
      <c r="C53" s="2" t="s">
        <v>72</v>
      </c>
      <c r="D53" s="8" t="s">
        <v>63</v>
      </c>
      <c r="E53" s="8">
        <v>7</v>
      </c>
      <c r="F53" s="8" t="s">
        <v>80</v>
      </c>
      <c r="G53" s="12" t="s">
        <v>62</v>
      </c>
      <c r="H53" s="8">
        <v>60011006</v>
      </c>
      <c r="I53" s="12">
        <v>1</v>
      </c>
    </row>
    <row r="54" spans="2:27" x14ac:dyDescent="0.25">
      <c r="B54" s="8">
        <f>1000000+INDEX(编号表!$B:$B,MATCH(C54,编号表!$A:$A,0))*1000+INDEX(编号表!$D:$D,MATCH(D54,编号表!$C:$C,0))*100+E54</f>
        <v>1002308</v>
      </c>
      <c r="C54" s="2" t="s">
        <v>72</v>
      </c>
      <c r="D54" s="8" t="s">
        <v>63</v>
      </c>
      <c r="E54" s="8">
        <v>8</v>
      </c>
      <c r="F54" s="8" t="s">
        <v>81</v>
      </c>
      <c r="G54" s="12" t="s">
        <v>62</v>
      </c>
      <c r="H54" s="8">
        <v>60011007</v>
      </c>
      <c r="I54" s="12">
        <v>1</v>
      </c>
    </row>
    <row r="55" spans="2:27" x14ac:dyDescent="0.25">
      <c r="B55" s="8">
        <f>1000000+INDEX(编号表!$B:$B,MATCH(C55,编号表!$A:$A,0))*1000+INDEX(编号表!$D:$D,MATCH(D55,编号表!$C:$C,0))*100+E55</f>
        <v>1002309</v>
      </c>
      <c r="C55" s="2" t="s">
        <v>72</v>
      </c>
      <c r="D55" s="8" t="s">
        <v>63</v>
      </c>
      <c r="E55" s="8">
        <v>9</v>
      </c>
      <c r="F55" s="8" t="s">
        <v>82</v>
      </c>
      <c r="G55" s="12" t="s">
        <v>62</v>
      </c>
      <c r="H55" s="8">
        <v>60011008</v>
      </c>
      <c r="I55" s="12">
        <v>1</v>
      </c>
    </row>
    <row r="56" spans="2:27" x14ac:dyDescent="0.25">
      <c r="B56" s="8">
        <f>1000000+INDEX(编号表!$B:$B,MATCH(C56,编号表!$A:$A,0))*1000+INDEX(编号表!$D:$D,MATCH(D56,编号表!$C:$C,0))*100+E56</f>
        <v>1002310</v>
      </c>
      <c r="C56" s="2" t="s">
        <v>72</v>
      </c>
      <c r="D56" s="8" t="s">
        <v>63</v>
      </c>
      <c r="E56" s="8">
        <v>10</v>
      </c>
      <c r="F56" s="8" t="s">
        <v>83</v>
      </c>
      <c r="G56" s="12" t="s">
        <v>62</v>
      </c>
      <c r="H56" s="8">
        <v>60011009</v>
      </c>
      <c r="I56" s="12">
        <v>1</v>
      </c>
    </row>
    <row r="57" spans="2:27" x14ac:dyDescent="0.25">
      <c r="B57" s="8">
        <f>1000000+INDEX(编号表!$B:$B,MATCH(C57,编号表!$A:$A,0))*1000+INDEX(编号表!$D:$D,MATCH(D57,编号表!$C:$C,0))*100+E57</f>
        <v>1002311</v>
      </c>
      <c r="C57" s="2" t="s">
        <v>72</v>
      </c>
      <c r="D57" s="8" t="s">
        <v>63</v>
      </c>
      <c r="E57" s="8">
        <v>11</v>
      </c>
      <c r="F57" s="8" t="s">
        <v>84</v>
      </c>
      <c r="G57" s="12" t="s">
        <v>62</v>
      </c>
      <c r="H57" s="8">
        <v>60011010</v>
      </c>
      <c r="I57" s="12">
        <v>1</v>
      </c>
    </row>
    <row r="58" spans="2:27" x14ac:dyDescent="0.25">
      <c r="B58" s="8">
        <f>1000000+INDEX(编号表!$B:$B,MATCH(C58,编号表!$A:$A,0))*1000+INDEX(编号表!$D:$D,MATCH(D58,编号表!$C:$C,0))*100+E58</f>
        <v>1002312</v>
      </c>
      <c r="C58" s="2" t="s">
        <v>72</v>
      </c>
      <c r="D58" s="8" t="s">
        <v>63</v>
      </c>
      <c r="E58" s="8">
        <v>12</v>
      </c>
      <c r="F58" s="8" t="s">
        <v>85</v>
      </c>
      <c r="G58" s="12" t="s">
        <v>62</v>
      </c>
      <c r="H58" s="8">
        <v>60011011</v>
      </c>
      <c r="I58" s="12">
        <v>1</v>
      </c>
    </row>
    <row r="59" spans="2:27" x14ac:dyDescent="0.25">
      <c r="B59" s="8">
        <f>1000000+INDEX(编号表!$B:$B,MATCH(C59,编号表!$A:$A,0))*1000+INDEX(编号表!$D:$D,MATCH(D59,编号表!$C:$C,0))*100+E59</f>
        <v>1002313</v>
      </c>
      <c r="C59" s="2" t="s">
        <v>72</v>
      </c>
      <c r="D59" s="8" t="s">
        <v>63</v>
      </c>
      <c r="E59" s="8">
        <v>13</v>
      </c>
      <c r="F59" s="8" t="s">
        <v>86</v>
      </c>
      <c r="G59" s="12" t="s">
        <v>62</v>
      </c>
      <c r="H59" s="8">
        <v>60011012</v>
      </c>
      <c r="I59" s="12">
        <v>1</v>
      </c>
    </row>
    <row r="60" spans="2:27" x14ac:dyDescent="0.25">
      <c r="B60" s="8">
        <f>1000000+INDEX(编号表!$B:$B,MATCH(C60,编号表!$A:$A,0))*1000+INDEX(编号表!$D:$D,MATCH(D60,编号表!$C:$C,0))*100+E60</f>
        <v>1002314</v>
      </c>
      <c r="C60" s="2" t="s">
        <v>72</v>
      </c>
      <c r="D60" s="8" t="s">
        <v>63</v>
      </c>
      <c r="E60" s="8">
        <v>14</v>
      </c>
      <c r="F60" s="8" t="s">
        <v>87</v>
      </c>
      <c r="G60" s="12" t="s">
        <v>62</v>
      </c>
      <c r="H60" s="8">
        <v>60011013</v>
      </c>
      <c r="I60" s="12">
        <v>1</v>
      </c>
    </row>
    <row r="61" spans="2:27" x14ac:dyDescent="0.25">
      <c r="B61" s="8">
        <f>1000000+INDEX(编号表!$B:$B,MATCH(C61,编号表!$A:$A,0))*1000+INDEX(编号表!$D:$D,MATCH(D61,编号表!$C:$C,0))*100+E61</f>
        <v>1002315</v>
      </c>
      <c r="C61" s="2" t="s">
        <v>72</v>
      </c>
      <c r="D61" s="8" t="s">
        <v>63</v>
      </c>
      <c r="E61" s="8">
        <v>15</v>
      </c>
      <c r="F61" s="8" t="s">
        <v>88</v>
      </c>
      <c r="G61" s="12" t="s">
        <v>62</v>
      </c>
      <c r="H61" s="8">
        <v>60011014</v>
      </c>
      <c r="I61" s="12">
        <v>1</v>
      </c>
    </row>
    <row r="62" spans="2:27" x14ac:dyDescent="0.25">
      <c r="B62" s="8">
        <f>1000000+INDEX(编号表!$B:$B,MATCH(C62,编号表!$A:$A,0))*1000+INDEX(编号表!$D:$D,MATCH(D62,编号表!$C:$C,0))*100+E62</f>
        <v>1002316</v>
      </c>
      <c r="C62" s="2" t="s">
        <v>72</v>
      </c>
      <c r="D62" s="8" t="s">
        <v>63</v>
      </c>
      <c r="E62" s="8">
        <v>16</v>
      </c>
      <c r="F62" s="8" t="s">
        <v>89</v>
      </c>
      <c r="G62" s="12" t="s">
        <v>62</v>
      </c>
      <c r="H62" s="8">
        <v>60011015</v>
      </c>
      <c r="I62" s="12">
        <v>1</v>
      </c>
    </row>
    <row r="63" spans="2:27" x14ac:dyDescent="0.25">
      <c r="B63" s="8">
        <f>1000000+INDEX(编号表!$B:$B,MATCH(C63,编号表!$A:$A,0))*1000+INDEX(编号表!$D:$D,MATCH(D63,编号表!$C:$C,0))*100+E63</f>
        <v>1002317</v>
      </c>
      <c r="C63" s="2" t="s">
        <v>72</v>
      </c>
      <c r="D63" s="8" t="s">
        <v>63</v>
      </c>
      <c r="E63" s="8">
        <v>17</v>
      </c>
      <c r="F63" s="8" t="s">
        <v>90</v>
      </c>
      <c r="G63" s="12" t="s">
        <v>62</v>
      </c>
      <c r="H63" s="8">
        <v>60011016</v>
      </c>
      <c r="I63" s="12">
        <v>1</v>
      </c>
    </row>
    <row r="64" spans="2:27" x14ac:dyDescent="0.25">
      <c r="B64" s="8">
        <f>1000000+INDEX(编号表!$B:$B,MATCH(C64,编号表!$A:$A,0))*1000+INDEX(编号表!$D:$D,MATCH(D64,编号表!$C:$C,0))*100+E64</f>
        <v>1002318</v>
      </c>
      <c r="C64" s="2" t="s">
        <v>72</v>
      </c>
      <c r="D64" s="8" t="s">
        <v>63</v>
      </c>
      <c r="E64" s="8">
        <v>18</v>
      </c>
      <c r="F64" s="8" t="s">
        <v>91</v>
      </c>
      <c r="G64" s="12" t="s">
        <v>62</v>
      </c>
      <c r="H64" s="8">
        <v>60011017</v>
      </c>
      <c r="I64" s="12">
        <v>1</v>
      </c>
    </row>
    <row r="65" spans="2:27" x14ac:dyDescent="0.25">
      <c r="B65" s="8">
        <f>1000000+INDEX(编号表!$B:$B,MATCH(C65,编号表!$A:$A,0))*1000+INDEX(编号表!$D:$D,MATCH(D65,编号表!$C:$C,0))*100+E65</f>
        <v>1002319</v>
      </c>
      <c r="C65" s="2" t="s">
        <v>72</v>
      </c>
      <c r="D65" s="8" t="s">
        <v>63</v>
      </c>
      <c r="E65" s="8">
        <v>19</v>
      </c>
      <c r="F65" s="8" t="s">
        <v>92</v>
      </c>
      <c r="G65" s="12" t="s">
        <v>62</v>
      </c>
      <c r="H65" s="8">
        <v>60011018</v>
      </c>
      <c r="I65" s="12">
        <v>1</v>
      </c>
    </row>
    <row r="66" spans="2:27" x14ac:dyDescent="0.25">
      <c r="B66" s="8">
        <f>1000000+INDEX(编号表!$B:$B,MATCH(C66,编号表!$A:$A,0))*1000+INDEX(编号表!$D:$D,MATCH(D66,编号表!$C:$C,0))*100+E66</f>
        <v>1002320</v>
      </c>
      <c r="C66" s="2" t="s">
        <v>72</v>
      </c>
      <c r="D66" s="8" t="s">
        <v>63</v>
      </c>
      <c r="E66" s="8">
        <v>20</v>
      </c>
      <c r="F66" s="8" t="s">
        <v>93</v>
      </c>
      <c r="G66" s="12" t="s">
        <v>62</v>
      </c>
      <c r="H66" s="8">
        <v>60011019</v>
      </c>
      <c r="I66" s="12">
        <v>1</v>
      </c>
    </row>
    <row r="67" spans="2:27" x14ac:dyDescent="0.25">
      <c r="B67" s="8">
        <f>1000000+INDEX(编号表!$B:$B,MATCH(C67,编号表!$A:$A,0))*1000+INDEX(编号表!$D:$D,MATCH(D67,编号表!$C:$C,0))*100+E67</f>
        <v>1002321</v>
      </c>
      <c r="C67" s="2" t="s">
        <v>72</v>
      </c>
      <c r="D67" s="8" t="s">
        <v>63</v>
      </c>
      <c r="E67" s="8">
        <v>21</v>
      </c>
      <c r="F67" s="8" t="s">
        <v>94</v>
      </c>
      <c r="G67" s="12" t="s">
        <v>62</v>
      </c>
      <c r="H67" s="8">
        <v>60011000</v>
      </c>
      <c r="I67" s="12">
        <v>10</v>
      </c>
      <c r="J67" s="12"/>
      <c r="K67" s="12"/>
      <c r="M67" s="12"/>
      <c r="O67" s="12"/>
      <c r="Q67" s="12"/>
      <c r="S67" s="12"/>
      <c r="U67" s="12"/>
      <c r="W67" s="12"/>
      <c r="Y67" s="12"/>
      <c r="AA67" s="12"/>
    </row>
    <row r="68" spans="2:27" x14ac:dyDescent="0.25">
      <c r="B68" s="8">
        <f>1000000+INDEX(编号表!$B:$B,MATCH(C68,编号表!$A:$A,0))*1000+INDEX(编号表!$D:$D,MATCH(D68,编号表!$C:$C,0))*100+E68</f>
        <v>1002322</v>
      </c>
      <c r="C68" s="2" t="s">
        <v>72</v>
      </c>
      <c r="D68" s="8" t="s">
        <v>63</v>
      </c>
      <c r="E68" s="8">
        <v>22</v>
      </c>
      <c r="F68" s="8" t="s">
        <v>95</v>
      </c>
      <c r="G68" s="12" t="s">
        <v>62</v>
      </c>
      <c r="H68" s="8">
        <v>60011001</v>
      </c>
      <c r="I68" s="12">
        <v>10</v>
      </c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spans="2:27" x14ac:dyDescent="0.25">
      <c r="B69" s="8">
        <f>1000000+INDEX(编号表!$B:$B,MATCH(C69,编号表!$A:$A,0))*1000+INDEX(编号表!$D:$D,MATCH(D69,编号表!$C:$C,0))*100+E69</f>
        <v>1002323</v>
      </c>
      <c r="C69" s="2" t="s">
        <v>72</v>
      </c>
      <c r="D69" s="8" t="s">
        <v>63</v>
      </c>
      <c r="E69" s="8">
        <v>23</v>
      </c>
      <c r="F69" s="8" t="s">
        <v>96</v>
      </c>
      <c r="G69" s="12" t="s">
        <v>62</v>
      </c>
      <c r="H69" s="12">
        <v>60011002</v>
      </c>
      <c r="I69" s="12">
        <v>10</v>
      </c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spans="2:27" x14ac:dyDescent="0.25">
      <c r="B70" s="8">
        <f>1000000+INDEX(编号表!$B:$B,MATCH(C70,编号表!$A:$A,0))*1000+INDEX(编号表!$D:$D,MATCH(D70,编号表!$C:$C,0))*100+E70</f>
        <v>1002324</v>
      </c>
      <c r="C70" s="2" t="s">
        <v>72</v>
      </c>
      <c r="D70" s="8" t="s">
        <v>63</v>
      </c>
      <c r="E70" s="8">
        <v>24</v>
      </c>
      <c r="F70" s="8" t="s">
        <v>97</v>
      </c>
      <c r="G70" s="12" t="s">
        <v>62</v>
      </c>
      <c r="H70" s="8">
        <v>60011003</v>
      </c>
      <c r="I70" s="12">
        <v>10</v>
      </c>
      <c r="J70" s="12"/>
    </row>
    <row r="71" spans="2:27" x14ac:dyDescent="0.25">
      <c r="B71" s="8">
        <f>1000000+INDEX(编号表!$B:$B,MATCH(C71,编号表!$A:$A,0))*1000+INDEX(编号表!$D:$D,MATCH(D71,编号表!$C:$C,0))*100+E71</f>
        <v>1002325</v>
      </c>
      <c r="C71" s="2" t="s">
        <v>72</v>
      </c>
      <c r="D71" s="8" t="s">
        <v>63</v>
      </c>
      <c r="E71" s="8">
        <v>25</v>
      </c>
      <c r="F71" s="8" t="s">
        <v>98</v>
      </c>
      <c r="G71" s="12" t="s">
        <v>62</v>
      </c>
      <c r="H71" s="8">
        <v>60011004</v>
      </c>
      <c r="I71" s="12">
        <v>10</v>
      </c>
    </row>
    <row r="72" spans="2:27" x14ac:dyDescent="0.25">
      <c r="B72" s="8">
        <f>1000000+INDEX(编号表!$B:$B,MATCH(C72,编号表!$A:$A,0))*1000+INDEX(编号表!$D:$D,MATCH(D72,编号表!$C:$C,0))*100+E72</f>
        <v>1002326</v>
      </c>
      <c r="C72" s="2" t="s">
        <v>72</v>
      </c>
      <c r="D72" s="8" t="s">
        <v>63</v>
      </c>
      <c r="E72" s="8">
        <v>26</v>
      </c>
      <c r="F72" s="8" t="s">
        <v>99</v>
      </c>
      <c r="G72" s="12" t="s">
        <v>62</v>
      </c>
      <c r="H72" s="8">
        <v>60011005</v>
      </c>
      <c r="I72" s="12">
        <v>10</v>
      </c>
    </row>
    <row r="73" spans="2:27" x14ac:dyDescent="0.25">
      <c r="B73" s="8">
        <f>1000000+INDEX(编号表!$B:$B,MATCH(C73,编号表!$A:$A,0))*1000+INDEX(编号表!$D:$D,MATCH(D73,编号表!$C:$C,0))*100+E73</f>
        <v>1002327</v>
      </c>
      <c r="C73" s="2" t="s">
        <v>72</v>
      </c>
      <c r="D73" s="8" t="s">
        <v>63</v>
      </c>
      <c r="E73" s="8">
        <v>27</v>
      </c>
      <c r="F73" s="8" t="s">
        <v>100</v>
      </c>
      <c r="G73" s="12" t="s">
        <v>62</v>
      </c>
      <c r="H73" s="8">
        <v>60011006</v>
      </c>
      <c r="I73" s="12">
        <v>10</v>
      </c>
    </row>
    <row r="74" spans="2:27" x14ac:dyDescent="0.25">
      <c r="B74" s="8">
        <f>1000000+INDEX(编号表!$B:$B,MATCH(C74,编号表!$A:$A,0))*1000+INDEX(编号表!$D:$D,MATCH(D74,编号表!$C:$C,0))*100+E74</f>
        <v>1002328</v>
      </c>
      <c r="C74" s="2" t="s">
        <v>72</v>
      </c>
      <c r="D74" s="8" t="s">
        <v>63</v>
      </c>
      <c r="E74" s="8">
        <v>28</v>
      </c>
      <c r="F74" s="8" t="s">
        <v>101</v>
      </c>
      <c r="G74" s="12" t="s">
        <v>62</v>
      </c>
      <c r="H74" s="8">
        <v>60011007</v>
      </c>
      <c r="I74" s="12">
        <v>10</v>
      </c>
    </row>
    <row r="75" spans="2:27" x14ac:dyDescent="0.25">
      <c r="B75" s="8">
        <f>1000000+INDEX(编号表!$B:$B,MATCH(C75,编号表!$A:$A,0))*1000+INDEX(编号表!$D:$D,MATCH(D75,编号表!$C:$C,0))*100+E75</f>
        <v>1002329</v>
      </c>
      <c r="C75" s="2" t="s">
        <v>72</v>
      </c>
      <c r="D75" s="8" t="s">
        <v>63</v>
      </c>
      <c r="E75" s="8">
        <v>29</v>
      </c>
      <c r="F75" s="8" t="s">
        <v>102</v>
      </c>
      <c r="G75" s="12" t="s">
        <v>62</v>
      </c>
      <c r="H75" s="8">
        <v>60011008</v>
      </c>
      <c r="I75" s="12">
        <v>10</v>
      </c>
    </row>
    <row r="76" spans="2:27" x14ac:dyDescent="0.25">
      <c r="B76" s="8">
        <f>1000000+INDEX(编号表!$B:$B,MATCH(C76,编号表!$A:$A,0))*1000+INDEX(编号表!$D:$D,MATCH(D76,编号表!$C:$C,0))*100+E76</f>
        <v>1002330</v>
      </c>
      <c r="C76" s="2" t="s">
        <v>72</v>
      </c>
      <c r="D76" s="8" t="s">
        <v>63</v>
      </c>
      <c r="E76" s="8">
        <v>30</v>
      </c>
      <c r="F76" s="8" t="s">
        <v>103</v>
      </c>
      <c r="G76" s="12" t="s">
        <v>62</v>
      </c>
      <c r="H76" s="8">
        <v>60011009</v>
      </c>
      <c r="I76" s="12">
        <v>10</v>
      </c>
    </row>
    <row r="77" spans="2:27" x14ac:dyDescent="0.25">
      <c r="B77" s="8">
        <f>1000000+INDEX(编号表!$B:$B,MATCH(C77,编号表!$A:$A,0))*1000+INDEX(编号表!$D:$D,MATCH(D77,编号表!$C:$C,0))*100+E77</f>
        <v>1002331</v>
      </c>
      <c r="C77" s="2" t="s">
        <v>72</v>
      </c>
      <c r="D77" s="8" t="s">
        <v>63</v>
      </c>
      <c r="E77" s="8">
        <v>31</v>
      </c>
      <c r="F77" s="8" t="s">
        <v>104</v>
      </c>
      <c r="G77" s="12" t="s">
        <v>62</v>
      </c>
      <c r="H77" s="8">
        <v>60011010</v>
      </c>
      <c r="I77" s="12">
        <v>10</v>
      </c>
    </row>
    <row r="78" spans="2:27" x14ac:dyDescent="0.25">
      <c r="B78" s="8">
        <f>1000000+INDEX(编号表!$B:$B,MATCH(C78,编号表!$A:$A,0))*1000+INDEX(编号表!$D:$D,MATCH(D78,编号表!$C:$C,0))*100+E78</f>
        <v>1002332</v>
      </c>
      <c r="C78" s="2" t="s">
        <v>72</v>
      </c>
      <c r="D78" s="8" t="s">
        <v>63</v>
      </c>
      <c r="E78" s="8">
        <v>32</v>
      </c>
      <c r="F78" s="8" t="s">
        <v>105</v>
      </c>
      <c r="G78" s="12" t="s">
        <v>62</v>
      </c>
      <c r="H78" s="8">
        <v>60011011</v>
      </c>
      <c r="I78" s="12">
        <v>10</v>
      </c>
    </row>
    <row r="79" spans="2:27" x14ac:dyDescent="0.25">
      <c r="B79" s="8">
        <f>1000000+INDEX(编号表!$B:$B,MATCH(C79,编号表!$A:$A,0))*1000+INDEX(编号表!$D:$D,MATCH(D79,编号表!$C:$C,0))*100+E79</f>
        <v>1002333</v>
      </c>
      <c r="C79" s="2" t="s">
        <v>72</v>
      </c>
      <c r="D79" s="8" t="s">
        <v>63</v>
      </c>
      <c r="E79" s="8">
        <v>33</v>
      </c>
      <c r="F79" s="8" t="s">
        <v>106</v>
      </c>
      <c r="G79" s="12" t="s">
        <v>62</v>
      </c>
      <c r="H79" s="8">
        <v>60011012</v>
      </c>
      <c r="I79" s="12">
        <v>10</v>
      </c>
    </row>
    <row r="80" spans="2:27" x14ac:dyDescent="0.25">
      <c r="B80" s="8">
        <f>1000000+INDEX(编号表!$B:$B,MATCH(C80,编号表!$A:$A,0))*1000+INDEX(编号表!$D:$D,MATCH(D80,编号表!$C:$C,0))*100+E80</f>
        <v>1002334</v>
      </c>
      <c r="C80" s="2" t="s">
        <v>72</v>
      </c>
      <c r="D80" s="8" t="s">
        <v>63</v>
      </c>
      <c r="E80" s="8">
        <v>34</v>
      </c>
      <c r="F80" s="8" t="s">
        <v>107</v>
      </c>
      <c r="G80" s="12" t="s">
        <v>62</v>
      </c>
      <c r="H80" s="8">
        <v>60011013</v>
      </c>
      <c r="I80" s="12">
        <v>10</v>
      </c>
    </row>
    <row r="81" spans="2:9" x14ac:dyDescent="0.25">
      <c r="B81" s="8">
        <f>1000000+INDEX(编号表!$B:$B,MATCH(C81,编号表!$A:$A,0))*1000+INDEX(编号表!$D:$D,MATCH(D81,编号表!$C:$C,0))*100+E81</f>
        <v>1002335</v>
      </c>
      <c r="C81" s="2" t="s">
        <v>72</v>
      </c>
      <c r="D81" s="8" t="s">
        <v>63</v>
      </c>
      <c r="E81" s="8">
        <v>35</v>
      </c>
      <c r="F81" s="8" t="s">
        <v>108</v>
      </c>
      <c r="G81" s="12" t="s">
        <v>62</v>
      </c>
      <c r="H81" s="8">
        <v>60011014</v>
      </c>
      <c r="I81" s="12">
        <v>10</v>
      </c>
    </row>
    <row r="82" spans="2:9" x14ac:dyDescent="0.25">
      <c r="B82" s="8">
        <f>1000000+INDEX(编号表!$B:$B,MATCH(C82,编号表!$A:$A,0))*1000+INDEX(编号表!$D:$D,MATCH(D82,编号表!$C:$C,0))*100+E82</f>
        <v>1002336</v>
      </c>
      <c r="C82" s="2" t="s">
        <v>72</v>
      </c>
      <c r="D82" s="8" t="s">
        <v>63</v>
      </c>
      <c r="E82" s="8">
        <v>36</v>
      </c>
      <c r="F82" s="8" t="s">
        <v>109</v>
      </c>
      <c r="G82" s="12" t="s">
        <v>62</v>
      </c>
      <c r="H82" s="8">
        <v>60011015</v>
      </c>
      <c r="I82" s="12">
        <v>10</v>
      </c>
    </row>
    <row r="83" spans="2:9" x14ac:dyDescent="0.25">
      <c r="B83" s="8">
        <f>1000000+INDEX(编号表!$B:$B,MATCH(C83,编号表!$A:$A,0))*1000+INDEX(编号表!$D:$D,MATCH(D83,编号表!$C:$C,0))*100+E83</f>
        <v>1002337</v>
      </c>
      <c r="C83" s="2" t="s">
        <v>72</v>
      </c>
      <c r="D83" s="8" t="s">
        <v>63</v>
      </c>
      <c r="E83" s="8">
        <v>37</v>
      </c>
      <c r="F83" s="8" t="s">
        <v>110</v>
      </c>
      <c r="G83" s="12" t="s">
        <v>62</v>
      </c>
      <c r="H83" s="8">
        <v>60011016</v>
      </c>
      <c r="I83" s="12">
        <v>10</v>
      </c>
    </row>
    <row r="84" spans="2:9" x14ac:dyDescent="0.25">
      <c r="B84" s="8">
        <f>1000000+INDEX(编号表!$B:$B,MATCH(C84,编号表!$A:$A,0))*1000+INDEX(编号表!$D:$D,MATCH(D84,编号表!$C:$C,0))*100+E84</f>
        <v>1002338</v>
      </c>
      <c r="C84" s="2" t="s">
        <v>72</v>
      </c>
      <c r="D84" s="8" t="s">
        <v>63</v>
      </c>
      <c r="E84" s="8">
        <v>38</v>
      </c>
      <c r="F84" s="8" t="s">
        <v>111</v>
      </c>
      <c r="G84" s="12" t="s">
        <v>62</v>
      </c>
      <c r="H84" s="8">
        <v>60011017</v>
      </c>
      <c r="I84" s="12">
        <v>10</v>
      </c>
    </row>
    <row r="85" spans="2:9" x14ac:dyDescent="0.25">
      <c r="B85" s="8">
        <f>1000000+INDEX(编号表!$B:$B,MATCH(C85,编号表!$A:$A,0))*1000+INDEX(编号表!$D:$D,MATCH(D85,编号表!$C:$C,0))*100+E85</f>
        <v>1002339</v>
      </c>
      <c r="C85" s="2" t="s">
        <v>72</v>
      </c>
      <c r="D85" s="8" t="s">
        <v>63</v>
      </c>
      <c r="E85" s="8">
        <v>39</v>
      </c>
      <c r="F85" s="8" t="s">
        <v>112</v>
      </c>
      <c r="G85" s="12" t="s">
        <v>62</v>
      </c>
      <c r="H85" s="8">
        <v>60011018</v>
      </c>
      <c r="I85" s="12">
        <v>10</v>
      </c>
    </row>
    <row r="86" spans="2:9" x14ac:dyDescent="0.25">
      <c r="B86" s="8">
        <f>1000000+INDEX(编号表!$B:$B,MATCH(C86,编号表!$A:$A,0))*1000+INDEX(编号表!$D:$D,MATCH(D86,编号表!$C:$C,0))*100+E86</f>
        <v>1002340</v>
      </c>
      <c r="C86" s="2" t="s">
        <v>72</v>
      </c>
      <c r="D86" s="8" t="s">
        <v>63</v>
      </c>
      <c r="E86" s="8">
        <v>40</v>
      </c>
      <c r="F86" s="8" t="s">
        <v>113</v>
      </c>
      <c r="G86" s="12" t="s">
        <v>62</v>
      </c>
      <c r="H86" s="8">
        <v>60011019</v>
      </c>
      <c r="I86" s="12">
        <v>10</v>
      </c>
    </row>
    <row r="87" spans="2:9" x14ac:dyDescent="0.25">
      <c r="B87" s="8">
        <f>1000000+INDEX(编号表!$B:$B,MATCH(C87,编号表!$A:$A,0))*1000+INDEX(编号表!$D:$D,MATCH(D87,编号表!$C:$C,0))*100+E87</f>
        <v>1002341</v>
      </c>
      <c r="C87" s="2" t="s">
        <v>72</v>
      </c>
      <c r="D87" s="8" t="s">
        <v>63</v>
      </c>
      <c r="E87" s="8">
        <v>41</v>
      </c>
      <c r="F87" s="8" t="s">
        <v>114</v>
      </c>
      <c r="G87" s="12" t="s">
        <v>62</v>
      </c>
      <c r="H87" s="8">
        <v>60011001</v>
      </c>
      <c r="I87" s="12">
        <v>15</v>
      </c>
    </row>
    <row r="88" spans="2:9" x14ac:dyDescent="0.25">
      <c r="B88" s="8">
        <f>1000000+INDEX(编号表!$B:$B,MATCH(C88,编号表!$A:$A,0))*1000+INDEX(编号表!$D:$D,MATCH(D88,编号表!$C:$C,0))*100+E88</f>
        <v>1002342</v>
      </c>
      <c r="C88" s="2" t="s">
        <v>72</v>
      </c>
      <c r="D88" s="8" t="s">
        <v>63</v>
      </c>
      <c r="E88" s="8">
        <v>42</v>
      </c>
      <c r="F88" s="8" t="s">
        <v>115</v>
      </c>
      <c r="G88" s="12" t="s">
        <v>62</v>
      </c>
      <c r="H88" s="12">
        <v>60011002</v>
      </c>
      <c r="I88" s="12">
        <v>15</v>
      </c>
    </row>
    <row r="89" spans="2:9" x14ac:dyDescent="0.25">
      <c r="B89" s="8">
        <f>1000000+INDEX(编号表!$B:$B,MATCH(C89,编号表!$A:$A,0))*1000+INDEX(编号表!$D:$D,MATCH(D89,编号表!$C:$C,0))*100+E89</f>
        <v>1002343</v>
      </c>
      <c r="C89" s="2" t="s">
        <v>72</v>
      </c>
      <c r="D89" s="8" t="s">
        <v>63</v>
      </c>
      <c r="E89" s="8">
        <v>43</v>
      </c>
      <c r="F89" s="8" t="s">
        <v>116</v>
      </c>
      <c r="G89" s="12" t="s">
        <v>62</v>
      </c>
      <c r="H89" s="8">
        <v>60011003</v>
      </c>
      <c r="I89" s="12">
        <v>15</v>
      </c>
    </row>
    <row r="90" spans="2:9" x14ac:dyDescent="0.25">
      <c r="B90" s="8">
        <f>1000000+INDEX(编号表!$B:$B,MATCH(C90,编号表!$A:$A,0))*1000+INDEX(编号表!$D:$D,MATCH(D90,编号表!$C:$C,0))*100+E90</f>
        <v>1002344</v>
      </c>
      <c r="C90" s="2" t="s">
        <v>72</v>
      </c>
      <c r="D90" s="8" t="s">
        <v>63</v>
      </c>
      <c r="E90" s="8">
        <v>44</v>
      </c>
      <c r="F90" s="8" t="s">
        <v>117</v>
      </c>
      <c r="G90" s="12" t="s">
        <v>62</v>
      </c>
      <c r="H90" s="8">
        <v>60011004</v>
      </c>
      <c r="I90" s="12">
        <v>15</v>
      </c>
    </row>
    <row r="91" spans="2:9" x14ac:dyDescent="0.25">
      <c r="B91" s="8">
        <f>1000000+INDEX(编号表!$B:$B,MATCH(C91,编号表!$A:$A,0))*1000+INDEX(编号表!$D:$D,MATCH(D91,编号表!$C:$C,0))*100+E91</f>
        <v>1002345</v>
      </c>
      <c r="C91" s="2" t="s">
        <v>72</v>
      </c>
      <c r="D91" s="8" t="s">
        <v>63</v>
      </c>
      <c r="E91" s="8">
        <v>45</v>
      </c>
      <c r="F91" s="8" t="s">
        <v>118</v>
      </c>
      <c r="G91" s="12" t="s">
        <v>62</v>
      </c>
      <c r="H91" s="8">
        <v>60011005</v>
      </c>
      <c r="I91" s="12">
        <v>15</v>
      </c>
    </row>
    <row r="92" spans="2:9" x14ac:dyDescent="0.25">
      <c r="B92" s="8">
        <f>1000000+INDEX(编号表!$B:$B,MATCH(C92,编号表!$A:$A,0))*1000+INDEX(编号表!$D:$D,MATCH(D92,编号表!$C:$C,0))*100+E92</f>
        <v>1002346</v>
      </c>
      <c r="C92" s="2" t="s">
        <v>72</v>
      </c>
      <c r="D92" s="8" t="s">
        <v>63</v>
      </c>
      <c r="E92" s="8">
        <v>46</v>
      </c>
      <c r="F92" s="8" t="s">
        <v>119</v>
      </c>
      <c r="G92" s="12" t="s">
        <v>62</v>
      </c>
      <c r="H92" s="8">
        <v>60011006</v>
      </c>
      <c r="I92" s="12">
        <v>15</v>
      </c>
    </row>
    <row r="93" spans="2:9" x14ac:dyDescent="0.25">
      <c r="B93" s="8">
        <f>1000000+INDEX(编号表!$B:$B,MATCH(C93,编号表!$A:$A,0))*1000+INDEX(编号表!$D:$D,MATCH(D93,编号表!$C:$C,0))*100+E93</f>
        <v>1002347</v>
      </c>
      <c r="C93" s="2" t="s">
        <v>72</v>
      </c>
      <c r="D93" s="8" t="s">
        <v>63</v>
      </c>
      <c r="E93" s="8">
        <v>47</v>
      </c>
      <c r="F93" s="8" t="s">
        <v>120</v>
      </c>
      <c r="G93" s="12" t="s">
        <v>62</v>
      </c>
      <c r="H93" s="8">
        <v>60011007</v>
      </c>
      <c r="I93" s="12">
        <v>15</v>
      </c>
    </row>
    <row r="94" spans="2:9" x14ac:dyDescent="0.25">
      <c r="B94" s="8">
        <f>1000000+INDEX(编号表!$B:$B,MATCH(C94,编号表!$A:$A,0))*1000+INDEX(编号表!$D:$D,MATCH(D94,编号表!$C:$C,0))*100+E94</f>
        <v>1002348</v>
      </c>
      <c r="C94" s="2" t="s">
        <v>72</v>
      </c>
      <c r="D94" s="8" t="s">
        <v>63</v>
      </c>
      <c r="E94" s="8">
        <v>48</v>
      </c>
      <c r="F94" s="8" t="s">
        <v>121</v>
      </c>
      <c r="G94" s="12" t="s">
        <v>62</v>
      </c>
      <c r="H94" s="8">
        <v>60011008</v>
      </c>
      <c r="I94" s="12">
        <v>15</v>
      </c>
    </row>
    <row r="95" spans="2:9" x14ac:dyDescent="0.25">
      <c r="B95" s="8">
        <f>1000000+INDEX(编号表!$B:$B,MATCH(C95,编号表!$A:$A,0))*1000+INDEX(编号表!$D:$D,MATCH(D95,编号表!$C:$C,0))*100+E95</f>
        <v>1002349</v>
      </c>
      <c r="C95" s="2" t="s">
        <v>72</v>
      </c>
      <c r="D95" s="8" t="s">
        <v>63</v>
      </c>
      <c r="E95" s="8">
        <v>49</v>
      </c>
      <c r="F95" s="8" t="s">
        <v>122</v>
      </c>
      <c r="G95" s="12" t="s">
        <v>62</v>
      </c>
      <c r="H95" s="8">
        <v>60011009</v>
      </c>
      <c r="I95" s="12">
        <v>15</v>
      </c>
    </row>
    <row r="96" spans="2:9" x14ac:dyDescent="0.25">
      <c r="B96" s="8">
        <f>1000000+INDEX(编号表!$B:$B,MATCH(C96,编号表!$A:$A,0))*1000+INDEX(编号表!$D:$D,MATCH(D96,编号表!$C:$C,0))*100+E96</f>
        <v>1002350</v>
      </c>
      <c r="C96" s="2" t="s">
        <v>72</v>
      </c>
      <c r="D96" s="8" t="s">
        <v>63</v>
      </c>
      <c r="E96" s="8">
        <v>50</v>
      </c>
      <c r="F96" s="8" t="s">
        <v>123</v>
      </c>
      <c r="G96" s="12" t="s">
        <v>62</v>
      </c>
      <c r="H96" s="8">
        <v>60011010</v>
      </c>
      <c r="I96" s="12">
        <v>15</v>
      </c>
    </row>
    <row r="97" spans="2:9" x14ac:dyDescent="0.25">
      <c r="B97" s="8">
        <f>1000000+INDEX(编号表!$B:$B,MATCH(C97,编号表!$A:$A,0))*1000+INDEX(编号表!$D:$D,MATCH(D97,编号表!$C:$C,0))*100+E97</f>
        <v>1002351</v>
      </c>
      <c r="C97" s="2" t="s">
        <v>72</v>
      </c>
      <c r="D97" s="8" t="s">
        <v>63</v>
      </c>
      <c r="E97" s="8">
        <v>51</v>
      </c>
      <c r="F97" s="8" t="s">
        <v>124</v>
      </c>
      <c r="G97" s="12" t="s">
        <v>62</v>
      </c>
      <c r="H97" s="8">
        <v>60011011</v>
      </c>
      <c r="I97" s="12">
        <v>15</v>
      </c>
    </row>
    <row r="98" spans="2:9" x14ac:dyDescent="0.25">
      <c r="B98" s="8">
        <f>1000000+INDEX(编号表!$B:$B,MATCH(C98,编号表!$A:$A,0))*1000+INDEX(编号表!$D:$D,MATCH(D98,编号表!$C:$C,0))*100+E98</f>
        <v>1002352</v>
      </c>
      <c r="C98" s="2" t="s">
        <v>72</v>
      </c>
      <c r="D98" s="8" t="s">
        <v>63</v>
      </c>
      <c r="E98" s="8">
        <v>52</v>
      </c>
      <c r="F98" s="8" t="s">
        <v>125</v>
      </c>
      <c r="G98" s="12" t="s">
        <v>62</v>
      </c>
      <c r="H98" s="8">
        <v>60011012</v>
      </c>
      <c r="I98" s="12">
        <v>15</v>
      </c>
    </row>
    <row r="99" spans="2:9" x14ac:dyDescent="0.25">
      <c r="B99" s="8">
        <f>1000000+INDEX(编号表!$B:$B,MATCH(C99,编号表!$A:$A,0))*1000+INDEX(编号表!$D:$D,MATCH(D99,编号表!$C:$C,0))*100+E99</f>
        <v>1002353</v>
      </c>
      <c r="C99" s="2" t="s">
        <v>72</v>
      </c>
      <c r="D99" s="8" t="s">
        <v>63</v>
      </c>
      <c r="E99" s="8">
        <v>53</v>
      </c>
      <c r="F99" s="8" t="s">
        <v>126</v>
      </c>
      <c r="G99" s="12" t="s">
        <v>62</v>
      </c>
      <c r="H99" s="8">
        <v>60011013</v>
      </c>
      <c r="I99" s="12">
        <v>15</v>
      </c>
    </row>
    <row r="100" spans="2:9" x14ac:dyDescent="0.25">
      <c r="B100" s="8">
        <f>1000000+INDEX(编号表!$B:$B,MATCH(C100,编号表!$A:$A,0))*1000+INDEX(编号表!$D:$D,MATCH(D100,编号表!$C:$C,0))*100+E100</f>
        <v>1002354</v>
      </c>
      <c r="C100" s="2" t="s">
        <v>72</v>
      </c>
      <c r="D100" s="8" t="s">
        <v>63</v>
      </c>
      <c r="E100" s="8">
        <v>54</v>
      </c>
      <c r="F100" s="8" t="s">
        <v>127</v>
      </c>
      <c r="G100" s="12" t="s">
        <v>62</v>
      </c>
      <c r="H100" s="8">
        <v>60011014</v>
      </c>
      <c r="I100" s="12">
        <v>15</v>
      </c>
    </row>
    <row r="101" spans="2:9" x14ac:dyDescent="0.25">
      <c r="B101" s="8">
        <f>1000000+INDEX(编号表!$B:$B,MATCH(C101,编号表!$A:$A,0))*1000+INDEX(编号表!$D:$D,MATCH(D101,编号表!$C:$C,0))*100+E101</f>
        <v>1002355</v>
      </c>
      <c r="C101" s="2" t="s">
        <v>72</v>
      </c>
      <c r="D101" s="8" t="s">
        <v>63</v>
      </c>
      <c r="E101" s="8">
        <v>55</v>
      </c>
      <c r="F101" s="8" t="s">
        <v>128</v>
      </c>
      <c r="G101" s="12" t="s">
        <v>62</v>
      </c>
      <c r="H101" s="8">
        <v>60011015</v>
      </c>
      <c r="I101" s="12">
        <v>15</v>
      </c>
    </row>
    <row r="102" spans="2:9" x14ac:dyDescent="0.25">
      <c r="B102" s="8">
        <f>1000000+INDEX(编号表!$B:$B,MATCH(C102,编号表!$A:$A,0))*1000+INDEX(编号表!$D:$D,MATCH(D102,编号表!$C:$C,0))*100+E102</f>
        <v>1002356</v>
      </c>
      <c r="C102" s="2" t="s">
        <v>72</v>
      </c>
      <c r="D102" s="8" t="s">
        <v>63</v>
      </c>
      <c r="E102" s="8">
        <v>56</v>
      </c>
      <c r="F102" s="8" t="s">
        <v>129</v>
      </c>
      <c r="G102" s="12" t="s">
        <v>62</v>
      </c>
      <c r="H102" s="8">
        <v>60011016</v>
      </c>
      <c r="I102" s="12">
        <v>15</v>
      </c>
    </row>
    <row r="103" spans="2:9" x14ac:dyDescent="0.25">
      <c r="B103" s="8">
        <f>1000000+INDEX(编号表!$B:$B,MATCH(C103,编号表!$A:$A,0))*1000+INDEX(编号表!$D:$D,MATCH(D103,编号表!$C:$C,0))*100+E103</f>
        <v>1002357</v>
      </c>
      <c r="C103" s="2" t="s">
        <v>72</v>
      </c>
      <c r="D103" s="8" t="s">
        <v>63</v>
      </c>
      <c r="E103" s="8">
        <v>57</v>
      </c>
      <c r="F103" s="8" t="s">
        <v>130</v>
      </c>
      <c r="G103" s="12" t="s">
        <v>62</v>
      </c>
      <c r="H103" s="8">
        <v>60011017</v>
      </c>
      <c r="I103" s="12">
        <v>15</v>
      </c>
    </row>
    <row r="104" spans="2:9" x14ac:dyDescent="0.25">
      <c r="B104" s="8">
        <f>1000000+INDEX(编号表!$B:$B,MATCH(C104,编号表!$A:$A,0))*1000+INDEX(编号表!$D:$D,MATCH(D104,编号表!$C:$C,0))*100+E104</f>
        <v>1002358</v>
      </c>
      <c r="C104" s="2" t="s">
        <v>72</v>
      </c>
      <c r="D104" s="8" t="s">
        <v>63</v>
      </c>
      <c r="E104" s="8">
        <v>58</v>
      </c>
      <c r="F104" s="8" t="s">
        <v>131</v>
      </c>
      <c r="G104" s="12" t="s">
        <v>62</v>
      </c>
      <c r="H104" s="8">
        <v>60011018</v>
      </c>
      <c r="I104" s="12">
        <v>15</v>
      </c>
    </row>
    <row r="105" spans="2:9" x14ac:dyDescent="0.25">
      <c r="B105" s="8">
        <f>1000000+INDEX(编号表!$B:$B,MATCH(C105,编号表!$A:$A,0))*1000+INDEX(编号表!$D:$D,MATCH(D105,编号表!$C:$C,0))*100+E105</f>
        <v>1002359</v>
      </c>
      <c r="C105" s="2" t="s">
        <v>72</v>
      </c>
      <c r="D105" s="8" t="s">
        <v>63</v>
      </c>
      <c r="E105" s="8">
        <v>59</v>
      </c>
      <c r="F105" s="8" t="s">
        <v>132</v>
      </c>
      <c r="G105" s="12" t="s">
        <v>62</v>
      </c>
      <c r="H105" s="8">
        <v>60011019</v>
      </c>
      <c r="I105" s="12">
        <v>15</v>
      </c>
    </row>
    <row r="106" spans="2:9" x14ac:dyDescent="0.25">
      <c r="B106" s="8">
        <f>1000000+INDEX(编号表!$B:$B,MATCH(C106,编号表!$A:$A,0))*1000+INDEX(编号表!$D:$D,MATCH(D106,编号表!$C:$C,0))*100+E106</f>
        <v>1002360</v>
      </c>
      <c r="C106" s="2" t="s">
        <v>72</v>
      </c>
      <c r="D106" s="8" t="s">
        <v>63</v>
      </c>
      <c r="E106" s="8">
        <v>60</v>
      </c>
      <c r="F106" s="8" t="s">
        <v>133</v>
      </c>
      <c r="G106" s="12" t="s">
        <v>62</v>
      </c>
      <c r="H106" s="8">
        <v>60011001</v>
      </c>
      <c r="I106" s="12">
        <v>20</v>
      </c>
    </row>
    <row r="107" spans="2:9" x14ac:dyDescent="0.25">
      <c r="B107" s="8">
        <f>1000000+INDEX(编号表!$B:$B,MATCH(C107,编号表!$A:$A,0))*1000+INDEX(编号表!$D:$D,MATCH(D107,编号表!$C:$C,0))*100+E107</f>
        <v>1002361</v>
      </c>
      <c r="C107" s="2" t="s">
        <v>72</v>
      </c>
      <c r="D107" s="8" t="s">
        <v>63</v>
      </c>
      <c r="E107" s="8">
        <v>61</v>
      </c>
      <c r="F107" s="8" t="s">
        <v>134</v>
      </c>
      <c r="G107" s="12" t="s">
        <v>62</v>
      </c>
      <c r="H107" s="12">
        <v>60011002</v>
      </c>
      <c r="I107" s="12">
        <v>20</v>
      </c>
    </row>
    <row r="108" spans="2:9" x14ac:dyDescent="0.25">
      <c r="B108" s="8">
        <f>1000000+INDEX(编号表!$B:$B,MATCH(C108,编号表!$A:$A,0))*1000+INDEX(编号表!$D:$D,MATCH(D108,编号表!$C:$C,0))*100+E108</f>
        <v>1002362</v>
      </c>
      <c r="C108" s="2" t="s">
        <v>72</v>
      </c>
      <c r="D108" s="8" t="s">
        <v>63</v>
      </c>
      <c r="E108" s="8">
        <v>62</v>
      </c>
      <c r="F108" s="8" t="s">
        <v>135</v>
      </c>
      <c r="G108" s="12" t="s">
        <v>62</v>
      </c>
      <c r="H108" s="8">
        <v>60011003</v>
      </c>
      <c r="I108" s="12">
        <v>20</v>
      </c>
    </row>
    <row r="109" spans="2:9" x14ac:dyDescent="0.25">
      <c r="B109" s="8">
        <f>1000000+INDEX(编号表!$B:$B,MATCH(C109,编号表!$A:$A,0))*1000+INDEX(编号表!$D:$D,MATCH(D109,编号表!$C:$C,0))*100+E109</f>
        <v>1002363</v>
      </c>
      <c r="C109" s="2" t="s">
        <v>72</v>
      </c>
      <c r="D109" s="8" t="s">
        <v>63</v>
      </c>
      <c r="E109" s="8">
        <v>63</v>
      </c>
      <c r="F109" s="8" t="s">
        <v>136</v>
      </c>
      <c r="G109" s="12" t="s">
        <v>62</v>
      </c>
      <c r="H109" s="8">
        <v>60011004</v>
      </c>
      <c r="I109" s="12">
        <v>20</v>
      </c>
    </row>
    <row r="110" spans="2:9" x14ac:dyDescent="0.25">
      <c r="B110" s="8">
        <f>1000000+INDEX(编号表!$B:$B,MATCH(C110,编号表!$A:$A,0))*1000+INDEX(编号表!$D:$D,MATCH(D110,编号表!$C:$C,0))*100+E110</f>
        <v>1002364</v>
      </c>
      <c r="C110" s="2" t="s">
        <v>72</v>
      </c>
      <c r="D110" s="8" t="s">
        <v>63</v>
      </c>
      <c r="E110" s="8">
        <v>64</v>
      </c>
      <c r="F110" s="8" t="s">
        <v>137</v>
      </c>
      <c r="G110" s="12" t="s">
        <v>62</v>
      </c>
      <c r="H110" s="8">
        <v>60011005</v>
      </c>
      <c r="I110" s="12">
        <v>20</v>
      </c>
    </row>
    <row r="111" spans="2:9" x14ac:dyDescent="0.25">
      <c r="B111" s="8">
        <f>1000000+INDEX(编号表!$B:$B,MATCH(C111,编号表!$A:$A,0))*1000+INDEX(编号表!$D:$D,MATCH(D111,编号表!$C:$C,0))*100+E111</f>
        <v>1002365</v>
      </c>
      <c r="C111" s="2" t="s">
        <v>72</v>
      </c>
      <c r="D111" s="8" t="s">
        <v>63</v>
      </c>
      <c r="E111" s="8">
        <v>65</v>
      </c>
      <c r="F111" s="8" t="s">
        <v>138</v>
      </c>
      <c r="G111" s="12" t="s">
        <v>62</v>
      </c>
      <c r="H111" s="8">
        <v>60011006</v>
      </c>
      <c r="I111" s="12">
        <v>20</v>
      </c>
    </row>
    <row r="112" spans="2:9" x14ac:dyDescent="0.25">
      <c r="B112" s="8">
        <f>1000000+INDEX(编号表!$B:$B,MATCH(C112,编号表!$A:$A,0))*1000+INDEX(编号表!$D:$D,MATCH(D112,编号表!$C:$C,0))*100+E112</f>
        <v>1002366</v>
      </c>
      <c r="C112" s="2" t="s">
        <v>72</v>
      </c>
      <c r="D112" s="8" t="s">
        <v>63</v>
      </c>
      <c r="E112" s="8">
        <v>66</v>
      </c>
      <c r="F112" s="8" t="s">
        <v>139</v>
      </c>
      <c r="G112" s="12" t="s">
        <v>62</v>
      </c>
      <c r="H112" s="8">
        <v>60011007</v>
      </c>
      <c r="I112" s="12">
        <v>20</v>
      </c>
    </row>
    <row r="113" spans="2:9" x14ac:dyDescent="0.25">
      <c r="B113" s="8">
        <f>1000000+INDEX(编号表!$B:$B,MATCH(C113,编号表!$A:$A,0))*1000+INDEX(编号表!$D:$D,MATCH(D113,编号表!$C:$C,0))*100+E113</f>
        <v>1002367</v>
      </c>
      <c r="C113" s="2" t="s">
        <v>72</v>
      </c>
      <c r="D113" s="8" t="s">
        <v>63</v>
      </c>
      <c r="E113" s="8">
        <v>67</v>
      </c>
      <c r="F113" s="8" t="s">
        <v>140</v>
      </c>
      <c r="G113" s="12" t="s">
        <v>62</v>
      </c>
      <c r="H113" s="8">
        <v>60011008</v>
      </c>
      <c r="I113" s="12">
        <v>20</v>
      </c>
    </row>
    <row r="114" spans="2:9" x14ac:dyDescent="0.25">
      <c r="B114" s="8">
        <f>1000000+INDEX(编号表!$B:$B,MATCH(C114,编号表!$A:$A,0))*1000+INDEX(编号表!$D:$D,MATCH(D114,编号表!$C:$C,0))*100+E114</f>
        <v>1002368</v>
      </c>
      <c r="C114" s="2" t="s">
        <v>72</v>
      </c>
      <c r="D114" s="8" t="s">
        <v>63</v>
      </c>
      <c r="E114" s="8">
        <v>68</v>
      </c>
      <c r="F114" s="8" t="s">
        <v>141</v>
      </c>
      <c r="G114" s="12" t="s">
        <v>62</v>
      </c>
      <c r="H114" s="8">
        <v>60011009</v>
      </c>
      <c r="I114" s="12">
        <v>20</v>
      </c>
    </row>
    <row r="115" spans="2:9" x14ac:dyDescent="0.25">
      <c r="B115" s="8">
        <f>1000000+INDEX(编号表!$B:$B,MATCH(C115,编号表!$A:$A,0))*1000+INDEX(编号表!$D:$D,MATCH(D115,编号表!$C:$C,0))*100+E115</f>
        <v>1002369</v>
      </c>
      <c r="C115" s="2" t="s">
        <v>72</v>
      </c>
      <c r="D115" s="8" t="s">
        <v>63</v>
      </c>
      <c r="E115" s="8">
        <v>69</v>
      </c>
      <c r="F115" s="8" t="s">
        <v>142</v>
      </c>
      <c r="G115" s="12" t="s">
        <v>62</v>
      </c>
      <c r="H115" s="8">
        <v>60011010</v>
      </c>
      <c r="I115" s="12">
        <v>20</v>
      </c>
    </row>
    <row r="116" spans="2:9" x14ac:dyDescent="0.25">
      <c r="B116" s="8">
        <f>1000000+INDEX(编号表!$B:$B,MATCH(C116,编号表!$A:$A,0))*1000+INDEX(编号表!$D:$D,MATCH(D116,编号表!$C:$C,0))*100+E116</f>
        <v>1002370</v>
      </c>
      <c r="C116" s="2" t="s">
        <v>72</v>
      </c>
      <c r="D116" s="8" t="s">
        <v>63</v>
      </c>
      <c r="E116" s="8">
        <v>70</v>
      </c>
      <c r="F116" s="8" t="s">
        <v>143</v>
      </c>
      <c r="G116" s="12" t="s">
        <v>62</v>
      </c>
      <c r="H116" s="8">
        <v>60011011</v>
      </c>
      <c r="I116" s="12">
        <v>20</v>
      </c>
    </row>
    <row r="117" spans="2:9" x14ac:dyDescent="0.25">
      <c r="B117" s="8">
        <f>1000000+INDEX(编号表!$B:$B,MATCH(C117,编号表!$A:$A,0))*1000+INDEX(编号表!$D:$D,MATCH(D117,编号表!$C:$C,0))*100+E117</f>
        <v>1002371</v>
      </c>
      <c r="C117" s="2" t="s">
        <v>72</v>
      </c>
      <c r="D117" s="8" t="s">
        <v>63</v>
      </c>
      <c r="E117" s="8">
        <v>71</v>
      </c>
      <c r="F117" s="8" t="s">
        <v>144</v>
      </c>
      <c r="G117" s="12" t="s">
        <v>62</v>
      </c>
      <c r="H117" s="8">
        <v>60011012</v>
      </c>
      <c r="I117" s="12">
        <v>20</v>
      </c>
    </row>
    <row r="118" spans="2:9" x14ac:dyDescent="0.25">
      <c r="B118" s="8">
        <f>1000000+INDEX(编号表!$B:$B,MATCH(C118,编号表!$A:$A,0))*1000+INDEX(编号表!$D:$D,MATCH(D118,编号表!$C:$C,0))*100+E118</f>
        <v>1002372</v>
      </c>
      <c r="C118" s="2" t="s">
        <v>72</v>
      </c>
      <c r="D118" s="8" t="s">
        <v>63</v>
      </c>
      <c r="E118" s="8">
        <v>72</v>
      </c>
      <c r="F118" s="8" t="s">
        <v>145</v>
      </c>
      <c r="G118" s="12" t="s">
        <v>62</v>
      </c>
      <c r="H118" s="8">
        <v>60011013</v>
      </c>
      <c r="I118" s="12">
        <v>20</v>
      </c>
    </row>
    <row r="119" spans="2:9" x14ac:dyDescent="0.25">
      <c r="B119" s="8">
        <f>1000000+INDEX(编号表!$B:$B,MATCH(C119,编号表!$A:$A,0))*1000+INDEX(编号表!$D:$D,MATCH(D119,编号表!$C:$C,0))*100+E119</f>
        <v>1002373</v>
      </c>
      <c r="C119" s="2" t="s">
        <v>72</v>
      </c>
      <c r="D119" s="8" t="s">
        <v>63</v>
      </c>
      <c r="E119" s="8">
        <v>73</v>
      </c>
      <c r="F119" s="8" t="s">
        <v>146</v>
      </c>
      <c r="G119" s="12" t="s">
        <v>62</v>
      </c>
      <c r="H119" s="8">
        <v>60011014</v>
      </c>
      <c r="I119" s="12">
        <v>20</v>
      </c>
    </row>
    <row r="120" spans="2:9" x14ac:dyDescent="0.25">
      <c r="B120" s="8">
        <f>1000000+INDEX(编号表!$B:$B,MATCH(C120,编号表!$A:$A,0))*1000+INDEX(编号表!$D:$D,MATCH(D120,编号表!$C:$C,0))*100+E120</f>
        <v>1002374</v>
      </c>
      <c r="C120" s="2" t="s">
        <v>72</v>
      </c>
      <c r="D120" s="8" t="s">
        <v>63</v>
      </c>
      <c r="E120" s="8">
        <v>74</v>
      </c>
      <c r="F120" s="8" t="s">
        <v>147</v>
      </c>
      <c r="G120" s="12" t="s">
        <v>62</v>
      </c>
      <c r="H120" s="8">
        <v>60011015</v>
      </c>
      <c r="I120" s="12">
        <v>20</v>
      </c>
    </row>
    <row r="121" spans="2:9" x14ac:dyDescent="0.25">
      <c r="B121" s="8">
        <f>1000000+INDEX(编号表!$B:$B,MATCH(C121,编号表!$A:$A,0))*1000+INDEX(编号表!$D:$D,MATCH(D121,编号表!$C:$C,0))*100+E121</f>
        <v>1002375</v>
      </c>
      <c r="C121" s="2" t="s">
        <v>72</v>
      </c>
      <c r="D121" s="8" t="s">
        <v>63</v>
      </c>
      <c r="E121" s="8">
        <v>75</v>
      </c>
      <c r="F121" s="8" t="s">
        <v>148</v>
      </c>
      <c r="G121" s="12" t="s">
        <v>62</v>
      </c>
      <c r="H121" s="8">
        <v>60011016</v>
      </c>
      <c r="I121" s="12">
        <v>20</v>
      </c>
    </row>
    <row r="122" spans="2:9" x14ac:dyDescent="0.25">
      <c r="B122" s="8">
        <f>1000000+INDEX(编号表!$B:$B,MATCH(C122,编号表!$A:$A,0))*1000+INDEX(编号表!$D:$D,MATCH(D122,编号表!$C:$C,0))*100+E122</f>
        <v>1002376</v>
      </c>
      <c r="C122" s="2" t="s">
        <v>72</v>
      </c>
      <c r="D122" s="8" t="s">
        <v>63</v>
      </c>
      <c r="E122" s="8">
        <v>76</v>
      </c>
      <c r="F122" s="8" t="s">
        <v>149</v>
      </c>
      <c r="G122" s="12" t="s">
        <v>62</v>
      </c>
      <c r="H122" s="8">
        <v>60011017</v>
      </c>
      <c r="I122" s="12">
        <v>20</v>
      </c>
    </row>
    <row r="123" spans="2:9" x14ac:dyDescent="0.25">
      <c r="B123" s="8">
        <f>1000000+INDEX(编号表!$B:$B,MATCH(C123,编号表!$A:$A,0))*1000+INDEX(编号表!$D:$D,MATCH(D123,编号表!$C:$C,0))*100+E123</f>
        <v>1002377</v>
      </c>
      <c r="C123" s="2" t="s">
        <v>72</v>
      </c>
      <c r="D123" s="8" t="s">
        <v>63</v>
      </c>
      <c r="E123" s="8">
        <v>77</v>
      </c>
      <c r="F123" s="8" t="s">
        <v>150</v>
      </c>
      <c r="G123" s="12" t="s">
        <v>62</v>
      </c>
      <c r="H123" s="8">
        <v>60011018</v>
      </c>
      <c r="I123" s="12">
        <v>20</v>
      </c>
    </row>
    <row r="124" spans="2:9" x14ac:dyDescent="0.25">
      <c r="B124" s="8">
        <f>1000000+INDEX(编号表!$B:$B,MATCH(C124,编号表!$A:$A,0))*1000+INDEX(编号表!$D:$D,MATCH(D124,编号表!$C:$C,0))*100+E124</f>
        <v>1002378</v>
      </c>
      <c r="C124" s="2" t="s">
        <v>72</v>
      </c>
      <c r="D124" s="8" t="s">
        <v>63</v>
      </c>
      <c r="E124" s="8">
        <v>78</v>
      </c>
      <c r="F124" s="8" t="s">
        <v>151</v>
      </c>
      <c r="G124" s="12" t="s">
        <v>62</v>
      </c>
      <c r="H124" s="8">
        <v>60011019</v>
      </c>
      <c r="I124" s="12">
        <v>20</v>
      </c>
    </row>
    <row r="125" spans="2:9" x14ac:dyDescent="0.25">
      <c r="B125" s="8">
        <f>1000000+INDEX(编号表!$B:$B,MATCH(C125,编号表!$A:$A,0))*1000+INDEX(编号表!$D:$D,MATCH(D125,编号表!$C:$C,0))*100+E125</f>
        <v>1002379</v>
      </c>
      <c r="C125" s="2" t="s">
        <v>72</v>
      </c>
      <c r="D125" s="8" t="s">
        <v>63</v>
      </c>
      <c r="E125" s="8">
        <v>79</v>
      </c>
      <c r="F125" s="8" t="s">
        <v>152</v>
      </c>
      <c r="G125" s="12" t="s">
        <v>62</v>
      </c>
      <c r="H125" s="8">
        <v>60011001</v>
      </c>
      <c r="I125" s="12">
        <v>25</v>
      </c>
    </row>
    <row r="126" spans="2:9" x14ac:dyDescent="0.25">
      <c r="B126" s="8">
        <f>1000000+INDEX(编号表!$B:$B,MATCH(C126,编号表!$A:$A,0))*1000+INDEX(编号表!$D:$D,MATCH(D126,编号表!$C:$C,0))*100+E126</f>
        <v>1002380</v>
      </c>
      <c r="C126" s="2" t="s">
        <v>72</v>
      </c>
      <c r="D126" s="8" t="s">
        <v>63</v>
      </c>
      <c r="E126" s="8">
        <v>80</v>
      </c>
      <c r="F126" s="8" t="s">
        <v>153</v>
      </c>
      <c r="G126" s="12" t="s">
        <v>62</v>
      </c>
      <c r="H126" s="12">
        <v>60011002</v>
      </c>
      <c r="I126" s="12">
        <v>25</v>
      </c>
    </row>
    <row r="127" spans="2:9" x14ac:dyDescent="0.25">
      <c r="B127" s="8">
        <f>1000000+INDEX(编号表!$B:$B,MATCH(C127,编号表!$A:$A,0))*1000+INDEX(编号表!$D:$D,MATCH(D127,编号表!$C:$C,0))*100+E127</f>
        <v>1002381</v>
      </c>
      <c r="C127" s="2" t="s">
        <v>72</v>
      </c>
      <c r="D127" s="8" t="s">
        <v>63</v>
      </c>
      <c r="E127" s="8">
        <v>81</v>
      </c>
      <c r="F127" s="8" t="s">
        <v>154</v>
      </c>
      <c r="G127" s="12" t="s">
        <v>62</v>
      </c>
      <c r="H127" s="8">
        <v>60011003</v>
      </c>
      <c r="I127" s="12">
        <v>25</v>
      </c>
    </row>
    <row r="128" spans="2:9" x14ac:dyDescent="0.25">
      <c r="B128" s="8">
        <f>1000000+INDEX(编号表!$B:$B,MATCH(C128,编号表!$A:$A,0))*1000+INDEX(编号表!$D:$D,MATCH(D128,编号表!$C:$C,0))*100+E128</f>
        <v>1002382</v>
      </c>
      <c r="C128" s="2" t="s">
        <v>72</v>
      </c>
      <c r="D128" s="8" t="s">
        <v>63</v>
      </c>
      <c r="E128" s="8">
        <v>82</v>
      </c>
      <c r="F128" s="8" t="s">
        <v>155</v>
      </c>
      <c r="G128" s="12" t="s">
        <v>62</v>
      </c>
      <c r="H128" s="8">
        <v>60011004</v>
      </c>
      <c r="I128" s="12">
        <v>25</v>
      </c>
    </row>
    <row r="129" spans="2:9" x14ac:dyDescent="0.25">
      <c r="B129" s="8">
        <f>1000000+INDEX(编号表!$B:$B,MATCH(C129,编号表!$A:$A,0))*1000+INDEX(编号表!$D:$D,MATCH(D129,编号表!$C:$C,0))*100+E129</f>
        <v>1002383</v>
      </c>
      <c r="C129" s="2" t="s">
        <v>72</v>
      </c>
      <c r="D129" s="8" t="s">
        <v>63</v>
      </c>
      <c r="E129" s="8">
        <v>83</v>
      </c>
      <c r="F129" s="8" t="s">
        <v>156</v>
      </c>
      <c r="G129" s="12" t="s">
        <v>62</v>
      </c>
      <c r="H129" s="8">
        <v>60011005</v>
      </c>
      <c r="I129" s="12">
        <v>25</v>
      </c>
    </row>
    <row r="130" spans="2:9" x14ac:dyDescent="0.25">
      <c r="B130" s="8">
        <f>1000000+INDEX(编号表!$B:$B,MATCH(C130,编号表!$A:$A,0))*1000+INDEX(编号表!$D:$D,MATCH(D130,编号表!$C:$C,0))*100+E130</f>
        <v>1002384</v>
      </c>
      <c r="C130" s="2" t="s">
        <v>72</v>
      </c>
      <c r="D130" s="8" t="s">
        <v>63</v>
      </c>
      <c r="E130" s="8">
        <v>84</v>
      </c>
      <c r="F130" s="8" t="s">
        <v>157</v>
      </c>
      <c r="G130" s="12" t="s">
        <v>62</v>
      </c>
      <c r="H130" s="8">
        <v>60011006</v>
      </c>
      <c r="I130" s="12">
        <v>25</v>
      </c>
    </row>
    <row r="131" spans="2:9" x14ac:dyDescent="0.25">
      <c r="B131" s="8">
        <f>1000000+INDEX(编号表!$B:$B,MATCH(C131,编号表!$A:$A,0))*1000+INDEX(编号表!$D:$D,MATCH(D131,编号表!$C:$C,0))*100+E131</f>
        <v>1002385</v>
      </c>
      <c r="C131" s="2" t="s">
        <v>72</v>
      </c>
      <c r="D131" s="8" t="s">
        <v>63</v>
      </c>
      <c r="E131" s="8">
        <v>85</v>
      </c>
      <c r="F131" s="8" t="s">
        <v>158</v>
      </c>
      <c r="G131" s="12" t="s">
        <v>62</v>
      </c>
      <c r="H131" s="8">
        <v>60011007</v>
      </c>
      <c r="I131" s="12">
        <v>25</v>
      </c>
    </row>
    <row r="132" spans="2:9" x14ac:dyDescent="0.25">
      <c r="B132" s="8">
        <f>1000000+INDEX(编号表!$B:$B,MATCH(C132,编号表!$A:$A,0))*1000+INDEX(编号表!$D:$D,MATCH(D132,编号表!$C:$C,0))*100+E132</f>
        <v>1002386</v>
      </c>
      <c r="C132" s="2" t="s">
        <v>72</v>
      </c>
      <c r="D132" s="8" t="s">
        <v>63</v>
      </c>
      <c r="E132" s="8">
        <v>86</v>
      </c>
      <c r="F132" s="8" t="s">
        <v>159</v>
      </c>
      <c r="G132" s="12" t="s">
        <v>62</v>
      </c>
      <c r="H132" s="8">
        <v>60011008</v>
      </c>
      <c r="I132" s="12">
        <v>25</v>
      </c>
    </row>
    <row r="133" spans="2:9" x14ac:dyDescent="0.25">
      <c r="B133" s="8">
        <f>1000000+INDEX(编号表!$B:$B,MATCH(C133,编号表!$A:$A,0))*1000+INDEX(编号表!$D:$D,MATCH(D133,编号表!$C:$C,0))*100+E133</f>
        <v>1002387</v>
      </c>
      <c r="C133" s="2" t="s">
        <v>72</v>
      </c>
      <c r="D133" s="8" t="s">
        <v>63</v>
      </c>
      <c r="E133" s="8">
        <v>87</v>
      </c>
      <c r="F133" s="8" t="s">
        <v>160</v>
      </c>
      <c r="G133" s="12" t="s">
        <v>62</v>
      </c>
      <c r="H133" s="8">
        <v>60011009</v>
      </c>
      <c r="I133" s="12">
        <v>25</v>
      </c>
    </row>
    <row r="134" spans="2:9" x14ac:dyDescent="0.25">
      <c r="B134" s="8">
        <f>1000000+INDEX(编号表!$B:$B,MATCH(C134,编号表!$A:$A,0))*1000+INDEX(编号表!$D:$D,MATCH(D134,编号表!$C:$C,0))*100+E134</f>
        <v>1002388</v>
      </c>
      <c r="C134" s="2" t="s">
        <v>72</v>
      </c>
      <c r="D134" s="8" t="s">
        <v>63</v>
      </c>
      <c r="E134" s="8">
        <v>88</v>
      </c>
      <c r="F134" s="8" t="s">
        <v>161</v>
      </c>
      <c r="G134" s="12" t="s">
        <v>62</v>
      </c>
      <c r="H134" s="8">
        <v>60011010</v>
      </c>
      <c r="I134" s="12">
        <v>25</v>
      </c>
    </row>
    <row r="135" spans="2:9" x14ac:dyDescent="0.25">
      <c r="B135" s="8">
        <f>1000000+INDEX(编号表!$B:$B,MATCH(C135,编号表!$A:$A,0))*1000+INDEX(编号表!$D:$D,MATCH(D135,编号表!$C:$C,0))*100+E135</f>
        <v>1002389</v>
      </c>
      <c r="C135" s="2" t="s">
        <v>72</v>
      </c>
      <c r="D135" s="8" t="s">
        <v>63</v>
      </c>
      <c r="E135" s="8">
        <v>89</v>
      </c>
      <c r="F135" s="8" t="s">
        <v>162</v>
      </c>
      <c r="G135" s="12" t="s">
        <v>62</v>
      </c>
      <c r="H135" s="8">
        <v>60011011</v>
      </c>
      <c r="I135" s="12">
        <v>25</v>
      </c>
    </row>
    <row r="136" spans="2:9" x14ac:dyDescent="0.25">
      <c r="B136" s="8">
        <f>1000000+INDEX(编号表!$B:$B,MATCH(C136,编号表!$A:$A,0))*1000+INDEX(编号表!$D:$D,MATCH(D136,编号表!$C:$C,0))*100+E136</f>
        <v>1002390</v>
      </c>
      <c r="C136" s="2" t="s">
        <v>72</v>
      </c>
      <c r="D136" s="8" t="s">
        <v>63</v>
      </c>
      <c r="E136" s="8">
        <v>90</v>
      </c>
      <c r="F136" s="8" t="s">
        <v>163</v>
      </c>
      <c r="G136" s="12" t="s">
        <v>62</v>
      </c>
      <c r="H136" s="8">
        <v>60011012</v>
      </c>
      <c r="I136" s="12">
        <v>25</v>
      </c>
    </row>
    <row r="137" spans="2:9" x14ac:dyDescent="0.25">
      <c r="B137" s="8">
        <f>1000000+INDEX(编号表!$B:$B,MATCH(C137,编号表!$A:$A,0))*1000+INDEX(编号表!$D:$D,MATCH(D137,编号表!$C:$C,0))*100+E137</f>
        <v>1002391</v>
      </c>
      <c r="C137" s="2" t="s">
        <v>72</v>
      </c>
      <c r="D137" s="8" t="s">
        <v>63</v>
      </c>
      <c r="E137" s="8">
        <v>91</v>
      </c>
      <c r="F137" s="8" t="s">
        <v>164</v>
      </c>
      <c r="G137" s="12" t="s">
        <v>62</v>
      </c>
      <c r="H137" s="8">
        <v>60011013</v>
      </c>
      <c r="I137" s="12">
        <v>25</v>
      </c>
    </row>
    <row r="138" spans="2:9" x14ac:dyDescent="0.25">
      <c r="B138" s="8">
        <f>1000000+INDEX(编号表!$B:$B,MATCH(C138,编号表!$A:$A,0))*1000+INDEX(编号表!$D:$D,MATCH(D138,编号表!$C:$C,0))*100+E138</f>
        <v>1002392</v>
      </c>
      <c r="C138" s="2" t="s">
        <v>72</v>
      </c>
      <c r="D138" s="8" t="s">
        <v>63</v>
      </c>
      <c r="E138" s="8">
        <v>92</v>
      </c>
      <c r="F138" s="8" t="s">
        <v>165</v>
      </c>
      <c r="G138" s="12" t="s">
        <v>62</v>
      </c>
      <c r="H138" s="8">
        <v>60011014</v>
      </c>
      <c r="I138" s="12">
        <v>25</v>
      </c>
    </row>
    <row r="139" spans="2:9" x14ac:dyDescent="0.25">
      <c r="B139" s="8">
        <f>1000000+INDEX(编号表!$B:$B,MATCH(C139,编号表!$A:$A,0))*1000+INDEX(编号表!$D:$D,MATCH(D139,编号表!$C:$C,0))*100+E139</f>
        <v>1002393</v>
      </c>
      <c r="C139" s="2" t="s">
        <v>72</v>
      </c>
      <c r="D139" s="8" t="s">
        <v>63</v>
      </c>
      <c r="E139" s="8">
        <v>93</v>
      </c>
      <c r="F139" s="8" t="s">
        <v>166</v>
      </c>
      <c r="G139" s="12" t="s">
        <v>62</v>
      </c>
      <c r="H139" s="8">
        <v>60011015</v>
      </c>
      <c r="I139" s="12">
        <v>25</v>
      </c>
    </row>
    <row r="140" spans="2:9" x14ac:dyDescent="0.25">
      <c r="B140" s="8">
        <f>1000000+INDEX(编号表!$B:$B,MATCH(C140,编号表!$A:$A,0))*1000+INDEX(编号表!$D:$D,MATCH(D140,编号表!$C:$C,0))*100+E140</f>
        <v>1002394</v>
      </c>
      <c r="C140" s="2" t="s">
        <v>72</v>
      </c>
      <c r="D140" s="8" t="s">
        <v>63</v>
      </c>
      <c r="E140" s="8">
        <v>94</v>
      </c>
      <c r="F140" s="8" t="s">
        <v>167</v>
      </c>
      <c r="G140" s="12" t="s">
        <v>62</v>
      </c>
      <c r="H140" s="8">
        <v>60011016</v>
      </c>
      <c r="I140" s="12">
        <v>25</v>
      </c>
    </row>
    <row r="141" spans="2:9" x14ac:dyDescent="0.25">
      <c r="B141" s="8">
        <f>1000000+INDEX(编号表!$B:$B,MATCH(C141,编号表!$A:$A,0))*1000+INDEX(编号表!$D:$D,MATCH(D141,编号表!$C:$C,0))*100+E141</f>
        <v>1002395</v>
      </c>
      <c r="C141" s="2" t="s">
        <v>72</v>
      </c>
      <c r="D141" s="8" t="s">
        <v>63</v>
      </c>
      <c r="E141" s="8">
        <v>95</v>
      </c>
      <c r="F141" s="8" t="s">
        <v>168</v>
      </c>
      <c r="G141" s="12" t="s">
        <v>62</v>
      </c>
      <c r="H141" s="8">
        <v>60011017</v>
      </c>
      <c r="I141" s="12">
        <v>25</v>
      </c>
    </row>
    <row r="142" spans="2:9" x14ac:dyDescent="0.25">
      <c r="B142" s="8">
        <f>1000000+INDEX(编号表!$B:$B,MATCH(C142,编号表!$A:$A,0))*1000+INDEX(编号表!$D:$D,MATCH(D142,编号表!$C:$C,0))*100+E142</f>
        <v>1002396</v>
      </c>
      <c r="C142" s="2" t="s">
        <v>72</v>
      </c>
      <c r="D142" s="8" t="s">
        <v>63</v>
      </c>
      <c r="E142" s="8">
        <v>96</v>
      </c>
      <c r="F142" s="8" t="s">
        <v>169</v>
      </c>
      <c r="G142" s="12" t="s">
        <v>62</v>
      </c>
      <c r="H142" s="8">
        <v>60011018</v>
      </c>
      <c r="I142" s="12">
        <v>25</v>
      </c>
    </row>
    <row r="143" spans="2:9" x14ac:dyDescent="0.25">
      <c r="B143" s="8">
        <f>1000000+INDEX(编号表!$B:$B,MATCH(C143,编号表!$A:$A,0))*1000+INDEX(编号表!$D:$D,MATCH(D143,编号表!$C:$C,0))*100+E143</f>
        <v>1002397</v>
      </c>
      <c r="C143" s="2" t="s">
        <v>72</v>
      </c>
      <c r="D143" s="8" t="s">
        <v>63</v>
      </c>
      <c r="E143" s="8">
        <v>97</v>
      </c>
      <c r="F143" s="8" t="s">
        <v>170</v>
      </c>
      <c r="G143" s="12" t="s">
        <v>62</v>
      </c>
      <c r="H143" s="8">
        <v>60011019</v>
      </c>
      <c r="I143" s="12">
        <v>25</v>
      </c>
    </row>
    <row r="144" spans="2:9" x14ac:dyDescent="0.25">
      <c r="B144" s="8">
        <f>1000000+INDEX(编号表!$B:$B,MATCH(C144,编号表!$A:$A,0))*1000+INDEX(编号表!$D:$D,MATCH(D144,编号表!$C:$C,0))*100+E144</f>
        <v>1003001</v>
      </c>
      <c r="C144" s="2" t="s">
        <v>171</v>
      </c>
      <c r="D144" s="8" t="s">
        <v>55</v>
      </c>
      <c r="E144" s="8">
        <v>1</v>
      </c>
      <c r="F144" s="11" t="s">
        <v>73</v>
      </c>
      <c r="G144" s="12" t="s">
        <v>57</v>
      </c>
      <c r="H144" s="8">
        <v>60024000</v>
      </c>
      <c r="I144" s="8">
        <v>1</v>
      </c>
    </row>
    <row r="145" spans="2:9" x14ac:dyDescent="0.25">
      <c r="B145" s="8">
        <f>1000000+INDEX(编号表!$B:$B,MATCH(C145,编号表!$A:$A,0))*1000+INDEX(编号表!$D:$D,MATCH(D145,编号表!$C:$C,0))*100+E145</f>
        <v>1003101</v>
      </c>
      <c r="C145" s="2" t="s">
        <v>171</v>
      </c>
      <c r="D145" s="8" t="s">
        <v>58</v>
      </c>
      <c r="E145" s="8">
        <v>1</v>
      </c>
      <c r="F145" s="11" t="s">
        <v>59</v>
      </c>
      <c r="G145" s="12" t="s">
        <v>57</v>
      </c>
      <c r="H145" s="2">
        <v>60022000</v>
      </c>
      <c r="I145" s="8">
        <v>1</v>
      </c>
    </row>
    <row r="146" spans="2:9" x14ac:dyDescent="0.25">
      <c r="B146" s="8">
        <f>1000000+INDEX(编号表!$B:$B,MATCH(C146,编号表!$A:$A,0))*1000+INDEX(编号表!$D:$D,MATCH(D146,编号表!$C:$C,0))*100+E146</f>
        <v>1003201</v>
      </c>
      <c r="C146" s="2" t="s">
        <v>171</v>
      </c>
      <c r="D146" s="8" t="s">
        <v>60</v>
      </c>
      <c r="E146" s="8">
        <f t="shared" ref="E146:E175" si="1">I146+K146+M146+O146+Q146+S146+U146+W146+Y146+AA146</f>
        <v>1</v>
      </c>
      <c r="F146" s="8" t="s">
        <v>172</v>
      </c>
      <c r="G146" s="12" t="s">
        <v>62</v>
      </c>
      <c r="H146" s="8">
        <v>60021000</v>
      </c>
      <c r="I146" s="8">
        <v>1</v>
      </c>
    </row>
    <row r="147" spans="2:9" x14ac:dyDescent="0.25">
      <c r="B147" s="8">
        <f>1000000+INDEX(编号表!$B:$B,MATCH(C147,编号表!$A:$A,0))*1000+INDEX(编号表!$D:$D,MATCH(D147,编号表!$C:$C,0))*100+E147</f>
        <v>1003301</v>
      </c>
      <c r="C147" s="2" t="s">
        <v>171</v>
      </c>
      <c r="D147" s="8" t="s">
        <v>63</v>
      </c>
      <c r="E147" s="8">
        <f t="shared" si="1"/>
        <v>1</v>
      </c>
      <c r="F147" s="8" t="s">
        <v>173</v>
      </c>
      <c r="G147" s="12" t="s">
        <v>62</v>
      </c>
      <c r="H147" s="8">
        <v>60021001</v>
      </c>
      <c r="I147" s="8">
        <v>1</v>
      </c>
    </row>
    <row r="148" spans="2:9" x14ac:dyDescent="0.25">
      <c r="B148" s="8">
        <f>1000000+INDEX(编号表!$B:$B,MATCH(C148,编号表!$A:$A,0))*1000+INDEX(编号表!$D:$D,MATCH(D148,编号表!$C:$C,0))*100+E148</f>
        <v>1003401</v>
      </c>
      <c r="C148" s="2" t="s">
        <v>171</v>
      </c>
      <c r="D148" s="8" t="s">
        <v>65</v>
      </c>
      <c r="E148" s="8">
        <f t="shared" si="1"/>
        <v>1</v>
      </c>
      <c r="F148" s="8" t="s">
        <v>174</v>
      </c>
      <c r="G148" s="12" t="s">
        <v>62</v>
      </c>
      <c r="H148" s="8">
        <v>60021002</v>
      </c>
      <c r="I148" s="8">
        <v>1</v>
      </c>
    </row>
    <row r="149" spans="2:9" x14ac:dyDescent="0.25">
      <c r="B149" s="8">
        <f>1000000+INDEX(编号表!$B:$B,MATCH(C149,编号表!$A:$A,0))*1000+INDEX(编号表!$D:$D,MATCH(D149,编号表!$C:$C,0))*100+E149</f>
        <v>1003501</v>
      </c>
      <c r="C149" s="2" t="s">
        <v>171</v>
      </c>
      <c r="D149" s="8" t="s">
        <v>67</v>
      </c>
      <c r="E149" s="8">
        <f t="shared" si="1"/>
        <v>1</v>
      </c>
      <c r="F149" s="8" t="s">
        <v>175</v>
      </c>
      <c r="G149" s="12" t="s">
        <v>62</v>
      </c>
      <c r="H149" s="8">
        <v>60021003</v>
      </c>
      <c r="I149" s="8">
        <v>1</v>
      </c>
    </row>
    <row r="150" spans="2:9" x14ac:dyDescent="0.25">
      <c r="B150" s="8">
        <f>1000000+INDEX(编号表!$B:$B,MATCH(C150,编号表!$A:$A,0))*1000+INDEX(编号表!$D:$D,MATCH(D150,编号表!$C:$C,0))*100+E150</f>
        <v>1003601</v>
      </c>
      <c r="C150" s="2" t="s">
        <v>171</v>
      </c>
      <c r="D150" s="8" t="s">
        <v>69</v>
      </c>
      <c r="E150" s="8">
        <f t="shared" si="1"/>
        <v>1</v>
      </c>
      <c r="F150" s="8" t="s">
        <v>176</v>
      </c>
      <c r="G150" s="12" t="s">
        <v>62</v>
      </c>
      <c r="H150" s="8">
        <v>60021004</v>
      </c>
      <c r="I150" s="8">
        <v>1</v>
      </c>
    </row>
    <row r="151" spans="2:9" x14ac:dyDescent="0.25">
      <c r="B151" s="8">
        <f>1000000+INDEX(编号表!$B:$B,MATCH(C151,编号表!$A:$A,0))*1000+INDEX(编号表!$D:$D,MATCH(D151,编号表!$C:$C,0))*100+E151</f>
        <v>1003202</v>
      </c>
      <c r="C151" s="2" t="s">
        <v>171</v>
      </c>
      <c r="D151" s="8" t="s">
        <v>60</v>
      </c>
      <c r="E151" s="8">
        <f t="shared" si="1"/>
        <v>2</v>
      </c>
      <c r="F151" s="8" t="s">
        <v>172</v>
      </c>
      <c r="G151" s="12" t="s">
        <v>62</v>
      </c>
      <c r="H151" s="8">
        <v>60021000</v>
      </c>
      <c r="I151" s="8">
        <v>2</v>
      </c>
    </row>
    <row r="152" spans="2:9" x14ac:dyDescent="0.25">
      <c r="B152" s="8">
        <f>1000000+INDEX(编号表!$B:$B,MATCH(C152,编号表!$A:$A,0))*1000+INDEX(编号表!$D:$D,MATCH(D152,编号表!$C:$C,0))*100+E152</f>
        <v>1003302</v>
      </c>
      <c r="C152" s="2" t="s">
        <v>171</v>
      </c>
      <c r="D152" s="8" t="s">
        <v>63</v>
      </c>
      <c r="E152" s="8">
        <f t="shared" si="1"/>
        <v>2</v>
      </c>
      <c r="F152" s="8" t="s">
        <v>173</v>
      </c>
      <c r="G152" s="12" t="s">
        <v>62</v>
      </c>
      <c r="H152" s="8">
        <v>60021001</v>
      </c>
      <c r="I152" s="8">
        <v>2</v>
      </c>
    </row>
    <row r="153" spans="2:9" x14ac:dyDescent="0.25">
      <c r="B153" s="8">
        <f>1000000+INDEX(编号表!$B:$B,MATCH(C153,编号表!$A:$A,0))*1000+INDEX(编号表!$D:$D,MATCH(D153,编号表!$C:$C,0))*100+E153</f>
        <v>1003402</v>
      </c>
      <c r="C153" s="2" t="s">
        <v>171</v>
      </c>
      <c r="D153" s="8" t="s">
        <v>65</v>
      </c>
      <c r="E153" s="8">
        <f t="shared" si="1"/>
        <v>2</v>
      </c>
      <c r="F153" s="8" t="s">
        <v>174</v>
      </c>
      <c r="G153" s="12" t="s">
        <v>62</v>
      </c>
      <c r="H153" s="8">
        <v>60021002</v>
      </c>
      <c r="I153" s="8">
        <v>2</v>
      </c>
    </row>
    <row r="154" spans="2:9" x14ac:dyDescent="0.25">
      <c r="B154" s="8">
        <f>1000000+INDEX(编号表!$B:$B,MATCH(C154,编号表!$A:$A,0))*1000+INDEX(编号表!$D:$D,MATCH(D154,编号表!$C:$C,0))*100+E154</f>
        <v>1003502</v>
      </c>
      <c r="C154" s="2" t="s">
        <v>171</v>
      </c>
      <c r="D154" s="8" t="s">
        <v>67</v>
      </c>
      <c r="E154" s="8">
        <f t="shared" si="1"/>
        <v>2</v>
      </c>
      <c r="F154" s="8" t="s">
        <v>175</v>
      </c>
      <c r="G154" s="12" t="s">
        <v>62</v>
      </c>
      <c r="H154" s="8">
        <v>60021003</v>
      </c>
      <c r="I154" s="8">
        <v>2</v>
      </c>
    </row>
    <row r="155" spans="2:9" x14ac:dyDescent="0.25">
      <c r="B155" s="8">
        <f>1000000+INDEX(编号表!$B:$B,MATCH(C155,编号表!$A:$A,0))*1000+INDEX(编号表!$D:$D,MATCH(D155,编号表!$C:$C,0))*100+E155</f>
        <v>1003602</v>
      </c>
      <c r="C155" s="2" t="s">
        <v>171</v>
      </c>
      <c r="D155" s="8" t="s">
        <v>69</v>
      </c>
      <c r="E155" s="8">
        <f t="shared" si="1"/>
        <v>2</v>
      </c>
      <c r="F155" s="8" t="s">
        <v>176</v>
      </c>
      <c r="G155" s="12" t="s">
        <v>62</v>
      </c>
      <c r="H155" s="8">
        <v>60021004</v>
      </c>
      <c r="I155" s="8">
        <v>2</v>
      </c>
    </row>
    <row r="156" spans="2:9" x14ac:dyDescent="0.25">
      <c r="B156" s="8">
        <f>1000000+INDEX(编号表!$B:$B,MATCH(C156,编号表!$A:$A,0))*1000+INDEX(编号表!$D:$D,MATCH(D156,编号表!$C:$C,0))*100+E156</f>
        <v>1003203</v>
      </c>
      <c r="C156" s="2" t="s">
        <v>171</v>
      </c>
      <c r="D156" s="8" t="s">
        <v>60</v>
      </c>
      <c r="E156" s="8">
        <f t="shared" si="1"/>
        <v>3</v>
      </c>
      <c r="F156" s="8" t="s">
        <v>172</v>
      </c>
      <c r="G156" s="12" t="s">
        <v>62</v>
      </c>
      <c r="H156" s="8">
        <v>60021000</v>
      </c>
      <c r="I156" s="8">
        <v>3</v>
      </c>
    </row>
    <row r="157" spans="2:9" x14ac:dyDescent="0.25">
      <c r="B157" s="8">
        <f>1000000+INDEX(编号表!$B:$B,MATCH(C157,编号表!$A:$A,0))*1000+INDEX(编号表!$D:$D,MATCH(D157,编号表!$C:$C,0))*100+E157</f>
        <v>1003303</v>
      </c>
      <c r="C157" s="2" t="s">
        <v>171</v>
      </c>
      <c r="D157" s="8" t="s">
        <v>63</v>
      </c>
      <c r="E157" s="8">
        <f t="shared" si="1"/>
        <v>3</v>
      </c>
      <c r="F157" s="8" t="s">
        <v>173</v>
      </c>
      <c r="G157" s="12" t="s">
        <v>62</v>
      </c>
      <c r="H157" s="8">
        <v>60021001</v>
      </c>
      <c r="I157" s="8">
        <v>3</v>
      </c>
    </row>
    <row r="158" spans="2:9" x14ac:dyDescent="0.25">
      <c r="B158" s="8">
        <f>1000000+INDEX(编号表!$B:$B,MATCH(C158,编号表!$A:$A,0))*1000+INDEX(编号表!$D:$D,MATCH(D158,编号表!$C:$C,0))*100+E158</f>
        <v>1003403</v>
      </c>
      <c r="C158" s="2" t="s">
        <v>171</v>
      </c>
      <c r="D158" s="8" t="s">
        <v>65</v>
      </c>
      <c r="E158" s="8">
        <f t="shared" si="1"/>
        <v>3</v>
      </c>
      <c r="F158" s="8" t="s">
        <v>174</v>
      </c>
      <c r="G158" s="12" t="s">
        <v>62</v>
      </c>
      <c r="H158" s="8">
        <v>60021002</v>
      </c>
      <c r="I158" s="8">
        <v>3</v>
      </c>
    </row>
    <row r="159" spans="2:9" x14ac:dyDescent="0.25">
      <c r="B159" s="8">
        <f>1000000+INDEX(编号表!$B:$B,MATCH(C159,编号表!$A:$A,0))*1000+INDEX(编号表!$D:$D,MATCH(D159,编号表!$C:$C,0))*100+E159</f>
        <v>1003503</v>
      </c>
      <c r="C159" s="2" t="s">
        <v>171</v>
      </c>
      <c r="D159" s="8" t="s">
        <v>67</v>
      </c>
      <c r="E159" s="8">
        <f t="shared" si="1"/>
        <v>3</v>
      </c>
      <c r="F159" s="8" t="s">
        <v>175</v>
      </c>
      <c r="G159" s="12" t="s">
        <v>62</v>
      </c>
      <c r="H159" s="8">
        <v>60021003</v>
      </c>
      <c r="I159" s="8">
        <v>3</v>
      </c>
    </row>
    <row r="160" spans="2:9" x14ac:dyDescent="0.25">
      <c r="B160" s="8">
        <f>1000000+INDEX(编号表!$B:$B,MATCH(C160,编号表!$A:$A,0))*1000+INDEX(编号表!$D:$D,MATCH(D160,编号表!$C:$C,0))*100+E160</f>
        <v>1003603</v>
      </c>
      <c r="C160" s="2" t="s">
        <v>171</v>
      </c>
      <c r="D160" s="8" t="s">
        <v>69</v>
      </c>
      <c r="E160" s="8">
        <f t="shared" si="1"/>
        <v>3</v>
      </c>
      <c r="F160" s="8" t="s">
        <v>176</v>
      </c>
      <c r="G160" s="12" t="s">
        <v>62</v>
      </c>
      <c r="H160" s="8">
        <v>60021004</v>
      </c>
      <c r="I160" s="8">
        <v>3</v>
      </c>
    </row>
    <row r="161" spans="2:9" x14ac:dyDescent="0.25">
      <c r="B161" s="8">
        <f>1000000+INDEX(编号表!$B:$B,MATCH(C161,编号表!$A:$A,0))*1000+INDEX(编号表!$D:$D,MATCH(D161,编号表!$C:$C,0))*100+E161</f>
        <v>1003205</v>
      </c>
      <c r="C161" s="2" t="s">
        <v>171</v>
      </c>
      <c r="D161" s="8" t="s">
        <v>60</v>
      </c>
      <c r="E161" s="8">
        <f t="shared" si="1"/>
        <v>5</v>
      </c>
      <c r="F161" s="8" t="s">
        <v>172</v>
      </c>
      <c r="G161" s="12" t="s">
        <v>62</v>
      </c>
      <c r="H161" s="8">
        <v>60021000</v>
      </c>
      <c r="I161" s="8">
        <v>5</v>
      </c>
    </row>
    <row r="162" spans="2:9" x14ac:dyDescent="0.25">
      <c r="B162" s="8">
        <f>1000000+INDEX(编号表!$B:$B,MATCH(C162,编号表!$A:$A,0))*1000+INDEX(编号表!$D:$D,MATCH(D162,编号表!$C:$C,0))*100+E162</f>
        <v>1003305</v>
      </c>
      <c r="C162" s="2" t="s">
        <v>171</v>
      </c>
      <c r="D162" s="8" t="s">
        <v>63</v>
      </c>
      <c r="E162" s="8">
        <f t="shared" si="1"/>
        <v>5</v>
      </c>
      <c r="F162" s="8" t="s">
        <v>173</v>
      </c>
      <c r="G162" s="12" t="s">
        <v>62</v>
      </c>
      <c r="H162" s="8">
        <v>60021001</v>
      </c>
      <c r="I162" s="8">
        <v>5</v>
      </c>
    </row>
    <row r="163" spans="2:9" x14ac:dyDescent="0.25">
      <c r="B163" s="8">
        <f>1000000+INDEX(编号表!$B:$B,MATCH(C163,编号表!$A:$A,0))*1000+INDEX(编号表!$D:$D,MATCH(D163,编号表!$C:$C,0))*100+E163</f>
        <v>1003405</v>
      </c>
      <c r="C163" s="2" t="s">
        <v>171</v>
      </c>
      <c r="D163" s="8" t="s">
        <v>65</v>
      </c>
      <c r="E163" s="8">
        <f t="shared" si="1"/>
        <v>5</v>
      </c>
      <c r="F163" s="8" t="s">
        <v>174</v>
      </c>
      <c r="G163" s="12" t="s">
        <v>62</v>
      </c>
      <c r="H163" s="8">
        <v>60021002</v>
      </c>
      <c r="I163" s="8">
        <v>5</v>
      </c>
    </row>
    <row r="164" spans="2:9" x14ac:dyDescent="0.25">
      <c r="B164" s="8">
        <f>1000000+INDEX(编号表!$B:$B,MATCH(C164,编号表!$A:$A,0))*1000+INDEX(编号表!$D:$D,MATCH(D164,编号表!$C:$C,0))*100+E164</f>
        <v>1003505</v>
      </c>
      <c r="C164" s="2" t="s">
        <v>171</v>
      </c>
      <c r="D164" s="8" t="s">
        <v>67</v>
      </c>
      <c r="E164" s="8">
        <f t="shared" si="1"/>
        <v>5</v>
      </c>
      <c r="F164" s="8" t="s">
        <v>175</v>
      </c>
      <c r="G164" s="12" t="s">
        <v>62</v>
      </c>
      <c r="H164" s="8">
        <v>60021003</v>
      </c>
      <c r="I164" s="8">
        <v>5</v>
      </c>
    </row>
    <row r="165" spans="2:9" x14ac:dyDescent="0.25">
      <c r="B165" s="8">
        <f>1000000+INDEX(编号表!$B:$B,MATCH(C165,编号表!$A:$A,0))*1000+INDEX(编号表!$D:$D,MATCH(D165,编号表!$C:$C,0))*100+E165</f>
        <v>1003605</v>
      </c>
      <c r="C165" s="2" t="s">
        <v>171</v>
      </c>
      <c r="D165" s="8" t="s">
        <v>69</v>
      </c>
      <c r="E165" s="8">
        <f t="shared" si="1"/>
        <v>5</v>
      </c>
      <c r="F165" s="8" t="s">
        <v>176</v>
      </c>
      <c r="G165" s="12" t="s">
        <v>62</v>
      </c>
      <c r="H165" s="8">
        <v>60021004</v>
      </c>
      <c r="I165" s="8">
        <v>5</v>
      </c>
    </row>
    <row r="166" spans="2:9" x14ac:dyDescent="0.25">
      <c r="B166" s="8">
        <f>1000000+INDEX(编号表!$B:$B,MATCH(C166,编号表!$A:$A,0))*1000+INDEX(编号表!$D:$D,MATCH(D166,编号表!$C:$C,0))*100+E166</f>
        <v>1003210</v>
      </c>
      <c r="C166" s="2" t="s">
        <v>171</v>
      </c>
      <c r="D166" s="8" t="s">
        <v>60</v>
      </c>
      <c r="E166" s="8">
        <f t="shared" si="1"/>
        <v>10</v>
      </c>
      <c r="F166" s="8" t="s">
        <v>172</v>
      </c>
      <c r="G166" s="12" t="s">
        <v>62</v>
      </c>
      <c r="H166" s="8">
        <v>60021000</v>
      </c>
      <c r="I166" s="8">
        <v>10</v>
      </c>
    </row>
    <row r="167" spans="2:9" x14ac:dyDescent="0.25">
      <c r="B167" s="8">
        <f>1000000+INDEX(编号表!$B:$B,MATCH(C167,编号表!$A:$A,0))*1000+INDEX(编号表!$D:$D,MATCH(D167,编号表!$C:$C,0))*100+E167</f>
        <v>1003310</v>
      </c>
      <c r="C167" s="2" t="s">
        <v>171</v>
      </c>
      <c r="D167" s="8" t="s">
        <v>63</v>
      </c>
      <c r="E167" s="8">
        <f t="shared" si="1"/>
        <v>10</v>
      </c>
      <c r="F167" s="8" t="s">
        <v>173</v>
      </c>
      <c r="G167" s="12" t="s">
        <v>62</v>
      </c>
      <c r="H167" s="8">
        <v>60021001</v>
      </c>
      <c r="I167" s="8">
        <v>10</v>
      </c>
    </row>
    <row r="168" spans="2:9" x14ac:dyDescent="0.25">
      <c r="B168" s="8">
        <f>1000000+INDEX(编号表!$B:$B,MATCH(C168,编号表!$A:$A,0))*1000+INDEX(编号表!$D:$D,MATCH(D168,编号表!$C:$C,0))*100+E168</f>
        <v>1003410</v>
      </c>
      <c r="C168" s="2" t="s">
        <v>171</v>
      </c>
      <c r="D168" s="8" t="s">
        <v>65</v>
      </c>
      <c r="E168" s="8">
        <f t="shared" si="1"/>
        <v>10</v>
      </c>
      <c r="F168" s="8" t="s">
        <v>174</v>
      </c>
      <c r="G168" s="12" t="s">
        <v>62</v>
      </c>
      <c r="H168" s="8">
        <v>60021002</v>
      </c>
      <c r="I168" s="8">
        <v>10</v>
      </c>
    </row>
    <row r="169" spans="2:9" x14ac:dyDescent="0.25">
      <c r="B169" s="8">
        <f>1000000+INDEX(编号表!$B:$B,MATCH(C169,编号表!$A:$A,0))*1000+INDEX(编号表!$D:$D,MATCH(D169,编号表!$C:$C,0))*100+E169</f>
        <v>1003510</v>
      </c>
      <c r="C169" s="2" t="s">
        <v>171</v>
      </c>
      <c r="D169" s="8" t="s">
        <v>67</v>
      </c>
      <c r="E169" s="8">
        <f t="shared" si="1"/>
        <v>10</v>
      </c>
      <c r="F169" s="8" t="s">
        <v>175</v>
      </c>
      <c r="G169" s="12" t="s">
        <v>62</v>
      </c>
      <c r="H169" s="8">
        <v>60021003</v>
      </c>
      <c r="I169" s="8">
        <v>10</v>
      </c>
    </row>
    <row r="170" spans="2:9" x14ac:dyDescent="0.25">
      <c r="B170" s="8">
        <f>1000000+INDEX(编号表!$B:$B,MATCH(C170,编号表!$A:$A,0))*1000+INDEX(编号表!$D:$D,MATCH(D170,编号表!$C:$C,0))*100+E170</f>
        <v>1003610</v>
      </c>
      <c r="C170" s="2" t="s">
        <v>171</v>
      </c>
      <c r="D170" s="8" t="s">
        <v>69</v>
      </c>
      <c r="E170" s="8">
        <f t="shared" si="1"/>
        <v>10</v>
      </c>
      <c r="F170" s="8" t="s">
        <v>176</v>
      </c>
      <c r="G170" s="12" t="s">
        <v>62</v>
      </c>
      <c r="H170" s="8">
        <v>60021004</v>
      </c>
      <c r="I170" s="8">
        <v>10</v>
      </c>
    </row>
    <row r="171" spans="2:9" x14ac:dyDescent="0.25">
      <c r="B171" s="8">
        <f>1000000+INDEX(编号表!$B:$B,MATCH(C171,编号表!$A:$A,0))*1000+INDEX(编号表!$D:$D,MATCH(D171,编号表!$C:$C,0))*100+E171</f>
        <v>1003215</v>
      </c>
      <c r="C171" s="2" t="s">
        <v>171</v>
      </c>
      <c r="D171" s="8" t="s">
        <v>60</v>
      </c>
      <c r="E171" s="8">
        <f t="shared" si="1"/>
        <v>15</v>
      </c>
      <c r="F171" s="8" t="s">
        <v>172</v>
      </c>
      <c r="G171" s="12" t="s">
        <v>62</v>
      </c>
      <c r="H171" s="8">
        <v>60021000</v>
      </c>
      <c r="I171" s="8">
        <v>15</v>
      </c>
    </row>
    <row r="172" spans="2:9" x14ac:dyDescent="0.25">
      <c r="B172" s="8">
        <f>1000000+INDEX(编号表!$B:$B,MATCH(C172,编号表!$A:$A,0))*1000+INDEX(编号表!$D:$D,MATCH(D172,编号表!$C:$C,0))*100+E172</f>
        <v>1003315</v>
      </c>
      <c r="C172" s="2" t="s">
        <v>171</v>
      </c>
      <c r="D172" s="8" t="s">
        <v>63</v>
      </c>
      <c r="E172" s="8">
        <f t="shared" si="1"/>
        <v>15</v>
      </c>
      <c r="F172" s="8" t="s">
        <v>173</v>
      </c>
      <c r="G172" s="12" t="s">
        <v>62</v>
      </c>
      <c r="H172" s="8">
        <v>60021001</v>
      </c>
      <c r="I172" s="8">
        <v>15</v>
      </c>
    </row>
    <row r="173" spans="2:9" x14ac:dyDescent="0.25">
      <c r="B173" s="8">
        <f>1000000+INDEX(编号表!$B:$B,MATCH(C173,编号表!$A:$A,0))*1000+INDEX(编号表!$D:$D,MATCH(D173,编号表!$C:$C,0))*100+E173</f>
        <v>1003415</v>
      </c>
      <c r="C173" s="2" t="s">
        <v>171</v>
      </c>
      <c r="D173" s="8" t="s">
        <v>65</v>
      </c>
      <c r="E173" s="8">
        <f t="shared" si="1"/>
        <v>15</v>
      </c>
      <c r="F173" s="8" t="s">
        <v>174</v>
      </c>
      <c r="G173" s="12" t="s">
        <v>62</v>
      </c>
      <c r="H173" s="8">
        <v>60021002</v>
      </c>
      <c r="I173" s="8">
        <v>15</v>
      </c>
    </row>
    <row r="174" spans="2:9" x14ac:dyDescent="0.25">
      <c r="B174" s="8">
        <f>1000000+INDEX(编号表!$B:$B,MATCH(C174,编号表!$A:$A,0))*1000+INDEX(编号表!$D:$D,MATCH(D174,编号表!$C:$C,0))*100+E174</f>
        <v>1003515</v>
      </c>
      <c r="C174" s="2" t="s">
        <v>171</v>
      </c>
      <c r="D174" s="8" t="s">
        <v>67</v>
      </c>
      <c r="E174" s="8">
        <f t="shared" si="1"/>
        <v>15</v>
      </c>
      <c r="F174" s="8" t="s">
        <v>175</v>
      </c>
      <c r="G174" s="12" t="s">
        <v>62</v>
      </c>
      <c r="H174" s="8">
        <v>60021003</v>
      </c>
      <c r="I174" s="8">
        <v>15</v>
      </c>
    </row>
    <row r="175" spans="2:9" x14ac:dyDescent="0.25">
      <c r="B175" s="8">
        <f>1000000+INDEX(编号表!$B:$B,MATCH(C175,编号表!$A:$A,0))*1000+INDEX(编号表!$D:$D,MATCH(D175,编号表!$C:$C,0))*100+E175</f>
        <v>1003615</v>
      </c>
      <c r="C175" s="2" t="s">
        <v>171</v>
      </c>
      <c r="D175" s="8" t="s">
        <v>69</v>
      </c>
      <c r="E175" s="8">
        <f t="shared" si="1"/>
        <v>15</v>
      </c>
      <c r="F175" s="8" t="s">
        <v>176</v>
      </c>
      <c r="G175" s="12" t="s">
        <v>62</v>
      </c>
      <c r="H175" s="8">
        <v>60021004</v>
      </c>
      <c r="I175" s="8">
        <v>15</v>
      </c>
    </row>
    <row r="176" spans="2:9" x14ac:dyDescent="0.25">
      <c r="B176" s="8">
        <f>1000000+INDEX(编号表!$B:$B,MATCH(C176,编号表!$A:$A,0))*1000+INDEX(编号表!$D:$D,MATCH(D176,编号表!$C:$C,0))*100+E176</f>
        <v>1004001</v>
      </c>
      <c r="C176" s="2" t="s">
        <v>177</v>
      </c>
      <c r="D176" s="8" t="s">
        <v>55</v>
      </c>
      <c r="E176" s="8">
        <v>1</v>
      </c>
      <c r="F176" s="11" t="s">
        <v>73</v>
      </c>
      <c r="G176" s="12" t="s">
        <v>57</v>
      </c>
      <c r="H176" s="8">
        <v>60034000</v>
      </c>
      <c r="I176" s="8">
        <v>1</v>
      </c>
    </row>
    <row r="177" spans="2:9" x14ac:dyDescent="0.25">
      <c r="B177" s="8">
        <f>1000000+INDEX(编号表!$B:$B,MATCH(C177,编号表!$A:$A,0))*1000+INDEX(编号表!$D:$D,MATCH(D177,编号表!$C:$C,0))*100+E177</f>
        <v>1004101</v>
      </c>
      <c r="C177" s="2" t="s">
        <v>177</v>
      </c>
      <c r="D177" s="8" t="s">
        <v>58</v>
      </c>
      <c r="E177" s="8">
        <v>1</v>
      </c>
      <c r="F177" s="11" t="s">
        <v>59</v>
      </c>
      <c r="G177" s="12" t="s">
        <v>57</v>
      </c>
      <c r="H177" s="2">
        <v>60032000</v>
      </c>
      <c r="I177" s="8">
        <v>1</v>
      </c>
    </row>
    <row r="178" spans="2:9" x14ac:dyDescent="0.25">
      <c r="B178" s="8">
        <f>1000000+INDEX(编号表!$B:$B,MATCH(C178,编号表!$A:$A,0))*1000+INDEX(编号表!$D:$D,MATCH(D178,编号表!$C:$C,0))*100+E178</f>
        <v>1004102</v>
      </c>
      <c r="C178" s="2" t="s">
        <v>177</v>
      </c>
      <c r="D178" s="8" t="s">
        <v>58</v>
      </c>
      <c r="E178" s="8">
        <v>2</v>
      </c>
      <c r="F178" s="11" t="s">
        <v>59</v>
      </c>
      <c r="G178" s="12" t="s">
        <v>57</v>
      </c>
      <c r="H178" s="2">
        <v>60032001</v>
      </c>
      <c r="I178" s="8">
        <v>1</v>
      </c>
    </row>
    <row r="179" spans="2:9" x14ac:dyDescent="0.25">
      <c r="B179" s="8">
        <f>1000000+INDEX(编号表!$B:$B,MATCH(C179,编号表!$A:$A,0))*1000+INDEX(编号表!$D:$D,MATCH(D179,编号表!$C:$C,0))*100+E179</f>
        <v>1004201</v>
      </c>
      <c r="C179" s="2" t="s">
        <v>177</v>
      </c>
      <c r="D179" s="8" t="s">
        <v>60</v>
      </c>
      <c r="E179" s="8">
        <f t="shared" ref="E179:E214" si="2">I179+K179+M179+O179+Q179+S179+U179+W179+Y179+AA179</f>
        <v>1</v>
      </c>
      <c r="F179" s="2" t="s">
        <v>172</v>
      </c>
      <c r="G179" s="12" t="s">
        <v>62</v>
      </c>
      <c r="H179" s="2">
        <v>60031000</v>
      </c>
      <c r="I179" s="8">
        <v>1</v>
      </c>
    </row>
    <row r="180" spans="2:9" x14ac:dyDescent="0.25">
      <c r="B180" s="8">
        <f>1000000+INDEX(编号表!$B:$B,MATCH(C180,编号表!$A:$A,0))*1000+INDEX(编号表!$D:$D,MATCH(D180,编号表!$C:$C,0))*100+E180</f>
        <v>1004301</v>
      </c>
      <c r="C180" s="2" t="s">
        <v>177</v>
      </c>
      <c r="D180" s="8" t="s">
        <v>63</v>
      </c>
      <c r="E180" s="8">
        <f t="shared" si="2"/>
        <v>1</v>
      </c>
      <c r="F180" s="2" t="s">
        <v>174</v>
      </c>
      <c r="G180" s="12" t="s">
        <v>62</v>
      </c>
      <c r="H180" s="2">
        <v>60031001</v>
      </c>
      <c r="I180" s="8">
        <v>1</v>
      </c>
    </row>
    <row r="181" spans="2:9" x14ac:dyDescent="0.25">
      <c r="B181" s="8">
        <f>1000000+INDEX(编号表!$B:$B,MATCH(C181,编号表!$A:$A,0))*1000+INDEX(编号表!$D:$D,MATCH(D181,编号表!$C:$C,0))*100+E181</f>
        <v>1004401</v>
      </c>
      <c r="C181" s="2" t="s">
        <v>177</v>
      </c>
      <c r="D181" s="8" t="s">
        <v>65</v>
      </c>
      <c r="E181" s="8">
        <f t="shared" si="2"/>
        <v>1</v>
      </c>
      <c r="F181" s="2" t="s">
        <v>175</v>
      </c>
      <c r="G181" s="12" t="s">
        <v>62</v>
      </c>
      <c r="H181" s="2">
        <v>60031002</v>
      </c>
      <c r="I181" s="8">
        <v>1</v>
      </c>
    </row>
    <row r="182" spans="2:9" x14ac:dyDescent="0.25">
      <c r="B182" s="8">
        <f>1000000+INDEX(编号表!$B:$B,MATCH(C182,编号表!$A:$A,0))*1000+INDEX(编号表!$D:$D,MATCH(D182,编号表!$C:$C,0))*100+E182</f>
        <v>1004501</v>
      </c>
      <c r="C182" s="2" t="s">
        <v>177</v>
      </c>
      <c r="D182" s="8" t="s">
        <v>67</v>
      </c>
      <c r="E182" s="8">
        <f t="shared" si="2"/>
        <v>1</v>
      </c>
      <c r="F182" s="2" t="s">
        <v>176</v>
      </c>
      <c r="G182" s="12" t="s">
        <v>62</v>
      </c>
      <c r="H182" s="2">
        <v>60031003</v>
      </c>
      <c r="I182" s="8">
        <v>1</v>
      </c>
    </row>
    <row r="183" spans="2:9" x14ac:dyDescent="0.25">
      <c r="B183" s="8">
        <f>1000000+INDEX(编号表!$B:$B,MATCH(C183,编号表!$A:$A,0))*1000+INDEX(编号表!$D:$D,MATCH(D183,编号表!$C:$C,0))*100+E183</f>
        <v>1004601</v>
      </c>
      <c r="C183" s="2" t="s">
        <v>177</v>
      </c>
      <c r="D183" s="8" t="s">
        <v>69</v>
      </c>
      <c r="E183" s="8">
        <f t="shared" si="2"/>
        <v>1</v>
      </c>
      <c r="F183" s="2" t="s">
        <v>178</v>
      </c>
      <c r="G183" s="12" t="s">
        <v>62</v>
      </c>
      <c r="H183" s="2">
        <v>60031004</v>
      </c>
      <c r="I183" s="8">
        <v>1</v>
      </c>
    </row>
    <row r="184" spans="2:9" x14ac:dyDescent="0.25">
      <c r="B184" s="8">
        <f>1000000+INDEX(编号表!$B:$B,MATCH(C184,编号表!$A:$A,0))*1000+INDEX(编号表!$D:$D,MATCH(D184,编号表!$C:$C,0))*100+E184</f>
        <v>1004701</v>
      </c>
      <c r="C184" s="2" t="s">
        <v>177</v>
      </c>
      <c r="D184" s="8" t="s">
        <v>179</v>
      </c>
      <c r="E184" s="8">
        <f t="shared" si="2"/>
        <v>1</v>
      </c>
      <c r="F184" s="2" t="s">
        <v>180</v>
      </c>
      <c r="G184" s="12" t="s">
        <v>62</v>
      </c>
      <c r="H184" s="2">
        <v>60031005</v>
      </c>
      <c r="I184" s="8">
        <v>1</v>
      </c>
    </row>
    <row r="185" spans="2:9" x14ac:dyDescent="0.25">
      <c r="B185" s="8">
        <f>1000000+INDEX(编号表!$B:$B,MATCH(C185,编号表!$A:$A,0))*1000+INDEX(编号表!$D:$D,MATCH(D185,编号表!$C:$C,0))*100+E185</f>
        <v>1004202</v>
      </c>
      <c r="C185" s="2" t="s">
        <v>177</v>
      </c>
      <c r="D185" s="8" t="s">
        <v>60</v>
      </c>
      <c r="E185" s="8">
        <f t="shared" si="2"/>
        <v>2</v>
      </c>
      <c r="F185" s="2" t="s">
        <v>172</v>
      </c>
      <c r="G185" s="12" t="s">
        <v>62</v>
      </c>
      <c r="H185" s="2">
        <v>60031000</v>
      </c>
      <c r="I185" s="8">
        <v>2</v>
      </c>
    </row>
    <row r="186" spans="2:9" x14ac:dyDescent="0.25">
      <c r="B186" s="8">
        <f>1000000+INDEX(编号表!$B:$B,MATCH(C186,编号表!$A:$A,0))*1000+INDEX(编号表!$D:$D,MATCH(D186,编号表!$C:$C,0))*100+E186</f>
        <v>1004302</v>
      </c>
      <c r="C186" s="2" t="s">
        <v>177</v>
      </c>
      <c r="D186" s="8" t="s">
        <v>63</v>
      </c>
      <c r="E186" s="8">
        <f t="shared" si="2"/>
        <v>2</v>
      </c>
      <c r="F186" s="2" t="s">
        <v>174</v>
      </c>
      <c r="G186" s="12" t="s">
        <v>62</v>
      </c>
      <c r="H186" s="2">
        <v>60031001</v>
      </c>
      <c r="I186" s="8">
        <v>2</v>
      </c>
    </row>
    <row r="187" spans="2:9" x14ac:dyDescent="0.25">
      <c r="B187" s="8">
        <f>1000000+INDEX(编号表!$B:$B,MATCH(C187,编号表!$A:$A,0))*1000+INDEX(编号表!$D:$D,MATCH(D187,编号表!$C:$C,0))*100+E187</f>
        <v>1004402</v>
      </c>
      <c r="C187" s="2" t="s">
        <v>177</v>
      </c>
      <c r="D187" s="8" t="s">
        <v>65</v>
      </c>
      <c r="E187" s="8">
        <f t="shared" si="2"/>
        <v>2</v>
      </c>
      <c r="F187" s="2" t="s">
        <v>175</v>
      </c>
      <c r="G187" s="12" t="s">
        <v>62</v>
      </c>
      <c r="H187" s="2">
        <v>60031002</v>
      </c>
      <c r="I187" s="8">
        <v>2</v>
      </c>
    </row>
    <row r="188" spans="2:9" x14ac:dyDescent="0.25">
      <c r="B188" s="8">
        <f>1000000+INDEX(编号表!$B:$B,MATCH(C188,编号表!$A:$A,0))*1000+INDEX(编号表!$D:$D,MATCH(D188,编号表!$C:$C,0))*100+E188</f>
        <v>1004502</v>
      </c>
      <c r="C188" s="2" t="s">
        <v>177</v>
      </c>
      <c r="D188" s="8" t="s">
        <v>67</v>
      </c>
      <c r="E188" s="8">
        <f t="shared" si="2"/>
        <v>2</v>
      </c>
      <c r="F188" s="2" t="s">
        <v>176</v>
      </c>
      <c r="G188" s="12" t="s">
        <v>62</v>
      </c>
      <c r="H188" s="2">
        <v>60031003</v>
      </c>
      <c r="I188" s="8">
        <v>2</v>
      </c>
    </row>
    <row r="189" spans="2:9" x14ac:dyDescent="0.25">
      <c r="B189" s="8">
        <f>1000000+INDEX(编号表!$B:$B,MATCH(C189,编号表!$A:$A,0))*1000+INDEX(编号表!$D:$D,MATCH(D189,编号表!$C:$C,0))*100+E189</f>
        <v>1004602</v>
      </c>
      <c r="C189" s="2" t="s">
        <v>177</v>
      </c>
      <c r="D189" s="8" t="s">
        <v>69</v>
      </c>
      <c r="E189" s="8">
        <f t="shared" si="2"/>
        <v>2</v>
      </c>
      <c r="F189" s="2" t="s">
        <v>178</v>
      </c>
      <c r="G189" s="12" t="s">
        <v>62</v>
      </c>
      <c r="H189" s="2">
        <v>60031004</v>
      </c>
      <c r="I189" s="8">
        <v>2</v>
      </c>
    </row>
    <row r="190" spans="2:9" x14ac:dyDescent="0.25">
      <c r="B190" s="8">
        <f>1000000+INDEX(编号表!$B:$B,MATCH(C190,编号表!$A:$A,0))*1000+INDEX(编号表!$D:$D,MATCH(D190,编号表!$C:$C,0))*100+E190</f>
        <v>1004702</v>
      </c>
      <c r="C190" s="2" t="s">
        <v>177</v>
      </c>
      <c r="D190" s="8" t="s">
        <v>179</v>
      </c>
      <c r="E190" s="8">
        <f t="shared" si="2"/>
        <v>2</v>
      </c>
      <c r="F190" s="2" t="s">
        <v>180</v>
      </c>
      <c r="G190" s="12" t="s">
        <v>62</v>
      </c>
      <c r="H190" s="2">
        <v>60031005</v>
      </c>
      <c r="I190" s="8">
        <v>2</v>
      </c>
    </row>
    <row r="191" spans="2:9" x14ac:dyDescent="0.25">
      <c r="B191" s="8">
        <f>1000000+INDEX(编号表!$B:$B,MATCH(C191,编号表!$A:$A,0))*1000+INDEX(编号表!$D:$D,MATCH(D191,编号表!$C:$C,0))*100+E191</f>
        <v>1004203</v>
      </c>
      <c r="C191" s="2" t="s">
        <v>177</v>
      </c>
      <c r="D191" s="8" t="s">
        <v>60</v>
      </c>
      <c r="E191" s="8">
        <f t="shared" si="2"/>
        <v>3</v>
      </c>
      <c r="F191" s="2" t="s">
        <v>172</v>
      </c>
      <c r="G191" s="12" t="s">
        <v>62</v>
      </c>
      <c r="H191" s="2">
        <v>60031000</v>
      </c>
      <c r="I191" s="8">
        <v>3</v>
      </c>
    </row>
    <row r="192" spans="2:9" x14ac:dyDescent="0.25">
      <c r="B192" s="8">
        <f>1000000+INDEX(编号表!$B:$B,MATCH(C192,编号表!$A:$A,0))*1000+INDEX(编号表!$D:$D,MATCH(D192,编号表!$C:$C,0))*100+E192</f>
        <v>1004303</v>
      </c>
      <c r="C192" s="2" t="s">
        <v>177</v>
      </c>
      <c r="D192" s="8" t="s">
        <v>63</v>
      </c>
      <c r="E192" s="8">
        <f t="shared" si="2"/>
        <v>3</v>
      </c>
      <c r="F192" s="2" t="s">
        <v>174</v>
      </c>
      <c r="G192" s="12" t="s">
        <v>62</v>
      </c>
      <c r="H192" s="2">
        <v>60031001</v>
      </c>
      <c r="I192" s="8">
        <v>3</v>
      </c>
    </row>
    <row r="193" spans="1:9" x14ac:dyDescent="0.25">
      <c r="B193" s="8">
        <f>1000000+INDEX(编号表!$B:$B,MATCH(C193,编号表!$A:$A,0))*1000+INDEX(编号表!$D:$D,MATCH(D193,编号表!$C:$C,0))*100+E193</f>
        <v>1004403</v>
      </c>
      <c r="C193" s="2" t="s">
        <v>177</v>
      </c>
      <c r="D193" s="8" t="s">
        <v>65</v>
      </c>
      <c r="E193" s="8">
        <f t="shared" si="2"/>
        <v>3</v>
      </c>
      <c r="F193" s="2" t="s">
        <v>175</v>
      </c>
      <c r="G193" s="12" t="s">
        <v>62</v>
      </c>
      <c r="H193" s="2">
        <v>60031002</v>
      </c>
      <c r="I193" s="8">
        <v>3</v>
      </c>
    </row>
    <row r="194" spans="1:9" x14ac:dyDescent="0.25">
      <c r="B194" s="8">
        <f>1000000+INDEX(编号表!$B:$B,MATCH(C194,编号表!$A:$A,0))*1000+INDEX(编号表!$D:$D,MATCH(D194,编号表!$C:$C,0))*100+E194</f>
        <v>1004503</v>
      </c>
      <c r="C194" s="2" t="s">
        <v>177</v>
      </c>
      <c r="D194" s="8" t="s">
        <v>67</v>
      </c>
      <c r="E194" s="8">
        <f t="shared" si="2"/>
        <v>3</v>
      </c>
      <c r="F194" s="2" t="s">
        <v>176</v>
      </c>
      <c r="G194" s="12" t="s">
        <v>62</v>
      </c>
      <c r="H194" s="2">
        <v>60031003</v>
      </c>
      <c r="I194" s="8">
        <v>3</v>
      </c>
    </row>
    <row r="195" spans="1:9" x14ac:dyDescent="0.25">
      <c r="B195" s="8">
        <f>1000000+INDEX(编号表!$B:$B,MATCH(C195,编号表!$A:$A,0))*1000+INDEX(编号表!$D:$D,MATCH(D195,编号表!$C:$C,0))*100+E195</f>
        <v>1004603</v>
      </c>
      <c r="C195" s="2" t="s">
        <v>177</v>
      </c>
      <c r="D195" s="8" t="s">
        <v>69</v>
      </c>
      <c r="E195" s="8">
        <f t="shared" si="2"/>
        <v>3</v>
      </c>
      <c r="F195" s="2" t="s">
        <v>178</v>
      </c>
      <c r="G195" s="12" t="s">
        <v>62</v>
      </c>
      <c r="H195" s="2">
        <v>60031004</v>
      </c>
      <c r="I195" s="8">
        <v>3</v>
      </c>
    </row>
    <row r="196" spans="1:9" x14ac:dyDescent="0.25">
      <c r="B196" s="8">
        <f>1000000+INDEX(编号表!$B:$B,MATCH(C196,编号表!$A:$A,0))*1000+INDEX(编号表!$D:$D,MATCH(D196,编号表!$C:$C,0))*100+E196</f>
        <v>1004703</v>
      </c>
      <c r="C196" s="2" t="s">
        <v>177</v>
      </c>
      <c r="D196" s="8" t="s">
        <v>179</v>
      </c>
      <c r="E196" s="8">
        <f t="shared" si="2"/>
        <v>3</v>
      </c>
      <c r="F196" s="2" t="s">
        <v>180</v>
      </c>
      <c r="G196" s="12" t="s">
        <v>62</v>
      </c>
      <c r="H196" s="2">
        <v>60031005</v>
      </c>
      <c r="I196" s="8">
        <v>3</v>
      </c>
    </row>
    <row r="197" spans="1:9" x14ac:dyDescent="0.25">
      <c r="B197" s="8">
        <f>1000000+INDEX(编号表!$B:$B,MATCH(C197,编号表!$A:$A,0))*1000+INDEX(编号表!$D:$D,MATCH(D197,编号表!$C:$C,0))*100+E197</f>
        <v>1004205</v>
      </c>
      <c r="C197" s="2" t="s">
        <v>177</v>
      </c>
      <c r="D197" s="8" t="s">
        <v>60</v>
      </c>
      <c r="E197" s="8">
        <f t="shared" si="2"/>
        <v>5</v>
      </c>
      <c r="F197" s="2" t="s">
        <v>172</v>
      </c>
      <c r="G197" s="12" t="s">
        <v>62</v>
      </c>
      <c r="H197" s="2">
        <v>60031000</v>
      </c>
      <c r="I197" s="8">
        <v>5</v>
      </c>
    </row>
    <row r="198" spans="1:9" x14ac:dyDescent="0.25">
      <c r="B198" s="8">
        <f>1000000+INDEX(编号表!$B:$B,MATCH(C198,编号表!$A:$A,0))*1000+INDEX(编号表!$D:$D,MATCH(D198,编号表!$C:$C,0))*100+E198</f>
        <v>1004305</v>
      </c>
      <c r="C198" s="2" t="s">
        <v>177</v>
      </c>
      <c r="D198" s="8" t="s">
        <v>63</v>
      </c>
      <c r="E198" s="8">
        <f t="shared" si="2"/>
        <v>5</v>
      </c>
      <c r="F198" s="2" t="s">
        <v>174</v>
      </c>
      <c r="G198" s="12" t="s">
        <v>62</v>
      </c>
      <c r="H198" s="2">
        <v>60031001</v>
      </c>
      <c r="I198" s="8">
        <v>5</v>
      </c>
    </row>
    <row r="199" spans="1:9" x14ac:dyDescent="0.25">
      <c r="B199" s="8">
        <f>1000000+INDEX(编号表!$B:$B,MATCH(C199,编号表!$A:$A,0))*1000+INDEX(编号表!$D:$D,MATCH(D199,编号表!$C:$C,0))*100+E199</f>
        <v>1004405</v>
      </c>
      <c r="C199" s="2" t="s">
        <v>177</v>
      </c>
      <c r="D199" s="8" t="s">
        <v>65</v>
      </c>
      <c r="E199" s="8">
        <f t="shared" si="2"/>
        <v>5</v>
      </c>
      <c r="F199" s="2" t="s">
        <v>175</v>
      </c>
      <c r="G199" s="12" t="s">
        <v>62</v>
      </c>
      <c r="H199" s="2">
        <v>60031002</v>
      </c>
      <c r="I199" s="8">
        <v>5</v>
      </c>
    </row>
    <row r="200" spans="1:9" x14ac:dyDescent="0.25">
      <c r="B200" s="8">
        <f>1000000+INDEX(编号表!$B:$B,MATCH(C200,编号表!$A:$A,0))*1000+INDEX(编号表!$D:$D,MATCH(D200,编号表!$C:$C,0))*100+E200</f>
        <v>1004505</v>
      </c>
      <c r="C200" s="2" t="s">
        <v>177</v>
      </c>
      <c r="D200" s="8" t="s">
        <v>67</v>
      </c>
      <c r="E200" s="8">
        <f t="shared" si="2"/>
        <v>5</v>
      </c>
      <c r="F200" s="2" t="s">
        <v>176</v>
      </c>
      <c r="G200" s="12" t="s">
        <v>62</v>
      </c>
      <c r="H200" s="2">
        <v>60031003</v>
      </c>
      <c r="I200" s="8">
        <v>5</v>
      </c>
    </row>
    <row r="201" spans="1:9" x14ac:dyDescent="0.25">
      <c r="B201" s="8">
        <f>1000000+INDEX(编号表!$B:$B,MATCH(C201,编号表!$A:$A,0))*1000+INDEX(编号表!$D:$D,MATCH(D201,编号表!$C:$C,0))*100+E201</f>
        <v>1004605</v>
      </c>
      <c r="C201" s="2" t="s">
        <v>177</v>
      </c>
      <c r="D201" s="8" t="s">
        <v>69</v>
      </c>
      <c r="E201" s="8">
        <f t="shared" si="2"/>
        <v>5</v>
      </c>
      <c r="F201" s="2" t="s">
        <v>178</v>
      </c>
      <c r="G201" s="12" t="s">
        <v>62</v>
      </c>
      <c r="H201" s="2">
        <v>60031004</v>
      </c>
      <c r="I201" s="8">
        <v>5</v>
      </c>
    </row>
    <row r="202" spans="1:9" x14ac:dyDescent="0.25">
      <c r="B202" s="8">
        <f>1000000+INDEX(编号表!$B:$B,MATCH(C202,编号表!$A:$A,0))*1000+INDEX(编号表!$D:$D,MATCH(D202,编号表!$C:$C,0))*100+E202</f>
        <v>1004705</v>
      </c>
      <c r="C202" s="2" t="s">
        <v>177</v>
      </c>
      <c r="D202" s="8" t="s">
        <v>179</v>
      </c>
      <c r="E202" s="8">
        <f t="shared" si="2"/>
        <v>5</v>
      </c>
      <c r="F202" s="2" t="s">
        <v>180</v>
      </c>
      <c r="G202" s="12" t="s">
        <v>62</v>
      </c>
      <c r="H202" s="2">
        <v>60031005</v>
      </c>
      <c r="I202" s="8">
        <v>5</v>
      </c>
    </row>
    <row r="203" spans="1:9" x14ac:dyDescent="0.25">
      <c r="A203" s="8" t="s">
        <v>335</v>
      </c>
      <c r="B203" s="8">
        <f>1000000+INDEX(编号表!$B:$B,MATCH(C203,编号表!$A:$A,0))*1000+INDEX(编号表!$D:$D,MATCH(D203,编号表!$C:$C,0))*100+E203</f>
        <v>1004205</v>
      </c>
      <c r="C203" s="2" t="s">
        <v>177</v>
      </c>
      <c r="D203" s="8" t="s">
        <v>60</v>
      </c>
      <c r="E203" s="8">
        <f t="shared" si="2"/>
        <v>5</v>
      </c>
      <c r="F203" s="2" t="s">
        <v>172</v>
      </c>
      <c r="G203" s="12" t="s">
        <v>62</v>
      </c>
      <c r="H203" s="2">
        <v>60031000</v>
      </c>
      <c r="I203" s="8">
        <v>5</v>
      </c>
    </row>
    <row r="204" spans="1:9" x14ac:dyDescent="0.25">
      <c r="B204" s="8">
        <f>1000000+INDEX(编号表!$B:$B,MATCH(C204,编号表!$A:$A,0))*1000+INDEX(编号表!$D:$D,MATCH(D204,编号表!$C:$C,0))*100+E204</f>
        <v>1004310</v>
      </c>
      <c r="C204" s="2" t="s">
        <v>177</v>
      </c>
      <c r="D204" s="8" t="s">
        <v>63</v>
      </c>
      <c r="E204" s="8">
        <f t="shared" si="2"/>
        <v>10</v>
      </c>
      <c r="F204" s="2" t="s">
        <v>174</v>
      </c>
      <c r="G204" s="12" t="s">
        <v>62</v>
      </c>
      <c r="H204" s="2">
        <v>60031001</v>
      </c>
      <c r="I204" s="8">
        <v>10</v>
      </c>
    </row>
    <row r="205" spans="1:9" x14ac:dyDescent="0.25">
      <c r="B205" s="8">
        <f>1000000+INDEX(编号表!$B:$B,MATCH(C205,编号表!$A:$A,0))*1000+INDEX(编号表!$D:$D,MATCH(D205,编号表!$C:$C,0))*100+E205</f>
        <v>1004410</v>
      </c>
      <c r="C205" s="2" t="s">
        <v>177</v>
      </c>
      <c r="D205" s="8" t="s">
        <v>65</v>
      </c>
      <c r="E205" s="8">
        <f t="shared" si="2"/>
        <v>10</v>
      </c>
      <c r="F205" s="2" t="s">
        <v>175</v>
      </c>
      <c r="G205" s="12" t="s">
        <v>62</v>
      </c>
      <c r="H205" s="2">
        <v>60031002</v>
      </c>
      <c r="I205" s="8">
        <v>10</v>
      </c>
    </row>
    <row r="206" spans="1:9" x14ac:dyDescent="0.25">
      <c r="B206" s="8">
        <f>1000000+INDEX(编号表!$B:$B,MATCH(C206,编号表!$A:$A,0))*1000+INDEX(编号表!$D:$D,MATCH(D206,编号表!$C:$C,0))*100+E206</f>
        <v>1004510</v>
      </c>
      <c r="C206" s="2" t="s">
        <v>177</v>
      </c>
      <c r="D206" s="8" t="s">
        <v>67</v>
      </c>
      <c r="E206" s="8">
        <f t="shared" si="2"/>
        <v>10</v>
      </c>
      <c r="F206" s="2" t="s">
        <v>176</v>
      </c>
      <c r="G206" s="12" t="s">
        <v>62</v>
      </c>
      <c r="H206" s="2">
        <v>60031003</v>
      </c>
      <c r="I206" s="8">
        <v>10</v>
      </c>
    </row>
    <row r="207" spans="1:9" x14ac:dyDescent="0.25">
      <c r="B207" s="8">
        <f>1000000+INDEX(编号表!$B:$B,MATCH(C207,编号表!$A:$A,0))*1000+INDEX(编号表!$D:$D,MATCH(D207,编号表!$C:$C,0))*100+E207</f>
        <v>1004610</v>
      </c>
      <c r="C207" s="2" t="s">
        <v>177</v>
      </c>
      <c r="D207" s="8" t="s">
        <v>69</v>
      </c>
      <c r="E207" s="8">
        <f t="shared" si="2"/>
        <v>10</v>
      </c>
      <c r="F207" s="2" t="s">
        <v>178</v>
      </c>
      <c r="G207" s="12" t="s">
        <v>62</v>
      </c>
      <c r="H207" s="2">
        <v>60031004</v>
      </c>
      <c r="I207" s="8">
        <v>10</v>
      </c>
    </row>
    <row r="208" spans="1:9" x14ac:dyDescent="0.25">
      <c r="B208" s="8">
        <f>1000000+INDEX(编号表!$B:$B,MATCH(C208,编号表!$A:$A,0))*1000+INDEX(编号表!$D:$D,MATCH(D208,编号表!$C:$C,0))*100+E208</f>
        <v>1004710</v>
      </c>
      <c r="C208" s="2" t="s">
        <v>177</v>
      </c>
      <c r="D208" s="8" t="s">
        <v>179</v>
      </c>
      <c r="E208" s="8">
        <f t="shared" si="2"/>
        <v>10</v>
      </c>
      <c r="F208" s="2" t="s">
        <v>180</v>
      </c>
      <c r="G208" s="12" t="s">
        <v>62</v>
      </c>
      <c r="H208" s="2">
        <v>60031005</v>
      </c>
      <c r="I208" s="8">
        <v>10</v>
      </c>
    </row>
    <row r="209" spans="2:9" x14ac:dyDescent="0.25">
      <c r="B209" s="8">
        <f>1000000+INDEX(编号表!$B:$B,MATCH(C209,编号表!$A:$A,0))*1000+INDEX(编号表!$D:$D,MATCH(D209,编号表!$C:$C,0))*100+E209</f>
        <v>1004210</v>
      </c>
      <c r="C209" s="2" t="s">
        <v>177</v>
      </c>
      <c r="D209" s="8" t="s">
        <v>60</v>
      </c>
      <c r="E209" s="8">
        <f t="shared" si="2"/>
        <v>10</v>
      </c>
      <c r="F209" s="2" t="s">
        <v>172</v>
      </c>
      <c r="G209" s="12" t="s">
        <v>62</v>
      </c>
      <c r="H209" s="2">
        <v>60031000</v>
      </c>
      <c r="I209" s="8">
        <v>10</v>
      </c>
    </row>
    <row r="210" spans="2:9" x14ac:dyDescent="0.25">
      <c r="B210" s="8">
        <f>1000000+INDEX(编号表!$B:$B,MATCH(C210,编号表!$A:$A,0))*1000+INDEX(编号表!$D:$D,MATCH(D210,编号表!$C:$C,0))*100+E210</f>
        <v>1004315</v>
      </c>
      <c r="C210" s="2" t="s">
        <v>177</v>
      </c>
      <c r="D210" s="8" t="s">
        <v>63</v>
      </c>
      <c r="E210" s="8">
        <f t="shared" si="2"/>
        <v>15</v>
      </c>
      <c r="F210" s="2" t="s">
        <v>174</v>
      </c>
      <c r="G210" s="12" t="s">
        <v>62</v>
      </c>
      <c r="H210" s="2">
        <v>60031001</v>
      </c>
      <c r="I210" s="8">
        <v>15</v>
      </c>
    </row>
    <row r="211" spans="2:9" x14ac:dyDescent="0.25">
      <c r="B211" s="8">
        <f>1000000+INDEX(编号表!$B:$B,MATCH(C211,编号表!$A:$A,0))*1000+INDEX(编号表!$D:$D,MATCH(D211,编号表!$C:$C,0))*100+E211</f>
        <v>1004415</v>
      </c>
      <c r="C211" s="2" t="s">
        <v>177</v>
      </c>
      <c r="D211" s="8" t="s">
        <v>65</v>
      </c>
      <c r="E211" s="8">
        <f t="shared" si="2"/>
        <v>15</v>
      </c>
      <c r="F211" s="2" t="s">
        <v>175</v>
      </c>
      <c r="G211" s="12" t="s">
        <v>62</v>
      </c>
      <c r="H211" s="2">
        <v>60031002</v>
      </c>
      <c r="I211" s="8">
        <v>15</v>
      </c>
    </row>
    <row r="212" spans="2:9" x14ac:dyDescent="0.25">
      <c r="B212" s="8">
        <f>1000000+INDEX(编号表!$B:$B,MATCH(C212,编号表!$A:$A,0))*1000+INDEX(编号表!$D:$D,MATCH(D212,编号表!$C:$C,0))*100+E212</f>
        <v>1004515</v>
      </c>
      <c r="C212" s="2" t="s">
        <v>177</v>
      </c>
      <c r="D212" s="8" t="s">
        <v>67</v>
      </c>
      <c r="E212" s="8">
        <f t="shared" si="2"/>
        <v>15</v>
      </c>
      <c r="F212" s="2" t="s">
        <v>176</v>
      </c>
      <c r="G212" s="12" t="s">
        <v>62</v>
      </c>
      <c r="H212" s="2">
        <v>60031003</v>
      </c>
      <c r="I212" s="8">
        <v>15</v>
      </c>
    </row>
    <row r="213" spans="2:9" x14ac:dyDescent="0.25">
      <c r="B213" s="8">
        <f>1000000+INDEX(编号表!$B:$B,MATCH(C213,编号表!$A:$A,0))*1000+INDEX(编号表!$D:$D,MATCH(D213,编号表!$C:$C,0))*100+E213</f>
        <v>1004615</v>
      </c>
      <c r="C213" s="2" t="s">
        <v>177</v>
      </c>
      <c r="D213" s="8" t="s">
        <v>69</v>
      </c>
      <c r="E213" s="8">
        <f t="shared" si="2"/>
        <v>15</v>
      </c>
      <c r="F213" s="2" t="s">
        <v>178</v>
      </c>
      <c r="G213" s="12" t="s">
        <v>62</v>
      </c>
      <c r="H213" s="2">
        <v>60031004</v>
      </c>
      <c r="I213" s="8">
        <v>15</v>
      </c>
    </row>
    <row r="214" spans="2:9" x14ac:dyDescent="0.25">
      <c r="B214" s="8">
        <f>1000000+INDEX(编号表!$B:$B,MATCH(C214,编号表!$A:$A,0))*1000+INDEX(编号表!$D:$D,MATCH(D214,编号表!$C:$C,0))*100+E214</f>
        <v>1004715</v>
      </c>
      <c r="C214" s="2" t="s">
        <v>177</v>
      </c>
      <c r="D214" s="8" t="s">
        <v>179</v>
      </c>
      <c r="E214" s="8">
        <f t="shared" si="2"/>
        <v>15</v>
      </c>
      <c r="F214" s="2" t="s">
        <v>180</v>
      </c>
      <c r="G214" s="12" t="s">
        <v>62</v>
      </c>
      <c r="H214" s="2">
        <v>60031005</v>
      </c>
      <c r="I214" s="8">
        <v>15</v>
      </c>
    </row>
    <row r="215" spans="2:9" x14ac:dyDescent="0.25">
      <c r="B215" s="8">
        <f>1000000+INDEX(编号表!$B:$B,MATCH(C215,编号表!$A:$A,0))*1000+INDEX(编号表!$D:$D,MATCH(D215,编号表!$C:$C,0))*100+E215</f>
        <v>1005001</v>
      </c>
      <c r="C215" s="2" t="s">
        <v>181</v>
      </c>
      <c r="D215" s="8" t="s">
        <v>55</v>
      </c>
      <c r="E215" s="8">
        <v>1</v>
      </c>
      <c r="F215" s="11" t="s">
        <v>56</v>
      </c>
      <c r="G215" s="12" t="s">
        <v>57</v>
      </c>
      <c r="H215" s="8">
        <v>60044000</v>
      </c>
      <c r="I215" s="8">
        <v>1</v>
      </c>
    </row>
    <row r="216" spans="2:9" x14ac:dyDescent="0.25">
      <c r="B216" s="8">
        <f>1000000+INDEX(编号表!$B:$B,MATCH(C216,编号表!$A:$A,0))*1000+INDEX(编号表!$D:$D,MATCH(D216,编号表!$C:$C,0))*100+E216</f>
        <v>1005002</v>
      </c>
      <c r="C216" s="2" t="s">
        <v>181</v>
      </c>
      <c r="D216" s="8" t="s">
        <v>55</v>
      </c>
      <c r="E216" s="8">
        <v>2</v>
      </c>
      <c r="F216" s="11" t="s">
        <v>56</v>
      </c>
      <c r="G216" s="12" t="s">
        <v>57</v>
      </c>
      <c r="H216" s="8">
        <v>60044001</v>
      </c>
      <c r="I216" s="8">
        <v>1</v>
      </c>
    </row>
    <row r="217" spans="2:9" x14ac:dyDescent="0.25">
      <c r="B217" s="8">
        <f>1000000+INDEX(编号表!$B:$B,MATCH(C217,编号表!$A:$A,0))*1000+INDEX(编号表!$D:$D,MATCH(D217,编号表!$C:$C,0))*100+E217</f>
        <v>1005101</v>
      </c>
      <c r="C217" s="2" t="s">
        <v>181</v>
      </c>
      <c r="D217" s="8" t="s">
        <v>58</v>
      </c>
      <c r="E217" s="8">
        <v>1</v>
      </c>
      <c r="F217" s="11" t="s">
        <v>59</v>
      </c>
      <c r="G217" s="12" t="s">
        <v>57</v>
      </c>
      <c r="H217" s="2">
        <v>60042000</v>
      </c>
      <c r="I217" s="8">
        <v>1</v>
      </c>
    </row>
    <row r="218" spans="2:9" x14ac:dyDescent="0.25">
      <c r="B218" s="8">
        <f>1000000+INDEX(编号表!$B:$B,MATCH(C218,编号表!$A:$A,0))*1000+INDEX(编号表!$D:$D,MATCH(D218,编号表!$C:$C,0))*100+E218</f>
        <v>1005201</v>
      </c>
      <c r="C218" s="2" t="s">
        <v>181</v>
      </c>
      <c r="D218" s="8" t="s">
        <v>60</v>
      </c>
      <c r="E218" s="8">
        <f t="shared" ref="E218:E232" si="3">I218+K218+M218+O218+Q218+S218+U218+W218+Y218+AA218</f>
        <v>1</v>
      </c>
      <c r="F218" s="11" t="s">
        <v>182</v>
      </c>
      <c r="G218" s="12" t="s">
        <v>62</v>
      </c>
      <c r="H218" s="8">
        <v>60041000</v>
      </c>
      <c r="I218" s="8">
        <v>1</v>
      </c>
    </row>
    <row r="219" spans="2:9" x14ac:dyDescent="0.25">
      <c r="B219" s="8">
        <f>1000000+INDEX(编号表!$B:$B,MATCH(C219,编号表!$A:$A,0))*1000+INDEX(编号表!$D:$D,MATCH(D219,编号表!$C:$C,0))*100+E219</f>
        <v>1005301</v>
      </c>
      <c r="C219" s="2" t="s">
        <v>181</v>
      </c>
      <c r="D219" s="8" t="s">
        <v>63</v>
      </c>
      <c r="E219" s="8">
        <f t="shared" si="3"/>
        <v>1</v>
      </c>
      <c r="F219" s="11" t="s">
        <v>183</v>
      </c>
      <c r="G219" s="12" t="s">
        <v>62</v>
      </c>
      <c r="H219" s="8">
        <v>60041001</v>
      </c>
      <c r="I219" s="8">
        <v>1</v>
      </c>
    </row>
    <row r="220" spans="2:9" x14ac:dyDescent="0.25">
      <c r="B220" s="8">
        <f>1000000+INDEX(编号表!$B:$B,MATCH(C220,编号表!$A:$A,0))*1000+INDEX(编号表!$D:$D,MATCH(D220,编号表!$C:$C,0))*100+E220</f>
        <v>1005401</v>
      </c>
      <c r="C220" s="2" t="s">
        <v>181</v>
      </c>
      <c r="D220" s="8" t="s">
        <v>65</v>
      </c>
      <c r="E220" s="8">
        <f t="shared" si="3"/>
        <v>1</v>
      </c>
      <c r="F220" s="11" t="s">
        <v>184</v>
      </c>
      <c r="G220" s="12" t="s">
        <v>62</v>
      </c>
      <c r="H220" s="8">
        <v>60041002</v>
      </c>
      <c r="I220" s="8">
        <v>1</v>
      </c>
    </row>
    <row r="221" spans="2:9" x14ac:dyDescent="0.25">
      <c r="B221" s="8">
        <f>1000000+INDEX(编号表!$B:$B,MATCH(C221,编号表!$A:$A,0))*1000+INDEX(编号表!$D:$D,MATCH(D221,编号表!$C:$C,0))*100+E221</f>
        <v>1005202</v>
      </c>
      <c r="C221" s="2" t="s">
        <v>181</v>
      </c>
      <c r="D221" s="8" t="s">
        <v>60</v>
      </c>
      <c r="E221" s="8">
        <f t="shared" si="3"/>
        <v>2</v>
      </c>
      <c r="F221" s="11" t="s">
        <v>182</v>
      </c>
      <c r="G221" s="12" t="s">
        <v>62</v>
      </c>
      <c r="H221" s="8">
        <v>60041000</v>
      </c>
      <c r="I221" s="8">
        <v>2</v>
      </c>
    </row>
    <row r="222" spans="2:9" x14ac:dyDescent="0.25">
      <c r="B222" s="8">
        <f>1000000+INDEX(编号表!$B:$B,MATCH(C222,编号表!$A:$A,0))*1000+INDEX(编号表!$D:$D,MATCH(D222,编号表!$C:$C,0))*100+E222</f>
        <v>1005302</v>
      </c>
      <c r="C222" s="2" t="s">
        <v>181</v>
      </c>
      <c r="D222" s="8" t="s">
        <v>63</v>
      </c>
      <c r="E222" s="8">
        <f t="shared" si="3"/>
        <v>2</v>
      </c>
      <c r="F222" s="11" t="s">
        <v>183</v>
      </c>
      <c r="G222" s="12" t="s">
        <v>62</v>
      </c>
      <c r="H222" s="8">
        <v>60041001</v>
      </c>
      <c r="I222" s="8">
        <v>2</v>
      </c>
    </row>
    <row r="223" spans="2:9" x14ac:dyDescent="0.25">
      <c r="B223" s="8">
        <f>1000000+INDEX(编号表!$B:$B,MATCH(C223,编号表!$A:$A,0))*1000+INDEX(编号表!$D:$D,MATCH(D223,编号表!$C:$C,0))*100+E223</f>
        <v>1005402</v>
      </c>
      <c r="C223" s="2" t="s">
        <v>181</v>
      </c>
      <c r="D223" s="8" t="s">
        <v>65</v>
      </c>
      <c r="E223" s="8">
        <f t="shared" si="3"/>
        <v>2</v>
      </c>
      <c r="F223" s="11" t="s">
        <v>184</v>
      </c>
      <c r="G223" s="12" t="s">
        <v>62</v>
      </c>
      <c r="H223" s="8">
        <v>60041002</v>
      </c>
      <c r="I223" s="8">
        <v>2</v>
      </c>
    </row>
    <row r="224" spans="2:9" x14ac:dyDescent="0.25">
      <c r="B224" s="8">
        <f>1000000+INDEX(编号表!$B:$B,MATCH(C224,编号表!$A:$A,0))*1000+INDEX(编号表!$D:$D,MATCH(D224,编号表!$C:$C,0))*100+E224</f>
        <v>1005203</v>
      </c>
      <c r="C224" s="2" t="s">
        <v>181</v>
      </c>
      <c r="D224" s="8" t="s">
        <v>60</v>
      </c>
      <c r="E224" s="8">
        <f t="shared" si="3"/>
        <v>3</v>
      </c>
      <c r="F224" s="11" t="s">
        <v>182</v>
      </c>
      <c r="G224" s="12" t="s">
        <v>62</v>
      </c>
      <c r="H224" s="8">
        <v>60041000</v>
      </c>
      <c r="I224" s="8">
        <v>3</v>
      </c>
    </row>
    <row r="225" spans="2:9" x14ac:dyDescent="0.25">
      <c r="B225" s="8">
        <f>1000000+INDEX(编号表!$B:$B,MATCH(C225,编号表!$A:$A,0))*1000+INDEX(编号表!$D:$D,MATCH(D225,编号表!$C:$C,0))*100+E225</f>
        <v>1005303</v>
      </c>
      <c r="C225" s="2" t="s">
        <v>181</v>
      </c>
      <c r="D225" s="8" t="s">
        <v>63</v>
      </c>
      <c r="E225" s="8">
        <f t="shared" si="3"/>
        <v>3</v>
      </c>
      <c r="F225" s="11" t="s">
        <v>183</v>
      </c>
      <c r="G225" s="12" t="s">
        <v>62</v>
      </c>
      <c r="H225" s="8">
        <v>60041001</v>
      </c>
      <c r="I225" s="8">
        <v>3</v>
      </c>
    </row>
    <row r="226" spans="2:9" x14ac:dyDescent="0.25">
      <c r="B226" s="8">
        <f>1000000+INDEX(编号表!$B:$B,MATCH(C226,编号表!$A:$A,0))*1000+INDEX(编号表!$D:$D,MATCH(D226,编号表!$C:$C,0))*100+E226</f>
        <v>1005403</v>
      </c>
      <c r="C226" s="2" t="s">
        <v>181</v>
      </c>
      <c r="D226" s="8" t="s">
        <v>65</v>
      </c>
      <c r="E226" s="8">
        <f t="shared" si="3"/>
        <v>3</v>
      </c>
      <c r="F226" s="11" t="s">
        <v>184</v>
      </c>
      <c r="G226" s="12" t="s">
        <v>62</v>
      </c>
      <c r="H226" s="8">
        <v>60041002</v>
      </c>
      <c r="I226" s="8">
        <v>3</v>
      </c>
    </row>
    <row r="227" spans="2:9" x14ac:dyDescent="0.25">
      <c r="B227" s="8">
        <f>1000000+INDEX(编号表!$B:$B,MATCH(C227,编号表!$A:$A,0))*1000+INDEX(编号表!$D:$D,MATCH(D227,编号表!$C:$C,0))*100+E227</f>
        <v>1005205</v>
      </c>
      <c r="C227" s="2" t="s">
        <v>181</v>
      </c>
      <c r="D227" s="8" t="s">
        <v>60</v>
      </c>
      <c r="E227" s="8">
        <f t="shared" si="3"/>
        <v>5</v>
      </c>
      <c r="F227" s="11" t="s">
        <v>182</v>
      </c>
      <c r="G227" s="12" t="s">
        <v>62</v>
      </c>
      <c r="H227" s="8">
        <v>60041000</v>
      </c>
      <c r="I227" s="8">
        <v>5</v>
      </c>
    </row>
    <row r="228" spans="2:9" x14ac:dyDescent="0.25">
      <c r="B228" s="8">
        <f>1000000+INDEX(编号表!$B:$B,MATCH(C228,编号表!$A:$A,0))*1000+INDEX(编号表!$D:$D,MATCH(D228,编号表!$C:$C,0))*100+E228</f>
        <v>1005305</v>
      </c>
      <c r="C228" s="2" t="s">
        <v>181</v>
      </c>
      <c r="D228" s="8" t="s">
        <v>63</v>
      </c>
      <c r="E228" s="8">
        <f t="shared" si="3"/>
        <v>5</v>
      </c>
      <c r="F228" s="11" t="s">
        <v>183</v>
      </c>
      <c r="G228" s="12" t="s">
        <v>62</v>
      </c>
      <c r="H228" s="8">
        <v>60041001</v>
      </c>
      <c r="I228" s="8">
        <v>5</v>
      </c>
    </row>
    <row r="229" spans="2:9" x14ac:dyDescent="0.25">
      <c r="B229" s="8">
        <f>1000000+INDEX(编号表!$B:$B,MATCH(C229,编号表!$A:$A,0))*1000+INDEX(编号表!$D:$D,MATCH(D229,编号表!$C:$C,0))*100+E229</f>
        <v>1005405</v>
      </c>
      <c r="C229" s="2" t="s">
        <v>181</v>
      </c>
      <c r="D229" s="8" t="s">
        <v>65</v>
      </c>
      <c r="E229" s="8">
        <f t="shared" si="3"/>
        <v>5</v>
      </c>
      <c r="F229" s="11" t="s">
        <v>184</v>
      </c>
      <c r="G229" s="12" t="s">
        <v>62</v>
      </c>
      <c r="H229" s="8">
        <v>60041002</v>
      </c>
      <c r="I229" s="8">
        <v>5</v>
      </c>
    </row>
    <row r="230" spans="2:9" x14ac:dyDescent="0.25">
      <c r="B230" s="8">
        <f>1000000+INDEX(编号表!$B:$B,MATCH(C230,编号表!$A:$A,0))*1000+INDEX(编号表!$D:$D,MATCH(D230,编号表!$C:$C,0))*100+E230</f>
        <v>1005210</v>
      </c>
      <c r="C230" s="2" t="s">
        <v>181</v>
      </c>
      <c r="D230" s="8" t="s">
        <v>60</v>
      </c>
      <c r="E230" s="8">
        <f t="shared" si="3"/>
        <v>10</v>
      </c>
      <c r="F230" s="11" t="s">
        <v>182</v>
      </c>
      <c r="G230" s="12" t="s">
        <v>62</v>
      </c>
      <c r="H230" s="8">
        <v>60041000</v>
      </c>
      <c r="I230" s="8">
        <v>10</v>
      </c>
    </row>
    <row r="231" spans="2:9" x14ac:dyDescent="0.25">
      <c r="B231" s="8">
        <f>1000000+INDEX(编号表!$B:$B,MATCH(C231,编号表!$A:$A,0))*1000+INDEX(编号表!$D:$D,MATCH(D231,编号表!$C:$C,0))*100+E231</f>
        <v>1005310</v>
      </c>
      <c r="C231" s="2" t="s">
        <v>181</v>
      </c>
      <c r="D231" s="8" t="s">
        <v>63</v>
      </c>
      <c r="E231" s="8">
        <f t="shared" si="3"/>
        <v>10</v>
      </c>
      <c r="F231" s="11" t="s">
        <v>183</v>
      </c>
      <c r="G231" s="12" t="s">
        <v>62</v>
      </c>
      <c r="H231" s="8">
        <v>60041001</v>
      </c>
      <c r="I231" s="8">
        <v>10</v>
      </c>
    </row>
    <row r="232" spans="2:9" x14ac:dyDescent="0.25">
      <c r="B232" s="8">
        <f>1000000+INDEX(编号表!$B:$B,MATCH(C232,编号表!$A:$A,0))*1000+INDEX(编号表!$D:$D,MATCH(D232,编号表!$C:$C,0))*100+E232</f>
        <v>1005410</v>
      </c>
      <c r="C232" s="2" t="s">
        <v>181</v>
      </c>
      <c r="D232" s="8" t="s">
        <v>65</v>
      </c>
      <c r="E232" s="8">
        <f t="shared" si="3"/>
        <v>10</v>
      </c>
      <c r="F232" s="11" t="s">
        <v>184</v>
      </c>
      <c r="G232" s="12" t="s">
        <v>62</v>
      </c>
      <c r="H232" s="8">
        <v>60041002</v>
      </c>
      <c r="I232" s="8">
        <v>10</v>
      </c>
    </row>
    <row r="233" spans="2:9" x14ac:dyDescent="0.25">
      <c r="B233" s="8">
        <f>1000000+INDEX(编号表!$B:$B,MATCH(C233,编号表!$A:$A,0))*1000+INDEX(编号表!$D:$D,MATCH(D233,编号表!$C:$C,0))*100+E233</f>
        <v>1006001</v>
      </c>
      <c r="C233" s="2" t="s">
        <v>185</v>
      </c>
      <c r="D233" s="8" t="s">
        <v>55</v>
      </c>
      <c r="E233" s="8">
        <v>1</v>
      </c>
      <c r="F233" s="11" t="s">
        <v>56</v>
      </c>
      <c r="G233" s="12" t="s">
        <v>57</v>
      </c>
      <c r="H233" s="8">
        <v>60054000</v>
      </c>
      <c r="I233" s="8">
        <v>1</v>
      </c>
    </row>
    <row r="234" spans="2:9" x14ac:dyDescent="0.25">
      <c r="B234" s="8">
        <f>1000000+INDEX(编号表!$B:$B,MATCH(C234,编号表!$A:$A,0))*1000+INDEX(编号表!$D:$D,MATCH(D234,编号表!$C:$C,0))*100+E234</f>
        <v>1006002</v>
      </c>
      <c r="C234" s="2" t="s">
        <v>185</v>
      </c>
      <c r="D234" s="8" t="s">
        <v>55</v>
      </c>
      <c r="E234" s="8">
        <v>2</v>
      </c>
      <c r="F234" s="11" t="s">
        <v>56</v>
      </c>
      <c r="G234" s="12" t="s">
        <v>57</v>
      </c>
      <c r="H234" s="8">
        <v>60054001</v>
      </c>
      <c r="I234" s="8">
        <v>1</v>
      </c>
    </row>
    <row r="235" spans="2:9" x14ac:dyDescent="0.25">
      <c r="B235" s="8">
        <f>1000000+INDEX(编号表!$B:$B,MATCH(C235,编号表!$A:$A,0))*1000+INDEX(编号表!$D:$D,MATCH(D235,编号表!$C:$C,0))*100+E235</f>
        <v>1006003</v>
      </c>
      <c r="C235" s="2" t="s">
        <v>185</v>
      </c>
      <c r="D235" s="8" t="s">
        <v>55</v>
      </c>
      <c r="E235" s="8">
        <v>3</v>
      </c>
      <c r="F235" s="11" t="s">
        <v>56</v>
      </c>
      <c r="G235" s="12" t="s">
        <v>57</v>
      </c>
      <c r="H235" s="8">
        <v>60054002</v>
      </c>
      <c r="I235" s="8">
        <v>1</v>
      </c>
    </row>
    <row r="236" spans="2:9" x14ac:dyDescent="0.25">
      <c r="B236" s="8">
        <f>1000000+INDEX(编号表!$B:$B,MATCH(C236,编号表!$A:$A,0))*1000+INDEX(编号表!$D:$D,MATCH(D236,编号表!$C:$C,0))*100+E236</f>
        <v>1006101</v>
      </c>
      <c r="C236" s="2" t="s">
        <v>185</v>
      </c>
      <c r="D236" s="8" t="s">
        <v>58</v>
      </c>
      <c r="E236" s="8">
        <v>1</v>
      </c>
      <c r="F236" s="11" t="s">
        <v>59</v>
      </c>
      <c r="G236" s="12" t="s">
        <v>57</v>
      </c>
      <c r="H236" s="2">
        <v>60052000</v>
      </c>
      <c r="I236" s="8">
        <v>1</v>
      </c>
    </row>
    <row r="237" spans="2:9" x14ac:dyDescent="0.25">
      <c r="B237" s="8">
        <f>1000000+INDEX(编号表!$B:$B,MATCH(C237,编号表!$A:$A,0))*1000+INDEX(编号表!$D:$D,MATCH(D237,编号表!$C:$C,0))*100+E237</f>
        <v>1006201</v>
      </c>
      <c r="C237" s="2" t="s">
        <v>185</v>
      </c>
      <c r="D237" s="8" t="s">
        <v>60</v>
      </c>
      <c r="E237" s="8">
        <f t="shared" ref="E237:E278" si="4">I237+K237+M237+O237+Q237+S237+U237+W237+Y237+AA237</f>
        <v>1</v>
      </c>
      <c r="F237" s="2" t="s">
        <v>186</v>
      </c>
      <c r="G237" s="12" t="s">
        <v>62</v>
      </c>
      <c r="H237" s="2">
        <v>60051000</v>
      </c>
      <c r="I237" s="8">
        <v>1</v>
      </c>
    </row>
    <row r="238" spans="2:9" x14ac:dyDescent="0.25">
      <c r="B238" s="8">
        <f>1000000+INDEX(编号表!$B:$B,MATCH(C238,编号表!$A:$A,0))*1000+INDEX(编号表!$D:$D,MATCH(D238,编号表!$C:$C,0))*100+E238</f>
        <v>1006301</v>
      </c>
      <c r="C238" s="2" t="s">
        <v>185</v>
      </c>
      <c r="D238" s="8" t="s">
        <v>63</v>
      </c>
      <c r="E238" s="8">
        <f t="shared" si="4"/>
        <v>1</v>
      </c>
      <c r="F238" s="2" t="s">
        <v>187</v>
      </c>
      <c r="G238" s="12" t="s">
        <v>62</v>
      </c>
      <c r="H238" s="2">
        <v>60051001</v>
      </c>
      <c r="I238" s="8">
        <v>1</v>
      </c>
    </row>
    <row r="239" spans="2:9" x14ac:dyDescent="0.25">
      <c r="B239" s="8">
        <f>1000000+INDEX(编号表!$B:$B,MATCH(C239,编号表!$A:$A,0))*1000+INDEX(编号表!$D:$D,MATCH(D239,编号表!$C:$C,0))*100+E239</f>
        <v>1006401</v>
      </c>
      <c r="C239" s="2" t="s">
        <v>185</v>
      </c>
      <c r="D239" s="8" t="s">
        <v>65</v>
      </c>
      <c r="E239" s="8">
        <f t="shared" si="4"/>
        <v>1</v>
      </c>
      <c r="F239" s="2" t="s">
        <v>188</v>
      </c>
      <c r="G239" s="12" t="s">
        <v>62</v>
      </c>
      <c r="H239" s="2">
        <v>60051002</v>
      </c>
      <c r="I239" s="8">
        <v>1</v>
      </c>
    </row>
    <row r="240" spans="2:9" x14ac:dyDescent="0.25">
      <c r="B240" s="8">
        <f>1000000+INDEX(编号表!$B:$B,MATCH(C240,编号表!$A:$A,0))*1000+INDEX(编号表!$D:$D,MATCH(D240,编号表!$C:$C,0))*100+E240</f>
        <v>1006501</v>
      </c>
      <c r="C240" s="2" t="s">
        <v>185</v>
      </c>
      <c r="D240" s="8" t="s">
        <v>67</v>
      </c>
      <c r="E240" s="8">
        <f t="shared" si="4"/>
        <v>1</v>
      </c>
      <c r="F240" s="2" t="s">
        <v>189</v>
      </c>
      <c r="G240" s="12" t="s">
        <v>62</v>
      </c>
      <c r="H240" s="2">
        <v>60051003</v>
      </c>
      <c r="I240" s="8">
        <v>1</v>
      </c>
    </row>
    <row r="241" spans="2:9" x14ac:dyDescent="0.25">
      <c r="B241" s="8">
        <f>1000000+INDEX(编号表!$B:$B,MATCH(C241,编号表!$A:$A,0))*1000+INDEX(编号表!$D:$D,MATCH(D241,编号表!$C:$C,0))*100+E241</f>
        <v>1006601</v>
      </c>
      <c r="C241" s="2" t="s">
        <v>185</v>
      </c>
      <c r="D241" s="8" t="s">
        <v>69</v>
      </c>
      <c r="E241" s="8">
        <f t="shared" si="4"/>
        <v>1</v>
      </c>
      <c r="F241" s="2" t="s">
        <v>190</v>
      </c>
      <c r="G241" s="12" t="s">
        <v>62</v>
      </c>
      <c r="H241" s="2">
        <v>60051004</v>
      </c>
      <c r="I241" s="8">
        <v>1</v>
      </c>
    </row>
    <row r="242" spans="2:9" x14ac:dyDescent="0.25">
      <c r="B242" s="8">
        <f>1000000+INDEX(编号表!$B:$B,MATCH(C242,编号表!$A:$A,0))*1000+INDEX(编号表!$D:$D,MATCH(D242,编号表!$C:$C,0))*100+E242</f>
        <v>1006701</v>
      </c>
      <c r="C242" s="2" t="s">
        <v>185</v>
      </c>
      <c r="D242" s="8" t="s">
        <v>179</v>
      </c>
      <c r="E242" s="8">
        <f t="shared" si="4"/>
        <v>1</v>
      </c>
      <c r="F242" s="2" t="s">
        <v>173</v>
      </c>
      <c r="G242" s="12" t="s">
        <v>62</v>
      </c>
      <c r="H242" s="2">
        <v>60051005</v>
      </c>
      <c r="I242" s="8">
        <v>1</v>
      </c>
    </row>
    <row r="243" spans="2:9" x14ac:dyDescent="0.25">
      <c r="B243" s="8">
        <f>1000000+INDEX(编号表!$B:$B,MATCH(C243,编号表!$A:$A,0))*1000+INDEX(编号表!$D:$D,MATCH(D243,编号表!$C:$C,0))*100+E243</f>
        <v>1006801</v>
      </c>
      <c r="C243" s="2" t="s">
        <v>185</v>
      </c>
      <c r="D243" s="8" t="s">
        <v>191</v>
      </c>
      <c r="E243" s="8">
        <f t="shared" si="4"/>
        <v>1</v>
      </c>
      <c r="F243" s="2" t="s">
        <v>192</v>
      </c>
      <c r="G243" s="12" t="s">
        <v>62</v>
      </c>
      <c r="H243" s="2">
        <v>60051006</v>
      </c>
      <c r="I243" s="8">
        <v>1</v>
      </c>
    </row>
    <row r="244" spans="2:9" x14ac:dyDescent="0.25">
      <c r="B244" s="8">
        <f>1000000+INDEX(编号表!$B:$B,MATCH(C244,编号表!$A:$A,0))*1000+INDEX(编号表!$D:$D,MATCH(D244,编号表!$C:$C,0))*100+E244</f>
        <v>1006202</v>
      </c>
      <c r="C244" s="2" t="s">
        <v>185</v>
      </c>
      <c r="D244" s="8" t="s">
        <v>60</v>
      </c>
      <c r="E244" s="8">
        <f t="shared" si="4"/>
        <v>2</v>
      </c>
      <c r="F244" s="2" t="s">
        <v>186</v>
      </c>
      <c r="G244" s="12" t="s">
        <v>62</v>
      </c>
      <c r="H244" s="2">
        <v>60051000</v>
      </c>
      <c r="I244" s="8">
        <v>2</v>
      </c>
    </row>
    <row r="245" spans="2:9" x14ac:dyDescent="0.25">
      <c r="B245" s="8">
        <f>1000000+INDEX(编号表!$B:$B,MATCH(C245,编号表!$A:$A,0))*1000+INDEX(编号表!$D:$D,MATCH(D245,编号表!$C:$C,0))*100+E245</f>
        <v>1006302</v>
      </c>
      <c r="C245" s="2" t="s">
        <v>185</v>
      </c>
      <c r="D245" s="8" t="s">
        <v>63</v>
      </c>
      <c r="E245" s="8">
        <f t="shared" si="4"/>
        <v>2</v>
      </c>
      <c r="F245" s="2" t="s">
        <v>187</v>
      </c>
      <c r="G245" s="12" t="s">
        <v>62</v>
      </c>
      <c r="H245" s="2">
        <v>60051001</v>
      </c>
      <c r="I245" s="8">
        <v>2</v>
      </c>
    </row>
    <row r="246" spans="2:9" x14ac:dyDescent="0.25">
      <c r="B246" s="8">
        <f>1000000+INDEX(编号表!$B:$B,MATCH(C246,编号表!$A:$A,0))*1000+INDEX(编号表!$D:$D,MATCH(D246,编号表!$C:$C,0))*100+E246</f>
        <v>1006402</v>
      </c>
      <c r="C246" s="2" t="s">
        <v>185</v>
      </c>
      <c r="D246" s="8" t="s">
        <v>65</v>
      </c>
      <c r="E246" s="8">
        <f t="shared" si="4"/>
        <v>2</v>
      </c>
      <c r="F246" s="2" t="s">
        <v>188</v>
      </c>
      <c r="G246" s="12" t="s">
        <v>62</v>
      </c>
      <c r="H246" s="2">
        <v>60051002</v>
      </c>
      <c r="I246" s="8">
        <v>2</v>
      </c>
    </row>
    <row r="247" spans="2:9" x14ac:dyDescent="0.25">
      <c r="B247" s="8">
        <f>1000000+INDEX(编号表!$B:$B,MATCH(C247,编号表!$A:$A,0))*1000+INDEX(编号表!$D:$D,MATCH(D247,编号表!$C:$C,0))*100+E247</f>
        <v>1006502</v>
      </c>
      <c r="C247" s="2" t="s">
        <v>185</v>
      </c>
      <c r="D247" s="8" t="s">
        <v>67</v>
      </c>
      <c r="E247" s="8">
        <f t="shared" si="4"/>
        <v>2</v>
      </c>
      <c r="F247" s="2" t="s">
        <v>189</v>
      </c>
      <c r="G247" s="12" t="s">
        <v>62</v>
      </c>
      <c r="H247" s="2">
        <v>60051003</v>
      </c>
      <c r="I247" s="8">
        <v>2</v>
      </c>
    </row>
    <row r="248" spans="2:9" x14ac:dyDescent="0.25">
      <c r="B248" s="8">
        <f>1000000+INDEX(编号表!$B:$B,MATCH(C248,编号表!$A:$A,0))*1000+INDEX(编号表!$D:$D,MATCH(D248,编号表!$C:$C,0))*100+E248</f>
        <v>1006602</v>
      </c>
      <c r="C248" s="2" t="s">
        <v>185</v>
      </c>
      <c r="D248" s="8" t="s">
        <v>69</v>
      </c>
      <c r="E248" s="8">
        <f t="shared" si="4"/>
        <v>2</v>
      </c>
      <c r="F248" s="2" t="s">
        <v>190</v>
      </c>
      <c r="G248" s="12" t="s">
        <v>62</v>
      </c>
      <c r="H248" s="2">
        <v>60051004</v>
      </c>
      <c r="I248" s="8">
        <v>2</v>
      </c>
    </row>
    <row r="249" spans="2:9" x14ac:dyDescent="0.25">
      <c r="B249" s="8">
        <f>1000000+INDEX(编号表!$B:$B,MATCH(C249,编号表!$A:$A,0))*1000+INDEX(编号表!$D:$D,MATCH(D249,编号表!$C:$C,0))*100+E249</f>
        <v>1006702</v>
      </c>
      <c r="C249" s="2" t="s">
        <v>185</v>
      </c>
      <c r="D249" s="8" t="s">
        <v>179</v>
      </c>
      <c r="E249" s="8">
        <f t="shared" si="4"/>
        <v>2</v>
      </c>
      <c r="F249" s="2" t="s">
        <v>173</v>
      </c>
      <c r="G249" s="12" t="s">
        <v>62</v>
      </c>
      <c r="H249" s="2">
        <v>60051005</v>
      </c>
      <c r="I249" s="8">
        <v>2</v>
      </c>
    </row>
    <row r="250" spans="2:9" x14ac:dyDescent="0.25">
      <c r="B250" s="8">
        <f>1000000+INDEX(编号表!$B:$B,MATCH(C250,编号表!$A:$A,0))*1000+INDEX(编号表!$D:$D,MATCH(D250,编号表!$C:$C,0))*100+E250</f>
        <v>1006802</v>
      </c>
      <c r="C250" s="2" t="s">
        <v>185</v>
      </c>
      <c r="D250" s="8" t="s">
        <v>191</v>
      </c>
      <c r="E250" s="8">
        <f t="shared" si="4"/>
        <v>2</v>
      </c>
      <c r="F250" s="2" t="s">
        <v>192</v>
      </c>
      <c r="G250" s="12" t="s">
        <v>62</v>
      </c>
      <c r="H250" s="2">
        <v>60051006</v>
      </c>
      <c r="I250" s="8">
        <v>2</v>
      </c>
    </row>
    <row r="251" spans="2:9" x14ac:dyDescent="0.25">
      <c r="B251" s="8">
        <f>1000000+INDEX(编号表!$B:$B,MATCH(C251,编号表!$A:$A,0))*1000+INDEX(编号表!$D:$D,MATCH(D251,编号表!$C:$C,0))*100+E251</f>
        <v>1006203</v>
      </c>
      <c r="C251" s="2" t="s">
        <v>185</v>
      </c>
      <c r="D251" s="8" t="s">
        <v>60</v>
      </c>
      <c r="E251" s="8">
        <f t="shared" si="4"/>
        <v>3</v>
      </c>
      <c r="F251" s="2" t="s">
        <v>186</v>
      </c>
      <c r="G251" s="12" t="s">
        <v>62</v>
      </c>
      <c r="H251" s="2">
        <v>60051000</v>
      </c>
      <c r="I251" s="8">
        <v>3</v>
      </c>
    </row>
    <row r="252" spans="2:9" x14ac:dyDescent="0.25">
      <c r="B252" s="8">
        <f>1000000+INDEX(编号表!$B:$B,MATCH(C252,编号表!$A:$A,0))*1000+INDEX(编号表!$D:$D,MATCH(D252,编号表!$C:$C,0))*100+E252</f>
        <v>1006303</v>
      </c>
      <c r="C252" s="2" t="s">
        <v>185</v>
      </c>
      <c r="D252" s="8" t="s">
        <v>63</v>
      </c>
      <c r="E252" s="8">
        <f t="shared" si="4"/>
        <v>3</v>
      </c>
      <c r="F252" s="2" t="s">
        <v>187</v>
      </c>
      <c r="G252" s="12" t="s">
        <v>62</v>
      </c>
      <c r="H252" s="2">
        <v>60051001</v>
      </c>
      <c r="I252" s="8">
        <v>3</v>
      </c>
    </row>
    <row r="253" spans="2:9" x14ac:dyDescent="0.25">
      <c r="B253" s="8">
        <f>1000000+INDEX(编号表!$B:$B,MATCH(C253,编号表!$A:$A,0))*1000+INDEX(编号表!$D:$D,MATCH(D253,编号表!$C:$C,0))*100+E253</f>
        <v>1006403</v>
      </c>
      <c r="C253" s="2" t="s">
        <v>185</v>
      </c>
      <c r="D253" s="8" t="s">
        <v>65</v>
      </c>
      <c r="E253" s="8">
        <f t="shared" si="4"/>
        <v>3</v>
      </c>
      <c r="F253" s="2" t="s">
        <v>188</v>
      </c>
      <c r="G253" s="12" t="s">
        <v>62</v>
      </c>
      <c r="H253" s="2">
        <v>60051002</v>
      </c>
      <c r="I253" s="8">
        <v>3</v>
      </c>
    </row>
    <row r="254" spans="2:9" x14ac:dyDescent="0.25">
      <c r="B254" s="8">
        <f>1000000+INDEX(编号表!$B:$B,MATCH(C254,编号表!$A:$A,0))*1000+INDEX(编号表!$D:$D,MATCH(D254,编号表!$C:$C,0))*100+E254</f>
        <v>1006503</v>
      </c>
      <c r="C254" s="2" t="s">
        <v>185</v>
      </c>
      <c r="D254" s="8" t="s">
        <v>67</v>
      </c>
      <c r="E254" s="8">
        <f t="shared" si="4"/>
        <v>3</v>
      </c>
      <c r="F254" s="2" t="s">
        <v>189</v>
      </c>
      <c r="G254" s="12" t="s">
        <v>62</v>
      </c>
      <c r="H254" s="2">
        <v>60051003</v>
      </c>
      <c r="I254" s="8">
        <v>3</v>
      </c>
    </row>
    <row r="255" spans="2:9" x14ac:dyDescent="0.25">
      <c r="B255" s="8">
        <f>1000000+INDEX(编号表!$B:$B,MATCH(C255,编号表!$A:$A,0))*1000+INDEX(编号表!$D:$D,MATCH(D255,编号表!$C:$C,0))*100+E255</f>
        <v>1006603</v>
      </c>
      <c r="C255" s="2" t="s">
        <v>185</v>
      </c>
      <c r="D255" s="8" t="s">
        <v>69</v>
      </c>
      <c r="E255" s="8">
        <f t="shared" si="4"/>
        <v>3</v>
      </c>
      <c r="F255" s="2" t="s">
        <v>190</v>
      </c>
      <c r="G255" s="12" t="s">
        <v>62</v>
      </c>
      <c r="H255" s="2">
        <v>60051004</v>
      </c>
      <c r="I255" s="8">
        <v>3</v>
      </c>
    </row>
    <row r="256" spans="2:9" x14ac:dyDescent="0.25">
      <c r="B256" s="8">
        <f>1000000+INDEX(编号表!$B:$B,MATCH(C256,编号表!$A:$A,0))*1000+INDEX(编号表!$D:$D,MATCH(D256,编号表!$C:$C,0))*100+E256</f>
        <v>1006703</v>
      </c>
      <c r="C256" s="2" t="s">
        <v>185</v>
      </c>
      <c r="D256" s="8" t="s">
        <v>179</v>
      </c>
      <c r="E256" s="8">
        <f t="shared" si="4"/>
        <v>3</v>
      </c>
      <c r="F256" s="2" t="s">
        <v>173</v>
      </c>
      <c r="G256" s="12" t="s">
        <v>62</v>
      </c>
      <c r="H256" s="2">
        <v>60051005</v>
      </c>
      <c r="I256" s="8">
        <v>3</v>
      </c>
    </row>
    <row r="257" spans="2:9" x14ac:dyDescent="0.25">
      <c r="B257" s="8">
        <f>1000000+INDEX(编号表!$B:$B,MATCH(C257,编号表!$A:$A,0))*1000+INDEX(编号表!$D:$D,MATCH(D257,编号表!$C:$C,0))*100+E257</f>
        <v>1006803</v>
      </c>
      <c r="C257" s="2" t="s">
        <v>185</v>
      </c>
      <c r="D257" s="8" t="s">
        <v>191</v>
      </c>
      <c r="E257" s="8">
        <f t="shared" si="4"/>
        <v>3</v>
      </c>
      <c r="F257" s="2" t="s">
        <v>192</v>
      </c>
      <c r="G257" s="12" t="s">
        <v>62</v>
      </c>
      <c r="H257" s="2">
        <v>60051006</v>
      </c>
      <c r="I257" s="8">
        <v>3</v>
      </c>
    </row>
    <row r="258" spans="2:9" x14ac:dyDescent="0.25">
      <c r="B258" s="8">
        <f>1000000+INDEX(编号表!$B:$B,MATCH(C258,编号表!$A:$A,0))*1000+INDEX(编号表!$D:$D,MATCH(D258,编号表!$C:$C,0))*100+E258</f>
        <v>1006205</v>
      </c>
      <c r="C258" s="2" t="s">
        <v>185</v>
      </c>
      <c r="D258" s="8" t="s">
        <v>60</v>
      </c>
      <c r="E258" s="8">
        <f t="shared" si="4"/>
        <v>5</v>
      </c>
      <c r="F258" s="2" t="s">
        <v>186</v>
      </c>
      <c r="G258" s="12" t="s">
        <v>62</v>
      </c>
      <c r="H258" s="2">
        <v>60051000</v>
      </c>
      <c r="I258" s="8">
        <v>5</v>
      </c>
    </row>
    <row r="259" spans="2:9" x14ac:dyDescent="0.25">
      <c r="B259" s="8">
        <f>1000000+INDEX(编号表!$B:$B,MATCH(C259,编号表!$A:$A,0))*1000+INDEX(编号表!$D:$D,MATCH(D259,编号表!$C:$C,0))*100+E259</f>
        <v>1006305</v>
      </c>
      <c r="C259" s="2" t="s">
        <v>185</v>
      </c>
      <c r="D259" s="8" t="s">
        <v>63</v>
      </c>
      <c r="E259" s="8">
        <f t="shared" si="4"/>
        <v>5</v>
      </c>
      <c r="F259" s="2" t="s">
        <v>187</v>
      </c>
      <c r="G259" s="12" t="s">
        <v>62</v>
      </c>
      <c r="H259" s="2">
        <v>60051001</v>
      </c>
      <c r="I259" s="8">
        <v>5</v>
      </c>
    </row>
    <row r="260" spans="2:9" x14ac:dyDescent="0.25">
      <c r="B260" s="8">
        <f>1000000+INDEX(编号表!$B:$B,MATCH(C260,编号表!$A:$A,0))*1000+INDEX(编号表!$D:$D,MATCH(D260,编号表!$C:$C,0))*100+E260</f>
        <v>1006405</v>
      </c>
      <c r="C260" s="2" t="s">
        <v>185</v>
      </c>
      <c r="D260" s="8" t="s">
        <v>65</v>
      </c>
      <c r="E260" s="8">
        <f t="shared" si="4"/>
        <v>5</v>
      </c>
      <c r="F260" s="2" t="s">
        <v>188</v>
      </c>
      <c r="G260" s="12" t="s">
        <v>62</v>
      </c>
      <c r="H260" s="2">
        <v>60051002</v>
      </c>
      <c r="I260" s="8">
        <v>5</v>
      </c>
    </row>
    <row r="261" spans="2:9" x14ac:dyDescent="0.25">
      <c r="B261" s="8">
        <f>1000000+INDEX(编号表!$B:$B,MATCH(C261,编号表!$A:$A,0))*1000+INDEX(编号表!$D:$D,MATCH(D261,编号表!$C:$C,0))*100+E261</f>
        <v>1006505</v>
      </c>
      <c r="C261" s="2" t="s">
        <v>185</v>
      </c>
      <c r="D261" s="8" t="s">
        <v>67</v>
      </c>
      <c r="E261" s="8">
        <f t="shared" si="4"/>
        <v>5</v>
      </c>
      <c r="F261" s="2" t="s">
        <v>189</v>
      </c>
      <c r="G261" s="12" t="s">
        <v>62</v>
      </c>
      <c r="H261" s="2">
        <v>60051003</v>
      </c>
      <c r="I261" s="8">
        <v>5</v>
      </c>
    </row>
    <row r="262" spans="2:9" x14ac:dyDescent="0.25">
      <c r="B262" s="8">
        <f>1000000+INDEX(编号表!$B:$B,MATCH(C262,编号表!$A:$A,0))*1000+INDEX(编号表!$D:$D,MATCH(D262,编号表!$C:$C,0))*100+E262</f>
        <v>1006605</v>
      </c>
      <c r="C262" s="2" t="s">
        <v>185</v>
      </c>
      <c r="D262" s="8" t="s">
        <v>69</v>
      </c>
      <c r="E262" s="8">
        <f t="shared" si="4"/>
        <v>5</v>
      </c>
      <c r="F262" s="2" t="s">
        <v>190</v>
      </c>
      <c r="G262" s="12" t="s">
        <v>62</v>
      </c>
      <c r="H262" s="2">
        <v>60051004</v>
      </c>
      <c r="I262" s="8">
        <v>5</v>
      </c>
    </row>
    <row r="263" spans="2:9" x14ac:dyDescent="0.25">
      <c r="B263" s="8">
        <f>1000000+INDEX(编号表!$B:$B,MATCH(C263,编号表!$A:$A,0))*1000+INDEX(编号表!$D:$D,MATCH(D263,编号表!$C:$C,0))*100+E263</f>
        <v>1006705</v>
      </c>
      <c r="C263" s="2" t="s">
        <v>185</v>
      </c>
      <c r="D263" s="8" t="s">
        <v>179</v>
      </c>
      <c r="E263" s="8">
        <f t="shared" si="4"/>
        <v>5</v>
      </c>
      <c r="F263" s="2" t="s">
        <v>173</v>
      </c>
      <c r="G263" s="12" t="s">
        <v>62</v>
      </c>
      <c r="H263" s="2">
        <v>60051005</v>
      </c>
      <c r="I263" s="8">
        <v>5</v>
      </c>
    </row>
    <row r="264" spans="2:9" x14ac:dyDescent="0.25">
      <c r="B264" s="8">
        <f>1000000+INDEX(编号表!$B:$B,MATCH(C264,编号表!$A:$A,0))*1000+INDEX(编号表!$D:$D,MATCH(D264,编号表!$C:$C,0))*100+E264</f>
        <v>1006805</v>
      </c>
      <c r="C264" s="2" t="s">
        <v>185</v>
      </c>
      <c r="D264" s="8" t="s">
        <v>191</v>
      </c>
      <c r="E264" s="8">
        <f t="shared" si="4"/>
        <v>5</v>
      </c>
      <c r="F264" s="2" t="s">
        <v>192</v>
      </c>
      <c r="G264" s="12" t="s">
        <v>62</v>
      </c>
      <c r="H264" s="2">
        <v>60051006</v>
      </c>
      <c r="I264" s="8">
        <v>5</v>
      </c>
    </row>
    <row r="265" spans="2:9" x14ac:dyDescent="0.25">
      <c r="B265" s="8">
        <f>1000000+INDEX(编号表!$B:$B,MATCH(C265,编号表!$A:$A,0))*1000+INDEX(编号表!$D:$D,MATCH(D265,编号表!$C:$C,0))*100+E265</f>
        <v>1006210</v>
      </c>
      <c r="C265" s="2" t="s">
        <v>185</v>
      </c>
      <c r="D265" s="8" t="s">
        <v>60</v>
      </c>
      <c r="E265" s="8">
        <f t="shared" si="4"/>
        <v>10</v>
      </c>
      <c r="F265" s="2" t="s">
        <v>186</v>
      </c>
      <c r="G265" s="12" t="s">
        <v>62</v>
      </c>
      <c r="H265" s="2">
        <v>60051000</v>
      </c>
      <c r="I265" s="8">
        <v>10</v>
      </c>
    </row>
    <row r="266" spans="2:9" x14ac:dyDescent="0.25">
      <c r="B266" s="8">
        <f>1000000+INDEX(编号表!$B:$B,MATCH(C266,编号表!$A:$A,0))*1000+INDEX(编号表!$D:$D,MATCH(D266,编号表!$C:$C,0))*100+E266</f>
        <v>1006310</v>
      </c>
      <c r="C266" s="2" t="s">
        <v>185</v>
      </c>
      <c r="D266" s="8" t="s">
        <v>63</v>
      </c>
      <c r="E266" s="8">
        <f t="shared" si="4"/>
        <v>10</v>
      </c>
      <c r="F266" s="2" t="s">
        <v>187</v>
      </c>
      <c r="G266" s="12" t="s">
        <v>62</v>
      </c>
      <c r="H266" s="2">
        <v>60051001</v>
      </c>
      <c r="I266" s="8">
        <v>10</v>
      </c>
    </row>
    <row r="267" spans="2:9" x14ac:dyDescent="0.25">
      <c r="B267" s="8">
        <f>1000000+INDEX(编号表!$B:$B,MATCH(C267,编号表!$A:$A,0))*1000+INDEX(编号表!$D:$D,MATCH(D267,编号表!$C:$C,0))*100+E267</f>
        <v>1006410</v>
      </c>
      <c r="C267" s="2" t="s">
        <v>185</v>
      </c>
      <c r="D267" s="8" t="s">
        <v>65</v>
      </c>
      <c r="E267" s="8">
        <f t="shared" si="4"/>
        <v>10</v>
      </c>
      <c r="F267" s="2" t="s">
        <v>188</v>
      </c>
      <c r="G267" s="12" t="s">
        <v>62</v>
      </c>
      <c r="H267" s="2">
        <v>60051002</v>
      </c>
      <c r="I267" s="8">
        <v>10</v>
      </c>
    </row>
    <row r="268" spans="2:9" x14ac:dyDescent="0.25">
      <c r="B268" s="8">
        <f>1000000+INDEX(编号表!$B:$B,MATCH(C268,编号表!$A:$A,0))*1000+INDEX(编号表!$D:$D,MATCH(D268,编号表!$C:$C,0))*100+E268</f>
        <v>1006510</v>
      </c>
      <c r="C268" s="2" t="s">
        <v>185</v>
      </c>
      <c r="D268" s="8" t="s">
        <v>67</v>
      </c>
      <c r="E268" s="8">
        <f t="shared" si="4"/>
        <v>10</v>
      </c>
      <c r="F268" s="2" t="s">
        <v>189</v>
      </c>
      <c r="G268" s="12" t="s">
        <v>62</v>
      </c>
      <c r="H268" s="2">
        <v>60051003</v>
      </c>
      <c r="I268" s="8">
        <v>10</v>
      </c>
    </row>
    <row r="269" spans="2:9" x14ac:dyDescent="0.25">
      <c r="B269" s="8">
        <f>1000000+INDEX(编号表!$B:$B,MATCH(C269,编号表!$A:$A,0))*1000+INDEX(编号表!$D:$D,MATCH(D269,编号表!$C:$C,0))*100+E269</f>
        <v>1006610</v>
      </c>
      <c r="C269" s="2" t="s">
        <v>185</v>
      </c>
      <c r="D269" s="8" t="s">
        <v>69</v>
      </c>
      <c r="E269" s="8">
        <f t="shared" si="4"/>
        <v>10</v>
      </c>
      <c r="F269" s="2" t="s">
        <v>190</v>
      </c>
      <c r="G269" s="12" t="s">
        <v>62</v>
      </c>
      <c r="H269" s="2">
        <v>60051004</v>
      </c>
      <c r="I269" s="8">
        <v>10</v>
      </c>
    </row>
    <row r="270" spans="2:9" x14ac:dyDescent="0.25">
      <c r="B270" s="8">
        <f>1000000+INDEX(编号表!$B:$B,MATCH(C270,编号表!$A:$A,0))*1000+INDEX(编号表!$D:$D,MATCH(D270,编号表!$C:$C,0))*100+E270</f>
        <v>1006710</v>
      </c>
      <c r="C270" s="2" t="s">
        <v>185</v>
      </c>
      <c r="D270" s="8" t="s">
        <v>179</v>
      </c>
      <c r="E270" s="8">
        <f t="shared" si="4"/>
        <v>10</v>
      </c>
      <c r="F270" s="2" t="s">
        <v>173</v>
      </c>
      <c r="G270" s="12" t="s">
        <v>62</v>
      </c>
      <c r="H270" s="2">
        <v>60051005</v>
      </c>
      <c r="I270" s="8">
        <v>10</v>
      </c>
    </row>
    <row r="271" spans="2:9" x14ac:dyDescent="0.25">
      <c r="B271" s="8">
        <f>1000000+INDEX(编号表!$B:$B,MATCH(C271,编号表!$A:$A,0))*1000+INDEX(编号表!$D:$D,MATCH(D271,编号表!$C:$C,0))*100+E271</f>
        <v>1006810</v>
      </c>
      <c r="C271" s="2" t="s">
        <v>185</v>
      </c>
      <c r="D271" s="8" t="s">
        <v>191</v>
      </c>
      <c r="E271" s="8">
        <f t="shared" si="4"/>
        <v>10</v>
      </c>
      <c r="F271" s="2" t="s">
        <v>192</v>
      </c>
      <c r="G271" s="12" t="s">
        <v>62</v>
      </c>
      <c r="H271" s="2">
        <v>60051006</v>
      </c>
      <c r="I271" s="8">
        <v>10</v>
      </c>
    </row>
    <row r="272" spans="2:9" x14ac:dyDescent="0.25">
      <c r="B272" s="8">
        <f>1000000+INDEX(编号表!$B:$B,MATCH(C272,编号表!$A:$A,0))*1000+INDEX(编号表!$D:$D,MATCH(D272,编号表!$C:$C,0))*100+E272</f>
        <v>1006215</v>
      </c>
      <c r="C272" s="2" t="s">
        <v>185</v>
      </c>
      <c r="D272" s="8" t="s">
        <v>60</v>
      </c>
      <c r="E272" s="8">
        <f t="shared" si="4"/>
        <v>15</v>
      </c>
      <c r="F272" s="2" t="s">
        <v>186</v>
      </c>
      <c r="G272" s="12" t="s">
        <v>62</v>
      </c>
      <c r="H272" s="2">
        <v>60051000</v>
      </c>
      <c r="I272" s="8">
        <v>15</v>
      </c>
    </row>
    <row r="273" spans="2:9" x14ac:dyDescent="0.25">
      <c r="B273" s="8">
        <f>1000000+INDEX(编号表!$B:$B,MATCH(C273,编号表!$A:$A,0))*1000+INDEX(编号表!$D:$D,MATCH(D273,编号表!$C:$C,0))*100+E273</f>
        <v>1006315</v>
      </c>
      <c r="C273" s="2" t="s">
        <v>185</v>
      </c>
      <c r="D273" s="8" t="s">
        <v>63</v>
      </c>
      <c r="E273" s="8">
        <f t="shared" si="4"/>
        <v>15</v>
      </c>
      <c r="F273" s="2" t="s">
        <v>187</v>
      </c>
      <c r="G273" s="12" t="s">
        <v>62</v>
      </c>
      <c r="H273" s="2">
        <v>60051001</v>
      </c>
      <c r="I273" s="8">
        <v>15</v>
      </c>
    </row>
    <row r="274" spans="2:9" x14ac:dyDescent="0.25">
      <c r="B274" s="8">
        <f>1000000+INDEX(编号表!$B:$B,MATCH(C274,编号表!$A:$A,0))*1000+INDEX(编号表!$D:$D,MATCH(D274,编号表!$C:$C,0))*100+E274</f>
        <v>1006415</v>
      </c>
      <c r="C274" s="2" t="s">
        <v>185</v>
      </c>
      <c r="D274" s="8" t="s">
        <v>65</v>
      </c>
      <c r="E274" s="8">
        <f t="shared" si="4"/>
        <v>15</v>
      </c>
      <c r="F274" s="2" t="s">
        <v>188</v>
      </c>
      <c r="G274" s="12" t="s">
        <v>62</v>
      </c>
      <c r="H274" s="2">
        <v>60051002</v>
      </c>
      <c r="I274" s="8">
        <v>15</v>
      </c>
    </row>
    <row r="275" spans="2:9" x14ac:dyDescent="0.25">
      <c r="B275" s="8">
        <f>1000000+INDEX(编号表!$B:$B,MATCH(C275,编号表!$A:$A,0))*1000+INDEX(编号表!$D:$D,MATCH(D275,编号表!$C:$C,0))*100+E275</f>
        <v>1006515</v>
      </c>
      <c r="C275" s="2" t="s">
        <v>185</v>
      </c>
      <c r="D275" s="8" t="s">
        <v>67</v>
      </c>
      <c r="E275" s="8">
        <f t="shared" si="4"/>
        <v>15</v>
      </c>
      <c r="F275" s="2" t="s">
        <v>189</v>
      </c>
      <c r="G275" s="12" t="s">
        <v>62</v>
      </c>
      <c r="H275" s="2">
        <v>60051003</v>
      </c>
      <c r="I275" s="8">
        <v>15</v>
      </c>
    </row>
    <row r="276" spans="2:9" x14ac:dyDescent="0.25">
      <c r="B276" s="8">
        <f>1000000+INDEX(编号表!$B:$B,MATCH(C276,编号表!$A:$A,0))*1000+INDEX(编号表!$D:$D,MATCH(D276,编号表!$C:$C,0))*100+E276</f>
        <v>1006615</v>
      </c>
      <c r="C276" s="2" t="s">
        <v>185</v>
      </c>
      <c r="D276" s="8" t="s">
        <v>69</v>
      </c>
      <c r="E276" s="8">
        <f t="shared" si="4"/>
        <v>15</v>
      </c>
      <c r="F276" s="2" t="s">
        <v>190</v>
      </c>
      <c r="G276" s="12" t="s">
        <v>62</v>
      </c>
      <c r="H276" s="2">
        <v>60051004</v>
      </c>
      <c r="I276" s="8">
        <v>15</v>
      </c>
    </row>
    <row r="277" spans="2:9" x14ac:dyDescent="0.25">
      <c r="B277" s="8">
        <f>1000000+INDEX(编号表!$B:$B,MATCH(C277,编号表!$A:$A,0))*1000+INDEX(编号表!$D:$D,MATCH(D277,编号表!$C:$C,0))*100+E277</f>
        <v>1006715</v>
      </c>
      <c r="C277" s="2" t="s">
        <v>185</v>
      </c>
      <c r="D277" s="8" t="s">
        <v>179</v>
      </c>
      <c r="E277" s="8">
        <f t="shared" si="4"/>
        <v>15</v>
      </c>
      <c r="F277" s="2" t="s">
        <v>173</v>
      </c>
      <c r="G277" s="12" t="s">
        <v>62</v>
      </c>
      <c r="H277" s="2">
        <v>60051005</v>
      </c>
      <c r="I277" s="8">
        <v>15</v>
      </c>
    </row>
    <row r="278" spans="2:9" x14ac:dyDescent="0.25">
      <c r="B278" s="8">
        <f>1000000+INDEX(编号表!$B:$B,MATCH(C278,编号表!$A:$A,0))*1000+INDEX(编号表!$D:$D,MATCH(D278,编号表!$C:$C,0))*100+E278</f>
        <v>1006815</v>
      </c>
      <c r="C278" s="2" t="s">
        <v>185</v>
      </c>
      <c r="D278" s="8" t="s">
        <v>191</v>
      </c>
      <c r="E278" s="8">
        <f t="shared" si="4"/>
        <v>15</v>
      </c>
      <c r="F278" s="2" t="s">
        <v>192</v>
      </c>
      <c r="G278" s="12" t="s">
        <v>62</v>
      </c>
      <c r="H278" s="2">
        <v>60051006</v>
      </c>
      <c r="I278" s="8">
        <v>15</v>
      </c>
    </row>
    <row r="279" spans="2:9" x14ac:dyDescent="0.25">
      <c r="B279" s="8">
        <f>1000000+INDEX(编号表!$B:$B,MATCH(C279,编号表!$A:$A,0))*1000+INDEX(编号表!$D:$D,MATCH(D279,编号表!$C:$C,0))*100+E279</f>
        <v>1007001</v>
      </c>
      <c r="C279" s="2" t="s">
        <v>193</v>
      </c>
      <c r="D279" s="8" t="s">
        <v>55</v>
      </c>
      <c r="E279" s="8">
        <v>1</v>
      </c>
      <c r="F279" s="11" t="s">
        <v>56</v>
      </c>
      <c r="G279" s="12" t="s">
        <v>57</v>
      </c>
      <c r="H279" s="8">
        <v>60064000</v>
      </c>
      <c r="I279" s="8">
        <v>1</v>
      </c>
    </row>
    <row r="280" spans="2:9" x14ac:dyDescent="0.25">
      <c r="B280" s="8">
        <f>1000000+INDEX(编号表!$B:$B,MATCH(C280,编号表!$A:$A,0))*1000+INDEX(编号表!$D:$D,MATCH(D280,编号表!$C:$C,0))*100+E280</f>
        <v>1007002</v>
      </c>
      <c r="C280" s="2" t="s">
        <v>193</v>
      </c>
      <c r="D280" s="8" t="s">
        <v>55</v>
      </c>
      <c r="E280" s="8">
        <v>2</v>
      </c>
      <c r="F280" s="11" t="s">
        <v>56</v>
      </c>
      <c r="G280" s="12" t="s">
        <v>57</v>
      </c>
      <c r="H280" s="8">
        <v>60064001</v>
      </c>
      <c r="I280" s="8">
        <v>1</v>
      </c>
    </row>
    <row r="281" spans="2:9" x14ac:dyDescent="0.25">
      <c r="B281" s="8">
        <f>1000000+INDEX(编号表!$B:$B,MATCH(C281,编号表!$A:$A,0))*1000+INDEX(编号表!$D:$D,MATCH(D281,编号表!$C:$C,0))*100+E281</f>
        <v>1007003</v>
      </c>
      <c r="C281" s="2" t="s">
        <v>193</v>
      </c>
      <c r="D281" s="8" t="s">
        <v>55</v>
      </c>
      <c r="E281" s="8">
        <v>3</v>
      </c>
      <c r="F281" s="11" t="s">
        <v>56</v>
      </c>
      <c r="G281" s="12" t="s">
        <v>57</v>
      </c>
      <c r="H281" s="8">
        <v>60064002</v>
      </c>
      <c r="I281" s="8">
        <v>1</v>
      </c>
    </row>
    <row r="282" spans="2:9" x14ac:dyDescent="0.25">
      <c r="B282" s="8">
        <f>1000000+INDEX(编号表!$B:$B,MATCH(C282,编号表!$A:$A,0))*1000+INDEX(编号表!$D:$D,MATCH(D282,编号表!$C:$C,0))*100+E282</f>
        <v>1007101</v>
      </c>
      <c r="C282" s="2" t="s">
        <v>193</v>
      </c>
      <c r="D282" s="8" t="s">
        <v>58</v>
      </c>
      <c r="E282" s="8">
        <v>1</v>
      </c>
      <c r="F282" s="11" t="s">
        <v>59</v>
      </c>
      <c r="G282" s="12" t="s">
        <v>57</v>
      </c>
      <c r="H282" s="2">
        <v>60062000</v>
      </c>
      <c r="I282" s="8">
        <v>1</v>
      </c>
    </row>
    <row r="283" spans="2:9" x14ac:dyDescent="0.25">
      <c r="B283" s="8">
        <f>1000000+INDEX(编号表!$B:$B,MATCH(C283,编号表!$A:$A,0))*1000+INDEX(编号表!$D:$D,MATCH(D283,编号表!$C:$C,0))*100+E283</f>
        <v>1007201</v>
      </c>
      <c r="C283" s="2" t="s">
        <v>193</v>
      </c>
      <c r="D283" s="8" t="s">
        <v>60</v>
      </c>
      <c r="E283" s="8">
        <f t="shared" ref="E283:E297" si="5">I283+K283+M283+O283+Q283+S283+U283+W283+Y283+AA283</f>
        <v>1</v>
      </c>
      <c r="F283" s="8" t="s">
        <v>194</v>
      </c>
      <c r="G283" s="12" t="s">
        <v>62</v>
      </c>
      <c r="H283" s="8">
        <v>60061000</v>
      </c>
      <c r="I283" s="8">
        <v>1</v>
      </c>
    </row>
    <row r="284" spans="2:9" x14ac:dyDescent="0.25">
      <c r="B284" s="8">
        <f>1000000+INDEX(编号表!$B:$B,MATCH(C284,编号表!$A:$A,0))*1000+INDEX(编号表!$D:$D,MATCH(D284,编号表!$C:$C,0))*100+E284</f>
        <v>1007301</v>
      </c>
      <c r="C284" s="2" t="s">
        <v>193</v>
      </c>
      <c r="D284" s="8" t="s">
        <v>63</v>
      </c>
      <c r="E284" s="8">
        <f t="shared" si="5"/>
        <v>1</v>
      </c>
      <c r="F284" s="8" t="s">
        <v>195</v>
      </c>
      <c r="G284" s="12" t="s">
        <v>62</v>
      </c>
      <c r="H284" s="8">
        <v>60061001</v>
      </c>
      <c r="I284" s="8">
        <v>1</v>
      </c>
    </row>
    <row r="285" spans="2:9" x14ac:dyDescent="0.25">
      <c r="B285" s="8">
        <f>1000000+INDEX(编号表!$B:$B,MATCH(C285,编号表!$A:$A,0))*1000+INDEX(编号表!$D:$D,MATCH(D285,编号表!$C:$C,0))*100+E285</f>
        <v>1007401</v>
      </c>
      <c r="C285" s="2" t="s">
        <v>193</v>
      </c>
      <c r="D285" s="8" t="s">
        <v>65</v>
      </c>
      <c r="E285" s="8">
        <f t="shared" si="5"/>
        <v>1</v>
      </c>
      <c r="F285" s="8" t="s">
        <v>196</v>
      </c>
      <c r="G285" s="12" t="s">
        <v>62</v>
      </c>
      <c r="H285" s="8">
        <v>60061002</v>
      </c>
      <c r="I285" s="8">
        <v>1</v>
      </c>
    </row>
    <row r="286" spans="2:9" x14ac:dyDescent="0.25">
      <c r="B286" s="8">
        <f>1000000+INDEX(编号表!$B:$B,MATCH(C286,编号表!$A:$A,0))*1000+INDEX(编号表!$D:$D,MATCH(D286,编号表!$C:$C,0))*100+E286</f>
        <v>1007202</v>
      </c>
      <c r="C286" s="2" t="s">
        <v>193</v>
      </c>
      <c r="D286" s="8" t="s">
        <v>60</v>
      </c>
      <c r="E286" s="8">
        <f t="shared" si="5"/>
        <v>2</v>
      </c>
      <c r="F286" s="8" t="s">
        <v>194</v>
      </c>
      <c r="G286" s="12" t="s">
        <v>62</v>
      </c>
      <c r="H286" s="8">
        <v>60061000</v>
      </c>
      <c r="I286" s="8">
        <v>2</v>
      </c>
    </row>
    <row r="287" spans="2:9" x14ac:dyDescent="0.25">
      <c r="B287" s="8">
        <f>1000000+INDEX(编号表!$B:$B,MATCH(C287,编号表!$A:$A,0))*1000+INDEX(编号表!$D:$D,MATCH(D287,编号表!$C:$C,0))*100+E287</f>
        <v>1007302</v>
      </c>
      <c r="C287" s="2" t="s">
        <v>193</v>
      </c>
      <c r="D287" s="8" t="s">
        <v>63</v>
      </c>
      <c r="E287" s="8">
        <f t="shared" si="5"/>
        <v>2</v>
      </c>
      <c r="F287" s="8" t="s">
        <v>195</v>
      </c>
      <c r="G287" s="12" t="s">
        <v>62</v>
      </c>
      <c r="H287" s="8">
        <v>60061001</v>
      </c>
      <c r="I287" s="8">
        <v>2</v>
      </c>
    </row>
    <row r="288" spans="2:9" x14ac:dyDescent="0.25">
      <c r="B288" s="8">
        <f>1000000+INDEX(编号表!$B:$B,MATCH(C288,编号表!$A:$A,0))*1000+INDEX(编号表!$D:$D,MATCH(D288,编号表!$C:$C,0))*100+E288</f>
        <v>1007402</v>
      </c>
      <c r="C288" s="2" t="s">
        <v>193</v>
      </c>
      <c r="D288" s="8" t="s">
        <v>65</v>
      </c>
      <c r="E288" s="8">
        <f t="shared" si="5"/>
        <v>2</v>
      </c>
      <c r="F288" s="8" t="s">
        <v>196</v>
      </c>
      <c r="G288" s="12" t="s">
        <v>62</v>
      </c>
      <c r="H288" s="8">
        <v>60061002</v>
      </c>
      <c r="I288" s="8">
        <v>2</v>
      </c>
    </row>
    <row r="289" spans="2:9" x14ac:dyDescent="0.25">
      <c r="B289" s="8">
        <f>1000000+INDEX(编号表!$B:$B,MATCH(C289,编号表!$A:$A,0))*1000+INDEX(编号表!$D:$D,MATCH(D289,编号表!$C:$C,0))*100+E289</f>
        <v>1007203</v>
      </c>
      <c r="C289" s="2" t="s">
        <v>193</v>
      </c>
      <c r="D289" s="8" t="s">
        <v>60</v>
      </c>
      <c r="E289" s="8">
        <f t="shared" si="5"/>
        <v>3</v>
      </c>
      <c r="F289" s="8" t="s">
        <v>194</v>
      </c>
      <c r="G289" s="12" t="s">
        <v>62</v>
      </c>
      <c r="H289" s="8">
        <v>60061000</v>
      </c>
      <c r="I289" s="8">
        <v>3</v>
      </c>
    </row>
    <row r="290" spans="2:9" x14ac:dyDescent="0.25">
      <c r="B290" s="8">
        <f>1000000+INDEX(编号表!$B:$B,MATCH(C290,编号表!$A:$A,0))*1000+INDEX(编号表!$D:$D,MATCH(D290,编号表!$C:$C,0))*100+E290</f>
        <v>1007303</v>
      </c>
      <c r="C290" s="2" t="s">
        <v>193</v>
      </c>
      <c r="D290" s="8" t="s">
        <v>63</v>
      </c>
      <c r="E290" s="8">
        <f t="shared" si="5"/>
        <v>3</v>
      </c>
      <c r="F290" s="8" t="s">
        <v>195</v>
      </c>
      <c r="G290" s="12" t="s">
        <v>62</v>
      </c>
      <c r="H290" s="8">
        <v>60061001</v>
      </c>
      <c r="I290" s="8">
        <v>3</v>
      </c>
    </row>
    <row r="291" spans="2:9" x14ac:dyDescent="0.25">
      <c r="B291" s="8">
        <f>1000000+INDEX(编号表!$B:$B,MATCH(C291,编号表!$A:$A,0))*1000+INDEX(编号表!$D:$D,MATCH(D291,编号表!$C:$C,0))*100+E291</f>
        <v>1007403</v>
      </c>
      <c r="C291" s="2" t="s">
        <v>193</v>
      </c>
      <c r="D291" s="8" t="s">
        <v>65</v>
      </c>
      <c r="E291" s="8">
        <f t="shared" si="5"/>
        <v>3</v>
      </c>
      <c r="F291" s="8" t="s">
        <v>196</v>
      </c>
      <c r="G291" s="12" t="s">
        <v>62</v>
      </c>
      <c r="H291" s="8">
        <v>60061002</v>
      </c>
      <c r="I291" s="8">
        <v>3</v>
      </c>
    </row>
    <row r="292" spans="2:9" x14ac:dyDescent="0.25">
      <c r="B292" s="8">
        <f>1000000+INDEX(编号表!$B:$B,MATCH(C292,编号表!$A:$A,0))*1000+INDEX(编号表!$D:$D,MATCH(D292,编号表!$C:$C,0))*100+E292</f>
        <v>1007205</v>
      </c>
      <c r="C292" s="2" t="s">
        <v>193</v>
      </c>
      <c r="D292" s="8" t="s">
        <v>60</v>
      </c>
      <c r="E292" s="8">
        <f t="shared" si="5"/>
        <v>5</v>
      </c>
      <c r="F292" s="8" t="s">
        <v>194</v>
      </c>
      <c r="G292" s="12" t="s">
        <v>62</v>
      </c>
      <c r="H292" s="8">
        <v>60061000</v>
      </c>
      <c r="I292" s="8">
        <v>5</v>
      </c>
    </row>
    <row r="293" spans="2:9" x14ac:dyDescent="0.25">
      <c r="B293" s="8">
        <f>1000000+INDEX(编号表!$B:$B,MATCH(C293,编号表!$A:$A,0))*1000+INDEX(编号表!$D:$D,MATCH(D293,编号表!$C:$C,0))*100+E293</f>
        <v>1007305</v>
      </c>
      <c r="C293" s="2" t="s">
        <v>193</v>
      </c>
      <c r="D293" s="8" t="s">
        <v>63</v>
      </c>
      <c r="E293" s="8">
        <f t="shared" si="5"/>
        <v>5</v>
      </c>
      <c r="F293" s="8" t="s">
        <v>195</v>
      </c>
      <c r="G293" s="12" t="s">
        <v>62</v>
      </c>
      <c r="H293" s="8">
        <v>60061001</v>
      </c>
      <c r="I293" s="8">
        <v>5</v>
      </c>
    </row>
    <row r="294" spans="2:9" x14ac:dyDescent="0.25">
      <c r="B294" s="8">
        <f>1000000+INDEX(编号表!$B:$B,MATCH(C294,编号表!$A:$A,0))*1000+INDEX(编号表!$D:$D,MATCH(D294,编号表!$C:$C,0))*100+E294</f>
        <v>1007405</v>
      </c>
      <c r="C294" s="2" t="s">
        <v>193</v>
      </c>
      <c r="D294" s="8" t="s">
        <v>65</v>
      </c>
      <c r="E294" s="8">
        <f t="shared" si="5"/>
        <v>5</v>
      </c>
      <c r="F294" s="8" t="s">
        <v>196</v>
      </c>
      <c r="G294" s="12" t="s">
        <v>62</v>
      </c>
      <c r="H294" s="8">
        <v>60061002</v>
      </c>
      <c r="I294" s="8">
        <v>5</v>
      </c>
    </row>
    <row r="295" spans="2:9" x14ac:dyDescent="0.25">
      <c r="B295" s="8">
        <f>1000000+INDEX(编号表!$B:$B,MATCH(C295,编号表!$A:$A,0))*1000+INDEX(编号表!$D:$D,MATCH(D295,编号表!$C:$C,0))*100+E295</f>
        <v>1007210</v>
      </c>
      <c r="C295" s="2" t="s">
        <v>193</v>
      </c>
      <c r="D295" s="8" t="s">
        <v>60</v>
      </c>
      <c r="E295" s="8">
        <f t="shared" si="5"/>
        <v>10</v>
      </c>
      <c r="F295" s="8" t="s">
        <v>194</v>
      </c>
      <c r="G295" s="12" t="s">
        <v>62</v>
      </c>
      <c r="H295" s="8">
        <v>60061000</v>
      </c>
      <c r="I295" s="8">
        <v>10</v>
      </c>
    </row>
    <row r="296" spans="2:9" x14ac:dyDescent="0.25">
      <c r="B296" s="8">
        <f>1000000+INDEX(编号表!$B:$B,MATCH(C296,编号表!$A:$A,0))*1000+INDEX(编号表!$D:$D,MATCH(D296,编号表!$C:$C,0))*100+E296</f>
        <v>1007310</v>
      </c>
      <c r="C296" s="2" t="s">
        <v>193</v>
      </c>
      <c r="D296" s="8" t="s">
        <v>63</v>
      </c>
      <c r="E296" s="8">
        <f t="shared" si="5"/>
        <v>10</v>
      </c>
      <c r="F296" s="8" t="s">
        <v>195</v>
      </c>
      <c r="G296" s="12" t="s">
        <v>62</v>
      </c>
      <c r="H296" s="8">
        <v>60061001</v>
      </c>
      <c r="I296" s="8">
        <v>10</v>
      </c>
    </row>
    <row r="297" spans="2:9" x14ac:dyDescent="0.25">
      <c r="B297" s="8">
        <f>1000000+INDEX(编号表!$B:$B,MATCH(C297,编号表!$A:$A,0))*1000+INDEX(编号表!$D:$D,MATCH(D297,编号表!$C:$C,0))*100+E297</f>
        <v>1007410</v>
      </c>
      <c r="C297" s="2" t="s">
        <v>193</v>
      </c>
      <c r="D297" s="8" t="s">
        <v>65</v>
      </c>
      <c r="E297" s="8">
        <f t="shared" si="5"/>
        <v>10</v>
      </c>
      <c r="F297" s="8" t="s">
        <v>196</v>
      </c>
      <c r="G297" s="12" t="s">
        <v>62</v>
      </c>
      <c r="H297" s="8">
        <v>60061002</v>
      </c>
      <c r="I297" s="8">
        <v>10</v>
      </c>
    </row>
    <row r="298" spans="2:9" x14ac:dyDescent="0.25">
      <c r="B298" s="8">
        <f>1000000+INDEX(编号表!$B:$B,MATCH(C298,编号表!$A:$A,0))*1000+INDEX(编号表!$D:$D,MATCH(D298,编号表!$C:$C,0))*100+E298</f>
        <v>1008001</v>
      </c>
      <c r="C298" s="2" t="s">
        <v>197</v>
      </c>
      <c r="D298" s="8" t="s">
        <v>55</v>
      </c>
      <c r="E298" s="8">
        <v>1</v>
      </c>
      <c r="F298" s="11" t="s">
        <v>56</v>
      </c>
      <c r="G298" s="12" t="s">
        <v>57</v>
      </c>
      <c r="H298" s="8">
        <v>60074000</v>
      </c>
      <c r="I298" s="8">
        <v>1</v>
      </c>
    </row>
    <row r="299" spans="2:9" x14ac:dyDescent="0.25">
      <c r="B299" s="8">
        <f>1000000+INDEX(编号表!$B:$B,MATCH(C299,编号表!$A:$A,0))*1000+INDEX(编号表!$D:$D,MATCH(D299,编号表!$C:$C,0))*100+E299</f>
        <v>1008002</v>
      </c>
      <c r="C299" s="2" t="s">
        <v>197</v>
      </c>
      <c r="D299" s="8" t="s">
        <v>55</v>
      </c>
      <c r="E299" s="8">
        <v>2</v>
      </c>
      <c r="F299" s="11" t="s">
        <v>56</v>
      </c>
      <c r="G299" s="12" t="s">
        <v>57</v>
      </c>
      <c r="H299" s="8">
        <v>60074001</v>
      </c>
      <c r="I299" s="8">
        <v>1</v>
      </c>
    </row>
    <row r="300" spans="2:9" x14ac:dyDescent="0.25">
      <c r="B300" s="8">
        <f>1000000+INDEX(编号表!$B:$B,MATCH(C300,编号表!$A:$A,0))*1000+INDEX(编号表!$D:$D,MATCH(D300,编号表!$C:$C,0))*100+E300</f>
        <v>1008101</v>
      </c>
      <c r="C300" s="2" t="s">
        <v>197</v>
      </c>
      <c r="D300" s="8" t="s">
        <v>58</v>
      </c>
      <c r="E300" s="8">
        <v>1</v>
      </c>
      <c r="F300" s="11" t="s">
        <v>59</v>
      </c>
      <c r="G300" s="12" t="s">
        <v>57</v>
      </c>
      <c r="H300" s="2">
        <v>60072000</v>
      </c>
      <c r="I300" s="8">
        <v>1</v>
      </c>
    </row>
    <row r="301" spans="2:9" x14ac:dyDescent="0.25">
      <c r="B301" s="8">
        <f>1000000+INDEX(编号表!$B:$B,MATCH(C301,编号表!$A:$A,0))*1000+INDEX(编号表!$D:$D,MATCH(D301,编号表!$C:$C,0))*100+E301</f>
        <v>1008201</v>
      </c>
      <c r="C301" s="2" t="s">
        <v>197</v>
      </c>
      <c r="D301" s="8" t="s">
        <v>60</v>
      </c>
      <c r="E301" s="8">
        <f t="shared" ref="E301:E320" si="6">I301+K301+M301+O301+Q301+S301+U301+W301+Y301+AA301</f>
        <v>1</v>
      </c>
      <c r="F301" s="2" t="s">
        <v>198</v>
      </c>
      <c r="G301" s="12" t="s">
        <v>62</v>
      </c>
      <c r="H301" s="2">
        <v>60071000</v>
      </c>
      <c r="I301" s="2">
        <v>1</v>
      </c>
    </row>
    <row r="302" spans="2:9" x14ac:dyDescent="0.25">
      <c r="B302" s="8">
        <f>1000000+INDEX(编号表!$B:$B,MATCH(C302,编号表!$A:$A,0))*1000+INDEX(编号表!$D:$D,MATCH(D302,编号表!$C:$C,0))*100+E302</f>
        <v>1008301</v>
      </c>
      <c r="C302" s="2" t="s">
        <v>197</v>
      </c>
      <c r="D302" s="8" t="s">
        <v>63</v>
      </c>
      <c r="E302" s="8">
        <f t="shared" si="6"/>
        <v>1</v>
      </c>
      <c r="F302" s="2" t="s">
        <v>199</v>
      </c>
      <c r="G302" s="12" t="s">
        <v>62</v>
      </c>
      <c r="H302" s="2">
        <v>60071001</v>
      </c>
      <c r="I302" s="2">
        <v>1</v>
      </c>
    </row>
    <row r="303" spans="2:9" x14ac:dyDescent="0.25">
      <c r="B303" s="8">
        <f>1000000+INDEX(编号表!$B:$B,MATCH(C303,编号表!$A:$A,0))*1000+INDEX(编号表!$D:$D,MATCH(D303,编号表!$C:$C,0))*100+E303</f>
        <v>1008401</v>
      </c>
      <c r="C303" s="2" t="s">
        <v>197</v>
      </c>
      <c r="D303" s="8" t="s">
        <v>65</v>
      </c>
      <c r="E303" s="8">
        <f t="shared" si="6"/>
        <v>1</v>
      </c>
      <c r="F303" s="2" t="s">
        <v>200</v>
      </c>
      <c r="G303" s="12" t="s">
        <v>62</v>
      </c>
      <c r="H303" s="2">
        <v>60071002</v>
      </c>
      <c r="I303" s="2">
        <v>1</v>
      </c>
    </row>
    <row r="304" spans="2:9" x14ac:dyDescent="0.25">
      <c r="B304" s="8">
        <f>1000000+INDEX(编号表!$B:$B,MATCH(C304,编号表!$A:$A,0))*1000+INDEX(编号表!$D:$D,MATCH(D304,编号表!$C:$C,0))*100+E304</f>
        <v>1008501</v>
      </c>
      <c r="C304" s="2" t="s">
        <v>197</v>
      </c>
      <c r="D304" s="8" t="s">
        <v>67</v>
      </c>
      <c r="E304" s="8">
        <f t="shared" si="6"/>
        <v>1</v>
      </c>
      <c r="F304" s="2" t="s">
        <v>201</v>
      </c>
      <c r="G304" s="12" t="s">
        <v>62</v>
      </c>
      <c r="H304" s="2">
        <v>60071003</v>
      </c>
      <c r="I304" s="2">
        <v>1</v>
      </c>
    </row>
    <row r="305" spans="2:9" x14ac:dyDescent="0.25">
      <c r="B305" s="8">
        <f>1000000+INDEX(编号表!$B:$B,MATCH(C305,编号表!$A:$A,0))*1000+INDEX(编号表!$D:$D,MATCH(D305,编号表!$C:$C,0))*100+E305</f>
        <v>1008202</v>
      </c>
      <c r="C305" s="2" t="s">
        <v>197</v>
      </c>
      <c r="D305" s="8" t="s">
        <v>60</v>
      </c>
      <c r="E305" s="8">
        <f t="shared" si="6"/>
        <v>2</v>
      </c>
      <c r="F305" s="2" t="s">
        <v>198</v>
      </c>
      <c r="G305" s="12" t="s">
        <v>62</v>
      </c>
      <c r="H305" s="2">
        <v>60071000</v>
      </c>
      <c r="I305" s="2">
        <v>2</v>
      </c>
    </row>
    <row r="306" spans="2:9" x14ac:dyDescent="0.25">
      <c r="B306" s="8">
        <f>1000000+INDEX(编号表!$B:$B,MATCH(C306,编号表!$A:$A,0))*1000+INDEX(编号表!$D:$D,MATCH(D306,编号表!$C:$C,0))*100+E306</f>
        <v>1008302</v>
      </c>
      <c r="C306" s="2" t="s">
        <v>197</v>
      </c>
      <c r="D306" s="8" t="s">
        <v>63</v>
      </c>
      <c r="E306" s="8">
        <f t="shared" si="6"/>
        <v>2</v>
      </c>
      <c r="F306" s="2" t="s">
        <v>199</v>
      </c>
      <c r="G306" s="12" t="s">
        <v>62</v>
      </c>
      <c r="H306" s="2">
        <v>60071001</v>
      </c>
      <c r="I306" s="2">
        <v>2</v>
      </c>
    </row>
    <row r="307" spans="2:9" x14ac:dyDescent="0.25">
      <c r="B307" s="8">
        <f>1000000+INDEX(编号表!$B:$B,MATCH(C307,编号表!$A:$A,0))*1000+INDEX(编号表!$D:$D,MATCH(D307,编号表!$C:$C,0))*100+E307</f>
        <v>1008402</v>
      </c>
      <c r="C307" s="2" t="s">
        <v>197</v>
      </c>
      <c r="D307" s="8" t="s">
        <v>65</v>
      </c>
      <c r="E307" s="8">
        <f t="shared" si="6"/>
        <v>2</v>
      </c>
      <c r="F307" s="2" t="s">
        <v>200</v>
      </c>
      <c r="G307" s="12" t="s">
        <v>62</v>
      </c>
      <c r="H307" s="2">
        <v>60071002</v>
      </c>
      <c r="I307" s="2">
        <v>2</v>
      </c>
    </row>
    <row r="308" spans="2:9" x14ac:dyDescent="0.25">
      <c r="B308" s="8">
        <f>1000000+INDEX(编号表!$B:$B,MATCH(C308,编号表!$A:$A,0))*1000+INDEX(编号表!$D:$D,MATCH(D308,编号表!$C:$C,0))*100+E308</f>
        <v>1008502</v>
      </c>
      <c r="C308" s="2" t="s">
        <v>197</v>
      </c>
      <c r="D308" s="8" t="s">
        <v>67</v>
      </c>
      <c r="E308" s="8">
        <f t="shared" si="6"/>
        <v>2</v>
      </c>
      <c r="F308" s="2" t="s">
        <v>201</v>
      </c>
      <c r="G308" s="12" t="s">
        <v>62</v>
      </c>
      <c r="H308" s="2">
        <v>60071003</v>
      </c>
      <c r="I308" s="2">
        <v>2</v>
      </c>
    </row>
    <row r="309" spans="2:9" x14ac:dyDescent="0.25">
      <c r="B309" s="8">
        <f>1000000+INDEX(编号表!$B:$B,MATCH(C309,编号表!$A:$A,0))*1000+INDEX(编号表!$D:$D,MATCH(D309,编号表!$C:$C,0))*100+E309</f>
        <v>1008203</v>
      </c>
      <c r="C309" s="2" t="s">
        <v>197</v>
      </c>
      <c r="D309" s="8" t="s">
        <v>60</v>
      </c>
      <c r="E309" s="8">
        <f t="shared" si="6"/>
        <v>3</v>
      </c>
      <c r="F309" s="2" t="s">
        <v>198</v>
      </c>
      <c r="G309" s="12" t="s">
        <v>62</v>
      </c>
      <c r="H309" s="2">
        <v>60071000</v>
      </c>
      <c r="I309" s="2">
        <v>3</v>
      </c>
    </row>
    <row r="310" spans="2:9" x14ac:dyDescent="0.25">
      <c r="B310" s="8">
        <f>1000000+INDEX(编号表!$B:$B,MATCH(C310,编号表!$A:$A,0))*1000+INDEX(编号表!$D:$D,MATCH(D310,编号表!$C:$C,0))*100+E310</f>
        <v>1008303</v>
      </c>
      <c r="C310" s="2" t="s">
        <v>197</v>
      </c>
      <c r="D310" s="8" t="s">
        <v>63</v>
      </c>
      <c r="E310" s="8">
        <f t="shared" si="6"/>
        <v>3</v>
      </c>
      <c r="F310" s="2" t="s">
        <v>199</v>
      </c>
      <c r="G310" s="12" t="s">
        <v>62</v>
      </c>
      <c r="H310" s="2">
        <v>60071001</v>
      </c>
      <c r="I310" s="2">
        <v>3</v>
      </c>
    </row>
    <row r="311" spans="2:9" x14ac:dyDescent="0.25">
      <c r="B311" s="8">
        <f>1000000+INDEX(编号表!$B:$B,MATCH(C311,编号表!$A:$A,0))*1000+INDEX(编号表!$D:$D,MATCH(D311,编号表!$C:$C,0))*100+E311</f>
        <v>1008403</v>
      </c>
      <c r="C311" s="2" t="s">
        <v>197</v>
      </c>
      <c r="D311" s="8" t="s">
        <v>65</v>
      </c>
      <c r="E311" s="8">
        <f t="shared" si="6"/>
        <v>3</v>
      </c>
      <c r="F311" s="2" t="s">
        <v>200</v>
      </c>
      <c r="G311" s="12" t="s">
        <v>62</v>
      </c>
      <c r="H311" s="2">
        <v>60071002</v>
      </c>
      <c r="I311" s="2">
        <v>3</v>
      </c>
    </row>
    <row r="312" spans="2:9" x14ac:dyDescent="0.25">
      <c r="B312" s="8">
        <f>1000000+INDEX(编号表!$B:$B,MATCH(C312,编号表!$A:$A,0))*1000+INDEX(编号表!$D:$D,MATCH(D312,编号表!$C:$C,0))*100+E312</f>
        <v>1008503</v>
      </c>
      <c r="C312" s="2" t="s">
        <v>197</v>
      </c>
      <c r="D312" s="8" t="s">
        <v>67</v>
      </c>
      <c r="E312" s="8">
        <f t="shared" si="6"/>
        <v>3</v>
      </c>
      <c r="F312" s="2" t="s">
        <v>201</v>
      </c>
      <c r="G312" s="12" t="s">
        <v>62</v>
      </c>
      <c r="H312" s="2">
        <v>60071003</v>
      </c>
      <c r="I312" s="2">
        <v>3</v>
      </c>
    </row>
    <row r="313" spans="2:9" x14ac:dyDescent="0.25">
      <c r="B313" s="8">
        <f>1000000+INDEX(编号表!$B:$B,MATCH(C313,编号表!$A:$A,0))*1000+INDEX(编号表!$D:$D,MATCH(D313,编号表!$C:$C,0))*100+E313</f>
        <v>1008205</v>
      </c>
      <c r="C313" s="2" t="s">
        <v>197</v>
      </c>
      <c r="D313" s="8" t="s">
        <v>60</v>
      </c>
      <c r="E313" s="8">
        <f t="shared" si="6"/>
        <v>5</v>
      </c>
      <c r="F313" s="2" t="s">
        <v>198</v>
      </c>
      <c r="G313" s="12" t="s">
        <v>62</v>
      </c>
      <c r="H313" s="2">
        <v>60071000</v>
      </c>
      <c r="I313" s="2">
        <v>5</v>
      </c>
    </row>
    <row r="314" spans="2:9" x14ac:dyDescent="0.25">
      <c r="B314" s="8">
        <f>1000000+INDEX(编号表!$B:$B,MATCH(C314,编号表!$A:$A,0))*1000+INDEX(编号表!$D:$D,MATCH(D314,编号表!$C:$C,0))*100+E314</f>
        <v>1008305</v>
      </c>
      <c r="C314" s="2" t="s">
        <v>197</v>
      </c>
      <c r="D314" s="8" t="s">
        <v>63</v>
      </c>
      <c r="E314" s="8">
        <f t="shared" si="6"/>
        <v>5</v>
      </c>
      <c r="F314" s="2" t="s">
        <v>199</v>
      </c>
      <c r="G314" s="12" t="s">
        <v>62</v>
      </c>
      <c r="H314" s="2">
        <v>60071001</v>
      </c>
      <c r="I314" s="2">
        <v>5</v>
      </c>
    </row>
    <row r="315" spans="2:9" x14ac:dyDescent="0.25">
      <c r="B315" s="8">
        <f>1000000+INDEX(编号表!$B:$B,MATCH(C315,编号表!$A:$A,0))*1000+INDEX(编号表!$D:$D,MATCH(D315,编号表!$C:$C,0))*100+E315</f>
        <v>1008405</v>
      </c>
      <c r="C315" s="2" t="s">
        <v>197</v>
      </c>
      <c r="D315" s="8" t="s">
        <v>65</v>
      </c>
      <c r="E315" s="8">
        <f t="shared" si="6"/>
        <v>5</v>
      </c>
      <c r="F315" s="2" t="s">
        <v>200</v>
      </c>
      <c r="G315" s="12" t="s">
        <v>62</v>
      </c>
      <c r="H315" s="2">
        <v>60071002</v>
      </c>
      <c r="I315" s="2">
        <v>5</v>
      </c>
    </row>
    <row r="316" spans="2:9" x14ac:dyDescent="0.25">
      <c r="B316" s="8">
        <f>1000000+INDEX(编号表!$B:$B,MATCH(C316,编号表!$A:$A,0))*1000+INDEX(编号表!$D:$D,MATCH(D316,编号表!$C:$C,0))*100+E316</f>
        <v>1008505</v>
      </c>
      <c r="C316" s="2" t="s">
        <v>197</v>
      </c>
      <c r="D316" s="8" t="s">
        <v>67</v>
      </c>
      <c r="E316" s="8">
        <f t="shared" si="6"/>
        <v>5</v>
      </c>
      <c r="F316" s="2" t="s">
        <v>201</v>
      </c>
      <c r="G316" s="12" t="s">
        <v>62</v>
      </c>
      <c r="H316" s="2">
        <v>60071003</v>
      </c>
      <c r="I316" s="2">
        <v>5</v>
      </c>
    </row>
    <row r="317" spans="2:9" x14ac:dyDescent="0.25">
      <c r="B317" s="8">
        <f>1000000+INDEX(编号表!$B:$B,MATCH(C317,编号表!$A:$A,0))*1000+INDEX(编号表!$D:$D,MATCH(D317,编号表!$C:$C,0))*100+E317</f>
        <v>1008210</v>
      </c>
      <c r="C317" s="2" t="s">
        <v>197</v>
      </c>
      <c r="D317" s="8" t="s">
        <v>60</v>
      </c>
      <c r="E317" s="8">
        <f t="shared" si="6"/>
        <v>10</v>
      </c>
      <c r="F317" s="2" t="s">
        <v>198</v>
      </c>
      <c r="G317" s="12" t="s">
        <v>62</v>
      </c>
      <c r="H317" s="2">
        <v>60071000</v>
      </c>
      <c r="I317" s="2">
        <v>10</v>
      </c>
    </row>
    <row r="318" spans="2:9" x14ac:dyDescent="0.25">
      <c r="B318" s="8">
        <f>1000000+INDEX(编号表!$B:$B,MATCH(C318,编号表!$A:$A,0))*1000+INDEX(编号表!$D:$D,MATCH(D318,编号表!$C:$C,0))*100+E318</f>
        <v>1008310</v>
      </c>
      <c r="C318" s="2" t="s">
        <v>197</v>
      </c>
      <c r="D318" s="8" t="s">
        <v>63</v>
      </c>
      <c r="E318" s="8">
        <f t="shared" si="6"/>
        <v>10</v>
      </c>
      <c r="F318" s="2" t="s">
        <v>199</v>
      </c>
      <c r="G318" s="12" t="s">
        <v>62</v>
      </c>
      <c r="H318" s="2">
        <v>60071001</v>
      </c>
      <c r="I318" s="2">
        <v>10</v>
      </c>
    </row>
    <row r="319" spans="2:9" x14ac:dyDescent="0.25">
      <c r="B319" s="8">
        <f>1000000+INDEX(编号表!$B:$B,MATCH(C319,编号表!$A:$A,0))*1000+INDEX(编号表!$D:$D,MATCH(D319,编号表!$C:$C,0))*100+E319</f>
        <v>1008410</v>
      </c>
      <c r="C319" s="2" t="s">
        <v>197</v>
      </c>
      <c r="D319" s="8" t="s">
        <v>65</v>
      </c>
      <c r="E319" s="8">
        <f t="shared" si="6"/>
        <v>10</v>
      </c>
      <c r="F319" s="2" t="s">
        <v>200</v>
      </c>
      <c r="G319" s="12" t="s">
        <v>62</v>
      </c>
      <c r="H319" s="2">
        <v>60071002</v>
      </c>
      <c r="I319" s="2">
        <v>10</v>
      </c>
    </row>
    <row r="320" spans="2:9" x14ac:dyDescent="0.25">
      <c r="B320" s="8">
        <f>1000000+INDEX(编号表!$B:$B,MATCH(C320,编号表!$A:$A,0))*1000+INDEX(编号表!$D:$D,MATCH(D320,编号表!$C:$C,0))*100+E320</f>
        <v>1008510</v>
      </c>
      <c r="C320" s="2" t="s">
        <v>197</v>
      </c>
      <c r="D320" s="8" t="s">
        <v>67</v>
      </c>
      <c r="E320" s="8">
        <f t="shared" si="6"/>
        <v>10</v>
      </c>
      <c r="F320" s="2" t="s">
        <v>201</v>
      </c>
      <c r="G320" s="12" t="s">
        <v>62</v>
      </c>
      <c r="H320" s="2">
        <v>60071003</v>
      </c>
      <c r="I320" s="2">
        <v>10</v>
      </c>
    </row>
    <row r="321" spans="2:9" x14ac:dyDescent="0.25">
      <c r="B321" s="8">
        <f>1000000+INDEX(编号表!$B:$B,MATCH(C321,编号表!$A:$A,0))*1000+INDEX(编号表!$D:$D,MATCH(D321,编号表!$C:$C,0))*100+E321</f>
        <v>1009001</v>
      </c>
      <c r="C321" s="2" t="s">
        <v>202</v>
      </c>
      <c r="D321" s="8" t="s">
        <v>55</v>
      </c>
      <c r="E321" s="8">
        <v>1</v>
      </c>
      <c r="F321" s="11" t="s">
        <v>56</v>
      </c>
      <c r="G321" s="12" t="s">
        <v>57</v>
      </c>
      <c r="H321" s="8">
        <v>60084000</v>
      </c>
      <c r="I321" s="8">
        <v>1</v>
      </c>
    </row>
    <row r="322" spans="2:9" x14ac:dyDescent="0.25">
      <c r="B322" s="8">
        <f>1000000+INDEX(编号表!$B:$B,MATCH(C322,编号表!$A:$A,0))*1000+INDEX(编号表!$D:$D,MATCH(D322,编号表!$C:$C,0))*100+E322</f>
        <v>1009002</v>
      </c>
      <c r="C322" s="2" t="s">
        <v>202</v>
      </c>
      <c r="D322" s="8" t="s">
        <v>55</v>
      </c>
      <c r="E322" s="8">
        <v>2</v>
      </c>
      <c r="F322" s="11" t="s">
        <v>56</v>
      </c>
      <c r="G322" s="12" t="s">
        <v>57</v>
      </c>
      <c r="H322" s="8">
        <v>60084001</v>
      </c>
      <c r="I322" s="8">
        <v>1</v>
      </c>
    </row>
    <row r="323" spans="2:9" x14ac:dyDescent="0.25">
      <c r="B323" s="8">
        <f>1000000+INDEX(编号表!$B:$B,MATCH(C323,编号表!$A:$A,0))*1000+INDEX(编号表!$D:$D,MATCH(D323,编号表!$C:$C,0))*100+E323</f>
        <v>1009101</v>
      </c>
      <c r="C323" s="2" t="s">
        <v>202</v>
      </c>
      <c r="D323" s="8" t="s">
        <v>58</v>
      </c>
      <c r="E323" s="8">
        <v>1</v>
      </c>
      <c r="F323" s="11" t="s">
        <v>59</v>
      </c>
      <c r="G323" s="12" t="s">
        <v>57</v>
      </c>
      <c r="H323" s="2">
        <v>60082000</v>
      </c>
      <c r="I323" s="8">
        <v>1</v>
      </c>
    </row>
    <row r="324" spans="2:9" x14ac:dyDescent="0.25">
      <c r="B324" s="8">
        <f>1000000+INDEX(编号表!$B:$B,MATCH(C324,编号表!$A:$A,0))*1000+INDEX(编号表!$D:$D,MATCH(D324,编号表!$C:$C,0))*100+E324</f>
        <v>1009201</v>
      </c>
      <c r="C324" s="2" t="s">
        <v>202</v>
      </c>
      <c r="D324" s="8" t="s">
        <v>60</v>
      </c>
      <c r="E324" s="8">
        <f t="shared" ref="E324:E353" si="7">I324+K324+M324+O324+Q324+S324+U324+W324+Y324+AA324</f>
        <v>1</v>
      </c>
      <c r="F324" s="2" t="s">
        <v>198</v>
      </c>
      <c r="G324" s="12" t="s">
        <v>62</v>
      </c>
      <c r="H324" s="2">
        <v>60081000</v>
      </c>
      <c r="I324" s="8">
        <v>1</v>
      </c>
    </row>
    <row r="325" spans="2:9" x14ac:dyDescent="0.25">
      <c r="B325" s="8">
        <f>1000000+INDEX(编号表!$B:$B,MATCH(C325,编号表!$A:$A,0))*1000+INDEX(编号表!$D:$D,MATCH(D325,编号表!$C:$C,0))*100+E325</f>
        <v>1009301</v>
      </c>
      <c r="C325" s="2" t="s">
        <v>202</v>
      </c>
      <c r="D325" s="8" t="s">
        <v>63</v>
      </c>
      <c r="E325" s="8">
        <f t="shared" si="7"/>
        <v>1</v>
      </c>
      <c r="F325" s="2" t="s">
        <v>199</v>
      </c>
      <c r="G325" s="12" t="s">
        <v>62</v>
      </c>
      <c r="H325" s="2">
        <v>60081001</v>
      </c>
      <c r="I325" s="8">
        <v>1</v>
      </c>
    </row>
    <row r="326" spans="2:9" x14ac:dyDescent="0.25">
      <c r="B326" s="8">
        <f>1000000+INDEX(编号表!$B:$B,MATCH(C326,编号表!$A:$A,0))*1000+INDEX(编号表!$D:$D,MATCH(D326,编号表!$C:$C,0))*100+E326</f>
        <v>1009401</v>
      </c>
      <c r="C326" s="2" t="s">
        <v>202</v>
      </c>
      <c r="D326" s="8" t="s">
        <v>65</v>
      </c>
      <c r="E326" s="8">
        <f t="shared" si="7"/>
        <v>1</v>
      </c>
      <c r="F326" s="2" t="s">
        <v>200</v>
      </c>
      <c r="G326" s="12" t="s">
        <v>62</v>
      </c>
      <c r="H326" s="2">
        <v>60081002</v>
      </c>
      <c r="I326" s="8">
        <v>1</v>
      </c>
    </row>
    <row r="327" spans="2:9" x14ac:dyDescent="0.25">
      <c r="B327" s="8">
        <f>1000000+INDEX(编号表!$B:$B,MATCH(C327,编号表!$A:$A,0))*1000+INDEX(编号表!$D:$D,MATCH(D327,编号表!$C:$C,0))*100+E327</f>
        <v>1009501</v>
      </c>
      <c r="C327" s="2" t="s">
        <v>202</v>
      </c>
      <c r="D327" s="8" t="s">
        <v>67</v>
      </c>
      <c r="E327" s="8">
        <f t="shared" si="7"/>
        <v>1</v>
      </c>
      <c r="F327" s="2" t="s">
        <v>201</v>
      </c>
      <c r="G327" s="12" t="s">
        <v>62</v>
      </c>
      <c r="H327" s="2">
        <v>60081003</v>
      </c>
      <c r="I327" s="8">
        <v>1</v>
      </c>
    </row>
    <row r="328" spans="2:9" x14ac:dyDescent="0.25">
      <c r="B328" s="8">
        <f>1000000+INDEX(编号表!$B:$B,MATCH(C328,编号表!$A:$A,0))*1000+INDEX(编号表!$D:$D,MATCH(D328,编号表!$C:$C,0))*100+E328</f>
        <v>1009601</v>
      </c>
      <c r="C328" s="2" t="s">
        <v>202</v>
      </c>
      <c r="D328" s="8" t="s">
        <v>69</v>
      </c>
      <c r="E328" s="8">
        <f t="shared" si="7"/>
        <v>1</v>
      </c>
      <c r="F328" s="2" t="s">
        <v>203</v>
      </c>
      <c r="G328" s="12" t="s">
        <v>62</v>
      </c>
      <c r="H328" s="2">
        <v>60081004</v>
      </c>
      <c r="I328" s="8">
        <v>1</v>
      </c>
    </row>
    <row r="329" spans="2:9" x14ac:dyDescent="0.25">
      <c r="B329" s="8">
        <f>1000000+INDEX(编号表!$B:$B,MATCH(C329,编号表!$A:$A,0))*1000+INDEX(编号表!$D:$D,MATCH(D329,编号表!$C:$C,0))*100+E329</f>
        <v>1009202</v>
      </c>
      <c r="C329" s="2" t="s">
        <v>202</v>
      </c>
      <c r="D329" s="8" t="s">
        <v>60</v>
      </c>
      <c r="E329" s="8">
        <f t="shared" si="7"/>
        <v>2</v>
      </c>
      <c r="F329" s="2" t="s">
        <v>198</v>
      </c>
      <c r="G329" s="12" t="s">
        <v>62</v>
      </c>
      <c r="H329" s="2">
        <v>60081000</v>
      </c>
      <c r="I329" s="8">
        <v>2</v>
      </c>
    </row>
    <row r="330" spans="2:9" x14ac:dyDescent="0.25">
      <c r="B330" s="8">
        <f>1000000+INDEX(编号表!$B:$B,MATCH(C330,编号表!$A:$A,0))*1000+INDEX(编号表!$D:$D,MATCH(D330,编号表!$C:$C,0))*100+E330</f>
        <v>1009302</v>
      </c>
      <c r="C330" s="2" t="s">
        <v>202</v>
      </c>
      <c r="D330" s="8" t="s">
        <v>63</v>
      </c>
      <c r="E330" s="8">
        <f t="shared" si="7"/>
        <v>2</v>
      </c>
      <c r="F330" s="2" t="s">
        <v>199</v>
      </c>
      <c r="G330" s="12" t="s">
        <v>62</v>
      </c>
      <c r="H330" s="2">
        <v>60081001</v>
      </c>
      <c r="I330" s="8">
        <v>2</v>
      </c>
    </row>
    <row r="331" spans="2:9" x14ac:dyDescent="0.25">
      <c r="B331" s="8">
        <f>1000000+INDEX(编号表!$B:$B,MATCH(C331,编号表!$A:$A,0))*1000+INDEX(编号表!$D:$D,MATCH(D331,编号表!$C:$C,0))*100+E331</f>
        <v>1009402</v>
      </c>
      <c r="C331" s="2" t="s">
        <v>202</v>
      </c>
      <c r="D331" s="8" t="s">
        <v>65</v>
      </c>
      <c r="E331" s="8">
        <f t="shared" si="7"/>
        <v>2</v>
      </c>
      <c r="F331" s="2" t="s">
        <v>200</v>
      </c>
      <c r="G331" s="12" t="s">
        <v>62</v>
      </c>
      <c r="H331" s="2">
        <v>60081002</v>
      </c>
      <c r="I331" s="8">
        <v>2</v>
      </c>
    </row>
    <row r="332" spans="2:9" x14ac:dyDescent="0.25">
      <c r="B332" s="8">
        <f>1000000+INDEX(编号表!$B:$B,MATCH(C332,编号表!$A:$A,0))*1000+INDEX(编号表!$D:$D,MATCH(D332,编号表!$C:$C,0))*100+E332</f>
        <v>1009502</v>
      </c>
      <c r="C332" s="2" t="s">
        <v>202</v>
      </c>
      <c r="D332" s="8" t="s">
        <v>67</v>
      </c>
      <c r="E332" s="8">
        <f t="shared" si="7"/>
        <v>2</v>
      </c>
      <c r="F332" s="2" t="s">
        <v>201</v>
      </c>
      <c r="G332" s="12" t="s">
        <v>62</v>
      </c>
      <c r="H332" s="2">
        <v>60081003</v>
      </c>
      <c r="I332" s="8">
        <v>2</v>
      </c>
    </row>
    <row r="333" spans="2:9" x14ac:dyDescent="0.25">
      <c r="B333" s="8">
        <f>1000000+INDEX(编号表!$B:$B,MATCH(C333,编号表!$A:$A,0))*1000+INDEX(编号表!$D:$D,MATCH(D333,编号表!$C:$C,0))*100+E333</f>
        <v>1009602</v>
      </c>
      <c r="C333" s="2" t="s">
        <v>202</v>
      </c>
      <c r="D333" s="8" t="s">
        <v>69</v>
      </c>
      <c r="E333" s="8">
        <f t="shared" si="7"/>
        <v>2</v>
      </c>
      <c r="F333" s="2" t="s">
        <v>203</v>
      </c>
      <c r="G333" s="12" t="s">
        <v>62</v>
      </c>
      <c r="H333" s="2">
        <v>60081004</v>
      </c>
      <c r="I333" s="8">
        <v>2</v>
      </c>
    </row>
    <row r="334" spans="2:9" x14ac:dyDescent="0.25">
      <c r="B334" s="8">
        <f>1000000+INDEX(编号表!$B:$B,MATCH(C334,编号表!$A:$A,0))*1000+INDEX(编号表!$D:$D,MATCH(D334,编号表!$C:$C,0))*100+E334</f>
        <v>1009203</v>
      </c>
      <c r="C334" s="2" t="s">
        <v>202</v>
      </c>
      <c r="D334" s="8" t="s">
        <v>60</v>
      </c>
      <c r="E334" s="8">
        <f t="shared" si="7"/>
        <v>3</v>
      </c>
      <c r="F334" s="2" t="s">
        <v>198</v>
      </c>
      <c r="G334" s="12" t="s">
        <v>62</v>
      </c>
      <c r="H334" s="2">
        <v>60081000</v>
      </c>
      <c r="I334" s="8">
        <v>3</v>
      </c>
    </row>
    <row r="335" spans="2:9" x14ac:dyDescent="0.25">
      <c r="B335" s="8">
        <f>1000000+INDEX(编号表!$B:$B,MATCH(C335,编号表!$A:$A,0))*1000+INDEX(编号表!$D:$D,MATCH(D335,编号表!$C:$C,0))*100+E335</f>
        <v>1009303</v>
      </c>
      <c r="C335" s="2" t="s">
        <v>202</v>
      </c>
      <c r="D335" s="8" t="s">
        <v>63</v>
      </c>
      <c r="E335" s="8">
        <f t="shared" si="7"/>
        <v>3</v>
      </c>
      <c r="F335" s="2" t="s">
        <v>199</v>
      </c>
      <c r="G335" s="12" t="s">
        <v>62</v>
      </c>
      <c r="H335" s="2">
        <v>60081001</v>
      </c>
      <c r="I335" s="8">
        <v>3</v>
      </c>
    </row>
    <row r="336" spans="2:9" x14ac:dyDescent="0.25">
      <c r="B336" s="8">
        <f>1000000+INDEX(编号表!$B:$B,MATCH(C336,编号表!$A:$A,0))*1000+INDEX(编号表!$D:$D,MATCH(D336,编号表!$C:$C,0))*100+E336</f>
        <v>1009403</v>
      </c>
      <c r="C336" s="2" t="s">
        <v>202</v>
      </c>
      <c r="D336" s="8" t="s">
        <v>65</v>
      </c>
      <c r="E336" s="8">
        <f t="shared" si="7"/>
        <v>3</v>
      </c>
      <c r="F336" s="2" t="s">
        <v>200</v>
      </c>
      <c r="G336" s="12" t="s">
        <v>62</v>
      </c>
      <c r="H336" s="2">
        <v>60081002</v>
      </c>
      <c r="I336" s="8">
        <v>3</v>
      </c>
    </row>
    <row r="337" spans="2:9" x14ac:dyDescent="0.25">
      <c r="B337" s="8">
        <f>1000000+INDEX(编号表!$B:$B,MATCH(C337,编号表!$A:$A,0))*1000+INDEX(编号表!$D:$D,MATCH(D337,编号表!$C:$C,0))*100+E337</f>
        <v>1009503</v>
      </c>
      <c r="C337" s="2" t="s">
        <v>202</v>
      </c>
      <c r="D337" s="8" t="s">
        <v>67</v>
      </c>
      <c r="E337" s="8">
        <f t="shared" si="7"/>
        <v>3</v>
      </c>
      <c r="F337" s="2" t="s">
        <v>201</v>
      </c>
      <c r="G337" s="12" t="s">
        <v>62</v>
      </c>
      <c r="H337" s="2">
        <v>60081003</v>
      </c>
      <c r="I337" s="8">
        <v>3</v>
      </c>
    </row>
    <row r="338" spans="2:9" x14ac:dyDescent="0.25">
      <c r="B338" s="8">
        <f>1000000+INDEX(编号表!$B:$B,MATCH(C338,编号表!$A:$A,0))*1000+INDEX(编号表!$D:$D,MATCH(D338,编号表!$C:$C,0))*100+E338</f>
        <v>1009603</v>
      </c>
      <c r="C338" s="2" t="s">
        <v>202</v>
      </c>
      <c r="D338" s="8" t="s">
        <v>69</v>
      </c>
      <c r="E338" s="8">
        <f t="shared" si="7"/>
        <v>3</v>
      </c>
      <c r="F338" s="2" t="s">
        <v>203</v>
      </c>
      <c r="G338" s="12" t="s">
        <v>62</v>
      </c>
      <c r="H338" s="2">
        <v>60081004</v>
      </c>
      <c r="I338" s="8">
        <v>3</v>
      </c>
    </row>
    <row r="339" spans="2:9" x14ac:dyDescent="0.25">
      <c r="B339" s="8">
        <f>1000000+INDEX(编号表!$B:$B,MATCH(C339,编号表!$A:$A,0))*1000+INDEX(编号表!$D:$D,MATCH(D339,编号表!$C:$C,0))*100+E339</f>
        <v>1009205</v>
      </c>
      <c r="C339" s="2" t="s">
        <v>202</v>
      </c>
      <c r="D339" s="8" t="s">
        <v>60</v>
      </c>
      <c r="E339" s="8">
        <f t="shared" si="7"/>
        <v>5</v>
      </c>
      <c r="F339" s="2" t="s">
        <v>198</v>
      </c>
      <c r="G339" s="12" t="s">
        <v>62</v>
      </c>
      <c r="H339" s="2">
        <v>60081000</v>
      </c>
      <c r="I339" s="8">
        <v>5</v>
      </c>
    </row>
    <row r="340" spans="2:9" x14ac:dyDescent="0.25">
      <c r="B340" s="8">
        <f>1000000+INDEX(编号表!$B:$B,MATCH(C340,编号表!$A:$A,0))*1000+INDEX(编号表!$D:$D,MATCH(D340,编号表!$C:$C,0))*100+E340</f>
        <v>1009305</v>
      </c>
      <c r="C340" s="2" t="s">
        <v>202</v>
      </c>
      <c r="D340" s="8" t="s">
        <v>63</v>
      </c>
      <c r="E340" s="8">
        <f t="shared" si="7"/>
        <v>5</v>
      </c>
      <c r="F340" s="2" t="s">
        <v>199</v>
      </c>
      <c r="G340" s="12" t="s">
        <v>62</v>
      </c>
      <c r="H340" s="2">
        <v>60081001</v>
      </c>
      <c r="I340" s="8">
        <v>5</v>
      </c>
    </row>
    <row r="341" spans="2:9" x14ac:dyDescent="0.25">
      <c r="B341" s="8">
        <f>1000000+INDEX(编号表!$B:$B,MATCH(C341,编号表!$A:$A,0))*1000+INDEX(编号表!$D:$D,MATCH(D341,编号表!$C:$C,0))*100+E341</f>
        <v>1009405</v>
      </c>
      <c r="C341" s="2" t="s">
        <v>202</v>
      </c>
      <c r="D341" s="8" t="s">
        <v>65</v>
      </c>
      <c r="E341" s="8">
        <f t="shared" si="7"/>
        <v>5</v>
      </c>
      <c r="F341" s="2" t="s">
        <v>200</v>
      </c>
      <c r="G341" s="12" t="s">
        <v>62</v>
      </c>
      <c r="H341" s="2">
        <v>60081002</v>
      </c>
      <c r="I341" s="8">
        <v>5</v>
      </c>
    </row>
    <row r="342" spans="2:9" x14ac:dyDescent="0.25">
      <c r="B342" s="8">
        <f>1000000+INDEX(编号表!$B:$B,MATCH(C342,编号表!$A:$A,0))*1000+INDEX(编号表!$D:$D,MATCH(D342,编号表!$C:$C,0))*100+E342</f>
        <v>1009505</v>
      </c>
      <c r="C342" s="2" t="s">
        <v>202</v>
      </c>
      <c r="D342" s="8" t="s">
        <v>67</v>
      </c>
      <c r="E342" s="8">
        <f t="shared" si="7"/>
        <v>5</v>
      </c>
      <c r="F342" s="2" t="s">
        <v>201</v>
      </c>
      <c r="G342" s="12" t="s">
        <v>62</v>
      </c>
      <c r="H342" s="2">
        <v>60081003</v>
      </c>
      <c r="I342" s="8">
        <v>5</v>
      </c>
    </row>
    <row r="343" spans="2:9" x14ac:dyDescent="0.25">
      <c r="B343" s="8">
        <f>1000000+INDEX(编号表!$B:$B,MATCH(C343,编号表!$A:$A,0))*1000+INDEX(编号表!$D:$D,MATCH(D343,编号表!$C:$C,0))*100+E343</f>
        <v>1009605</v>
      </c>
      <c r="C343" s="2" t="s">
        <v>202</v>
      </c>
      <c r="D343" s="8" t="s">
        <v>69</v>
      </c>
      <c r="E343" s="8">
        <f t="shared" si="7"/>
        <v>5</v>
      </c>
      <c r="F343" s="2" t="s">
        <v>203</v>
      </c>
      <c r="G343" s="12" t="s">
        <v>62</v>
      </c>
      <c r="H343" s="2">
        <v>60081004</v>
      </c>
      <c r="I343" s="8">
        <v>5</v>
      </c>
    </row>
    <row r="344" spans="2:9" x14ac:dyDescent="0.25">
      <c r="B344" s="8">
        <f>1000000+INDEX(编号表!$B:$B,MATCH(C344,编号表!$A:$A,0))*1000+INDEX(编号表!$D:$D,MATCH(D344,编号表!$C:$C,0))*100+E344</f>
        <v>1009210</v>
      </c>
      <c r="C344" s="2" t="s">
        <v>202</v>
      </c>
      <c r="D344" s="8" t="s">
        <v>60</v>
      </c>
      <c r="E344" s="8">
        <f t="shared" si="7"/>
        <v>10</v>
      </c>
      <c r="F344" s="2" t="s">
        <v>198</v>
      </c>
      <c r="G344" s="12" t="s">
        <v>62</v>
      </c>
      <c r="H344" s="2">
        <v>60081000</v>
      </c>
      <c r="I344" s="8">
        <v>10</v>
      </c>
    </row>
    <row r="345" spans="2:9" x14ac:dyDescent="0.25">
      <c r="B345" s="8">
        <f>1000000+INDEX(编号表!$B:$B,MATCH(C345,编号表!$A:$A,0))*1000+INDEX(编号表!$D:$D,MATCH(D345,编号表!$C:$C,0))*100+E345</f>
        <v>1009310</v>
      </c>
      <c r="C345" s="2" t="s">
        <v>202</v>
      </c>
      <c r="D345" s="8" t="s">
        <v>63</v>
      </c>
      <c r="E345" s="8">
        <f t="shared" si="7"/>
        <v>10</v>
      </c>
      <c r="F345" s="2" t="s">
        <v>199</v>
      </c>
      <c r="G345" s="12" t="s">
        <v>62</v>
      </c>
      <c r="H345" s="2">
        <v>60081001</v>
      </c>
      <c r="I345" s="8">
        <v>10</v>
      </c>
    </row>
    <row r="346" spans="2:9" x14ac:dyDescent="0.25">
      <c r="B346" s="8">
        <f>1000000+INDEX(编号表!$B:$B,MATCH(C346,编号表!$A:$A,0))*1000+INDEX(编号表!$D:$D,MATCH(D346,编号表!$C:$C,0))*100+E346</f>
        <v>1009410</v>
      </c>
      <c r="C346" s="2" t="s">
        <v>202</v>
      </c>
      <c r="D346" s="8" t="s">
        <v>65</v>
      </c>
      <c r="E346" s="8">
        <f t="shared" si="7"/>
        <v>10</v>
      </c>
      <c r="F346" s="2" t="s">
        <v>200</v>
      </c>
      <c r="G346" s="12" t="s">
        <v>62</v>
      </c>
      <c r="H346" s="2">
        <v>60081002</v>
      </c>
      <c r="I346" s="8">
        <v>10</v>
      </c>
    </row>
    <row r="347" spans="2:9" x14ac:dyDescent="0.25">
      <c r="B347" s="8">
        <f>1000000+INDEX(编号表!$B:$B,MATCH(C347,编号表!$A:$A,0))*1000+INDEX(编号表!$D:$D,MATCH(D347,编号表!$C:$C,0))*100+E347</f>
        <v>1009510</v>
      </c>
      <c r="C347" s="2" t="s">
        <v>202</v>
      </c>
      <c r="D347" s="8" t="s">
        <v>67</v>
      </c>
      <c r="E347" s="8">
        <f t="shared" si="7"/>
        <v>10</v>
      </c>
      <c r="F347" s="2" t="s">
        <v>201</v>
      </c>
      <c r="G347" s="12" t="s">
        <v>62</v>
      </c>
      <c r="H347" s="2">
        <v>60081003</v>
      </c>
      <c r="I347" s="8">
        <v>10</v>
      </c>
    </row>
    <row r="348" spans="2:9" x14ac:dyDescent="0.25">
      <c r="B348" s="8">
        <f>1000000+INDEX(编号表!$B:$B,MATCH(C348,编号表!$A:$A,0))*1000+INDEX(编号表!$D:$D,MATCH(D348,编号表!$C:$C,0))*100+E348</f>
        <v>1009610</v>
      </c>
      <c r="C348" s="2" t="s">
        <v>202</v>
      </c>
      <c r="D348" s="8" t="s">
        <v>69</v>
      </c>
      <c r="E348" s="8">
        <f t="shared" si="7"/>
        <v>10</v>
      </c>
      <c r="F348" s="2" t="s">
        <v>203</v>
      </c>
      <c r="G348" s="12" t="s">
        <v>62</v>
      </c>
      <c r="H348" s="2">
        <v>60081004</v>
      </c>
      <c r="I348" s="8">
        <v>10</v>
      </c>
    </row>
    <row r="349" spans="2:9" x14ac:dyDescent="0.25">
      <c r="B349" s="8">
        <f>1000000+INDEX(编号表!$B:$B,MATCH(C349,编号表!$A:$A,0))*1000+INDEX(编号表!$D:$D,MATCH(D349,编号表!$C:$C,0))*100+E349</f>
        <v>1009215</v>
      </c>
      <c r="C349" s="2" t="s">
        <v>202</v>
      </c>
      <c r="D349" s="8" t="s">
        <v>60</v>
      </c>
      <c r="E349" s="8">
        <f t="shared" si="7"/>
        <v>15</v>
      </c>
      <c r="F349" s="2" t="s">
        <v>198</v>
      </c>
      <c r="G349" s="12" t="s">
        <v>62</v>
      </c>
      <c r="H349" s="2">
        <v>60081000</v>
      </c>
      <c r="I349" s="8">
        <v>15</v>
      </c>
    </row>
    <row r="350" spans="2:9" x14ac:dyDescent="0.25">
      <c r="B350" s="8">
        <f>1000000+INDEX(编号表!$B:$B,MATCH(C350,编号表!$A:$A,0))*1000+INDEX(编号表!$D:$D,MATCH(D350,编号表!$C:$C,0))*100+E350</f>
        <v>1009315</v>
      </c>
      <c r="C350" s="2" t="s">
        <v>202</v>
      </c>
      <c r="D350" s="8" t="s">
        <v>63</v>
      </c>
      <c r="E350" s="8">
        <f t="shared" si="7"/>
        <v>15</v>
      </c>
      <c r="F350" s="2" t="s">
        <v>199</v>
      </c>
      <c r="G350" s="12" t="s">
        <v>62</v>
      </c>
      <c r="H350" s="2">
        <v>60081001</v>
      </c>
      <c r="I350" s="8">
        <v>15</v>
      </c>
    </row>
    <row r="351" spans="2:9" x14ac:dyDescent="0.25">
      <c r="B351" s="8">
        <f>1000000+INDEX(编号表!$B:$B,MATCH(C351,编号表!$A:$A,0))*1000+INDEX(编号表!$D:$D,MATCH(D351,编号表!$C:$C,0))*100+E351</f>
        <v>1009415</v>
      </c>
      <c r="C351" s="2" t="s">
        <v>202</v>
      </c>
      <c r="D351" s="8" t="s">
        <v>65</v>
      </c>
      <c r="E351" s="8">
        <f t="shared" si="7"/>
        <v>15</v>
      </c>
      <c r="F351" s="2" t="s">
        <v>200</v>
      </c>
      <c r="G351" s="12" t="s">
        <v>62</v>
      </c>
      <c r="H351" s="2">
        <v>60081002</v>
      </c>
      <c r="I351" s="8">
        <v>15</v>
      </c>
    </row>
    <row r="352" spans="2:9" x14ac:dyDescent="0.25">
      <c r="B352" s="8">
        <f>1000000+INDEX(编号表!$B:$B,MATCH(C352,编号表!$A:$A,0))*1000+INDEX(编号表!$D:$D,MATCH(D352,编号表!$C:$C,0))*100+E352</f>
        <v>1009515</v>
      </c>
      <c r="C352" s="2" t="s">
        <v>202</v>
      </c>
      <c r="D352" s="8" t="s">
        <v>67</v>
      </c>
      <c r="E352" s="8">
        <f t="shared" si="7"/>
        <v>15</v>
      </c>
      <c r="F352" s="2" t="s">
        <v>201</v>
      </c>
      <c r="G352" s="12" t="s">
        <v>62</v>
      </c>
      <c r="H352" s="2">
        <v>60081003</v>
      </c>
      <c r="I352" s="8">
        <v>15</v>
      </c>
    </row>
    <row r="353" spans="2:9" x14ac:dyDescent="0.25">
      <c r="B353" s="8">
        <f>1000000+INDEX(编号表!$B:$B,MATCH(C353,编号表!$A:$A,0))*1000+INDEX(编号表!$D:$D,MATCH(D353,编号表!$C:$C,0))*100+E353</f>
        <v>1009615</v>
      </c>
      <c r="C353" s="2" t="s">
        <v>202</v>
      </c>
      <c r="D353" s="8" t="s">
        <v>69</v>
      </c>
      <c r="E353" s="8">
        <f t="shared" si="7"/>
        <v>15</v>
      </c>
      <c r="F353" s="2" t="s">
        <v>203</v>
      </c>
      <c r="G353" s="12" t="s">
        <v>62</v>
      </c>
      <c r="H353" s="2">
        <v>60081004</v>
      </c>
      <c r="I353" s="8">
        <v>15</v>
      </c>
    </row>
    <row r="354" spans="2:9" x14ac:dyDescent="0.25">
      <c r="B354" s="8">
        <f>1000000+INDEX(编号表!$B:$B,MATCH(C354,编号表!$A:$A,0))*1000+INDEX(编号表!$D:$D,MATCH(D354,编号表!$C:$C,0))*100+E354</f>
        <v>1010001</v>
      </c>
      <c r="C354" s="2" t="s">
        <v>204</v>
      </c>
      <c r="D354" s="8" t="s">
        <v>55</v>
      </c>
      <c r="E354" s="8">
        <v>1</v>
      </c>
      <c r="F354" s="11" t="s">
        <v>56</v>
      </c>
      <c r="G354" s="12" t="s">
        <v>57</v>
      </c>
      <c r="H354" s="8">
        <v>60094000</v>
      </c>
      <c r="I354" s="8">
        <v>1</v>
      </c>
    </row>
    <row r="355" spans="2:9" x14ac:dyDescent="0.25">
      <c r="B355" s="8">
        <f>1000000+INDEX(编号表!$B:$B,MATCH(C355,编号表!$A:$A,0))*1000+INDEX(编号表!$D:$D,MATCH(D355,编号表!$C:$C,0))*100+E355</f>
        <v>1010101</v>
      </c>
      <c r="C355" s="2" t="s">
        <v>204</v>
      </c>
      <c r="D355" s="8" t="s">
        <v>58</v>
      </c>
      <c r="E355" s="8">
        <v>1</v>
      </c>
      <c r="F355" s="11" t="s">
        <v>59</v>
      </c>
      <c r="G355" s="12" t="s">
        <v>57</v>
      </c>
      <c r="H355" s="2">
        <v>60092000</v>
      </c>
      <c r="I355" s="8">
        <v>1</v>
      </c>
    </row>
    <row r="356" spans="2:9" x14ac:dyDescent="0.25">
      <c r="B356" s="8">
        <f>1000000+INDEX(编号表!$B:$B,MATCH(C356,编号表!$A:$A,0))*1000+INDEX(编号表!$D:$D,MATCH(D356,编号表!$C:$C,0))*100+E356</f>
        <v>1010102</v>
      </c>
      <c r="C356" s="2" t="s">
        <v>204</v>
      </c>
      <c r="D356" s="8" t="s">
        <v>58</v>
      </c>
      <c r="E356" s="8">
        <v>2</v>
      </c>
      <c r="F356" s="11" t="s">
        <v>59</v>
      </c>
      <c r="G356" s="12" t="s">
        <v>57</v>
      </c>
      <c r="H356" s="2">
        <v>60092001</v>
      </c>
      <c r="I356" s="8">
        <v>1</v>
      </c>
    </row>
    <row r="357" spans="2:9" x14ac:dyDescent="0.25">
      <c r="B357" s="8">
        <f>1000000+INDEX(编号表!$B:$B,MATCH(C357,编号表!$A:$A,0))*1000+INDEX(编号表!$D:$D,MATCH(D357,编号表!$C:$C,0))*100+E357</f>
        <v>1010201</v>
      </c>
      <c r="C357" s="2" t="s">
        <v>204</v>
      </c>
      <c r="D357" s="8" t="s">
        <v>60</v>
      </c>
      <c r="E357" s="8">
        <f t="shared" ref="E357:E386" si="8">I357+K357+M357+O357+Q357+S357+U357+W357+Y357+AA357</f>
        <v>1</v>
      </c>
      <c r="F357" s="2" t="s">
        <v>198</v>
      </c>
      <c r="G357" s="12" t="s">
        <v>62</v>
      </c>
      <c r="H357" s="2">
        <v>60091000</v>
      </c>
      <c r="I357" s="8">
        <v>1</v>
      </c>
    </row>
    <row r="358" spans="2:9" x14ac:dyDescent="0.25">
      <c r="B358" s="8">
        <f>1000000+INDEX(编号表!$B:$B,MATCH(C358,编号表!$A:$A,0))*1000+INDEX(编号表!$D:$D,MATCH(D358,编号表!$C:$C,0))*100+E358</f>
        <v>1010301</v>
      </c>
      <c r="C358" s="2" t="s">
        <v>204</v>
      </c>
      <c r="D358" s="8" t="s">
        <v>63</v>
      </c>
      <c r="E358" s="8">
        <f t="shared" si="8"/>
        <v>1</v>
      </c>
      <c r="F358" s="2" t="s">
        <v>199</v>
      </c>
      <c r="G358" s="12" t="s">
        <v>62</v>
      </c>
      <c r="H358" s="2">
        <v>60091001</v>
      </c>
      <c r="I358" s="8">
        <v>1</v>
      </c>
    </row>
    <row r="359" spans="2:9" x14ac:dyDescent="0.25">
      <c r="B359" s="8">
        <f>1000000+INDEX(编号表!$B:$B,MATCH(C359,编号表!$A:$A,0))*1000+INDEX(编号表!$D:$D,MATCH(D359,编号表!$C:$C,0))*100+E359</f>
        <v>1010401</v>
      </c>
      <c r="C359" s="2" t="s">
        <v>204</v>
      </c>
      <c r="D359" s="8" t="s">
        <v>65</v>
      </c>
      <c r="E359" s="8">
        <f t="shared" si="8"/>
        <v>1</v>
      </c>
      <c r="F359" s="2" t="s">
        <v>200</v>
      </c>
      <c r="G359" s="12" t="s">
        <v>62</v>
      </c>
      <c r="H359" s="2">
        <v>60091002</v>
      </c>
      <c r="I359" s="8">
        <v>1</v>
      </c>
    </row>
    <row r="360" spans="2:9" x14ac:dyDescent="0.25">
      <c r="B360" s="8">
        <f>1000000+INDEX(编号表!$B:$B,MATCH(C360,编号表!$A:$A,0))*1000+INDEX(编号表!$D:$D,MATCH(D360,编号表!$C:$C,0))*100+E360</f>
        <v>1010501</v>
      </c>
      <c r="C360" s="2" t="s">
        <v>204</v>
      </c>
      <c r="D360" s="8" t="s">
        <v>67</v>
      </c>
      <c r="E360" s="8">
        <f t="shared" si="8"/>
        <v>1</v>
      </c>
      <c r="F360" s="2" t="s">
        <v>201</v>
      </c>
      <c r="G360" s="12" t="s">
        <v>62</v>
      </c>
      <c r="H360" s="2">
        <v>60091003</v>
      </c>
      <c r="I360" s="8">
        <v>1</v>
      </c>
    </row>
    <row r="361" spans="2:9" x14ac:dyDescent="0.25">
      <c r="B361" s="8">
        <f>1000000+INDEX(编号表!$B:$B,MATCH(C361,编号表!$A:$A,0))*1000+INDEX(编号表!$D:$D,MATCH(D361,编号表!$C:$C,0))*100+E361</f>
        <v>1010601</v>
      </c>
      <c r="C361" s="2" t="s">
        <v>204</v>
      </c>
      <c r="D361" s="8" t="s">
        <v>69</v>
      </c>
      <c r="E361" s="8">
        <f t="shared" si="8"/>
        <v>1</v>
      </c>
      <c r="F361" s="2" t="s">
        <v>203</v>
      </c>
      <c r="G361" s="12" t="s">
        <v>62</v>
      </c>
      <c r="H361" s="2">
        <v>60091004</v>
      </c>
      <c r="I361" s="8">
        <v>1</v>
      </c>
    </row>
    <row r="362" spans="2:9" x14ac:dyDescent="0.25">
      <c r="B362" s="8">
        <f>1000000+INDEX(编号表!$B:$B,MATCH(C362,编号表!$A:$A,0))*1000+INDEX(编号表!$D:$D,MATCH(D362,编号表!$C:$C,0))*100+E362</f>
        <v>1010202</v>
      </c>
      <c r="C362" s="2" t="s">
        <v>204</v>
      </c>
      <c r="D362" s="8" t="s">
        <v>60</v>
      </c>
      <c r="E362" s="8">
        <f t="shared" si="8"/>
        <v>2</v>
      </c>
      <c r="F362" s="2" t="s">
        <v>198</v>
      </c>
      <c r="G362" s="12" t="s">
        <v>62</v>
      </c>
      <c r="H362" s="2">
        <v>60091000</v>
      </c>
      <c r="I362" s="8">
        <v>2</v>
      </c>
    </row>
    <row r="363" spans="2:9" x14ac:dyDescent="0.25">
      <c r="B363" s="8">
        <f>1000000+INDEX(编号表!$B:$B,MATCH(C363,编号表!$A:$A,0))*1000+INDEX(编号表!$D:$D,MATCH(D363,编号表!$C:$C,0))*100+E363</f>
        <v>1010302</v>
      </c>
      <c r="C363" s="2" t="s">
        <v>204</v>
      </c>
      <c r="D363" s="8" t="s">
        <v>63</v>
      </c>
      <c r="E363" s="8">
        <f t="shared" si="8"/>
        <v>2</v>
      </c>
      <c r="F363" s="2" t="s">
        <v>199</v>
      </c>
      <c r="G363" s="12" t="s">
        <v>62</v>
      </c>
      <c r="H363" s="2">
        <v>60091001</v>
      </c>
      <c r="I363" s="8">
        <v>2</v>
      </c>
    </row>
    <row r="364" spans="2:9" x14ac:dyDescent="0.25">
      <c r="B364" s="8">
        <f>1000000+INDEX(编号表!$B:$B,MATCH(C364,编号表!$A:$A,0))*1000+INDEX(编号表!$D:$D,MATCH(D364,编号表!$C:$C,0))*100+E364</f>
        <v>1010402</v>
      </c>
      <c r="C364" s="2" t="s">
        <v>204</v>
      </c>
      <c r="D364" s="8" t="s">
        <v>65</v>
      </c>
      <c r="E364" s="8">
        <f t="shared" si="8"/>
        <v>2</v>
      </c>
      <c r="F364" s="2" t="s">
        <v>200</v>
      </c>
      <c r="G364" s="12" t="s">
        <v>62</v>
      </c>
      <c r="H364" s="2">
        <v>60091002</v>
      </c>
      <c r="I364" s="8">
        <v>2</v>
      </c>
    </row>
    <row r="365" spans="2:9" x14ac:dyDescent="0.25">
      <c r="B365" s="8">
        <f>1000000+INDEX(编号表!$B:$B,MATCH(C365,编号表!$A:$A,0))*1000+INDEX(编号表!$D:$D,MATCH(D365,编号表!$C:$C,0))*100+E365</f>
        <v>1010502</v>
      </c>
      <c r="C365" s="2" t="s">
        <v>204</v>
      </c>
      <c r="D365" s="8" t="s">
        <v>67</v>
      </c>
      <c r="E365" s="8">
        <f t="shared" si="8"/>
        <v>2</v>
      </c>
      <c r="F365" s="2" t="s">
        <v>201</v>
      </c>
      <c r="G365" s="12" t="s">
        <v>62</v>
      </c>
      <c r="H365" s="2">
        <v>60091003</v>
      </c>
      <c r="I365" s="8">
        <v>2</v>
      </c>
    </row>
    <row r="366" spans="2:9" x14ac:dyDescent="0.25">
      <c r="B366" s="8">
        <f>1000000+INDEX(编号表!$B:$B,MATCH(C366,编号表!$A:$A,0))*1000+INDEX(编号表!$D:$D,MATCH(D366,编号表!$C:$C,0))*100+E366</f>
        <v>1010602</v>
      </c>
      <c r="C366" s="2" t="s">
        <v>204</v>
      </c>
      <c r="D366" s="8" t="s">
        <v>69</v>
      </c>
      <c r="E366" s="8">
        <f t="shared" si="8"/>
        <v>2</v>
      </c>
      <c r="F366" s="2" t="s">
        <v>203</v>
      </c>
      <c r="G366" s="12" t="s">
        <v>62</v>
      </c>
      <c r="H366" s="2">
        <v>60091004</v>
      </c>
      <c r="I366" s="8">
        <v>2</v>
      </c>
    </row>
    <row r="367" spans="2:9" x14ac:dyDescent="0.25">
      <c r="B367" s="8">
        <f>1000000+INDEX(编号表!$B:$B,MATCH(C367,编号表!$A:$A,0))*1000+INDEX(编号表!$D:$D,MATCH(D367,编号表!$C:$C,0))*100+E367</f>
        <v>1010203</v>
      </c>
      <c r="C367" s="2" t="s">
        <v>204</v>
      </c>
      <c r="D367" s="8" t="s">
        <v>60</v>
      </c>
      <c r="E367" s="8">
        <f t="shared" si="8"/>
        <v>3</v>
      </c>
      <c r="F367" s="2" t="s">
        <v>198</v>
      </c>
      <c r="G367" s="12" t="s">
        <v>62</v>
      </c>
      <c r="H367" s="2">
        <v>60091000</v>
      </c>
      <c r="I367" s="8">
        <v>3</v>
      </c>
    </row>
    <row r="368" spans="2:9" x14ac:dyDescent="0.25">
      <c r="B368" s="8">
        <f>1000000+INDEX(编号表!$B:$B,MATCH(C368,编号表!$A:$A,0))*1000+INDEX(编号表!$D:$D,MATCH(D368,编号表!$C:$C,0))*100+E368</f>
        <v>1010303</v>
      </c>
      <c r="C368" s="2" t="s">
        <v>204</v>
      </c>
      <c r="D368" s="8" t="s">
        <v>63</v>
      </c>
      <c r="E368" s="8">
        <f t="shared" si="8"/>
        <v>3</v>
      </c>
      <c r="F368" s="2" t="s">
        <v>199</v>
      </c>
      <c r="G368" s="12" t="s">
        <v>62</v>
      </c>
      <c r="H368" s="2">
        <v>60091001</v>
      </c>
      <c r="I368" s="8">
        <v>3</v>
      </c>
    </row>
    <row r="369" spans="2:9" x14ac:dyDescent="0.25">
      <c r="B369" s="8">
        <f>1000000+INDEX(编号表!$B:$B,MATCH(C369,编号表!$A:$A,0))*1000+INDEX(编号表!$D:$D,MATCH(D369,编号表!$C:$C,0))*100+E369</f>
        <v>1010403</v>
      </c>
      <c r="C369" s="2" t="s">
        <v>204</v>
      </c>
      <c r="D369" s="8" t="s">
        <v>65</v>
      </c>
      <c r="E369" s="8">
        <f t="shared" si="8"/>
        <v>3</v>
      </c>
      <c r="F369" s="2" t="s">
        <v>200</v>
      </c>
      <c r="G369" s="12" t="s">
        <v>62</v>
      </c>
      <c r="H369" s="2">
        <v>60091002</v>
      </c>
      <c r="I369" s="8">
        <v>3</v>
      </c>
    </row>
    <row r="370" spans="2:9" x14ac:dyDescent="0.25">
      <c r="B370" s="8">
        <f>1000000+INDEX(编号表!$B:$B,MATCH(C370,编号表!$A:$A,0))*1000+INDEX(编号表!$D:$D,MATCH(D370,编号表!$C:$C,0))*100+E370</f>
        <v>1010503</v>
      </c>
      <c r="C370" s="2" t="s">
        <v>204</v>
      </c>
      <c r="D370" s="8" t="s">
        <v>67</v>
      </c>
      <c r="E370" s="8">
        <f t="shared" si="8"/>
        <v>3</v>
      </c>
      <c r="F370" s="2" t="s">
        <v>201</v>
      </c>
      <c r="G370" s="12" t="s">
        <v>62</v>
      </c>
      <c r="H370" s="2">
        <v>60091003</v>
      </c>
      <c r="I370" s="8">
        <v>3</v>
      </c>
    </row>
    <row r="371" spans="2:9" x14ac:dyDescent="0.25">
      <c r="B371" s="8">
        <f>1000000+INDEX(编号表!$B:$B,MATCH(C371,编号表!$A:$A,0))*1000+INDEX(编号表!$D:$D,MATCH(D371,编号表!$C:$C,0))*100+E371</f>
        <v>1010603</v>
      </c>
      <c r="C371" s="2" t="s">
        <v>204</v>
      </c>
      <c r="D371" s="8" t="s">
        <v>69</v>
      </c>
      <c r="E371" s="8">
        <f t="shared" si="8"/>
        <v>3</v>
      </c>
      <c r="F371" s="2" t="s">
        <v>203</v>
      </c>
      <c r="G371" s="12" t="s">
        <v>62</v>
      </c>
      <c r="H371" s="2">
        <v>60091004</v>
      </c>
      <c r="I371" s="8">
        <v>3</v>
      </c>
    </row>
    <row r="372" spans="2:9" x14ac:dyDescent="0.25">
      <c r="B372" s="8">
        <f>1000000+INDEX(编号表!$B:$B,MATCH(C372,编号表!$A:$A,0))*1000+INDEX(编号表!$D:$D,MATCH(D372,编号表!$C:$C,0))*100+E372</f>
        <v>1010205</v>
      </c>
      <c r="C372" s="2" t="s">
        <v>204</v>
      </c>
      <c r="D372" s="8" t="s">
        <v>60</v>
      </c>
      <c r="E372" s="8">
        <f t="shared" si="8"/>
        <v>5</v>
      </c>
      <c r="F372" s="2" t="s">
        <v>198</v>
      </c>
      <c r="G372" s="12" t="s">
        <v>62</v>
      </c>
      <c r="H372" s="2">
        <v>60091000</v>
      </c>
      <c r="I372" s="8">
        <v>5</v>
      </c>
    </row>
    <row r="373" spans="2:9" x14ac:dyDescent="0.25">
      <c r="B373" s="8">
        <f>1000000+INDEX(编号表!$B:$B,MATCH(C373,编号表!$A:$A,0))*1000+INDEX(编号表!$D:$D,MATCH(D373,编号表!$C:$C,0))*100+E373</f>
        <v>1010305</v>
      </c>
      <c r="C373" s="2" t="s">
        <v>204</v>
      </c>
      <c r="D373" s="8" t="s">
        <v>63</v>
      </c>
      <c r="E373" s="8">
        <f t="shared" si="8"/>
        <v>5</v>
      </c>
      <c r="F373" s="2" t="s">
        <v>199</v>
      </c>
      <c r="G373" s="12" t="s">
        <v>62</v>
      </c>
      <c r="H373" s="2">
        <v>60091001</v>
      </c>
      <c r="I373" s="8">
        <v>5</v>
      </c>
    </row>
    <row r="374" spans="2:9" x14ac:dyDescent="0.25">
      <c r="B374" s="8">
        <f>1000000+INDEX(编号表!$B:$B,MATCH(C374,编号表!$A:$A,0))*1000+INDEX(编号表!$D:$D,MATCH(D374,编号表!$C:$C,0))*100+E374</f>
        <v>1010405</v>
      </c>
      <c r="C374" s="2" t="s">
        <v>204</v>
      </c>
      <c r="D374" s="8" t="s">
        <v>65</v>
      </c>
      <c r="E374" s="8">
        <f t="shared" si="8"/>
        <v>5</v>
      </c>
      <c r="F374" s="2" t="s">
        <v>200</v>
      </c>
      <c r="G374" s="12" t="s">
        <v>62</v>
      </c>
      <c r="H374" s="2">
        <v>60091002</v>
      </c>
      <c r="I374" s="8">
        <v>5</v>
      </c>
    </row>
    <row r="375" spans="2:9" x14ac:dyDescent="0.25">
      <c r="B375" s="8">
        <f>1000000+INDEX(编号表!$B:$B,MATCH(C375,编号表!$A:$A,0))*1000+INDEX(编号表!$D:$D,MATCH(D375,编号表!$C:$C,0))*100+E375</f>
        <v>1010505</v>
      </c>
      <c r="C375" s="2" t="s">
        <v>204</v>
      </c>
      <c r="D375" s="8" t="s">
        <v>67</v>
      </c>
      <c r="E375" s="8">
        <f t="shared" si="8"/>
        <v>5</v>
      </c>
      <c r="F375" s="2" t="s">
        <v>201</v>
      </c>
      <c r="G375" s="12" t="s">
        <v>62</v>
      </c>
      <c r="H375" s="2">
        <v>60091003</v>
      </c>
      <c r="I375" s="8">
        <v>5</v>
      </c>
    </row>
    <row r="376" spans="2:9" x14ac:dyDescent="0.25">
      <c r="B376" s="8">
        <f>1000000+INDEX(编号表!$B:$B,MATCH(C376,编号表!$A:$A,0))*1000+INDEX(编号表!$D:$D,MATCH(D376,编号表!$C:$C,0))*100+E376</f>
        <v>1010605</v>
      </c>
      <c r="C376" s="2" t="s">
        <v>204</v>
      </c>
      <c r="D376" s="8" t="s">
        <v>69</v>
      </c>
      <c r="E376" s="8">
        <f t="shared" si="8"/>
        <v>5</v>
      </c>
      <c r="F376" s="2" t="s">
        <v>203</v>
      </c>
      <c r="G376" s="12" t="s">
        <v>62</v>
      </c>
      <c r="H376" s="2">
        <v>60091004</v>
      </c>
      <c r="I376" s="8">
        <v>5</v>
      </c>
    </row>
    <row r="377" spans="2:9" x14ac:dyDescent="0.25">
      <c r="B377" s="8">
        <f>1000000+INDEX(编号表!$B:$B,MATCH(C377,编号表!$A:$A,0))*1000+INDEX(编号表!$D:$D,MATCH(D377,编号表!$C:$C,0))*100+E377</f>
        <v>1010210</v>
      </c>
      <c r="C377" s="2" t="s">
        <v>204</v>
      </c>
      <c r="D377" s="8" t="s">
        <v>60</v>
      </c>
      <c r="E377" s="8">
        <f t="shared" si="8"/>
        <v>10</v>
      </c>
      <c r="F377" s="2" t="s">
        <v>198</v>
      </c>
      <c r="G377" s="12" t="s">
        <v>62</v>
      </c>
      <c r="H377" s="2">
        <v>60091000</v>
      </c>
      <c r="I377" s="8">
        <v>10</v>
      </c>
    </row>
    <row r="378" spans="2:9" x14ac:dyDescent="0.25">
      <c r="B378" s="8">
        <f>1000000+INDEX(编号表!$B:$B,MATCH(C378,编号表!$A:$A,0))*1000+INDEX(编号表!$D:$D,MATCH(D378,编号表!$C:$C,0))*100+E378</f>
        <v>1010310</v>
      </c>
      <c r="C378" s="2" t="s">
        <v>204</v>
      </c>
      <c r="D378" s="8" t="s">
        <v>63</v>
      </c>
      <c r="E378" s="8">
        <f t="shared" si="8"/>
        <v>10</v>
      </c>
      <c r="F378" s="2" t="s">
        <v>199</v>
      </c>
      <c r="G378" s="12" t="s">
        <v>62</v>
      </c>
      <c r="H378" s="2">
        <v>60091001</v>
      </c>
      <c r="I378" s="8">
        <v>10</v>
      </c>
    </row>
    <row r="379" spans="2:9" x14ac:dyDescent="0.25">
      <c r="B379" s="8">
        <f>1000000+INDEX(编号表!$B:$B,MATCH(C379,编号表!$A:$A,0))*1000+INDEX(编号表!$D:$D,MATCH(D379,编号表!$C:$C,0))*100+E379</f>
        <v>1010410</v>
      </c>
      <c r="C379" s="2" t="s">
        <v>204</v>
      </c>
      <c r="D379" s="8" t="s">
        <v>65</v>
      </c>
      <c r="E379" s="8">
        <f t="shared" si="8"/>
        <v>10</v>
      </c>
      <c r="F379" s="2" t="s">
        <v>200</v>
      </c>
      <c r="G379" s="12" t="s">
        <v>62</v>
      </c>
      <c r="H379" s="2">
        <v>60091002</v>
      </c>
      <c r="I379" s="8">
        <v>10</v>
      </c>
    </row>
    <row r="380" spans="2:9" x14ac:dyDescent="0.25">
      <c r="B380" s="8">
        <f>1000000+INDEX(编号表!$B:$B,MATCH(C380,编号表!$A:$A,0))*1000+INDEX(编号表!$D:$D,MATCH(D380,编号表!$C:$C,0))*100+E380</f>
        <v>1010510</v>
      </c>
      <c r="C380" s="2" t="s">
        <v>204</v>
      </c>
      <c r="D380" s="8" t="s">
        <v>67</v>
      </c>
      <c r="E380" s="8">
        <f t="shared" si="8"/>
        <v>10</v>
      </c>
      <c r="F380" s="2" t="s">
        <v>201</v>
      </c>
      <c r="G380" s="12" t="s">
        <v>62</v>
      </c>
      <c r="H380" s="2">
        <v>60091003</v>
      </c>
      <c r="I380" s="8">
        <v>10</v>
      </c>
    </row>
    <row r="381" spans="2:9" x14ac:dyDescent="0.25">
      <c r="B381" s="8">
        <f>1000000+INDEX(编号表!$B:$B,MATCH(C381,编号表!$A:$A,0))*1000+INDEX(编号表!$D:$D,MATCH(D381,编号表!$C:$C,0))*100+E381</f>
        <v>1010610</v>
      </c>
      <c r="C381" s="2" t="s">
        <v>204</v>
      </c>
      <c r="D381" s="8" t="s">
        <v>69</v>
      </c>
      <c r="E381" s="8">
        <f t="shared" si="8"/>
        <v>10</v>
      </c>
      <c r="F381" s="2" t="s">
        <v>203</v>
      </c>
      <c r="G381" s="12" t="s">
        <v>62</v>
      </c>
      <c r="H381" s="2">
        <v>60091004</v>
      </c>
      <c r="I381" s="8">
        <v>10</v>
      </c>
    </row>
    <row r="382" spans="2:9" x14ac:dyDescent="0.25">
      <c r="B382" s="8">
        <f>1000000+INDEX(编号表!$B:$B,MATCH(C382,编号表!$A:$A,0))*1000+INDEX(编号表!$D:$D,MATCH(D382,编号表!$C:$C,0))*100+E382</f>
        <v>1010215</v>
      </c>
      <c r="C382" s="2" t="s">
        <v>204</v>
      </c>
      <c r="D382" s="8" t="s">
        <v>60</v>
      </c>
      <c r="E382" s="8">
        <f t="shared" si="8"/>
        <v>15</v>
      </c>
      <c r="F382" s="2" t="s">
        <v>198</v>
      </c>
      <c r="G382" s="12" t="s">
        <v>62</v>
      </c>
      <c r="H382" s="2">
        <v>60091000</v>
      </c>
      <c r="I382" s="8">
        <v>15</v>
      </c>
    </row>
    <row r="383" spans="2:9" x14ac:dyDescent="0.25">
      <c r="B383" s="8">
        <f>1000000+INDEX(编号表!$B:$B,MATCH(C383,编号表!$A:$A,0))*1000+INDEX(编号表!$D:$D,MATCH(D383,编号表!$C:$C,0))*100+E383</f>
        <v>1010315</v>
      </c>
      <c r="C383" s="2" t="s">
        <v>204</v>
      </c>
      <c r="D383" s="8" t="s">
        <v>63</v>
      </c>
      <c r="E383" s="8">
        <f t="shared" si="8"/>
        <v>15</v>
      </c>
      <c r="F383" s="2" t="s">
        <v>199</v>
      </c>
      <c r="G383" s="12" t="s">
        <v>62</v>
      </c>
      <c r="H383" s="2">
        <v>60091001</v>
      </c>
      <c r="I383" s="8">
        <v>15</v>
      </c>
    </row>
    <row r="384" spans="2:9" x14ac:dyDescent="0.25">
      <c r="B384" s="8">
        <f>1000000+INDEX(编号表!$B:$B,MATCH(C384,编号表!$A:$A,0))*1000+INDEX(编号表!$D:$D,MATCH(D384,编号表!$C:$C,0))*100+E384</f>
        <v>1010415</v>
      </c>
      <c r="C384" s="2" t="s">
        <v>204</v>
      </c>
      <c r="D384" s="8" t="s">
        <v>65</v>
      </c>
      <c r="E384" s="8">
        <f t="shared" si="8"/>
        <v>15</v>
      </c>
      <c r="F384" s="2" t="s">
        <v>200</v>
      </c>
      <c r="G384" s="12" t="s">
        <v>62</v>
      </c>
      <c r="H384" s="2">
        <v>60091002</v>
      </c>
      <c r="I384" s="8">
        <v>15</v>
      </c>
    </row>
    <row r="385" spans="2:9" x14ac:dyDescent="0.25">
      <c r="B385" s="8">
        <f>1000000+INDEX(编号表!$B:$B,MATCH(C385,编号表!$A:$A,0))*1000+INDEX(编号表!$D:$D,MATCH(D385,编号表!$C:$C,0))*100+E385</f>
        <v>1010515</v>
      </c>
      <c r="C385" s="2" t="s">
        <v>204</v>
      </c>
      <c r="D385" s="8" t="s">
        <v>67</v>
      </c>
      <c r="E385" s="8">
        <f t="shared" si="8"/>
        <v>15</v>
      </c>
      <c r="F385" s="2" t="s">
        <v>201</v>
      </c>
      <c r="G385" s="12" t="s">
        <v>62</v>
      </c>
      <c r="H385" s="2">
        <v>60091003</v>
      </c>
      <c r="I385" s="8">
        <v>15</v>
      </c>
    </row>
    <row r="386" spans="2:9" x14ac:dyDescent="0.25">
      <c r="B386" s="8">
        <f>1000000+INDEX(编号表!$B:$B,MATCH(C386,编号表!$A:$A,0))*1000+INDEX(编号表!$D:$D,MATCH(D386,编号表!$C:$C,0))*100+E386</f>
        <v>1010615</v>
      </c>
      <c r="C386" s="2" t="s">
        <v>204</v>
      </c>
      <c r="D386" s="8" t="s">
        <v>69</v>
      </c>
      <c r="E386" s="8">
        <f t="shared" si="8"/>
        <v>15</v>
      </c>
      <c r="F386" s="2" t="s">
        <v>203</v>
      </c>
      <c r="G386" s="12" t="s">
        <v>62</v>
      </c>
      <c r="H386" s="2">
        <v>60091004</v>
      </c>
      <c r="I386" s="8">
        <v>15</v>
      </c>
    </row>
    <row r="387" spans="2:9" x14ac:dyDescent="0.25">
      <c r="B387" s="8">
        <f>1000000+INDEX(编号表!$B:$B,MATCH(C387,编号表!$A:$A,0))*1000+INDEX(编号表!$D:$D,MATCH(D387,编号表!$C:$C,0))*100+E387</f>
        <v>1011001</v>
      </c>
      <c r="C387" s="2" t="s">
        <v>205</v>
      </c>
      <c r="D387" s="8" t="s">
        <v>55</v>
      </c>
      <c r="E387" s="8">
        <v>1</v>
      </c>
      <c r="F387" s="11" t="s">
        <v>56</v>
      </c>
      <c r="G387" s="12" t="s">
        <v>57</v>
      </c>
      <c r="H387" s="8">
        <v>60104000</v>
      </c>
      <c r="I387" s="8">
        <v>1</v>
      </c>
    </row>
    <row r="388" spans="2:9" x14ac:dyDescent="0.25">
      <c r="B388" s="8">
        <f>1000000+INDEX(编号表!$B:$B,MATCH(C388,编号表!$A:$A,0))*1000+INDEX(编号表!$D:$D,MATCH(D388,编号表!$C:$C,0))*100+E388</f>
        <v>1011002</v>
      </c>
      <c r="C388" s="2" t="s">
        <v>205</v>
      </c>
      <c r="D388" s="8" t="s">
        <v>55</v>
      </c>
      <c r="E388" s="8">
        <v>2</v>
      </c>
      <c r="F388" s="11" t="s">
        <v>56</v>
      </c>
      <c r="G388" s="12" t="s">
        <v>57</v>
      </c>
      <c r="H388" s="8">
        <v>60104001</v>
      </c>
      <c r="I388" s="8">
        <v>1</v>
      </c>
    </row>
    <row r="389" spans="2:9" x14ac:dyDescent="0.25">
      <c r="B389" s="8">
        <f>1000000+INDEX(编号表!$B:$B,MATCH(C389,编号表!$A:$A,0))*1000+INDEX(编号表!$D:$D,MATCH(D389,编号表!$C:$C,0))*100+E389</f>
        <v>1011101</v>
      </c>
      <c r="C389" s="2" t="s">
        <v>205</v>
      </c>
      <c r="D389" s="8" t="s">
        <v>58</v>
      </c>
      <c r="E389" s="8">
        <v>1</v>
      </c>
      <c r="F389" s="11" t="s">
        <v>59</v>
      </c>
      <c r="G389" s="12" t="s">
        <v>57</v>
      </c>
      <c r="H389" s="2">
        <v>60102000</v>
      </c>
      <c r="I389" s="8">
        <v>1</v>
      </c>
    </row>
    <row r="390" spans="2:9" x14ac:dyDescent="0.25">
      <c r="B390" s="8">
        <f>1000000+INDEX(编号表!$B:$B,MATCH(C390,编号表!$A:$A,0))*1000+INDEX(编号表!$D:$D,MATCH(D390,编号表!$C:$C,0))*100+E390</f>
        <v>1011102</v>
      </c>
      <c r="C390" s="2" t="s">
        <v>205</v>
      </c>
      <c r="D390" s="8" t="s">
        <v>58</v>
      </c>
      <c r="E390" s="8">
        <v>2</v>
      </c>
      <c r="F390" s="11" t="s">
        <v>59</v>
      </c>
      <c r="G390" s="12" t="s">
        <v>57</v>
      </c>
      <c r="H390" s="2">
        <v>60102001</v>
      </c>
      <c r="I390" s="8">
        <v>1</v>
      </c>
    </row>
    <row r="391" spans="2:9" x14ac:dyDescent="0.25">
      <c r="B391" s="8">
        <f>1000000+INDEX(编号表!$B:$B,MATCH(C391,编号表!$A:$A,0))*1000+INDEX(编号表!$D:$D,MATCH(D391,编号表!$C:$C,0))*100+E391</f>
        <v>1011103</v>
      </c>
      <c r="C391" s="2" t="s">
        <v>205</v>
      </c>
      <c r="D391" s="8" t="s">
        <v>58</v>
      </c>
      <c r="E391" s="8">
        <v>3</v>
      </c>
      <c r="F391" s="11" t="s">
        <v>59</v>
      </c>
      <c r="G391" s="12" t="s">
        <v>57</v>
      </c>
      <c r="H391" s="2">
        <v>60102002</v>
      </c>
      <c r="I391" s="8">
        <v>1</v>
      </c>
    </row>
    <row r="392" spans="2:9" x14ac:dyDescent="0.25">
      <c r="B392" s="8">
        <f>1000000+INDEX(编号表!$B:$B,MATCH(C392,编号表!$A:$A,0))*1000+INDEX(编号表!$D:$D,MATCH(D392,编号表!$C:$C,0))*100+E392</f>
        <v>1011201</v>
      </c>
      <c r="C392" s="2" t="s">
        <v>205</v>
      </c>
      <c r="D392" s="8" t="s">
        <v>60</v>
      </c>
      <c r="E392" s="8">
        <f t="shared" ref="E392:E427" si="9">I392+K392+M392+O392+Q392+S392+U392+W392+Y392+AA392</f>
        <v>1</v>
      </c>
      <c r="F392" s="2" t="s">
        <v>206</v>
      </c>
      <c r="G392" s="12" t="s">
        <v>62</v>
      </c>
      <c r="H392" s="2">
        <v>60101000</v>
      </c>
      <c r="I392" s="8">
        <v>1</v>
      </c>
    </row>
    <row r="393" spans="2:9" x14ac:dyDescent="0.25">
      <c r="B393" s="8">
        <f>1000000+INDEX(编号表!$B:$B,MATCH(C393,编号表!$A:$A,0))*1000+INDEX(编号表!$D:$D,MATCH(D393,编号表!$C:$C,0))*100+E393</f>
        <v>1011301</v>
      </c>
      <c r="C393" s="2" t="s">
        <v>205</v>
      </c>
      <c r="D393" s="8" t="s">
        <v>63</v>
      </c>
      <c r="E393" s="8">
        <f t="shared" si="9"/>
        <v>1</v>
      </c>
      <c r="F393" s="2" t="s">
        <v>207</v>
      </c>
      <c r="G393" s="12" t="s">
        <v>62</v>
      </c>
      <c r="H393" s="2">
        <v>60101001</v>
      </c>
      <c r="I393" s="8">
        <v>1</v>
      </c>
    </row>
    <row r="394" spans="2:9" x14ac:dyDescent="0.25">
      <c r="B394" s="8">
        <f>1000000+INDEX(编号表!$B:$B,MATCH(C394,编号表!$A:$A,0))*1000+INDEX(编号表!$D:$D,MATCH(D394,编号表!$C:$C,0))*100+E394</f>
        <v>1011401</v>
      </c>
      <c r="C394" s="2" t="s">
        <v>205</v>
      </c>
      <c r="D394" s="8" t="s">
        <v>65</v>
      </c>
      <c r="E394" s="8">
        <f t="shared" si="9"/>
        <v>1</v>
      </c>
      <c r="F394" s="2" t="s">
        <v>208</v>
      </c>
      <c r="G394" s="12" t="s">
        <v>62</v>
      </c>
      <c r="H394" s="2">
        <v>60101002</v>
      </c>
      <c r="I394" s="8">
        <v>1</v>
      </c>
    </row>
    <row r="395" spans="2:9" x14ac:dyDescent="0.25">
      <c r="B395" s="8">
        <f>1000000+INDEX(编号表!$B:$B,MATCH(C395,编号表!$A:$A,0))*1000+INDEX(编号表!$D:$D,MATCH(D395,编号表!$C:$C,0))*100+E395</f>
        <v>1011501</v>
      </c>
      <c r="C395" s="2" t="s">
        <v>205</v>
      </c>
      <c r="D395" s="8" t="s">
        <v>67</v>
      </c>
      <c r="E395" s="8">
        <f t="shared" si="9"/>
        <v>1</v>
      </c>
      <c r="F395" s="2" t="s">
        <v>209</v>
      </c>
      <c r="G395" s="12" t="s">
        <v>62</v>
      </c>
      <c r="H395" s="2">
        <v>60101003</v>
      </c>
      <c r="I395" s="8">
        <v>1</v>
      </c>
    </row>
    <row r="396" spans="2:9" x14ac:dyDescent="0.25">
      <c r="B396" s="8">
        <f>1000000+INDEX(编号表!$B:$B,MATCH(C396,编号表!$A:$A,0))*1000+INDEX(编号表!$D:$D,MATCH(D396,编号表!$C:$C,0))*100+E396</f>
        <v>1011601</v>
      </c>
      <c r="C396" s="2" t="s">
        <v>205</v>
      </c>
      <c r="D396" s="8" t="s">
        <v>69</v>
      </c>
      <c r="E396" s="8">
        <f t="shared" si="9"/>
        <v>1</v>
      </c>
      <c r="F396" s="2" t="s">
        <v>210</v>
      </c>
      <c r="G396" s="12" t="s">
        <v>62</v>
      </c>
      <c r="H396" s="2">
        <v>60101004</v>
      </c>
      <c r="I396" s="8">
        <v>1</v>
      </c>
    </row>
    <row r="397" spans="2:9" x14ac:dyDescent="0.25">
      <c r="B397" s="8">
        <f>1000000+INDEX(编号表!$B:$B,MATCH(C397,编号表!$A:$A,0))*1000+INDEX(编号表!$D:$D,MATCH(D397,编号表!$C:$C,0))*100+E397</f>
        <v>1011701</v>
      </c>
      <c r="C397" s="2" t="s">
        <v>205</v>
      </c>
      <c r="D397" s="8" t="s">
        <v>179</v>
      </c>
      <c r="E397" s="8">
        <f t="shared" si="9"/>
        <v>1</v>
      </c>
      <c r="F397" s="2" t="s">
        <v>180</v>
      </c>
      <c r="G397" s="12" t="s">
        <v>62</v>
      </c>
      <c r="H397" s="2">
        <v>60101005</v>
      </c>
      <c r="I397" s="8">
        <v>1</v>
      </c>
    </row>
    <row r="398" spans="2:9" x14ac:dyDescent="0.25">
      <c r="B398" s="8">
        <f>1000000+INDEX(编号表!$B:$B,MATCH(C398,编号表!$A:$A,0))*1000+INDEX(编号表!$D:$D,MATCH(D398,编号表!$C:$C,0))*100+E398</f>
        <v>1011202</v>
      </c>
      <c r="C398" s="2" t="s">
        <v>205</v>
      </c>
      <c r="D398" s="8" t="s">
        <v>60</v>
      </c>
      <c r="E398" s="8">
        <f t="shared" si="9"/>
        <v>2</v>
      </c>
      <c r="F398" s="2" t="s">
        <v>206</v>
      </c>
      <c r="G398" s="12" t="s">
        <v>62</v>
      </c>
      <c r="H398" s="2">
        <v>60101000</v>
      </c>
      <c r="I398" s="8">
        <v>2</v>
      </c>
    </row>
    <row r="399" spans="2:9" x14ac:dyDescent="0.25">
      <c r="B399" s="8">
        <f>1000000+INDEX(编号表!$B:$B,MATCH(C399,编号表!$A:$A,0))*1000+INDEX(编号表!$D:$D,MATCH(D399,编号表!$C:$C,0))*100+E399</f>
        <v>1011302</v>
      </c>
      <c r="C399" s="2" t="s">
        <v>205</v>
      </c>
      <c r="D399" s="8" t="s">
        <v>63</v>
      </c>
      <c r="E399" s="8">
        <f t="shared" si="9"/>
        <v>2</v>
      </c>
      <c r="F399" s="2" t="s">
        <v>207</v>
      </c>
      <c r="G399" s="12" t="s">
        <v>62</v>
      </c>
      <c r="H399" s="2">
        <v>60101001</v>
      </c>
      <c r="I399" s="8">
        <v>2</v>
      </c>
    </row>
    <row r="400" spans="2:9" x14ac:dyDescent="0.25">
      <c r="B400" s="8">
        <f>1000000+INDEX(编号表!$B:$B,MATCH(C400,编号表!$A:$A,0))*1000+INDEX(编号表!$D:$D,MATCH(D400,编号表!$C:$C,0))*100+E400</f>
        <v>1011402</v>
      </c>
      <c r="C400" s="2" t="s">
        <v>205</v>
      </c>
      <c r="D400" s="8" t="s">
        <v>65</v>
      </c>
      <c r="E400" s="8">
        <f t="shared" si="9"/>
        <v>2</v>
      </c>
      <c r="F400" s="2" t="s">
        <v>208</v>
      </c>
      <c r="G400" s="12" t="s">
        <v>62</v>
      </c>
      <c r="H400" s="2">
        <v>60101002</v>
      </c>
      <c r="I400" s="8">
        <v>2</v>
      </c>
    </row>
    <row r="401" spans="2:9" x14ac:dyDescent="0.25">
      <c r="B401" s="8">
        <f>1000000+INDEX(编号表!$B:$B,MATCH(C401,编号表!$A:$A,0))*1000+INDEX(编号表!$D:$D,MATCH(D401,编号表!$C:$C,0))*100+E401</f>
        <v>1011502</v>
      </c>
      <c r="C401" s="2" t="s">
        <v>205</v>
      </c>
      <c r="D401" s="8" t="s">
        <v>67</v>
      </c>
      <c r="E401" s="8">
        <f t="shared" si="9"/>
        <v>2</v>
      </c>
      <c r="F401" s="2" t="s">
        <v>209</v>
      </c>
      <c r="G401" s="12" t="s">
        <v>62</v>
      </c>
      <c r="H401" s="2">
        <v>60101003</v>
      </c>
      <c r="I401" s="8">
        <v>2</v>
      </c>
    </row>
    <row r="402" spans="2:9" x14ac:dyDescent="0.25">
      <c r="B402" s="8">
        <f>1000000+INDEX(编号表!$B:$B,MATCH(C402,编号表!$A:$A,0))*1000+INDEX(编号表!$D:$D,MATCH(D402,编号表!$C:$C,0))*100+E402</f>
        <v>1011602</v>
      </c>
      <c r="C402" s="2" t="s">
        <v>205</v>
      </c>
      <c r="D402" s="8" t="s">
        <v>69</v>
      </c>
      <c r="E402" s="8">
        <f t="shared" si="9"/>
        <v>2</v>
      </c>
      <c r="F402" s="2" t="s">
        <v>210</v>
      </c>
      <c r="G402" s="12" t="s">
        <v>62</v>
      </c>
      <c r="H402" s="2">
        <v>60101004</v>
      </c>
      <c r="I402" s="8">
        <v>2</v>
      </c>
    </row>
    <row r="403" spans="2:9" x14ac:dyDescent="0.25">
      <c r="B403" s="8">
        <f>1000000+INDEX(编号表!$B:$B,MATCH(C403,编号表!$A:$A,0))*1000+INDEX(编号表!$D:$D,MATCH(D403,编号表!$C:$C,0))*100+E403</f>
        <v>1011702</v>
      </c>
      <c r="C403" s="2" t="s">
        <v>205</v>
      </c>
      <c r="D403" s="8" t="s">
        <v>179</v>
      </c>
      <c r="E403" s="8">
        <f t="shared" si="9"/>
        <v>2</v>
      </c>
      <c r="F403" s="2" t="s">
        <v>180</v>
      </c>
      <c r="G403" s="12" t="s">
        <v>62</v>
      </c>
      <c r="H403" s="2">
        <v>60101005</v>
      </c>
      <c r="I403" s="8">
        <v>2</v>
      </c>
    </row>
    <row r="404" spans="2:9" x14ac:dyDescent="0.25">
      <c r="B404" s="8">
        <f>1000000+INDEX(编号表!$B:$B,MATCH(C404,编号表!$A:$A,0))*1000+INDEX(编号表!$D:$D,MATCH(D404,编号表!$C:$C,0))*100+E404</f>
        <v>1011203</v>
      </c>
      <c r="C404" s="2" t="s">
        <v>205</v>
      </c>
      <c r="D404" s="8" t="s">
        <v>60</v>
      </c>
      <c r="E404" s="8">
        <f t="shared" si="9"/>
        <v>3</v>
      </c>
      <c r="F404" s="2" t="s">
        <v>206</v>
      </c>
      <c r="G404" s="12" t="s">
        <v>62</v>
      </c>
      <c r="H404" s="2">
        <v>60101000</v>
      </c>
      <c r="I404" s="8">
        <v>3</v>
      </c>
    </row>
    <row r="405" spans="2:9" x14ac:dyDescent="0.25">
      <c r="B405" s="8">
        <f>1000000+INDEX(编号表!$B:$B,MATCH(C405,编号表!$A:$A,0))*1000+INDEX(编号表!$D:$D,MATCH(D405,编号表!$C:$C,0))*100+E405</f>
        <v>1011303</v>
      </c>
      <c r="C405" s="2" t="s">
        <v>205</v>
      </c>
      <c r="D405" s="8" t="s">
        <v>63</v>
      </c>
      <c r="E405" s="8">
        <f t="shared" si="9"/>
        <v>3</v>
      </c>
      <c r="F405" s="2" t="s">
        <v>207</v>
      </c>
      <c r="G405" s="12" t="s">
        <v>62</v>
      </c>
      <c r="H405" s="2">
        <v>60101001</v>
      </c>
      <c r="I405" s="8">
        <v>3</v>
      </c>
    </row>
    <row r="406" spans="2:9" x14ac:dyDescent="0.25">
      <c r="B406" s="8">
        <f>1000000+INDEX(编号表!$B:$B,MATCH(C406,编号表!$A:$A,0))*1000+INDEX(编号表!$D:$D,MATCH(D406,编号表!$C:$C,0))*100+E406</f>
        <v>1011403</v>
      </c>
      <c r="C406" s="2" t="s">
        <v>205</v>
      </c>
      <c r="D406" s="8" t="s">
        <v>65</v>
      </c>
      <c r="E406" s="8">
        <f t="shared" si="9"/>
        <v>3</v>
      </c>
      <c r="F406" s="2" t="s">
        <v>208</v>
      </c>
      <c r="G406" s="12" t="s">
        <v>62</v>
      </c>
      <c r="H406" s="2">
        <v>60101002</v>
      </c>
      <c r="I406" s="8">
        <v>3</v>
      </c>
    </row>
    <row r="407" spans="2:9" x14ac:dyDescent="0.25">
      <c r="B407" s="8">
        <f>1000000+INDEX(编号表!$B:$B,MATCH(C407,编号表!$A:$A,0))*1000+INDEX(编号表!$D:$D,MATCH(D407,编号表!$C:$C,0))*100+E407</f>
        <v>1011503</v>
      </c>
      <c r="C407" s="2" t="s">
        <v>205</v>
      </c>
      <c r="D407" s="8" t="s">
        <v>67</v>
      </c>
      <c r="E407" s="8">
        <f t="shared" si="9"/>
        <v>3</v>
      </c>
      <c r="F407" s="2" t="s">
        <v>209</v>
      </c>
      <c r="G407" s="12" t="s">
        <v>62</v>
      </c>
      <c r="H407" s="2">
        <v>60101003</v>
      </c>
      <c r="I407" s="8">
        <v>3</v>
      </c>
    </row>
    <row r="408" spans="2:9" x14ac:dyDescent="0.25">
      <c r="B408" s="8">
        <f>1000000+INDEX(编号表!$B:$B,MATCH(C408,编号表!$A:$A,0))*1000+INDEX(编号表!$D:$D,MATCH(D408,编号表!$C:$C,0))*100+E408</f>
        <v>1011603</v>
      </c>
      <c r="C408" s="2" t="s">
        <v>205</v>
      </c>
      <c r="D408" s="8" t="s">
        <v>69</v>
      </c>
      <c r="E408" s="8">
        <f t="shared" si="9"/>
        <v>3</v>
      </c>
      <c r="F408" s="2" t="s">
        <v>210</v>
      </c>
      <c r="G408" s="12" t="s">
        <v>62</v>
      </c>
      <c r="H408" s="2">
        <v>60101004</v>
      </c>
      <c r="I408" s="8">
        <v>3</v>
      </c>
    </row>
    <row r="409" spans="2:9" x14ac:dyDescent="0.25">
      <c r="B409" s="8">
        <f>1000000+INDEX(编号表!$B:$B,MATCH(C409,编号表!$A:$A,0))*1000+INDEX(编号表!$D:$D,MATCH(D409,编号表!$C:$C,0))*100+E409</f>
        <v>1011703</v>
      </c>
      <c r="C409" s="2" t="s">
        <v>205</v>
      </c>
      <c r="D409" s="8" t="s">
        <v>179</v>
      </c>
      <c r="E409" s="8">
        <f t="shared" si="9"/>
        <v>3</v>
      </c>
      <c r="F409" s="2" t="s">
        <v>180</v>
      </c>
      <c r="G409" s="12" t="s">
        <v>62</v>
      </c>
      <c r="H409" s="2">
        <v>60101005</v>
      </c>
      <c r="I409" s="8">
        <v>3</v>
      </c>
    </row>
    <row r="410" spans="2:9" x14ac:dyDescent="0.25">
      <c r="B410" s="8">
        <f>1000000+INDEX(编号表!$B:$B,MATCH(C410,编号表!$A:$A,0))*1000+INDEX(编号表!$D:$D,MATCH(D410,编号表!$C:$C,0))*100+E410</f>
        <v>1011205</v>
      </c>
      <c r="C410" s="2" t="s">
        <v>205</v>
      </c>
      <c r="D410" s="8" t="s">
        <v>60</v>
      </c>
      <c r="E410" s="8">
        <f t="shared" si="9"/>
        <v>5</v>
      </c>
      <c r="F410" s="2" t="s">
        <v>206</v>
      </c>
      <c r="G410" s="12" t="s">
        <v>62</v>
      </c>
      <c r="H410" s="2">
        <v>60101000</v>
      </c>
      <c r="I410" s="8">
        <v>5</v>
      </c>
    </row>
    <row r="411" spans="2:9" x14ac:dyDescent="0.25">
      <c r="B411" s="8">
        <f>1000000+INDEX(编号表!$B:$B,MATCH(C411,编号表!$A:$A,0))*1000+INDEX(编号表!$D:$D,MATCH(D411,编号表!$C:$C,0))*100+E411</f>
        <v>1011305</v>
      </c>
      <c r="C411" s="2" t="s">
        <v>205</v>
      </c>
      <c r="D411" s="8" t="s">
        <v>63</v>
      </c>
      <c r="E411" s="8">
        <f t="shared" si="9"/>
        <v>5</v>
      </c>
      <c r="F411" s="2" t="s">
        <v>207</v>
      </c>
      <c r="G411" s="12" t="s">
        <v>62</v>
      </c>
      <c r="H411" s="2">
        <v>60101001</v>
      </c>
      <c r="I411" s="8">
        <v>5</v>
      </c>
    </row>
    <row r="412" spans="2:9" x14ac:dyDescent="0.25">
      <c r="B412" s="8">
        <f>1000000+INDEX(编号表!$B:$B,MATCH(C412,编号表!$A:$A,0))*1000+INDEX(编号表!$D:$D,MATCH(D412,编号表!$C:$C,0))*100+E412</f>
        <v>1011405</v>
      </c>
      <c r="C412" s="2" t="s">
        <v>205</v>
      </c>
      <c r="D412" s="8" t="s">
        <v>65</v>
      </c>
      <c r="E412" s="8">
        <f t="shared" si="9"/>
        <v>5</v>
      </c>
      <c r="F412" s="2" t="s">
        <v>208</v>
      </c>
      <c r="G412" s="12" t="s">
        <v>62</v>
      </c>
      <c r="H412" s="2">
        <v>60101002</v>
      </c>
      <c r="I412" s="8">
        <v>5</v>
      </c>
    </row>
    <row r="413" spans="2:9" x14ac:dyDescent="0.25">
      <c r="B413" s="8">
        <f>1000000+INDEX(编号表!$B:$B,MATCH(C413,编号表!$A:$A,0))*1000+INDEX(编号表!$D:$D,MATCH(D413,编号表!$C:$C,0))*100+E413</f>
        <v>1011505</v>
      </c>
      <c r="C413" s="2" t="s">
        <v>205</v>
      </c>
      <c r="D413" s="8" t="s">
        <v>67</v>
      </c>
      <c r="E413" s="8">
        <f t="shared" si="9"/>
        <v>5</v>
      </c>
      <c r="F413" s="2" t="s">
        <v>209</v>
      </c>
      <c r="G413" s="12" t="s">
        <v>62</v>
      </c>
      <c r="H413" s="2">
        <v>60101003</v>
      </c>
      <c r="I413" s="8">
        <v>5</v>
      </c>
    </row>
    <row r="414" spans="2:9" x14ac:dyDescent="0.25">
      <c r="B414" s="8">
        <f>1000000+INDEX(编号表!$B:$B,MATCH(C414,编号表!$A:$A,0))*1000+INDEX(编号表!$D:$D,MATCH(D414,编号表!$C:$C,0))*100+E414</f>
        <v>1011605</v>
      </c>
      <c r="C414" s="2" t="s">
        <v>205</v>
      </c>
      <c r="D414" s="8" t="s">
        <v>69</v>
      </c>
      <c r="E414" s="8">
        <f t="shared" si="9"/>
        <v>5</v>
      </c>
      <c r="F414" s="2" t="s">
        <v>210</v>
      </c>
      <c r="G414" s="12" t="s">
        <v>62</v>
      </c>
      <c r="H414" s="2">
        <v>60101004</v>
      </c>
      <c r="I414" s="8">
        <v>5</v>
      </c>
    </row>
    <row r="415" spans="2:9" x14ac:dyDescent="0.25">
      <c r="B415" s="8">
        <f>1000000+INDEX(编号表!$B:$B,MATCH(C415,编号表!$A:$A,0))*1000+INDEX(编号表!$D:$D,MATCH(D415,编号表!$C:$C,0))*100+E415</f>
        <v>1011705</v>
      </c>
      <c r="C415" s="2" t="s">
        <v>205</v>
      </c>
      <c r="D415" s="8" t="s">
        <v>179</v>
      </c>
      <c r="E415" s="8">
        <f t="shared" si="9"/>
        <v>5</v>
      </c>
      <c r="F415" s="2" t="s">
        <v>180</v>
      </c>
      <c r="G415" s="12" t="s">
        <v>62</v>
      </c>
      <c r="H415" s="2">
        <v>60101005</v>
      </c>
      <c r="I415" s="8">
        <v>5</v>
      </c>
    </row>
    <row r="416" spans="2:9" x14ac:dyDescent="0.25">
      <c r="B416" s="8">
        <f>1000000+INDEX(编号表!$B:$B,MATCH(C416,编号表!$A:$A,0))*1000+INDEX(编号表!$D:$D,MATCH(D416,编号表!$C:$C,0))*100+E416</f>
        <v>1011210</v>
      </c>
      <c r="C416" s="2" t="s">
        <v>205</v>
      </c>
      <c r="D416" s="8" t="s">
        <v>60</v>
      </c>
      <c r="E416" s="8">
        <f t="shared" si="9"/>
        <v>10</v>
      </c>
      <c r="F416" s="2" t="s">
        <v>206</v>
      </c>
      <c r="G416" s="12" t="s">
        <v>62</v>
      </c>
      <c r="H416" s="2">
        <v>60101000</v>
      </c>
      <c r="I416" s="8">
        <v>10</v>
      </c>
    </row>
    <row r="417" spans="2:9" x14ac:dyDescent="0.25">
      <c r="B417" s="8">
        <f>1000000+INDEX(编号表!$B:$B,MATCH(C417,编号表!$A:$A,0))*1000+INDEX(编号表!$D:$D,MATCH(D417,编号表!$C:$C,0))*100+E417</f>
        <v>1011310</v>
      </c>
      <c r="C417" s="2" t="s">
        <v>205</v>
      </c>
      <c r="D417" s="8" t="s">
        <v>63</v>
      </c>
      <c r="E417" s="8">
        <f t="shared" si="9"/>
        <v>10</v>
      </c>
      <c r="F417" s="2" t="s">
        <v>207</v>
      </c>
      <c r="G417" s="12" t="s">
        <v>62</v>
      </c>
      <c r="H417" s="2">
        <v>60101001</v>
      </c>
      <c r="I417" s="8">
        <v>10</v>
      </c>
    </row>
    <row r="418" spans="2:9" x14ac:dyDescent="0.25">
      <c r="B418" s="8">
        <f>1000000+INDEX(编号表!$B:$B,MATCH(C418,编号表!$A:$A,0))*1000+INDEX(编号表!$D:$D,MATCH(D418,编号表!$C:$C,0))*100+E418</f>
        <v>1011410</v>
      </c>
      <c r="C418" s="2" t="s">
        <v>205</v>
      </c>
      <c r="D418" s="8" t="s">
        <v>65</v>
      </c>
      <c r="E418" s="8">
        <f t="shared" si="9"/>
        <v>10</v>
      </c>
      <c r="F418" s="2" t="s">
        <v>208</v>
      </c>
      <c r="G418" s="12" t="s">
        <v>62</v>
      </c>
      <c r="H418" s="2">
        <v>60101002</v>
      </c>
      <c r="I418" s="8">
        <v>10</v>
      </c>
    </row>
    <row r="419" spans="2:9" x14ac:dyDescent="0.25">
      <c r="B419" s="8">
        <f>1000000+INDEX(编号表!$B:$B,MATCH(C419,编号表!$A:$A,0))*1000+INDEX(编号表!$D:$D,MATCH(D419,编号表!$C:$C,0))*100+E419</f>
        <v>1011510</v>
      </c>
      <c r="C419" s="2" t="s">
        <v>205</v>
      </c>
      <c r="D419" s="8" t="s">
        <v>67</v>
      </c>
      <c r="E419" s="8">
        <f t="shared" si="9"/>
        <v>10</v>
      </c>
      <c r="F419" s="2" t="s">
        <v>209</v>
      </c>
      <c r="G419" s="12" t="s">
        <v>62</v>
      </c>
      <c r="H419" s="2">
        <v>60101003</v>
      </c>
      <c r="I419" s="8">
        <v>10</v>
      </c>
    </row>
    <row r="420" spans="2:9" x14ac:dyDescent="0.25">
      <c r="B420" s="8">
        <f>1000000+INDEX(编号表!$B:$B,MATCH(C420,编号表!$A:$A,0))*1000+INDEX(编号表!$D:$D,MATCH(D420,编号表!$C:$C,0))*100+E420</f>
        <v>1011610</v>
      </c>
      <c r="C420" s="2" t="s">
        <v>205</v>
      </c>
      <c r="D420" s="8" t="s">
        <v>69</v>
      </c>
      <c r="E420" s="8">
        <f t="shared" si="9"/>
        <v>10</v>
      </c>
      <c r="F420" s="2" t="s">
        <v>210</v>
      </c>
      <c r="G420" s="12" t="s">
        <v>62</v>
      </c>
      <c r="H420" s="2">
        <v>60101004</v>
      </c>
      <c r="I420" s="8">
        <v>10</v>
      </c>
    </row>
    <row r="421" spans="2:9" x14ac:dyDescent="0.25">
      <c r="B421" s="8">
        <f>1000000+INDEX(编号表!$B:$B,MATCH(C421,编号表!$A:$A,0))*1000+INDEX(编号表!$D:$D,MATCH(D421,编号表!$C:$C,0))*100+E421</f>
        <v>1011710</v>
      </c>
      <c r="C421" s="2" t="s">
        <v>205</v>
      </c>
      <c r="D421" s="8" t="s">
        <v>179</v>
      </c>
      <c r="E421" s="8">
        <f t="shared" si="9"/>
        <v>10</v>
      </c>
      <c r="F421" s="2" t="s">
        <v>180</v>
      </c>
      <c r="G421" s="12" t="s">
        <v>62</v>
      </c>
      <c r="H421" s="2">
        <v>60101005</v>
      </c>
      <c r="I421" s="8">
        <v>10</v>
      </c>
    </row>
    <row r="422" spans="2:9" x14ac:dyDescent="0.25">
      <c r="B422" s="8">
        <f>1000000+INDEX(编号表!$B:$B,MATCH(C422,编号表!$A:$A,0))*1000+INDEX(编号表!$D:$D,MATCH(D422,编号表!$C:$C,0))*100+E422</f>
        <v>1011215</v>
      </c>
      <c r="C422" s="2" t="s">
        <v>205</v>
      </c>
      <c r="D422" s="8" t="s">
        <v>60</v>
      </c>
      <c r="E422" s="8">
        <f t="shared" si="9"/>
        <v>15</v>
      </c>
      <c r="F422" s="2" t="s">
        <v>206</v>
      </c>
      <c r="G422" s="12" t="s">
        <v>62</v>
      </c>
      <c r="H422" s="2">
        <v>60101000</v>
      </c>
      <c r="I422" s="8">
        <v>15</v>
      </c>
    </row>
    <row r="423" spans="2:9" x14ac:dyDescent="0.25">
      <c r="B423" s="8">
        <f>1000000+INDEX(编号表!$B:$B,MATCH(C423,编号表!$A:$A,0))*1000+INDEX(编号表!$D:$D,MATCH(D423,编号表!$C:$C,0))*100+E423</f>
        <v>1011315</v>
      </c>
      <c r="C423" s="2" t="s">
        <v>205</v>
      </c>
      <c r="D423" s="8" t="s">
        <v>63</v>
      </c>
      <c r="E423" s="8">
        <f t="shared" si="9"/>
        <v>15</v>
      </c>
      <c r="F423" s="2" t="s">
        <v>207</v>
      </c>
      <c r="G423" s="12" t="s">
        <v>62</v>
      </c>
      <c r="H423" s="2">
        <v>60101001</v>
      </c>
      <c r="I423" s="8">
        <v>15</v>
      </c>
    </row>
    <row r="424" spans="2:9" x14ac:dyDescent="0.25">
      <c r="B424" s="8">
        <f>1000000+INDEX(编号表!$B:$B,MATCH(C424,编号表!$A:$A,0))*1000+INDEX(编号表!$D:$D,MATCH(D424,编号表!$C:$C,0))*100+E424</f>
        <v>1011415</v>
      </c>
      <c r="C424" s="2" t="s">
        <v>205</v>
      </c>
      <c r="D424" s="8" t="s">
        <v>65</v>
      </c>
      <c r="E424" s="8">
        <f t="shared" si="9"/>
        <v>15</v>
      </c>
      <c r="F424" s="2" t="s">
        <v>208</v>
      </c>
      <c r="G424" s="12" t="s">
        <v>62</v>
      </c>
      <c r="H424" s="2">
        <v>60101002</v>
      </c>
      <c r="I424" s="8">
        <v>15</v>
      </c>
    </row>
    <row r="425" spans="2:9" x14ac:dyDescent="0.25">
      <c r="B425" s="8">
        <f>1000000+INDEX(编号表!$B:$B,MATCH(C425,编号表!$A:$A,0))*1000+INDEX(编号表!$D:$D,MATCH(D425,编号表!$C:$C,0))*100+E425</f>
        <v>1011515</v>
      </c>
      <c r="C425" s="2" t="s">
        <v>205</v>
      </c>
      <c r="D425" s="8" t="s">
        <v>67</v>
      </c>
      <c r="E425" s="8">
        <f t="shared" si="9"/>
        <v>15</v>
      </c>
      <c r="F425" s="2" t="s">
        <v>209</v>
      </c>
      <c r="G425" s="12" t="s">
        <v>62</v>
      </c>
      <c r="H425" s="2">
        <v>60101003</v>
      </c>
      <c r="I425" s="8">
        <v>15</v>
      </c>
    </row>
    <row r="426" spans="2:9" x14ac:dyDescent="0.25">
      <c r="B426" s="8">
        <f>1000000+INDEX(编号表!$B:$B,MATCH(C426,编号表!$A:$A,0))*1000+INDEX(编号表!$D:$D,MATCH(D426,编号表!$C:$C,0))*100+E426</f>
        <v>1011615</v>
      </c>
      <c r="C426" s="2" t="s">
        <v>205</v>
      </c>
      <c r="D426" s="8" t="s">
        <v>69</v>
      </c>
      <c r="E426" s="8">
        <f t="shared" si="9"/>
        <v>15</v>
      </c>
      <c r="F426" s="2" t="s">
        <v>210</v>
      </c>
      <c r="G426" s="12" t="s">
        <v>62</v>
      </c>
      <c r="H426" s="2">
        <v>60101004</v>
      </c>
      <c r="I426" s="8">
        <v>15</v>
      </c>
    </row>
    <row r="427" spans="2:9" x14ac:dyDescent="0.25">
      <c r="B427" s="8">
        <f>1000000+INDEX(编号表!$B:$B,MATCH(C427,编号表!$A:$A,0))*1000+INDEX(编号表!$D:$D,MATCH(D427,编号表!$C:$C,0))*100+E427</f>
        <v>1011715</v>
      </c>
      <c r="C427" s="2" t="s">
        <v>205</v>
      </c>
      <c r="D427" s="8" t="s">
        <v>179</v>
      </c>
      <c r="E427" s="8">
        <f t="shared" si="9"/>
        <v>15</v>
      </c>
      <c r="F427" s="2" t="s">
        <v>180</v>
      </c>
      <c r="G427" s="12" t="s">
        <v>62</v>
      </c>
      <c r="H427" s="2">
        <v>60101005</v>
      </c>
      <c r="I427" s="8">
        <v>15</v>
      </c>
    </row>
    <row r="428" spans="2:9" x14ac:dyDescent="0.25">
      <c r="B428" s="8">
        <f>1000000+INDEX(编号表!$B:$B,MATCH(C428,编号表!$A:$A,0))*1000+INDEX(编号表!$D:$D,MATCH(D428,编号表!$C:$C,0))*100+E428</f>
        <v>1012001</v>
      </c>
      <c r="C428" s="2" t="s">
        <v>211</v>
      </c>
      <c r="D428" s="8" t="s">
        <v>55</v>
      </c>
      <c r="E428" s="8">
        <v>1</v>
      </c>
      <c r="F428" s="11" t="s">
        <v>56</v>
      </c>
      <c r="G428" s="12" t="s">
        <v>57</v>
      </c>
      <c r="H428" s="8">
        <v>60114000</v>
      </c>
      <c r="I428" s="8">
        <v>1</v>
      </c>
    </row>
    <row r="429" spans="2:9" x14ac:dyDescent="0.25">
      <c r="B429" s="8">
        <f>1000000+INDEX(编号表!$B:$B,MATCH(C429,编号表!$A:$A,0))*1000+INDEX(编号表!$D:$D,MATCH(D429,编号表!$C:$C,0))*100+E429</f>
        <v>1012101</v>
      </c>
      <c r="C429" s="2" t="s">
        <v>211</v>
      </c>
      <c r="D429" s="8" t="s">
        <v>58</v>
      </c>
      <c r="E429" s="8">
        <v>1</v>
      </c>
      <c r="F429" s="11" t="s">
        <v>59</v>
      </c>
      <c r="G429" s="12" t="s">
        <v>57</v>
      </c>
      <c r="H429" s="2">
        <v>60112000</v>
      </c>
      <c r="I429" s="8">
        <v>1</v>
      </c>
    </row>
    <row r="430" spans="2:9" x14ac:dyDescent="0.25">
      <c r="B430" s="8">
        <f>1000000+INDEX(编号表!$B:$B,MATCH(C430,编号表!$A:$A,0))*1000+INDEX(编号表!$D:$D,MATCH(D430,编号表!$C:$C,0))*100+E430</f>
        <v>1012201</v>
      </c>
      <c r="C430" s="2" t="s">
        <v>211</v>
      </c>
      <c r="D430" s="8" t="s">
        <v>60</v>
      </c>
      <c r="E430" s="8">
        <f t="shared" ref="E430:E459" si="10">I430+K430+M430+O430+Q430+S430+U430+W430+Y430+AA430</f>
        <v>1</v>
      </c>
      <c r="F430" s="2" t="s">
        <v>212</v>
      </c>
      <c r="G430" s="12" t="s">
        <v>62</v>
      </c>
      <c r="H430" s="2">
        <v>60111000</v>
      </c>
      <c r="I430" s="8">
        <v>1</v>
      </c>
    </row>
    <row r="431" spans="2:9" x14ac:dyDescent="0.25">
      <c r="B431" s="8">
        <f>1000000+INDEX(编号表!$B:$B,MATCH(C431,编号表!$A:$A,0))*1000+INDEX(编号表!$D:$D,MATCH(D431,编号表!$C:$C,0))*100+E431</f>
        <v>1012301</v>
      </c>
      <c r="C431" s="2" t="s">
        <v>211</v>
      </c>
      <c r="D431" s="8" t="s">
        <v>63</v>
      </c>
      <c r="E431" s="8">
        <f t="shared" si="10"/>
        <v>1</v>
      </c>
      <c r="F431" s="2" t="s">
        <v>208</v>
      </c>
      <c r="G431" s="12" t="s">
        <v>62</v>
      </c>
      <c r="H431" s="2">
        <v>60111001</v>
      </c>
      <c r="I431" s="8">
        <v>1</v>
      </c>
    </row>
    <row r="432" spans="2:9" x14ac:dyDescent="0.25">
      <c r="B432" s="8">
        <f>1000000+INDEX(编号表!$B:$B,MATCH(C432,编号表!$A:$A,0))*1000+INDEX(编号表!$D:$D,MATCH(D432,编号表!$C:$C,0))*100+E432</f>
        <v>1012401</v>
      </c>
      <c r="C432" s="2" t="s">
        <v>211</v>
      </c>
      <c r="D432" s="8" t="s">
        <v>65</v>
      </c>
      <c r="E432" s="8">
        <f t="shared" si="10"/>
        <v>1</v>
      </c>
      <c r="F432" s="2" t="s">
        <v>213</v>
      </c>
      <c r="G432" s="12" t="s">
        <v>62</v>
      </c>
      <c r="H432" s="2">
        <v>60111002</v>
      </c>
      <c r="I432" s="8">
        <v>1</v>
      </c>
    </row>
    <row r="433" spans="2:9" x14ac:dyDescent="0.25">
      <c r="B433" s="8">
        <f>1000000+INDEX(编号表!$B:$B,MATCH(C433,编号表!$A:$A,0))*1000+INDEX(编号表!$D:$D,MATCH(D433,编号表!$C:$C,0))*100+E433</f>
        <v>1012501</v>
      </c>
      <c r="C433" s="2" t="s">
        <v>211</v>
      </c>
      <c r="D433" s="8" t="s">
        <v>67</v>
      </c>
      <c r="E433" s="8">
        <f t="shared" si="10"/>
        <v>1</v>
      </c>
      <c r="F433" s="2" t="s">
        <v>214</v>
      </c>
      <c r="G433" s="12" t="s">
        <v>62</v>
      </c>
      <c r="H433" s="2">
        <v>60111003</v>
      </c>
      <c r="I433" s="8">
        <v>1</v>
      </c>
    </row>
    <row r="434" spans="2:9" x14ac:dyDescent="0.25">
      <c r="B434" s="8">
        <f>1000000+INDEX(编号表!$B:$B,MATCH(C434,编号表!$A:$A,0))*1000+INDEX(编号表!$D:$D,MATCH(D434,编号表!$C:$C,0))*100+E434</f>
        <v>1012601</v>
      </c>
      <c r="C434" s="2" t="s">
        <v>211</v>
      </c>
      <c r="D434" s="8" t="s">
        <v>69</v>
      </c>
      <c r="E434" s="8">
        <f t="shared" si="10"/>
        <v>1</v>
      </c>
      <c r="F434" s="2" t="s">
        <v>215</v>
      </c>
      <c r="G434" s="12" t="s">
        <v>62</v>
      </c>
      <c r="H434" s="2">
        <v>60111004</v>
      </c>
      <c r="I434" s="8">
        <v>1</v>
      </c>
    </row>
    <row r="435" spans="2:9" x14ac:dyDescent="0.25">
      <c r="B435" s="8">
        <f>1000000+INDEX(编号表!$B:$B,MATCH(C435,编号表!$A:$A,0))*1000+INDEX(编号表!$D:$D,MATCH(D435,编号表!$C:$C,0))*100+E435</f>
        <v>1012202</v>
      </c>
      <c r="C435" s="2" t="s">
        <v>211</v>
      </c>
      <c r="D435" s="8" t="s">
        <v>60</v>
      </c>
      <c r="E435" s="8">
        <f t="shared" si="10"/>
        <v>2</v>
      </c>
      <c r="F435" s="2" t="s">
        <v>212</v>
      </c>
      <c r="G435" s="12" t="s">
        <v>62</v>
      </c>
      <c r="H435" s="2">
        <v>60111000</v>
      </c>
      <c r="I435" s="8">
        <v>2</v>
      </c>
    </row>
    <row r="436" spans="2:9" x14ac:dyDescent="0.25">
      <c r="B436" s="8">
        <f>1000000+INDEX(编号表!$B:$B,MATCH(C436,编号表!$A:$A,0))*1000+INDEX(编号表!$D:$D,MATCH(D436,编号表!$C:$C,0))*100+E436</f>
        <v>1012302</v>
      </c>
      <c r="C436" s="2" t="s">
        <v>211</v>
      </c>
      <c r="D436" s="8" t="s">
        <v>63</v>
      </c>
      <c r="E436" s="8">
        <f t="shared" si="10"/>
        <v>2</v>
      </c>
      <c r="F436" s="2" t="s">
        <v>208</v>
      </c>
      <c r="G436" s="12" t="s">
        <v>62</v>
      </c>
      <c r="H436" s="2">
        <v>60111001</v>
      </c>
      <c r="I436" s="8">
        <v>2</v>
      </c>
    </row>
    <row r="437" spans="2:9" x14ac:dyDescent="0.25">
      <c r="B437" s="8">
        <f>1000000+INDEX(编号表!$B:$B,MATCH(C437,编号表!$A:$A,0))*1000+INDEX(编号表!$D:$D,MATCH(D437,编号表!$C:$C,0))*100+E437</f>
        <v>1012402</v>
      </c>
      <c r="C437" s="2" t="s">
        <v>211</v>
      </c>
      <c r="D437" s="8" t="s">
        <v>65</v>
      </c>
      <c r="E437" s="8">
        <f t="shared" si="10"/>
        <v>2</v>
      </c>
      <c r="F437" s="2" t="s">
        <v>213</v>
      </c>
      <c r="G437" s="12" t="s">
        <v>62</v>
      </c>
      <c r="H437" s="2">
        <v>60111002</v>
      </c>
      <c r="I437" s="8">
        <v>2</v>
      </c>
    </row>
    <row r="438" spans="2:9" x14ac:dyDescent="0.25">
      <c r="B438" s="8">
        <f>1000000+INDEX(编号表!$B:$B,MATCH(C438,编号表!$A:$A,0))*1000+INDEX(编号表!$D:$D,MATCH(D438,编号表!$C:$C,0))*100+E438</f>
        <v>1012502</v>
      </c>
      <c r="C438" s="2" t="s">
        <v>211</v>
      </c>
      <c r="D438" s="8" t="s">
        <v>67</v>
      </c>
      <c r="E438" s="8">
        <f t="shared" si="10"/>
        <v>2</v>
      </c>
      <c r="F438" s="2" t="s">
        <v>214</v>
      </c>
      <c r="G438" s="12" t="s">
        <v>62</v>
      </c>
      <c r="H438" s="2">
        <v>60111003</v>
      </c>
      <c r="I438" s="8">
        <v>2</v>
      </c>
    </row>
    <row r="439" spans="2:9" x14ac:dyDescent="0.25">
      <c r="B439" s="8">
        <f>1000000+INDEX(编号表!$B:$B,MATCH(C439,编号表!$A:$A,0))*1000+INDEX(编号表!$D:$D,MATCH(D439,编号表!$C:$C,0))*100+E439</f>
        <v>1012602</v>
      </c>
      <c r="C439" s="2" t="s">
        <v>211</v>
      </c>
      <c r="D439" s="8" t="s">
        <v>69</v>
      </c>
      <c r="E439" s="8">
        <f t="shared" si="10"/>
        <v>2</v>
      </c>
      <c r="F439" s="2" t="s">
        <v>215</v>
      </c>
      <c r="G439" s="12" t="s">
        <v>62</v>
      </c>
      <c r="H439" s="2">
        <v>60111004</v>
      </c>
      <c r="I439" s="8">
        <v>2</v>
      </c>
    </row>
    <row r="440" spans="2:9" x14ac:dyDescent="0.25">
      <c r="B440" s="8">
        <f>1000000+INDEX(编号表!$B:$B,MATCH(C440,编号表!$A:$A,0))*1000+INDEX(编号表!$D:$D,MATCH(D440,编号表!$C:$C,0))*100+E440</f>
        <v>1012203</v>
      </c>
      <c r="C440" s="2" t="s">
        <v>211</v>
      </c>
      <c r="D440" s="8" t="s">
        <v>60</v>
      </c>
      <c r="E440" s="8">
        <f t="shared" si="10"/>
        <v>3</v>
      </c>
      <c r="F440" s="2" t="s">
        <v>212</v>
      </c>
      <c r="G440" s="12" t="s">
        <v>62</v>
      </c>
      <c r="H440" s="2">
        <v>60111000</v>
      </c>
      <c r="I440" s="8">
        <v>3</v>
      </c>
    </row>
    <row r="441" spans="2:9" x14ac:dyDescent="0.25">
      <c r="B441" s="8">
        <f>1000000+INDEX(编号表!$B:$B,MATCH(C441,编号表!$A:$A,0))*1000+INDEX(编号表!$D:$D,MATCH(D441,编号表!$C:$C,0))*100+E441</f>
        <v>1012303</v>
      </c>
      <c r="C441" s="2" t="s">
        <v>211</v>
      </c>
      <c r="D441" s="8" t="s">
        <v>63</v>
      </c>
      <c r="E441" s="8">
        <f t="shared" si="10"/>
        <v>3</v>
      </c>
      <c r="F441" s="2" t="s">
        <v>208</v>
      </c>
      <c r="G441" s="12" t="s">
        <v>62</v>
      </c>
      <c r="H441" s="2">
        <v>60111001</v>
      </c>
      <c r="I441" s="8">
        <v>3</v>
      </c>
    </row>
    <row r="442" spans="2:9" x14ac:dyDescent="0.25">
      <c r="B442" s="8">
        <f>1000000+INDEX(编号表!$B:$B,MATCH(C442,编号表!$A:$A,0))*1000+INDEX(编号表!$D:$D,MATCH(D442,编号表!$C:$C,0))*100+E442</f>
        <v>1012403</v>
      </c>
      <c r="C442" s="2" t="s">
        <v>211</v>
      </c>
      <c r="D442" s="8" t="s">
        <v>65</v>
      </c>
      <c r="E442" s="8">
        <f t="shared" si="10"/>
        <v>3</v>
      </c>
      <c r="F442" s="2" t="s">
        <v>213</v>
      </c>
      <c r="G442" s="12" t="s">
        <v>62</v>
      </c>
      <c r="H442" s="2">
        <v>60111002</v>
      </c>
      <c r="I442" s="8">
        <v>3</v>
      </c>
    </row>
    <row r="443" spans="2:9" x14ac:dyDescent="0.25">
      <c r="B443" s="8">
        <f>1000000+INDEX(编号表!$B:$B,MATCH(C443,编号表!$A:$A,0))*1000+INDEX(编号表!$D:$D,MATCH(D443,编号表!$C:$C,0))*100+E443</f>
        <v>1012503</v>
      </c>
      <c r="C443" s="2" t="s">
        <v>211</v>
      </c>
      <c r="D443" s="8" t="s">
        <v>67</v>
      </c>
      <c r="E443" s="8">
        <f t="shared" si="10"/>
        <v>3</v>
      </c>
      <c r="F443" s="2" t="s">
        <v>214</v>
      </c>
      <c r="G443" s="12" t="s">
        <v>62</v>
      </c>
      <c r="H443" s="2">
        <v>60111003</v>
      </c>
      <c r="I443" s="8">
        <v>3</v>
      </c>
    </row>
    <row r="444" spans="2:9" x14ac:dyDescent="0.25">
      <c r="B444" s="8">
        <f>1000000+INDEX(编号表!$B:$B,MATCH(C444,编号表!$A:$A,0))*1000+INDEX(编号表!$D:$D,MATCH(D444,编号表!$C:$C,0))*100+E444</f>
        <v>1012603</v>
      </c>
      <c r="C444" s="2" t="s">
        <v>211</v>
      </c>
      <c r="D444" s="8" t="s">
        <v>69</v>
      </c>
      <c r="E444" s="8">
        <f t="shared" si="10"/>
        <v>3</v>
      </c>
      <c r="F444" s="2" t="s">
        <v>215</v>
      </c>
      <c r="G444" s="12" t="s">
        <v>62</v>
      </c>
      <c r="H444" s="2">
        <v>60111004</v>
      </c>
      <c r="I444" s="8">
        <v>3</v>
      </c>
    </row>
    <row r="445" spans="2:9" x14ac:dyDescent="0.25">
      <c r="B445" s="8">
        <f>1000000+INDEX(编号表!$B:$B,MATCH(C445,编号表!$A:$A,0))*1000+INDEX(编号表!$D:$D,MATCH(D445,编号表!$C:$C,0))*100+E445</f>
        <v>1012205</v>
      </c>
      <c r="C445" s="2" t="s">
        <v>211</v>
      </c>
      <c r="D445" s="8" t="s">
        <v>60</v>
      </c>
      <c r="E445" s="8">
        <f t="shared" si="10"/>
        <v>5</v>
      </c>
      <c r="F445" s="2" t="s">
        <v>212</v>
      </c>
      <c r="G445" s="12" t="s">
        <v>62</v>
      </c>
      <c r="H445" s="2">
        <v>60111000</v>
      </c>
      <c r="I445" s="8">
        <v>5</v>
      </c>
    </row>
    <row r="446" spans="2:9" x14ac:dyDescent="0.25">
      <c r="B446" s="8">
        <f>1000000+INDEX(编号表!$B:$B,MATCH(C446,编号表!$A:$A,0))*1000+INDEX(编号表!$D:$D,MATCH(D446,编号表!$C:$C,0))*100+E446</f>
        <v>1012305</v>
      </c>
      <c r="C446" s="2" t="s">
        <v>211</v>
      </c>
      <c r="D446" s="8" t="s">
        <v>63</v>
      </c>
      <c r="E446" s="8">
        <f t="shared" si="10"/>
        <v>5</v>
      </c>
      <c r="F446" s="2" t="s">
        <v>208</v>
      </c>
      <c r="G446" s="12" t="s">
        <v>62</v>
      </c>
      <c r="H446" s="2">
        <v>60111001</v>
      </c>
      <c r="I446" s="8">
        <v>5</v>
      </c>
    </row>
    <row r="447" spans="2:9" x14ac:dyDescent="0.25">
      <c r="B447" s="8">
        <f>1000000+INDEX(编号表!$B:$B,MATCH(C447,编号表!$A:$A,0))*1000+INDEX(编号表!$D:$D,MATCH(D447,编号表!$C:$C,0))*100+E447</f>
        <v>1012405</v>
      </c>
      <c r="C447" s="2" t="s">
        <v>211</v>
      </c>
      <c r="D447" s="8" t="s">
        <v>65</v>
      </c>
      <c r="E447" s="8">
        <f t="shared" si="10"/>
        <v>5</v>
      </c>
      <c r="F447" s="2" t="s">
        <v>213</v>
      </c>
      <c r="G447" s="12" t="s">
        <v>62</v>
      </c>
      <c r="H447" s="2">
        <v>60111002</v>
      </c>
      <c r="I447" s="8">
        <v>5</v>
      </c>
    </row>
    <row r="448" spans="2:9" x14ac:dyDescent="0.25">
      <c r="B448" s="8">
        <f>1000000+INDEX(编号表!$B:$B,MATCH(C448,编号表!$A:$A,0))*1000+INDEX(编号表!$D:$D,MATCH(D448,编号表!$C:$C,0))*100+E448</f>
        <v>1012505</v>
      </c>
      <c r="C448" s="2" t="s">
        <v>211</v>
      </c>
      <c r="D448" s="8" t="s">
        <v>67</v>
      </c>
      <c r="E448" s="8">
        <f t="shared" si="10"/>
        <v>5</v>
      </c>
      <c r="F448" s="2" t="s">
        <v>214</v>
      </c>
      <c r="G448" s="12" t="s">
        <v>62</v>
      </c>
      <c r="H448" s="2">
        <v>60111003</v>
      </c>
      <c r="I448" s="8">
        <v>5</v>
      </c>
    </row>
    <row r="449" spans="2:9" x14ac:dyDescent="0.25">
      <c r="B449" s="8">
        <f>1000000+INDEX(编号表!$B:$B,MATCH(C449,编号表!$A:$A,0))*1000+INDEX(编号表!$D:$D,MATCH(D449,编号表!$C:$C,0))*100+E449</f>
        <v>1012605</v>
      </c>
      <c r="C449" s="2" t="s">
        <v>211</v>
      </c>
      <c r="D449" s="8" t="s">
        <v>69</v>
      </c>
      <c r="E449" s="8">
        <f t="shared" si="10"/>
        <v>5</v>
      </c>
      <c r="F449" s="2" t="s">
        <v>215</v>
      </c>
      <c r="G449" s="12" t="s">
        <v>62</v>
      </c>
      <c r="H449" s="2">
        <v>60111004</v>
      </c>
      <c r="I449" s="8">
        <v>5</v>
      </c>
    </row>
    <row r="450" spans="2:9" x14ac:dyDescent="0.25">
      <c r="B450" s="8">
        <f>1000000+INDEX(编号表!$B:$B,MATCH(C450,编号表!$A:$A,0))*1000+INDEX(编号表!$D:$D,MATCH(D450,编号表!$C:$C,0))*100+E450</f>
        <v>1012210</v>
      </c>
      <c r="C450" s="2" t="s">
        <v>211</v>
      </c>
      <c r="D450" s="8" t="s">
        <v>60</v>
      </c>
      <c r="E450" s="8">
        <f t="shared" si="10"/>
        <v>10</v>
      </c>
      <c r="F450" s="2" t="s">
        <v>212</v>
      </c>
      <c r="G450" s="12" t="s">
        <v>62</v>
      </c>
      <c r="H450" s="2">
        <v>60111000</v>
      </c>
      <c r="I450" s="8">
        <v>10</v>
      </c>
    </row>
    <row r="451" spans="2:9" x14ac:dyDescent="0.25">
      <c r="B451" s="8">
        <f>1000000+INDEX(编号表!$B:$B,MATCH(C451,编号表!$A:$A,0))*1000+INDEX(编号表!$D:$D,MATCH(D451,编号表!$C:$C,0))*100+E451</f>
        <v>1012310</v>
      </c>
      <c r="C451" s="2" t="s">
        <v>211</v>
      </c>
      <c r="D451" s="8" t="s">
        <v>63</v>
      </c>
      <c r="E451" s="8">
        <f t="shared" si="10"/>
        <v>10</v>
      </c>
      <c r="F451" s="2" t="s">
        <v>208</v>
      </c>
      <c r="G451" s="12" t="s">
        <v>62</v>
      </c>
      <c r="H451" s="2">
        <v>60111001</v>
      </c>
      <c r="I451" s="8">
        <v>10</v>
      </c>
    </row>
    <row r="452" spans="2:9" x14ac:dyDescent="0.25">
      <c r="B452" s="8">
        <f>1000000+INDEX(编号表!$B:$B,MATCH(C452,编号表!$A:$A,0))*1000+INDEX(编号表!$D:$D,MATCH(D452,编号表!$C:$C,0))*100+E452</f>
        <v>1012410</v>
      </c>
      <c r="C452" s="2" t="s">
        <v>211</v>
      </c>
      <c r="D452" s="8" t="s">
        <v>65</v>
      </c>
      <c r="E452" s="8">
        <f t="shared" si="10"/>
        <v>10</v>
      </c>
      <c r="F452" s="2" t="s">
        <v>213</v>
      </c>
      <c r="G452" s="12" t="s">
        <v>62</v>
      </c>
      <c r="H452" s="2">
        <v>60111002</v>
      </c>
      <c r="I452" s="8">
        <v>10</v>
      </c>
    </row>
    <row r="453" spans="2:9" x14ac:dyDescent="0.25">
      <c r="B453" s="8">
        <f>1000000+INDEX(编号表!$B:$B,MATCH(C453,编号表!$A:$A,0))*1000+INDEX(编号表!$D:$D,MATCH(D453,编号表!$C:$C,0))*100+E453</f>
        <v>1012510</v>
      </c>
      <c r="C453" s="2" t="s">
        <v>211</v>
      </c>
      <c r="D453" s="8" t="s">
        <v>67</v>
      </c>
      <c r="E453" s="8">
        <f t="shared" si="10"/>
        <v>10</v>
      </c>
      <c r="F453" s="2" t="s">
        <v>214</v>
      </c>
      <c r="G453" s="12" t="s">
        <v>62</v>
      </c>
      <c r="H453" s="2">
        <v>60111003</v>
      </c>
      <c r="I453" s="8">
        <v>10</v>
      </c>
    </row>
    <row r="454" spans="2:9" x14ac:dyDescent="0.25">
      <c r="B454" s="8">
        <f>1000000+INDEX(编号表!$B:$B,MATCH(C454,编号表!$A:$A,0))*1000+INDEX(编号表!$D:$D,MATCH(D454,编号表!$C:$C,0))*100+E454</f>
        <v>1012610</v>
      </c>
      <c r="C454" s="2" t="s">
        <v>211</v>
      </c>
      <c r="D454" s="8" t="s">
        <v>69</v>
      </c>
      <c r="E454" s="8">
        <f t="shared" si="10"/>
        <v>10</v>
      </c>
      <c r="F454" s="2" t="s">
        <v>215</v>
      </c>
      <c r="G454" s="12" t="s">
        <v>62</v>
      </c>
      <c r="H454" s="2">
        <v>60111004</v>
      </c>
      <c r="I454" s="8">
        <v>10</v>
      </c>
    </row>
    <row r="455" spans="2:9" x14ac:dyDescent="0.25">
      <c r="B455" s="8">
        <f>1000000+INDEX(编号表!$B:$B,MATCH(C455,编号表!$A:$A,0))*1000+INDEX(编号表!$D:$D,MATCH(D455,编号表!$C:$C,0))*100+E455</f>
        <v>1012215</v>
      </c>
      <c r="C455" s="2" t="s">
        <v>211</v>
      </c>
      <c r="D455" s="8" t="s">
        <v>60</v>
      </c>
      <c r="E455" s="8">
        <f t="shared" si="10"/>
        <v>15</v>
      </c>
      <c r="F455" s="2" t="s">
        <v>212</v>
      </c>
      <c r="G455" s="12" t="s">
        <v>62</v>
      </c>
      <c r="H455" s="2">
        <v>60111000</v>
      </c>
      <c r="I455" s="8">
        <v>15</v>
      </c>
    </row>
    <row r="456" spans="2:9" x14ac:dyDescent="0.25">
      <c r="B456" s="8">
        <f>1000000+INDEX(编号表!$B:$B,MATCH(C456,编号表!$A:$A,0))*1000+INDEX(编号表!$D:$D,MATCH(D456,编号表!$C:$C,0))*100+E456</f>
        <v>1012315</v>
      </c>
      <c r="C456" s="2" t="s">
        <v>211</v>
      </c>
      <c r="D456" s="8" t="s">
        <v>63</v>
      </c>
      <c r="E456" s="8">
        <f t="shared" si="10"/>
        <v>15</v>
      </c>
      <c r="F456" s="2" t="s">
        <v>208</v>
      </c>
      <c r="G456" s="12" t="s">
        <v>62</v>
      </c>
      <c r="H456" s="2">
        <v>60111001</v>
      </c>
      <c r="I456" s="8">
        <v>15</v>
      </c>
    </row>
    <row r="457" spans="2:9" x14ac:dyDescent="0.25">
      <c r="B457" s="8">
        <f>1000000+INDEX(编号表!$B:$B,MATCH(C457,编号表!$A:$A,0))*1000+INDEX(编号表!$D:$D,MATCH(D457,编号表!$C:$C,0))*100+E457</f>
        <v>1012415</v>
      </c>
      <c r="C457" s="2" t="s">
        <v>211</v>
      </c>
      <c r="D457" s="8" t="s">
        <v>65</v>
      </c>
      <c r="E457" s="8">
        <f t="shared" si="10"/>
        <v>15</v>
      </c>
      <c r="F457" s="2" t="s">
        <v>213</v>
      </c>
      <c r="G457" s="12" t="s">
        <v>62</v>
      </c>
      <c r="H457" s="2">
        <v>60111002</v>
      </c>
      <c r="I457" s="8">
        <v>15</v>
      </c>
    </row>
    <row r="458" spans="2:9" x14ac:dyDescent="0.25">
      <c r="B458" s="8">
        <f>1000000+INDEX(编号表!$B:$B,MATCH(C458,编号表!$A:$A,0))*1000+INDEX(编号表!$D:$D,MATCH(D458,编号表!$C:$C,0))*100+E458</f>
        <v>1012515</v>
      </c>
      <c r="C458" s="2" t="s">
        <v>211</v>
      </c>
      <c r="D458" s="8" t="s">
        <v>67</v>
      </c>
      <c r="E458" s="8">
        <f t="shared" si="10"/>
        <v>15</v>
      </c>
      <c r="F458" s="2" t="s">
        <v>214</v>
      </c>
      <c r="G458" s="12" t="s">
        <v>62</v>
      </c>
      <c r="H458" s="2">
        <v>60111003</v>
      </c>
      <c r="I458" s="8">
        <v>15</v>
      </c>
    </row>
    <row r="459" spans="2:9" x14ac:dyDescent="0.25">
      <c r="B459" s="8">
        <f>1000000+INDEX(编号表!$B:$B,MATCH(C459,编号表!$A:$A,0))*1000+INDEX(编号表!$D:$D,MATCH(D459,编号表!$C:$C,0))*100+E459</f>
        <v>1012615</v>
      </c>
      <c r="C459" s="2" t="s">
        <v>211</v>
      </c>
      <c r="D459" s="8" t="s">
        <v>69</v>
      </c>
      <c r="E459" s="8">
        <f t="shared" si="10"/>
        <v>15</v>
      </c>
      <c r="F459" s="2" t="s">
        <v>215</v>
      </c>
      <c r="G459" s="12" t="s">
        <v>62</v>
      </c>
      <c r="H459" s="2">
        <v>60111004</v>
      </c>
      <c r="I459" s="8">
        <v>15</v>
      </c>
    </row>
    <row r="460" spans="2:9" x14ac:dyDescent="0.25">
      <c r="B460" s="8">
        <f>1000000+INDEX(编号表!$B:$B,MATCH(C460,编号表!$A:$A,0))*1000+INDEX(编号表!$D:$D,MATCH(D460,编号表!$C:$C,0))*100+E460</f>
        <v>1013001</v>
      </c>
      <c r="C460" s="2" t="s">
        <v>216</v>
      </c>
      <c r="D460" s="8" t="s">
        <v>55</v>
      </c>
      <c r="E460" s="8">
        <v>1</v>
      </c>
      <c r="F460" s="11" t="s">
        <v>56</v>
      </c>
      <c r="G460" s="12" t="s">
        <v>57</v>
      </c>
      <c r="H460" s="8">
        <v>60124000</v>
      </c>
      <c r="I460" s="8">
        <v>1</v>
      </c>
    </row>
    <row r="461" spans="2:9" x14ac:dyDescent="0.25">
      <c r="B461" s="8">
        <f>1000000+INDEX(编号表!$B:$B,MATCH(C461,编号表!$A:$A,0))*1000+INDEX(编号表!$D:$D,MATCH(D461,编号表!$C:$C,0))*100+E461</f>
        <v>1013101</v>
      </c>
      <c r="C461" s="2" t="s">
        <v>216</v>
      </c>
      <c r="D461" s="8" t="s">
        <v>58</v>
      </c>
      <c r="E461" s="8">
        <v>1</v>
      </c>
      <c r="F461" s="11" t="s">
        <v>59</v>
      </c>
      <c r="G461" s="12" t="s">
        <v>57</v>
      </c>
      <c r="H461" s="2">
        <v>60122000</v>
      </c>
      <c r="I461" s="8">
        <v>1</v>
      </c>
    </row>
    <row r="462" spans="2:9" x14ac:dyDescent="0.25">
      <c r="B462" s="8">
        <f>1000000+INDEX(编号表!$B:$B,MATCH(C462,编号表!$A:$A,0))*1000+INDEX(编号表!$D:$D,MATCH(D462,编号表!$C:$C,0))*100+E462</f>
        <v>1013201</v>
      </c>
      <c r="C462" s="2" t="s">
        <v>216</v>
      </c>
      <c r="D462" s="8" t="s">
        <v>60</v>
      </c>
      <c r="E462" s="8">
        <f t="shared" ref="E462:E491" si="11">I462+K462+M462+O462+Q462+S462+U462+W462+Y462+AA462</f>
        <v>1</v>
      </c>
      <c r="F462" s="2" t="s">
        <v>208</v>
      </c>
      <c r="G462" s="12" t="s">
        <v>62</v>
      </c>
      <c r="H462" s="2">
        <v>60121000</v>
      </c>
      <c r="I462" s="8">
        <v>1</v>
      </c>
    </row>
    <row r="463" spans="2:9" x14ac:dyDescent="0.25">
      <c r="B463" s="8">
        <f>1000000+INDEX(编号表!$B:$B,MATCH(C463,编号表!$A:$A,0))*1000+INDEX(编号表!$D:$D,MATCH(D463,编号表!$C:$C,0))*100+E463</f>
        <v>1013301</v>
      </c>
      <c r="C463" s="2" t="s">
        <v>216</v>
      </c>
      <c r="D463" s="8" t="s">
        <v>63</v>
      </c>
      <c r="E463" s="8">
        <f t="shared" si="11"/>
        <v>1</v>
      </c>
      <c r="F463" s="2" t="s">
        <v>213</v>
      </c>
      <c r="G463" s="12" t="s">
        <v>62</v>
      </c>
      <c r="H463" s="2">
        <v>60121001</v>
      </c>
      <c r="I463" s="8">
        <v>1</v>
      </c>
    </row>
    <row r="464" spans="2:9" x14ac:dyDescent="0.25">
      <c r="B464" s="8">
        <f>1000000+INDEX(编号表!$B:$B,MATCH(C464,编号表!$A:$A,0))*1000+INDEX(编号表!$D:$D,MATCH(D464,编号表!$C:$C,0))*100+E464</f>
        <v>1013401</v>
      </c>
      <c r="C464" s="2" t="s">
        <v>216</v>
      </c>
      <c r="D464" s="8" t="s">
        <v>65</v>
      </c>
      <c r="E464" s="8">
        <f t="shared" si="11"/>
        <v>1</v>
      </c>
      <c r="F464" s="2" t="s">
        <v>214</v>
      </c>
      <c r="G464" s="12" t="s">
        <v>62</v>
      </c>
      <c r="H464" s="2">
        <v>60121002</v>
      </c>
      <c r="I464" s="8">
        <v>1</v>
      </c>
    </row>
    <row r="465" spans="2:9" x14ac:dyDescent="0.25">
      <c r="B465" s="8">
        <f>1000000+INDEX(编号表!$B:$B,MATCH(C465,编号表!$A:$A,0))*1000+INDEX(编号表!$D:$D,MATCH(D465,编号表!$C:$C,0))*100+E465</f>
        <v>1013501</v>
      </c>
      <c r="C465" s="2" t="s">
        <v>216</v>
      </c>
      <c r="D465" s="8" t="s">
        <v>67</v>
      </c>
      <c r="E465" s="8">
        <f t="shared" si="11"/>
        <v>1</v>
      </c>
      <c r="F465" s="2" t="s">
        <v>215</v>
      </c>
      <c r="G465" s="12" t="s">
        <v>62</v>
      </c>
      <c r="H465" s="2">
        <v>60121003</v>
      </c>
      <c r="I465" s="8">
        <v>1</v>
      </c>
    </row>
    <row r="466" spans="2:9" x14ac:dyDescent="0.25">
      <c r="B466" s="8">
        <f>1000000+INDEX(编号表!$B:$B,MATCH(C466,编号表!$A:$A,0))*1000+INDEX(编号表!$D:$D,MATCH(D466,编号表!$C:$C,0))*100+E466</f>
        <v>1013601</v>
      </c>
      <c r="C466" s="2" t="s">
        <v>216</v>
      </c>
      <c r="D466" s="8" t="s">
        <v>69</v>
      </c>
      <c r="E466" s="8">
        <f t="shared" si="11"/>
        <v>1</v>
      </c>
      <c r="F466" s="2" t="s">
        <v>217</v>
      </c>
      <c r="G466" s="12" t="s">
        <v>62</v>
      </c>
      <c r="H466" s="2">
        <v>60121004</v>
      </c>
      <c r="I466" s="8">
        <v>1</v>
      </c>
    </row>
    <row r="467" spans="2:9" x14ac:dyDescent="0.25">
      <c r="B467" s="8">
        <f>1000000+INDEX(编号表!$B:$B,MATCH(C467,编号表!$A:$A,0))*1000+INDEX(编号表!$D:$D,MATCH(D467,编号表!$C:$C,0))*100+E467</f>
        <v>1013202</v>
      </c>
      <c r="C467" s="2" t="s">
        <v>216</v>
      </c>
      <c r="D467" s="8" t="s">
        <v>60</v>
      </c>
      <c r="E467" s="8">
        <f t="shared" si="11"/>
        <v>2</v>
      </c>
      <c r="F467" s="2" t="s">
        <v>208</v>
      </c>
      <c r="G467" s="12" t="s">
        <v>62</v>
      </c>
      <c r="H467" s="2">
        <v>60121000</v>
      </c>
      <c r="I467" s="8">
        <v>2</v>
      </c>
    </row>
    <row r="468" spans="2:9" x14ac:dyDescent="0.25">
      <c r="B468" s="8">
        <f>1000000+INDEX(编号表!$B:$B,MATCH(C468,编号表!$A:$A,0))*1000+INDEX(编号表!$D:$D,MATCH(D468,编号表!$C:$C,0))*100+E468</f>
        <v>1013302</v>
      </c>
      <c r="C468" s="2" t="s">
        <v>216</v>
      </c>
      <c r="D468" s="8" t="s">
        <v>63</v>
      </c>
      <c r="E468" s="8">
        <f t="shared" si="11"/>
        <v>2</v>
      </c>
      <c r="F468" s="2" t="s">
        <v>213</v>
      </c>
      <c r="G468" s="12" t="s">
        <v>62</v>
      </c>
      <c r="H468" s="2">
        <v>60121001</v>
      </c>
      <c r="I468" s="8">
        <v>2</v>
      </c>
    </row>
    <row r="469" spans="2:9" x14ac:dyDescent="0.25">
      <c r="B469" s="8">
        <f>1000000+INDEX(编号表!$B:$B,MATCH(C469,编号表!$A:$A,0))*1000+INDEX(编号表!$D:$D,MATCH(D469,编号表!$C:$C,0))*100+E469</f>
        <v>1013402</v>
      </c>
      <c r="C469" s="2" t="s">
        <v>216</v>
      </c>
      <c r="D469" s="8" t="s">
        <v>65</v>
      </c>
      <c r="E469" s="8">
        <f t="shared" si="11"/>
        <v>2</v>
      </c>
      <c r="F469" s="2" t="s">
        <v>214</v>
      </c>
      <c r="G469" s="12" t="s">
        <v>62</v>
      </c>
      <c r="H469" s="2">
        <v>60121002</v>
      </c>
      <c r="I469" s="8">
        <v>2</v>
      </c>
    </row>
    <row r="470" spans="2:9" x14ac:dyDescent="0.25">
      <c r="B470" s="8">
        <f>1000000+INDEX(编号表!$B:$B,MATCH(C470,编号表!$A:$A,0))*1000+INDEX(编号表!$D:$D,MATCH(D470,编号表!$C:$C,0))*100+E470</f>
        <v>1013502</v>
      </c>
      <c r="C470" s="2" t="s">
        <v>216</v>
      </c>
      <c r="D470" s="8" t="s">
        <v>67</v>
      </c>
      <c r="E470" s="8">
        <f t="shared" si="11"/>
        <v>2</v>
      </c>
      <c r="F470" s="2" t="s">
        <v>215</v>
      </c>
      <c r="G470" s="12" t="s">
        <v>62</v>
      </c>
      <c r="H470" s="2">
        <v>60121003</v>
      </c>
      <c r="I470" s="8">
        <v>2</v>
      </c>
    </row>
    <row r="471" spans="2:9" x14ac:dyDescent="0.25">
      <c r="B471" s="8">
        <f>1000000+INDEX(编号表!$B:$B,MATCH(C471,编号表!$A:$A,0))*1000+INDEX(编号表!$D:$D,MATCH(D471,编号表!$C:$C,0))*100+E471</f>
        <v>1013602</v>
      </c>
      <c r="C471" s="2" t="s">
        <v>216</v>
      </c>
      <c r="D471" s="8" t="s">
        <v>69</v>
      </c>
      <c r="E471" s="8">
        <f t="shared" si="11"/>
        <v>2</v>
      </c>
      <c r="F471" s="2" t="s">
        <v>217</v>
      </c>
      <c r="G471" s="12" t="s">
        <v>62</v>
      </c>
      <c r="H471" s="2">
        <v>60121004</v>
      </c>
      <c r="I471" s="8">
        <v>2</v>
      </c>
    </row>
    <row r="472" spans="2:9" x14ac:dyDescent="0.25">
      <c r="B472" s="8">
        <f>1000000+INDEX(编号表!$B:$B,MATCH(C472,编号表!$A:$A,0))*1000+INDEX(编号表!$D:$D,MATCH(D472,编号表!$C:$C,0))*100+E472</f>
        <v>1013203</v>
      </c>
      <c r="C472" s="2" t="s">
        <v>216</v>
      </c>
      <c r="D472" s="8" t="s">
        <v>60</v>
      </c>
      <c r="E472" s="8">
        <f t="shared" si="11"/>
        <v>3</v>
      </c>
      <c r="F472" s="2" t="s">
        <v>208</v>
      </c>
      <c r="G472" s="12" t="s">
        <v>62</v>
      </c>
      <c r="H472" s="2">
        <v>60121000</v>
      </c>
      <c r="I472" s="8">
        <v>3</v>
      </c>
    </row>
    <row r="473" spans="2:9" x14ac:dyDescent="0.25">
      <c r="B473" s="8">
        <f>1000000+INDEX(编号表!$B:$B,MATCH(C473,编号表!$A:$A,0))*1000+INDEX(编号表!$D:$D,MATCH(D473,编号表!$C:$C,0))*100+E473</f>
        <v>1013303</v>
      </c>
      <c r="C473" s="2" t="s">
        <v>216</v>
      </c>
      <c r="D473" s="8" t="s">
        <v>63</v>
      </c>
      <c r="E473" s="8">
        <f t="shared" si="11"/>
        <v>3</v>
      </c>
      <c r="F473" s="2" t="s">
        <v>213</v>
      </c>
      <c r="G473" s="12" t="s">
        <v>62</v>
      </c>
      <c r="H473" s="2">
        <v>60121001</v>
      </c>
      <c r="I473" s="8">
        <v>3</v>
      </c>
    </row>
    <row r="474" spans="2:9" x14ac:dyDescent="0.25">
      <c r="B474" s="8">
        <f>1000000+INDEX(编号表!$B:$B,MATCH(C474,编号表!$A:$A,0))*1000+INDEX(编号表!$D:$D,MATCH(D474,编号表!$C:$C,0))*100+E474</f>
        <v>1013403</v>
      </c>
      <c r="C474" s="2" t="s">
        <v>216</v>
      </c>
      <c r="D474" s="8" t="s">
        <v>65</v>
      </c>
      <c r="E474" s="8">
        <f t="shared" si="11"/>
        <v>3</v>
      </c>
      <c r="F474" s="2" t="s">
        <v>214</v>
      </c>
      <c r="G474" s="12" t="s">
        <v>62</v>
      </c>
      <c r="H474" s="2">
        <v>60121002</v>
      </c>
      <c r="I474" s="8">
        <v>3</v>
      </c>
    </row>
    <row r="475" spans="2:9" x14ac:dyDescent="0.25">
      <c r="B475" s="8">
        <f>1000000+INDEX(编号表!$B:$B,MATCH(C475,编号表!$A:$A,0))*1000+INDEX(编号表!$D:$D,MATCH(D475,编号表!$C:$C,0))*100+E475</f>
        <v>1013503</v>
      </c>
      <c r="C475" s="2" t="s">
        <v>216</v>
      </c>
      <c r="D475" s="8" t="s">
        <v>67</v>
      </c>
      <c r="E475" s="8">
        <f t="shared" si="11"/>
        <v>3</v>
      </c>
      <c r="F475" s="2" t="s">
        <v>215</v>
      </c>
      <c r="G475" s="12" t="s">
        <v>62</v>
      </c>
      <c r="H475" s="2">
        <v>60121003</v>
      </c>
      <c r="I475" s="8">
        <v>3</v>
      </c>
    </row>
    <row r="476" spans="2:9" x14ac:dyDescent="0.25">
      <c r="B476" s="8">
        <f>1000000+INDEX(编号表!$B:$B,MATCH(C476,编号表!$A:$A,0))*1000+INDEX(编号表!$D:$D,MATCH(D476,编号表!$C:$C,0))*100+E476</f>
        <v>1013603</v>
      </c>
      <c r="C476" s="2" t="s">
        <v>216</v>
      </c>
      <c r="D476" s="8" t="s">
        <v>69</v>
      </c>
      <c r="E476" s="8">
        <f t="shared" si="11"/>
        <v>3</v>
      </c>
      <c r="F476" s="2" t="s">
        <v>217</v>
      </c>
      <c r="G476" s="12" t="s">
        <v>62</v>
      </c>
      <c r="H476" s="2">
        <v>60121004</v>
      </c>
      <c r="I476" s="8">
        <v>3</v>
      </c>
    </row>
    <row r="477" spans="2:9" x14ac:dyDescent="0.25">
      <c r="B477" s="8">
        <f>1000000+INDEX(编号表!$B:$B,MATCH(C477,编号表!$A:$A,0))*1000+INDEX(编号表!$D:$D,MATCH(D477,编号表!$C:$C,0))*100+E477</f>
        <v>1013205</v>
      </c>
      <c r="C477" s="2" t="s">
        <v>216</v>
      </c>
      <c r="D477" s="8" t="s">
        <v>60</v>
      </c>
      <c r="E477" s="8">
        <f t="shared" si="11"/>
        <v>5</v>
      </c>
      <c r="F477" s="2" t="s">
        <v>208</v>
      </c>
      <c r="G477" s="12" t="s">
        <v>62</v>
      </c>
      <c r="H477" s="2">
        <v>60121000</v>
      </c>
      <c r="I477" s="8">
        <v>5</v>
      </c>
    </row>
    <row r="478" spans="2:9" x14ac:dyDescent="0.25">
      <c r="B478" s="8">
        <f>1000000+INDEX(编号表!$B:$B,MATCH(C478,编号表!$A:$A,0))*1000+INDEX(编号表!$D:$D,MATCH(D478,编号表!$C:$C,0))*100+E478</f>
        <v>1013305</v>
      </c>
      <c r="C478" s="2" t="s">
        <v>216</v>
      </c>
      <c r="D478" s="8" t="s">
        <v>63</v>
      </c>
      <c r="E478" s="8">
        <f t="shared" si="11"/>
        <v>5</v>
      </c>
      <c r="F478" s="2" t="s">
        <v>213</v>
      </c>
      <c r="G478" s="12" t="s">
        <v>62</v>
      </c>
      <c r="H478" s="2">
        <v>60121001</v>
      </c>
      <c r="I478" s="8">
        <v>5</v>
      </c>
    </row>
    <row r="479" spans="2:9" x14ac:dyDescent="0.25">
      <c r="B479" s="8">
        <f>1000000+INDEX(编号表!$B:$B,MATCH(C479,编号表!$A:$A,0))*1000+INDEX(编号表!$D:$D,MATCH(D479,编号表!$C:$C,0))*100+E479</f>
        <v>1013405</v>
      </c>
      <c r="C479" s="2" t="s">
        <v>216</v>
      </c>
      <c r="D479" s="8" t="s">
        <v>65</v>
      </c>
      <c r="E479" s="8">
        <f t="shared" si="11"/>
        <v>5</v>
      </c>
      <c r="F479" s="2" t="s">
        <v>214</v>
      </c>
      <c r="G479" s="12" t="s">
        <v>62</v>
      </c>
      <c r="H479" s="2">
        <v>60121002</v>
      </c>
      <c r="I479" s="8">
        <v>5</v>
      </c>
    </row>
    <row r="480" spans="2:9" x14ac:dyDescent="0.25">
      <c r="B480" s="8">
        <f>1000000+INDEX(编号表!$B:$B,MATCH(C480,编号表!$A:$A,0))*1000+INDEX(编号表!$D:$D,MATCH(D480,编号表!$C:$C,0))*100+E480</f>
        <v>1013505</v>
      </c>
      <c r="C480" s="2" t="s">
        <v>216</v>
      </c>
      <c r="D480" s="8" t="s">
        <v>67</v>
      </c>
      <c r="E480" s="8">
        <f t="shared" si="11"/>
        <v>5</v>
      </c>
      <c r="F480" s="2" t="s">
        <v>215</v>
      </c>
      <c r="G480" s="12" t="s">
        <v>62</v>
      </c>
      <c r="H480" s="2">
        <v>60121003</v>
      </c>
      <c r="I480" s="8">
        <v>5</v>
      </c>
    </row>
    <row r="481" spans="2:9" x14ac:dyDescent="0.25">
      <c r="B481" s="8">
        <f>1000000+INDEX(编号表!$B:$B,MATCH(C481,编号表!$A:$A,0))*1000+INDEX(编号表!$D:$D,MATCH(D481,编号表!$C:$C,0))*100+E481</f>
        <v>1013605</v>
      </c>
      <c r="C481" s="2" t="s">
        <v>216</v>
      </c>
      <c r="D481" s="8" t="s">
        <v>69</v>
      </c>
      <c r="E481" s="8">
        <f t="shared" si="11"/>
        <v>5</v>
      </c>
      <c r="F481" s="2" t="s">
        <v>217</v>
      </c>
      <c r="G481" s="12" t="s">
        <v>62</v>
      </c>
      <c r="H481" s="2">
        <v>60121004</v>
      </c>
      <c r="I481" s="8">
        <v>5</v>
      </c>
    </row>
    <row r="482" spans="2:9" x14ac:dyDescent="0.25">
      <c r="B482" s="8">
        <f>1000000+INDEX(编号表!$B:$B,MATCH(C482,编号表!$A:$A,0))*1000+INDEX(编号表!$D:$D,MATCH(D482,编号表!$C:$C,0))*100+E482</f>
        <v>1013210</v>
      </c>
      <c r="C482" s="2" t="s">
        <v>216</v>
      </c>
      <c r="D482" s="8" t="s">
        <v>60</v>
      </c>
      <c r="E482" s="8">
        <f t="shared" si="11"/>
        <v>10</v>
      </c>
      <c r="F482" s="2" t="s">
        <v>208</v>
      </c>
      <c r="G482" s="12" t="s">
        <v>62</v>
      </c>
      <c r="H482" s="2">
        <v>60121000</v>
      </c>
      <c r="I482" s="8">
        <v>10</v>
      </c>
    </row>
    <row r="483" spans="2:9" x14ac:dyDescent="0.25">
      <c r="B483" s="8">
        <f>1000000+INDEX(编号表!$B:$B,MATCH(C483,编号表!$A:$A,0))*1000+INDEX(编号表!$D:$D,MATCH(D483,编号表!$C:$C,0))*100+E483</f>
        <v>1013310</v>
      </c>
      <c r="C483" s="2" t="s">
        <v>216</v>
      </c>
      <c r="D483" s="8" t="s">
        <v>63</v>
      </c>
      <c r="E483" s="8">
        <f t="shared" si="11"/>
        <v>10</v>
      </c>
      <c r="F483" s="2" t="s">
        <v>213</v>
      </c>
      <c r="G483" s="12" t="s">
        <v>62</v>
      </c>
      <c r="H483" s="2">
        <v>60121001</v>
      </c>
      <c r="I483" s="8">
        <v>10</v>
      </c>
    </row>
    <row r="484" spans="2:9" x14ac:dyDescent="0.25">
      <c r="B484" s="8">
        <f>1000000+INDEX(编号表!$B:$B,MATCH(C484,编号表!$A:$A,0))*1000+INDEX(编号表!$D:$D,MATCH(D484,编号表!$C:$C,0))*100+E484</f>
        <v>1013410</v>
      </c>
      <c r="C484" s="2" t="s">
        <v>216</v>
      </c>
      <c r="D484" s="8" t="s">
        <v>65</v>
      </c>
      <c r="E484" s="8">
        <f t="shared" si="11"/>
        <v>10</v>
      </c>
      <c r="F484" s="2" t="s">
        <v>214</v>
      </c>
      <c r="G484" s="12" t="s">
        <v>62</v>
      </c>
      <c r="H484" s="2">
        <v>60121002</v>
      </c>
      <c r="I484" s="8">
        <v>10</v>
      </c>
    </row>
    <row r="485" spans="2:9" x14ac:dyDescent="0.25">
      <c r="B485" s="8">
        <f>1000000+INDEX(编号表!$B:$B,MATCH(C485,编号表!$A:$A,0))*1000+INDEX(编号表!$D:$D,MATCH(D485,编号表!$C:$C,0))*100+E485</f>
        <v>1013510</v>
      </c>
      <c r="C485" s="2" t="s">
        <v>216</v>
      </c>
      <c r="D485" s="8" t="s">
        <v>67</v>
      </c>
      <c r="E485" s="8">
        <f t="shared" si="11"/>
        <v>10</v>
      </c>
      <c r="F485" s="2" t="s">
        <v>215</v>
      </c>
      <c r="G485" s="12" t="s">
        <v>62</v>
      </c>
      <c r="H485" s="2">
        <v>60121003</v>
      </c>
      <c r="I485" s="8">
        <v>10</v>
      </c>
    </row>
    <row r="486" spans="2:9" x14ac:dyDescent="0.25">
      <c r="B486" s="8">
        <f>1000000+INDEX(编号表!$B:$B,MATCH(C486,编号表!$A:$A,0))*1000+INDEX(编号表!$D:$D,MATCH(D486,编号表!$C:$C,0))*100+E486</f>
        <v>1013610</v>
      </c>
      <c r="C486" s="2" t="s">
        <v>216</v>
      </c>
      <c r="D486" s="8" t="s">
        <v>69</v>
      </c>
      <c r="E486" s="8">
        <f t="shared" si="11"/>
        <v>10</v>
      </c>
      <c r="F486" s="2" t="s">
        <v>217</v>
      </c>
      <c r="G486" s="12" t="s">
        <v>62</v>
      </c>
      <c r="H486" s="2">
        <v>60121004</v>
      </c>
      <c r="I486" s="8">
        <v>10</v>
      </c>
    </row>
    <row r="487" spans="2:9" x14ac:dyDescent="0.25">
      <c r="B487" s="8">
        <f>1000000+INDEX(编号表!$B:$B,MATCH(C487,编号表!$A:$A,0))*1000+INDEX(编号表!$D:$D,MATCH(D487,编号表!$C:$C,0))*100+E487</f>
        <v>1013215</v>
      </c>
      <c r="C487" s="2" t="s">
        <v>216</v>
      </c>
      <c r="D487" s="8" t="s">
        <v>60</v>
      </c>
      <c r="E487" s="8">
        <f t="shared" si="11"/>
        <v>15</v>
      </c>
      <c r="F487" s="2" t="s">
        <v>208</v>
      </c>
      <c r="G487" s="12" t="s">
        <v>62</v>
      </c>
      <c r="H487" s="2">
        <v>60121000</v>
      </c>
      <c r="I487" s="8">
        <v>15</v>
      </c>
    </row>
    <row r="488" spans="2:9" x14ac:dyDescent="0.25">
      <c r="B488" s="8">
        <f>1000000+INDEX(编号表!$B:$B,MATCH(C488,编号表!$A:$A,0))*1000+INDEX(编号表!$D:$D,MATCH(D488,编号表!$C:$C,0))*100+E488</f>
        <v>1013315</v>
      </c>
      <c r="C488" s="2" t="s">
        <v>216</v>
      </c>
      <c r="D488" s="8" t="s">
        <v>63</v>
      </c>
      <c r="E488" s="8">
        <f t="shared" si="11"/>
        <v>15</v>
      </c>
      <c r="F488" s="2" t="s">
        <v>213</v>
      </c>
      <c r="G488" s="12" t="s">
        <v>62</v>
      </c>
      <c r="H488" s="2">
        <v>60121001</v>
      </c>
      <c r="I488" s="8">
        <v>15</v>
      </c>
    </row>
    <row r="489" spans="2:9" x14ac:dyDescent="0.25">
      <c r="B489" s="8">
        <f>1000000+INDEX(编号表!$B:$B,MATCH(C489,编号表!$A:$A,0))*1000+INDEX(编号表!$D:$D,MATCH(D489,编号表!$C:$C,0))*100+E489</f>
        <v>1013415</v>
      </c>
      <c r="C489" s="2" t="s">
        <v>216</v>
      </c>
      <c r="D489" s="8" t="s">
        <v>65</v>
      </c>
      <c r="E489" s="8">
        <f t="shared" si="11"/>
        <v>15</v>
      </c>
      <c r="F489" s="2" t="s">
        <v>214</v>
      </c>
      <c r="G489" s="12" t="s">
        <v>62</v>
      </c>
      <c r="H489" s="2">
        <v>60121002</v>
      </c>
      <c r="I489" s="8">
        <v>15</v>
      </c>
    </row>
    <row r="490" spans="2:9" x14ac:dyDescent="0.25">
      <c r="B490" s="8">
        <f>1000000+INDEX(编号表!$B:$B,MATCH(C490,编号表!$A:$A,0))*1000+INDEX(编号表!$D:$D,MATCH(D490,编号表!$C:$C,0))*100+E490</f>
        <v>1013515</v>
      </c>
      <c r="C490" s="2" t="s">
        <v>216</v>
      </c>
      <c r="D490" s="8" t="s">
        <v>67</v>
      </c>
      <c r="E490" s="8">
        <f t="shared" si="11"/>
        <v>15</v>
      </c>
      <c r="F490" s="2" t="s">
        <v>215</v>
      </c>
      <c r="G490" s="12" t="s">
        <v>62</v>
      </c>
      <c r="H490" s="2">
        <v>60121003</v>
      </c>
      <c r="I490" s="8">
        <v>15</v>
      </c>
    </row>
    <row r="491" spans="2:9" x14ac:dyDescent="0.25">
      <c r="B491" s="8">
        <f>1000000+INDEX(编号表!$B:$B,MATCH(C491,编号表!$A:$A,0))*1000+INDEX(编号表!$D:$D,MATCH(D491,编号表!$C:$C,0))*100+E491</f>
        <v>1013615</v>
      </c>
      <c r="C491" s="2" t="s">
        <v>216</v>
      </c>
      <c r="D491" s="8" t="s">
        <v>69</v>
      </c>
      <c r="E491" s="8">
        <f t="shared" si="11"/>
        <v>15</v>
      </c>
      <c r="F491" s="2" t="s">
        <v>217</v>
      </c>
      <c r="G491" s="12" t="s">
        <v>62</v>
      </c>
      <c r="H491" s="2">
        <v>60121004</v>
      </c>
      <c r="I491" s="8">
        <v>15</v>
      </c>
    </row>
    <row r="492" spans="2:9" x14ac:dyDescent="0.25">
      <c r="B492" s="8">
        <f>1000000+INDEX(编号表!$B:$B,MATCH(C492,编号表!$A:$A,0))*1000+INDEX(编号表!$D:$D,MATCH(D492,编号表!$C:$C,0))*100+E492</f>
        <v>1014001</v>
      </c>
      <c r="C492" s="2" t="s">
        <v>218</v>
      </c>
      <c r="D492" s="8" t="s">
        <v>55</v>
      </c>
      <c r="E492" s="8">
        <v>1</v>
      </c>
      <c r="F492" s="11" t="s">
        <v>56</v>
      </c>
      <c r="G492" s="12" t="s">
        <v>57</v>
      </c>
      <c r="H492" s="8">
        <v>60134000</v>
      </c>
      <c r="I492" s="8">
        <v>1</v>
      </c>
    </row>
    <row r="493" spans="2:9" x14ac:dyDescent="0.25">
      <c r="B493" s="8">
        <f>1000000+INDEX(编号表!$B:$B,MATCH(C493,编号表!$A:$A,0))*1000+INDEX(编号表!$D:$D,MATCH(D493,编号表!$C:$C,0))*100+E493</f>
        <v>1014101</v>
      </c>
      <c r="C493" s="2" t="s">
        <v>218</v>
      </c>
      <c r="D493" s="8" t="s">
        <v>58</v>
      </c>
      <c r="E493" s="8">
        <v>1</v>
      </c>
      <c r="F493" s="11" t="s">
        <v>59</v>
      </c>
      <c r="G493" s="12" t="s">
        <v>57</v>
      </c>
      <c r="H493" s="2">
        <v>60132000</v>
      </c>
      <c r="I493" s="8">
        <v>1</v>
      </c>
    </row>
    <row r="494" spans="2:9" x14ac:dyDescent="0.25">
      <c r="B494" s="8">
        <f>1000000+INDEX(编号表!$B:$B,MATCH(C494,编号表!$A:$A,0))*1000+INDEX(编号表!$D:$D,MATCH(D494,编号表!$C:$C,0))*100+E494</f>
        <v>1014201</v>
      </c>
      <c r="C494" s="2" t="s">
        <v>218</v>
      </c>
      <c r="D494" s="8" t="s">
        <v>60</v>
      </c>
      <c r="E494" s="8">
        <f t="shared" ref="E494:E523" si="12">I494+K494+M494+O494+Q494+S494+U494+W494+Y494+AA494</f>
        <v>1</v>
      </c>
      <c r="F494" s="2" t="s">
        <v>208</v>
      </c>
      <c r="G494" s="12" t="s">
        <v>62</v>
      </c>
      <c r="H494" s="2">
        <v>60131000</v>
      </c>
      <c r="I494" s="8">
        <v>1</v>
      </c>
    </row>
    <row r="495" spans="2:9" x14ac:dyDescent="0.25">
      <c r="B495" s="8">
        <f>1000000+INDEX(编号表!$B:$B,MATCH(C495,编号表!$A:$A,0))*1000+INDEX(编号表!$D:$D,MATCH(D495,编号表!$C:$C,0))*100+E495</f>
        <v>1014301</v>
      </c>
      <c r="C495" s="2" t="s">
        <v>218</v>
      </c>
      <c r="D495" s="8" t="s">
        <v>63</v>
      </c>
      <c r="E495" s="8">
        <f t="shared" si="12"/>
        <v>1</v>
      </c>
      <c r="F495" s="2" t="s">
        <v>213</v>
      </c>
      <c r="G495" s="12" t="s">
        <v>62</v>
      </c>
      <c r="H495" s="2">
        <v>60131001</v>
      </c>
      <c r="I495" s="8">
        <v>1</v>
      </c>
    </row>
    <row r="496" spans="2:9" x14ac:dyDescent="0.25">
      <c r="B496" s="8">
        <f>1000000+INDEX(编号表!$B:$B,MATCH(C496,编号表!$A:$A,0))*1000+INDEX(编号表!$D:$D,MATCH(D496,编号表!$C:$C,0))*100+E496</f>
        <v>1014401</v>
      </c>
      <c r="C496" s="2" t="s">
        <v>218</v>
      </c>
      <c r="D496" s="8" t="s">
        <v>65</v>
      </c>
      <c r="E496" s="8">
        <f t="shared" si="12"/>
        <v>1</v>
      </c>
      <c r="F496" s="2" t="s">
        <v>214</v>
      </c>
      <c r="G496" s="12" t="s">
        <v>62</v>
      </c>
      <c r="H496" s="2">
        <v>60131002</v>
      </c>
      <c r="I496" s="8">
        <v>1</v>
      </c>
    </row>
    <row r="497" spans="2:9" x14ac:dyDescent="0.25">
      <c r="B497" s="8">
        <f>1000000+INDEX(编号表!$B:$B,MATCH(C497,编号表!$A:$A,0))*1000+INDEX(编号表!$D:$D,MATCH(D497,编号表!$C:$C,0))*100+E497</f>
        <v>1014501</v>
      </c>
      <c r="C497" s="2" t="s">
        <v>218</v>
      </c>
      <c r="D497" s="8" t="s">
        <v>67</v>
      </c>
      <c r="E497" s="8">
        <f t="shared" si="12"/>
        <v>1</v>
      </c>
      <c r="F497" s="2" t="s">
        <v>215</v>
      </c>
      <c r="G497" s="12" t="s">
        <v>62</v>
      </c>
      <c r="H497" s="2">
        <v>60131003</v>
      </c>
      <c r="I497" s="8">
        <v>1</v>
      </c>
    </row>
    <row r="498" spans="2:9" x14ac:dyDescent="0.25">
      <c r="B498" s="8">
        <f>1000000+INDEX(编号表!$B:$B,MATCH(C498,编号表!$A:$A,0))*1000+INDEX(编号表!$D:$D,MATCH(D498,编号表!$C:$C,0))*100+E498</f>
        <v>1014601</v>
      </c>
      <c r="C498" s="2" t="s">
        <v>218</v>
      </c>
      <c r="D498" s="8" t="s">
        <v>69</v>
      </c>
      <c r="E498" s="8">
        <f t="shared" si="12"/>
        <v>1</v>
      </c>
      <c r="F498" s="2" t="s">
        <v>217</v>
      </c>
      <c r="G498" s="12" t="s">
        <v>62</v>
      </c>
      <c r="H498" s="2">
        <v>60131004</v>
      </c>
      <c r="I498" s="8">
        <v>1</v>
      </c>
    </row>
    <row r="499" spans="2:9" x14ac:dyDescent="0.25">
      <c r="B499" s="8">
        <f>1000000+INDEX(编号表!$B:$B,MATCH(C499,编号表!$A:$A,0))*1000+INDEX(编号表!$D:$D,MATCH(D499,编号表!$C:$C,0))*100+E499</f>
        <v>1014202</v>
      </c>
      <c r="C499" s="2" t="s">
        <v>218</v>
      </c>
      <c r="D499" s="8" t="s">
        <v>60</v>
      </c>
      <c r="E499" s="8">
        <f t="shared" si="12"/>
        <v>2</v>
      </c>
      <c r="F499" s="2" t="s">
        <v>208</v>
      </c>
      <c r="G499" s="12" t="s">
        <v>62</v>
      </c>
      <c r="H499" s="2">
        <v>60131000</v>
      </c>
      <c r="I499" s="8">
        <v>2</v>
      </c>
    </row>
    <row r="500" spans="2:9" x14ac:dyDescent="0.25">
      <c r="B500" s="8">
        <f>1000000+INDEX(编号表!$B:$B,MATCH(C500,编号表!$A:$A,0))*1000+INDEX(编号表!$D:$D,MATCH(D500,编号表!$C:$C,0))*100+E500</f>
        <v>1014302</v>
      </c>
      <c r="C500" s="2" t="s">
        <v>218</v>
      </c>
      <c r="D500" s="8" t="s">
        <v>63</v>
      </c>
      <c r="E500" s="8">
        <f t="shared" si="12"/>
        <v>2</v>
      </c>
      <c r="F500" s="2" t="s">
        <v>213</v>
      </c>
      <c r="G500" s="12" t="s">
        <v>62</v>
      </c>
      <c r="H500" s="2">
        <v>60131001</v>
      </c>
      <c r="I500" s="8">
        <v>2</v>
      </c>
    </row>
    <row r="501" spans="2:9" x14ac:dyDescent="0.25">
      <c r="B501" s="8">
        <f>1000000+INDEX(编号表!$B:$B,MATCH(C501,编号表!$A:$A,0))*1000+INDEX(编号表!$D:$D,MATCH(D501,编号表!$C:$C,0))*100+E501</f>
        <v>1014402</v>
      </c>
      <c r="C501" s="2" t="s">
        <v>218</v>
      </c>
      <c r="D501" s="8" t="s">
        <v>65</v>
      </c>
      <c r="E501" s="8">
        <f t="shared" si="12"/>
        <v>2</v>
      </c>
      <c r="F501" s="2" t="s">
        <v>214</v>
      </c>
      <c r="G501" s="12" t="s">
        <v>62</v>
      </c>
      <c r="H501" s="2">
        <v>60131002</v>
      </c>
      <c r="I501" s="8">
        <v>2</v>
      </c>
    </row>
    <row r="502" spans="2:9" x14ac:dyDescent="0.25">
      <c r="B502" s="8">
        <f>1000000+INDEX(编号表!$B:$B,MATCH(C502,编号表!$A:$A,0))*1000+INDEX(编号表!$D:$D,MATCH(D502,编号表!$C:$C,0))*100+E502</f>
        <v>1014502</v>
      </c>
      <c r="C502" s="2" t="s">
        <v>218</v>
      </c>
      <c r="D502" s="8" t="s">
        <v>67</v>
      </c>
      <c r="E502" s="8">
        <f t="shared" si="12"/>
        <v>2</v>
      </c>
      <c r="F502" s="2" t="s">
        <v>215</v>
      </c>
      <c r="G502" s="12" t="s">
        <v>62</v>
      </c>
      <c r="H502" s="2">
        <v>60131003</v>
      </c>
      <c r="I502" s="8">
        <v>2</v>
      </c>
    </row>
    <row r="503" spans="2:9" x14ac:dyDescent="0.25">
      <c r="B503" s="8">
        <f>1000000+INDEX(编号表!$B:$B,MATCH(C503,编号表!$A:$A,0))*1000+INDEX(编号表!$D:$D,MATCH(D503,编号表!$C:$C,0))*100+E503</f>
        <v>1014602</v>
      </c>
      <c r="C503" s="2" t="s">
        <v>218</v>
      </c>
      <c r="D503" s="8" t="s">
        <v>69</v>
      </c>
      <c r="E503" s="8">
        <f t="shared" si="12"/>
        <v>2</v>
      </c>
      <c r="F503" s="2" t="s">
        <v>217</v>
      </c>
      <c r="G503" s="12" t="s">
        <v>62</v>
      </c>
      <c r="H503" s="2">
        <v>60131004</v>
      </c>
      <c r="I503" s="8">
        <v>2</v>
      </c>
    </row>
    <row r="504" spans="2:9" x14ac:dyDescent="0.25">
      <c r="B504" s="8">
        <f>1000000+INDEX(编号表!$B:$B,MATCH(C504,编号表!$A:$A,0))*1000+INDEX(编号表!$D:$D,MATCH(D504,编号表!$C:$C,0))*100+E504</f>
        <v>1014203</v>
      </c>
      <c r="C504" s="2" t="s">
        <v>218</v>
      </c>
      <c r="D504" s="8" t="s">
        <v>60</v>
      </c>
      <c r="E504" s="8">
        <f t="shared" si="12"/>
        <v>3</v>
      </c>
      <c r="F504" s="2" t="s">
        <v>208</v>
      </c>
      <c r="G504" s="12" t="s">
        <v>62</v>
      </c>
      <c r="H504" s="2">
        <v>60131000</v>
      </c>
      <c r="I504" s="8">
        <v>3</v>
      </c>
    </row>
    <row r="505" spans="2:9" x14ac:dyDescent="0.25">
      <c r="B505" s="8">
        <f>1000000+INDEX(编号表!$B:$B,MATCH(C505,编号表!$A:$A,0))*1000+INDEX(编号表!$D:$D,MATCH(D505,编号表!$C:$C,0))*100+E505</f>
        <v>1014303</v>
      </c>
      <c r="C505" s="2" t="s">
        <v>218</v>
      </c>
      <c r="D505" s="8" t="s">
        <v>63</v>
      </c>
      <c r="E505" s="8">
        <f t="shared" si="12"/>
        <v>3</v>
      </c>
      <c r="F505" s="2" t="s">
        <v>213</v>
      </c>
      <c r="G505" s="12" t="s">
        <v>62</v>
      </c>
      <c r="H505" s="2">
        <v>60131001</v>
      </c>
      <c r="I505" s="8">
        <v>3</v>
      </c>
    </row>
    <row r="506" spans="2:9" x14ac:dyDescent="0.25">
      <c r="B506" s="8">
        <f>1000000+INDEX(编号表!$B:$B,MATCH(C506,编号表!$A:$A,0))*1000+INDEX(编号表!$D:$D,MATCH(D506,编号表!$C:$C,0))*100+E506</f>
        <v>1014403</v>
      </c>
      <c r="C506" s="2" t="s">
        <v>218</v>
      </c>
      <c r="D506" s="8" t="s">
        <v>65</v>
      </c>
      <c r="E506" s="8">
        <f t="shared" si="12"/>
        <v>3</v>
      </c>
      <c r="F506" s="2" t="s">
        <v>214</v>
      </c>
      <c r="G506" s="12" t="s">
        <v>62</v>
      </c>
      <c r="H506" s="2">
        <v>60131002</v>
      </c>
      <c r="I506" s="8">
        <v>3</v>
      </c>
    </row>
    <row r="507" spans="2:9" x14ac:dyDescent="0.25">
      <c r="B507" s="8">
        <f>1000000+INDEX(编号表!$B:$B,MATCH(C507,编号表!$A:$A,0))*1000+INDEX(编号表!$D:$D,MATCH(D507,编号表!$C:$C,0))*100+E507</f>
        <v>1014503</v>
      </c>
      <c r="C507" s="2" t="s">
        <v>218</v>
      </c>
      <c r="D507" s="8" t="s">
        <v>67</v>
      </c>
      <c r="E507" s="8">
        <f t="shared" si="12"/>
        <v>3</v>
      </c>
      <c r="F507" s="2" t="s">
        <v>215</v>
      </c>
      <c r="G507" s="12" t="s">
        <v>62</v>
      </c>
      <c r="H507" s="2">
        <v>60131003</v>
      </c>
      <c r="I507" s="8">
        <v>3</v>
      </c>
    </row>
    <row r="508" spans="2:9" x14ac:dyDescent="0.25">
      <c r="B508" s="8">
        <f>1000000+INDEX(编号表!$B:$B,MATCH(C508,编号表!$A:$A,0))*1000+INDEX(编号表!$D:$D,MATCH(D508,编号表!$C:$C,0))*100+E508</f>
        <v>1014603</v>
      </c>
      <c r="C508" s="2" t="s">
        <v>218</v>
      </c>
      <c r="D508" s="8" t="s">
        <v>69</v>
      </c>
      <c r="E508" s="8">
        <f t="shared" si="12"/>
        <v>3</v>
      </c>
      <c r="F508" s="2" t="s">
        <v>217</v>
      </c>
      <c r="G508" s="12" t="s">
        <v>62</v>
      </c>
      <c r="H508" s="2">
        <v>60131004</v>
      </c>
      <c r="I508" s="8">
        <v>3</v>
      </c>
    </row>
    <row r="509" spans="2:9" x14ac:dyDescent="0.25">
      <c r="B509" s="8">
        <f>1000000+INDEX(编号表!$B:$B,MATCH(C509,编号表!$A:$A,0))*1000+INDEX(编号表!$D:$D,MATCH(D509,编号表!$C:$C,0))*100+E509</f>
        <v>1014205</v>
      </c>
      <c r="C509" s="2" t="s">
        <v>218</v>
      </c>
      <c r="D509" s="8" t="s">
        <v>60</v>
      </c>
      <c r="E509" s="8">
        <f t="shared" si="12"/>
        <v>5</v>
      </c>
      <c r="F509" s="2" t="s">
        <v>208</v>
      </c>
      <c r="G509" s="12" t="s">
        <v>62</v>
      </c>
      <c r="H509" s="2">
        <v>60131000</v>
      </c>
      <c r="I509" s="8">
        <v>5</v>
      </c>
    </row>
    <row r="510" spans="2:9" x14ac:dyDescent="0.25">
      <c r="B510" s="8">
        <f>1000000+INDEX(编号表!$B:$B,MATCH(C510,编号表!$A:$A,0))*1000+INDEX(编号表!$D:$D,MATCH(D510,编号表!$C:$C,0))*100+E510</f>
        <v>1014305</v>
      </c>
      <c r="C510" s="2" t="s">
        <v>218</v>
      </c>
      <c r="D510" s="8" t="s">
        <v>63</v>
      </c>
      <c r="E510" s="8">
        <f t="shared" si="12"/>
        <v>5</v>
      </c>
      <c r="F510" s="2" t="s">
        <v>213</v>
      </c>
      <c r="G510" s="12" t="s">
        <v>62</v>
      </c>
      <c r="H510" s="2">
        <v>60131001</v>
      </c>
      <c r="I510" s="8">
        <v>5</v>
      </c>
    </row>
    <row r="511" spans="2:9" x14ac:dyDescent="0.25">
      <c r="B511" s="8">
        <f>1000000+INDEX(编号表!$B:$B,MATCH(C511,编号表!$A:$A,0))*1000+INDEX(编号表!$D:$D,MATCH(D511,编号表!$C:$C,0))*100+E511</f>
        <v>1014405</v>
      </c>
      <c r="C511" s="2" t="s">
        <v>218</v>
      </c>
      <c r="D511" s="8" t="s">
        <v>65</v>
      </c>
      <c r="E511" s="8">
        <f t="shared" si="12"/>
        <v>5</v>
      </c>
      <c r="F511" s="2" t="s">
        <v>214</v>
      </c>
      <c r="G511" s="12" t="s">
        <v>62</v>
      </c>
      <c r="H511" s="2">
        <v>60131002</v>
      </c>
      <c r="I511" s="8">
        <v>5</v>
      </c>
    </row>
    <row r="512" spans="2:9" x14ac:dyDescent="0.25">
      <c r="B512" s="8">
        <f>1000000+INDEX(编号表!$B:$B,MATCH(C512,编号表!$A:$A,0))*1000+INDEX(编号表!$D:$D,MATCH(D512,编号表!$C:$C,0))*100+E512</f>
        <v>1014505</v>
      </c>
      <c r="C512" s="2" t="s">
        <v>218</v>
      </c>
      <c r="D512" s="8" t="s">
        <v>67</v>
      </c>
      <c r="E512" s="8">
        <f t="shared" si="12"/>
        <v>5</v>
      </c>
      <c r="F512" s="2" t="s">
        <v>215</v>
      </c>
      <c r="G512" s="12" t="s">
        <v>62</v>
      </c>
      <c r="H512" s="2">
        <v>60131003</v>
      </c>
      <c r="I512" s="8">
        <v>5</v>
      </c>
    </row>
    <row r="513" spans="2:9" x14ac:dyDescent="0.25">
      <c r="B513" s="8">
        <f>1000000+INDEX(编号表!$B:$B,MATCH(C513,编号表!$A:$A,0))*1000+INDEX(编号表!$D:$D,MATCH(D513,编号表!$C:$C,0))*100+E513</f>
        <v>1014605</v>
      </c>
      <c r="C513" s="2" t="s">
        <v>218</v>
      </c>
      <c r="D513" s="8" t="s">
        <v>69</v>
      </c>
      <c r="E513" s="8">
        <f t="shared" si="12"/>
        <v>5</v>
      </c>
      <c r="F513" s="2" t="s">
        <v>217</v>
      </c>
      <c r="G513" s="12" t="s">
        <v>62</v>
      </c>
      <c r="H513" s="2">
        <v>60131004</v>
      </c>
      <c r="I513" s="8">
        <v>5</v>
      </c>
    </row>
    <row r="514" spans="2:9" x14ac:dyDescent="0.25">
      <c r="B514" s="8">
        <f>1000000+INDEX(编号表!$B:$B,MATCH(C514,编号表!$A:$A,0))*1000+INDEX(编号表!$D:$D,MATCH(D514,编号表!$C:$C,0))*100+E514</f>
        <v>1014210</v>
      </c>
      <c r="C514" s="2" t="s">
        <v>218</v>
      </c>
      <c r="D514" s="8" t="s">
        <v>60</v>
      </c>
      <c r="E514" s="8">
        <f t="shared" si="12"/>
        <v>10</v>
      </c>
      <c r="F514" s="2" t="s">
        <v>208</v>
      </c>
      <c r="G514" s="12" t="s">
        <v>62</v>
      </c>
      <c r="H514" s="2">
        <v>60131000</v>
      </c>
      <c r="I514" s="8">
        <v>10</v>
      </c>
    </row>
    <row r="515" spans="2:9" x14ac:dyDescent="0.25">
      <c r="B515" s="8">
        <f>1000000+INDEX(编号表!$B:$B,MATCH(C515,编号表!$A:$A,0))*1000+INDEX(编号表!$D:$D,MATCH(D515,编号表!$C:$C,0))*100+E515</f>
        <v>1014310</v>
      </c>
      <c r="C515" s="2" t="s">
        <v>218</v>
      </c>
      <c r="D515" s="8" t="s">
        <v>63</v>
      </c>
      <c r="E515" s="8">
        <f t="shared" si="12"/>
        <v>10</v>
      </c>
      <c r="F515" s="2" t="s">
        <v>213</v>
      </c>
      <c r="G515" s="12" t="s">
        <v>62</v>
      </c>
      <c r="H515" s="2">
        <v>60131001</v>
      </c>
      <c r="I515" s="8">
        <v>10</v>
      </c>
    </row>
    <row r="516" spans="2:9" x14ac:dyDescent="0.25">
      <c r="B516" s="8">
        <f>1000000+INDEX(编号表!$B:$B,MATCH(C516,编号表!$A:$A,0))*1000+INDEX(编号表!$D:$D,MATCH(D516,编号表!$C:$C,0))*100+E516</f>
        <v>1014410</v>
      </c>
      <c r="C516" s="2" t="s">
        <v>218</v>
      </c>
      <c r="D516" s="8" t="s">
        <v>65</v>
      </c>
      <c r="E516" s="8">
        <f t="shared" si="12"/>
        <v>10</v>
      </c>
      <c r="F516" s="2" t="s">
        <v>214</v>
      </c>
      <c r="G516" s="12" t="s">
        <v>62</v>
      </c>
      <c r="H516" s="2">
        <v>60131002</v>
      </c>
      <c r="I516" s="8">
        <v>10</v>
      </c>
    </row>
    <row r="517" spans="2:9" x14ac:dyDescent="0.25">
      <c r="B517" s="8">
        <f>1000000+INDEX(编号表!$B:$B,MATCH(C517,编号表!$A:$A,0))*1000+INDEX(编号表!$D:$D,MATCH(D517,编号表!$C:$C,0))*100+E517</f>
        <v>1014510</v>
      </c>
      <c r="C517" s="2" t="s">
        <v>218</v>
      </c>
      <c r="D517" s="8" t="s">
        <v>67</v>
      </c>
      <c r="E517" s="8">
        <f t="shared" si="12"/>
        <v>10</v>
      </c>
      <c r="F517" s="2" t="s">
        <v>215</v>
      </c>
      <c r="G517" s="12" t="s">
        <v>62</v>
      </c>
      <c r="H517" s="2">
        <v>60131003</v>
      </c>
      <c r="I517" s="8">
        <v>10</v>
      </c>
    </row>
    <row r="518" spans="2:9" x14ac:dyDescent="0.25">
      <c r="B518" s="8">
        <f>1000000+INDEX(编号表!$B:$B,MATCH(C518,编号表!$A:$A,0))*1000+INDEX(编号表!$D:$D,MATCH(D518,编号表!$C:$C,0))*100+E518</f>
        <v>1014610</v>
      </c>
      <c r="C518" s="2" t="s">
        <v>218</v>
      </c>
      <c r="D518" s="8" t="s">
        <v>69</v>
      </c>
      <c r="E518" s="8">
        <f t="shared" si="12"/>
        <v>10</v>
      </c>
      <c r="F518" s="2" t="s">
        <v>217</v>
      </c>
      <c r="G518" s="12" t="s">
        <v>62</v>
      </c>
      <c r="H518" s="2">
        <v>60131004</v>
      </c>
      <c r="I518" s="8">
        <v>10</v>
      </c>
    </row>
    <row r="519" spans="2:9" x14ac:dyDescent="0.25">
      <c r="B519" s="8">
        <f>1000000+INDEX(编号表!$B:$B,MATCH(C519,编号表!$A:$A,0))*1000+INDEX(编号表!$D:$D,MATCH(D519,编号表!$C:$C,0))*100+E519</f>
        <v>1014215</v>
      </c>
      <c r="C519" s="2" t="s">
        <v>218</v>
      </c>
      <c r="D519" s="8" t="s">
        <v>60</v>
      </c>
      <c r="E519" s="8">
        <f t="shared" si="12"/>
        <v>15</v>
      </c>
      <c r="F519" s="2" t="s">
        <v>208</v>
      </c>
      <c r="G519" s="12" t="s">
        <v>62</v>
      </c>
      <c r="H519" s="2">
        <v>60131000</v>
      </c>
      <c r="I519" s="8">
        <v>15</v>
      </c>
    </row>
    <row r="520" spans="2:9" x14ac:dyDescent="0.25">
      <c r="B520" s="8">
        <f>1000000+INDEX(编号表!$B:$B,MATCH(C520,编号表!$A:$A,0))*1000+INDEX(编号表!$D:$D,MATCH(D520,编号表!$C:$C,0))*100+E520</f>
        <v>1014315</v>
      </c>
      <c r="C520" s="2" t="s">
        <v>218</v>
      </c>
      <c r="D520" s="8" t="s">
        <v>63</v>
      </c>
      <c r="E520" s="8">
        <f t="shared" si="12"/>
        <v>15</v>
      </c>
      <c r="F520" s="2" t="s">
        <v>213</v>
      </c>
      <c r="G520" s="12" t="s">
        <v>62</v>
      </c>
      <c r="H520" s="2">
        <v>60131001</v>
      </c>
      <c r="I520" s="8">
        <v>15</v>
      </c>
    </row>
    <row r="521" spans="2:9" x14ac:dyDescent="0.25">
      <c r="B521" s="8">
        <f>1000000+INDEX(编号表!$B:$B,MATCH(C521,编号表!$A:$A,0))*1000+INDEX(编号表!$D:$D,MATCH(D521,编号表!$C:$C,0))*100+E521</f>
        <v>1014415</v>
      </c>
      <c r="C521" s="2" t="s">
        <v>218</v>
      </c>
      <c r="D521" s="8" t="s">
        <v>65</v>
      </c>
      <c r="E521" s="8">
        <f t="shared" si="12"/>
        <v>15</v>
      </c>
      <c r="F521" s="2" t="s">
        <v>214</v>
      </c>
      <c r="G521" s="12" t="s">
        <v>62</v>
      </c>
      <c r="H521" s="2">
        <v>60131002</v>
      </c>
      <c r="I521" s="8">
        <v>15</v>
      </c>
    </row>
    <row r="522" spans="2:9" x14ac:dyDescent="0.25">
      <c r="B522" s="8">
        <f>1000000+INDEX(编号表!$B:$B,MATCH(C522,编号表!$A:$A,0))*1000+INDEX(编号表!$D:$D,MATCH(D522,编号表!$C:$C,0))*100+E522</f>
        <v>1014515</v>
      </c>
      <c r="C522" s="2" t="s">
        <v>218</v>
      </c>
      <c r="D522" s="8" t="s">
        <v>67</v>
      </c>
      <c r="E522" s="8">
        <f t="shared" si="12"/>
        <v>15</v>
      </c>
      <c r="F522" s="2" t="s">
        <v>215</v>
      </c>
      <c r="G522" s="12" t="s">
        <v>62</v>
      </c>
      <c r="H522" s="2">
        <v>60131003</v>
      </c>
      <c r="I522" s="8">
        <v>15</v>
      </c>
    </row>
    <row r="523" spans="2:9" x14ac:dyDescent="0.25">
      <c r="B523" s="8">
        <f>1000000+INDEX(编号表!$B:$B,MATCH(C523,编号表!$A:$A,0))*1000+INDEX(编号表!$D:$D,MATCH(D523,编号表!$C:$C,0))*100+E523</f>
        <v>1014615</v>
      </c>
      <c r="C523" s="2" t="s">
        <v>218</v>
      </c>
      <c r="D523" s="8" t="s">
        <v>69</v>
      </c>
      <c r="E523" s="8">
        <f t="shared" si="12"/>
        <v>15</v>
      </c>
      <c r="F523" s="2" t="s">
        <v>217</v>
      </c>
      <c r="G523" s="12" t="s">
        <v>62</v>
      </c>
      <c r="H523" s="2">
        <v>60131004</v>
      </c>
      <c r="I523" s="8">
        <v>15</v>
      </c>
    </row>
    <row r="524" spans="2:9" x14ac:dyDescent="0.25">
      <c r="B524" s="8">
        <f>1000000+INDEX(编号表!$B:$B,MATCH(C524,编号表!$A:$A,0))*1000+INDEX(编号表!$D:$D,MATCH(D524,编号表!$C:$C,0))*100+E524</f>
        <v>1015001</v>
      </c>
      <c r="C524" s="2" t="s">
        <v>219</v>
      </c>
      <c r="D524" s="8" t="s">
        <v>55</v>
      </c>
      <c r="E524" s="8">
        <v>1</v>
      </c>
      <c r="F524" s="11" t="s">
        <v>56</v>
      </c>
      <c r="G524" s="12" t="s">
        <v>57</v>
      </c>
      <c r="H524" s="8">
        <v>60144000</v>
      </c>
      <c r="I524" s="8">
        <v>1</v>
      </c>
    </row>
    <row r="525" spans="2:9" x14ac:dyDescent="0.25">
      <c r="B525" s="8">
        <f>1000000+INDEX(编号表!$B:$B,MATCH(C525,编号表!$A:$A,0))*1000+INDEX(编号表!$D:$D,MATCH(D525,编号表!$C:$C,0))*100+E525</f>
        <v>1015101</v>
      </c>
      <c r="C525" s="2" t="s">
        <v>219</v>
      </c>
      <c r="D525" s="8" t="s">
        <v>58</v>
      </c>
      <c r="E525" s="8">
        <v>1</v>
      </c>
      <c r="F525" s="11" t="s">
        <v>59</v>
      </c>
      <c r="G525" s="12" t="s">
        <v>57</v>
      </c>
      <c r="H525" s="2">
        <v>60142000</v>
      </c>
      <c r="I525" s="8">
        <v>1</v>
      </c>
    </row>
    <row r="526" spans="2:9" x14ac:dyDescent="0.25">
      <c r="B526" s="8">
        <f>1000000+INDEX(编号表!$B:$B,MATCH(C526,编号表!$A:$A,0))*1000+INDEX(编号表!$D:$D,MATCH(D526,编号表!$C:$C,0))*100+E526</f>
        <v>1015201</v>
      </c>
      <c r="C526" s="2" t="s">
        <v>219</v>
      </c>
      <c r="D526" s="8" t="s">
        <v>60</v>
      </c>
      <c r="E526" s="8">
        <f t="shared" ref="E526:E549" si="13">I526+K526+M526+O526+Q526+S526+U526+W526+Y526+AA526</f>
        <v>1</v>
      </c>
      <c r="F526" s="2" t="s">
        <v>198</v>
      </c>
      <c r="G526" s="12" t="s">
        <v>62</v>
      </c>
      <c r="H526" s="2">
        <v>60141000</v>
      </c>
      <c r="I526" s="2">
        <v>1</v>
      </c>
    </row>
    <row r="527" spans="2:9" x14ac:dyDescent="0.25">
      <c r="B527" s="8">
        <f>1000000+INDEX(编号表!$B:$B,MATCH(C527,编号表!$A:$A,0))*1000+INDEX(编号表!$D:$D,MATCH(D527,编号表!$C:$C,0))*100+E527</f>
        <v>1015301</v>
      </c>
      <c r="C527" s="2" t="s">
        <v>219</v>
      </c>
      <c r="D527" s="8" t="s">
        <v>63</v>
      </c>
      <c r="E527" s="8">
        <f t="shared" si="13"/>
        <v>1</v>
      </c>
      <c r="F527" s="2" t="s">
        <v>220</v>
      </c>
      <c r="G527" s="12" t="s">
        <v>62</v>
      </c>
      <c r="H527" s="2">
        <v>60141001</v>
      </c>
      <c r="I527" s="2">
        <v>1</v>
      </c>
    </row>
    <row r="528" spans="2:9" x14ac:dyDescent="0.25">
      <c r="B528" s="8">
        <f>1000000+INDEX(编号表!$B:$B,MATCH(C528,编号表!$A:$A,0))*1000+INDEX(编号表!$D:$D,MATCH(D528,编号表!$C:$C,0))*100+E528</f>
        <v>1015401</v>
      </c>
      <c r="C528" s="2" t="s">
        <v>219</v>
      </c>
      <c r="D528" s="8" t="s">
        <v>65</v>
      </c>
      <c r="E528" s="8">
        <f t="shared" si="13"/>
        <v>1</v>
      </c>
      <c r="F528" s="2" t="s">
        <v>221</v>
      </c>
      <c r="G528" s="12" t="s">
        <v>62</v>
      </c>
      <c r="H528" s="2">
        <v>60141002</v>
      </c>
      <c r="I528" s="2">
        <v>1</v>
      </c>
    </row>
    <row r="529" spans="2:9" x14ac:dyDescent="0.25">
      <c r="B529" s="8">
        <f>1000000+INDEX(编号表!$B:$B,MATCH(C529,编号表!$A:$A,0))*1000+INDEX(编号表!$D:$D,MATCH(D529,编号表!$C:$C,0))*100+E529</f>
        <v>1015501</v>
      </c>
      <c r="C529" s="2" t="s">
        <v>219</v>
      </c>
      <c r="D529" s="8" t="s">
        <v>67</v>
      </c>
      <c r="E529" s="8">
        <f t="shared" si="13"/>
        <v>1</v>
      </c>
      <c r="F529" s="2" t="s">
        <v>222</v>
      </c>
      <c r="G529" s="12" t="s">
        <v>62</v>
      </c>
      <c r="H529" s="2">
        <v>60141003</v>
      </c>
      <c r="I529" s="2">
        <v>1</v>
      </c>
    </row>
    <row r="530" spans="2:9" x14ac:dyDescent="0.25">
      <c r="B530" s="8">
        <f>1000000+INDEX(编号表!$B:$B,MATCH(C530,编号表!$A:$A,0))*1000+INDEX(编号表!$D:$D,MATCH(D530,编号表!$C:$C,0))*100+E530</f>
        <v>1015202</v>
      </c>
      <c r="C530" s="2" t="s">
        <v>219</v>
      </c>
      <c r="D530" s="8" t="s">
        <v>60</v>
      </c>
      <c r="E530" s="8">
        <f t="shared" si="13"/>
        <v>2</v>
      </c>
      <c r="F530" s="2" t="s">
        <v>198</v>
      </c>
      <c r="G530" s="12" t="s">
        <v>62</v>
      </c>
      <c r="H530" s="2">
        <v>60141000</v>
      </c>
      <c r="I530" s="2">
        <v>2</v>
      </c>
    </row>
    <row r="531" spans="2:9" x14ac:dyDescent="0.25">
      <c r="B531" s="8">
        <f>1000000+INDEX(编号表!$B:$B,MATCH(C531,编号表!$A:$A,0))*1000+INDEX(编号表!$D:$D,MATCH(D531,编号表!$C:$C,0))*100+E531</f>
        <v>1015302</v>
      </c>
      <c r="C531" s="2" t="s">
        <v>219</v>
      </c>
      <c r="D531" s="8" t="s">
        <v>63</v>
      </c>
      <c r="E531" s="8">
        <f t="shared" si="13"/>
        <v>2</v>
      </c>
      <c r="F531" s="2" t="s">
        <v>220</v>
      </c>
      <c r="G531" s="12" t="s">
        <v>62</v>
      </c>
      <c r="H531" s="2">
        <v>60141001</v>
      </c>
      <c r="I531" s="2">
        <v>2</v>
      </c>
    </row>
    <row r="532" spans="2:9" x14ac:dyDescent="0.25">
      <c r="B532" s="8">
        <f>1000000+INDEX(编号表!$B:$B,MATCH(C532,编号表!$A:$A,0))*1000+INDEX(编号表!$D:$D,MATCH(D532,编号表!$C:$C,0))*100+E532</f>
        <v>1015402</v>
      </c>
      <c r="C532" s="2" t="s">
        <v>219</v>
      </c>
      <c r="D532" s="8" t="s">
        <v>65</v>
      </c>
      <c r="E532" s="8">
        <f t="shared" si="13"/>
        <v>2</v>
      </c>
      <c r="F532" s="2" t="s">
        <v>221</v>
      </c>
      <c r="G532" s="12" t="s">
        <v>62</v>
      </c>
      <c r="H532" s="2">
        <v>60141002</v>
      </c>
      <c r="I532" s="2">
        <v>2</v>
      </c>
    </row>
    <row r="533" spans="2:9" x14ac:dyDescent="0.25">
      <c r="B533" s="8">
        <f>1000000+INDEX(编号表!$B:$B,MATCH(C533,编号表!$A:$A,0))*1000+INDEX(编号表!$D:$D,MATCH(D533,编号表!$C:$C,0))*100+E533</f>
        <v>1015502</v>
      </c>
      <c r="C533" s="2" t="s">
        <v>219</v>
      </c>
      <c r="D533" s="8" t="s">
        <v>67</v>
      </c>
      <c r="E533" s="8">
        <f t="shared" si="13"/>
        <v>2</v>
      </c>
      <c r="F533" s="2" t="s">
        <v>222</v>
      </c>
      <c r="G533" s="12" t="s">
        <v>62</v>
      </c>
      <c r="H533" s="2">
        <v>60141003</v>
      </c>
      <c r="I533" s="2">
        <v>2</v>
      </c>
    </row>
    <row r="534" spans="2:9" x14ac:dyDescent="0.25">
      <c r="B534" s="8">
        <f>1000000+INDEX(编号表!$B:$B,MATCH(C534,编号表!$A:$A,0))*1000+INDEX(编号表!$D:$D,MATCH(D534,编号表!$C:$C,0))*100+E534</f>
        <v>1015203</v>
      </c>
      <c r="C534" s="2" t="s">
        <v>219</v>
      </c>
      <c r="D534" s="8" t="s">
        <v>60</v>
      </c>
      <c r="E534" s="8">
        <f t="shared" si="13"/>
        <v>3</v>
      </c>
      <c r="F534" s="2" t="s">
        <v>198</v>
      </c>
      <c r="G534" s="12" t="s">
        <v>62</v>
      </c>
      <c r="H534" s="2">
        <v>60141000</v>
      </c>
      <c r="I534" s="2">
        <v>3</v>
      </c>
    </row>
    <row r="535" spans="2:9" x14ac:dyDescent="0.25">
      <c r="B535" s="8">
        <f>1000000+INDEX(编号表!$B:$B,MATCH(C535,编号表!$A:$A,0))*1000+INDEX(编号表!$D:$D,MATCH(D535,编号表!$C:$C,0))*100+E535</f>
        <v>1015303</v>
      </c>
      <c r="C535" s="2" t="s">
        <v>219</v>
      </c>
      <c r="D535" s="8" t="s">
        <v>63</v>
      </c>
      <c r="E535" s="8">
        <f t="shared" si="13"/>
        <v>3</v>
      </c>
      <c r="F535" s="2" t="s">
        <v>220</v>
      </c>
      <c r="G535" s="12" t="s">
        <v>62</v>
      </c>
      <c r="H535" s="2">
        <v>60141001</v>
      </c>
      <c r="I535" s="2">
        <v>3</v>
      </c>
    </row>
    <row r="536" spans="2:9" x14ac:dyDescent="0.25">
      <c r="B536" s="8">
        <f>1000000+INDEX(编号表!$B:$B,MATCH(C536,编号表!$A:$A,0))*1000+INDEX(编号表!$D:$D,MATCH(D536,编号表!$C:$C,0))*100+E536</f>
        <v>1015403</v>
      </c>
      <c r="C536" s="2" t="s">
        <v>219</v>
      </c>
      <c r="D536" s="8" t="s">
        <v>65</v>
      </c>
      <c r="E536" s="8">
        <f t="shared" si="13"/>
        <v>3</v>
      </c>
      <c r="F536" s="2" t="s">
        <v>221</v>
      </c>
      <c r="G536" s="12" t="s">
        <v>62</v>
      </c>
      <c r="H536" s="2">
        <v>60141002</v>
      </c>
      <c r="I536" s="2">
        <v>3</v>
      </c>
    </row>
    <row r="537" spans="2:9" x14ac:dyDescent="0.25">
      <c r="B537" s="8">
        <f>1000000+INDEX(编号表!$B:$B,MATCH(C537,编号表!$A:$A,0))*1000+INDEX(编号表!$D:$D,MATCH(D537,编号表!$C:$C,0))*100+E537</f>
        <v>1015503</v>
      </c>
      <c r="C537" s="2" t="s">
        <v>219</v>
      </c>
      <c r="D537" s="8" t="s">
        <v>67</v>
      </c>
      <c r="E537" s="8">
        <f t="shared" si="13"/>
        <v>3</v>
      </c>
      <c r="F537" s="2" t="s">
        <v>222</v>
      </c>
      <c r="G537" s="12" t="s">
        <v>62</v>
      </c>
      <c r="H537" s="2">
        <v>60141003</v>
      </c>
      <c r="I537" s="2">
        <v>3</v>
      </c>
    </row>
    <row r="538" spans="2:9" x14ac:dyDescent="0.25">
      <c r="B538" s="8">
        <f>1000000+INDEX(编号表!$B:$B,MATCH(C538,编号表!$A:$A,0))*1000+INDEX(编号表!$D:$D,MATCH(D538,编号表!$C:$C,0))*100+E538</f>
        <v>1015205</v>
      </c>
      <c r="C538" s="2" t="s">
        <v>219</v>
      </c>
      <c r="D538" s="8" t="s">
        <v>60</v>
      </c>
      <c r="E538" s="8">
        <f t="shared" si="13"/>
        <v>5</v>
      </c>
      <c r="F538" s="2" t="s">
        <v>198</v>
      </c>
      <c r="G538" s="12" t="s">
        <v>62</v>
      </c>
      <c r="H538" s="2">
        <v>60141000</v>
      </c>
      <c r="I538" s="2">
        <v>5</v>
      </c>
    </row>
    <row r="539" spans="2:9" x14ac:dyDescent="0.25">
      <c r="B539" s="8">
        <f>1000000+INDEX(编号表!$B:$B,MATCH(C539,编号表!$A:$A,0))*1000+INDEX(编号表!$D:$D,MATCH(D539,编号表!$C:$C,0))*100+E539</f>
        <v>1015305</v>
      </c>
      <c r="C539" s="2" t="s">
        <v>219</v>
      </c>
      <c r="D539" s="8" t="s">
        <v>63</v>
      </c>
      <c r="E539" s="8">
        <f t="shared" si="13"/>
        <v>5</v>
      </c>
      <c r="F539" s="2" t="s">
        <v>220</v>
      </c>
      <c r="G539" s="12" t="s">
        <v>62</v>
      </c>
      <c r="H539" s="2">
        <v>60141001</v>
      </c>
      <c r="I539" s="2">
        <v>5</v>
      </c>
    </row>
    <row r="540" spans="2:9" x14ac:dyDescent="0.25">
      <c r="B540" s="8">
        <f>1000000+INDEX(编号表!$B:$B,MATCH(C540,编号表!$A:$A,0))*1000+INDEX(编号表!$D:$D,MATCH(D540,编号表!$C:$C,0))*100+E540</f>
        <v>1015405</v>
      </c>
      <c r="C540" s="2" t="s">
        <v>219</v>
      </c>
      <c r="D540" s="8" t="s">
        <v>65</v>
      </c>
      <c r="E540" s="8">
        <f t="shared" si="13"/>
        <v>5</v>
      </c>
      <c r="F540" s="2" t="s">
        <v>221</v>
      </c>
      <c r="G540" s="12" t="s">
        <v>62</v>
      </c>
      <c r="H540" s="2">
        <v>60141002</v>
      </c>
      <c r="I540" s="2">
        <v>5</v>
      </c>
    </row>
    <row r="541" spans="2:9" x14ac:dyDescent="0.25">
      <c r="B541" s="8">
        <f>1000000+INDEX(编号表!$B:$B,MATCH(C541,编号表!$A:$A,0))*1000+INDEX(编号表!$D:$D,MATCH(D541,编号表!$C:$C,0))*100+E541</f>
        <v>1015505</v>
      </c>
      <c r="C541" s="2" t="s">
        <v>219</v>
      </c>
      <c r="D541" s="8" t="s">
        <v>67</v>
      </c>
      <c r="E541" s="8">
        <f t="shared" si="13"/>
        <v>5</v>
      </c>
      <c r="F541" s="2" t="s">
        <v>222</v>
      </c>
      <c r="G541" s="12" t="s">
        <v>62</v>
      </c>
      <c r="H541" s="2">
        <v>60141003</v>
      </c>
      <c r="I541" s="2">
        <v>5</v>
      </c>
    </row>
    <row r="542" spans="2:9" x14ac:dyDescent="0.25">
      <c r="B542" s="8">
        <f>1000000+INDEX(编号表!$B:$B,MATCH(C542,编号表!$A:$A,0))*1000+INDEX(编号表!$D:$D,MATCH(D542,编号表!$C:$C,0))*100+E542</f>
        <v>1015210</v>
      </c>
      <c r="C542" s="2" t="s">
        <v>219</v>
      </c>
      <c r="D542" s="8" t="s">
        <v>60</v>
      </c>
      <c r="E542" s="8">
        <f t="shared" si="13"/>
        <v>10</v>
      </c>
      <c r="F542" s="2" t="s">
        <v>198</v>
      </c>
      <c r="G542" s="12" t="s">
        <v>62</v>
      </c>
      <c r="H542" s="2">
        <v>60141000</v>
      </c>
      <c r="I542" s="2">
        <v>10</v>
      </c>
    </row>
    <row r="543" spans="2:9" x14ac:dyDescent="0.25">
      <c r="B543" s="8">
        <f>1000000+INDEX(编号表!$B:$B,MATCH(C543,编号表!$A:$A,0))*1000+INDEX(编号表!$D:$D,MATCH(D543,编号表!$C:$C,0))*100+E543</f>
        <v>1015310</v>
      </c>
      <c r="C543" s="2" t="s">
        <v>219</v>
      </c>
      <c r="D543" s="8" t="s">
        <v>63</v>
      </c>
      <c r="E543" s="8">
        <f t="shared" si="13"/>
        <v>10</v>
      </c>
      <c r="F543" s="2" t="s">
        <v>220</v>
      </c>
      <c r="G543" s="12" t="s">
        <v>62</v>
      </c>
      <c r="H543" s="2">
        <v>60141001</v>
      </c>
      <c r="I543" s="2">
        <v>10</v>
      </c>
    </row>
    <row r="544" spans="2:9" x14ac:dyDescent="0.25">
      <c r="B544" s="8">
        <f>1000000+INDEX(编号表!$B:$B,MATCH(C544,编号表!$A:$A,0))*1000+INDEX(编号表!$D:$D,MATCH(D544,编号表!$C:$C,0))*100+E544</f>
        <v>1015410</v>
      </c>
      <c r="C544" s="2" t="s">
        <v>219</v>
      </c>
      <c r="D544" s="8" t="s">
        <v>65</v>
      </c>
      <c r="E544" s="8">
        <f t="shared" si="13"/>
        <v>10</v>
      </c>
      <c r="F544" s="2" t="s">
        <v>221</v>
      </c>
      <c r="G544" s="12" t="s">
        <v>62</v>
      </c>
      <c r="H544" s="2">
        <v>60141002</v>
      </c>
      <c r="I544" s="2">
        <v>10</v>
      </c>
    </row>
    <row r="545" spans="1:9" x14ac:dyDescent="0.25">
      <c r="B545" s="8">
        <f>1000000+INDEX(编号表!$B:$B,MATCH(C545,编号表!$A:$A,0))*1000+INDEX(编号表!$D:$D,MATCH(D545,编号表!$C:$C,0))*100+E545</f>
        <v>1015510</v>
      </c>
      <c r="C545" s="2" t="s">
        <v>219</v>
      </c>
      <c r="D545" s="8" t="s">
        <v>67</v>
      </c>
      <c r="E545" s="8">
        <f t="shared" si="13"/>
        <v>10</v>
      </c>
      <c r="F545" s="2" t="s">
        <v>222</v>
      </c>
      <c r="G545" s="12" t="s">
        <v>62</v>
      </c>
      <c r="H545" s="2">
        <v>60141003</v>
      </c>
      <c r="I545" s="2">
        <v>10</v>
      </c>
    </row>
    <row r="546" spans="1:9" x14ac:dyDescent="0.25">
      <c r="B546" s="8">
        <f>1000000+INDEX(编号表!$B:$B,MATCH(C546,编号表!$A:$A,0))*1000+INDEX(编号表!$D:$D,MATCH(D546,编号表!$C:$C,0))*100+E546</f>
        <v>1015215</v>
      </c>
      <c r="C546" s="2" t="s">
        <v>219</v>
      </c>
      <c r="D546" s="8" t="s">
        <v>60</v>
      </c>
      <c r="E546" s="8">
        <f t="shared" si="13"/>
        <v>15</v>
      </c>
      <c r="F546" s="2" t="s">
        <v>198</v>
      </c>
      <c r="G546" s="12" t="s">
        <v>62</v>
      </c>
      <c r="H546" s="2">
        <v>60141000</v>
      </c>
      <c r="I546" s="8">
        <v>15</v>
      </c>
    </row>
    <row r="547" spans="1:9" x14ac:dyDescent="0.25">
      <c r="B547" s="8">
        <f>1000000+INDEX(编号表!$B:$B,MATCH(C547,编号表!$A:$A,0))*1000+INDEX(编号表!$D:$D,MATCH(D547,编号表!$C:$C,0))*100+E547</f>
        <v>1015315</v>
      </c>
      <c r="C547" s="2" t="s">
        <v>219</v>
      </c>
      <c r="D547" s="8" t="s">
        <v>63</v>
      </c>
      <c r="E547" s="8">
        <f t="shared" si="13"/>
        <v>15</v>
      </c>
      <c r="F547" s="2" t="s">
        <v>220</v>
      </c>
      <c r="G547" s="12" t="s">
        <v>62</v>
      </c>
      <c r="H547" s="2">
        <v>60141001</v>
      </c>
      <c r="I547" s="8">
        <v>15</v>
      </c>
    </row>
    <row r="548" spans="1:9" x14ac:dyDescent="0.25">
      <c r="B548" s="8">
        <f>1000000+INDEX(编号表!$B:$B,MATCH(C548,编号表!$A:$A,0))*1000+INDEX(编号表!$D:$D,MATCH(D548,编号表!$C:$C,0))*100+E548</f>
        <v>1015415</v>
      </c>
      <c r="C548" s="2" t="s">
        <v>219</v>
      </c>
      <c r="D548" s="8" t="s">
        <v>65</v>
      </c>
      <c r="E548" s="8">
        <f t="shared" si="13"/>
        <v>15</v>
      </c>
      <c r="F548" s="2" t="s">
        <v>221</v>
      </c>
      <c r="G548" s="12" t="s">
        <v>62</v>
      </c>
      <c r="H548" s="2">
        <v>60141002</v>
      </c>
      <c r="I548" s="8">
        <v>15</v>
      </c>
    </row>
    <row r="549" spans="1:9" x14ac:dyDescent="0.25">
      <c r="B549" s="8">
        <f>1000000+INDEX(编号表!$B:$B,MATCH(C549,编号表!$A:$A,0))*1000+INDEX(编号表!$D:$D,MATCH(D549,编号表!$C:$C,0))*100+E549</f>
        <v>1015515</v>
      </c>
      <c r="C549" s="2" t="s">
        <v>219</v>
      </c>
      <c r="D549" s="8" t="s">
        <v>67</v>
      </c>
      <c r="E549" s="8">
        <f t="shared" si="13"/>
        <v>15</v>
      </c>
      <c r="F549" s="2" t="s">
        <v>222</v>
      </c>
      <c r="G549" s="12" t="s">
        <v>62</v>
      </c>
      <c r="H549" s="2">
        <v>60141003</v>
      </c>
      <c r="I549" s="8">
        <v>15</v>
      </c>
    </row>
    <row r="550" spans="1:9" x14ac:dyDescent="0.25">
      <c r="B550" s="8">
        <f>1000000+INDEX(编号表!$B:$B,MATCH(C550,编号表!$A:$A,0))*1000+INDEX(编号表!$D:$D,MATCH(D550,编号表!$C:$C,0))*100+E550</f>
        <v>1016001</v>
      </c>
      <c r="C550" s="2" t="s">
        <v>223</v>
      </c>
      <c r="D550" s="8" t="s">
        <v>55</v>
      </c>
      <c r="E550" s="8">
        <v>1</v>
      </c>
      <c r="F550" s="11" t="s">
        <v>56</v>
      </c>
      <c r="G550" s="12" t="s">
        <v>57</v>
      </c>
      <c r="H550" s="8">
        <v>60154000</v>
      </c>
      <c r="I550" s="8">
        <v>1</v>
      </c>
    </row>
    <row r="551" spans="1:9" x14ac:dyDescent="0.25">
      <c r="A551" s="8" t="s">
        <v>335</v>
      </c>
      <c r="B551" s="8">
        <f>1000000+INDEX(编号表!$B:$B,MATCH(C551,编号表!$A:$A,0))*1000+INDEX(编号表!$D:$D,MATCH(D551,编号表!$C:$C,0))*100+E551</f>
        <v>1016101</v>
      </c>
      <c r="C551" s="2" t="s">
        <v>223</v>
      </c>
      <c r="D551" s="8" t="s">
        <v>58</v>
      </c>
      <c r="E551" s="8">
        <v>1</v>
      </c>
      <c r="F551" s="11" t="s">
        <v>59</v>
      </c>
      <c r="G551" s="12" t="s">
        <v>57</v>
      </c>
      <c r="H551" s="2">
        <v>60152000</v>
      </c>
      <c r="I551" s="8">
        <v>1</v>
      </c>
    </row>
    <row r="552" spans="1:9" x14ac:dyDescent="0.25">
      <c r="A552" s="8" t="s">
        <v>335</v>
      </c>
      <c r="B552" s="8">
        <v>1015101</v>
      </c>
      <c r="C552" s="2" t="s">
        <v>223</v>
      </c>
      <c r="D552" s="8" t="s">
        <v>58</v>
      </c>
      <c r="E552" s="8">
        <v>2</v>
      </c>
      <c r="F552" s="11" t="s">
        <v>59</v>
      </c>
      <c r="G552" s="12" t="s">
        <v>57</v>
      </c>
      <c r="H552" s="2">
        <v>60152001</v>
      </c>
      <c r="I552" s="8">
        <v>1</v>
      </c>
    </row>
    <row r="553" spans="1:9" x14ac:dyDescent="0.25">
      <c r="B553" s="8">
        <f>1000000+INDEX(编号表!$B:$B,MATCH(C553,编号表!$A:$A,0))*1000+INDEX(编号表!$D:$D,MATCH(D553,编号表!$C:$C,0))*100+E553</f>
        <v>1016201</v>
      </c>
      <c r="C553" s="2" t="s">
        <v>223</v>
      </c>
      <c r="D553" s="8" t="s">
        <v>60</v>
      </c>
      <c r="E553" s="8">
        <f t="shared" ref="E553:E588" si="14">I553+K553+M553+O553+Q553+S553+U553+W553+Y553+AA553</f>
        <v>1</v>
      </c>
      <c r="F553" s="2" t="s">
        <v>198</v>
      </c>
      <c r="G553" s="12" t="s">
        <v>62</v>
      </c>
      <c r="H553" s="2">
        <v>60151000</v>
      </c>
      <c r="I553" s="8">
        <v>1</v>
      </c>
    </row>
    <row r="554" spans="1:9" x14ac:dyDescent="0.25">
      <c r="B554" s="8">
        <f>1000000+INDEX(编号表!$B:$B,MATCH(C554,编号表!$A:$A,0))*1000+INDEX(编号表!$D:$D,MATCH(D554,编号表!$C:$C,0))*100+E554</f>
        <v>1016301</v>
      </c>
      <c r="C554" s="2" t="s">
        <v>223</v>
      </c>
      <c r="D554" s="8" t="s">
        <v>63</v>
      </c>
      <c r="E554" s="8">
        <f t="shared" si="14"/>
        <v>1</v>
      </c>
      <c r="F554" s="2" t="s">
        <v>220</v>
      </c>
      <c r="G554" s="12" t="s">
        <v>62</v>
      </c>
      <c r="H554" s="2">
        <v>60151001</v>
      </c>
      <c r="I554" s="8">
        <v>1</v>
      </c>
    </row>
    <row r="555" spans="1:9" x14ac:dyDescent="0.25">
      <c r="B555" s="8">
        <f>1000000+INDEX(编号表!$B:$B,MATCH(C555,编号表!$A:$A,0))*1000+INDEX(编号表!$D:$D,MATCH(D555,编号表!$C:$C,0))*100+E555</f>
        <v>1016401</v>
      </c>
      <c r="C555" s="2" t="s">
        <v>223</v>
      </c>
      <c r="D555" s="8" t="s">
        <v>65</v>
      </c>
      <c r="E555" s="8">
        <f t="shared" si="14"/>
        <v>1</v>
      </c>
      <c r="F555" s="2" t="s">
        <v>221</v>
      </c>
      <c r="G555" s="12" t="s">
        <v>62</v>
      </c>
      <c r="H555" s="2">
        <v>60151002</v>
      </c>
      <c r="I555" s="8">
        <v>1</v>
      </c>
    </row>
    <row r="556" spans="1:9" x14ac:dyDescent="0.25">
      <c r="B556" s="8">
        <f>1000000+INDEX(编号表!$B:$B,MATCH(C556,编号表!$A:$A,0))*1000+INDEX(编号表!$D:$D,MATCH(D556,编号表!$C:$C,0))*100+E556</f>
        <v>1016501</v>
      </c>
      <c r="C556" s="2" t="s">
        <v>223</v>
      </c>
      <c r="D556" s="8" t="s">
        <v>67</v>
      </c>
      <c r="E556" s="8">
        <f t="shared" si="14"/>
        <v>1</v>
      </c>
      <c r="F556" s="2" t="s">
        <v>222</v>
      </c>
      <c r="G556" s="12" t="s">
        <v>62</v>
      </c>
      <c r="H556" s="2">
        <v>60151003</v>
      </c>
      <c r="I556" s="8">
        <v>1</v>
      </c>
    </row>
    <row r="557" spans="1:9" x14ac:dyDescent="0.25">
      <c r="B557" s="8">
        <f>1000000+INDEX(编号表!$B:$B,MATCH(C557,编号表!$A:$A,0))*1000+INDEX(编号表!$D:$D,MATCH(D557,编号表!$C:$C,0))*100+E557</f>
        <v>1016601</v>
      </c>
      <c r="C557" s="2" t="s">
        <v>223</v>
      </c>
      <c r="D557" s="8" t="s">
        <v>69</v>
      </c>
      <c r="E557" s="8">
        <f t="shared" si="14"/>
        <v>1</v>
      </c>
      <c r="F557" s="2" t="s">
        <v>224</v>
      </c>
      <c r="G557" s="12" t="s">
        <v>62</v>
      </c>
      <c r="H557" s="2">
        <v>60151004</v>
      </c>
      <c r="I557" s="8">
        <v>1</v>
      </c>
    </row>
    <row r="558" spans="1:9" x14ac:dyDescent="0.25">
      <c r="B558" s="8">
        <f>1000000+INDEX(编号表!$B:$B,MATCH(C558,编号表!$A:$A,0))*1000+INDEX(编号表!$D:$D,MATCH(D558,编号表!$C:$C,0))*100+E558</f>
        <v>1016701</v>
      </c>
      <c r="C558" s="2" t="s">
        <v>223</v>
      </c>
      <c r="D558" s="8" t="s">
        <v>179</v>
      </c>
      <c r="E558" s="8">
        <f t="shared" si="14"/>
        <v>1</v>
      </c>
      <c r="F558" s="2" t="s">
        <v>225</v>
      </c>
      <c r="G558" s="12" t="s">
        <v>62</v>
      </c>
      <c r="H558" s="2">
        <v>60151005</v>
      </c>
      <c r="I558" s="8">
        <v>1</v>
      </c>
    </row>
    <row r="559" spans="1:9" x14ac:dyDescent="0.25">
      <c r="B559" s="8">
        <f>1000000+INDEX(编号表!$B:$B,MATCH(C559,编号表!$A:$A,0))*1000+INDEX(编号表!$D:$D,MATCH(D559,编号表!$C:$C,0))*100+E559</f>
        <v>1016202</v>
      </c>
      <c r="C559" s="2" t="s">
        <v>223</v>
      </c>
      <c r="D559" s="8" t="s">
        <v>60</v>
      </c>
      <c r="E559" s="8">
        <f t="shared" si="14"/>
        <v>2</v>
      </c>
      <c r="F559" s="2" t="s">
        <v>198</v>
      </c>
      <c r="G559" s="12" t="s">
        <v>62</v>
      </c>
      <c r="H559" s="2">
        <v>60151000</v>
      </c>
      <c r="I559" s="8">
        <v>2</v>
      </c>
    </row>
    <row r="560" spans="1:9" x14ac:dyDescent="0.25">
      <c r="B560" s="8">
        <f>1000000+INDEX(编号表!$B:$B,MATCH(C560,编号表!$A:$A,0))*1000+INDEX(编号表!$D:$D,MATCH(D560,编号表!$C:$C,0))*100+E560</f>
        <v>1016302</v>
      </c>
      <c r="C560" s="2" t="s">
        <v>223</v>
      </c>
      <c r="D560" s="8" t="s">
        <v>63</v>
      </c>
      <c r="E560" s="8">
        <f t="shared" si="14"/>
        <v>2</v>
      </c>
      <c r="F560" s="2" t="s">
        <v>220</v>
      </c>
      <c r="G560" s="12" t="s">
        <v>62</v>
      </c>
      <c r="H560" s="2">
        <v>60151001</v>
      </c>
      <c r="I560" s="8">
        <v>2</v>
      </c>
    </row>
    <row r="561" spans="2:9" x14ac:dyDescent="0.25">
      <c r="B561" s="8">
        <f>1000000+INDEX(编号表!$B:$B,MATCH(C561,编号表!$A:$A,0))*1000+INDEX(编号表!$D:$D,MATCH(D561,编号表!$C:$C,0))*100+E561</f>
        <v>1016402</v>
      </c>
      <c r="C561" s="2" t="s">
        <v>223</v>
      </c>
      <c r="D561" s="8" t="s">
        <v>65</v>
      </c>
      <c r="E561" s="8">
        <f t="shared" si="14"/>
        <v>2</v>
      </c>
      <c r="F561" s="2" t="s">
        <v>221</v>
      </c>
      <c r="G561" s="12" t="s">
        <v>62</v>
      </c>
      <c r="H561" s="2">
        <v>60151002</v>
      </c>
      <c r="I561" s="8">
        <v>2</v>
      </c>
    </row>
    <row r="562" spans="2:9" x14ac:dyDescent="0.25">
      <c r="B562" s="8">
        <f>1000000+INDEX(编号表!$B:$B,MATCH(C562,编号表!$A:$A,0))*1000+INDEX(编号表!$D:$D,MATCH(D562,编号表!$C:$C,0))*100+E562</f>
        <v>1016502</v>
      </c>
      <c r="C562" s="2" t="s">
        <v>223</v>
      </c>
      <c r="D562" s="8" t="s">
        <v>67</v>
      </c>
      <c r="E562" s="8">
        <f t="shared" si="14"/>
        <v>2</v>
      </c>
      <c r="F562" s="2" t="s">
        <v>222</v>
      </c>
      <c r="G562" s="12" t="s">
        <v>62</v>
      </c>
      <c r="H562" s="2">
        <v>60151003</v>
      </c>
      <c r="I562" s="8">
        <v>2</v>
      </c>
    </row>
    <row r="563" spans="2:9" x14ac:dyDescent="0.25">
      <c r="B563" s="8">
        <f>1000000+INDEX(编号表!$B:$B,MATCH(C563,编号表!$A:$A,0))*1000+INDEX(编号表!$D:$D,MATCH(D563,编号表!$C:$C,0))*100+E563</f>
        <v>1016602</v>
      </c>
      <c r="C563" s="2" t="s">
        <v>223</v>
      </c>
      <c r="D563" s="8" t="s">
        <v>69</v>
      </c>
      <c r="E563" s="8">
        <f t="shared" si="14"/>
        <v>2</v>
      </c>
      <c r="F563" s="2" t="s">
        <v>224</v>
      </c>
      <c r="G563" s="12" t="s">
        <v>62</v>
      </c>
      <c r="H563" s="2">
        <v>60151004</v>
      </c>
      <c r="I563" s="8">
        <v>2</v>
      </c>
    </row>
    <row r="564" spans="2:9" x14ac:dyDescent="0.25">
      <c r="B564" s="8">
        <f>1000000+INDEX(编号表!$B:$B,MATCH(C564,编号表!$A:$A,0))*1000+INDEX(编号表!$D:$D,MATCH(D564,编号表!$C:$C,0))*100+E564</f>
        <v>1016702</v>
      </c>
      <c r="C564" s="2" t="s">
        <v>223</v>
      </c>
      <c r="D564" s="8" t="s">
        <v>179</v>
      </c>
      <c r="E564" s="8">
        <f t="shared" si="14"/>
        <v>2</v>
      </c>
      <c r="F564" s="2" t="s">
        <v>225</v>
      </c>
      <c r="G564" s="12" t="s">
        <v>62</v>
      </c>
      <c r="H564" s="2">
        <v>60151005</v>
      </c>
      <c r="I564" s="8">
        <v>2</v>
      </c>
    </row>
    <row r="565" spans="2:9" x14ac:dyDescent="0.25">
      <c r="B565" s="8">
        <f>1000000+INDEX(编号表!$B:$B,MATCH(C565,编号表!$A:$A,0))*1000+INDEX(编号表!$D:$D,MATCH(D565,编号表!$C:$C,0))*100+E565</f>
        <v>1016203</v>
      </c>
      <c r="C565" s="2" t="s">
        <v>223</v>
      </c>
      <c r="D565" s="8" t="s">
        <v>60</v>
      </c>
      <c r="E565" s="8">
        <f t="shared" si="14"/>
        <v>3</v>
      </c>
      <c r="F565" s="2" t="s">
        <v>198</v>
      </c>
      <c r="G565" s="12" t="s">
        <v>62</v>
      </c>
      <c r="H565" s="2">
        <v>60151000</v>
      </c>
      <c r="I565" s="8">
        <v>3</v>
      </c>
    </row>
    <row r="566" spans="2:9" x14ac:dyDescent="0.25">
      <c r="B566" s="8">
        <f>1000000+INDEX(编号表!$B:$B,MATCH(C566,编号表!$A:$A,0))*1000+INDEX(编号表!$D:$D,MATCH(D566,编号表!$C:$C,0))*100+E566</f>
        <v>1016303</v>
      </c>
      <c r="C566" s="2" t="s">
        <v>223</v>
      </c>
      <c r="D566" s="8" t="s">
        <v>63</v>
      </c>
      <c r="E566" s="8">
        <f t="shared" si="14"/>
        <v>3</v>
      </c>
      <c r="F566" s="2" t="s">
        <v>220</v>
      </c>
      <c r="G566" s="12" t="s">
        <v>62</v>
      </c>
      <c r="H566" s="2">
        <v>60151001</v>
      </c>
      <c r="I566" s="8">
        <v>3</v>
      </c>
    </row>
    <row r="567" spans="2:9" x14ac:dyDescent="0.25">
      <c r="B567" s="8">
        <f>1000000+INDEX(编号表!$B:$B,MATCH(C567,编号表!$A:$A,0))*1000+INDEX(编号表!$D:$D,MATCH(D567,编号表!$C:$C,0))*100+E567</f>
        <v>1016403</v>
      </c>
      <c r="C567" s="2" t="s">
        <v>223</v>
      </c>
      <c r="D567" s="8" t="s">
        <v>65</v>
      </c>
      <c r="E567" s="8">
        <f t="shared" si="14"/>
        <v>3</v>
      </c>
      <c r="F567" s="2" t="s">
        <v>221</v>
      </c>
      <c r="G567" s="12" t="s">
        <v>62</v>
      </c>
      <c r="H567" s="2">
        <v>60151002</v>
      </c>
      <c r="I567" s="8">
        <v>3</v>
      </c>
    </row>
    <row r="568" spans="2:9" x14ac:dyDescent="0.25">
      <c r="B568" s="8">
        <f>1000000+INDEX(编号表!$B:$B,MATCH(C568,编号表!$A:$A,0))*1000+INDEX(编号表!$D:$D,MATCH(D568,编号表!$C:$C,0))*100+E568</f>
        <v>1016503</v>
      </c>
      <c r="C568" s="2" t="s">
        <v>223</v>
      </c>
      <c r="D568" s="8" t="s">
        <v>67</v>
      </c>
      <c r="E568" s="8">
        <f t="shared" si="14"/>
        <v>3</v>
      </c>
      <c r="F568" s="2" t="s">
        <v>222</v>
      </c>
      <c r="G568" s="12" t="s">
        <v>62</v>
      </c>
      <c r="H568" s="2">
        <v>60151003</v>
      </c>
      <c r="I568" s="8">
        <v>3</v>
      </c>
    </row>
    <row r="569" spans="2:9" x14ac:dyDescent="0.25">
      <c r="B569" s="8">
        <f>1000000+INDEX(编号表!$B:$B,MATCH(C569,编号表!$A:$A,0))*1000+INDEX(编号表!$D:$D,MATCH(D569,编号表!$C:$C,0))*100+E569</f>
        <v>1016603</v>
      </c>
      <c r="C569" s="2" t="s">
        <v>223</v>
      </c>
      <c r="D569" s="8" t="s">
        <v>69</v>
      </c>
      <c r="E569" s="8">
        <f t="shared" si="14"/>
        <v>3</v>
      </c>
      <c r="F569" s="2" t="s">
        <v>224</v>
      </c>
      <c r="G569" s="12" t="s">
        <v>62</v>
      </c>
      <c r="H569" s="2">
        <v>60151004</v>
      </c>
      <c r="I569" s="8">
        <v>3</v>
      </c>
    </row>
    <row r="570" spans="2:9" x14ac:dyDescent="0.25">
      <c r="B570" s="8">
        <f>1000000+INDEX(编号表!$B:$B,MATCH(C570,编号表!$A:$A,0))*1000+INDEX(编号表!$D:$D,MATCH(D570,编号表!$C:$C,0))*100+E570</f>
        <v>1016703</v>
      </c>
      <c r="C570" s="2" t="s">
        <v>223</v>
      </c>
      <c r="D570" s="8" t="s">
        <v>179</v>
      </c>
      <c r="E570" s="8">
        <f t="shared" si="14"/>
        <v>3</v>
      </c>
      <c r="F570" s="2" t="s">
        <v>225</v>
      </c>
      <c r="G570" s="12" t="s">
        <v>62</v>
      </c>
      <c r="H570" s="2">
        <v>60151005</v>
      </c>
      <c r="I570" s="8">
        <v>3</v>
      </c>
    </row>
    <row r="571" spans="2:9" x14ac:dyDescent="0.25">
      <c r="B571" s="8">
        <f>1000000+INDEX(编号表!$B:$B,MATCH(C571,编号表!$A:$A,0))*1000+INDEX(编号表!$D:$D,MATCH(D571,编号表!$C:$C,0))*100+E571</f>
        <v>1016205</v>
      </c>
      <c r="C571" s="2" t="s">
        <v>223</v>
      </c>
      <c r="D571" s="8" t="s">
        <v>60</v>
      </c>
      <c r="E571" s="8">
        <f t="shared" si="14"/>
        <v>5</v>
      </c>
      <c r="F571" s="2" t="s">
        <v>198</v>
      </c>
      <c r="G571" s="12" t="s">
        <v>62</v>
      </c>
      <c r="H571" s="2">
        <v>60151000</v>
      </c>
      <c r="I571" s="8">
        <v>5</v>
      </c>
    </row>
    <row r="572" spans="2:9" x14ac:dyDescent="0.25">
      <c r="B572" s="8">
        <f>1000000+INDEX(编号表!$B:$B,MATCH(C572,编号表!$A:$A,0))*1000+INDEX(编号表!$D:$D,MATCH(D572,编号表!$C:$C,0))*100+E572</f>
        <v>1016305</v>
      </c>
      <c r="C572" s="2" t="s">
        <v>223</v>
      </c>
      <c r="D572" s="8" t="s">
        <v>63</v>
      </c>
      <c r="E572" s="8">
        <f t="shared" si="14"/>
        <v>5</v>
      </c>
      <c r="F572" s="2" t="s">
        <v>220</v>
      </c>
      <c r="G572" s="12" t="s">
        <v>62</v>
      </c>
      <c r="H572" s="2">
        <v>60151001</v>
      </c>
      <c r="I572" s="8">
        <v>5</v>
      </c>
    </row>
    <row r="573" spans="2:9" x14ac:dyDescent="0.25">
      <c r="B573" s="8">
        <f>1000000+INDEX(编号表!$B:$B,MATCH(C573,编号表!$A:$A,0))*1000+INDEX(编号表!$D:$D,MATCH(D573,编号表!$C:$C,0))*100+E573</f>
        <v>1016405</v>
      </c>
      <c r="C573" s="2" t="s">
        <v>223</v>
      </c>
      <c r="D573" s="8" t="s">
        <v>65</v>
      </c>
      <c r="E573" s="8">
        <f t="shared" si="14"/>
        <v>5</v>
      </c>
      <c r="F573" s="2" t="s">
        <v>221</v>
      </c>
      <c r="G573" s="12" t="s">
        <v>62</v>
      </c>
      <c r="H573" s="2">
        <v>60151002</v>
      </c>
      <c r="I573" s="8">
        <v>5</v>
      </c>
    </row>
    <row r="574" spans="2:9" x14ac:dyDescent="0.25">
      <c r="B574" s="8">
        <f>1000000+INDEX(编号表!$B:$B,MATCH(C574,编号表!$A:$A,0))*1000+INDEX(编号表!$D:$D,MATCH(D574,编号表!$C:$C,0))*100+E574</f>
        <v>1016505</v>
      </c>
      <c r="C574" s="2" t="s">
        <v>223</v>
      </c>
      <c r="D574" s="8" t="s">
        <v>67</v>
      </c>
      <c r="E574" s="8">
        <f t="shared" si="14"/>
        <v>5</v>
      </c>
      <c r="F574" s="2" t="s">
        <v>222</v>
      </c>
      <c r="G574" s="12" t="s">
        <v>62</v>
      </c>
      <c r="H574" s="2">
        <v>60151003</v>
      </c>
      <c r="I574" s="8">
        <v>5</v>
      </c>
    </row>
    <row r="575" spans="2:9" x14ac:dyDescent="0.25">
      <c r="B575" s="8">
        <f>1000000+INDEX(编号表!$B:$B,MATCH(C575,编号表!$A:$A,0))*1000+INDEX(编号表!$D:$D,MATCH(D575,编号表!$C:$C,0))*100+E575</f>
        <v>1016605</v>
      </c>
      <c r="C575" s="2" t="s">
        <v>223</v>
      </c>
      <c r="D575" s="8" t="s">
        <v>69</v>
      </c>
      <c r="E575" s="8">
        <f t="shared" si="14"/>
        <v>5</v>
      </c>
      <c r="F575" s="2" t="s">
        <v>224</v>
      </c>
      <c r="G575" s="12" t="s">
        <v>62</v>
      </c>
      <c r="H575" s="2">
        <v>60151004</v>
      </c>
      <c r="I575" s="8">
        <v>5</v>
      </c>
    </row>
    <row r="576" spans="2:9" x14ac:dyDescent="0.25">
      <c r="B576" s="8">
        <f>1000000+INDEX(编号表!$B:$B,MATCH(C576,编号表!$A:$A,0))*1000+INDEX(编号表!$D:$D,MATCH(D576,编号表!$C:$C,0))*100+E576</f>
        <v>1016705</v>
      </c>
      <c r="C576" s="2" t="s">
        <v>223</v>
      </c>
      <c r="D576" s="8" t="s">
        <v>179</v>
      </c>
      <c r="E576" s="8">
        <f t="shared" si="14"/>
        <v>5</v>
      </c>
      <c r="F576" s="2" t="s">
        <v>225</v>
      </c>
      <c r="G576" s="12" t="s">
        <v>62</v>
      </c>
      <c r="H576" s="2">
        <v>60151005</v>
      </c>
      <c r="I576" s="8">
        <v>5</v>
      </c>
    </row>
    <row r="577" spans="2:9" x14ac:dyDescent="0.25">
      <c r="B577" s="8">
        <f>1000000+INDEX(编号表!$B:$B,MATCH(C577,编号表!$A:$A,0))*1000+INDEX(编号表!$D:$D,MATCH(D577,编号表!$C:$C,0))*100+E577</f>
        <v>1016210</v>
      </c>
      <c r="C577" s="2" t="s">
        <v>223</v>
      </c>
      <c r="D577" s="8" t="s">
        <v>60</v>
      </c>
      <c r="E577" s="8">
        <f t="shared" si="14"/>
        <v>10</v>
      </c>
      <c r="F577" s="2" t="s">
        <v>198</v>
      </c>
      <c r="G577" s="12" t="s">
        <v>62</v>
      </c>
      <c r="H577" s="2">
        <v>60151000</v>
      </c>
      <c r="I577" s="8">
        <v>10</v>
      </c>
    </row>
    <row r="578" spans="2:9" x14ac:dyDescent="0.25">
      <c r="B578" s="8">
        <f>1000000+INDEX(编号表!$B:$B,MATCH(C578,编号表!$A:$A,0))*1000+INDEX(编号表!$D:$D,MATCH(D578,编号表!$C:$C,0))*100+E578</f>
        <v>1016310</v>
      </c>
      <c r="C578" s="2" t="s">
        <v>223</v>
      </c>
      <c r="D578" s="8" t="s">
        <v>63</v>
      </c>
      <c r="E578" s="8">
        <f t="shared" si="14"/>
        <v>10</v>
      </c>
      <c r="F578" s="2" t="s">
        <v>220</v>
      </c>
      <c r="G578" s="12" t="s">
        <v>62</v>
      </c>
      <c r="H578" s="2">
        <v>60151001</v>
      </c>
      <c r="I578" s="8">
        <v>10</v>
      </c>
    </row>
    <row r="579" spans="2:9" x14ac:dyDescent="0.25">
      <c r="B579" s="8">
        <f>1000000+INDEX(编号表!$B:$B,MATCH(C579,编号表!$A:$A,0))*1000+INDEX(编号表!$D:$D,MATCH(D579,编号表!$C:$C,0))*100+E579</f>
        <v>1016410</v>
      </c>
      <c r="C579" s="2" t="s">
        <v>223</v>
      </c>
      <c r="D579" s="8" t="s">
        <v>65</v>
      </c>
      <c r="E579" s="8">
        <f t="shared" si="14"/>
        <v>10</v>
      </c>
      <c r="F579" s="2" t="s">
        <v>221</v>
      </c>
      <c r="G579" s="12" t="s">
        <v>62</v>
      </c>
      <c r="H579" s="2">
        <v>60151002</v>
      </c>
      <c r="I579" s="8">
        <v>10</v>
      </c>
    </row>
    <row r="580" spans="2:9" x14ac:dyDescent="0.25">
      <c r="B580" s="8">
        <f>1000000+INDEX(编号表!$B:$B,MATCH(C580,编号表!$A:$A,0))*1000+INDEX(编号表!$D:$D,MATCH(D580,编号表!$C:$C,0))*100+E580</f>
        <v>1016510</v>
      </c>
      <c r="C580" s="2" t="s">
        <v>223</v>
      </c>
      <c r="D580" s="8" t="s">
        <v>67</v>
      </c>
      <c r="E580" s="8">
        <f t="shared" si="14"/>
        <v>10</v>
      </c>
      <c r="F580" s="2" t="s">
        <v>222</v>
      </c>
      <c r="G580" s="12" t="s">
        <v>62</v>
      </c>
      <c r="H580" s="2">
        <v>60151003</v>
      </c>
      <c r="I580" s="8">
        <v>10</v>
      </c>
    </row>
    <row r="581" spans="2:9" x14ac:dyDescent="0.25">
      <c r="B581" s="8">
        <f>1000000+INDEX(编号表!$B:$B,MATCH(C581,编号表!$A:$A,0))*1000+INDEX(编号表!$D:$D,MATCH(D581,编号表!$C:$C,0))*100+E581</f>
        <v>1016610</v>
      </c>
      <c r="C581" s="2" t="s">
        <v>223</v>
      </c>
      <c r="D581" s="8" t="s">
        <v>69</v>
      </c>
      <c r="E581" s="8">
        <f t="shared" si="14"/>
        <v>10</v>
      </c>
      <c r="F581" s="2" t="s">
        <v>224</v>
      </c>
      <c r="G581" s="12" t="s">
        <v>62</v>
      </c>
      <c r="H581" s="2">
        <v>60151004</v>
      </c>
      <c r="I581" s="8">
        <v>10</v>
      </c>
    </row>
    <row r="582" spans="2:9" x14ac:dyDescent="0.25">
      <c r="B582" s="8">
        <f>1000000+INDEX(编号表!$B:$B,MATCH(C582,编号表!$A:$A,0))*1000+INDEX(编号表!$D:$D,MATCH(D582,编号表!$C:$C,0))*100+E582</f>
        <v>1016710</v>
      </c>
      <c r="C582" s="2" t="s">
        <v>223</v>
      </c>
      <c r="D582" s="8" t="s">
        <v>179</v>
      </c>
      <c r="E582" s="8">
        <f t="shared" si="14"/>
        <v>10</v>
      </c>
      <c r="F582" s="2" t="s">
        <v>225</v>
      </c>
      <c r="G582" s="12" t="s">
        <v>62</v>
      </c>
      <c r="H582" s="2">
        <v>60151005</v>
      </c>
      <c r="I582" s="8">
        <v>10</v>
      </c>
    </row>
    <row r="583" spans="2:9" x14ac:dyDescent="0.25">
      <c r="B583" s="8">
        <f>1000000+INDEX(编号表!$B:$B,MATCH(C583,编号表!$A:$A,0))*1000+INDEX(编号表!$D:$D,MATCH(D583,编号表!$C:$C,0))*100+E583</f>
        <v>1016215</v>
      </c>
      <c r="C583" s="2" t="s">
        <v>223</v>
      </c>
      <c r="D583" s="8" t="s">
        <v>60</v>
      </c>
      <c r="E583" s="8">
        <f t="shared" si="14"/>
        <v>15</v>
      </c>
      <c r="F583" s="2" t="s">
        <v>198</v>
      </c>
      <c r="G583" s="12" t="s">
        <v>62</v>
      </c>
      <c r="H583" s="2">
        <v>60151000</v>
      </c>
      <c r="I583" s="8">
        <v>15</v>
      </c>
    </row>
    <row r="584" spans="2:9" x14ac:dyDescent="0.25">
      <c r="B584" s="8">
        <f>1000000+INDEX(编号表!$B:$B,MATCH(C584,编号表!$A:$A,0))*1000+INDEX(编号表!$D:$D,MATCH(D584,编号表!$C:$C,0))*100+E584</f>
        <v>1016315</v>
      </c>
      <c r="C584" s="2" t="s">
        <v>223</v>
      </c>
      <c r="D584" s="8" t="s">
        <v>63</v>
      </c>
      <c r="E584" s="8">
        <f t="shared" si="14"/>
        <v>15</v>
      </c>
      <c r="F584" s="2" t="s">
        <v>220</v>
      </c>
      <c r="G584" s="12" t="s">
        <v>62</v>
      </c>
      <c r="H584" s="2">
        <v>60151001</v>
      </c>
      <c r="I584" s="8">
        <v>15</v>
      </c>
    </row>
    <row r="585" spans="2:9" x14ac:dyDescent="0.25">
      <c r="B585" s="8">
        <f>1000000+INDEX(编号表!$B:$B,MATCH(C585,编号表!$A:$A,0))*1000+INDEX(编号表!$D:$D,MATCH(D585,编号表!$C:$C,0))*100+E585</f>
        <v>1016415</v>
      </c>
      <c r="C585" s="2" t="s">
        <v>223</v>
      </c>
      <c r="D585" s="8" t="s">
        <v>65</v>
      </c>
      <c r="E585" s="8">
        <f t="shared" si="14"/>
        <v>15</v>
      </c>
      <c r="F585" s="2" t="s">
        <v>221</v>
      </c>
      <c r="G585" s="12" t="s">
        <v>62</v>
      </c>
      <c r="H585" s="2">
        <v>60151002</v>
      </c>
      <c r="I585" s="8">
        <v>15</v>
      </c>
    </row>
    <row r="586" spans="2:9" x14ac:dyDescent="0.25">
      <c r="B586" s="8">
        <f>1000000+INDEX(编号表!$B:$B,MATCH(C586,编号表!$A:$A,0))*1000+INDEX(编号表!$D:$D,MATCH(D586,编号表!$C:$C,0))*100+E586</f>
        <v>1016515</v>
      </c>
      <c r="C586" s="2" t="s">
        <v>223</v>
      </c>
      <c r="D586" s="8" t="s">
        <v>67</v>
      </c>
      <c r="E586" s="8">
        <f t="shared" si="14"/>
        <v>15</v>
      </c>
      <c r="F586" s="2" t="s">
        <v>222</v>
      </c>
      <c r="G586" s="12" t="s">
        <v>62</v>
      </c>
      <c r="H586" s="2">
        <v>60151003</v>
      </c>
      <c r="I586" s="8">
        <v>15</v>
      </c>
    </row>
    <row r="587" spans="2:9" x14ac:dyDescent="0.25">
      <c r="B587" s="8">
        <f>1000000+INDEX(编号表!$B:$B,MATCH(C587,编号表!$A:$A,0))*1000+INDEX(编号表!$D:$D,MATCH(D587,编号表!$C:$C,0))*100+E587</f>
        <v>1016615</v>
      </c>
      <c r="C587" s="2" t="s">
        <v>223</v>
      </c>
      <c r="D587" s="8" t="s">
        <v>69</v>
      </c>
      <c r="E587" s="8">
        <f t="shared" si="14"/>
        <v>15</v>
      </c>
      <c r="F587" s="2" t="s">
        <v>224</v>
      </c>
      <c r="G587" s="12" t="s">
        <v>62</v>
      </c>
      <c r="H587" s="2">
        <v>60151004</v>
      </c>
      <c r="I587" s="8">
        <v>15</v>
      </c>
    </row>
    <row r="588" spans="2:9" x14ac:dyDescent="0.25">
      <c r="B588" s="8">
        <f>1000000+INDEX(编号表!$B:$B,MATCH(C588,编号表!$A:$A,0))*1000+INDEX(编号表!$D:$D,MATCH(D588,编号表!$C:$C,0))*100+E588</f>
        <v>1016715</v>
      </c>
      <c r="C588" s="2" t="s">
        <v>223</v>
      </c>
      <c r="D588" s="8" t="s">
        <v>179</v>
      </c>
      <c r="E588" s="8">
        <f t="shared" si="14"/>
        <v>15</v>
      </c>
      <c r="F588" s="2" t="s">
        <v>225</v>
      </c>
      <c r="G588" s="12" t="s">
        <v>62</v>
      </c>
      <c r="H588" s="2">
        <v>60151005</v>
      </c>
      <c r="I588" s="8">
        <v>15</v>
      </c>
    </row>
    <row r="589" spans="2:9" x14ac:dyDescent="0.25">
      <c r="B589" s="8">
        <f>1000000+INDEX(编号表!$B:$B,MATCH(C589,编号表!$A:$A,0))*1000+INDEX(编号表!$D:$D,MATCH(D589,编号表!$C:$C,0))*100+E589</f>
        <v>1017001</v>
      </c>
      <c r="C589" s="2" t="s">
        <v>226</v>
      </c>
      <c r="D589" s="8" t="s">
        <v>55</v>
      </c>
      <c r="E589" s="8">
        <v>1</v>
      </c>
      <c r="F589" s="11" t="s">
        <v>56</v>
      </c>
      <c r="G589" s="12" t="s">
        <v>57</v>
      </c>
      <c r="H589" s="8">
        <v>60164000</v>
      </c>
      <c r="I589" s="8">
        <v>1</v>
      </c>
    </row>
    <row r="590" spans="2:9" x14ac:dyDescent="0.25">
      <c r="B590" s="8">
        <f>1000000+INDEX(编号表!$B:$B,MATCH(C590,编号表!$A:$A,0))*1000+INDEX(编号表!$D:$D,MATCH(D590,编号表!$C:$C,0))*100+E590</f>
        <v>1017101</v>
      </c>
      <c r="C590" s="2" t="s">
        <v>226</v>
      </c>
      <c r="D590" s="8" t="s">
        <v>58</v>
      </c>
      <c r="E590" s="8">
        <v>1</v>
      </c>
      <c r="F590" s="11" t="s">
        <v>59</v>
      </c>
      <c r="G590" s="12" t="s">
        <v>57</v>
      </c>
      <c r="H590" s="2">
        <v>60162000</v>
      </c>
      <c r="I590" s="8">
        <v>1</v>
      </c>
    </row>
    <row r="591" spans="2:9" x14ac:dyDescent="0.25">
      <c r="B591" s="8">
        <v>1016101</v>
      </c>
      <c r="C591" s="2" t="s">
        <v>226</v>
      </c>
      <c r="D591" s="8" t="s">
        <v>58</v>
      </c>
      <c r="E591" s="8">
        <v>2</v>
      </c>
      <c r="F591" s="11" t="s">
        <v>59</v>
      </c>
      <c r="G591" s="12" t="s">
        <v>57</v>
      </c>
      <c r="H591" s="2">
        <v>60162001</v>
      </c>
      <c r="I591" s="8">
        <v>1</v>
      </c>
    </row>
    <row r="592" spans="2:9" x14ac:dyDescent="0.25">
      <c r="B592" s="8">
        <f>1000000+INDEX(编号表!$B:$B,MATCH(C592,编号表!$A:$A,0))*1000+INDEX(编号表!$D:$D,MATCH(D592,编号表!$C:$C,0))*100+E592</f>
        <v>1017201</v>
      </c>
      <c r="C592" s="2" t="s">
        <v>226</v>
      </c>
      <c r="D592" s="8" t="s">
        <v>60</v>
      </c>
      <c r="E592" s="8">
        <f t="shared" ref="E592:E633" si="15">I592+K592+M592+O592+Q592+S592+U592+W592+Y592+AA592</f>
        <v>1</v>
      </c>
      <c r="F592" s="2" t="s">
        <v>198</v>
      </c>
      <c r="G592" s="12" t="s">
        <v>62</v>
      </c>
      <c r="H592" s="2">
        <v>60161000</v>
      </c>
      <c r="I592" s="8">
        <v>1</v>
      </c>
    </row>
    <row r="593" spans="2:9" x14ac:dyDescent="0.25">
      <c r="B593" s="8">
        <f>1000000+INDEX(编号表!$B:$B,MATCH(C593,编号表!$A:$A,0))*1000+INDEX(编号表!$D:$D,MATCH(D593,编号表!$C:$C,0))*100+E593</f>
        <v>1017301</v>
      </c>
      <c r="C593" s="2" t="s">
        <v>226</v>
      </c>
      <c r="D593" s="8" t="s">
        <v>63</v>
      </c>
      <c r="E593" s="8">
        <f t="shared" si="15"/>
        <v>1</v>
      </c>
      <c r="F593" s="2" t="s">
        <v>220</v>
      </c>
      <c r="G593" s="12" t="s">
        <v>62</v>
      </c>
      <c r="H593" s="2">
        <v>60161001</v>
      </c>
      <c r="I593" s="8">
        <v>1</v>
      </c>
    </row>
    <row r="594" spans="2:9" x14ac:dyDescent="0.25">
      <c r="B594" s="8">
        <f>1000000+INDEX(编号表!$B:$B,MATCH(C594,编号表!$A:$A,0))*1000+INDEX(编号表!$D:$D,MATCH(D594,编号表!$C:$C,0))*100+E594</f>
        <v>1017401</v>
      </c>
      <c r="C594" s="2" t="s">
        <v>226</v>
      </c>
      <c r="D594" s="8" t="s">
        <v>65</v>
      </c>
      <c r="E594" s="8">
        <f t="shared" si="15"/>
        <v>1</v>
      </c>
      <c r="F594" s="2" t="s">
        <v>221</v>
      </c>
      <c r="G594" s="12" t="s">
        <v>62</v>
      </c>
      <c r="H594" s="2">
        <v>60161002</v>
      </c>
      <c r="I594" s="8">
        <v>1</v>
      </c>
    </row>
    <row r="595" spans="2:9" x14ac:dyDescent="0.25">
      <c r="B595" s="8">
        <f>1000000+INDEX(编号表!$B:$B,MATCH(C595,编号表!$A:$A,0))*1000+INDEX(编号表!$D:$D,MATCH(D595,编号表!$C:$C,0))*100+E595</f>
        <v>1017501</v>
      </c>
      <c r="C595" s="2" t="s">
        <v>226</v>
      </c>
      <c r="D595" s="8" t="s">
        <v>67</v>
      </c>
      <c r="E595" s="8">
        <f t="shared" si="15"/>
        <v>1</v>
      </c>
      <c r="F595" s="2" t="s">
        <v>222</v>
      </c>
      <c r="G595" s="12" t="s">
        <v>62</v>
      </c>
      <c r="H595" s="2">
        <v>60161003</v>
      </c>
      <c r="I595" s="8">
        <v>1</v>
      </c>
    </row>
    <row r="596" spans="2:9" x14ac:dyDescent="0.25">
      <c r="B596" s="8">
        <f>1000000+INDEX(编号表!$B:$B,MATCH(C596,编号表!$A:$A,0))*1000+INDEX(编号表!$D:$D,MATCH(D596,编号表!$C:$C,0))*100+E596</f>
        <v>1017601</v>
      </c>
      <c r="C596" s="2" t="s">
        <v>226</v>
      </c>
      <c r="D596" s="8" t="s">
        <v>69</v>
      </c>
      <c r="E596" s="8">
        <f t="shared" si="15"/>
        <v>1</v>
      </c>
      <c r="F596" s="2" t="s">
        <v>224</v>
      </c>
      <c r="G596" s="12" t="s">
        <v>62</v>
      </c>
      <c r="H596" s="2">
        <v>60161004</v>
      </c>
      <c r="I596" s="8">
        <v>1</v>
      </c>
    </row>
    <row r="597" spans="2:9" x14ac:dyDescent="0.25">
      <c r="B597" s="8">
        <f>1000000+INDEX(编号表!$B:$B,MATCH(C597,编号表!$A:$A,0))*1000+INDEX(编号表!$D:$D,MATCH(D597,编号表!$C:$C,0))*100+E597</f>
        <v>1017701</v>
      </c>
      <c r="C597" s="2" t="s">
        <v>226</v>
      </c>
      <c r="D597" s="8" t="s">
        <v>179</v>
      </c>
      <c r="E597" s="8">
        <f t="shared" si="15"/>
        <v>1</v>
      </c>
      <c r="F597" s="2" t="s">
        <v>225</v>
      </c>
      <c r="G597" s="12" t="s">
        <v>62</v>
      </c>
      <c r="H597" s="2">
        <v>60161005</v>
      </c>
      <c r="I597" s="8">
        <v>1</v>
      </c>
    </row>
    <row r="598" spans="2:9" x14ac:dyDescent="0.25">
      <c r="B598" s="8">
        <f>1000000+INDEX(编号表!$B:$B,MATCH(C598,编号表!$A:$A,0))*1000+INDEX(编号表!$D:$D,MATCH(D598,编号表!$C:$C,0))*100+E598</f>
        <v>1017801</v>
      </c>
      <c r="C598" s="2" t="s">
        <v>226</v>
      </c>
      <c r="D598" s="8" t="s">
        <v>191</v>
      </c>
      <c r="E598" s="8">
        <f t="shared" si="15"/>
        <v>1</v>
      </c>
      <c r="F598" s="2" t="s">
        <v>227</v>
      </c>
      <c r="G598" s="12" t="s">
        <v>62</v>
      </c>
      <c r="H598" s="2">
        <v>60161006</v>
      </c>
      <c r="I598" s="8">
        <v>1</v>
      </c>
    </row>
    <row r="599" spans="2:9" x14ac:dyDescent="0.25">
      <c r="B599" s="8">
        <f>1000000+INDEX(编号表!$B:$B,MATCH(C599,编号表!$A:$A,0))*1000+INDEX(编号表!$D:$D,MATCH(D599,编号表!$C:$C,0))*100+E599</f>
        <v>1017202</v>
      </c>
      <c r="C599" s="2" t="s">
        <v>226</v>
      </c>
      <c r="D599" s="8" t="s">
        <v>60</v>
      </c>
      <c r="E599" s="8">
        <f t="shared" si="15"/>
        <v>2</v>
      </c>
      <c r="F599" s="2" t="s">
        <v>198</v>
      </c>
      <c r="G599" s="12" t="s">
        <v>62</v>
      </c>
      <c r="H599" s="2">
        <v>60161000</v>
      </c>
      <c r="I599" s="8">
        <v>2</v>
      </c>
    </row>
    <row r="600" spans="2:9" x14ac:dyDescent="0.25">
      <c r="B600" s="8">
        <f>1000000+INDEX(编号表!$B:$B,MATCH(C600,编号表!$A:$A,0))*1000+INDEX(编号表!$D:$D,MATCH(D600,编号表!$C:$C,0))*100+E600</f>
        <v>1017302</v>
      </c>
      <c r="C600" s="2" t="s">
        <v>226</v>
      </c>
      <c r="D600" s="8" t="s">
        <v>63</v>
      </c>
      <c r="E600" s="8">
        <f t="shared" si="15"/>
        <v>2</v>
      </c>
      <c r="F600" s="2" t="s">
        <v>220</v>
      </c>
      <c r="G600" s="12" t="s">
        <v>62</v>
      </c>
      <c r="H600" s="2">
        <v>60161001</v>
      </c>
      <c r="I600" s="8">
        <v>2</v>
      </c>
    </row>
    <row r="601" spans="2:9" x14ac:dyDescent="0.25">
      <c r="B601" s="8">
        <f>1000000+INDEX(编号表!$B:$B,MATCH(C601,编号表!$A:$A,0))*1000+INDEX(编号表!$D:$D,MATCH(D601,编号表!$C:$C,0))*100+E601</f>
        <v>1017402</v>
      </c>
      <c r="C601" s="2" t="s">
        <v>226</v>
      </c>
      <c r="D601" s="8" t="s">
        <v>65</v>
      </c>
      <c r="E601" s="8">
        <f t="shared" si="15"/>
        <v>2</v>
      </c>
      <c r="F601" s="2" t="s">
        <v>221</v>
      </c>
      <c r="G601" s="12" t="s">
        <v>62</v>
      </c>
      <c r="H601" s="2">
        <v>60161002</v>
      </c>
      <c r="I601" s="8">
        <v>2</v>
      </c>
    </row>
    <row r="602" spans="2:9" x14ac:dyDescent="0.25">
      <c r="B602" s="8">
        <f>1000000+INDEX(编号表!$B:$B,MATCH(C602,编号表!$A:$A,0))*1000+INDEX(编号表!$D:$D,MATCH(D602,编号表!$C:$C,0))*100+E602</f>
        <v>1017502</v>
      </c>
      <c r="C602" s="2" t="s">
        <v>226</v>
      </c>
      <c r="D602" s="8" t="s">
        <v>67</v>
      </c>
      <c r="E602" s="8">
        <f t="shared" si="15"/>
        <v>2</v>
      </c>
      <c r="F602" s="2" t="s">
        <v>222</v>
      </c>
      <c r="G602" s="12" t="s">
        <v>62</v>
      </c>
      <c r="H602" s="2">
        <v>60161003</v>
      </c>
      <c r="I602" s="8">
        <v>2</v>
      </c>
    </row>
    <row r="603" spans="2:9" x14ac:dyDescent="0.25">
      <c r="B603" s="8">
        <f>1000000+INDEX(编号表!$B:$B,MATCH(C603,编号表!$A:$A,0))*1000+INDEX(编号表!$D:$D,MATCH(D603,编号表!$C:$C,0))*100+E603</f>
        <v>1017602</v>
      </c>
      <c r="C603" s="2" t="s">
        <v>226</v>
      </c>
      <c r="D603" s="8" t="s">
        <v>69</v>
      </c>
      <c r="E603" s="8">
        <f t="shared" si="15"/>
        <v>2</v>
      </c>
      <c r="F603" s="2" t="s">
        <v>224</v>
      </c>
      <c r="G603" s="12" t="s">
        <v>62</v>
      </c>
      <c r="H603" s="2">
        <v>60161004</v>
      </c>
      <c r="I603" s="8">
        <v>2</v>
      </c>
    </row>
    <row r="604" spans="2:9" x14ac:dyDescent="0.25">
      <c r="B604" s="8">
        <f>1000000+INDEX(编号表!$B:$B,MATCH(C604,编号表!$A:$A,0))*1000+INDEX(编号表!$D:$D,MATCH(D604,编号表!$C:$C,0))*100+E604</f>
        <v>1017702</v>
      </c>
      <c r="C604" s="2" t="s">
        <v>226</v>
      </c>
      <c r="D604" s="8" t="s">
        <v>179</v>
      </c>
      <c r="E604" s="8">
        <f t="shared" si="15"/>
        <v>2</v>
      </c>
      <c r="F604" s="2" t="s">
        <v>225</v>
      </c>
      <c r="G604" s="12" t="s">
        <v>62</v>
      </c>
      <c r="H604" s="2">
        <v>60161005</v>
      </c>
      <c r="I604" s="8">
        <v>2</v>
      </c>
    </row>
    <row r="605" spans="2:9" x14ac:dyDescent="0.25">
      <c r="B605" s="8">
        <f>1000000+INDEX(编号表!$B:$B,MATCH(C605,编号表!$A:$A,0))*1000+INDEX(编号表!$D:$D,MATCH(D605,编号表!$C:$C,0))*100+E605</f>
        <v>1017802</v>
      </c>
      <c r="C605" s="2" t="s">
        <v>226</v>
      </c>
      <c r="D605" s="8" t="s">
        <v>191</v>
      </c>
      <c r="E605" s="8">
        <f t="shared" si="15"/>
        <v>2</v>
      </c>
      <c r="F605" s="2" t="s">
        <v>227</v>
      </c>
      <c r="G605" s="12" t="s">
        <v>62</v>
      </c>
      <c r="H605" s="2">
        <v>60161006</v>
      </c>
      <c r="I605" s="8">
        <v>2</v>
      </c>
    </row>
    <row r="606" spans="2:9" x14ac:dyDescent="0.25">
      <c r="B606" s="8">
        <f>1000000+INDEX(编号表!$B:$B,MATCH(C606,编号表!$A:$A,0))*1000+INDEX(编号表!$D:$D,MATCH(D606,编号表!$C:$C,0))*100+E606</f>
        <v>1017203</v>
      </c>
      <c r="C606" s="2" t="s">
        <v>226</v>
      </c>
      <c r="D606" s="8" t="s">
        <v>60</v>
      </c>
      <c r="E606" s="8">
        <f t="shared" si="15"/>
        <v>3</v>
      </c>
      <c r="F606" s="2" t="s">
        <v>198</v>
      </c>
      <c r="G606" s="12" t="s">
        <v>62</v>
      </c>
      <c r="H606" s="2">
        <v>60161000</v>
      </c>
      <c r="I606" s="8">
        <v>3</v>
      </c>
    </row>
    <row r="607" spans="2:9" x14ac:dyDescent="0.25">
      <c r="B607" s="8">
        <f>1000000+INDEX(编号表!$B:$B,MATCH(C607,编号表!$A:$A,0))*1000+INDEX(编号表!$D:$D,MATCH(D607,编号表!$C:$C,0))*100+E607</f>
        <v>1017303</v>
      </c>
      <c r="C607" s="2" t="s">
        <v>226</v>
      </c>
      <c r="D607" s="8" t="s">
        <v>63</v>
      </c>
      <c r="E607" s="8">
        <f t="shared" si="15"/>
        <v>3</v>
      </c>
      <c r="F607" s="2" t="s">
        <v>220</v>
      </c>
      <c r="G607" s="12" t="s">
        <v>62</v>
      </c>
      <c r="H607" s="2">
        <v>60161001</v>
      </c>
      <c r="I607" s="8">
        <v>3</v>
      </c>
    </row>
    <row r="608" spans="2:9" x14ac:dyDescent="0.25">
      <c r="B608" s="8">
        <f>1000000+INDEX(编号表!$B:$B,MATCH(C608,编号表!$A:$A,0))*1000+INDEX(编号表!$D:$D,MATCH(D608,编号表!$C:$C,0))*100+E608</f>
        <v>1017403</v>
      </c>
      <c r="C608" s="2" t="s">
        <v>226</v>
      </c>
      <c r="D608" s="8" t="s">
        <v>65</v>
      </c>
      <c r="E608" s="8">
        <f t="shared" si="15"/>
        <v>3</v>
      </c>
      <c r="F608" s="2" t="s">
        <v>221</v>
      </c>
      <c r="G608" s="12" t="s">
        <v>62</v>
      </c>
      <c r="H608" s="2">
        <v>60161002</v>
      </c>
      <c r="I608" s="8">
        <v>3</v>
      </c>
    </row>
    <row r="609" spans="2:9" x14ac:dyDescent="0.25">
      <c r="B609" s="8">
        <f>1000000+INDEX(编号表!$B:$B,MATCH(C609,编号表!$A:$A,0))*1000+INDEX(编号表!$D:$D,MATCH(D609,编号表!$C:$C,0))*100+E609</f>
        <v>1017503</v>
      </c>
      <c r="C609" s="2" t="s">
        <v>226</v>
      </c>
      <c r="D609" s="8" t="s">
        <v>67</v>
      </c>
      <c r="E609" s="8">
        <f t="shared" si="15"/>
        <v>3</v>
      </c>
      <c r="F609" s="2" t="s">
        <v>222</v>
      </c>
      <c r="G609" s="12" t="s">
        <v>62</v>
      </c>
      <c r="H609" s="2">
        <v>60161003</v>
      </c>
      <c r="I609" s="8">
        <v>3</v>
      </c>
    </row>
    <row r="610" spans="2:9" x14ac:dyDescent="0.25">
      <c r="B610" s="8">
        <f>1000000+INDEX(编号表!$B:$B,MATCH(C610,编号表!$A:$A,0))*1000+INDEX(编号表!$D:$D,MATCH(D610,编号表!$C:$C,0))*100+E610</f>
        <v>1017603</v>
      </c>
      <c r="C610" s="2" t="s">
        <v>226</v>
      </c>
      <c r="D610" s="8" t="s">
        <v>69</v>
      </c>
      <c r="E610" s="8">
        <f t="shared" si="15"/>
        <v>3</v>
      </c>
      <c r="F610" s="2" t="s">
        <v>224</v>
      </c>
      <c r="G610" s="12" t="s">
        <v>62</v>
      </c>
      <c r="H610" s="2">
        <v>60161004</v>
      </c>
      <c r="I610" s="8">
        <v>3</v>
      </c>
    </row>
    <row r="611" spans="2:9" x14ac:dyDescent="0.25">
      <c r="B611" s="8">
        <f>1000000+INDEX(编号表!$B:$B,MATCH(C611,编号表!$A:$A,0))*1000+INDEX(编号表!$D:$D,MATCH(D611,编号表!$C:$C,0))*100+E611</f>
        <v>1017703</v>
      </c>
      <c r="C611" s="2" t="s">
        <v>226</v>
      </c>
      <c r="D611" s="8" t="s">
        <v>179</v>
      </c>
      <c r="E611" s="8">
        <f t="shared" si="15"/>
        <v>3</v>
      </c>
      <c r="F611" s="2" t="s">
        <v>225</v>
      </c>
      <c r="G611" s="12" t="s">
        <v>62</v>
      </c>
      <c r="H611" s="2">
        <v>60161005</v>
      </c>
      <c r="I611" s="8">
        <v>3</v>
      </c>
    </row>
    <row r="612" spans="2:9" x14ac:dyDescent="0.25">
      <c r="B612" s="8">
        <f>1000000+INDEX(编号表!$B:$B,MATCH(C612,编号表!$A:$A,0))*1000+INDEX(编号表!$D:$D,MATCH(D612,编号表!$C:$C,0))*100+E612</f>
        <v>1017803</v>
      </c>
      <c r="C612" s="2" t="s">
        <v>226</v>
      </c>
      <c r="D612" s="8" t="s">
        <v>191</v>
      </c>
      <c r="E612" s="8">
        <f t="shared" si="15"/>
        <v>3</v>
      </c>
      <c r="F612" s="2" t="s">
        <v>227</v>
      </c>
      <c r="G612" s="12" t="s">
        <v>62</v>
      </c>
      <c r="H612" s="2">
        <v>60161006</v>
      </c>
      <c r="I612" s="8">
        <v>3</v>
      </c>
    </row>
    <row r="613" spans="2:9" x14ac:dyDescent="0.25">
      <c r="B613" s="8">
        <f>1000000+INDEX(编号表!$B:$B,MATCH(C613,编号表!$A:$A,0))*1000+INDEX(编号表!$D:$D,MATCH(D613,编号表!$C:$C,0))*100+E613</f>
        <v>1017205</v>
      </c>
      <c r="C613" s="2" t="s">
        <v>226</v>
      </c>
      <c r="D613" s="8" t="s">
        <v>60</v>
      </c>
      <c r="E613" s="8">
        <f t="shared" si="15"/>
        <v>5</v>
      </c>
      <c r="F613" s="2" t="s">
        <v>198</v>
      </c>
      <c r="G613" s="12" t="s">
        <v>62</v>
      </c>
      <c r="H613" s="2">
        <v>60161000</v>
      </c>
      <c r="I613" s="8">
        <v>5</v>
      </c>
    </row>
    <row r="614" spans="2:9" x14ac:dyDescent="0.25">
      <c r="B614" s="8">
        <f>1000000+INDEX(编号表!$B:$B,MATCH(C614,编号表!$A:$A,0))*1000+INDEX(编号表!$D:$D,MATCH(D614,编号表!$C:$C,0))*100+E614</f>
        <v>1017305</v>
      </c>
      <c r="C614" s="2" t="s">
        <v>226</v>
      </c>
      <c r="D614" s="8" t="s">
        <v>63</v>
      </c>
      <c r="E614" s="8">
        <f t="shared" si="15"/>
        <v>5</v>
      </c>
      <c r="F614" s="2" t="s">
        <v>220</v>
      </c>
      <c r="G614" s="12" t="s">
        <v>62</v>
      </c>
      <c r="H614" s="2">
        <v>60161001</v>
      </c>
      <c r="I614" s="8">
        <v>5</v>
      </c>
    </row>
    <row r="615" spans="2:9" x14ac:dyDescent="0.25">
      <c r="B615" s="8">
        <f>1000000+INDEX(编号表!$B:$B,MATCH(C615,编号表!$A:$A,0))*1000+INDEX(编号表!$D:$D,MATCH(D615,编号表!$C:$C,0))*100+E615</f>
        <v>1017405</v>
      </c>
      <c r="C615" s="2" t="s">
        <v>226</v>
      </c>
      <c r="D615" s="8" t="s">
        <v>65</v>
      </c>
      <c r="E615" s="8">
        <f t="shared" si="15"/>
        <v>5</v>
      </c>
      <c r="F615" s="2" t="s">
        <v>221</v>
      </c>
      <c r="G615" s="12" t="s">
        <v>62</v>
      </c>
      <c r="H615" s="2">
        <v>60161002</v>
      </c>
      <c r="I615" s="8">
        <v>5</v>
      </c>
    </row>
    <row r="616" spans="2:9" x14ac:dyDescent="0.25">
      <c r="B616" s="8">
        <f>1000000+INDEX(编号表!$B:$B,MATCH(C616,编号表!$A:$A,0))*1000+INDEX(编号表!$D:$D,MATCH(D616,编号表!$C:$C,0))*100+E616</f>
        <v>1017505</v>
      </c>
      <c r="C616" s="2" t="s">
        <v>226</v>
      </c>
      <c r="D616" s="8" t="s">
        <v>67</v>
      </c>
      <c r="E616" s="8">
        <f t="shared" si="15"/>
        <v>5</v>
      </c>
      <c r="F616" s="2" t="s">
        <v>222</v>
      </c>
      <c r="G616" s="12" t="s">
        <v>62</v>
      </c>
      <c r="H616" s="2">
        <v>60161003</v>
      </c>
      <c r="I616" s="8">
        <v>5</v>
      </c>
    </row>
    <row r="617" spans="2:9" x14ac:dyDescent="0.25">
      <c r="B617" s="8">
        <f>1000000+INDEX(编号表!$B:$B,MATCH(C617,编号表!$A:$A,0))*1000+INDEX(编号表!$D:$D,MATCH(D617,编号表!$C:$C,0))*100+E617</f>
        <v>1017605</v>
      </c>
      <c r="C617" s="2" t="s">
        <v>226</v>
      </c>
      <c r="D617" s="8" t="s">
        <v>69</v>
      </c>
      <c r="E617" s="8">
        <f t="shared" si="15"/>
        <v>5</v>
      </c>
      <c r="F617" s="2" t="s">
        <v>224</v>
      </c>
      <c r="G617" s="12" t="s">
        <v>62</v>
      </c>
      <c r="H617" s="2">
        <v>60161004</v>
      </c>
      <c r="I617" s="8">
        <v>5</v>
      </c>
    </row>
    <row r="618" spans="2:9" x14ac:dyDescent="0.25">
      <c r="B618" s="8">
        <f>1000000+INDEX(编号表!$B:$B,MATCH(C618,编号表!$A:$A,0))*1000+INDEX(编号表!$D:$D,MATCH(D618,编号表!$C:$C,0))*100+E618</f>
        <v>1017705</v>
      </c>
      <c r="C618" s="2" t="s">
        <v>226</v>
      </c>
      <c r="D618" s="8" t="s">
        <v>179</v>
      </c>
      <c r="E618" s="8">
        <f t="shared" si="15"/>
        <v>5</v>
      </c>
      <c r="F618" s="2" t="s">
        <v>225</v>
      </c>
      <c r="G618" s="12" t="s">
        <v>62</v>
      </c>
      <c r="H618" s="2">
        <v>60161005</v>
      </c>
      <c r="I618" s="8">
        <v>5</v>
      </c>
    </row>
    <row r="619" spans="2:9" x14ac:dyDescent="0.25">
      <c r="B619" s="8">
        <f>1000000+INDEX(编号表!$B:$B,MATCH(C619,编号表!$A:$A,0))*1000+INDEX(编号表!$D:$D,MATCH(D619,编号表!$C:$C,0))*100+E619</f>
        <v>1017805</v>
      </c>
      <c r="C619" s="2" t="s">
        <v>226</v>
      </c>
      <c r="D619" s="8" t="s">
        <v>191</v>
      </c>
      <c r="E619" s="8">
        <f t="shared" si="15"/>
        <v>5</v>
      </c>
      <c r="F619" s="2" t="s">
        <v>227</v>
      </c>
      <c r="G619" s="12" t="s">
        <v>62</v>
      </c>
      <c r="H619" s="2">
        <v>60161006</v>
      </c>
      <c r="I619" s="8">
        <v>5</v>
      </c>
    </row>
    <row r="620" spans="2:9" x14ac:dyDescent="0.25">
      <c r="B620" s="8">
        <f>1000000+INDEX(编号表!$B:$B,MATCH(C620,编号表!$A:$A,0))*1000+INDEX(编号表!$D:$D,MATCH(D620,编号表!$C:$C,0))*100+E620</f>
        <v>1017210</v>
      </c>
      <c r="C620" s="2" t="s">
        <v>226</v>
      </c>
      <c r="D620" s="8" t="s">
        <v>60</v>
      </c>
      <c r="E620" s="8">
        <f t="shared" si="15"/>
        <v>10</v>
      </c>
      <c r="F620" s="2" t="s">
        <v>198</v>
      </c>
      <c r="G620" s="12" t="s">
        <v>62</v>
      </c>
      <c r="H620" s="2">
        <v>60161000</v>
      </c>
      <c r="I620" s="8">
        <v>10</v>
      </c>
    </row>
    <row r="621" spans="2:9" x14ac:dyDescent="0.25">
      <c r="B621" s="8">
        <f>1000000+INDEX(编号表!$B:$B,MATCH(C621,编号表!$A:$A,0))*1000+INDEX(编号表!$D:$D,MATCH(D621,编号表!$C:$C,0))*100+E621</f>
        <v>1017310</v>
      </c>
      <c r="C621" s="2" t="s">
        <v>226</v>
      </c>
      <c r="D621" s="8" t="s">
        <v>63</v>
      </c>
      <c r="E621" s="8">
        <f t="shared" si="15"/>
        <v>10</v>
      </c>
      <c r="F621" s="2" t="s">
        <v>220</v>
      </c>
      <c r="G621" s="12" t="s">
        <v>62</v>
      </c>
      <c r="H621" s="2">
        <v>60161001</v>
      </c>
      <c r="I621" s="8">
        <v>10</v>
      </c>
    </row>
    <row r="622" spans="2:9" x14ac:dyDescent="0.25">
      <c r="B622" s="8">
        <f>1000000+INDEX(编号表!$B:$B,MATCH(C622,编号表!$A:$A,0))*1000+INDEX(编号表!$D:$D,MATCH(D622,编号表!$C:$C,0))*100+E622</f>
        <v>1017410</v>
      </c>
      <c r="C622" s="2" t="s">
        <v>226</v>
      </c>
      <c r="D622" s="8" t="s">
        <v>65</v>
      </c>
      <c r="E622" s="8">
        <f t="shared" si="15"/>
        <v>10</v>
      </c>
      <c r="F622" s="2" t="s">
        <v>221</v>
      </c>
      <c r="G622" s="12" t="s">
        <v>62</v>
      </c>
      <c r="H622" s="2">
        <v>60161002</v>
      </c>
      <c r="I622" s="8">
        <v>10</v>
      </c>
    </row>
    <row r="623" spans="2:9" x14ac:dyDescent="0.25">
      <c r="B623" s="8">
        <f>1000000+INDEX(编号表!$B:$B,MATCH(C623,编号表!$A:$A,0))*1000+INDEX(编号表!$D:$D,MATCH(D623,编号表!$C:$C,0))*100+E623</f>
        <v>1017510</v>
      </c>
      <c r="C623" s="2" t="s">
        <v>226</v>
      </c>
      <c r="D623" s="8" t="s">
        <v>67</v>
      </c>
      <c r="E623" s="8">
        <f t="shared" si="15"/>
        <v>10</v>
      </c>
      <c r="F623" s="2" t="s">
        <v>222</v>
      </c>
      <c r="G623" s="12" t="s">
        <v>62</v>
      </c>
      <c r="H623" s="2">
        <v>60161003</v>
      </c>
      <c r="I623" s="8">
        <v>10</v>
      </c>
    </row>
    <row r="624" spans="2:9" x14ac:dyDescent="0.25">
      <c r="B624" s="8">
        <f>1000000+INDEX(编号表!$B:$B,MATCH(C624,编号表!$A:$A,0))*1000+INDEX(编号表!$D:$D,MATCH(D624,编号表!$C:$C,0))*100+E624</f>
        <v>1017610</v>
      </c>
      <c r="C624" s="2" t="s">
        <v>226</v>
      </c>
      <c r="D624" s="8" t="s">
        <v>69</v>
      </c>
      <c r="E624" s="8">
        <f t="shared" si="15"/>
        <v>10</v>
      </c>
      <c r="F624" s="2" t="s">
        <v>224</v>
      </c>
      <c r="G624" s="12" t="s">
        <v>62</v>
      </c>
      <c r="H624" s="2">
        <v>60161004</v>
      </c>
      <c r="I624" s="8">
        <v>10</v>
      </c>
    </row>
    <row r="625" spans="2:9" x14ac:dyDescent="0.25">
      <c r="B625" s="8">
        <f>1000000+INDEX(编号表!$B:$B,MATCH(C625,编号表!$A:$A,0))*1000+INDEX(编号表!$D:$D,MATCH(D625,编号表!$C:$C,0))*100+E625</f>
        <v>1017710</v>
      </c>
      <c r="C625" s="2" t="s">
        <v>226</v>
      </c>
      <c r="D625" s="8" t="s">
        <v>179</v>
      </c>
      <c r="E625" s="8">
        <f t="shared" si="15"/>
        <v>10</v>
      </c>
      <c r="F625" s="2" t="s">
        <v>225</v>
      </c>
      <c r="G625" s="12" t="s">
        <v>62</v>
      </c>
      <c r="H625" s="2">
        <v>60161005</v>
      </c>
      <c r="I625" s="8">
        <v>10</v>
      </c>
    </row>
    <row r="626" spans="2:9" x14ac:dyDescent="0.25">
      <c r="B626" s="8">
        <f>1000000+INDEX(编号表!$B:$B,MATCH(C626,编号表!$A:$A,0))*1000+INDEX(编号表!$D:$D,MATCH(D626,编号表!$C:$C,0))*100+E626</f>
        <v>1017810</v>
      </c>
      <c r="C626" s="2" t="s">
        <v>226</v>
      </c>
      <c r="D626" s="8" t="s">
        <v>191</v>
      </c>
      <c r="E626" s="8">
        <f t="shared" si="15"/>
        <v>10</v>
      </c>
      <c r="F626" s="2" t="s">
        <v>227</v>
      </c>
      <c r="G626" s="12" t="s">
        <v>62</v>
      </c>
      <c r="H626" s="2">
        <v>60161006</v>
      </c>
      <c r="I626" s="8">
        <v>10</v>
      </c>
    </row>
    <row r="627" spans="2:9" x14ac:dyDescent="0.25">
      <c r="B627" s="8">
        <f>1000000+INDEX(编号表!$B:$B,MATCH(C627,编号表!$A:$A,0))*1000+INDEX(编号表!$D:$D,MATCH(D627,编号表!$C:$C,0))*100+E627</f>
        <v>1017215</v>
      </c>
      <c r="C627" s="2" t="s">
        <v>226</v>
      </c>
      <c r="D627" s="8" t="s">
        <v>60</v>
      </c>
      <c r="E627" s="8">
        <f t="shared" si="15"/>
        <v>15</v>
      </c>
      <c r="F627" s="2" t="s">
        <v>198</v>
      </c>
      <c r="G627" s="12" t="s">
        <v>62</v>
      </c>
      <c r="H627" s="2">
        <v>60161000</v>
      </c>
      <c r="I627" s="8">
        <v>15</v>
      </c>
    </row>
    <row r="628" spans="2:9" x14ac:dyDescent="0.25">
      <c r="B628" s="8">
        <f>1000000+INDEX(编号表!$B:$B,MATCH(C628,编号表!$A:$A,0))*1000+INDEX(编号表!$D:$D,MATCH(D628,编号表!$C:$C,0))*100+E628</f>
        <v>1017315</v>
      </c>
      <c r="C628" s="2" t="s">
        <v>226</v>
      </c>
      <c r="D628" s="8" t="s">
        <v>63</v>
      </c>
      <c r="E628" s="8">
        <f t="shared" si="15"/>
        <v>15</v>
      </c>
      <c r="F628" s="2" t="s">
        <v>220</v>
      </c>
      <c r="G628" s="12" t="s">
        <v>62</v>
      </c>
      <c r="H628" s="2">
        <v>60161001</v>
      </c>
      <c r="I628" s="8">
        <v>15</v>
      </c>
    </row>
    <row r="629" spans="2:9" x14ac:dyDescent="0.25">
      <c r="B629" s="8">
        <f>1000000+INDEX(编号表!$B:$B,MATCH(C629,编号表!$A:$A,0))*1000+INDEX(编号表!$D:$D,MATCH(D629,编号表!$C:$C,0))*100+E629</f>
        <v>1017415</v>
      </c>
      <c r="C629" s="2" t="s">
        <v>226</v>
      </c>
      <c r="D629" s="8" t="s">
        <v>65</v>
      </c>
      <c r="E629" s="8">
        <f t="shared" si="15"/>
        <v>15</v>
      </c>
      <c r="F629" s="2" t="s">
        <v>221</v>
      </c>
      <c r="G629" s="12" t="s">
        <v>62</v>
      </c>
      <c r="H629" s="2">
        <v>60161002</v>
      </c>
      <c r="I629" s="8">
        <v>15</v>
      </c>
    </row>
    <row r="630" spans="2:9" x14ac:dyDescent="0.25">
      <c r="B630" s="8">
        <f>1000000+INDEX(编号表!$B:$B,MATCH(C630,编号表!$A:$A,0))*1000+INDEX(编号表!$D:$D,MATCH(D630,编号表!$C:$C,0))*100+E630</f>
        <v>1017515</v>
      </c>
      <c r="C630" s="2" t="s">
        <v>226</v>
      </c>
      <c r="D630" s="8" t="s">
        <v>67</v>
      </c>
      <c r="E630" s="8">
        <f t="shared" si="15"/>
        <v>15</v>
      </c>
      <c r="F630" s="2" t="s">
        <v>222</v>
      </c>
      <c r="G630" s="12" t="s">
        <v>62</v>
      </c>
      <c r="H630" s="2">
        <v>60161003</v>
      </c>
      <c r="I630" s="8">
        <v>15</v>
      </c>
    </row>
    <row r="631" spans="2:9" x14ac:dyDescent="0.25">
      <c r="B631" s="8">
        <f>1000000+INDEX(编号表!$B:$B,MATCH(C631,编号表!$A:$A,0))*1000+INDEX(编号表!$D:$D,MATCH(D631,编号表!$C:$C,0))*100+E631</f>
        <v>1017615</v>
      </c>
      <c r="C631" s="2" t="s">
        <v>226</v>
      </c>
      <c r="D631" s="8" t="s">
        <v>69</v>
      </c>
      <c r="E631" s="8">
        <f t="shared" si="15"/>
        <v>15</v>
      </c>
      <c r="F631" s="2" t="s">
        <v>224</v>
      </c>
      <c r="G631" s="12" t="s">
        <v>62</v>
      </c>
      <c r="H631" s="2">
        <v>60161004</v>
      </c>
      <c r="I631" s="8">
        <v>15</v>
      </c>
    </row>
    <row r="632" spans="2:9" x14ac:dyDescent="0.25">
      <c r="B632" s="8">
        <f>1000000+INDEX(编号表!$B:$B,MATCH(C632,编号表!$A:$A,0))*1000+INDEX(编号表!$D:$D,MATCH(D632,编号表!$C:$C,0))*100+E632</f>
        <v>1017715</v>
      </c>
      <c r="C632" s="2" t="s">
        <v>226</v>
      </c>
      <c r="D632" s="8" t="s">
        <v>179</v>
      </c>
      <c r="E632" s="8">
        <f t="shared" si="15"/>
        <v>15</v>
      </c>
      <c r="F632" s="2" t="s">
        <v>225</v>
      </c>
      <c r="G632" s="12" t="s">
        <v>62</v>
      </c>
      <c r="H632" s="2">
        <v>60161005</v>
      </c>
      <c r="I632" s="8">
        <v>15</v>
      </c>
    </row>
    <row r="633" spans="2:9" x14ac:dyDescent="0.25">
      <c r="B633" s="8">
        <f>1000000+INDEX(编号表!$B:$B,MATCH(C633,编号表!$A:$A,0))*1000+INDEX(编号表!$D:$D,MATCH(D633,编号表!$C:$C,0))*100+E633</f>
        <v>1017815</v>
      </c>
      <c r="C633" s="2" t="s">
        <v>226</v>
      </c>
      <c r="D633" s="8" t="s">
        <v>191</v>
      </c>
      <c r="E633" s="8">
        <f t="shared" si="15"/>
        <v>15</v>
      </c>
      <c r="F633" s="2" t="s">
        <v>227</v>
      </c>
      <c r="G633" s="12" t="s">
        <v>62</v>
      </c>
      <c r="H633" s="2">
        <v>60161006</v>
      </c>
      <c r="I633" s="8">
        <v>15</v>
      </c>
    </row>
    <row r="634" spans="2:9" x14ac:dyDescent="0.25">
      <c r="B634" s="8">
        <f>1000000+INDEX(编号表!$B:$B,MATCH(C634,编号表!$A:$A,0))*1000+INDEX(编号表!$D:$D,MATCH(D634,编号表!$C:$C,0))*100+E634</f>
        <v>1018001</v>
      </c>
      <c r="C634" s="2" t="s">
        <v>228</v>
      </c>
      <c r="D634" s="8" t="s">
        <v>55</v>
      </c>
      <c r="E634" s="8">
        <v>1</v>
      </c>
      <c r="F634" s="11" t="s">
        <v>56</v>
      </c>
      <c r="G634" s="12" t="s">
        <v>57</v>
      </c>
      <c r="H634" s="8">
        <v>60174000</v>
      </c>
      <c r="I634" s="8">
        <v>1</v>
      </c>
    </row>
    <row r="635" spans="2:9" x14ac:dyDescent="0.25">
      <c r="B635" s="8">
        <f>1000000+INDEX(编号表!$B:$B,MATCH(C635,编号表!$A:$A,0))*1000+INDEX(编号表!$D:$D,MATCH(D635,编号表!$C:$C,0))*100+E635</f>
        <v>1018101</v>
      </c>
      <c r="C635" s="2" t="s">
        <v>228</v>
      </c>
      <c r="D635" s="8" t="s">
        <v>58</v>
      </c>
      <c r="E635" s="8">
        <v>1</v>
      </c>
      <c r="F635" s="11" t="s">
        <v>59</v>
      </c>
      <c r="G635" s="12" t="s">
        <v>57</v>
      </c>
      <c r="H635" s="2">
        <v>60172000</v>
      </c>
      <c r="I635" s="8">
        <v>1</v>
      </c>
    </row>
    <row r="636" spans="2:9" x14ac:dyDescent="0.25">
      <c r="B636" s="8">
        <f>1000000+INDEX(编号表!$B:$B,MATCH(C636,编号表!$A:$A,0))*1000+INDEX(编号表!$D:$D,MATCH(D636,编号表!$C:$C,0))*100+E636</f>
        <v>1018201</v>
      </c>
      <c r="C636" s="2" t="s">
        <v>228</v>
      </c>
      <c r="D636" s="8" t="s">
        <v>60</v>
      </c>
      <c r="E636" s="8">
        <f t="shared" ref="E636:E659" si="16">I636+K636+M636+O636+Q636+S636+U636+W636+Y636+AA636</f>
        <v>1</v>
      </c>
      <c r="F636" s="2" t="s">
        <v>198</v>
      </c>
      <c r="G636" s="12" t="s">
        <v>62</v>
      </c>
      <c r="H636" s="2">
        <v>60171000</v>
      </c>
      <c r="I636" s="8">
        <v>1</v>
      </c>
    </row>
    <row r="637" spans="2:9" x14ac:dyDescent="0.25">
      <c r="B637" s="8">
        <f>1000000+INDEX(编号表!$B:$B,MATCH(C637,编号表!$A:$A,0))*1000+INDEX(编号表!$D:$D,MATCH(D637,编号表!$C:$C,0))*100+E637</f>
        <v>1018301</v>
      </c>
      <c r="C637" s="2" t="s">
        <v>228</v>
      </c>
      <c r="D637" s="8" t="s">
        <v>63</v>
      </c>
      <c r="E637" s="8">
        <f t="shared" si="16"/>
        <v>1</v>
      </c>
      <c r="F637" s="2" t="s">
        <v>206</v>
      </c>
      <c r="G637" s="12" t="s">
        <v>62</v>
      </c>
      <c r="H637" s="2">
        <v>60171001</v>
      </c>
      <c r="I637" s="8">
        <v>1</v>
      </c>
    </row>
    <row r="638" spans="2:9" x14ac:dyDescent="0.25">
      <c r="B638" s="8">
        <f>1000000+INDEX(编号表!$B:$B,MATCH(C638,编号表!$A:$A,0))*1000+INDEX(编号表!$D:$D,MATCH(D638,编号表!$C:$C,0))*100+E638</f>
        <v>1018401</v>
      </c>
      <c r="C638" s="2" t="s">
        <v>228</v>
      </c>
      <c r="D638" s="8" t="s">
        <v>65</v>
      </c>
      <c r="E638" s="8">
        <f t="shared" si="16"/>
        <v>1</v>
      </c>
      <c r="F638" s="2" t="s">
        <v>225</v>
      </c>
      <c r="G638" s="12" t="s">
        <v>62</v>
      </c>
      <c r="H638" s="2">
        <v>60171002</v>
      </c>
      <c r="I638" s="8">
        <v>1</v>
      </c>
    </row>
    <row r="639" spans="2:9" x14ac:dyDescent="0.25">
      <c r="B639" s="8">
        <f>1000000+INDEX(编号表!$B:$B,MATCH(C639,编号表!$A:$A,0))*1000+INDEX(编号表!$D:$D,MATCH(D639,编号表!$C:$C,0))*100+E639</f>
        <v>1018501</v>
      </c>
      <c r="C639" s="2" t="s">
        <v>228</v>
      </c>
      <c r="D639" s="8" t="s">
        <v>67</v>
      </c>
      <c r="E639" s="8">
        <f t="shared" si="16"/>
        <v>1</v>
      </c>
      <c r="F639" s="2" t="s">
        <v>227</v>
      </c>
      <c r="G639" s="12" t="s">
        <v>62</v>
      </c>
      <c r="H639" s="2">
        <v>60171003</v>
      </c>
      <c r="I639" s="8">
        <v>1</v>
      </c>
    </row>
    <row r="640" spans="2:9" x14ac:dyDescent="0.25">
      <c r="B640" s="8">
        <f>1000000+INDEX(编号表!$B:$B,MATCH(C640,编号表!$A:$A,0))*1000+INDEX(编号表!$D:$D,MATCH(D640,编号表!$C:$C,0))*100+E640</f>
        <v>1018202</v>
      </c>
      <c r="C640" s="2" t="s">
        <v>228</v>
      </c>
      <c r="D640" s="8" t="s">
        <v>60</v>
      </c>
      <c r="E640" s="8">
        <f t="shared" si="16"/>
        <v>2</v>
      </c>
      <c r="F640" s="2" t="s">
        <v>198</v>
      </c>
      <c r="G640" s="12" t="s">
        <v>62</v>
      </c>
      <c r="H640" s="2">
        <v>60171000</v>
      </c>
      <c r="I640" s="8">
        <v>2</v>
      </c>
    </row>
    <row r="641" spans="2:9" x14ac:dyDescent="0.25">
      <c r="B641" s="8">
        <f>1000000+INDEX(编号表!$B:$B,MATCH(C641,编号表!$A:$A,0))*1000+INDEX(编号表!$D:$D,MATCH(D641,编号表!$C:$C,0))*100+E641</f>
        <v>1018302</v>
      </c>
      <c r="C641" s="2" t="s">
        <v>228</v>
      </c>
      <c r="D641" s="8" t="s">
        <v>63</v>
      </c>
      <c r="E641" s="8">
        <f t="shared" si="16"/>
        <v>2</v>
      </c>
      <c r="F641" s="2" t="s">
        <v>206</v>
      </c>
      <c r="G641" s="12" t="s">
        <v>62</v>
      </c>
      <c r="H641" s="2">
        <v>60171001</v>
      </c>
      <c r="I641" s="8">
        <v>2</v>
      </c>
    </row>
    <row r="642" spans="2:9" x14ac:dyDescent="0.25">
      <c r="B642" s="8">
        <f>1000000+INDEX(编号表!$B:$B,MATCH(C642,编号表!$A:$A,0))*1000+INDEX(编号表!$D:$D,MATCH(D642,编号表!$C:$C,0))*100+E642</f>
        <v>1018402</v>
      </c>
      <c r="C642" s="2" t="s">
        <v>228</v>
      </c>
      <c r="D642" s="8" t="s">
        <v>65</v>
      </c>
      <c r="E642" s="8">
        <f t="shared" si="16"/>
        <v>2</v>
      </c>
      <c r="F642" s="2" t="s">
        <v>225</v>
      </c>
      <c r="G642" s="12" t="s">
        <v>62</v>
      </c>
      <c r="H642" s="2">
        <v>60171002</v>
      </c>
      <c r="I642" s="8">
        <v>2</v>
      </c>
    </row>
    <row r="643" spans="2:9" x14ac:dyDescent="0.25">
      <c r="B643" s="8">
        <f>1000000+INDEX(编号表!$B:$B,MATCH(C643,编号表!$A:$A,0))*1000+INDEX(编号表!$D:$D,MATCH(D643,编号表!$C:$C,0))*100+E643</f>
        <v>1018502</v>
      </c>
      <c r="C643" s="2" t="s">
        <v>228</v>
      </c>
      <c r="D643" s="8" t="s">
        <v>67</v>
      </c>
      <c r="E643" s="8">
        <f t="shared" si="16"/>
        <v>2</v>
      </c>
      <c r="F643" s="2" t="s">
        <v>227</v>
      </c>
      <c r="G643" s="12" t="s">
        <v>62</v>
      </c>
      <c r="H643" s="2">
        <v>60171003</v>
      </c>
      <c r="I643" s="8">
        <v>2</v>
      </c>
    </row>
    <row r="644" spans="2:9" x14ac:dyDescent="0.25">
      <c r="B644" s="8">
        <f>1000000+INDEX(编号表!$B:$B,MATCH(C644,编号表!$A:$A,0))*1000+INDEX(编号表!$D:$D,MATCH(D644,编号表!$C:$C,0))*100+E644</f>
        <v>1018203</v>
      </c>
      <c r="C644" s="2" t="s">
        <v>228</v>
      </c>
      <c r="D644" s="8" t="s">
        <v>60</v>
      </c>
      <c r="E644" s="8">
        <f t="shared" si="16"/>
        <v>3</v>
      </c>
      <c r="F644" s="2" t="s">
        <v>198</v>
      </c>
      <c r="G644" s="12" t="s">
        <v>62</v>
      </c>
      <c r="H644" s="2">
        <v>60171000</v>
      </c>
      <c r="I644" s="8">
        <v>3</v>
      </c>
    </row>
    <row r="645" spans="2:9" x14ac:dyDescent="0.25">
      <c r="B645" s="8">
        <f>1000000+INDEX(编号表!$B:$B,MATCH(C645,编号表!$A:$A,0))*1000+INDEX(编号表!$D:$D,MATCH(D645,编号表!$C:$C,0))*100+E645</f>
        <v>1018303</v>
      </c>
      <c r="C645" s="2" t="s">
        <v>228</v>
      </c>
      <c r="D645" s="8" t="s">
        <v>63</v>
      </c>
      <c r="E645" s="8">
        <f t="shared" si="16"/>
        <v>3</v>
      </c>
      <c r="F645" s="2" t="s">
        <v>206</v>
      </c>
      <c r="G645" s="12" t="s">
        <v>62</v>
      </c>
      <c r="H645" s="2">
        <v>60171001</v>
      </c>
      <c r="I645" s="8">
        <v>3</v>
      </c>
    </row>
    <row r="646" spans="2:9" x14ac:dyDescent="0.25">
      <c r="B646" s="8">
        <f>1000000+INDEX(编号表!$B:$B,MATCH(C646,编号表!$A:$A,0))*1000+INDEX(编号表!$D:$D,MATCH(D646,编号表!$C:$C,0))*100+E646</f>
        <v>1018403</v>
      </c>
      <c r="C646" s="2" t="s">
        <v>228</v>
      </c>
      <c r="D646" s="8" t="s">
        <v>65</v>
      </c>
      <c r="E646" s="8">
        <f t="shared" si="16"/>
        <v>3</v>
      </c>
      <c r="F646" s="2" t="s">
        <v>225</v>
      </c>
      <c r="G646" s="12" t="s">
        <v>62</v>
      </c>
      <c r="H646" s="2">
        <v>60171002</v>
      </c>
      <c r="I646" s="8">
        <v>3</v>
      </c>
    </row>
    <row r="647" spans="2:9" x14ac:dyDescent="0.25">
      <c r="B647" s="8">
        <f>1000000+INDEX(编号表!$B:$B,MATCH(C647,编号表!$A:$A,0))*1000+INDEX(编号表!$D:$D,MATCH(D647,编号表!$C:$C,0))*100+E647</f>
        <v>1018503</v>
      </c>
      <c r="C647" s="2" t="s">
        <v>228</v>
      </c>
      <c r="D647" s="8" t="s">
        <v>67</v>
      </c>
      <c r="E647" s="8">
        <f t="shared" si="16"/>
        <v>3</v>
      </c>
      <c r="F647" s="2" t="s">
        <v>227</v>
      </c>
      <c r="G647" s="12" t="s">
        <v>62</v>
      </c>
      <c r="H647" s="2">
        <v>60171003</v>
      </c>
      <c r="I647" s="8">
        <v>3</v>
      </c>
    </row>
    <row r="648" spans="2:9" x14ac:dyDescent="0.25">
      <c r="B648" s="8">
        <f>1000000+INDEX(编号表!$B:$B,MATCH(C648,编号表!$A:$A,0))*1000+INDEX(编号表!$D:$D,MATCH(D648,编号表!$C:$C,0))*100+E648</f>
        <v>1018205</v>
      </c>
      <c r="C648" s="2" t="s">
        <v>228</v>
      </c>
      <c r="D648" s="8" t="s">
        <v>60</v>
      </c>
      <c r="E648" s="8">
        <f t="shared" si="16"/>
        <v>5</v>
      </c>
      <c r="F648" s="2" t="s">
        <v>198</v>
      </c>
      <c r="G648" s="12" t="s">
        <v>62</v>
      </c>
      <c r="H648" s="2">
        <v>60171000</v>
      </c>
      <c r="I648" s="8">
        <v>5</v>
      </c>
    </row>
    <row r="649" spans="2:9" x14ac:dyDescent="0.25">
      <c r="B649" s="8">
        <f>1000000+INDEX(编号表!$B:$B,MATCH(C649,编号表!$A:$A,0))*1000+INDEX(编号表!$D:$D,MATCH(D649,编号表!$C:$C,0))*100+E649</f>
        <v>1018305</v>
      </c>
      <c r="C649" s="2" t="s">
        <v>228</v>
      </c>
      <c r="D649" s="8" t="s">
        <v>63</v>
      </c>
      <c r="E649" s="8">
        <f t="shared" si="16"/>
        <v>5</v>
      </c>
      <c r="F649" s="2" t="s">
        <v>206</v>
      </c>
      <c r="G649" s="12" t="s">
        <v>62</v>
      </c>
      <c r="H649" s="2">
        <v>60171001</v>
      </c>
      <c r="I649" s="8">
        <v>5</v>
      </c>
    </row>
    <row r="650" spans="2:9" x14ac:dyDescent="0.25">
      <c r="B650" s="8">
        <f>1000000+INDEX(编号表!$B:$B,MATCH(C650,编号表!$A:$A,0))*1000+INDEX(编号表!$D:$D,MATCH(D650,编号表!$C:$C,0))*100+E650</f>
        <v>1018405</v>
      </c>
      <c r="C650" s="2" t="s">
        <v>228</v>
      </c>
      <c r="D650" s="8" t="s">
        <v>65</v>
      </c>
      <c r="E650" s="8">
        <f t="shared" si="16"/>
        <v>5</v>
      </c>
      <c r="F650" s="2" t="s">
        <v>225</v>
      </c>
      <c r="G650" s="12" t="s">
        <v>62</v>
      </c>
      <c r="H650" s="2">
        <v>60171002</v>
      </c>
      <c r="I650" s="8">
        <v>5</v>
      </c>
    </row>
    <row r="651" spans="2:9" x14ac:dyDescent="0.25">
      <c r="B651" s="8">
        <f>1000000+INDEX(编号表!$B:$B,MATCH(C651,编号表!$A:$A,0))*1000+INDEX(编号表!$D:$D,MATCH(D651,编号表!$C:$C,0))*100+E651</f>
        <v>1018505</v>
      </c>
      <c r="C651" s="2" t="s">
        <v>228</v>
      </c>
      <c r="D651" s="8" t="s">
        <v>67</v>
      </c>
      <c r="E651" s="8">
        <f t="shared" si="16"/>
        <v>5</v>
      </c>
      <c r="F651" s="2" t="s">
        <v>227</v>
      </c>
      <c r="G651" s="12" t="s">
        <v>62</v>
      </c>
      <c r="H651" s="2">
        <v>60171003</v>
      </c>
      <c r="I651" s="8">
        <v>5</v>
      </c>
    </row>
    <row r="652" spans="2:9" x14ac:dyDescent="0.25">
      <c r="B652" s="8">
        <f>1000000+INDEX(编号表!$B:$B,MATCH(C652,编号表!$A:$A,0))*1000+INDEX(编号表!$D:$D,MATCH(D652,编号表!$C:$C,0))*100+E652</f>
        <v>1018210</v>
      </c>
      <c r="C652" s="2" t="s">
        <v>228</v>
      </c>
      <c r="D652" s="8" t="s">
        <v>60</v>
      </c>
      <c r="E652" s="8">
        <f t="shared" si="16"/>
        <v>10</v>
      </c>
      <c r="F652" s="2" t="s">
        <v>198</v>
      </c>
      <c r="G652" s="12" t="s">
        <v>62</v>
      </c>
      <c r="H652" s="2">
        <v>60171000</v>
      </c>
      <c r="I652" s="8">
        <v>10</v>
      </c>
    </row>
    <row r="653" spans="2:9" x14ac:dyDescent="0.25">
      <c r="B653" s="8">
        <f>1000000+INDEX(编号表!$B:$B,MATCH(C653,编号表!$A:$A,0))*1000+INDEX(编号表!$D:$D,MATCH(D653,编号表!$C:$C,0))*100+E653</f>
        <v>1018310</v>
      </c>
      <c r="C653" s="2" t="s">
        <v>228</v>
      </c>
      <c r="D653" s="8" t="s">
        <v>63</v>
      </c>
      <c r="E653" s="8">
        <f t="shared" si="16"/>
        <v>10</v>
      </c>
      <c r="F653" s="2" t="s">
        <v>206</v>
      </c>
      <c r="G653" s="12" t="s">
        <v>62</v>
      </c>
      <c r="H653" s="2">
        <v>60171001</v>
      </c>
      <c r="I653" s="8">
        <v>10</v>
      </c>
    </row>
    <row r="654" spans="2:9" x14ac:dyDescent="0.25">
      <c r="B654" s="8">
        <f>1000000+INDEX(编号表!$B:$B,MATCH(C654,编号表!$A:$A,0))*1000+INDEX(编号表!$D:$D,MATCH(D654,编号表!$C:$C,0))*100+E654</f>
        <v>1018410</v>
      </c>
      <c r="C654" s="2" t="s">
        <v>228</v>
      </c>
      <c r="D654" s="8" t="s">
        <v>65</v>
      </c>
      <c r="E654" s="8">
        <f t="shared" si="16"/>
        <v>10</v>
      </c>
      <c r="F654" s="2" t="s">
        <v>225</v>
      </c>
      <c r="G654" s="12" t="s">
        <v>62</v>
      </c>
      <c r="H654" s="2">
        <v>60171002</v>
      </c>
      <c r="I654" s="8">
        <v>10</v>
      </c>
    </row>
    <row r="655" spans="2:9" x14ac:dyDescent="0.25">
      <c r="B655" s="8">
        <f>1000000+INDEX(编号表!$B:$B,MATCH(C655,编号表!$A:$A,0))*1000+INDEX(编号表!$D:$D,MATCH(D655,编号表!$C:$C,0))*100+E655</f>
        <v>1018510</v>
      </c>
      <c r="C655" s="2" t="s">
        <v>228</v>
      </c>
      <c r="D655" s="8" t="s">
        <v>67</v>
      </c>
      <c r="E655" s="8">
        <f t="shared" si="16"/>
        <v>10</v>
      </c>
      <c r="F655" s="2" t="s">
        <v>227</v>
      </c>
      <c r="G655" s="12" t="s">
        <v>62</v>
      </c>
      <c r="H655" s="2">
        <v>60171003</v>
      </c>
      <c r="I655" s="8">
        <v>10</v>
      </c>
    </row>
    <row r="656" spans="2:9" x14ac:dyDescent="0.25">
      <c r="B656" s="8">
        <f>1000000+INDEX(编号表!$B:$B,MATCH(C656,编号表!$A:$A,0))*1000+INDEX(编号表!$D:$D,MATCH(D656,编号表!$C:$C,0))*100+E656</f>
        <v>1018215</v>
      </c>
      <c r="C656" s="2" t="s">
        <v>228</v>
      </c>
      <c r="D656" s="8" t="s">
        <v>60</v>
      </c>
      <c r="E656" s="8">
        <f t="shared" si="16"/>
        <v>15</v>
      </c>
      <c r="F656" s="2" t="s">
        <v>198</v>
      </c>
      <c r="G656" s="12" t="s">
        <v>62</v>
      </c>
      <c r="H656" s="2">
        <v>60171000</v>
      </c>
      <c r="I656" s="8">
        <v>15</v>
      </c>
    </row>
    <row r="657" spans="2:9" x14ac:dyDescent="0.25">
      <c r="B657" s="8">
        <f>1000000+INDEX(编号表!$B:$B,MATCH(C657,编号表!$A:$A,0))*1000+INDEX(编号表!$D:$D,MATCH(D657,编号表!$C:$C,0))*100+E657</f>
        <v>1018315</v>
      </c>
      <c r="C657" s="2" t="s">
        <v>228</v>
      </c>
      <c r="D657" s="8" t="s">
        <v>63</v>
      </c>
      <c r="E657" s="8">
        <f t="shared" si="16"/>
        <v>15</v>
      </c>
      <c r="F657" s="2" t="s">
        <v>206</v>
      </c>
      <c r="G657" s="12" t="s">
        <v>62</v>
      </c>
      <c r="H657" s="2">
        <v>60171001</v>
      </c>
      <c r="I657" s="8">
        <v>15</v>
      </c>
    </row>
    <row r="658" spans="2:9" x14ac:dyDescent="0.25">
      <c r="B658" s="8">
        <f>1000000+INDEX(编号表!$B:$B,MATCH(C658,编号表!$A:$A,0))*1000+INDEX(编号表!$D:$D,MATCH(D658,编号表!$C:$C,0))*100+E658</f>
        <v>1018415</v>
      </c>
      <c r="C658" s="2" t="s">
        <v>228</v>
      </c>
      <c r="D658" s="8" t="s">
        <v>65</v>
      </c>
      <c r="E658" s="8">
        <f t="shared" si="16"/>
        <v>15</v>
      </c>
      <c r="F658" s="2" t="s">
        <v>225</v>
      </c>
      <c r="G658" s="12" t="s">
        <v>62</v>
      </c>
      <c r="H658" s="2">
        <v>60171002</v>
      </c>
      <c r="I658" s="8">
        <v>15</v>
      </c>
    </row>
    <row r="659" spans="2:9" x14ac:dyDescent="0.25">
      <c r="B659" s="8">
        <f>1000000+INDEX(编号表!$B:$B,MATCH(C659,编号表!$A:$A,0))*1000+INDEX(编号表!$D:$D,MATCH(D659,编号表!$C:$C,0))*100+E659</f>
        <v>1018515</v>
      </c>
      <c r="C659" s="2" t="s">
        <v>228</v>
      </c>
      <c r="D659" s="8" t="s">
        <v>67</v>
      </c>
      <c r="E659" s="8">
        <f t="shared" si="16"/>
        <v>15</v>
      </c>
      <c r="F659" s="2" t="s">
        <v>227</v>
      </c>
      <c r="G659" s="12" t="s">
        <v>62</v>
      </c>
      <c r="H659" s="2">
        <v>60171003</v>
      </c>
      <c r="I659" s="8">
        <v>15</v>
      </c>
    </row>
    <row r="660" spans="2:9" x14ac:dyDescent="0.25">
      <c r="B660" s="8">
        <f>1000000+INDEX(编号表!$B:$B,MATCH(C660,编号表!$A:$A,0))*1000+INDEX(编号表!$D:$D,MATCH(D660,编号表!$C:$C,0))*100+E660</f>
        <v>1019001</v>
      </c>
      <c r="C660" s="2" t="s">
        <v>229</v>
      </c>
      <c r="D660" s="8" t="s">
        <v>55</v>
      </c>
      <c r="E660" s="8">
        <v>1</v>
      </c>
      <c r="F660" s="11" t="s">
        <v>56</v>
      </c>
      <c r="G660" s="12" t="s">
        <v>57</v>
      </c>
      <c r="H660" s="2">
        <v>60182000</v>
      </c>
      <c r="I660" s="8">
        <v>1</v>
      </c>
    </row>
    <row r="661" spans="2:9" x14ac:dyDescent="0.25">
      <c r="B661" s="8">
        <f>1000000+INDEX(编号表!$B:$B,MATCH(C661,编号表!$A:$A,0))*1000+INDEX(编号表!$D:$D,MATCH(D661,编号表!$C:$C,0))*100+E661</f>
        <v>1019101</v>
      </c>
      <c r="C661" s="2" t="s">
        <v>229</v>
      </c>
      <c r="D661" s="8" t="s">
        <v>58</v>
      </c>
      <c r="E661" s="8">
        <v>1</v>
      </c>
      <c r="F661" s="11" t="s">
        <v>59</v>
      </c>
      <c r="G661" s="12" t="s">
        <v>57</v>
      </c>
      <c r="H661" s="2">
        <v>60182000</v>
      </c>
      <c r="I661" s="8">
        <v>1</v>
      </c>
    </row>
    <row r="662" spans="2:9" x14ac:dyDescent="0.25">
      <c r="B662" s="8">
        <f>1000000+INDEX(编号表!$B:$B,MATCH(C662,编号表!$A:$A,0))*1000+INDEX(编号表!$D:$D,MATCH(D662,编号表!$C:$C,0))*100+E662</f>
        <v>1019201</v>
      </c>
      <c r="C662" s="2" t="s">
        <v>229</v>
      </c>
      <c r="D662" s="8" t="s">
        <v>60</v>
      </c>
      <c r="E662" s="8">
        <f t="shared" ref="E662:E679" si="17">I662+K662+M662+O662+Q662+S662+U662+W662+Y662+AA662</f>
        <v>1</v>
      </c>
      <c r="F662" s="2" t="s">
        <v>230</v>
      </c>
      <c r="G662" s="12" t="s">
        <v>62</v>
      </c>
      <c r="H662" s="2">
        <v>60181000</v>
      </c>
      <c r="I662" s="8">
        <v>1</v>
      </c>
    </row>
    <row r="663" spans="2:9" x14ac:dyDescent="0.25">
      <c r="B663" s="8">
        <f>1000000+INDEX(编号表!$B:$B,MATCH(C663,编号表!$A:$A,0))*1000+INDEX(编号表!$D:$D,MATCH(D663,编号表!$C:$C,0))*100+E663</f>
        <v>1019301</v>
      </c>
      <c r="C663" s="2" t="s">
        <v>229</v>
      </c>
      <c r="D663" s="8" t="s">
        <v>63</v>
      </c>
      <c r="E663" s="8">
        <f t="shared" si="17"/>
        <v>1</v>
      </c>
      <c r="F663" s="2" t="s">
        <v>231</v>
      </c>
      <c r="G663" s="12" t="s">
        <v>62</v>
      </c>
      <c r="H663" s="2">
        <v>60181001</v>
      </c>
      <c r="I663" s="8">
        <v>1</v>
      </c>
    </row>
    <row r="664" spans="2:9" x14ac:dyDescent="0.25">
      <c r="B664" s="8">
        <f>1000000+INDEX(编号表!$B:$B,MATCH(C664,编号表!$A:$A,0))*1000+INDEX(编号表!$D:$D,MATCH(D664,编号表!$C:$C,0))*100+E664</f>
        <v>1019401</v>
      </c>
      <c r="C664" s="2" t="s">
        <v>229</v>
      </c>
      <c r="D664" s="8" t="s">
        <v>65</v>
      </c>
      <c r="E664" s="8">
        <f t="shared" si="17"/>
        <v>1</v>
      </c>
      <c r="F664" s="2" t="s">
        <v>232</v>
      </c>
      <c r="G664" s="12" t="s">
        <v>62</v>
      </c>
      <c r="H664" s="2">
        <v>60181002</v>
      </c>
      <c r="I664" s="8">
        <v>1</v>
      </c>
    </row>
    <row r="665" spans="2:9" x14ac:dyDescent="0.25">
      <c r="B665" s="8">
        <f>1000000+INDEX(编号表!$B:$B,MATCH(C665,编号表!$A:$A,0))*1000+INDEX(编号表!$D:$D,MATCH(D665,编号表!$C:$C,0))*100+E665</f>
        <v>1019202</v>
      </c>
      <c r="C665" s="2" t="s">
        <v>229</v>
      </c>
      <c r="D665" s="8" t="s">
        <v>60</v>
      </c>
      <c r="E665" s="8">
        <f t="shared" si="17"/>
        <v>2</v>
      </c>
      <c r="F665" s="2" t="s">
        <v>230</v>
      </c>
      <c r="G665" s="12" t="s">
        <v>62</v>
      </c>
      <c r="H665" s="2">
        <v>60181000</v>
      </c>
      <c r="I665" s="8">
        <v>2</v>
      </c>
    </row>
    <row r="666" spans="2:9" x14ac:dyDescent="0.25">
      <c r="B666" s="8">
        <f>1000000+INDEX(编号表!$B:$B,MATCH(C666,编号表!$A:$A,0))*1000+INDEX(编号表!$D:$D,MATCH(D666,编号表!$C:$C,0))*100+E666</f>
        <v>1019302</v>
      </c>
      <c r="C666" s="2" t="s">
        <v>229</v>
      </c>
      <c r="D666" s="8" t="s">
        <v>63</v>
      </c>
      <c r="E666" s="8">
        <f t="shared" si="17"/>
        <v>2</v>
      </c>
      <c r="F666" s="2" t="s">
        <v>231</v>
      </c>
      <c r="G666" s="12" t="s">
        <v>62</v>
      </c>
      <c r="H666" s="2">
        <v>60181001</v>
      </c>
      <c r="I666" s="8">
        <v>2</v>
      </c>
    </row>
    <row r="667" spans="2:9" x14ac:dyDescent="0.25">
      <c r="B667" s="8">
        <f>1000000+INDEX(编号表!$B:$B,MATCH(C667,编号表!$A:$A,0))*1000+INDEX(编号表!$D:$D,MATCH(D667,编号表!$C:$C,0))*100+E667</f>
        <v>1019402</v>
      </c>
      <c r="C667" s="2" t="s">
        <v>229</v>
      </c>
      <c r="D667" s="8" t="s">
        <v>65</v>
      </c>
      <c r="E667" s="8">
        <f t="shared" si="17"/>
        <v>2</v>
      </c>
      <c r="F667" s="2" t="s">
        <v>232</v>
      </c>
      <c r="G667" s="12" t="s">
        <v>62</v>
      </c>
      <c r="H667" s="2">
        <v>60181002</v>
      </c>
      <c r="I667" s="8">
        <v>2</v>
      </c>
    </row>
    <row r="668" spans="2:9" x14ac:dyDescent="0.25">
      <c r="B668" s="8">
        <f>1000000+INDEX(编号表!$B:$B,MATCH(C668,编号表!$A:$A,0))*1000+INDEX(编号表!$D:$D,MATCH(D668,编号表!$C:$C,0))*100+E668</f>
        <v>1019203</v>
      </c>
      <c r="C668" s="2" t="s">
        <v>229</v>
      </c>
      <c r="D668" s="8" t="s">
        <v>60</v>
      </c>
      <c r="E668" s="8">
        <f t="shared" si="17"/>
        <v>3</v>
      </c>
      <c r="F668" s="2" t="s">
        <v>230</v>
      </c>
      <c r="G668" s="12" t="s">
        <v>62</v>
      </c>
      <c r="H668" s="2">
        <v>60181000</v>
      </c>
      <c r="I668" s="8">
        <v>3</v>
      </c>
    </row>
    <row r="669" spans="2:9" x14ac:dyDescent="0.25">
      <c r="B669" s="8">
        <f>1000000+INDEX(编号表!$B:$B,MATCH(C669,编号表!$A:$A,0))*1000+INDEX(编号表!$D:$D,MATCH(D669,编号表!$C:$C,0))*100+E669</f>
        <v>1019303</v>
      </c>
      <c r="C669" s="2" t="s">
        <v>229</v>
      </c>
      <c r="D669" s="8" t="s">
        <v>63</v>
      </c>
      <c r="E669" s="8">
        <f t="shared" si="17"/>
        <v>3</v>
      </c>
      <c r="F669" s="2" t="s">
        <v>231</v>
      </c>
      <c r="G669" s="12" t="s">
        <v>62</v>
      </c>
      <c r="H669" s="2">
        <v>60181001</v>
      </c>
      <c r="I669" s="8">
        <v>3</v>
      </c>
    </row>
    <row r="670" spans="2:9" x14ac:dyDescent="0.25">
      <c r="B670" s="8">
        <f>1000000+INDEX(编号表!$B:$B,MATCH(C670,编号表!$A:$A,0))*1000+INDEX(编号表!$D:$D,MATCH(D670,编号表!$C:$C,0))*100+E670</f>
        <v>1019403</v>
      </c>
      <c r="C670" s="2" t="s">
        <v>229</v>
      </c>
      <c r="D670" s="8" t="s">
        <v>65</v>
      </c>
      <c r="E670" s="8">
        <f t="shared" si="17"/>
        <v>3</v>
      </c>
      <c r="F670" s="2" t="s">
        <v>232</v>
      </c>
      <c r="G670" s="12" t="s">
        <v>62</v>
      </c>
      <c r="H670" s="2">
        <v>60181002</v>
      </c>
      <c r="I670" s="8">
        <v>3</v>
      </c>
    </row>
    <row r="671" spans="2:9" x14ac:dyDescent="0.25">
      <c r="B671" s="8">
        <f>1000000+INDEX(编号表!$B:$B,MATCH(C671,编号表!$A:$A,0))*1000+INDEX(编号表!$D:$D,MATCH(D671,编号表!$C:$C,0))*100+E671</f>
        <v>1019205</v>
      </c>
      <c r="C671" s="2" t="s">
        <v>229</v>
      </c>
      <c r="D671" s="8" t="s">
        <v>60</v>
      </c>
      <c r="E671" s="8">
        <f t="shared" si="17"/>
        <v>5</v>
      </c>
      <c r="F671" s="2" t="s">
        <v>230</v>
      </c>
      <c r="G671" s="12" t="s">
        <v>62</v>
      </c>
      <c r="H671" s="2">
        <v>60181000</v>
      </c>
      <c r="I671" s="8">
        <v>5</v>
      </c>
    </row>
    <row r="672" spans="2:9" x14ac:dyDescent="0.25">
      <c r="B672" s="8">
        <f>1000000+INDEX(编号表!$B:$B,MATCH(C672,编号表!$A:$A,0))*1000+INDEX(编号表!$D:$D,MATCH(D672,编号表!$C:$C,0))*100+E672</f>
        <v>1019305</v>
      </c>
      <c r="C672" s="2" t="s">
        <v>229</v>
      </c>
      <c r="D672" s="8" t="s">
        <v>63</v>
      </c>
      <c r="E672" s="8">
        <f t="shared" si="17"/>
        <v>5</v>
      </c>
      <c r="F672" s="2" t="s">
        <v>231</v>
      </c>
      <c r="G672" s="12" t="s">
        <v>62</v>
      </c>
      <c r="H672" s="2">
        <v>60181001</v>
      </c>
      <c r="I672" s="8">
        <v>5</v>
      </c>
    </row>
    <row r="673" spans="2:9" x14ac:dyDescent="0.25">
      <c r="B673" s="8">
        <f>1000000+INDEX(编号表!$B:$B,MATCH(C673,编号表!$A:$A,0))*1000+INDEX(编号表!$D:$D,MATCH(D673,编号表!$C:$C,0))*100+E673</f>
        <v>1019405</v>
      </c>
      <c r="C673" s="2" t="s">
        <v>229</v>
      </c>
      <c r="D673" s="8" t="s">
        <v>65</v>
      </c>
      <c r="E673" s="8">
        <f t="shared" si="17"/>
        <v>5</v>
      </c>
      <c r="F673" s="2" t="s">
        <v>232</v>
      </c>
      <c r="G673" s="12" t="s">
        <v>62</v>
      </c>
      <c r="H673" s="2">
        <v>60181002</v>
      </c>
      <c r="I673" s="8">
        <v>5</v>
      </c>
    </row>
    <row r="674" spans="2:9" x14ac:dyDescent="0.25">
      <c r="B674" s="8">
        <f>1000000+INDEX(编号表!$B:$B,MATCH(C674,编号表!$A:$A,0))*1000+INDEX(编号表!$D:$D,MATCH(D674,编号表!$C:$C,0))*100+E674</f>
        <v>1019210</v>
      </c>
      <c r="C674" s="2" t="s">
        <v>229</v>
      </c>
      <c r="D674" s="8" t="s">
        <v>60</v>
      </c>
      <c r="E674" s="8">
        <f t="shared" si="17"/>
        <v>10</v>
      </c>
      <c r="F674" s="2" t="s">
        <v>230</v>
      </c>
      <c r="G674" s="12" t="s">
        <v>62</v>
      </c>
      <c r="H674" s="2">
        <v>60181000</v>
      </c>
      <c r="I674" s="8">
        <v>10</v>
      </c>
    </row>
    <row r="675" spans="2:9" x14ac:dyDescent="0.25">
      <c r="B675" s="8">
        <f>1000000+INDEX(编号表!$B:$B,MATCH(C675,编号表!$A:$A,0))*1000+INDEX(编号表!$D:$D,MATCH(D675,编号表!$C:$C,0))*100+E675</f>
        <v>1019310</v>
      </c>
      <c r="C675" s="2" t="s">
        <v>229</v>
      </c>
      <c r="D675" s="8" t="s">
        <v>63</v>
      </c>
      <c r="E675" s="8">
        <f t="shared" si="17"/>
        <v>10</v>
      </c>
      <c r="F675" s="2" t="s">
        <v>231</v>
      </c>
      <c r="G675" s="12" t="s">
        <v>62</v>
      </c>
      <c r="H675" s="2">
        <v>60181001</v>
      </c>
      <c r="I675" s="8">
        <v>10</v>
      </c>
    </row>
    <row r="676" spans="2:9" x14ac:dyDescent="0.25">
      <c r="B676" s="8">
        <f>1000000+INDEX(编号表!$B:$B,MATCH(C676,编号表!$A:$A,0))*1000+INDEX(编号表!$D:$D,MATCH(D676,编号表!$C:$C,0))*100+E676</f>
        <v>1019410</v>
      </c>
      <c r="C676" s="2" t="s">
        <v>229</v>
      </c>
      <c r="D676" s="8" t="s">
        <v>65</v>
      </c>
      <c r="E676" s="8">
        <f t="shared" si="17"/>
        <v>10</v>
      </c>
      <c r="F676" s="2" t="s">
        <v>232</v>
      </c>
      <c r="G676" s="12" t="s">
        <v>62</v>
      </c>
      <c r="H676" s="2">
        <v>60181002</v>
      </c>
      <c r="I676" s="8">
        <v>10</v>
      </c>
    </row>
    <row r="677" spans="2:9" x14ac:dyDescent="0.25">
      <c r="B677" s="8">
        <f>1000000+INDEX(编号表!$B:$B,MATCH(C677,编号表!$A:$A,0))*1000+INDEX(编号表!$D:$D,MATCH(D677,编号表!$C:$C,0))*100+E677</f>
        <v>1019215</v>
      </c>
      <c r="C677" s="2" t="s">
        <v>229</v>
      </c>
      <c r="D677" s="8" t="s">
        <v>60</v>
      </c>
      <c r="E677" s="8">
        <f t="shared" si="17"/>
        <v>15</v>
      </c>
      <c r="F677" s="2" t="s">
        <v>230</v>
      </c>
      <c r="G677" s="12" t="s">
        <v>62</v>
      </c>
      <c r="H677" s="2">
        <v>60181000</v>
      </c>
      <c r="I677" s="8">
        <v>15</v>
      </c>
    </row>
    <row r="678" spans="2:9" x14ac:dyDescent="0.25">
      <c r="B678" s="8">
        <f>1000000+INDEX(编号表!$B:$B,MATCH(C678,编号表!$A:$A,0))*1000+INDEX(编号表!$D:$D,MATCH(D678,编号表!$C:$C,0))*100+E678</f>
        <v>1019315</v>
      </c>
      <c r="C678" s="2" t="s">
        <v>229</v>
      </c>
      <c r="D678" s="8" t="s">
        <v>63</v>
      </c>
      <c r="E678" s="8">
        <f t="shared" si="17"/>
        <v>15</v>
      </c>
      <c r="F678" s="2" t="s">
        <v>231</v>
      </c>
      <c r="G678" s="12" t="s">
        <v>62</v>
      </c>
      <c r="H678" s="2">
        <v>60181001</v>
      </c>
      <c r="I678" s="8">
        <v>15</v>
      </c>
    </row>
    <row r="679" spans="2:9" x14ac:dyDescent="0.25">
      <c r="B679" s="8">
        <f>1000000+INDEX(编号表!$B:$B,MATCH(C679,编号表!$A:$A,0))*1000+INDEX(编号表!$D:$D,MATCH(D679,编号表!$C:$C,0))*100+E679</f>
        <v>1019415</v>
      </c>
      <c r="C679" s="2" t="s">
        <v>229</v>
      </c>
      <c r="D679" s="8" t="s">
        <v>65</v>
      </c>
      <c r="E679" s="8">
        <f t="shared" si="17"/>
        <v>15</v>
      </c>
      <c r="F679" s="2" t="s">
        <v>232</v>
      </c>
      <c r="G679" s="12" t="s">
        <v>62</v>
      </c>
      <c r="H679" s="2">
        <v>60181002</v>
      </c>
      <c r="I679" s="8">
        <v>15</v>
      </c>
    </row>
    <row r="680" spans="2:9" x14ac:dyDescent="0.25">
      <c r="B680" s="8">
        <f>1000000+INDEX(编号表!$B:$B,MATCH(C680,编号表!$A:$A,0))*1000+INDEX(编号表!$D:$D,MATCH(D680,编号表!$C:$C,0))*100+E680</f>
        <v>1020001</v>
      </c>
      <c r="C680" s="2" t="s">
        <v>233</v>
      </c>
      <c r="D680" s="8" t="s">
        <v>55</v>
      </c>
      <c r="E680" s="8">
        <v>1</v>
      </c>
      <c r="F680" s="11" t="s">
        <v>56</v>
      </c>
      <c r="G680" s="12" t="s">
        <v>57</v>
      </c>
      <c r="H680" s="8">
        <v>60194000</v>
      </c>
      <c r="I680" s="8">
        <v>1</v>
      </c>
    </row>
    <row r="681" spans="2:9" x14ac:dyDescent="0.25">
      <c r="B681" s="8">
        <f>1000000+INDEX(编号表!$B:$B,MATCH(C681,编号表!$A:$A,0))*1000+INDEX(编号表!$D:$D,MATCH(D681,编号表!$C:$C,0))*100+E681</f>
        <v>1020101</v>
      </c>
      <c r="C681" s="2" t="s">
        <v>233</v>
      </c>
      <c r="D681" s="8" t="s">
        <v>58</v>
      </c>
      <c r="E681" s="8">
        <v>1</v>
      </c>
      <c r="F681" s="11" t="s">
        <v>59</v>
      </c>
      <c r="G681" s="12" t="s">
        <v>57</v>
      </c>
      <c r="H681" s="15">
        <v>60192000</v>
      </c>
      <c r="I681" s="8">
        <v>1</v>
      </c>
    </row>
    <row r="682" spans="2:9" x14ac:dyDescent="0.25">
      <c r="B682" s="8">
        <f>1000000+INDEX(编号表!$B:$B,MATCH(C682,编号表!$A:$A,0))*1000+INDEX(编号表!$D:$D,MATCH(D682,编号表!$C:$C,0))*100+E682</f>
        <v>1020102</v>
      </c>
      <c r="C682" s="2" t="s">
        <v>233</v>
      </c>
      <c r="D682" s="8" t="s">
        <v>58</v>
      </c>
      <c r="E682" s="8">
        <v>2</v>
      </c>
      <c r="F682" s="11" t="s">
        <v>59</v>
      </c>
      <c r="G682" s="12" t="s">
        <v>57</v>
      </c>
      <c r="H682" s="15">
        <v>60192001</v>
      </c>
      <c r="I682" s="8">
        <v>1</v>
      </c>
    </row>
    <row r="683" spans="2:9" x14ac:dyDescent="0.25">
      <c r="B683" s="8">
        <f>1000000+INDEX(编号表!$B:$B,MATCH(C683,编号表!$A:$A,0))*1000+INDEX(编号表!$D:$D,MATCH(D683,编号表!$C:$C,0))*100+E683</f>
        <v>1020201</v>
      </c>
      <c r="C683" s="2" t="s">
        <v>233</v>
      </c>
      <c r="D683" s="8" t="s">
        <v>60</v>
      </c>
      <c r="E683" s="8">
        <f t="shared" ref="E683:E692" si="18">I683+K683+M683+O683+Q683+S683+U683+W683+Y683+AA683</f>
        <v>1</v>
      </c>
      <c r="F683" s="15" t="s">
        <v>234</v>
      </c>
      <c r="G683" s="12" t="s">
        <v>62</v>
      </c>
      <c r="H683" s="15">
        <v>60191000</v>
      </c>
      <c r="I683" s="8">
        <v>1</v>
      </c>
    </row>
    <row r="684" spans="2:9" x14ac:dyDescent="0.25">
      <c r="B684" s="8">
        <f>1000000+INDEX(编号表!$B:$B,MATCH(C684,编号表!$A:$A,0))*1000+INDEX(编号表!$D:$D,MATCH(D684,编号表!$C:$C,0))*100+E684</f>
        <v>1020301</v>
      </c>
      <c r="C684" s="2" t="s">
        <v>233</v>
      </c>
      <c r="D684" s="8" t="s">
        <v>63</v>
      </c>
      <c r="E684" s="8">
        <f t="shared" si="18"/>
        <v>1</v>
      </c>
      <c r="F684" s="15" t="s">
        <v>234</v>
      </c>
      <c r="G684" s="12" t="s">
        <v>62</v>
      </c>
      <c r="H684" s="15">
        <v>60191001</v>
      </c>
      <c r="I684" s="8">
        <v>1</v>
      </c>
    </row>
    <row r="685" spans="2:9" x14ac:dyDescent="0.25">
      <c r="B685" s="8">
        <f>1000000+INDEX(编号表!$B:$B,MATCH(C685,编号表!$A:$A,0))*1000+INDEX(编号表!$D:$D,MATCH(D685,编号表!$C:$C,0))*100+E685</f>
        <v>1020202</v>
      </c>
      <c r="C685" s="2" t="s">
        <v>233</v>
      </c>
      <c r="D685" s="8" t="s">
        <v>60</v>
      </c>
      <c r="E685" s="8">
        <f t="shared" si="18"/>
        <v>2</v>
      </c>
      <c r="F685" s="15" t="s">
        <v>234</v>
      </c>
      <c r="G685" s="12" t="s">
        <v>62</v>
      </c>
      <c r="H685" s="15">
        <v>60191000</v>
      </c>
      <c r="I685" s="8">
        <v>2</v>
      </c>
    </row>
    <row r="686" spans="2:9" x14ac:dyDescent="0.25">
      <c r="B686" s="8">
        <f>1000000+INDEX(编号表!$B:$B,MATCH(C686,编号表!$A:$A,0))*1000+INDEX(编号表!$D:$D,MATCH(D686,编号表!$C:$C,0))*100+E686</f>
        <v>1020302</v>
      </c>
      <c r="C686" s="2" t="s">
        <v>233</v>
      </c>
      <c r="D686" s="8" t="s">
        <v>63</v>
      </c>
      <c r="E686" s="8">
        <f t="shared" si="18"/>
        <v>2</v>
      </c>
      <c r="F686" s="15" t="s">
        <v>234</v>
      </c>
      <c r="G686" s="12" t="s">
        <v>62</v>
      </c>
      <c r="H686" s="15">
        <v>60191001</v>
      </c>
      <c r="I686" s="8">
        <v>2</v>
      </c>
    </row>
    <row r="687" spans="2:9" x14ac:dyDescent="0.25">
      <c r="B687" s="8">
        <f>1000000+INDEX(编号表!$B:$B,MATCH(C687,编号表!$A:$A,0))*1000+INDEX(编号表!$D:$D,MATCH(D687,编号表!$C:$C,0))*100+E687</f>
        <v>1020203</v>
      </c>
      <c r="C687" s="2" t="s">
        <v>233</v>
      </c>
      <c r="D687" s="8" t="s">
        <v>60</v>
      </c>
      <c r="E687" s="8">
        <f t="shared" si="18"/>
        <v>3</v>
      </c>
      <c r="F687" s="15" t="s">
        <v>234</v>
      </c>
      <c r="G687" s="12" t="s">
        <v>62</v>
      </c>
      <c r="H687" s="15">
        <v>60191000</v>
      </c>
      <c r="I687" s="8">
        <v>3</v>
      </c>
    </row>
    <row r="688" spans="2:9" x14ac:dyDescent="0.25">
      <c r="B688" s="8">
        <f>1000000+INDEX(编号表!$B:$B,MATCH(C688,编号表!$A:$A,0))*1000+INDEX(编号表!$D:$D,MATCH(D688,编号表!$C:$C,0))*100+E688</f>
        <v>1020303</v>
      </c>
      <c r="C688" s="2" t="s">
        <v>233</v>
      </c>
      <c r="D688" s="8" t="s">
        <v>63</v>
      </c>
      <c r="E688" s="8">
        <f t="shared" si="18"/>
        <v>3</v>
      </c>
      <c r="F688" s="15" t="s">
        <v>234</v>
      </c>
      <c r="G688" s="12" t="s">
        <v>62</v>
      </c>
      <c r="H688" s="15">
        <v>60191001</v>
      </c>
      <c r="I688" s="8">
        <v>3</v>
      </c>
    </row>
    <row r="689" spans="2:9" x14ac:dyDescent="0.25">
      <c r="B689" s="8">
        <f>1000000+INDEX(编号表!$B:$B,MATCH(C689,编号表!$A:$A,0))*1000+INDEX(编号表!$D:$D,MATCH(D689,编号表!$C:$C,0))*100+E689</f>
        <v>1020205</v>
      </c>
      <c r="C689" s="2" t="s">
        <v>233</v>
      </c>
      <c r="D689" s="8" t="s">
        <v>60</v>
      </c>
      <c r="E689" s="8">
        <f t="shared" si="18"/>
        <v>5</v>
      </c>
      <c r="F689" s="15" t="s">
        <v>234</v>
      </c>
      <c r="G689" s="12" t="s">
        <v>62</v>
      </c>
      <c r="H689" s="15">
        <v>60191000</v>
      </c>
      <c r="I689" s="8">
        <v>5</v>
      </c>
    </row>
    <row r="690" spans="2:9" x14ac:dyDescent="0.25">
      <c r="B690" s="8">
        <f>1000000+INDEX(编号表!$B:$B,MATCH(C690,编号表!$A:$A,0))*1000+INDEX(编号表!$D:$D,MATCH(D690,编号表!$C:$C,0))*100+E690</f>
        <v>1020305</v>
      </c>
      <c r="C690" s="2" t="s">
        <v>233</v>
      </c>
      <c r="D690" s="8" t="s">
        <v>63</v>
      </c>
      <c r="E690" s="8">
        <f t="shared" si="18"/>
        <v>5</v>
      </c>
      <c r="F690" s="15" t="s">
        <v>234</v>
      </c>
      <c r="G690" s="12" t="s">
        <v>62</v>
      </c>
      <c r="H690" s="15">
        <v>60191001</v>
      </c>
      <c r="I690" s="8">
        <v>5</v>
      </c>
    </row>
    <row r="691" spans="2:9" x14ac:dyDescent="0.25">
      <c r="B691" s="8">
        <f>1000000+INDEX(编号表!$B:$B,MATCH(C691,编号表!$A:$A,0))*1000+INDEX(编号表!$D:$D,MATCH(D691,编号表!$C:$C,0))*100+E691</f>
        <v>1020210</v>
      </c>
      <c r="C691" s="2" t="s">
        <v>233</v>
      </c>
      <c r="D691" s="8" t="s">
        <v>60</v>
      </c>
      <c r="E691" s="8">
        <f t="shared" si="18"/>
        <v>10</v>
      </c>
      <c r="F691" s="15" t="s">
        <v>234</v>
      </c>
      <c r="G691" s="12" t="s">
        <v>62</v>
      </c>
      <c r="H691" s="15">
        <v>60191000</v>
      </c>
      <c r="I691" s="8">
        <v>10</v>
      </c>
    </row>
    <row r="692" spans="2:9" x14ac:dyDescent="0.25">
      <c r="B692" s="8">
        <f>1000000+INDEX(编号表!$B:$B,MATCH(C692,编号表!$A:$A,0))*1000+INDEX(编号表!$D:$D,MATCH(D692,编号表!$C:$C,0))*100+E692</f>
        <v>1020310</v>
      </c>
      <c r="C692" s="2" t="s">
        <v>233</v>
      </c>
      <c r="D692" s="8" t="s">
        <v>63</v>
      </c>
      <c r="E692" s="8">
        <f t="shared" si="18"/>
        <v>10</v>
      </c>
      <c r="F692" s="15" t="s">
        <v>234</v>
      </c>
      <c r="G692" s="12" t="s">
        <v>62</v>
      </c>
      <c r="H692" s="15">
        <v>60191001</v>
      </c>
      <c r="I692" s="8">
        <v>10</v>
      </c>
    </row>
    <row r="693" spans="2:9" x14ac:dyDescent="0.25">
      <c r="B693" s="8">
        <f>1000000+INDEX(编号表!$B:$B,MATCH(C693,编号表!$A:$A,0))*1000+INDEX(编号表!$D:$D,MATCH(D693,编号表!$C:$C,0))*100+E693</f>
        <v>1021001</v>
      </c>
      <c r="C693" s="2" t="s">
        <v>235</v>
      </c>
      <c r="D693" s="8" t="s">
        <v>55</v>
      </c>
      <c r="E693" s="8">
        <v>1</v>
      </c>
      <c r="F693" s="11" t="s">
        <v>56</v>
      </c>
      <c r="G693" s="12" t="s">
        <v>57</v>
      </c>
      <c r="H693" s="8">
        <v>60204000</v>
      </c>
      <c r="I693" s="8">
        <v>1</v>
      </c>
    </row>
    <row r="694" spans="2:9" x14ac:dyDescent="0.25">
      <c r="B694" s="8">
        <f>1000000+INDEX(编号表!$B:$B,MATCH(C694,编号表!$A:$A,0))*1000+INDEX(编号表!$D:$D,MATCH(D694,编号表!$C:$C,0))*100+E694</f>
        <v>1021101</v>
      </c>
      <c r="C694" s="2" t="s">
        <v>235</v>
      </c>
      <c r="D694" s="8" t="s">
        <v>58</v>
      </c>
      <c r="E694" s="8">
        <v>1</v>
      </c>
      <c r="F694" s="11" t="s">
        <v>59</v>
      </c>
      <c r="G694" s="12" t="s">
        <v>57</v>
      </c>
      <c r="H694" s="2">
        <v>60202000</v>
      </c>
      <c r="I694" s="8">
        <v>1</v>
      </c>
    </row>
    <row r="695" spans="2:9" x14ac:dyDescent="0.25">
      <c r="B695" s="8">
        <f>1000000+INDEX(编号表!$B:$B,MATCH(C695,编号表!$A:$A,0))*1000+INDEX(编号表!$D:$D,MATCH(D695,编号表!$C:$C,0))*100+E695</f>
        <v>1021201</v>
      </c>
      <c r="C695" s="2" t="s">
        <v>235</v>
      </c>
      <c r="D695" s="8" t="s">
        <v>60</v>
      </c>
      <c r="E695" s="8">
        <f t="shared" ref="E695:E718" si="19">I695+K695+M695+O695+Q695+S695+U695+W695+Y695+AA695</f>
        <v>1</v>
      </c>
      <c r="F695" s="2" t="s">
        <v>236</v>
      </c>
      <c r="G695" s="12" t="s">
        <v>62</v>
      </c>
      <c r="H695" s="2">
        <v>60201000</v>
      </c>
      <c r="I695" s="8">
        <v>1</v>
      </c>
    </row>
    <row r="696" spans="2:9" x14ac:dyDescent="0.25">
      <c r="B696" s="8">
        <f>1000000+INDEX(编号表!$B:$B,MATCH(C696,编号表!$A:$A,0))*1000+INDEX(编号表!$D:$D,MATCH(D696,编号表!$C:$C,0))*100+E696</f>
        <v>1021301</v>
      </c>
      <c r="C696" s="2" t="s">
        <v>235</v>
      </c>
      <c r="D696" s="8" t="s">
        <v>63</v>
      </c>
      <c r="E696" s="8">
        <f t="shared" si="19"/>
        <v>1</v>
      </c>
      <c r="F696" s="2" t="s">
        <v>220</v>
      </c>
      <c r="G696" s="12" t="s">
        <v>62</v>
      </c>
      <c r="H696" s="2">
        <v>60201001</v>
      </c>
      <c r="I696" s="8">
        <v>1</v>
      </c>
    </row>
    <row r="697" spans="2:9" x14ac:dyDescent="0.25">
      <c r="B697" s="8">
        <f>1000000+INDEX(编号表!$B:$B,MATCH(C697,编号表!$A:$A,0))*1000+INDEX(编号表!$D:$D,MATCH(D697,编号表!$C:$C,0))*100+E697</f>
        <v>1021401</v>
      </c>
      <c r="C697" s="2" t="s">
        <v>235</v>
      </c>
      <c r="D697" s="8" t="s">
        <v>65</v>
      </c>
      <c r="E697" s="8">
        <f t="shared" si="19"/>
        <v>1</v>
      </c>
      <c r="F697" s="2" t="s">
        <v>237</v>
      </c>
      <c r="G697" s="12" t="s">
        <v>62</v>
      </c>
      <c r="H697" s="2">
        <v>60201002</v>
      </c>
      <c r="I697" s="8">
        <v>1</v>
      </c>
    </row>
    <row r="698" spans="2:9" x14ac:dyDescent="0.25">
      <c r="B698" s="8">
        <f>1000000+INDEX(编号表!$B:$B,MATCH(C698,编号表!$A:$A,0))*1000+INDEX(编号表!$D:$D,MATCH(D698,编号表!$C:$C,0))*100+E698</f>
        <v>1021501</v>
      </c>
      <c r="C698" s="2" t="s">
        <v>235</v>
      </c>
      <c r="D698" s="8" t="s">
        <v>67</v>
      </c>
      <c r="E698" s="8">
        <f t="shared" si="19"/>
        <v>1</v>
      </c>
      <c r="F698" s="2" t="s">
        <v>238</v>
      </c>
      <c r="G698" s="12" t="s">
        <v>62</v>
      </c>
      <c r="H698" s="2">
        <v>60201003</v>
      </c>
      <c r="I698" s="8">
        <v>1</v>
      </c>
    </row>
    <row r="699" spans="2:9" x14ac:dyDescent="0.25">
      <c r="B699" s="8">
        <f>1000000+INDEX(编号表!$B:$B,MATCH(C699,编号表!$A:$A,0))*1000+INDEX(编号表!$D:$D,MATCH(D699,编号表!$C:$C,0))*100+E699</f>
        <v>1021202</v>
      </c>
      <c r="C699" s="2" t="s">
        <v>235</v>
      </c>
      <c r="D699" s="8" t="s">
        <v>60</v>
      </c>
      <c r="E699" s="8">
        <f t="shared" si="19"/>
        <v>2</v>
      </c>
      <c r="F699" s="2" t="s">
        <v>236</v>
      </c>
      <c r="G699" s="12" t="s">
        <v>62</v>
      </c>
      <c r="H699" s="2">
        <v>60201000</v>
      </c>
      <c r="I699" s="8">
        <v>2</v>
      </c>
    </row>
    <row r="700" spans="2:9" x14ac:dyDescent="0.25">
      <c r="B700" s="8">
        <f>1000000+INDEX(编号表!$B:$B,MATCH(C700,编号表!$A:$A,0))*1000+INDEX(编号表!$D:$D,MATCH(D700,编号表!$C:$C,0))*100+E700</f>
        <v>1021302</v>
      </c>
      <c r="C700" s="2" t="s">
        <v>235</v>
      </c>
      <c r="D700" s="8" t="s">
        <v>63</v>
      </c>
      <c r="E700" s="8">
        <f t="shared" si="19"/>
        <v>2</v>
      </c>
      <c r="F700" s="2" t="s">
        <v>220</v>
      </c>
      <c r="G700" s="12" t="s">
        <v>62</v>
      </c>
      <c r="H700" s="2">
        <v>60201001</v>
      </c>
      <c r="I700" s="8">
        <v>2</v>
      </c>
    </row>
    <row r="701" spans="2:9" x14ac:dyDescent="0.25">
      <c r="B701" s="8">
        <f>1000000+INDEX(编号表!$B:$B,MATCH(C701,编号表!$A:$A,0))*1000+INDEX(编号表!$D:$D,MATCH(D701,编号表!$C:$C,0))*100+E701</f>
        <v>1021402</v>
      </c>
      <c r="C701" s="2" t="s">
        <v>235</v>
      </c>
      <c r="D701" s="8" t="s">
        <v>65</v>
      </c>
      <c r="E701" s="8">
        <f t="shared" si="19"/>
        <v>2</v>
      </c>
      <c r="F701" s="2" t="s">
        <v>237</v>
      </c>
      <c r="G701" s="12" t="s">
        <v>62</v>
      </c>
      <c r="H701" s="2">
        <v>60201002</v>
      </c>
      <c r="I701" s="8">
        <v>2</v>
      </c>
    </row>
    <row r="702" spans="2:9" x14ac:dyDescent="0.25">
      <c r="B702" s="8">
        <f>1000000+INDEX(编号表!$B:$B,MATCH(C702,编号表!$A:$A,0))*1000+INDEX(编号表!$D:$D,MATCH(D702,编号表!$C:$C,0))*100+E702</f>
        <v>1021502</v>
      </c>
      <c r="C702" s="2" t="s">
        <v>235</v>
      </c>
      <c r="D702" s="8" t="s">
        <v>67</v>
      </c>
      <c r="E702" s="8">
        <f t="shared" si="19"/>
        <v>2</v>
      </c>
      <c r="F702" s="2" t="s">
        <v>238</v>
      </c>
      <c r="G702" s="12" t="s">
        <v>62</v>
      </c>
      <c r="H702" s="2">
        <v>60201003</v>
      </c>
      <c r="I702" s="8">
        <v>2</v>
      </c>
    </row>
    <row r="703" spans="2:9" x14ac:dyDescent="0.25">
      <c r="B703" s="8">
        <f>1000000+INDEX(编号表!$B:$B,MATCH(C703,编号表!$A:$A,0))*1000+INDEX(编号表!$D:$D,MATCH(D703,编号表!$C:$C,0))*100+E703</f>
        <v>1021203</v>
      </c>
      <c r="C703" s="2" t="s">
        <v>235</v>
      </c>
      <c r="D703" s="8" t="s">
        <v>60</v>
      </c>
      <c r="E703" s="8">
        <f t="shared" si="19"/>
        <v>3</v>
      </c>
      <c r="F703" s="2" t="s">
        <v>236</v>
      </c>
      <c r="G703" s="12" t="s">
        <v>62</v>
      </c>
      <c r="H703" s="2">
        <v>60201000</v>
      </c>
      <c r="I703" s="8">
        <v>3</v>
      </c>
    </row>
    <row r="704" spans="2:9" x14ac:dyDescent="0.25">
      <c r="B704" s="8">
        <f>1000000+INDEX(编号表!$B:$B,MATCH(C704,编号表!$A:$A,0))*1000+INDEX(编号表!$D:$D,MATCH(D704,编号表!$C:$C,0))*100+E704</f>
        <v>1021303</v>
      </c>
      <c r="C704" s="2" t="s">
        <v>235</v>
      </c>
      <c r="D704" s="8" t="s">
        <v>63</v>
      </c>
      <c r="E704" s="8">
        <f t="shared" si="19"/>
        <v>3</v>
      </c>
      <c r="F704" s="2" t="s">
        <v>220</v>
      </c>
      <c r="G704" s="12" t="s">
        <v>62</v>
      </c>
      <c r="H704" s="2">
        <v>60201001</v>
      </c>
      <c r="I704" s="8">
        <v>3</v>
      </c>
    </row>
    <row r="705" spans="2:9" x14ac:dyDescent="0.25">
      <c r="B705" s="8">
        <f>1000000+INDEX(编号表!$B:$B,MATCH(C705,编号表!$A:$A,0))*1000+INDEX(编号表!$D:$D,MATCH(D705,编号表!$C:$C,0))*100+E705</f>
        <v>1021403</v>
      </c>
      <c r="C705" s="2" t="s">
        <v>235</v>
      </c>
      <c r="D705" s="8" t="s">
        <v>65</v>
      </c>
      <c r="E705" s="8">
        <f t="shared" si="19"/>
        <v>3</v>
      </c>
      <c r="F705" s="2" t="s">
        <v>237</v>
      </c>
      <c r="G705" s="12" t="s">
        <v>62</v>
      </c>
      <c r="H705" s="2">
        <v>60201002</v>
      </c>
      <c r="I705" s="8">
        <v>3</v>
      </c>
    </row>
    <row r="706" spans="2:9" x14ac:dyDescent="0.25">
      <c r="B706" s="8">
        <f>1000000+INDEX(编号表!$B:$B,MATCH(C706,编号表!$A:$A,0))*1000+INDEX(编号表!$D:$D,MATCH(D706,编号表!$C:$C,0))*100+E706</f>
        <v>1021503</v>
      </c>
      <c r="C706" s="2" t="s">
        <v>235</v>
      </c>
      <c r="D706" s="8" t="s">
        <v>67</v>
      </c>
      <c r="E706" s="8">
        <f t="shared" si="19"/>
        <v>3</v>
      </c>
      <c r="F706" s="2" t="s">
        <v>238</v>
      </c>
      <c r="G706" s="12" t="s">
        <v>62</v>
      </c>
      <c r="H706" s="2">
        <v>60201003</v>
      </c>
      <c r="I706" s="8">
        <v>3</v>
      </c>
    </row>
    <row r="707" spans="2:9" x14ac:dyDescent="0.25">
      <c r="B707" s="8">
        <f>1000000+INDEX(编号表!$B:$B,MATCH(C707,编号表!$A:$A,0))*1000+INDEX(编号表!$D:$D,MATCH(D707,编号表!$C:$C,0))*100+E707</f>
        <v>1021205</v>
      </c>
      <c r="C707" s="2" t="s">
        <v>235</v>
      </c>
      <c r="D707" s="8" t="s">
        <v>60</v>
      </c>
      <c r="E707" s="8">
        <f t="shared" si="19"/>
        <v>5</v>
      </c>
      <c r="F707" s="2" t="s">
        <v>236</v>
      </c>
      <c r="G707" s="12" t="s">
        <v>62</v>
      </c>
      <c r="H707" s="2">
        <v>60201000</v>
      </c>
      <c r="I707" s="8">
        <v>5</v>
      </c>
    </row>
    <row r="708" spans="2:9" x14ac:dyDescent="0.25">
      <c r="B708" s="8">
        <f>1000000+INDEX(编号表!$B:$B,MATCH(C708,编号表!$A:$A,0))*1000+INDEX(编号表!$D:$D,MATCH(D708,编号表!$C:$C,0))*100+E708</f>
        <v>1021305</v>
      </c>
      <c r="C708" s="2" t="s">
        <v>235</v>
      </c>
      <c r="D708" s="8" t="s">
        <v>63</v>
      </c>
      <c r="E708" s="8">
        <f t="shared" si="19"/>
        <v>5</v>
      </c>
      <c r="F708" s="2" t="s">
        <v>220</v>
      </c>
      <c r="G708" s="12" t="s">
        <v>62</v>
      </c>
      <c r="H708" s="2">
        <v>60201001</v>
      </c>
      <c r="I708" s="8">
        <v>5</v>
      </c>
    </row>
    <row r="709" spans="2:9" x14ac:dyDescent="0.25">
      <c r="B709" s="8">
        <f>1000000+INDEX(编号表!$B:$B,MATCH(C709,编号表!$A:$A,0))*1000+INDEX(编号表!$D:$D,MATCH(D709,编号表!$C:$C,0))*100+E709</f>
        <v>1021405</v>
      </c>
      <c r="C709" s="2" t="s">
        <v>235</v>
      </c>
      <c r="D709" s="8" t="s">
        <v>65</v>
      </c>
      <c r="E709" s="8">
        <f t="shared" si="19"/>
        <v>5</v>
      </c>
      <c r="F709" s="2" t="s">
        <v>237</v>
      </c>
      <c r="G709" s="12" t="s">
        <v>62</v>
      </c>
      <c r="H709" s="2">
        <v>60201002</v>
      </c>
      <c r="I709" s="8">
        <v>5</v>
      </c>
    </row>
    <row r="710" spans="2:9" x14ac:dyDescent="0.25">
      <c r="B710" s="8">
        <f>1000000+INDEX(编号表!$B:$B,MATCH(C710,编号表!$A:$A,0))*1000+INDEX(编号表!$D:$D,MATCH(D710,编号表!$C:$C,0))*100+E710</f>
        <v>1021505</v>
      </c>
      <c r="C710" s="2" t="s">
        <v>235</v>
      </c>
      <c r="D710" s="8" t="s">
        <v>67</v>
      </c>
      <c r="E710" s="8">
        <f t="shared" si="19"/>
        <v>5</v>
      </c>
      <c r="F710" s="2" t="s">
        <v>238</v>
      </c>
      <c r="G710" s="12" t="s">
        <v>62</v>
      </c>
      <c r="H710" s="2">
        <v>60201003</v>
      </c>
      <c r="I710" s="8">
        <v>5</v>
      </c>
    </row>
    <row r="711" spans="2:9" x14ac:dyDescent="0.25">
      <c r="B711" s="8">
        <f>1000000+INDEX(编号表!$B:$B,MATCH(C711,编号表!$A:$A,0))*1000+INDEX(编号表!$D:$D,MATCH(D711,编号表!$C:$C,0))*100+E711</f>
        <v>1021210</v>
      </c>
      <c r="C711" s="2" t="s">
        <v>235</v>
      </c>
      <c r="D711" s="8" t="s">
        <v>60</v>
      </c>
      <c r="E711" s="8">
        <f t="shared" si="19"/>
        <v>10</v>
      </c>
      <c r="F711" s="2" t="s">
        <v>236</v>
      </c>
      <c r="G711" s="12" t="s">
        <v>62</v>
      </c>
      <c r="H711" s="2">
        <v>60201000</v>
      </c>
      <c r="I711" s="8">
        <v>10</v>
      </c>
    </row>
    <row r="712" spans="2:9" x14ac:dyDescent="0.25">
      <c r="B712" s="8">
        <f>1000000+INDEX(编号表!$B:$B,MATCH(C712,编号表!$A:$A,0))*1000+INDEX(编号表!$D:$D,MATCH(D712,编号表!$C:$C,0))*100+E712</f>
        <v>1021310</v>
      </c>
      <c r="C712" s="2" t="s">
        <v>235</v>
      </c>
      <c r="D712" s="8" t="s">
        <v>63</v>
      </c>
      <c r="E712" s="8">
        <f t="shared" si="19"/>
        <v>10</v>
      </c>
      <c r="F712" s="2" t="s">
        <v>220</v>
      </c>
      <c r="G712" s="12" t="s">
        <v>62</v>
      </c>
      <c r="H712" s="2">
        <v>60201001</v>
      </c>
      <c r="I712" s="8">
        <v>10</v>
      </c>
    </row>
    <row r="713" spans="2:9" x14ac:dyDescent="0.25">
      <c r="B713" s="8">
        <f>1000000+INDEX(编号表!$B:$B,MATCH(C713,编号表!$A:$A,0))*1000+INDEX(编号表!$D:$D,MATCH(D713,编号表!$C:$C,0))*100+E713</f>
        <v>1021410</v>
      </c>
      <c r="C713" s="2" t="s">
        <v>235</v>
      </c>
      <c r="D713" s="8" t="s">
        <v>65</v>
      </c>
      <c r="E713" s="8">
        <f t="shared" si="19"/>
        <v>10</v>
      </c>
      <c r="F713" s="2" t="s">
        <v>237</v>
      </c>
      <c r="G713" s="12" t="s">
        <v>62</v>
      </c>
      <c r="H713" s="2">
        <v>60201002</v>
      </c>
      <c r="I713" s="8">
        <v>10</v>
      </c>
    </row>
    <row r="714" spans="2:9" x14ac:dyDescent="0.25">
      <c r="B714" s="8">
        <f>1000000+INDEX(编号表!$B:$B,MATCH(C714,编号表!$A:$A,0))*1000+INDEX(编号表!$D:$D,MATCH(D714,编号表!$C:$C,0))*100+E714</f>
        <v>1021510</v>
      </c>
      <c r="C714" s="2" t="s">
        <v>235</v>
      </c>
      <c r="D714" s="8" t="s">
        <v>67</v>
      </c>
      <c r="E714" s="8">
        <f t="shared" si="19"/>
        <v>10</v>
      </c>
      <c r="F714" s="2" t="s">
        <v>238</v>
      </c>
      <c r="G714" s="12" t="s">
        <v>62</v>
      </c>
      <c r="H714" s="2">
        <v>60201003</v>
      </c>
      <c r="I714" s="8">
        <v>10</v>
      </c>
    </row>
    <row r="715" spans="2:9" x14ac:dyDescent="0.25">
      <c r="B715" s="8">
        <f>1000000+INDEX(编号表!$B:$B,MATCH(C715,编号表!$A:$A,0))*1000+INDEX(编号表!$D:$D,MATCH(D715,编号表!$C:$C,0))*100+E715</f>
        <v>1021215</v>
      </c>
      <c r="C715" s="2" t="s">
        <v>235</v>
      </c>
      <c r="D715" s="8" t="s">
        <v>60</v>
      </c>
      <c r="E715" s="8">
        <f t="shared" si="19"/>
        <v>15</v>
      </c>
      <c r="F715" s="2" t="s">
        <v>236</v>
      </c>
      <c r="G715" s="12" t="s">
        <v>62</v>
      </c>
      <c r="H715" s="2">
        <v>60201000</v>
      </c>
      <c r="I715" s="8">
        <v>15</v>
      </c>
    </row>
    <row r="716" spans="2:9" x14ac:dyDescent="0.25">
      <c r="B716" s="8">
        <f>1000000+INDEX(编号表!$B:$B,MATCH(C716,编号表!$A:$A,0))*1000+INDEX(编号表!$D:$D,MATCH(D716,编号表!$C:$C,0))*100+E716</f>
        <v>1021315</v>
      </c>
      <c r="C716" s="2" t="s">
        <v>235</v>
      </c>
      <c r="D716" s="8" t="s">
        <v>63</v>
      </c>
      <c r="E716" s="8">
        <f t="shared" si="19"/>
        <v>15</v>
      </c>
      <c r="F716" s="2" t="s">
        <v>220</v>
      </c>
      <c r="G716" s="12" t="s">
        <v>62</v>
      </c>
      <c r="H716" s="2">
        <v>60201001</v>
      </c>
      <c r="I716" s="8">
        <v>15</v>
      </c>
    </row>
    <row r="717" spans="2:9" x14ac:dyDescent="0.25">
      <c r="B717" s="8">
        <f>1000000+INDEX(编号表!$B:$B,MATCH(C717,编号表!$A:$A,0))*1000+INDEX(编号表!$D:$D,MATCH(D717,编号表!$C:$C,0))*100+E717</f>
        <v>1021415</v>
      </c>
      <c r="C717" s="2" t="s">
        <v>235</v>
      </c>
      <c r="D717" s="8" t="s">
        <v>65</v>
      </c>
      <c r="E717" s="8">
        <f t="shared" si="19"/>
        <v>15</v>
      </c>
      <c r="F717" s="2" t="s">
        <v>237</v>
      </c>
      <c r="G717" s="12" t="s">
        <v>62</v>
      </c>
      <c r="H717" s="2">
        <v>60201002</v>
      </c>
      <c r="I717" s="8">
        <v>15</v>
      </c>
    </row>
    <row r="718" spans="2:9" x14ac:dyDescent="0.25">
      <c r="B718" s="8">
        <f>1000000+INDEX(编号表!$B:$B,MATCH(C718,编号表!$A:$A,0))*1000+INDEX(编号表!$D:$D,MATCH(D718,编号表!$C:$C,0))*100+E718</f>
        <v>1021515</v>
      </c>
      <c r="C718" s="2" t="s">
        <v>235</v>
      </c>
      <c r="D718" s="8" t="s">
        <v>67</v>
      </c>
      <c r="E718" s="8">
        <f t="shared" si="19"/>
        <v>15</v>
      </c>
      <c r="F718" s="2" t="s">
        <v>238</v>
      </c>
      <c r="G718" s="12" t="s">
        <v>62</v>
      </c>
      <c r="H718" s="2">
        <v>60201003</v>
      </c>
      <c r="I718" s="8">
        <v>15</v>
      </c>
    </row>
    <row r="719" spans="2:9" x14ac:dyDescent="0.25">
      <c r="B719" s="8">
        <f>1000000+INDEX(编号表!$B:$B,MATCH(C719,编号表!$A:$A,0))*1000+INDEX(编号表!$D:$D,MATCH(D719,编号表!$C:$C,0))*100+E719</f>
        <v>1022001</v>
      </c>
      <c r="C719" s="2" t="s">
        <v>239</v>
      </c>
      <c r="D719" s="8" t="s">
        <v>55</v>
      </c>
      <c r="E719" s="8">
        <v>1</v>
      </c>
      <c r="F719" s="11" t="s">
        <v>56</v>
      </c>
      <c r="G719" s="12" t="s">
        <v>57</v>
      </c>
      <c r="H719" s="8">
        <v>60214000</v>
      </c>
      <c r="I719" s="8">
        <v>1</v>
      </c>
    </row>
    <row r="720" spans="2:9" x14ac:dyDescent="0.25">
      <c r="B720" s="8">
        <f>1000000+INDEX(编号表!$B:$B,MATCH(C720,编号表!$A:$A,0))*1000+INDEX(编号表!$D:$D,MATCH(D720,编号表!$C:$C,0))*100+E720</f>
        <v>1022101</v>
      </c>
      <c r="C720" s="2" t="s">
        <v>239</v>
      </c>
      <c r="D720" s="8" t="s">
        <v>58</v>
      </c>
      <c r="E720" s="8">
        <v>1</v>
      </c>
      <c r="F720" s="11" t="s">
        <v>59</v>
      </c>
      <c r="G720" s="12" t="s">
        <v>57</v>
      </c>
      <c r="H720" s="2">
        <v>60212000</v>
      </c>
      <c r="I720" s="8">
        <v>1</v>
      </c>
    </row>
    <row r="721" spans="2:9" x14ac:dyDescent="0.25">
      <c r="B721" s="8">
        <f>1000000+INDEX(编号表!$B:$B,MATCH(C721,编号表!$A:$A,0))*1000+INDEX(编号表!$D:$D,MATCH(D721,编号表!$C:$C,0))*100+E721</f>
        <v>1022201</v>
      </c>
      <c r="C721" s="2" t="s">
        <v>239</v>
      </c>
      <c r="D721" s="8" t="s">
        <v>60</v>
      </c>
      <c r="E721" s="8">
        <f t="shared" ref="E721:E744" si="20">I721+K721+M721+O721+Q721+S721+U721+W721+Y721+AA721</f>
        <v>1</v>
      </c>
      <c r="F721" s="2" t="s">
        <v>220</v>
      </c>
      <c r="G721" s="12" t="s">
        <v>62</v>
      </c>
      <c r="H721" s="2">
        <v>60211000</v>
      </c>
      <c r="I721" s="8">
        <v>1</v>
      </c>
    </row>
    <row r="722" spans="2:9" x14ac:dyDescent="0.25">
      <c r="B722" s="8">
        <f>1000000+INDEX(编号表!$B:$B,MATCH(C722,编号表!$A:$A,0))*1000+INDEX(编号表!$D:$D,MATCH(D722,编号表!$C:$C,0))*100+E722</f>
        <v>1022301</v>
      </c>
      <c r="C722" s="2" t="s">
        <v>239</v>
      </c>
      <c r="D722" s="8" t="s">
        <v>63</v>
      </c>
      <c r="E722" s="8">
        <f t="shared" si="20"/>
        <v>1</v>
      </c>
      <c r="F722" s="2" t="s">
        <v>237</v>
      </c>
      <c r="G722" s="12" t="s">
        <v>62</v>
      </c>
      <c r="H722" s="2">
        <v>60211001</v>
      </c>
      <c r="I722" s="8">
        <v>1</v>
      </c>
    </row>
    <row r="723" spans="2:9" x14ac:dyDescent="0.25">
      <c r="B723" s="8">
        <f>1000000+INDEX(编号表!$B:$B,MATCH(C723,编号表!$A:$A,0))*1000+INDEX(编号表!$D:$D,MATCH(D723,编号表!$C:$C,0))*100+E723</f>
        <v>1022401</v>
      </c>
      <c r="C723" s="2" t="s">
        <v>239</v>
      </c>
      <c r="D723" s="8" t="s">
        <v>65</v>
      </c>
      <c r="E723" s="8">
        <f t="shared" si="20"/>
        <v>1</v>
      </c>
      <c r="F723" s="2" t="s">
        <v>238</v>
      </c>
      <c r="G723" s="12" t="s">
        <v>62</v>
      </c>
      <c r="H723" s="2">
        <v>60211002</v>
      </c>
      <c r="I723" s="8">
        <v>1</v>
      </c>
    </row>
    <row r="724" spans="2:9" x14ac:dyDescent="0.25">
      <c r="B724" s="8">
        <f>1000000+INDEX(编号表!$B:$B,MATCH(C724,编号表!$A:$A,0))*1000+INDEX(编号表!$D:$D,MATCH(D724,编号表!$C:$C,0))*100+E724</f>
        <v>1022501</v>
      </c>
      <c r="C724" s="2" t="s">
        <v>239</v>
      </c>
      <c r="D724" s="8" t="s">
        <v>67</v>
      </c>
      <c r="E724" s="8">
        <f t="shared" si="20"/>
        <v>1</v>
      </c>
      <c r="F724" s="2" t="s">
        <v>240</v>
      </c>
      <c r="G724" s="12" t="s">
        <v>62</v>
      </c>
      <c r="H724" s="2">
        <v>60211003</v>
      </c>
      <c r="I724" s="8">
        <v>1</v>
      </c>
    </row>
    <row r="725" spans="2:9" x14ac:dyDescent="0.25">
      <c r="B725" s="8">
        <f>1000000+INDEX(编号表!$B:$B,MATCH(C725,编号表!$A:$A,0))*1000+INDEX(编号表!$D:$D,MATCH(D725,编号表!$C:$C,0))*100+E725</f>
        <v>1022202</v>
      </c>
      <c r="C725" s="2" t="s">
        <v>239</v>
      </c>
      <c r="D725" s="8" t="s">
        <v>60</v>
      </c>
      <c r="E725" s="8">
        <f t="shared" si="20"/>
        <v>2</v>
      </c>
      <c r="F725" s="2" t="s">
        <v>220</v>
      </c>
      <c r="G725" s="12" t="s">
        <v>62</v>
      </c>
      <c r="H725" s="2">
        <v>60211000</v>
      </c>
      <c r="I725" s="8">
        <v>2</v>
      </c>
    </row>
    <row r="726" spans="2:9" x14ac:dyDescent="0.25">
      <c r="B726" s="8">
        <f>1000000+INDEX(编号表!$B:$B,MATCH(C726,编号表!$A:$A,0))*1000+INDEX(编号表!$D:$D,MATCH(D726,编号表!$C:$C,0))*100+E726</f>
        <v>1022302</v>
      </c>
      <c r="C726" s="2" t="s">
        <v>239</v>
      </c>
      <c r="D726" s="8" t="s">
        <v>63</v>
      </c>
      <c r="E726" s="8">
        <f t="shared" si="20"/>
        <v>2</v>
      </c>
      <c r="F726" s="2" t="s">
        <v>237</v>
      </c>
      <c r="G726" s="12" t="s">
        <v>62</v>
      </c>
      <c r="H726" s="2">
        <v>60211001</v>
      </c>
      <c r="I726" s="8">
        <v>2</v>
      </c>
    </row>
    <row r="727" spans="2:9" x14ac:dyDescent="0.25">
      <c r="B727" s="8">
        <f>1000000+INDEX(编号表!$B:$B,MATCH(C727,编号表!$A:$A,0))*1000+INDEX(编号表!$D:$D,MATCH(D727,编号表!$C:$C,0))*100+E727</f>
        <v>1022402</v>
      </c>
      <c r="C727" s="2" t="s">
        <v>239</v>
      </c>
      <c r="D727" s="8" t="s">
        <v>65</v>
      </c>
      <c r="E727" s="8">
        <f t="shared" si="20"/>
        <v>2</v>
      </c>
      <c r="F727" s="2" t="s">
        <v>238</v>
      </c>
      <c r="G727" s="12" t="s">
        <v>62</v>
      </c>
      <c r="H727" s="2">
        <v>60211002</v>
      </c>
      <c r="I727" s="8">
        <v>2</v>
      </c>
    </row>
    <row r="728" spans="2:9" x14ac:dyDescent="0.25">
      <c r="B728" s="8">
        <f>1000000+INDEX(编号表!$B:$B,MATCH(C728,编号表!$A:$A,0))*1000+INDEX(编号表!$D:$D,MATCH(D728,编号表!$C:$C,0))*100+E728</f>
        <v>1022502</v>
      </c>
      <c r="C728" s="2" t="s">
        <v>239</v>
      </c>
      <c r="D728" s="8" t="s">
        <v>67</v>
      </c>
      <c r="E728" s="8">
        <f t="shared" si="20"/>
        <v>2</v>
      </c>
      <c r="F728" s="2" t="s">
        <v>240</v>
      </c>
      <c r="G728" s="12" t="s">
        <v>62</v>
      </c>
      <c r="H728" s="2">
        <v>60211003</v>
      </c>
      <c r="I728" s="8">
        <v>2</v>
      </c>
    </row>
    <row r="729" spans="2:9" x14ac:dyDescent="0.25">
      <c r="B729" s="8">
        <f>1000000+INDEX(编号表!$B:$B,MATCH(C729,编号表!$A:$A,0))*1000+INDEX(编号表!$D:$D,MATCH(D729,编号表!$C:$C,0))*100+E729</f>
        <v>1022203</v>
      </c>
      <c r="C729" s="2" t="s">
        <v>239</v>
      </c>
      <c r="D729" s="8" t="s">
        <v>60</v>
      </c>
      <c r="E729" s="8">
        <f t="shared" si="20"/>
        <v>3</v>
      </c>
      <c r="F729" s="2" t="s">
        <v>220</v>
      </c>
      <c r="G729" s="12" t="s">
        <v>62</v>
      </c>
      <c r="H729" s="2">
        <v>60211000</v>
      </c>
      <c r="I729" s="8">
        <v>3</v>
      </c>
    </row>
    <row r="730" spans="2:9" x14ac:dyDescent="0.25">
      <c r="B730" s="8">
        <f>1000000+INDEX(编号表!$B:$B,MATCH(C730,编号表!$A:$A,0))*1000+INDEX(编号表!$D:$D,MATCH(D730,编号表!$C:$C,0))*100+E730</f>
        <v>1022303</v>
      </c>
      <c r="C730" s="2" t="s">
        <v>239</v>
      </c>
      <c r="D730" s="8" t="s">
        <v>63</v>
      </c>
      <c r="E730" s="8">
        <f t="shared" si="20"/>
        <v>3</v>
      </c>
      <c r="F730" s="2" t="s">
        <v>237</v>
      </c>
      <c r="G730" s="12" t="s">
        <v>62</v>
      </c>
      <c r="H730" s="2">
        <v>60211001</v>
      </c>
      <c r="I730" s="8">
        <v>3</v>
      </c>
    </row>
    <row r="731" spans="2:9" x14ac:dyDescent="0.25">
      <c r="B731" s="8">
        <f>1000000+INDEX(编号表!$B:$B,MATCH(C731,编号表!$A:$A,0))*1000+INDEX(编号表!$D:$D,MATCH(D731,编号表!$C:$C,0))*100+E731</f>
        <v>1022403</v>
      </c>
      <c r="C731" s="2" t="s">
        <v>239</v>
      </c>
      <c r="D731" s="8" t="s">
        <v>65</v>
      </c>
      <c r="E731" s="8">
        <f t="shared" si="20"/>
        <v>3</v>
      </c>
      <c r="F731" s="2" t="s">
        <v>238</v>
      </c>
      <c r="G731" s="12" t="s">
        <v>62</v>
      </c>
      <c r="H731" s="2">
        <v>60211002</v>
      </c>
      <c r="I731" s="8">
        <v>3</v>
      </c>
    </row>
    <row r="732" spans="2:9" x14ac:dyDescent="0.25">
      <c r="B732" s="8">
        <f>1000000+INDEX(编号表!$B:$B,MATCH(C732,编号表!$A:$A,0))*1000+INDEX(编号表!$D:$D,MATCH(D732,编号表!$C:$C,0))*100+E732</f>
        <v>1022503</v>
      </c>
      <c r="C732" s="2" t="s">
        <v>239</v>
      </c>
      <c r="D732" s="8" t="s">
        <v>67</v>
      </c>
      <c r="E732" s="8">
        <f t="shared" si="20"/>
        <v>3</v>
      </c>
      <c r="F732" s="2" t="s">
        <v>240</v>
      </c>
      <c r="G732" s="12" t="s">
        <v>62</v>
      </c>
      <c r="H732" s="2">
        <v>60211003</v>
      </c>
      <c r="I732" s="8">
        <v>3</v>
      </c>
    </row>
    <row r="733" spans="2:9" x14ac:dyDescent="0.25">
      <c r="B733" s="8">
        <f>1000000+INDEX(编号表!$B:$B,MATCH(C733,编号表!$A:$A,0))*1000+INDEX(编号表!$D:$D,MATCH(D733,编号表!$C:$C,0))*100+E733</f>
        <v>1022205</v>
      </c>
      <c r="C733" s="2" t="s">
        <v>239</v>
      </c>
      <c r="D733" s="8" t="s">
        <v>60</v>
      </c>
      <c r="E733" s="8">
        <f t="shared" si="20"/>
        <v>5</v>
      </c>
      <c r="F733" s="2" t="s">
        <v>220</v>
      </c>
      <c r="G733" s="12" t="s">
        <v>62</v>
      </c>
      <c r="H733" s="2">
        <v>60211000</v>
      </c>
      <c r="I733" s="8">
        <v>5</v>
      </c>
    </row>
    <row r="734" spans="2:9" x14ac:dyDescent="0.25">
      <c r="B734" s="8">
        <f>1000000+INDEX(编号表!$B:$B,MATCH(C734,编号表!$A:$A,0))*1000+INDEX(编号表!$D:$D,MATCH(D734,编号表!$C:$C,0))*100+E734</f>
        <v>1022305</v>
      </c>
      <c r="C734" s="2" t="s">
        <v>239</v>
      </c>
      <c r="D734" s="8" t="s">
        <v>63</v>
      </c>
      <c r="E734" s="8">
        <f t="shared" si="20"/>
        <v>5</v>
      </c>
      <c r="F734" s="2" t="s">
        <v>237</v>
      </c>
      <c r="G734" s="12" t="s">
        <v>62</v>
      </c>
      <c r="H734" s="2">
        <v>60211001</v>
      </c>
      <c r="I734" s="8">
        <v>5</v>
      </c>
    </row>
    <row r="735" spans="2:9" x14ac:dyDescent="0.25">
      <c r="B735" s="8">
        <f>1000000+INDEX(编号表!$B:$B,MATCH(C735,编号表!$A:$A,0))*1000+INDEX(编号表!$D:$D,MATCH(D735,编号表!$C:$C,0))*100+E735</f>
        <v>1022405</v>
      </c>
      <c r="C735" s="2" t="s">
        <v>239</v>
      </c>
      <c r="D735" s="8" t="s">
        <v>65</v>
      </c>
      <c r="E735" s="8">
        <f t="shared" si="20"/>
        <v>5</v>
      </c>
      <c r="F735" s="2" t="s">
        <v>238</v>
      </c>
      <c r="G735" s="12" t="s">
        <v>62</v>
      </c>
      <c r="H735" s="2">
        <v>60211002</v>
      </c>
      <c r="I735" s="8">
        <v>5</v>
      </c>
    </row>
    <row r="736" spans="2:9" x14ac:dyDescent="0.25">
      <c r="B736" s="8">
        <f>1000000+INDEX(编号表!$B:$B,MATCH(C736,编号表!$A:$A,0))*1000+INDEX(编号表!$D:$D,MATCH(D736,编号表!$C:$C,0))*100+E736</f>
        <v>1022505</v>
      </c>
      <c r="C736" s="2" t="s">
        <v>239</v>
      </c>
      <c r="D736" s="8" t="s">
        <v>67</v>
      </c>
      <c r="E736" s="8">
        <f t="shared" si="20"/>
        <v>5</v>
      </c>
      <c r="F736" s="2" t="s">
        <v>240</v>
      </c>
      <c r="G736" s="12" t="s">
        <v>62</v>
      </c>
      <c r="H736" s="2">
        <v>60211003</v>
      </c>
      <c r="I736" s="8">
        <v>5</v>
      </c>
    </row>
    <row r="737" spans="2:9" x14ac:dyDescent="0.25">
      <c r="B737" s="8">
        <f>1000000+INDEX(编号表!$B:$B,MATCH(C737,编号表!$A:$A,0))*1000+INDEX(编号表!$D:$D,MATCH(D737,编号表!$C:$C,0))*100+E737</f>
        <v>1022210</v>
      </c>
      <c r="C737" s="2" t="s">
        <v>239</v>
      </c>
      <c r="D737" s="8" t="s">
        <v>60</v>
      </c>
      <c r="E737" s="8">
        <f t="shared" si="20"/>
        <v>10</v>
      </c>
      <c r="F737" s="2" t="s">
        <v>220</v>
      </c>
      <c r="G737" s="12" t="s">
        <v>62</v>
      </c>
      <c r="H737" s="2">
        <v>60211000</v>
      </c>
      <c r="I737" s="8">
        <v>10</v>
      </c>
    </row>
    <row r="738" spans="2:9" x14ac:dyDescent="0.25">
      <c r="B738" s="8">
        <f>1000000+INDEX(编号表!$B:$B,MATCH(C738,编号表!$A:$A,0))*1000+INDEX(编号表!$D:$D,MATCH(D738,编号表!$C:$C,0))*100+E738</f>
        <v>1022310</v>
      </c>
      <c r="C738" s="2" t="s">
        <v>239</v>
      </c>
      <c r="D738" s="8" t="s">
        <v>63</v>
      </c>
      <c r="E738" s="8">
        <f t="shared" si="20"/>
        <v>10</v>
      </c>
      <c r="F738" s="2" t="s">
        <v>237</v>
      </c>
      <c r="G738" s="12" t="s">
        <v>62</v>
      </c>
      <c r="H738" s="2">
        <v>60211001</v>
      </c>
      <c r="I738" s="8">
        <v>10</v>
      </c>
    </row>
    <row r="739" spans="2:9" x14ac:dyDescent="0.25">
      <c r="B739" s="8">
        <f>1000000+INDEX(编号表!$B:$B,MATCH(C739,编号表!$A:$A,0))*1000+INDEX(编号表!$D:$D,MATCH(D739,编号表!$C:$C,0))*100+E739</f>
        <v>1022410</v>
      </c>
      <c r="C739" s="2" t="s">
        <v>239</v>
      </c>
      <c r="D739" s="8" t="s">
        <v>65</v>
      </c>
      <c r="E739" s="8">
        <f t="shared" si="20"/>
        <v>10</v>
      </c>
      <c r="F739" s="2" t="s">
        <v>238</v>
      </c>
      <c r="G739" s="12" t="s">
        <v>62</v>
      </c>
      <c r="H739" s="2">
        <v>60211002</v>
      </c>
      <c r="I739" s="8">
        <v>10</v>
      </c>
    </row>
    <row r="740" spans="2:9" x14ac:dyDescent="0.25">
      <c r="B740" s="8">
        <f>1000000+INDEX(编号表!$B:$B,MATCH(C740,编号表!$A:$A,0))*1000+INDEX(编号表!$D:$D,MATCH(D740,编号表!$C:$C,0))*100+E740</f>
        <v>1022510</v>
      </c>
      <c r="C740" s="2" t="s">
        <v>239</v>
      </c>
      <c r="D740" s="8" t="s">
        <v>67</v>
      </c>
      <c r="E740" s="8">
        <f t="shared" si="20"/>
        <v>10</v>
      </c>
      <c r="F740" s="2" t="s">
        <v>240</v>
      </c>
      <c r="G740" s="12" t="s">
        <v>62</v>
      </c>
      <c r="H740" s="2">
        <v>60211003</v>
      </c>
      <c r="I740" s="8">
        <v>10</v>
      </c>
    </row>
    <row r="741" spans="2:9" x14ac:dyDescent="0.25">
      <c r="B741" s="8">
        <f>1000000+INDEX(编号表!$B:$B,MATCH(C741,编号表!$A:$A,0))*1000+INDEX(编号表!$D:$D,MATCH(D741,编号表!$C:$C,0))*100+E741</f>
        <v>1022215</v>
      </c>
      <c r="C741" s="2" t="s">
        <v>239</v>
      </c>
      <c r="D741" s="8" t="s">
        <v>60</v>
      </c>
      <c r="E741" s="8">
        <f t="shared" si="20"/>
        <v>15</v>
      </c>
      <c r="F741" s="2" t="s">
        <v>220</v>
      </c>
      <c r="G741" s="12" t="s">
        <v>62</v>
      </c>
      <c r="H741" s="2">
        <v>60211000</v>
      </c>
      <c r="I741" s="8">
        <v>15</v>
      </c>
    </row>
    <row r="742" spans="2:9" x14ac:dyDescent="0.25">
      <c r="B742" s="8">
        <f>1000000+INDEX(编号表!$B:$B,MATCH(C742,编号表!$A:$A,0))*1000+INDEX(编号表!$D:$D,MATCH(D742,编号表!$C:$C,0))*100+E742</f>
        <v>1022315</v>
      </c>
      <c r="C742" s="2" t="s">
        <v>239</v>
      </c>
      <c r="D742" s="8" t="s">
        <v>63</v>
      </c>
      <c r="E742" s="8">
        <f t="shared" si="20"/>
        <v>15</v>
      </c>
      <c r="F742" s="2" t="s">
        <v>237</v>
      </c>
      <c r="G742" s="12" t="s">
        <v>62</v>
      </c>
      <c r="H742" s="2">
        <v>60211001</v>
      </c>
      <c r="I742" s="8">
        <v>15</v>
      </c>
    </row>
    <row r="743" spans="2:9" x14ac:dyDescent="0.25">
      <c r="B743" s="8">
        <f>1000000+INDEX(编号表!$B:$B,MATCH(C743,编号表!$A:$A,0))*1000+INDEX(编号表!$D:$D,MATCH(D743,编号表!$C:$C,0))*100+E743</f>
        <v>1022415</v>
      </c>
      <c r="C743" s="2" t="s">
        <v>239</v>
      </c>
      <c r="D743" s="8" t="s">
        <v>65</v>
      </c>
      <c r="E743" s="8">
        <f t="shared" si="20"/>
        <v>15</v>
      </c>
      <c r="F743" s="2" t="s">
        <v>238</v>
      </c>
      <c r="G743" s="12" t="s">
        <v>62</v>
      </c>
      <c r="H743" s="2">
        <v>60211002</v>
      </c>
      <c r="I743" s="8">
        <v>15</v>
      </c>
    </row>
    <row r="744" spans="2:9" x14ac:dyDescent="0.25">
      <c r="B744" s="8">
        <f>1000000+INDEX(编号表!$B:$B,MATCH(C744,编号表!$A:$A,0))*1000+INDEX(编号表!$D:$D,MATCH(D744,编号表!$C:$C,0))*100+E744</f>
        <v>1022515</v>
      </c>
      <c r="C744" s="2" t="s">
        <v>239</v>
      </c>
      <c r="D744" s="8" t="s">
        <v>67</v>
      </c>
      <c r="E744" s="8">
        <f t="shared" si="20"/>
        <v>15</v>
      </c>
      <c r="F744" s="2" t="s">
        <v>240</v>
      </c>
      <c r="G744" s="12" t="s">
        <v>62</v>
      </c>
      <c r="H744" s="2">
        <v>60211003</v>
      </c>
      <c r="I744" s="8">
        <v>15</v>
      </c>
    </row>
    <row r="745" spans="2:9" x14ac:dyDescent="0.25">
      <c r="B745" s="8">
        <f>1000000+INDEX(编号表!$B:$B,MATCH(C745,编号表!$A:$A,0))*1000+INDEX(编号表!$D:$D,MATCH(D745,编号表!$C:$C,0))*100+E745</f>
        <v>1023001</v>
      </c>
      <c r="C745" s="2" t="s">
        <v>241</v>
      </c>
      <c r="D745" s="8" t="s">
        <v>55</v>
      </c>
      <c r="E745" s="8">
        <v>1</v>
      </c>
      <c r="F745" s="11" t="s">
        <v>56</v>
      </c>
      <c r="G745" s="12" t="s">
        <v>57</v>
      </c>
      <c r="H745" s="8">
        <v>60224000</v>
      </c>
      <c r="I745" s="8">
        <v>1</v>
      </c>
    </row>
    <row r="746" spans="2:9" x14ac:dyDescent="0.25">
      <c r="B746" s="8">
        <f>1000000+INDEX(编号表!$B:$B,MATCH(C746,编号表!$A:$A,0))*1000+INDEX(编号表!$D:$D,MATCH(D746,编号表!$C:$C,0))*100+E746</f>
        <v>1023101</v>
      </c>
      <c r="C746" s="2" t="s">
        <v>241</v>
      </c>
      <c r="D746" s="8" t="s">
        <v>58</v>
      </c>
      <c r="E746" s="8">
        <v>1</v>
      </c>
      <c r="F746" s="11" t="s">
        <v>59</v>
      </c>
      <c r="G746" s="12" t="s">
        <v>57</v>
      </c>
      <c r="H746" s="2">
        <v>60222000</v>
      </c>
      <c r="I746" s="8">
        <v>1</v>
      </c>
    </row>
    <row r="747" spans="2:9" x14ac:dyDescent="0.25">
      <c r="B747" s="8">
        <f>1000000+INDEX(编号表!$B:$B,MATCH(C747,编号表!$A:$A,0))*1000+INDEX(编号表!$D:$D,MATCH(D747,编号表!$C:$C,0))*100+E747</f>
        <v>1023201</v>
      </c>
      <c r="C747" s="2" t="s">
        <v>241</v>
      </c>
      <c r="D747" s="8" t="s">
        <v>60</v>
      </c>
      <c r="E747" s="8">
        <f t="shared" ref="E747:E770" si="21">I747+K848+M848+O848+Q848+S848+U848+W848+Y848+AA848</f>
        <v>1</v>
      </c>
      <c r="F747" s="2" t="s">
        <v>236</v>
      </c>
      <c r="G747" s="12" t="s">
        <v>62</v>
      </c>
      <c r="H747" s="2">
        <v>60221000</v>
      </c>
      <c r="I747" s="8">
        <v>1</v>
      </c>
    </row>
    <row r="748" spans="2:9" x14ac:dyDescent="0.25">
      <c r="B748" s="8">
        <f>1000000+INDEX(编号表!$B:$B,MATCH(C748,编号表!$A:$A,0))*1000+INDEX(编号表!$D:$D,MATCH(D748,编号表!$C:$C,0))*100+E748</f>
        <v>1023301</v>
      </c>
      <c r="C748" s="2" t="s">
        <v>241</v>
      </c>
      <c r="D748" s="8" t="s">
        <v>63</v>
      </c>
      <c r="E748" s="8">
        <f t="shared" si="21"/>
        <v>1</v>
      </c>
      <c r="F748" s="2" t="s">
        <v>220</v>
      </c>
      <c r="G748" s="12" t="s">
        <v>62</v>
      </c>
      <c r="H748" s="2">
        <v>60221001</v>
      </c>
      <c r="I748" s="8">
        <v>1</v>
      </c>
    </row>
    <row r="749" spans="2:9" x14ac:dyDescent="0.25">
      <c r="B749" s="8">
        <f>1000000+INDEX(编号表!$B:$B,MATCH(C749,编号表!$A:$A,0))*1000+INDEX(编号表!$D:$D,MATCH(D749,编号表!$C:$C,0))*100+E749</f>
        <v>1023401</v>
      </c>
      <c r="C749" s="2" t="s">
        <v>241</v>
      </c>
      <c r="D749" s="8" t="s">
        <v>65</v>
      </c>
      <c r="E749" s="8">
        <f t="shared" si="21"/>
        <v>1</v>
      </c>
      <c r="F749" s="2" t="s">
        <v>237</v>
      </c>
      <c r="G749" s="12" t="s">
        <v>62</v>
      </c>
      <c r="H749" s="2">
        <v>60221002</v>
      </c>
      <c r="I749" s="8">
        <v>1</v>
      </c>
    </row>
    <row r="750" spans="2:9" x14ac:dyDescent="0.25">
      <c r="B750" s="8">
        <f>1000000+INDEX(编号表!$B:$B,MATCH(C750,编号表!$A:$A,0))*1000+INDEX(编号表!$D:$D,MATCH(D750,编号表!$C:$C,0))*100+E750</f>
        <v>1023501</v>
      </c>
      <c r="C750" s="2" t="s">
        <v>241</v>
      </c>
      <c r="D750" s="8" t="s">
        <v>67</v>
      </c>
      <c r="E750" s="8">
        <f t="shared" si="21"/>
        <v>1</v>
      </c>
      <c r="F750" s="2" t="s">
        <v>238</v>
      </c>
      <c r="G750" s="12" t="s">
        <v>62</v>
      </c>
      <c r="H750" s="2">
        <v>60221003</v>
      </c>
      <c r="I750" s="8">
        <v>1</v>
      </c>
    </row>
    <row r="751" spans="2:9" x14ac:dyDescent="0.25">
      <c r="B751" s="8">
        <f>1000000+INDEX(编号表!$B:$B,MATCH(C751,编号表!$A:$A,0))*1000+INDEX(编号表!$D:$D,MATCH(D751,编号表!$C:$C,0))*100+E751</f>
        <v>1023601</v>
      </c>
      <c r="C751" s="2" t="s">
        <v>241</v>
      </c>
      <c r="D751" s="8" t="s">
        <v>69</v>
      </c>
      <c r="E751" s="8">
        <f t="shared" si="21"/>
        <v>1</v>
      </c>
      <c r="F751" s="2" t="s">
        <v>240</v>
      </c>
      <c r="G751" s="12" t="s">
        <v>62</v>
      </c>
      <c r="H751" s="2">
        <v>60221004</v>
      </c>
      <c r="I751" s="8">
        <v>1</v>
      </c>
    </row>
    <row r="752" spans="2:9" x14ac:dyDescent="0.25">
      <c r="B752" s="8">
        <f>1000000+INDEX(编号表!$B:$B,MATCH(C752,编号表!$A:$A,0))*1000+INDEX(编号表!$D:$D,MATCH(D752,编号表!$C:$C,0))*100+E752</f>
        <v>1023202</v>
      </c>
      <c r="C752" s="2" t="s">
        <v>241</v>
      </c>
      <c r="D752" s="8" t="s">
        <v>60</v>
      </c>
      <c r="E752" s="8">
        <f t="shared" si="21"/>
        <v>2</v>
      </c>
      <c r="F752" s="2" t="s">
        <v>236</v>
      </c>
      <c r="G752" s="12" t="s">
        <v>62</v>
      </c>
      <c r="H752" s="2">
        <v>60221000</v>
      </c>
      <c r="I752" s="8">
        <v>2</v>
      </c>
    </row>
    <row r="753" spans="2:9" x14ac:dyDescent="0.25">
      <c r="B753" s="8">
        <f>1000000+INDEX(编号表!$B:$B,MATCH(C753,编号表!$A:$A,0))*1000+INDEX(编号表!$D:$D,MATCH(D753,编号表!$C:$C,0))*100+E753</f>
        <v>1023302</v>
      </c>
      <c r="C753" s="2" t="s">
        <v>241</v>
      </c>
      <c r="D753" s="8" t="s">
        <v>63</v>
      </c>
      <c r="E753" s="8">
        <f t="shared" si="21"/>
        <v>2</v>
      </c>
      <c r="F753" s="2" t="s">
        <v>220</v>
      </c>
      <c r="G753" s="12" t="s">
        <v>62</v>
      </c>
      <c r="H753" s="2">
        <v>60221001</v>
      </c>
      <c r="I753" s="8">
        <v>2</v>
      </c>
    </row>
    <row r="754" spans="2:9" x14ac:dyDescent="0.25">
      <c r="B754" s="8">
        <f>1000000+INDEX(编号表!$B:$B,MATCH(C754,编号表!$A:$A,0))*1000+INDEX(编号表!$D:$D,MATCH(D754,编号表!$C:$C,0))*100+E754</f>
        <v>1023402</v>
      </c>
      <c r="C754" s="2" t="s">
        <v>241</v>
      </c>
      <c r="D754" s="8" t="s">
        <v>65</v>
      </c>
      <c r="E754" s="8">
        <f t="shared" si="21"/>
        <v>2</v>
      </c>
      <c r="F754" s="2" t="s">
        <v>237</v>
      </c>
      <c r="G754" s="12" t="s">
        <v>62</v>
      </c>
      <c r="H754" s="2">
        <v>60221002</v>
      </c>
      <c r="I754" s="8">
        <v>2</v>
      </c>
    </row>
    <row r="755" spans="2:9" x14ac:dyDescent="0.25">
      <c r="B755" s="8">
        <f>1000000+INDEX(编号表!$B:$B,MATCH(C755,编号表!$A:$A,0))*1000+INDEX(编号表!$D:$D,MATCH(D755,编号表!$C:$C,0))*100+E755</f>
        <v>1023502</v>
      </c>
      <c r="C755" s="2" t="s">
        <v>241</v>
      </c>
      <c r="D755" s="8" t="s">
        <v>67</v>
      </c>
      <c r="E755" s="8">
        <f t="shared" si="21"/>
        <v>2</v>
      </c>
      <c r="F755" s="2" t="s">
        <v>238</v>
      </c>
      <c r="G755" s="12" t="s">
        <v>62</v>
      </c>
      <c r="H755" s="2">
        <v>60221003</v>
      </c>
      <c r="I755" s="8">
        <v>2</v>
      </c>
    </row>
    <row r="756" spans="2:9" x14ac:dyDescent="0.25">
      <c r="B756" s="8">
        <f>1000000+INDEX(编号表!$B:$B,MATCH(C756,编号表!$A:$A,0))*1000+INDEX(编号表!$D:$D,MATCH(D756,编号表!$C:$C,0))*100+E756</f>
        <v>1023602</v>
      </c>
      <c r="C756" s="2" t="s">
        <v>241</v>
      </c>
      <c r="D756" s="8" t="s">
        <v>69</v>
      </c>
      <c r="E756" s="8">
        <f t="shared" si="21"/>
        <v>2</v>
      </c>
      <c r="F756" s="2" t="s">
        <v>240</v>
      </c>
      <c r="G756" s="12" t="s">
        <v>62</v>
      </c>
      <c r="H756" s="2">
        <v>60221004</v>
      </c>
      <c r="I756" s="8">
        <v>2</v>
      </c>
    </row>
    <row r="757" spans="2:9" x14ac:dyDescent="0.25">
      <c r="B757" s="8">
        <f>1000000+INDEX(编号表!$B:$B,MATCH(C757,编号表!$A:$A,0))*1000+INDEX(编号表!$D:$D,MATCH(D757,编号表!$C:$C,0))*100+E757</f>
        <v>1023203</v>
      </c>
      <c r="C757" s="2" t="s">
        <v>241</v>
      </c>
      <c r="D757" s="8" t="s">
        <v>60</v>
      </c>
      <c r="E757" s="8">
        <f t="shared" si="21"/>
        <v>3</v>
      </c>
      <c r="F757" s="2" t="s">
        <v>236</v>
      </c>
      <c r="G757" s="12" t="s">
        <v>62</v>
      </c>
      <c r="H757" s="2">
        <v>60221000</v>
      </c>
      <c r="I757" s="8">
        <v>3</v>
      </c>
    </row>
    <row r="758" spans="2:9" x14ac:dyDescent="0.25">
      <c r="B758" s="8">
        <f>1000000+INDEX(编号表!$B:$B,MATCH(C758,编号表!$A:$A,0))*1000+INDEX(编号表!$D:$D,MATCH(D758,编号表!$C:$C,0))*100+E758</f>
        <v>1023303</v>
      </c>
      <c r="C758" s="2" t="s">
        <v>241</v>
      </c>
      <c r="D758" s="8" t="s">
        <v>63</v>
      </c>
      <c r="E758" s="8">
        <f t="shared" si="21"/>
        <v>3</v>
      </c>
      <c r="F758" s="2" t="s">
        <v>220</v>
      </c>
      <c r="G758" s="12" t="s">
        <v>62</v>
      </c>
      <c r="H758" s="2">
        <v>60221001</v>
      </c>
      <c r="I758" s="8">
        <v>3</v>
      </c>
    </row>
    <row r="759" spans="2:9" x14ac:dyDescent="0.25">
      <c r="B759" s="8">
        <f>1000000+INDEX(编号表!$B:$B,MATCH(C759,编号表!$A:$A,0))*1000+INDEX(编号表!$D:$D,MATCH(D759,编号表!$C:$C,0))*100+E759</f>
        <v>1023403</v>
      </c>
      <c r="C759" s="2" t="s">
        <v>241</v>
      </c>
      <c r="D759" s="8" t="s">
        <v>65</v>
      </c>
      <c r="E759" s="8">
        <f t="shared" si="21"/>
        <v>3</v>
      </c>
      <c r="F759" s="2" t="s">
        <v>237</v>
      </c>
      <c r="G759" s="12" t="s">
        <v>62</v>
      </c>
      <c r="H759" s="2">
        <v>60221002</v>
      </c>
      <c r="I759" s="8">
        <v>3</v>
      </c>
    </row>
    <row r="760" spans="2:9" x14ac:dyDescent="0.25">
      <c r="B760" s="8">
        <f>1000000+INDEX(编号表!$B:$B,MATCH(C760,编号表!$A:$A,0))*1000+INDEX(编号表!$D:$D,MATCH(D760,编号表!$C:$C,0))*100+E760</f>
        <v>1023503</v>
      </c>
      <c r="C760" s="2" t="s">
        <v>241</v>
      </c>
      <c r="D760" s="8" t="s">
        <v>67</v>
      </c>
      <c r="E760" s="8">
        <f t="shared" si="21"/>
        <v>3</v>
      </c>
      <c r="F760" s="2" t="s">
        <v>238</v>
      </c>
      <c r="G760" s="12" t="s">
        <v>62</v>
      </c>
      <c r="H760" s="2">
        <v>60221003</v>
      </c>
      <c r="I760" s="8">
        <v>3</v>
      </c>
    </row>
    <row r="761" spans="2:9" x14ac:dyDescent="0.25">
      <c r="B761" s="8">
        <f>1000000+INDEX(编号表!$B:$B,MATCH(C761,编号表!$A:$A,0))*1000+INDEX(编号表!$D:$D,MATCH(D761,编号表!$C:$C,0))*100+E761</f>
        <v>1023603</v>
      </c>
      <c r="C761" s="2" t="s">
        <v>241</v>
      </c>
      <c r="D761" s="8" t="s">
        <v>69</v>
      </c>
      <c r="E761" s="8">
        <f t="shared" si="21"/>
        <v>3</v>
      </c>
      <c r="F761" s="2" t="s">
        <v>240</v>
      </c>
      <c r="G761" s="12" t="s">
        <v>62</v>
      </c>
      <c r="H761" s="2">
        <v>60221004</v>
      </c>
      <c r="I761" s="8">
        <v>3</v>
      </c>
    </row>
    <row r="762" spans="2:9" x14ac:dyDescent="0.25">
      <c r="B762" s="8">
        <f>1000000+INDEX(编号表!$B:$B,MATCH(C762,编号表!$A:$A,0))*1000+INDEX(编号表!$D:$D,MATCH(D762,编号表!$C:$C,0))*100+E762</f>
        <v>1023205</v>
      </c>
      <c r="C762" s="2" t="s">
        <v>241</v>
      </c>
      <c r="D762" s="8" t="s">
        <v>60</v>
      </c>
      <c r="E762" s="8">
        <f t="shared" si="21"/>
        <v>5</v>
      </c>
      <c r="F762" s="2" t="s">
        <v>236</v>
      </c>
      <c r="G762" s="12" t="s">
        <v>62</v>
      </c>
      <c r="H762" s="2">
        <v>60221000</v>
      </c>
      <c r="I762" s="8">
        <v>5</v>
      </c>
    </row>
    <row r="763" spans="2:9" x14ac:dyDescent="0.25">
      <c r="B763" s="8">
        <f>1000000+INDEX(编号表!$B:$B,MATCH(C763,编号表!$A:$A,0))*1000+INDEX(编号表!$D:$D,MATCH(D763,编号表!$C:$C,0))*100+E763</f>
        <v>1023305</v>
      </c>
      <c r="C763" s="2" t="s">
        <v>241</v>
      </c>
      <c r="D763" s="8" t="s">
        <v>63</v>
      </c>
      <c r="E763" s="8">
        <f t="shared" si="21"/>
        <v>5</v>
      </c>
      <c r="F763" s="2" t="s">
        <v>220</v>
      </c>
      <c r="G763" s="12" t="s">
        <v>62</v>
      </c>
      <c r="H763" s="2">
        <v>60221001</v>
      </c>
      <c r="I763" s="8">
        <v>5</v>
      </c>
    </row>
    <row r="764" spans="2:9" x14ac:dyDescent="0.25">
      <c r="B764" s="8">
        <f>1000000+INDEX(编号表!$B:$B,MATCH(C764,编号表!$A:$A,0))*1000+INDEX(编号表!$D:$D,MATCH(D764,编号表!$C:$C,0))*100+E764</f>
        <v>1023405</v>
      </c>
      <c r="C764" s="2" t="s">
        <v>241</v>
      </c>
      <c r="D764" s="8" t="s">
        <v>65</v>
      </c>
      <c r="E764" s="8">
        <f t="shared" si="21"/>
        <v>5</v>
      </c>
      <c r="F764" s="2" t="s">
        <v>237</v>
      </c>
      <c r="G764" s="12" t="s">
        <v>62</v>
      </c>
      <c r="H764" s="2">
        <v>60221002</v>
      </c>
      <c r="I764" s="8">
        <v>5</v>
      </c>
    </row>
    <row r="765" spans="2:9" x14ac:dyDescent="0.25">
      <c r="B765" s="8">
        <f>1000000+INDEX(编号表!$B:$B,MATCH(C765,编号表!$A:$A,0))*1000+INDEX(编号表!$D:$D,MATCH(D765,编号表!$C:$C,0))*100+E765</f>
        <v>1023505</v>
      </c>
      <c r="C765" s="2" t="s">
        <v>241</v>
      </c>
      <c r="D765" s="8" t="s">
        <v>67</v>
      </c>
      <c r="E765" s="8">
        <f t="shared" si="21"/>
        <v>5</v>
      </c>
      <c r="F765" s="2" t="s">
        <v>238</v>
      </c>
      <c r="G765" s="12" t="s">
        <v>62</v>
      </c>
      <c r="H765" s="2">
        <v>60221003</v>
      </c>
      <c r="I765" s="8">
        <v>5</v>
      </c>
    </row>
    <row r="766" spans="2:9" x14ac:dyDescent="0.25">
      <c r="B766" s="8">
        <f>1000000+INDEX(编号表!$B:$B,MATCH(C766,编号表!$A:$A,0))*1000+INDEX(编号表!$D:$D,MATCH(D766,编号表!$C:$C,0))*100+E766</f>
        <v>1023605</v>
      </c>
      <c r="C766" s="2" t="s">
        <v>241</v>
      </c>
      <c r="D766" s="8" t="s">
        <v>69</v>
      </c>
      <c r="E766" s="8">
        <f t="shared" si="21"/>
        <v>5</v>
      </c>
      <c r="F766" s="2" t="s">
        <v>240</v>
      </c>
      <c r="G766" s="12" t="s">
        <v>62</v>
      </c>
      <c r="H766" s="2">
        <v>60221004</v>
      </c>
      <c r="I766" s="8">
        <v>5</v>
      </c>
    </row>
    <row r="767" spans="2:9" x14ac:dyDescent="0.25">
      <c r="B767" s="8">
        <f>1000000+INDEX(编号表!$B:$B,MATCH(C767,编号表!$A:$A,0))*1000+INDEX(编号表!$D:$D,MATCH(D767,编号表!$C:$C,0))*100+E767</f>
        <v>1023210</v>
      </c>
      <c r="C767" s="2" t="s">
        <v>241</v>
      </c>
      <c r="D767" s="8" t="s">
        <v>60</v>
      </c>
      <c r="E767" s="8">
        <f t="shared" si="21"/>
        <v>10</v>
      </c>
      <c r="F767" s="2" t="s">
        <v>236</v>
      </c>
      <c r="G767" s="12" t="s">
        <v>62</v>
      </c>
      <c r="H767" s="2">
        <v>60221000</v>
      </c>
      <c r="I767" s="8">
        <v>10</v>
      </c>
    </row>
    <row r="768" spans="2:9" x14ac:dyDescent="0.25">
      <c r="B768" s="8">
        <f>1000000+INDEX(编号表!$B:$B,MATCH(C768,编号表!$A:$A,0))*1000+INDEX(编号表!$D:$D,MATCH(D768,编号表!$C:$C,0))*100+E768</f>
        <v>1023310</v>
      </c>
      <c r="C768" s="2" t="s">
        <v>241</v>
      </c>
      <c r="D768" s="8" t="s">
        <v>63</v>
      </c>
      <c r="E768" s="8">
        <f t="shared" si="21"/>
        <v>10</v>
      </c>
      <c r="F768" s="2" t="s">
        <v>220</v>
      </c>
      <c r="G768" s="12" t="s">
        <v>62</v>
      </c>
      <c r="H768" s="2">
        <v>60221001</v>
      </c>
      <c r="I768" s="8">
        <v>10</v>
      </c>
    </row>
    <row r="769" spans="2:9" x14ac:dyDescent="0.25">
      <c r="B769" s="8">
        <f>1000000+INDEX(编号表!$B:$B,MATCH(C769,编号表!$A:$A,0))*1000+INDEX(编号表!$D:$D,MATCH(D769,编号表!$C:$C,0))*100+E769</f>
        <v>1023410</v>
      </c>
      <c r="C769" s="2" t="s">
        <v>241</v>
      </c>
      <c r="D769" s="8" t="s">
        <v>65</v>
      </c>
      <c r="E769" s="8">
        <f t="shared" si="21"/>
        <v>10</v>
      </c>
      <c r="F769" s="2" t="s">
        <v>237</v>
      </c>
      <c r="G769" s="12" t="s">
        <v>62</v>
      </c>
      <c r="H769" s="2">
        <v>60221002</v>
      </c>
      <c r="I769" s="8">
        <v>10</v>
      </c>
    </row>
    <row r="770" spans="2:9" x14ac:dyDescent="0.25">
      <c r="B770" s="8">
        <f>1000000+INDEX(编号表!$B:$B,MATCH(C770,编号表!$A:$A,0))*1000+INDEX(编号表!$D:$D,MATCH(D770,编号表!$C:$C,0))*100+E770</f>
        <v>1023510</v>
      </c>
      <c r="C770" s="2" t="s">
        <v>241</v>
      </c>
      <c r="D770" s="8" t="s">
        <v>67</v>
      </c>
      <c r="E770" s="8">
        <f t="shared" si="21"/>
        <v>10</v>
      </c>
      <c r="F770" s="2" t="s">
        <v>238</v>
      </c>
      <c r="G770" s="12" t="s">
        <v>62</v>
      </c>
      <c r="H770" s="2">
        <v>60221003</v>
      </c>
      <c r="I770" s="8">
        <v>10</v>
      </c>
    </row>
    <row r="771" spans="2:9" x14ac:dyDescent="0.25">
      <c r="B771" s="8">
        <f>1000000+INDEX(编号表!$B:$B,MATCH(C771,编号表!$A:$A,0))*1000+INDEX(编号表!$D:$D,MATCH(D771,编号表!$C:$C,0))*100+E771</f>
        <v>1023610</v>
      </c>
      <c r="C771" s="2" t="s">
        <v>241</v>
      </c>
      <c r="D771" s="8" t="s">
        <v>69</v>
      </c>
      <c r="E771" s="8">
        <f t="shared" ref="E771:E776" si="22">I771+K884+M884+O884+Q884+S884+U884+W884+Y884+AA884</f>
        <v>10</v>
      </c>
      <c r="F771" s="2" t="s">
        <v>240</v>
      </c>
      <c r="G771" s="12" t="s">
        <v>62</v>
      </c>
      <c r="H771" s="2">
        <v>60221004</v>
      </c>
      <c r="I771" s="8">
        <v>10</v>
      </c>
    </row>
    <row r="772" spans="2:9" x14ac:dyDescent="0.25">
      <c r="B772" s="8">
        <f>1000000+INDEX(编号表!$B:$B,MATCH(C772,编号表!$A:$A,0))*1000+INDEX(编号表!$D:$D,MATCH(D772,编号表!$C:$C,0))*100+E772</f>
        <v>1023215</v>
      </c>
      <c r="C772" s="2" t="s">
        <v>241</v>
      </c>
      <c r="D772" s="8" t="s">
        <v>60</v>
      </c>
      <c r="E772" s="8">
        <f t="shared" si="22"/>
        <v>15</v>
      </c>
      <c r="F772" s="2" t="s">
        <v>236</v>
      </c>
      <c r="G772" s="12" t="s">
        <v>62</v>
      </c>
      <c r="H772" s="2">
        <v>60221000</v>
      </c>
      <c r="I772" s="8">
        <v>15</v>
      </c>
    </row>
    <row r="773" spans="2:9" x14ac:dyDescent="0.25">
      <c r="B773" s="8">
        <f>1000000+INDEX(编号表!$B:$B,MATCH(C773,编号表!$A:$A,0))*1000+INDEX(编号表!$D:$D,MATCH(D773,编号表!$C:$C,0))*100+E773</f>
        <v>1023315</v>
      </c>
      <c r="C773" s="2" t="s">
        <v>241</v>
      </c>
      <c r="D773" s="8" t="s">
        <v>63</v>
      </c>
      <c r="E773" s="8">
        <f t="shared" si="22"/>
        <v>15</v>
      </c>
      <c r="F773" s="2" t="s">
        <v>220</v>
      </c>
      <c r="G773" s="12" t="s">
        <v>62</v>
      </c>
      <c r="H773" s="2">
        <v>60221001</v>
      </c>
      <c r="I773" s="8">
        <v>15</v>
      </c>
    </row>
    <row r="774" spans="2:9" x14ac:dyDescent="0.25">
      <c r="B774" s="8">
        <f>1000000+INDEX(编号表!$B:$B,MATCH(C774,编号表!$A:$A,0))*1000+INDEX(编号表!$D:$D,MATCH(D774,编号表!$C:$C,0))*100+E774</f>
        <v>1023415</v>
      </c>
      <c r="C774" s="2" t="s">
        <v>241</v>
      </c>
      <c r="D774" s="8" t="s">
        <v>65</v>
      </c>
      <c r="E774" s="8">
        <f t="shared" si="22"/>
        <v>15</v>
      </c>
      <c r="F774" s="2" t="s">
        <v>237</v>
      </c>
      <c r="G774" s="12" t="s">
        <v>62</v>
      </c>
      <c r="H774" s="2">
        <v>60221002</v>
      </c>
      <c r="I774" s="8">
        <v>15</v>
      </c>
    </row>
    <row r="775" spans="2:9" x14ac:dyDescent="0.25">
      <c r="B775" s="8">
        <f>1000000+INDEX(编号表!$B:$B,MATCH(C775,编号表!$A:$A,0))*1000+INDEX(编号表!$D:$D,MATCH(D775,编号表!$C:$C,0))*100+E775</f>
        <v>1023515</v>
      </c>
      <c r="C775" s="2" t="s">
        <v>241</v>
      </c>
      <c r="D775" s="8" t="s">
        <v>67</v>
      </c>
      <c r="E775" s="8">
        <f t="shared" si="22"/>
        <v>15</v>
      </c>
      <c r="F775" s="2" t="s">
        <v>238</v>
      </c>
      <c r="G775" s="12" t="s">
        <v>62</v>
      </c>
      <c r="H775" s="2">
        <v>60221003</v>
      </c>
      <c r="I775" s="8">
        <v>15</v>
      </c>
    </row>
    <row r="776" spans="2:9" x14ac:dyDescent="0.25">
      <c r="B776" s="8">
        <f>1000000+INDEX(编号表!$B:$B,MATCH(C776,编号表!$A:$A,0))*1000+INDEX(编号表!$D:$D,MATCH(D776,编号表!$C:$C,0))*100+E776</f>
        <v>1023615</v>
      </c>
      <c r="C776" s="2" t="s">
        <v>241</v>
      </c>
      <c r="D776" s="8" t="s">
        <v>69</v>
      </c>
      <c r="E776" s="8">
        <f t="shared" si="22"/>
        <v>15</v>
      </c>
      <c r="F776" s="2" t="s">
        <v>240</v>
      </c>
      <c r="G776" s="12" t="s">
        <v>62</v>
      </c>
      <c r="H776" s="2">
        <v>60221004</v>
      </c>
      <c r="I776" s="8">
        <v>15</v>
      </c>
    </row>
    <row r="777" spans="2:9" x14ac:dyDescent="0.25">
      <c r="B777" s="8">
        <f>1000000+INDEX(编号表!$B:$B,MATCH(C777,编号表!$A:$A,0))*1000+INDEX(编号表!$D:$D,MATCH(D777,编号表!$C:$C,0))*100+E777</f>
        <v>1024001</v>
      </c>
      <c r="C777" s="2" t="s">
        <v>242</v>
      </c>
      <c r="D777" s="8" t="s">
        <v>55</v>
      </c>
      <c r="E777" s="8">
        <v>1</v>
      </c>
      <c r="F777" s="11" t="s">
        <v>56</v>
      </c>
      <c r="G777" s="12" t="s">
        <v>57</v>
      </c>
      <c r="H777" s="8">
        <v>60234000</v>
      </c>
      <c r="I777" s="8">
        <v>1</v>
      </c>
    </row>
    <row r="778" spans="2:9" x14ac:dyDescent="0.25">
      <c r="B778" s="8">
        <f>1000000+INDEX(编号表!$B:$B,MATCH(C778,编号表!$A:$A,0))*1000+INDEX(编号表!$D:$D,MATCH(D778,编号表!$C:$C,0))*100+E778</f>
        <v>1024101</v>
      </c>
      <c r="C778" s="2" t="s">
        <v>242</v>
      </c>
      <c r="D778" s="8" t="s">
        <v>58</v>
      </c>
      <c r="E778" s="8">
        <v>1</v>
      </c>
      <c r="F778" s="11" t="s">
        <v>59</v>
      </c>
      <c r="G778" s="12" t="s">
        <v>57</v>
      </c>
      <c r="H778" s="2">
        <v>60232000</v>
      </c>
      <c r="I778" s="8">
        <v>1</v>
      </c>
    </row>
    <row r="779" spans="2:9" x14ac:dyDescent="0.25">
      <c r="B779" s="8">
        <f>1000000+INDEX(编号表!$B:$B,MATCH(C779,编号表!$A:$A,0))*1000+INDEX(编号表!$D:$D,MATCH(D779,编号表!$C:$C,0))*100+E779</f>
        <v>1024201</v>
      </c>
      <c r="C779" s="2" t="s">
        <v>242</v>
      </c>
      <c r="D779" s="8" t="s">
        <v>60</v>
      </c>
      <c r="E779" s="8">
        <f t="shared" ref="E779:E802" si="23">I779+K779+M779+O779+Q779+S779+U779+W779+Y779+AA779</f>
        <v>1</v>
      </c>
      <c r="F779" s="2" t="s">
        <v>220</v>
      </c>
      <c r="G779" s="12" t="s">
        <v>62</v>
      </c>
      <c r="H779" s="2">
        <v>60231000</v>
      </c>
      <c r="I779" s="8">
        <v>1</v>
      </c>
    </row>
    <row r="780" spans="2:9" x14ac:dyDescent="0.25">
      <c r="B780" s="8">
        <f>1000000+INDEX(编号表!$B:$B,MATCH(C780,编号表!$A:$A,0))*1000+INDEX(编号表!$D:$D,MATCH(D780,编号表!$C:$C,0))*100+E780</f>
        <v>1024301</v>
      </c>
      <c r="C780" s="2" t="s">
        <v>242</v>
      </c>
      <c r="D780" s="8" t="s">
        <v>63</v>
      </c>
      <c r="E780" s="8">
        <f t="shared" si="23"/>
        <v>1</v>
      </c>
      <c r="F780" s="2" t="s">
        <v>225</v>
      </c>
      <c r="G780" s="12" t="s">
        <v>62</v>
      </c>
      <c r="H780" s="2">
        <v>60231001</v>
      </c>
      <c r="I780" s="8">
        <v>1</v>
      </c>
    </row>
    <row r="781" spans="2:9" x14ac:dyDescent="0.25">
      <c r="B781" s="8">
        <f>1000000+INDEX(编号表!$B:$B,MATCH(C781,编号表!$A:$A,0))*1000+INDEX(编号表!$D:$D,MATCH(D781,编号表!$C:$C,0))*100+E781</f>
        <v>1024401</v>
      </c>
      <c r="C781" s="2" t="s">
        <v>242</v>
      </c>
      <c r="D781" s="8" t="s">
        <v>65</v>
      </c>
      <c r="E781" s="8">
        <f t="shared" si="23"/>
        <v>1</v>
      </c>
      <c r="F781" s="2" t="s">
        <v>238</v>
      </c>
      <c r="G781" s="12" t="s">
        <v>62</v>
      </c>
      <c r="H781" s="2">
        <v>60231002</v>
      </c>
      <c r="I781" s="8">
        <v>1</v>
      </c>
    </row>
    <row r="782" spans="2:9" x14ac:dyDescent="0.25">
      <c r="B782" s="8">
        <f>1000000+INDEX(编号表!$B:$B,MATCH(C782,编号表!$A:$A,0))*1000+INDEX(编号表!$D:$D,MATCH(D782,编号表!$C:$C,0))*100+E782</f>
        <v>1024501</v>
      </c>
      <c r="C782" s="2" t="s">
        <v>242</v>
      </c>
      <c r="D782" s="8" t="s">
        <v>67</v>
      </c>
      <c r="E782" s="8">
        <f t="shared" si="23"/>
        <v>1</v>
      </c>
      <c r="F782" s="2" t="s">
        <v>227</v>
      </c>
      <c r="G782" s="12" t="s">
        <v>62</v>
      </c>
      <c r="H782" s="2">
        <v>60231003</v>
      </c>
      <c r="I782" s="8">
        <v>1</v>
      </c>
    </row>
    <row r="783" spans="2:9" x14ac:dyDescent="0.25">
      <c r="B783" s="8">
        <f>1000000+INDEX(编号表!$B:$B,MATCH(C783,编号表!$A:$A,0))*1000+INDEX(编号表!$D:$D,MATCH(D783,编号表!$C:$C,0))*100+E783</f>
        <v>1024202</v>
      </c>
      <c r="C783" s="2" t="s">
        <v>242</v>
      </c>
      <c r="D783" s="8" t="s">
        <v>60</v>
      </c>
      <c r="E783" s="8">
        <f t="shared" si="23"/>
        <v>2</v>
      </c>
      <c r="F783" s="2" t="s">
        <v>220</v>
      </c>
      <c r="G783" s="12" t="s">
        <v>62</v>
      </c>
      <c r="H783" s="2">
        <v>60231000</v>
      </c>
      <c r="I783" s="8">
        <v>2</v>
      </c>
    </row>
    <row r="784" spans="2:9" x14ac:dyDescent="0.25">
      <c r="B784" s="8">
        <f>1000000+INDEX(编号表!$B:$B,MATCH(C784,编号表!$A:$A,0))*1000+INDEX(编号表!$D:$D,MATCH(D784,编号表!$C:$C,0))*100+E784</f>
        <v>1024302</v>
      </c>
      <c r="C784" s="2" t="s">
        <v>242</v>
      </c>
      <c r="D784" s="8" t="s">
        <v>63</v>
      </c>
      <c r="E784" s="8">
        <f t="shared" si="23"/>
        <v>2</v>
      </c>
      <c r="F784" s="2" t="s">
        <v>225</v>
      </c>
      <c r="G784" s="12" t="s">
        <v>62</v>
      </c>
      <c r="H784" s="2">
        <v>60231001</v>
      </c>
      <c r="I784" s="8">
        <v>2</v>
      </c>
    </row>
    <row r="785" spans="2:9" x14ac:dyDescent="0.25">
      <c r="B785" s="8">
        <f>1000000+INDEX(编号表!$B:$B,MATCH(C785,编号表!$A:$A,0))*1000+INDEX(编号表!$D:$D,MATCH(D785,编号表!$C:$C,0))*100+E785</f>
        <v>1024402</v>
      </c>
      <c r="C785" s="2" t="s">
        <v>242</v>
      </c>
      <c r="D785" s="8" t="s">
        <v>65</v>
      </c>
      <c r="E785" s="8">
        <f t="shared" si="23"/>
        <v>2</v>
      </c>
      <c r="F785" s="2" t="s">
        <v>238</v>
      </c>
      <c r="G785" s="12" t="s">
        <v>62</v>
      </c>
      <c r="H785" s="2">
        <v>60231002</v>
      </c>
      <c r="I785" s="8">
        <v>2</v>
      </c>
    </row>
    <row r="786" spans="2:9" x14ac:dyDescent="0.25">
      <c r="B786" s="8">
        <f>1000000+INDEX(编号表!$B:$B,MATCH(C786,编号表!$A:$A,0))*1000+INDEX(编号表!$D:$D,MATCH(D786,编号表!$C:$C,0))*100+E786</f>
        <v>1024502</v>
      </c>
      <c r="C786" s="2" t="s">
        <v>242</v>
      </c>
      <c r="D786" s="8" t="s">
        <v>67</v>
      </c>
      <c r="E786" s="8">
        <f t="shared" si="23"/>
        <v>2</v>
      </c>
      <c r="F786" s="2" t="s">
        <v>227</v>
      </c>
      <c r="G786" s="12" t="s">
        <v>62</v>
      </c>
      <c r="H786" s="2">
        <v>60231003</v>
      </c>
      <c r="I786" s="8">
        <v>2</v>
      </c>
    </row>
    <row r="787" spans="2:9" x14ac:dyDescent="0.25">
      <c r="B787" s="8">
        <f>1000000+INDEX(编号表!$B:$B,MATCH(C787,编号表!$A:$A,0))*1000+INDEX(编号表!$D:$D,MATCH(D787,编号表!$C:$C,0))*100+E787</f>
        <v>1024203</v>
      </c>
      <c r="C787" s="2" t="s">
        <v>242</v>
      </c>
      <c r="D787" s="8" t="s">
        <v>60</v>
      </c>
      <c r="E787" s="8">
        <f t="shared" si="23"/>
        <v>3</v>
      </c>
      <c r="F787" s="2" t="s">
        <v>220</v>
      </c>
      <c r="G787" s="12" t="s">
        <v>62</v>
      </c>
      <c r="H787" s="2">
        <v>60231000</v>
      </c>
      <c r="I787" s="8">
        <v>3</v>
      </c>
    </row>
    <row r="788" spans="2:9" x14ac:dyDescent="0.25">
      <c r="B788" s="8">
        <f>1000000+INDEX(编号表!$B:$B,MATCH(C788,编号表!$A:$A,0))*1000+INDEX(编号表!$D:$D,MATCH(D788,编号表!$C:$C,0))*100+E788</f>
        <v>1024303</v>
      </c>
      <c r="C788" s="2" t="s">
        <v>242</v>
      </c>
      <c r="D788" s="8" t="s">
        <v>63</v>
      </c>
      <c r="E788" s="8">
        <f t="shared" si="23"/>
        <v>3</v>
      </c>
      <c r="F788" s="2" t="s">
        <v>225</v>
      </c>
      <c r="G788" s="12" t="s">
        <v>62</v>
      </c>
      <c r="H788" s="2">
        <v>60231001</v>
      </c>
      <c r="I788" s="8">
        <v>3</v>
      </c>
    </row>
    <row r="789" spans="2:9" x14ac:dyDescent="0.25">
      <c r="B789" s="8">
        <f>1000000+INDEX(编号表!$B:$B,MATCH(C789,编号表!$A:$A,0))*1000+INDEX(编号表!$D:$D,MATCH(D789,编号表!$C:$C,0))*100+E789</f>
        <v>1024403</v>
      </c>
      <c r="C789" s="2" t="s">
        <v>242</v>
      </c>
      <c r="D789" s="8" t="s">
        <v>65</v>
      </c>
      <c r="E789" s="8">
        <f t="shared" si="23"/>
        <v>3</v>
      </c>
      <c r="F789" s="2" t="s">
        <v>238</v>
      </c>
      <c r="G789" s="12" t="s">
        <v>62</v>
      </c>
      <c r="H789" s="2">
        <v>60231002</v>
      </c>
      <c r="I789" s="8">
        <v>3</v>
      </c>
    </row>
    <row r="790" spans="2:9" x14ac:dyDescent="0.25">
      <c r="B790" s="8">
        <f>1000000+INDEX(编号表!$B:$B,MATCH(C790,编号表!$A:$A,0))*1000+INDEX(编号表!$D:$D,MATCH(D790,编号表!$C:$C,0))*100+E790</f>
        <v>1024503</v>
      </c>
      <c r="C790" s="2" t="s">
        <v>242</v>
      </c>
      <c r="D790" s="8" t="s">
        <v>67</v>
      </c>
      <c r="E790" s="8">
        <f t="shared" si="23"/>
        <v>3</v>
      </c>
      <c r="F790" s="2" t="s">
        <v>227</v>
      </c>
      <c r="G790" s="12" t="s">
        <v>62</v>
      </c>
      <c r="H790" s="2">
        <v>60231003</v>
      </c>
      <c r="I790" s="8">
        <v>3</v>
      </c>
    </row>
    <row r="791" spans="2:9" x14ac:dyDescent="0.25">
      <c r="B791" s="8">
        <f>1000000+INDEX(编号表!$B:$B,MATCH(C791,编号表!$A:$A,0))*1000+INDEX(编号表!$D:$D,MATCH(D791,编号表!$C:$C,0))*100+E791</f>
        <v>1024205</v>
      </c>
      <c r="C791" s="2" t="s">
        <v>242</v>
      </c>
      <c r="D791" s="8" t="s">
        <v>60</v>
      </c>
      <c r="E791" s="8">
        <f t="shared" si="23"/>
        <v>5</v>
      </c>
      <c r="F791" s="2" t="s">
        <v>220</v>
      </c>
      <c r="G791" s="12" t="s">
        <v>62</v>
      </c>
      <c r="H791" s="2">
        <v>60231000</v>
      </c>
      <c r="I791" s="8">
        <v>5</v>
      </c>
    </row>
    <row r="792" spans="2:9" x14ac:dyDescent="0.25">
      <c r="B792" s="8">
        <f>1000000+INDEX(编号表!$B:$B,MATCH(C792,编号表!$A:$A,0))*1000+INDEX(编号表!$D:$D,MATCH(D792,编号表!$C:$C,0))*100+E792</f>
        <v>1024305</v>
      </c>
      <c r="C792" s="2" t="s">
        <v>242</v>
      </c>
      <c r="D792" s="8" t="s">
        <v>63</v>
      </c>
      <c r="E792" s="8">
        <f t="shared" si="23"/>
        <v>5</v>
      </c>
      <c r="F792" s="2" t="s">
        <v>225</v>
      </c>
      <c r="G792" s="12" t="s">
        <v>62</v>
      </c>
      <c r="H792" s="2">
        <v>60231001</v>
      </c>
      <c r="I792" s="8">
        <v>5</v>
      </c>
    </row>
    <row r="793" spans="2:9" x14ac:dyDescent="0.25">
      <c r="B793" s="8">
        <f>1000000+INDEX(编号表!$B:$B,MATCH(C793,编号表!$A:$A,0))*1000+INDEX(编号表!$D:$D,MATCH(D793,编号表!$C:$C,0))*100+E793</f>
        <v>1024405</v>
      </c>
      <c r="C793" s="2" t="s">
        <v>242</v>
      </c>
      <c r="D793" s="8" t="s">
        <v>65</v>
      </c>
      <c r="E793" s="8">
        <f t="shared" si="23"/>
        <v>5</v>
      </c>
      <c r="F793" s="2" t="s">
        <v>238</v>
      </c>
      <c r="G793" s="12" t="s">
        <v>62</v>
      </c>
      <c r="H793" s="2">
        <v>60231002</v>
      </c>
      <c r="I793" s="8">
        <v>5</v>
      </c>
    </row>
    <row r="794" spans="2:9" x14ac:dyDescent="0.25">
      <c r="B794" s="8">
        <f>1000000+INDEX(编号表!$B:$B,MATCH(C794,编号表!$A:$A,0))*1000+INDEX(编号表!$D:$D,MATCH(D794,编号表!$C:$C,0))*100+E794</f>
        <v>1024505</v>
      </c>
      <c r="C794" s="2" t="s">
        <v>242</v>
      </c>
      <c r="D794" s="8" t="s">
        <v>67</v>
      </c>
      <c r="E794" s="8">
        <f t="shared" si="23"/>
        <v>5</v>
      </c>
      <c r="F794" s="2" t="s">
        <v>227</v>
      </c>
      <c r="G794" s="12" t="s">
        <v>62</v>
      </c>
      <c r="H794" s="2">
        <v>60231003</v>
      </c>
      <c r="I794" s="8">
        <v>5</v>
      </c>
    </row>
    <row r="795" spans="2:9" x14ac:dyDescent="0.25">
      <c r="B795" s="8">
        <f>1000000+INDEX(编号表!$B:$B,MATCH(C795,编号表!$A:$A,0))*1000+INDEX(编号表!$D:$D,MATCH(D795,编号表!$C:$C,0))*100+E795</f>
        <v>1024210</v>
      </c>
      <c r="C795" s="2" t="s">
        <v>242</v>
      </c>
      <c r="D795" s="8" t="s">
        <v>60</v>
      </c>
      <c r="E795" s="8">
        <f t="shared" si="23"/>
        <v>10</v>
      </c>
      <c r="F795" s="2" t="s">
        <v>220</v>
      </c>
      <c r="G795" s="12" t="s">
        <v>62</v>
      </c>
      <c r="H795" s="2">
        <v>60231000</v>
      </c>
      <c r="I795" s="8">
        <v>10</v>
      </c>
    </row>
    <row r="796" spans="2:9" x14ac:dyDescent="0.25">
      <c r="B796" s="8">
        <f>1000000+INDEX(编号表!$B:$B,MATCH(C796,编号表!$A:$A,0))*1000+INDEX(编号表!$D:$D,MATCH(D796,编号表!$C:$C,0))*100+E796</f>
        <v>1024310</v>
      </c>
      <c r="C796" s="2" t="s">
        <v>242</v>
      </c>
      <c r="D796" s="8" t="s">
        <v>63</v>
      </c>
      <c r="E796" s="8">
        <f t="shared" si="23"/>
        <v>10</v>
      </c>
      <c r="F796" s="2" t="s">
        <v>225</v>
      </c>
      <c r="G796" s="12" t="s">
        <v>62</v>
      </c>
      <c r="H796" s="2">
        <v>60231001</v>
      </c>
      <c r="I796" s="8">
        <v>10</v>
      </c>
    </row>
    <row r="797" spans="2:9" x14ac:dyDescent="0.25">
      <c r="B797" s="8">
        <f>1000000+INDEX(编号表!$B:$B,MATCH(C797,编号表!$A:$A,0))*1000+INDEX(编号表!$D:$D,MATCH(D797,编号表!$C:$C,0))*100+E797</f>
        <v>1024410</v>
      </c>
      <c r="C797" s="2" t="s">
        <v>242</v>
      </c>
      <c r="D797" s="8" t="s">
        <v>65</v>
      </c>
      <c r="E797" s="8">
        <f t="shared" si="23"/>
        <v>10</v>
      </c>
      <c r="F797" s="2" t="s">
        <v>238</v>
      </c>
      <c r="G797" s="12" t="s">
        <v>62</v>
      </c>
      <c r="H797" s="2">
        <v>60231002</v>
      </c>
      <c r="I797" s="8">
        <v>10</v>
      </c>
    </row>
    <row r="798" spans="2:9" x14ac:dyDescent="0.25">
      <c r="B798" s="8">
        <f>1000000+INDEX(编号表!$B:$B,MATCH(C798,编号表!$A:$A,0))*1000+INDEX(编号表!$D:$D,MATCH(D798,编号表!$C:$C,0))*100+E798</f>
        <v>1024510</v>
      </c>
      <c r="C798" s="2" t="s">
        <v>242</v>
      </c>
      <c r="D798" s="8" t="s">
        <v>67</v>
      </c>
      <c r="E798" s="8">
        <f t="shared" si="23"/>
        <v>10</v>
      </c>
      <c r="F798" s="2" t="s">
        <v>227</v>
      </c>
      <c r="G798" s="12" t="s">
        <v>62</v>
      </c>
      <c r="H798" s="2">
        <v>60231003</v>
      </c>
      <c r="I798" s="8">
        <v>10</v>
      </c>
    </row>
    <row r="799" spans="2:9" x14ac:dyDescent="0.25">
      <c r="B799" s="8">
        <f>1000000+INDEX(编号表!$B:$B,MATCH(C799,编号表!$A:$A,0))*1000+INDEX(编号表!$D:$D,MATCH(D799,编号表!$C:$C,0))*100+E799</f>
        <v>1024215</v>
      </c>
      <c r="C799" s="2" t="s">
        <v>242</v>
      </c>
      <c r="D799" s="8" t="s">
        <v>60</v>
      </c>
      <c r="E799" s="8">
        <f t="shared" si="23"/>
        <v>15</v>
      </c>
      <c r="F799" s="2" t="s">
        <v>220</v>
      </c>
      <c r="G799" s="12" t="s">
        <v>62</v>
      </c>
      <c r="H799" s="2">
        <v>60231000</v>
      </c>
      <c r="I799" s="8">
        <v>15</v>
      </c>
    </row>
    <row r="800" spans="2:9" x14ac:dyDescent="0.25">
      <c r="B800" s="8">
        <f>1000000+INDEX(编号表!$B:$B,MATCH(C800,编号表!$A:$A,0))*1000+INDEX(编号表!$D:$D,MATCH(D800,编号表!$C:$C,0))*100+E800</f>
        <v>1024315</v>
      </c>
      <c r="C800" s="2" t="s">
        <v>242</v>
      </c>
      <c r="D800" s="8" t="s">
        <v>63</v>
      </c>
      <c r="E800" s="8">
        <f t="shared" si="23"/>
        <v>15</v>
      </c>
      <c r="F800" s="2" t="s">
        <v>225</v>
      </c>
      <c r="G800" s="12" t="s">
        <v>62</v>
      </c>
      <c r="H800" s="2">
        <v>60231001</v>
      </c>
      <c r="I800" s="8">
        <v>15</v>
      </c>
    </row>
    <row r="801" spans="2:9" x14ac:dyDescent="0.25">
      <c r="B801" s="8">
        <f>1000000+INDEX(编号表!$B:$B,MATCH(C801,编号表!$A:$A,0))*1000+INDEX(编号表!$D:$D,MATCH(D801,编号表!$C:$C,0))*100+E801</f>
        <v>1024415</v>
      </c>
      <c r="C801" s="2" t="s">
        <v>242</v>
      </c>
      <c r="D801" s="8" t="s">
        <v>65</v>
      </c>
      <c r="E801" s="8">
        <f t="shared" si="23"/>
        <v>15</v>
      </c>
      <c r="F801" s="2" t="s">
        <v>238</v>
      </c>
      <c r="G801" s="12" t="s">
        <v>62</v>
      </c>
      <c r="H801" s="2">
        <v>60231002</v>
      </c>
      <c r="I801" s="8">
        <v>15</v>
      </c>
    </row>
    <row r="802" spans="2:9" x14ac:dyDescent="0.25">
      <c r="B802" s="8">
        <f>1000000+INDEX(编号表!$B:$B,MATCH(C802,编号表!$A:$A,0))*1000+INDEX(编号表!$D:$D,MATCH(D802,编号表!$C:$C,0))*100+E802</f>
        <v>1024515</v>
      </c>
      <c r="C802" s="2" t="s">
        <v>242</v>
      </c>
      <c r="D802" s="8" t="s">
        <v>67</v>
      </c>
      <c r="E802" s="8">
        <f t="shared" si="23"/>
        <v>15</v>
      </c>
      <c r="F802" s="2" t="s">
        <v>227</v>
      </c>
      <c r="G802" s="12" t="s">
        <v>62</v>
      </c>
      <c r="H802" s="2">
        <v>60231003</v>
      </c>
      <c r="I802" s="8">
        <v>15</v>
      </c>
    </row>
    <row r="803" spans="2:9" x14ac:dyDescent="0.25">
      <c r="B803" s="8">
        <f>1000000+INDEX(编号表!$B:$B,MATCH(C803,编号表!$A:$A,0))*1000+INDEX(编号表!$D:$D,MATCH(D803,编号表!$C:$C,0))*100+E803</f>
        <v>1025001</v>
      </c>
      <c r="C803" s="2" t="s">
        <v>243</v>
      </c>
      <c r="D803" s="8" t="s">
        <v>55</v>
      </c>
      <c r="E803" s="8">
        <v>1</v>
      </c>
      <c r="F803" s="11" t="s">
        <v>56</v>
      </c>
      <c r="G803" s="12" t="s">
        <v>57</v>
      </c>
      <c r="H803" s="8">
        <v>60244000</v>
      </c>
      <c r="I803" s="8">
        <v>1</v>
      </c>
    </row>
    <row r="804" spans="2:9" x14ac:dyDescent="0.25">
      <c r="B804" s="8">
        <f>1000000+INDEX(编号表!$B:$B,MATCH(C804,编号表!$A:$A,0))*1000+INDEX(编号表!$D:$D,MATCH(D804,编号表!$C:$C,0))*100+E804</f>
        <v>1025101</v>
      </c>
      <c r="C804" s="2" t="s">
        <v>243</v>
      </c>
      <c r="D804" s="8" t="s">
        <v>58</v>
      </c>
      <c r="E804" s="8">
        <v>1</v>
      </c>
      <c r="F804" s="11" t="s">
        <v>59</v>
      </c>
      <c r="G804" s="12" t="s">
        <v>57</v>
      </c>
      <c r="H804" s="2">
        <v>60242000</v>
      </c>
      <c r="I804" s="8">
        <v>1</v>
      </c>
    </row>
    <row r="805" spans="2:9" x14ac:dyDescent="0.25">
      <c r="B805" s="8">
        <f>1000000+INDEX(编号表!$B:$B,MATCH(C805,编号表!$A:$A,0))*1000+INDEX(编号表!$D:$D,MATCH(D805,编号表!$C:$C,0))*100+E805</f>
        <v>1025201</v>
      </c>
      <c r="C805" s="2" t="s">
        <v>243</v>
      </c>
      <c r="D805" s="8" t="s">
        <v>60</v>
      </c>
      <c r="E805" s="8">
        <f t="shared" ref="E805:E840" si="24">I805+K805+M805+O805+Q805+S805+U805+W805+Y805+AA805</f>
        <v>1</v>
      </c>
      <c r="F805" s="2" t="s">
        <v>173</v>
      </c>
      <c r="G805" s="12" t="s">
        <v>62</v>
      </c>
      <c r="H805" s="2">
        <v>60241000</v>
      </c>
      <c r="I805" s="8">
        <v>1</v>
      </c>
    </row>
    <row r="806" spans="2:9" x14ac:dyDescent="0.25">
      <c r="B806" s="8">
        <f>1000000+INDEX(编号表!$B:$B,MATCH(C806,编号表!$A:$A,0))*1000+INDEX(编号表!$D:$D,MATCH(D806,编号表!$C:$C,0))*100+E806</f>
        <v>1025301</v>
      </c>
      <c r="C806" s="2" t="s">
        <v>243</v>
      </c>
      <c r="D806" s="8" t="s">
        <v>63</v>
      </c>
      <c r="E806" s="8">
        <f t="shared" si="24"/>
        <v>1</v>
      </c>
      <c r="F806" s="2" t="s">
        <v>244</v>
      </c>
      <c r="G806" s="12" t="s">
        <v>62</v>
      </c>
      <c r="H806" s="2">
        <v>60241001</v>
      </c>
      <c r="I806" s="8">
        <v>1</v>
      </c>
    </row>
    <row r="807" spans="2:9" x14ac:dyDescent="0.25">
      <c r="B807" s="8">
        <f>1000000+INDEX(编号表!$B:$B,MATCH(C807,编号表!$A:$A,0))*1000+INDEX(编号表!$D:$D,MATCH(D807,编号表!$C:$C,0))*100+E807</f>
        <v>1025401</v>
      </c>
      <c r="C807" s="2" t="s">
        <v>243</v>
      </c>
      <c r="D807" s="8" t="s">
        <v>65</v>
      </c>
      <c r="E807" s="8">
        <f t="shared" si="24"/>
        <v>1</v>
      </c>
      <c r="F807" s="2" t="s">
        <v>244</v>
      </c>
      <c r="G807" s="12" t="s">
        <v>62</v>
      </c>
      <c r="H807" s="2">
        <v>60241002</v>
      </c>
      <c r="I807" s="8">
        <v>1</v>
      </c>
    </row>
    <row r="808" spans="2:9" x14ac:dyDescent="0.25">
      <c r="B808" s="8">
        <f>1000000+INDEX(编号表!$B:$B,MATCH(C808,编号表!$A:$A,0))*1000+INDEX(编号表!$D:$D,MATCH(D808,编号表!$C:$C,0))*100+E808</f>
        <v>1025501</v>
      </c>
      <c r="C808" s="2" t="s">
        <v>243</v>
      </c>
      <c r="D808" s="8" t="s">
        <v>67</v>
      </c>
      <c r="E808" s="8">
        <f t="shared" si="24"/>
        <v>1</v>
      </c>
      <c r="F808" s="2" t="s">
        <v>244</v>
      </c>
      <c r="G808" s="12" t="s">
        <v>62</v>
      </c>
      <c r="H808" s="2">
        <v>60241003</v>
      </c>
      <c r="I808" s="8">
        <v>1</v>
      </c>
    </row>
    <row r="809" spans="2:9" x14ac:dyDescent="0.25">
      <c r="B809" s="8">
        <f>1000000+INDEX(编号表!$B:$B,MATCH(C809,编号表!$A:$A,0))*1000+INDEX(编号表!$D:$D,MATCH(D809,编号表!$C:$C,0))*100+E809</f>
        <v>1025601</v>
      </c>
      <c r="C809" s="2" t="s">
        <v>243</v>
      </c>
      <c r="D809" s="8" t="s">
        <v>69</v>
      </c>
      <c r="E809" s="8">
        <f t="shared" si="24"/>
        <v>1</v>
      </c>
      <c r="F809" s="2" t="s">
        <v>244</v>
      </c>
      <c r="G809" s="12" t="s">
        <v>62</v>
      </c>
      <c r="H809" s="2">
        <v>60241004</v>
      </c>
      <c r="I809" s="8">
        <v>1</v>
      </c>
    </row>
    <row r="810" spans="2:9" x14ac:dyDescent="0.25">
      <c r="B810" s="8">
        <f>1000000+INDEX(编号表!$B:$B,MATCH(C810,编号表!$A:$A,0))*1000+INDEX(编号表!$D:$D,MATCH(D810,编号表!$C:$C,0))*100+E810</f>
        <v>1025701</v>
      </c>
      <c r="C810" s="2" t="s">
        <v>243</v>
      </c>
      <c r="D810" s="8" t="s">
        <v>179</v>
      </c>
      <c r="E810" s="8">
        <f t="shared" si="24"/>
        <v>1</v>
      </c>
      <c r="F810" s="2" t="s">
        <v>244</v>
      </c>
      <c r="G810" s="12" t="s">
        <v>62</v>
      </c>
      <c r="H810" s="2">
        <v>60241005</v>
      </c>
      <c r="I810" s="8">
        <v>1</v>
      </c>
    </row>
    <row r="811" spans="2:9" x14ac:dyDescent="0.25">
      <c r="B811" s="8">
        <f>1000000+INDEX(编号表!$B:$B,MATCH(C811,编号表!$A:$A,0))*1000+INDEX(编号表!$D:$D,MATCH(D811,编号表!$C:$C,0))*100+E811</f>
        <v>1025202</v>
      </c>
      <c r="C811" s="2" t="s">
        <v>243</v>
      </c>
      <c r="D811" s="8" t="s">
        <v>60</v>
      </c>
      <c r="E811" s="8">
        <f t="shared" si="24"/>
        <v>2</v>
      </c>
      <c r="F811" s="2" t="s">
        <v>173</v>
      </c>
      <c r="G811" s="12" t="s">
        <v>62</v>
      </c>
      <c r="H811" s="2">
        <v>60241000</v>
      </c>
      <c r="I811" s="8">
        <v>2</v>
      </c>
    </row>
    <row r="812" spans="2:9" x14ac:dyDescent="0.25">
      <c r="B812" s="8">
        <f>1000000+INDEX(编号表!$B:$B,MATCH(C812,编号表!$A:$A,0))*1000+INDEX(编号表!$D:$D,MATCH(D812,编号表!$C:$C,0))*100+E812</f>
        <v>1025302</v>
      </c>
      <c r="C812" s="2" t="s">
        <v>243</v>
      </c>
      <c r="D812" s="8" t="s">
        <v>63</v>
      </c>
      <c r="E812" s="8">
        <f t="shared" si="24"/>
        <v>2</v>
      </c>
      <c r="F812" s="2" t="s">
        <v>244</v>
      </c>
      <c r="G812" s="12" t="s">
        <v>62</v>
      </c>
      <c r="H812" s="2">
        <v>60241001</v>
      </c>
      <c r="I812" s="8">
        <v>2</v>
      </c>
    </row>
    <row r="813" spans="2:9" x14ac:dyDescent="0.25">
      <c r="B813" s="8">
        <f>1000000+INDEX(编号表!$B:$B,MATCH(C813,编号表!$A:$A,0))*1000+INDEX(编号表!$D:$D,MATCH(D813,编号表!$C:$C,0))*100+E813</f>
        <v>1025402</v>
      </c>
      <c r="C813" s="2" t="s">
        <v>243</v>
      </c>
      <c r="D813" s="8" t="s">
        <v>65</v>
      </c>
      <c r="E813" s="8">
        <f t="shared" si="24"/>
        <v>2</v>
      </c>
      <c r="F813" s="2" t="s">
        <v>244</v>
      </c>
      <c r="G813" s="12" t="s">
        <v>62</v>
      </c>
      <c r="H813" s="2">
        <v>60241002</v>
      </c>
      <c r="I813" s="8">
        <v>2</v>
      </c>
    </row>
    <row r="814" spans="2:9" x14ac:dyDescent="0.25">
      <c r="B814" s="8">
        <f>1000000+INDEX(编号表!$B:$B,MATCH(C814,编号表!$A:$A,0))*1000+INDEX(编号表!$D:$D,MATCH(D814,编号表!$C:$C,0))*100+E814</f>
        <v>1025502</v>
      </c>
      <c r="C814" s="2" t="s">
        <v>243</v>
      </c>
      <c r="D814" s="8" t="s">
        <v>67</v>
      </c>
      <c r="E814" s="8">
        <f t="shared" si="24"/>
        <v>2</v>
      </c>
      <c r="F814" s="2" t="s">
        <v>244</v>
      </c>
      <c r="G814" s="12" t="s">
        <v>62</v>
      </c>
      <c r="H814" s="2">
        <v>60241003</v>
      </c>
      <c r="I814" s="8">
        <v>2</v>
      </c>
    </row>
    <row r="815" spans="2:9" x14ac:dyDescent="0.25">
      <c r="B815" s="8">
        <f>1000000+INDEX(编号表!$B:$B,MATCH(C815,编号表!$A:$A,0))*1000+INDEX(编号表!$D:$D,MATCH(D815,编号表!$C:$C,0))*100+E815</f>
        <v>1025602</v>
      </c>
      <c r="C815" s="2" t="s">
        <v>243</v>
      </c>
      <c r="D815" s="8" t="s">
        <v>69</v>
      </c>
      <c r="E815" s="8">
        <f t="shared" si="24"/>
        <v>2</v>
      </c>
      <c r="F815" s="2" t="s">
        <v>244</v>
      </c>
      <c r="G815" s="12" t="s">
        <v>62</v>
      </c>
      <c r="H815" s="2">
        <v>60241004</v>
      </c>
      <c r="I815" s="8">
        <v>2</v>
      </c>
    </row>
    <row r="816" spans="2:9" x14ac:dyDescent="0.25">
      <c r="B816" s="8">
        <f>1000000+INDEX(编号表!$B:$B,MATCH(C816,编号表!$A:$A,0))*1000+INDEX(编号表!$D:$D,MATCH(D816,编号表!$C:$C,0))*100+E816</f>
        <v>1025702</v>
      </c>
      <c r="C816" s="2" t="s">
        <v>243</v>
      </c>
      <c r="D816" s="8" t="s">
        <v>179</v>
      </c>
      <c r="E816" s="8">
        <f t="shared" si="24"/>
        <v>2</v>
      </c>
      <c r="F816" s="2" t="s">
        <v>244</v>
      </c>
      <c r="G816" s="12" t="s">
        <v>62</v>
      </c>
      <c r="H816" s="2">
        <v>60241005</v>
      </c>
      <c r="I816" s="8">
        <v>2</v>
      </c>
    </row>
    <row r="817" spans="2:9" x14ac:dyDescent="0.25">
      <c r="B817" s="8">
        <f>1000000+INDEX(编号表!$B:$B,MATCH(C817,编号表!$A:$A,0))*1000+INDEX(编号表!$D:$D,MATCH(D817,编号表!$C:$C,0))*100+E817</f>
        <v>1025203</v>
      </c>
      <c r="C817" s="2" t="s">
        <v>243</v>
      </c>
      <c r="D817" s="8" t="s">
        <v>60</v>
      </c>
      <c r="E817" s="8">
        <f t="shared" si="24"/>
        <v>3</v>
      </c>
      <c r="F817" s="2" t="s">
        <v>173</v>
      </c>
      <c r="G817" s="12" t="s">
        <v>62</v>
      </c>
      <c r="H817" s="2">
        <v>60241000</v>
      </c>
      <c r="I817" s="8">
        <v>3</v>
      </c>
    </row>
    <row r="818" spans="2:9" x14ac:dyDescent="0.25">
      <c r="B818" s="8">
        <f>1000000+INDEX(编号表!$B:$B,MATCH(C818,编号表!$A:$A,0))*1000+INDEX(编号表!$D:$D,MATCH(D818,编号表!$C:$C,0))*100+E818</f>
        <v>1025303</v>
      </c>
      <c r="C818" s="2" t="s">
        <v>243</v>
      </c>
      <c r="D818" s="8" t="s">
        <v>63</v>
      </c>
      <c r="E818" s="8">
        <f t="shared" si="24"/>
        <v>3</v>
      </c>
      <c r="F818" s="2" t="s">
        <v>244</v>
      </c>
      <c r="G818" s="12" t="s">
        <v>62</v>
      </c>
      <c r="H818" s="2">
        <v>60241001</v>
      </c>
      <c r="I818" s="8">
        <v>3</v>
      </c>
    </row>
    <row r="819" spans="2:9" x14ac:dyDescent="0.25">
      <c r="B819" s="8">
        <f>1000000+INDEX(编号表!$B:$B,MATCH(C819,编号表!$A:$A,0))*1000+INDEX(编号表!$D:$D,MATCH(D819,编号表!$C:$C,0))*100+E819</f>
        <v>1025403</v>
      </c>
      <c r="C819" s="2" t="s">
        <v>243</v>
      </c>
      <c r="D819" s="8" t="s">
        <v>65</v>
      </c>
      <c r="E819" s="8">
        <f t="shared" si="24"/>
        <v>3</v>
      </c>
      <c r="F819" s="2" t="s">
        <v>244</v>
      </c>
      <c r="G819" s="12" t="s">
        <v>62</v>
      </c>
      <c r="H819" s="2">
        <v>60241002</v>
      </c>
      <c r="I819" s="8">
        <v>3</v>
      </c>
    </row>
    <row r="820" spans="2:9" x14ac:dyDescent="0.25">
      <c r="B820" s="8">
        <f>1000000+INDEX(编号表!$B:$B,MATCH(C820,编号表!$A:$A,0))*1000+INDEX(编号表!$D:$D,MATCH(D820,编号表!$C:$C,0))*100+E820</f>
        <v>1025503</v>
      </c>
      <c r="C820" s="2" t="s">
        <v>243</v>
      </c>
      <c r="D820" s="8" t="s">
        <v>67</v>
      </c>
      <c r="E820" s="8">
        <f t="shared" si="24"/>
        <v>3</v>
      </c>
      <c r="F820" s="2" t="s">
        <v>244</v>
      </c>
      <c r="G820" s="12" t="s">
        <v>62</v>
      </c>
      <c r="H820" s="2">
        <v>60241003</v>
      </c>
      <c r="I820" s="8">
        <v>3</v>
      </c>
    </row>
    <row r="821" spans="2:9" x14ac:dyDescent="0.25">
      <c r="B821" s="8">
        <f>1000000+INDEX(编号表!$B:$B,MATCH(C821,编号表!$A:$A,0))*1000+INDEX(编号表!$D:$D,MATCH(D821,编号表!$C:$C,0))*100+E821</f>
        <v>1025603</v>
      </c>
      <c r="C821" s="2" t="s">
        <v>243</v>
      </c>
      <c r="D821" s="8" t="s">
        <v>69</v>
      </c>
      <c r="E821" s="8">
        <f t="shared" si="24"/>
        <v>3</v>
      </c>
      <c r="F821" s="2" t="s">
        <v>244</v>
      </c>
      <c r="G821" s="12" t="s">
        <v>62</v>
      </c>
      <c r="H821" s="2">
        <v>60241004</v>
      </c>
      <c r="I821" s="8">
        <v>3</v>
      </c>
    </row>
    <row r="822" spans="2:9" x14ac:dyDescent="0.25">
      <c r="B822" s="8">
        <f>1000000+INDEX(编号表!$B:$B,MATCH(C822,编号表!$A:$A,0))*1000+INDEX(编号表!$D:$D,MATCH(D822,编号表!$C:$C,0))*100+E822</f>
        <v>1025703</v>
      </c>
      <c r="C822" s="2" t="s">
        <v>243</v>
      </c>
      <c r="D822" s="8" t="s">
        <v>179</v>
      </c>
      <c r="E822" s="8">
        <f t="shared" si="24"/>
        <v>3</v>
      </c>
      <c r="F822" s="2" t="s">
        <v>244</v>
      </c>
      <c r="G822" s="12" t="s">
        <v>62</v>
      </c>
      <c r="H822" s="2">
        <v>60241005</v>
      </c>
      <c r="I822" s="8">
        <v>3</v>
      </c>
    </row>
    <row r="823" spans="2:9" x14ac:dyDescent="0.25">
      <c r="B823" s="8">
        <f>1000000+INDEX(编号表!$B:$B,MATCH(C823,编号表!$A:$A,0))*1000+INDEX(编号表!$D:$D,MATCH(D823,编号表!$C:$C,0))*100+E823</f>
        <v>1025205</v>
      </c>
      <c r="C823" s="2" t="s">
        <v>243</v>
      </c>
      <c r="D823" s="8" t="s">
        <v>60</v>
      </c>
      <c r="E823" s="8">
        <f t="shared" si="24"/>
        <v>5</v>
      </c>
      <c r="F823" s="2" t="s">
        <v>173</v>
      </c>
      <c r="G823" s="12" t="s">
        <v>62</v>
      </c>
      <c r="H823" s="2">
        <v>60241000</v>
      </c>
      <c r="I823" s="8">
        <v>5</v>
      </c>
    </row>
    <row r="824" spans="2:9" x14ac:dyDescent="0.25">
      <c r="B824" s="8">
        <f>1000000+INDEX(编号表!$B:$B,MATCH(C824,编号表!$A:$A,0))*1000+INDEX(编号表!$D:$D,MATCH(D824,编号表!$C:$C,0))*100+E824</f>
        <v>1025305</v>
      </c>
      <c r="C824" s="2" t="s">
        <v>243</v>
      </c>
      <c r="D824" s="8" t="s">
        <v>63</v>
      </c>
      <c r="E824" s="8">
        <f t="shared" si="24"/>
        <v>5</v>
      </c>
      <c r="F824" s="2" t="s">
        <v>244</v>
      </c>
      <c r="G824" s="12" t="s">
        <v>62</v>
      </c>
      <c r="H824" s="2">
        <v>60241001</v>
      </c>
      <c r="I824" s="8">
        <v>5</v>
      </c>
    </row>
    <row r="825" spans="2:9" x14ac:dyDescent="0.25">
      <c r="B825" s="8">
        <f>1000000+INDEX(编号表!$B:$B,MATCH(C825,编号表!$A:$A,0))*1000+INDEX(编号表!$D:$D,MATCH(D825,编号表!$C:$C,0))*100+E825</f>
        <v>1025405</v>
      </c>
      <c r="C825" s="2" t="s">
        <v>243</v>
      </c>
      <c r="D825" s="8" t="s">
        <v>65</v>
      </c>
      <c r="E825" s="8">
        <f t="shared" si="24"/>
        <v>5</v>
      </c>
      <c r="F825" s="2" t="s">
        <v>244</v>
      </c>
      <c r="G825" s="12" t="s">
        <v>62</v>
      </c>
      <c r="H825" s="2">
        <v>60241002</v>
      </c>
      <c r="I825" s="8">
        <v>5</v>
      </c>
    </row>
    <row r="826" spans="2:9" x14ac:dyDescent="0.25">
      <c r="B826" s="8">
        <f>1000000+INDEX(编号表!$B:$B,MATCH(C826,编号表!$A:$A,0))*1000+INDEX(编号表!$D:$D,MATCH(D826,编号表!$C:$C,0))*100+E826</f>
        <v>1025505</v>
      </c>
      <c r="C826" s="2" t="s">
        <v>243</v>
      </c>
      <c r="D826" s="8" t="s">
        <v>67</v>
      </c>
      <c r="E826" s="8">
        <f t="shared" si="24"/>
        <v>5</v>
      </c>
      <c r="F826" s="2" t="s">
        <v>244</v>
      </c>
      <c r="G826" s="12" t="s">
        <v>62</v>
      </c>
      <c r="H826" s="2">
        <v>60241003</v>
      </c>
      <c r="I826" s="8">
        <v>5</v>
      </c>
    </row>
    <row r="827" spans="2:9" x14ac:dyDescent="0.25">
      <c r="B827" s="8">
        <f>1000000+INDEX(编号表!$B:$B,MATCH(C827,编号表!$A:$A,0))*1000+INDEX(编号表!$D:$D,MATCH(D827,编号表!$C:$C,0))*100+E827</f>
        <v>1025605</v>
      </c>
      <c r="C827" s="2" t="s">
        <v>243</v>
      </c>
      <c r="D827" s="8" t="s">
        <v>69</v>
      </c>
      <c r="E827" s="8">
        <f t="shared" si="24"/>
        <v>5</v>
      </c>
      <c r="F827" s="2" t="s">
        <v>244</v>
      </c>
      <c r="G827" s="12" t="s">
        <v>62</v>
      </c>
      <c r="H827" s="2">
        <v>60241004</v>
      </c>
      <c r="I827" s="8">
        <v>5</v>
      </c>
    </row>
    <row r="828" spans="2:9" x14ac:dyDescent="0.25">
      <c r="B828" s="8">
        <f>1000000+INDEX(编号表!$B:$B,MATCH(C828,编号表!$A:$A,0))*1000+INDEX(编号表!$D:$D,MATCH(D828,编号表!$C:$C,0))*100+E828</f>
        <v>1025705</v>
      </c>
      <c r="C828" s="2" t="s">
        <v>243</v>
      </c>
      <c r="D828" s="8" t="s">
        <v>179</v>
      </c>
      <c r="E828" s="8">
        <f t="shared" si="24"/>
        <v>5</v>
      </c>
      <c r="F828" s="2" t="s">
        <v>244</v>
      </c>
      <c r="G828" s="12" t="s">
        <v>62</v>
      </c>
      <c r="H828" s="2">
        <v>60241005</v>
      </c>
      <c r="I828" s="8">
        <v>5</v>
      </c>
    </row>
    <row r="829" spans="2:9" x14ac:dyDescent="0.25">
      <c r="B829" s="8">
        <f>1000000+INDEX(编号表!$B:$B,MATCH(C829,编号表!$A:$A,0))*1000+INDEX(编号表!$D:$D,MATCH(D829,编号表!$C:$C,0))*100+E829</f>
        <v>1025210</v>
      </c>
      <c r="C829" s="2" t="s">
        <v>243</v>
      </c>
      <c r="D829" s="8" t="s">
        <v>60</v>
      </c>
      <c r="E829" s="8">
        <f t="shared" si="24"/>
        <v>10</v>
      </c>
      <c r="F829" s="2" t="s">
        <v>173</v>
      </c>
      <c r="G829" s="12" t="s">
        <v>62</v>
      </c>
      <c r="H829" s="2">
        <v>60241000</v>
      </c>
      <c r="I829" s="8">
        <v>10</v>
      </c>
    </row>
    <row r="830" spans="2:9" x14ac:dyDescent="0.25">
      <c r="B830" s="8">
        <f>1000000+INDEX(编号表!$B:$B,MATCH(C830,编号表!$A:$A,0))*1000+INDEX(编号表!$D:$D,MATCH(D830,编号表!$C:$C,0))*100+E830</f>
        <v>1025310</v>
      </c>
      <c r="C830" s="2" t="s">
        <v>243</v>
      </c>
      <c r="D830" s="8" t="s">
        <v>63</v>
      </c>
      <c r="E830" s="8">
        <f t="shared" si="24"/>
        <v>10</v>
      </c>
      <c r="F830" s="2" t="s">
        <v>244</v>
      </c>
      <c r="G830" s="12" t="s">
        <v>62</v>
      </c>
      <c r="H830" s="2">
        <v>60241001</v>
      </c>
      <c r="I830" s="8">
        <v>10</v>
      </c>
    </row>
    <row r="831" spans="2:9" x14ac:dyDescent="0.25">
      <c r="B831" s="8">
        <f>1000000+INDEX(编号表!$B:$B,MATCH(C831,编号表!$A:$A,0))*1000+INDEX(编号表!$D:$D,MATCH(D831,编号表!$C:$C,0))*100+E831</f>
        <v>1025410</v>
      </c>
      <c r="C831" s="2" t="s">
        <v>243</v>
      </c>
      <c r="D831" s="8" t="s">
        <v>65</v>
      </c>
      <c r="E831" s="8">
        <f t="shared" si="24"/>
        <v>10</v>
      </c>
      <c r="F831" s="2" t="s">
        <v>244</v>
      </c>
      <c r="G831" s="12" t="s">
        <v>62</v>
      </c>
      <c r="H831" s="2">
        <v>60241002</v>
      </c>
      <c r="I831" s="8">
        <v>10</v>
      </c>
    </row>
    <row r="832" spans="2:9" x14ac:dyDescent="0.25">
      <c r="B832" s="8">
        <f>1000000+INDEX(编号表!$B:$B,MATCH(C832,编号表!$A:$A,0))*1000+INDEX(编号表!$D:$D,MATCH(D832,编号表!$C:$C,0))*100+E832</f>
        <v>1025510</v>
      </c>
      <c r="C832" s="2" t="s">
        <v>243</v>
      </c>
      <c r="D832" s="8" t="s">
        <v>67</v>
      </c>
      <c r="E832" s="8">
        <f t="shared" si="24"/>
        <v>10</v>
      </c>
      <c r="F832" s="2" t="s">
        <v>244</v>
      </c>
      <c r="G832" s="12" t="s">
        <v>62</v>
      </c>
      <c r="H832" s="2">
        <v>60241003</v>
      </c>
      <c r="I832" s="8">
        <v>10</v>
      </c>
    </row>
    <row r="833" spans="2:9" x14ac:dyDescent="0.25">
      <c r="B833" s="8">
        <f>1000000+INDEX(编号表!$B:$B,MATCH(C833,编号表!$A:$A,0))*1000+INDEX(编号表!$D:$D,MATCH(D833,编号表!$C:$C,0))*100+E833</f>
        <v>1025610</v>
      </c>
      <c r="C833" s="2" t="s">
        <v>243</v>
      </c>
      <c r="D833" s="8" t="s">
        <v>69</v>
      </c>
      <c r="E833" s="8">
        <f t="shared" si="24"/>
        <v>10</v>
      </c>
      <c r="F833" s="2" t="s">
        <v>244</v>
      </c>
      <c r="G833" s="12" t="s">
        <v>62</v>
      </c>
      <c r="H833" s="2">
        <v>60241004</v>
      </c>
      <c r="I833" s="8">
        <v>10</v>
      </c>
    </row>
    <row r="834" spans="2:9" x14ac:dyDescent="0.25">
      <c r="B834" s="8">
        <f>1000000+INDEX(编号表!$B:$B,MATCH(C834,编号表!$A:$A,0))*1000+INDEX(编号表!$D:$D,MATCH(D834,编号表!$C:$C,0))*100+E834</f>
        <v>1025710</v>
      </c>
      <c r="C834" s="2" t="s">
        <v>243</v>
      </c>
      <c r="D834" s="8" t="s">
        <v>179</v>
      </c>
      <c r="E834" s="8">
        <f t="shared" si="24"/>
        <v>10</v>
      </c>
      <c r="F834" s="2" t="s">
        <v>244</v>
      </c>
      <c r="G834" s="12" t="s">
        <v>62</v>
      </c>
      <c r="H834" s="2">
        <v>60241005</v>
      </c>
      <c r="I834" s="8">
        <v>10</v>
      </c>
    </row>
    <row r="835" spans="2:9" x14ac:dyDescent="0.25">
      <c r="B835" s="8">
        <f>1000000+INDEX(编号表!$B:$B,MATCH(C835,编号表!$A:$A,0))*1000+INDEX(编号表!$D:$D,MATCH(D835,编号表!$C:$C,0))*100+E835</f>
        <v>1025215</v>
      </c>
      <c r="C835" s="2" t="s">
        <v>243</v>
      </c>
      <c r="D835" s="8" t="s">
        <v>60</v>
      </c>
      <c r="E835" s="8">
        <f t="shared" si="24"/>
        <v>15</v>
      </c>
      <c r="F835" s="2" t="s">
        <v>173</v>
      </c>
      <c r="G835" s="12" t="s">
        <v>62</v>
      </c>
      <c r="H835" s="2">
        <v>60241000</v>
      </c>
      <c r="I835" s="8">
        <v>15</v>
      </c>
    </row>
    <row r="836" spans="2:9" x14ac:dyDescent="0.25">
      <c r="B836" s="8">
        <f>1000000+INDEX(编号表!$B:$B,MATCH(C836,编号表!$A:$A,0))*1000+INDEX(编号表!$D:$D,MATCH(D836,编号表!$C:$C,0))*100+E836</f>
        <v>1025315</v>
      </c>
      <c r="C836" s="2" t="s">
        <v>243</v>
      </c>
      <c r="D836" s="8" t="s">
        <v>63</v>
      </c>
      <c r="E836" s="8">
        <f t="shared" si="24"/>
        <v>15</v>
      </c>
      <c r="F836" s="2" t="s">
        <v>244</v>
      </c>
      <c r="G836" s="12" t="s">
        <v>62</v>
      </c>
      <c r="H836" s="2">
        <v>60241001</v>
      </c>
      <c r="I836" s="8">
        <v>15</v>
      </c>
    </row>
    <row r="837" spans="2:9" x14ac:dyDescent="0.25">
      <c r="B837" s="8">
        <f>1000000+INDEX(编号表!$B:$B,MATCH(C837,编号表!$A:$A,0))*1000+INDEX(编号表!$D:$D,MATCH(D837,编号表!$C:$C,0))*100+E837</f>
        <v>1025415</v>
      </c>
      <c r="C837" s="2" t="s">
        <v>243</v>
      </c>
      <c r="D837" s="8" t="s">
        <v>65</v>
      </c>
      <c r="E837" s="8">
        <f t="shared" si="24"/>
        <v>15</v>
      </c>
      <c r="F837" s="2" t="s">
        <v>244</v>
      </c>
      <c r="G837" s="12" t="s">
        <v>62</v>
      </c>
      <c r="H837" s="2">
        <v>60241002</v>
      </c>
      <c r="I837" s="8">
        <v>15</v>
      </c>
    </row>
    <row r="838" spans="2:9" x14ac:dyDescent="0.25">
      <c r="B838" s="8">
        <f>1000000+INDEX(编号表!$B:$B,MATCH(C838,编号表!$A:$A,0))*1000+INDEX(编号表!$D:$D,MATCH(D838,编号表!$C:$C,0))*100+E838</f>
        <v>1025515</v>
      </c>
      <c r="C838" s="2" t="s">
        <v>243</v>
      </c>
      <c r="D838" s="8" t="s">
        <v>67</v>
      </c>
      <c r="E838" s="8">
        <f t="shared" si="24"/>
        <v>15</v>
      </c>
      <c r="F838" s="2" t="s">
        <v>244</v>
      </c>
      <c r="G838" s="12" t="s">
        <v>62</v>
      </c>
      <c r="H838" s="2">
        <v>60241003</v>
      </c>
      <c r="I838" s="8">
        <v>15</v>
      </c>
    </row>
    <row r="839" spans="2:9" x14ac:dyDescent="0.25">
      <c r="B839" s="8">
        <f>1000000+INDEX(编号表!$B:$B,MATCH(C839,编号表!$A:$A,0))*1000+INDEX(编号表!$D:$D,MATCH(D839,编号表!$C:$C,0))*100+E839</f>
        <v>1025615</v>
      </c>
      <c r="C839" s="2" t="s">
        <v>243</v>
      </c>
      <c r="D839" s="8" t="s">
        <v>69</v>
      </c>
      <c r="E839" s="8">
        <f t="shared" si="24"/>
        <v>15</v>
      </c>
      <c r="F839" s="2" t="s">
        <v>244</v>
      </c>
      <c r="G839" s="12" t="s">
        <v>62</v>
      </c>
      <c r="H839" s="2">
        <v>60241004</v>
      </c>
      <c r="I839" s="8">
        <v>15</v>
      </c>
    </row>
    <row r="840" spans="2:9" x14ac:dyDescent="0.25">
      <c r="B840" s="8">
        <f>1000000+INDEX(编号表!$B:$B,MATCH(C840,编号表!$A:$A,0))*1000+INDEX(编号表!$D:$D,MATCH(D840,编号表!$C:$C,0))*100+E840</f>
        <v>1025715</v>
      </c>
      <c r="C840" s="2" t="s">
        <v>243</v>
      </c>
      <c r="D840" s="8" t="s">
        <v>179</v>
      </c>
      <c r="E840" s="8">
        <f t="shared" si="24"/>
        <v>15</v>
      </c>
      <c r="F840" s="2" t="s">
        <v>244</v>
      </c>
      <c r="G840" s="12" t="s">
        <v>62</v>
      </c>
      <c r="H840" s="2">
        <v>60241005</v>
      </c>
      <c r="I840" s="8">
        <v>15</v>
      </c>
    </row>
    <row r="841" spans="2:9" x14ac:dyDescent="0.25">
      <c r="B841" s="8">
        <f>1000000+INDEX(编号表!$B:$B,MATCH(C841,编号表!$A:$A,0))*1000+INDEX(编号表!$D:$D,MATCH(D841,编号表!$C:$C,0))*100+E841</f>
        <v>1026001</v>
      </c>
      <c r="C841" s="2" t="s">
        <v>245</v>
      </c>
      <c r="D841" s="8" t="s">
        <v>55</v>
      </c>
      <c r="E841" s="8">
        <v>1</v>
      </c>
      <c r="F841" s="11" t="s">
        <v>56</v>
      </c>
      <c r="G841" s="12" t="s">
        <v>57</v>
      </c>
      <c r="H841" s="8">
        <v>60254000</v>
      </c>
      <c r="I841" s="8">
        <v>1</v>
      </c>
    </row>
    <row r="842" spans="2:9" x14ac:dyDescent="0.25">
      <c r="B842" s="8">
        <f>1000000+INDEX(编号表!$B:$B,MATCH(C842,编号表!$A:$A,0))*1000+INDEX(编号表!$D:$D,MATCH(D842,编号表!$C:$C,0))*100+E842</f>
        <v>1026101</v>
      </c>
      <c r="C842" s="2" t="s">
        <v>245</v>
      </c>
      <c r="D842" s="8" t="s">
        <v>58</v>
      </c>
      <c r="E842" s="8">
        <v>1</v>
      </c>
      <c r="F842" s="11" t="s">
        <v>59</v>
      </c>
      <c r="G842" s="12" t="s">
        <v>57</v>
      </c>
      <c r="H842" s="2">
        <v>60252000</v>
      </c>
      <c r="I842" s="8">
        <v>1</v>
      </c>
    </row>
    <row r="843" spans="2:9" x14ac:dyDescent="0.25">
      <c r="B843" s="8">
        <f>1000000+INDEX(编号表!$B:$B,MATCH(C843,编号表!$A:$A,0))*1000+INDEX(编号表!$D:$D,MATCH(D843,编号表!$C:$C,0))*100+E843</f>
        <v>1026102</v>
      </c>
      <c r="C843" s="2" t="s">
        <v>245</v>
      </c>
      <c r="D843" s="8" t="s">
        <v>58</v>
      </c>
      <c r="E843" s="8">
        <v>2</v>
      </c>
      <c r="F843" s="11" t="s">
        <v>59</v>
      </c>
      <c r="G843" s="12" t="s">
        <v>57</v>
      </c>
      <c r="H843" s="2">
        <v>60252001</v>
      </c>
      <c r="I843" s="8">
        <v>1</v>
      </c>
    </row>
    <row r="844" spans="2:9" x14ac:dyDescent="0.25">
      <c r="B844" s="8">
        <f>1000000+INDEX(编号表!$B:$B,MATCH(C844,编号表!$A:$A,0))*1000+INDEX(编号表!$D:$D,MATCH(D844,编号表!$C:$C,0))*100+E844</f>
        <v>1026201</v>
      </c>
      <c r="C844" s="2" t="s">
        <v>245</v>
      </c>
      <c r="D844" s="8" t="s">
        <v>60</v>
      </c>
      <c r="E844" s="8">
        <f t="shared" ref="E844:E891" si="25">I844+K844+M844+O844+Q844+S844+U844+W844+Y844+AA844</f>
        <v>1</v>
      </c>
      <c r="F844" s="2" t="s">
        <v>220</v>
      </c>
      <c r="G844" s="12" t="s">
        <v>62</v>
      </c>
      <c r="H844" s="2">
        <v>60251000</v>
      </c>
      <c r="I844" s="8">
        <v>1</v>
      </c>
    </row>
    <row r="845" spans="2:9" x14ac:dyDescent="0.25">
      <c r="B845" s="8">
        <f>1000000+INDEX(编号表!$B:$B,MATCH(C845,编号表!$A:$A,0))*1000+INDEX(编号表!$D:$D,MATCH(D845,编号表!$C:$C,0))*100+E845</f>
        <v>1026301</v>
      </c>
      <c r="C845" s="2" t="s">
        <v>245</v>
      </c>
      <c r="D845" s="8" t="s">
        <v>63</v>
      </c>
      <c r="E845" s="8">
        <f t="shared" si="25"/>
        <v>1</v>
      </c>
      <c r="F845" s="2" t="s">
        <v>222</v>
      </c>
      <c r="G845" s="12" t="s">
        <v>62</v>
      </c>
      <c r="H845" s="2">
        <v>60251001</v>
      </c>
      <c r="I845" s="8">
        <v>1</v>
      </c>
    </row>
    <row r="846" spans="2:9" x14ac:dyDescent="0.25">
      <c r="B846" s="8">
        <f>1000000+INDEX(编号表!$B:$B,MATCH(C846,编号表!$A:$A,0))*1000+INDEX(编号表!$D:$D,MATCH(D846,编号表!$C:$C,0))*100+E846</f>
        <v>1026401</v>
      </c>
      <c r="C846" s="2" t="s">
        <v>245</v>
      </c>
      <c r="D846" s="8" t="s">
        <v>65</v>
      </c>
      <c r="E846" s="8">
        <f t="shared" si="25"/>
        <v>1</v>
      </c>
      <c r="F846" s="2" t="s">
        <v>221</v>
      </c>
      <c r="G846" s="12" t="s">
        <v>62</v>
      </c>
      <c r="H846" s="2">
        <v>60251002</v>
      </c>
      <c r="I846" s="8">
        <v>1</v>
      </c>
    </row>
    <row r="847" spans="2:9" x14ac:dyDescent="0.25">
      <c r="B847" s="8">
        <f>1000000+INDEX(编号表!$B:$B,MATCH(C847,编号表!$A:$A,0))*1000+INDEX(编号表!$D:$D,MATCH(D847,编号表!$C:$C,0))*100+E847</f>
        <v>1026501</v>
      </c>
      <c r="C847" s="2" t="s">
        <v>245</v>
      </c>
      <c r="D847" s="8" t="s">
        <v>67</v>
      </c>
      <c r="E847" s="8">
        <f t="shared" si="25"/>
        <v>1</v>
      </c>
      <c r="F847" s="2" t="s">
        <v>206</v>
      </c>
      <c r="G847" s="12" t="s">
        <v>62</v>
      </c>
      <c r="H847" s="2">
        <v>60251003</v>
      </c>
      <c r="I847" s="8">
        <v>1</v>
      </c>
    </row>
    <row r="848" spans="2:9" x14ac:dyDescent="0.25">
      <c r="B848" s="8">
        <f>1000000+INDEX(编号表!$B:$B,MATCH(C848,编号表!$A:$A,0))*1000+INDEX(编号表!$D:$D,MATCH(D848,编号表!$C:$C,0))*100+E848</f>
        <v>1026601</v>
      </c>
      <c r="C848" s="2" t="s">
        <v>245</v>
      </c>
      <c r="D848" s="8" t="s">
        <v>69</v>
      </c>
      <c r="E848" s="8">
        <f t="shared" si="25"/>
        <v>1</v>
      </c>
      <c r="F848" s="2" t="s">
        <v>224</v>
      </c>
      <c r="G848" s="12" t="s">
        <v>62</v>
      </c>
      <c r="H848" s="2">
        <v>60251004</v>
      </c>
      <c r="I848" s="8">
        <v>1</v>
      </c>
    </row>
    <row r="849" spans="2:9" x14ac:dyDescent="0.25">
      <c r="B849" s="8">
        <f>1000000+INDEX(编号表!$B:$B,MATCH(C849,编号表!$A:$A,0))*1000+INDEX(编号表!$D:$D,MATCH(D849,编号表!$C:$C,0))*100+E849</f>
        <v>1026701</v>
      </c>
      <c r="C849" s="2" t="s">
        <v>245</v>
      </c>
      <c r="D849" s="8" t="s">
        <v>179</v>
      </c>
      <c r="E849" s="8">
        <f t="shared" si="25"/>
        <v>1</v>
      </c>
      <c r="F849" s="2" t="s">
        <v>238</v>
      </c>
      <c r="G849" s="12" t="s">
        <v>62</v>
      </c>
      <c r="H849" s="2">
        <v>60251005</v>
      </c>
      <c r="I849" s="8">
        <v>1</v>
      </c>
    </row>
    <row r="850" spans="2:9" x14ac:dyDescent="0.25">
      <c r="B850" s="8">
        <f>1000000+INDEX(编号表!$B:$B,MATCH(C850,编号表!$A:$A,0))*1000+INDEX(编号表!$D:$D,MATCH(D850,编号表!$C:$C,0))*100+E850</f>
        <v>1026801</v>
      </c>
      <c r="C850" s="2" t="s">
        <v>245</v>
      </c>
      <c r="D850" s="8" t="s">
        <v>191</v>
      </c>
      <c r="E850" s="8">
        <f t="shared" si="25"/>
        <v>1</v>
      </c>
      <c r="F850" s="2" t="s">
        <v>237</v>
      </c>
      <c r="G850" s="12" t="s">
        <v>62</v>
      </c>
      <c r="H850" s="2">
        <v>60251006</v>
      </c>
      <c r="I850" s="8">
        <v>1</v>
      </c>
    </row>
    <row r="851" spans="2:9" x14ac:dyDescent="0.25">
      <c r="B851" s="8">
        <f>1000000+INDEX(编号表!$B:$B,MATCH(C851,编号表!$A:$A,0))*1000+INDEX(编号表!$D:$D,MATCH(D851,编号表!$C:$C,0))*100+E851</f>
        <v>1026901</v>
      </c>
      <c r="C851" s="2" t="s">
        <v>245</v>
      </c>
      <c r="D851" s="8" t="s">
        <v>246</v>
      </c>
      <c r="E851" s="8">
        <f t="shared" si="25"/>
        <v>1</v>
      </c>
      <c r="F851" s="2" t="s">
        <v>240</v>
      </c>
      <c r="G851" s="12" t="s">
        <v>62</v>
      </c>
      <c r="H851" s="2">
        <v>60251007</v>
      </c>
      <c r="I851" s="8">
        <v>1</v>
      </c>
    </row>
    <row r="852" spans="2:9" x14ac:dyDescent="0.25">
      <c r="B852" s="8">
        <f>1000000+INDEX(编号表!$B:$B,MATCH(C852,编号表!$A:$A,0))*1000+INDEX(编号表!$D:$D,MATCH(D852,编号表!$C:$C,0))*100+E852</f>
        <v>1026202</v>
      </c>
      <c r="C852" s="2" t="s">
        <v>245</v>
      </c>
      <c r="D852" s="8" t="s">
        <v>60</v>
      </c>
      <c r="E852" s="8">
        <f t="shared" si="25"/>
        <v>2</v>
      </c>
      <c r="F852" s="2" t="s">
        <v>220</v>
      </c>
      <c r="G852" s="12" t="s">
        <v>62</v>
      </c>
      <c r="H852" s="2">
        <v>60251000</v>
      </c>
      <c r="I852" s="8">
        <v>2</v>
      </c>
    </row>
    <row r="853" spans="2:9" x14ac:dyDescent="0.25">
      <c r="B853" s="8">
        <f>1000000+INDEX(编号表!$B:$B,MATCH(C853,编号表!$A:$A,0))*1000+INDEX(编号表!$D:$D,MATCH(D853,编号表!$C:$C,0))*100+E853</f>
        <v>1026302</v>
      </c>
      <c r="C853" s="2" t="s">
        <v>245</v>
      </c>
      <c r="D853" s="8" t="s">
        <v>63</v>
      </c>
      <c r="E853" s="8">
        <f t="shared" si="25"/>
        <v>2</v>
      </c>
      <c r="F853" s="2" t="s">
        <v>222</v>
      </c>
      <c r="G853" s="12" t="s">
        <v>62</v>
      </c>
      <c r="H853" s="2">
        <v>60251001</v>
      </c>
      <c r="I853" s="8">
        <v>2</v>
      </c>
    </row>
    <row r="854" spans="2:9" x14ac:dyDescent="0.25">
      <c r="B854" s="8">
        <f>1000000+INDEX(编号表!$B:$B,MATCH(C854,编号表!$A:$A,0))*1000+INDEX(编号表!$D:$D,MATCH(D854,编号表!$C:$C,0))*100+E854</f>
        <v>1026402</v>
      </c>
      <c r="C854" s="2" t="s">
        <v>245</v>
      </c>
      <c r="D854" s="8" t="s">
        <v>65</v>
      </c>
      <c r="E854" s="8">
        <f t="shared" si="25"/>
        <v>2</v>
      </c>
      <c r="F854" s="2" t="s">
        <v>221</v>
      </c>
      <c r="G854" s="12" t="s">
        <v>62</v>
      </c>
      <c r="H854" s="2">
        <v>60251002</v>
      </c>
      <c r="I854" s="8">
        <v>2</v>
      </c>
    </row>
    <row r="855" spans="2:9" x14ac:dyDescent="0.25">
      <c r="B855" s="8">
        <f>1000000+INDEX(编号表!$B:$B,MATCH(C855,编号表!$A:$A,0))*1000+INDEX(编号表!$D:$D,MATCH(D855,编号表!$C:$C,0))*100+E855</f>
        <v>1026502</v>
      </c>
      <c r="C855" s="2" t="s">
        <v>245</v>
      </c>
      <c r="D855" s="8" t="s">
        <v>67</v>
      </c>
      <c r="E855" s="8">
        <f t="shared" si="25"/>
        <v>2</v>
      </c>
      <c r="F855" s="2" t="s">
        <v>206</v>
      </c>
      <c r="G855" s="12" t="s">
        <v>62</v>
      </c>
      <c r="H855" s="2">
        <v>60251003</v>
      </c>
      <c r="I855" s="8">
        <v>2</v>
      </c>
    </row>
    <row r="856" spans="2:9" x14ac:dyDescent="0.25">
      <c r="B856" s="8">
        <f>1000000+INDEX(编号表!$B:$B,MATCH(C856,编号表!$A:$A,0))*1000+INDEX(编号表!$D:$D,MATCH(D856,编号表!$C:$C,0))*100+E856</f>
        <v>1026602</v>
      </c>
      <c r="C856" s="2" t="s">
        <v>245</v>
      </c>
      <c r="D856" s="8" t="s">
        <v>69</v>
      </c>
      <c r="E856" s="8">
        <f t="shared" si="25"/>
        <v>2</v>
      </c>
      <c r="F856" s="2" t="s">
        <v>224</v>
      </c>
      <c r="G856" s="12" t="s">
        <v>62</v>
      </c>
      <c r="H856" s="2">
        <v>60251004</v>
      </c>
      <c r="I856" s="8">
        <v>2</v>
      </c>
    </row>
    <row r="857" spans="2:9" x14ac:dyDescent="0.25">
      <c r="B857" s="8">
        <f>1000000+INDEX(编号表!$B:$B,MATCH(C857,编号表!$A:$A,0))*1000+INDEX(编号表!$D:$D,MATCH(D857,编号表!$C:$C,0))*100+E857</f>
        <v>1026702</v>
      </c>
      <c r="C857" s="2" t="s">
        <v>245</v>
      </c>
      <c r="D857" s="8" t="s">
        <v>179</v>
      </c>
      <c r="E857" s="8">
        <f t="shared" si="25"/>
        <v>2</v>
      </c>
      <c r="F857" s="2" t="s">
        <v>238</v>
      </c>
      <c r="G857" s="12" t="s">
        <v>62</v>
      </c>
      <c r="H857" s="2">
        <v>60251005</v>
      </c>
      <c r="I857" s="8">
        <v>2</v>
      </c>
    </row>
    <row r="858" spans="2:9" x14ac:dyDescent="0.25">
      <c r="B858" s="8">
        <f>1000000+INDEX(编号表!$B:$B,MATCH(C858,编号表!$A:$A,0))*1000+INDEX(编号表!$D:$D,MATCH(D858,编号表!$C:$C,0))*100+E858</f>
        <v>1026802</v>
      </c>
      <c r="C858" s="2" t="s">
        <v>245</v>
      </c>
      <c r="D858" s="8" t="s">
        <v>191</v>
      </c>
      <c r="E858" s="8">
        <f t="shared" si="25"/>
        <v>2</v>
      </c>
      <c r="F858" s="2" t="s">
        <v>237</v>
      </c>
      <c r="G858" s="12" t="s">
        <v>62</v>
      </c>
      <c r="H858" s="2">
        <v>60251006</v>
      </c>
      <c r="I858" s="8">
        <v>2</v>
      </c>
    </row>
    <row r="859" spans="2:9" x14ac:dyDescent="0.25">
      <c r="B859" s="8">
        <f>1000000+INDEX(编号表!$B:$B,MATCH(C859,编号表!$A:$A,0))*1000+INDEX(编号表!$D:$D,MATCH(D859,编号表!$C:$C,0))*100+E859</f>
        <v>1026902</v>
      </c>
      <c r="C859" s="2" t="s">
        <v>245</v>
      </c>
      <c r="D859" s="8" t="s">
        <v>246</v>
      </c>
      <c r="E859" s="8">
        <f t="shared" si="25"/>
        <v>2</v>
      </c>
      <c r="F859" s="2" t="s">
        <v>240</v>
      </c>
      <c r="G859" s="12" t="s">
        <v>62</v>
      </c>
      <c r="H859" s="2">
        <v>60251007</v>
      </c>
      <c r="I859" s="8">
        <v>2</v>
      </c>
    </row>
    <row r="860" spans="2:9" x14ac:dyDescent="0.25">
      <c r="B860" s="8">
        <f>1000000+INDEX(编号表!$B:$B,MATCH(C860,编号表!$A:$A,0))*1000+INDEX(编号表!$D:$D,MATCH(D860,编号表!$C:$C,0))*100+E860</f>
        <v>1026203</v>
      </c>
      <c r="C860" s="2" t="s">
        <v>245</v>
      </c>
      <c r="D860" s="8" t="s">
        <v>60</v>
      </c>
      <c r="E860" s="8">
        <f t="shared" si="25"/>
        <v>3</v>
      </c>
      <c r="F860" s="2" t="s">
        <v>220</v>
      </c>
      <c r="G860" s="12" t="s">
        <v>62</v>
      </c>
      <c r="H860" s="2">
        <v>60251000</v>
      </c>
      <c r="I860" s="8">
        <v>3</v>
      </c>
    </row>
    <row r="861" spans="2:9" x14ac:dyDescent="0.25">
      <c r="B861" s="8">
        <f>1000000+INDEX(编号表!$B:$B,MATCH(C861,编号表!$A:$A,0))*1000+INDEX(编号表!$D:$D,MATCH(D861,编号表!$C:$C,0))*100+E861</f>
        <v>1026303</v>
      </c>
      <c r="C861" s="2" t="s">
        <v>245</v>
      </c>
      <c r="D861" s="8" t="s">
        <v>63</v>
      </c>
      <c r="E861" s="8">
        <f t="shared" si="25"/>
        <v>3</v>
      </c>
      <c r="F861" s="2" t="s">
        <v>222</v>
      </c>
      <c r="G861" s="12" t="s">
        <v>62</v>
      </c>
      <c r="H861" s="2">
        <v>60251001</v>
      </c>
      <c r="I861" s="8">
        <v>3</v>
      </c>
    </row>
    <row r="862" spans="2:9" x14ac:dyDescent="0.25">
      <c r="B862" s="8">
        <f>1000000+INDEX(编号表!$B:$B,MATCH(C862,编号表!$A:$A,0))*1000+INDEX(编号表!$D:$D,MATCH(D862,编号表!$C:$C,0))*100+E862</f>
        <v>1026403</v>
      </c>
      <c r="C862" s="2" t="s">
        <v>245</v>
      </c>
      <c r="D862" s="8" t="s">
        <v>65</v>
      </c>
      <c r="E862" s="8">
        <f t="shared" si="25"/>
        <v>3</v>
      </c>
      <c r="F862" s="2" t="s">
        <v>221</v>
      </c>
      <c r="G862" s="12" t="s">
        <v>62</v>
      </c>
      <c r="H862" s="2">
        <v>60251002</v>
      </c>
      <c r="I862" s="8">
        <v>3</v>
      </c>
    </row>
    <row r="863" spans="2:9" x14ac:dyDescent="0.25">
      <c r="B863" s="8">
        <f>1000000+INDEX(编号表!$B:$B,MATCH(C863,编号表!$A:$A,0))*1000+INDEX(编号表!$D:$D,MATCH(D863,编号表!$C:$C,0))*100+E863</f>
        <v>1026503</v>
      </c>
      <c r="C863" s="2" t="s">
        <v>245</v>
      </c>
      <c r="D863" s="8" t="s">
        <v>67</v>
      </c>
      <c r="E863" s="8">
        <f t="shared" si="25"/>
        <v>3</v>
      </c>
      <c r="F863" s="2" t="s">
        <v>206</v>
      </c>
      <c r="G863" s="12" t="s">
        <v>62</v>
      </c>
      <c r="H863" s="2">
        <v>60251003</v>
      </c>
      <c r="I863" s="8">
        <v>3</v>
      </c>
    </row>
    <row r="864" spans="2:9" x14ac:dyDescent="0.25">
      <c r="B864" s="8">
        <f>1000000+INDEX(编号表!$B:$B,MATCH(C864,编号表!$A:$A,0))*1000+INDEX(编号表!$D:$D,MATCH(D864,编号表!$C:$C,0))*100+E864</f>
        <v>1026603</v>
      </c>
      <c r="C864" s="2" t="s">
        <v>245</v>
      </c>
      <c r="D864" s="8" t="s">
        <v>69</v>
      </c>
      <c r="E864" s="8">
        <f t="shared" si="25"/>
        <v>3</v>
      </c>
      <c r="F864" s="2" t="s">
        <v>224</v>
      </c>
      <c r="G864" s="12" t="s">
        <v>62</v>
      </c>
      <c r="H864" s="2">
        <v>60251004</v>
      </c>
      <c r="I864" s="8">
        <v>3</v>
      </c>
    </row>
    <row r="865" spans="2:9" x14ac:dyDescent="0.25">
      <c r="B865" s="8">
        <f>1000000+INDEX(编号表!$B:$B,MATCH(C865,编号表!$A:$A,0))*1000+INDEX(编号表!$D:$D,MATCH(D865,编号表!$C:$C,0))*100+E865</f>
        <v>1026703</v>
      </c>
      <c r="C865" s="2" t="s">
        <v>245</v>
      </c>
      <c r="D865" s="8" t="s">
        <v>179</v>
      </c>
      <c r="E865" s="8">
        <f t="shared" si="25"/>
        <v>3</v>
      </c>
      <c r="F865" s="2" t="s">
        <v>238</v>
      </c>
      <c r="G865" s="12" t="s">
        <v>62</v>
      </c>
      <c r="H865" s="2">
        <v>60251005</v>
      </c>
      <c r="I865" s="8">
        <v>3</v>
      </c>
    </row>
    <row r="866" spans="2:9" x14ac:dyDescent="0.25">
      <c r="B866" s="8">
        <f>1000000+INDEX(编号表!$B:$B,MATCH(C866,编号表!$A:$A,0))*1000+INDEX(编号表!$D:$D,MATCH(D866,编号表!$C:$C,0))*100+E866</f>
        <v>1026803</v>
      </c>
      <c r="C866" s="2" t="s">
        <v>245</v>
      </c>
      <c r="D866" s="8" t="s">
        <v>191</v>
      </c>
      <c r="E866" s="8">
        <f t="shared" si="25"/>
        <v>3</v>
      </c>
      <c r="F866" s="2" t="s">
        <v>237</v>
      </c>
      <c r="G866" s="12" t="s">
        <v>62</v>
      </c>
      <c r="H866" s="2">
        <v>60251006</v>
      </c>
      <c r="I866" s="8">
        <v>3</v>
      </c>
    </row>
    <row r="867" spans="2:9" x14ac:dyDescent="0.25">
      <c r="B867" s="8">
        <f>1000000+INDEX(编号表!$B:$B,MATCH(C867,编号表!$A:$A,0))*1000+INDEX(编号表!$D:$D,MATCH(D867,编号表!$C:$C,0))*100+E867</f>
        <v>1026903</v>
      </c>
      <c r="C867" s="2" t="s">
        <v>245</v>
      </c>
      <c r="D867" s="8" t="s">
        <v>246</v>
      </c>
      <c r="E867" s="8">
        <f t="shared" si="25"/>
        <v>3</v>
      </c>
      <c r="F867" s="2" t="s">
        <v>240</v>
      </c>
      <c r="G867" s="12" t="s">
        <v>62</v>
      </c>
      <c r="H867" s="2">
        <v>60251007</v>
      </c>
      <c r="I867" s="8">
        <v>3</v>
      </c>
    </row>
    <row r="868" spans="2:9" x14ac:dyDescent="0.25">
      <c r="B868" s="8">
        <f>1000000+INDEX(编号表!$B:$B,MATCH(C868,编号表!$A:$A,0))*1000+INDEX(编号表!$D:$D,MATCH(D868,编号表!$C:$C,0))*100+E868</f>
        <v>1026205</v>
      </c>
      <c r="C868" s="2" t="s">
        <v>245</v>
      </c>
      <c r="D868" s="8" t="s">
        <v>60</v>
      </c>
      <c r="E868" s="8">
        <f t="shared" si="25"/>
        <v>5</v>
      </c>
      <c r="F868" s="2" t="s">
        <v>220</v>
      </c>
      <c r="G868" s="12" t="s">
        <v>62</v>
      </c>
      <c r="H868" s="2">
        <v>60251000</v>
      </c>
      <c r="I868" s="8">
        <v>5</v>
      </c>
    </row>
    <row r="869" spans="2:9" x14ac:dyDescent="0.25">
      <c r="B869" s="8">
        <f>1000000+INDEX(编号表!$B:$B,MATCH(C869,编号表!$A:$A,0))*1000+INDEX(编号表!$D:$D,MATCH(D869,编号表!$C:$C,0))*100+E869</f>
        <v>1026305</v>
      </c>
      <c r="C869" s="2" t="s">
        <v>245</v>
      </c>
      <c r="D869" s="8" t="s">
        <v>63</v>
      </c>
      <c r="E869" s="8">
        <f t="shared" si="25"/>
        <v>5</v>
      </c>
      <c r="F869" s="2" t="s">
        <v>222</v>
      </c>
      <c r="G869" s="12" t="s">
        <v>62</v>
      </c>
      <c r="H869" s="2">
        <v>60251001</v>
      </c>
      <c r="I869" s="8">
        <v>5</v>
      </c>
    </row>
    <row r="870" spans="2:9" x14ac:dyDescent="0.25">
      <c r="B870" s="8">
        <f>1000000+INDEX(编号表!$B:$B,MATCH(C870,编号表!$A:$A,0))*1000+INDEX(编号表!$D:$D,MATCH(D870,编号表!$C:$C,0))*100+E870</f>
        <v>1026405</v>
      </c>
      <c r="C870" s="2" t="s">
        <v>245</v>
      </c>
      <c r="D870" s="8" t="s">
        <v>65</v>
      </c>
      <c r="E870" s="8">
        <f t="shared" si="25"/>
        <v>5</v>
      </c>
      <c r="F870" s="2" t="s">
        <v>221</v>
      </c>
      <c r="G870" s="12" t="s">
        <v>62</v>
      </c>
      <c r="H870" s="2">
        <v>60251002</v>
      </c>
      <c r="I870" s="8">
        <v>5</v>
      </c>
    </row>
    <row r="871" spans="2:9" x14ac:dyDescent="0.25">
      <c r="B871" s="8">
        <f>1000000+INDEX(编号表!$B:$B,MATCH(C871,编号表!$A:$A,0))*1000+INDEX(编号表!$D:$D,MATCH(D871,编号表!$C:$C,0))*100+E871</f>
        <v>1026505</v>
      </c>
      <c r="C871" s="2" t="s">
        <v>245</v>
      </c>
      <c r="D871" s="8" t="s">
        <v>67</v>
      </c>
      <c r="E871" s="8">
        <f t="shared" si="25"/>
        <v>5</v>
      </c>
      <c r="F871" s="2" t="s">
        <v>206</v>
      </c>
      <c r="G871" s="12" t="s">
        <v>62</v>
      </c>
      <c r="H871" s="2">
        <v>60251003</v>
      </c>
      <c r="I871" s="8">
        <v>5</v>
      </c>
    </row>
    <row r="872" spans="2:9" x14ac:dyDescent="0.25">
      <c r="B872" s="8">
        <f>1000000+INDEX(编号表!$B:$B,MATCH(C872,编号表!$A:$A,0))*1000+INDEX(编号表!$D:$D,MATCH(D872,编号表!$C:$C,0))*100+E872</f>
        <v>1026605</v>
      </c>
      <c r="C872" s="2" t="s">
        <v>245</v>
      </c>
      <c r="D872" s="8" t="s">
        <v>69</v>
      </c>
      <c r="E872" s="8">
        <f t="shared" si="25"/>
        <v>5</v>
      </c>
      <c r="F872" s="2" t="s">
        <v>224</v>
      </c>
      <c r="G872" s="12" t="s">
        <v>62</v>
      </c>
      <c r="H872" s="2">
        <v>60251004</v>
      </c>
      <c r="I872" s="8">
        <v>5</v>
      </c>
    </row>
    <row r="873" spans="2:9" x14ac:dyDescent="0.25">
      <c r="B873" s="8">
        <f>1000000+INDEX(编号表!$B:$B,MATCH(C873,编号表!$A:$A,0))*1000+INDEX(编号表!$D:$D,MATCH(D873,编号表!$C:$C,0))*100+E873</f>
        <v>1026705</v>
      </c>
      <c r="C873" s="2" t="s">
        <v>245</v>
      </c>
      <c r="D873" s="8" t="s">
        <v>179</v>
      </c>
      <c r="E873" s="8">
        <f t="shared" si="25"/>
        <v>5</v>
      </c>
      <c r="F873" s="2" t="s">
        <v>238</v>
      </c>
      <c r="G873" s="12" t="s">
        <v>62</v>
      </c>
      <c r="H873" s="2">
        <v>60251005</v>
      </c>
      <c r="I873" s="8">
        <v>5</v>
      </c>
    </row>
    <row r="874" spans="2:9" x14ac:dyDescent="0.25">
      <c r="B874" s="8">
        <f>1000000+INDEX(编号表!$B:$B,MATCH(C874,编号表!$A:$A,0))*1000+INDEX(编号表!$D:$D,MATCH(D874,编号表!$C:$C,0))*100+E874</f>
        <v>1026805</v>
      </c>
      <c r="C874" s="2" t="s">
        <v>245</v>
      </c>
      <c r="D874" s="8" t="s">
        <v>191</v>
      </c>
      <c r="E874" s="8">
        <f t="shared" si="25"/>
        <v>5</v>
      </c>
      <c r="F874" s="2" t="s">
        <v>237</v>
      </c>
      <c r="G874" s="12" t="s">
        <v>62</v>
      </c>
      <c r="H874" s="2">
        <v>60251006</v>
      </c>
      <c r="I874" s="8">
        <v>5</v>
      </c>
    </row>
    <row r="875" spans="2:9" x14ac:dyDescent="0.25">
      <c r="B875" s="8">
        <f>1000000+INDEX(编号表!$B:$B,MATCH(C875,编号表!$A:$A,0))*1000+INDEX(编号表!$D:$D,MATCH(D875,编号表!$C:$C,0))*100+E875</f>
        <v>1026905</v>
      </c>
      <c r="C875" s="2" t="s">
        <v>245</v>
      </c>
      <c r="D875" s="8" t="s">
        <v>246</v>
      </c>
      <c r="E875" s="8">
        <f t="shared" si="25"/>
        <v>5</v>
      </c>
      <c r="F875" s="2" t="s">
        <v>240</v>
      </c>
      <c r="G875" s="12" t="s">
        <v>62</v>
      </c>
      <c r="H875" s="2">
        <v>60251007</v>
      </c>
      <c r="I875" s="8">
        <v>5</v>
      </c>
    </row>
    <row r="876" spans="2:9" x14ac:dyDescent="0.25">
      <c r="B876" s="8">
        <f>1000000+INDEX(编号表!$B:$B,MATCH(C876,编号表!$A:$A,0))*1000+INDEX(编号表!$D:$D,MATCH(D876,编号表!$C:$C,0))*100+E876</f>
        <v>1026210</v>
      </c>
      <c r="C876" s="2" t="s">
        <v>245</v>
      </c>
      <c r="D876" s="8" t="s">
        <v>60</v>
      </c>
      <c r="E876" s="8">
        <f t="shared" si="25"/>
        <v>10</v>
      </c>
      <c r="F876" s="2" t="s">
        <v>220</v>
      </c>
      <c r="G876" s="12" t="s">
        <v>62</v>
      </c>
      <c r="H876" s="2">
        <v>60251000</v>
      </c>
      <c r="I876" s="8">
        <v>10</v>
      </c>
    </row>
    <row r="877" spans="2:9" x14ac:dyDescent="0.25">
      <c r="B877" s="8">
        <f>1000000+INDEX(编号表!$B:$B,MATCH(C877,编号表!$A:$A,0))*1000+INDEX(编号表!$D:$D,MATCH(D877,编号表!$C:$C,0))*100+E877</f>
        <v>1026310</v>
      </c>
      <c r="C877" s="2" t="s">
        <v>245</v>
      </c>
      <c r="D877" s="8" t="s">
        <v>63</v>
      </c>
      <c r="E877" s="8">
        <f t="shared" si="25"/>
        <v>10</v>
      </c>
      <c r="F877" s="2" t="s">
        <v>222</v>
      </c>
      <c r="G877" s="12" t="s">
        <v>62</v>
      </c>
      <c r="H877" s="2">
        <v>60251001</v>
      </c>
      <c r="I877" s="8">
        <v>10</v>
      </c>
    </row>
    <row r="878" spans="2:9" x14ac:dyDescent="0.25">
      <c r="B878" s="8">
        <f>1000000+INDEX(编号表!$B:$B,MATCH(C878,编号表!$A:$A,0))*1000+INDEX(编号表!$D:$D,MATCH(D878,编号表!$C:$C,0))*100+E878</f>
        <v>1026410</v>
      </c>
      <c r="C878" s="2" t="s">
        <v>245</v>
      </c>
      <c r="D878" s="8" t="s">
        <v>65</v>
      </c>
      <c r="E878" s="8">
        <f t="shared" si="25"/>
        <v>10</v>
      </c>
      <c r="F878" s="2" t="s">
        <v>221</v>
      </c>
      <c r="G878" s="12" t="s">
        <v>62</v>
      </c>
      <c r="H878" s="2">
        <v>60251002</v>
      </c>
      <c r="I878" s="8">
        <v>10</v>
      </c>
    </row>
    <row r="879" spans="2:9" x14ac:dyDescent="0.25">
      <c r="B879" s="8">
        <f>1000000+INDEX(编号表!$B:$B,MATCH(C879,编号表!$A:$A,0))*1000+INDEX(编号表!$D:$D,MATCH(D879,编号表!$C:$C,0))*100+E879</f>
        <v>1026510</v>
      </c>
      <c r="C879" s="2" t="s">
        <v>245</v>
      </c>
      <c r="D879" s="8" t="s">
        <v>67</v>
      </c>
      <c r="E879" s="8">
        <f t="shared" si="25"/>
        <v>10</v>
      </c>
      <c r="F879" s="2" t="s">
        <v>206</v>
      </c>
      <c r="G879" s="12" t="s">
        <v>62</v>
      </c>
      <c r="H879" s="2">
        <v>60251003</v>
      </c>
      <c r="I879" s="8">
        <v>10</v>
      </c>
    </row>
    <row r="880" spans="2:9" x14ac:dyDescent="0.25">
      <c r="B880" s="8">
        <f>1000000+INDEX(编号表!$B:$B,MATCH(C880,编号表!$A:$A,0))*1000+INDEX(编号表!$D:$D,MATCH(D880,编号表!$C:$C,0))*100+E880</f>
        <v>1026610</v>
      </c>
      <c r="C880" s="2" t="s">
        <v>245</v>
      </c>
      <c r="D880" s="8" t="s">
        <v>69</v>
      </c>
      <c r="E880" s="8">
        <f t="shared" si="25"/>
        <v>10</v>
      </c>
      <c r="F880" s="2" t="s">
        <v>224</v>
      </c>
      <c r="G880" s="12" t="s">
        <v>62</v>
      </c>
      <c r="H880" s="2">
        <v>60251004</v>
      </c>
      <c r="I880" s="8">
        <v>10</v>
      </c>
    </row>
    <row r="881" spans="2:9" x14ac:dyDescent="0.25">
      <c r="B881" s="8">
        <f>1000000+INDEX(编号表!$B:$B,MATCH(C881,编号表!$A:$A,0))*1000+INDEX(编号表!$D:$D,MATCH(D881,编号表!$C:$C,0))*100+E881</f>
        <v>1026710</v>
      </c>
      <c r="C881" s="2" t="s">
        <v>245</v>
      </c>
      <c r="D881" s="8" t="s">
        <v>179</v>
      </c>
      <c r="E881" s="8">
        <f t="shared" si="25"/>
        <v>10</v>
      </c>
      <c r="F881" s="2" t="s">
        <v>238</v>
      </c>
      <c r="G881" s="12" t="s">
        <v>62</v>
      </c>
      <c r="H881" s="2">
        <v>60251005</v>
      </c>
      <c r="I881" s="8">
        <v>10</v>
      </c>
    </row>
    <row r="882" spans="2:9" x14ac:dyDescent="0.25">
      <c r="B882" s="8">
        <f>1000000+INDEX(编号表!$B:$B,MATCH(C882,编号表!$A:$A,0))*1000+INDEX(编号表!$D:$D,MATCH(D882,编号表!$C:$C,0))*100+E882</f>
        <v>1026810</v>
      </c>
      <c r="C882" s="2" t="s">
        <v>245</v>
      </c>
      <c r="D882" s="8" t="s">
        <v>191</v>
      </c>
      <c r="E882" s="8">
        <f t="shared" si="25"/>
        <v>10</v>
      </c>
      <c r="F882" s="2" t="s">
        <v>237</v>
      </c>
      <c r="G882" s="12" t="s">
        <v>62</v>
      </c>
      <c r="H882" s="2">
        <v>60251006</v>
      </c>
      <c r="I882" s="8">
        <v>10</v>
      </c>
    </row>
    <row r="883" spans="2:9" x14ac:dyDescent="0.25">
      <c r="B883" s="8">
        <f>1000000+INDEX(编号表!$B:$B,MATCH(C883,编号表!$A:$A,0))*1000+INDEX(编号表!$D:$D,MATCH(D883,编号表!$C:$C,0))*100+E883</f>
        <v>1026910</v>
      </c>
      <c r="C883" s="2" t="s">
        <v>245</v>
      </c>
      <c r="D883" s="8" t="s">
        <v>246</v>
      </c>
      <c r="E883" s="8">
        <f t="shared" si="25"/>
        <v>10</v>
      </c>
      <c r="F883" s="2" t="s">
        <v>240</v>
      </c>
      <c r="G883" s="12" t="s">
        <v>62</v>
      </c>
      <c r="H883" s="2">
        <v>60251007</v>
      </c>
      <c r="I883" s="8">
        <v>10</v>
      </c>
    </row>
    <row r="884" spans="2:9" x14ac:dyDescent="0.25">
      <c r="B884" s="8">
        <f>1000000+INDEX(编号表!$B:$B,MATCH(C884,编号表!$A:$A,0))*1000+INDEX(编号表!$D:$D,MATCH(D884,编号表!$C:$C,0))*100+E884</f>
        <v>1026215</v>
      </c>
      <c r="C884" s="2" t="s">
        <v>245</v>
      </c>
      <c r="D884" s="8" t="s">
        <v>60</v>
      </c>
      <c r="E884" s="8">
        <f t="shared" si="25"/>
        <v>15</v>
      </c>
      <c r="F884" s="2" t="s">
        <v>220</v>
      </c>
      <c r="G884" s="12" t="s">
        <v>62</v>
      </c>
      <c r="H884" s="2">
        <v>60251000</v>
      </c>
      <c r="I884" s="8">
        <v>15</v>
      </c>
    </row>
    <row r="885" spans="2:9" x14ac:dyDescent="0.25">
      <c r="B885" s="8">
        <f>1000000+INDEX(编号表!$B:$B,MATCH(C885,编号表!$A:$A,0))*1000+INDEX(编号表!$D:$D,MATCH(D885,编号表!$C:$C,0))*100+E885</f>
        <v>1026315</v>
      </c>
      <c r="C885" s="2" t="s">
        <v>245</v>
      </c>
      <c r="D885" s="8" t="s">
        <v>63</v>
      </c>
      <c r="E885" s="8">
        <f t="shared" si="25"/>
        <v>15</v>
      </c>
      <c r="F885" s="2" t="s">
        <v>222</v>
      </c>
      <c r="G885" s="12" t="s">
        <v>62</v>
      </c>
      <c r="H885" s="2">
        <v>60251001</v>
      </c>
      <c r="I885" s="8">
        <v>15</v>
      </c>
    </row>
    <row r="886" spans="2:9" x14ac:dyDescent="0.25">
      <c r="B886" s="8">
        <f>1000000+INDEX(编号表!$B:$B,MATCH(C886,编号表!$A:$A,0))*1000+INDEX(编号表!$D:$D,MATCH(D886,编号表!$C:$C,0))*100+E886</f>
        <v>1026415</v>
      </c>
      <c r="C886" s="2" t="s">
        <v>245</v>
      </c>
      <c r="D886" s="8" t="s">
        <v>65</v>
      </c>
      <c r="E886" s="8">
        <f t="shared" si="25"/>
        <v>15</v>
      </c>
      <c r="F886" s="2" t="s">
        <v>221</v>
      </c>
      <c r="G886" s="12" t="s">
        <v>62</v>
      </c>
      <c r="H886" s="2">
        <v>60251002</v>
      </c>
      <c r="I886" s="8">
        <v>15</v>
      </c>
    </row>
    <row r="887" spans="2:9" x14ac:dyDescent="0.25">
      <c r="B887" s="8">
        <f>1000000+INDEX(编号表!$B:$B,MATCH(C887,编号表!$A:$A,0))*1000+INDEX(编号表!$D:$D,MATCH(D887,编号表!$C:$C,0))*100+E887</f>
        <v>1026515</v>
      </c>
      <c r="C887" s="2" t="s">
        <v>245</v>
      </c>
      <c r="D887" s="8" t="s">
        <v>67</v>
      </c>
      <c r="E887" s="8">
        <f t="shared" si="25"/>
        <v>15</v>
      </c>
      <c r="F887" s="2" t="s">
        <v>206</v>
      </c>
      <c r="G887" s="12" t="s">
        <v>62</v>
      </c>
      <c r="H887" s="2">
        <v>60251003</v>
      </c>
      <c r="I887" s="8">
        <v>15</v>
      </c>
    </row>
    <row r="888" spans="2:9" x14ac:dyDescent="0.25">
      <c r="B888" s="8">
        <f>1000000+INDEX(编号表!$B:$B,MATCH(C888,编号表!$A:$A,0))*1000+INDEX(编号表!$D:$D,MATCH(D888,编号表!$C:$C,0))*100+E888</f>
        <v>1026615</v>
      </c>
      <c r="C888" s="2" t="s">
        <v>245</v>
      </c>
      <c r="D888" s="8" t="s">
        <v>69</v>
      </c>
      <c r="E888" s="8">
        <f t="shared" si="25"/>
        <v>15</v>
      </c>
      <c r="F888" s="2" t="s">
        <v>224</v>
      </c>
      <c r="G888" s="12" t="s">
        <v>62</v>
      </c>
      <c r="H888" s="2">
        <v>60251004</v>
      </c>
      <c r="I888" s="8">
        <v>15</v>
      </c>
    </row>
    <row r="889" spans="2:9" x14ac:dyDescent="0.25">
      <c r="B889" s="8">
        <f>1000000+INDEX(编号表!$B:$B,MATCH(C889,编号表!$A:$A,0))*1000+INDEX(编号表!$D:$D,MATCH(D889,编号表!$C:$C,0))*100+E889</f>
        <v>1026715</v>
      </c>
      <c r="C889" s="2" t="s">
        <v>245</v>
      </c>
      <c r="D889" s="8" t="s">
        <v>179</v>
      </c>
      <c r="E889" s="8">
        <f t="shared" si="25"/>
        <v>15</v>
      </c>
      <c r="F889" s="2" t="s">
        <v>238</v>
      </c>
      <c r="G889" s="12" t="s">
        <v>62</v>
      </c>
      <c r="H889" s="2">
        <v>60251005</v>
      </c>
      <c r="I889" s="8">
        <v>15</v>
      </c>
    </row>
    <row r="890" spans="2:9" x14ac:dyDescent="0.25">
      <c r="B890" s="8">
        <f>1000000+INDEX(编号表!$B:$B,MATCH(C890,编号表!$A:$A,0))*1000+INDEX(编号表!$D:$D,MATCH(D890,编号表!$C:$C,0))*100+E890</f>
        <v>1026815</v>
      </c>
      <c r="C890" s="2" t="s">
        <v>245</v>
      </c>
      <c r="D890" s="8" t="s">
        <v>191</v>
      </c>
      <c r="E890" s="8">
        <f t="shared" si="25"/>
        <v>15</v>
      </c>
      <c r="F890" s="2" t="s">
        <v>237</v>
      </c>
      <c r="G890" s="12" t="s">
        <v>62</v>
      </c>
      <c r="H890" s="2">
        <v>60251006</v>
      </c>
      <c r="I890" s="8">
        <v>15</v>
      </c>
    </row>
    <row r="891" spans="2:9" x14ac:dyDescent="0.25">
      <c r="B891" s="8">
        <f>1000000+INDEX(编号表!$B:$B,MATCH(C891,编号表!$A:$A,0))*1000+INDEX(编号表!$D:$D,MATCH(D891,编号表!$C:$C,0))*100+E891</f>
        <v>1026915</v>
      </c>
      <c r="C891" s="2" t="s">
        <v>245</v>
      </c>
      <c r="D891" s="8" t="s">
        <v>246</v>
      </c>
      <c r="E891" s="8">
        <f t="shared" si="25"/>
        <v>15</v>
      </c>
      <c r="F891" s="2" t="s">
        <v>240</v>
      </c>
      <c r="G891" s="12" t="s">
        <v>62</v>
      </c>
      <c r="H891" s="2">
        <v>60251007</v>
      </c>
      <c r="I891" s="8">
        <v>15</v>
      </c>
    </row>
    <row r="892" spans="2:9" x14ac:dyDescent="0.25">
      <c r="B892" s="8">
        <f>1000000+INDEX(编号表!$B:$B,MATCH(C892,编号表!$A:$A,0))*1000+INDEX(编号表!$D:$D,MATCH(D892,编号表!$C:$C,0))*100+E892</f>
        <v>1027001</v>
      </c>
      <c r="C892" s="2" t="s">
        <v>247</v>
      </c>
      <c r="D892" s="8" t="s">
        <v>55</v>
      </c>
      <c r="E892" s="8">
        <v>1</v>
      </c>
      <c r="F892" s="11" t="s">
        <v>56</v>
      </c>
      <c r="G892" s="12" t="s">
        <v>57</v>
      </c>
      <c r="H892" s="8">
        <v>60264000</v>
      </c>
      <c r="I892" s="8">
        <v>1</v>
      </c>
    </row>
    <row r="893" spans="2:9" x14ac:dyDescent="0.25">
      <c r="B893" s="8">
        <f>1000000+INDEX(编号表!$B:$B,MATCH(C893,编号表!$A:$A,0))*1000+INDEX(编号表!$D:$D,MATCH(D893,编号表!$C:$C,0))*100+E893</f>
        <v>1027002</v>
      </c>
      <c r="C893" s="2" t="s">
        <v>247</v>
      </c>
      <c r="D893" s="8" t="s">
        <v>55</v>
      </c>
      <c r="E893" s="8">
        <v>2</v>
      </c>
      <c r="F893" s="11" t="s">
        <v>56</v>
      </c>
      <c r="G893" s="12" t="s">
        <v>57</v>
      </c>
      <c r="H893" s="8">
        <v>60264001</v>
      </c>
      <c r="I893" s="8">
        <v>1</v>
      </c>
    </row>
    <row r="894" spans="2:9" x14ac:dyDescent="0.25">
      <c r="B894" s="8">
        <f>1000000+INDEX(编号表!$B:$B,MATCH(C894,编号表!$A:$A,0))*1000+INDEX(编号表!$D:$D,MATCH(D894,编号表!$C:$C,0))*100+E894</f>
        <v>1027003</v>
      </c>
      <c r="C894" s="2" t="s">
        <v>247</v>
      </c>
      <c r="D894" s="8" t="s">
        <v>55</v>
      </c>
      <c r="E894" s="8">
        <v>3</v>
      </c>
      <c r="F894" s="11" t="s">
        <v>56</v>
      </c>
      <c r="G894" s="12" t="s">
        <v>57</v>
      </c>
      <c r="H894" s="8">
        <v>60264002</v>
      </c>
      <c r="I894" s="8">
        <v>1</v>
      </c>
    </row>
    <row r="895" spans="2:9" x14ac:dyDescent="0.25">
      <c r="B895" s="8">
        <f>1000000+INDEX(编号表!$B:$B,MATCH(C895,编号表!$A:$A,0))*1000+INDEX(编号表!$D:$D,MATCH(D895,编号表!$C:$C,0))*100+E895</f>
        <v>1027101</v>
      </c>
      <c r="C895" s="2" t="s">
        <v>247</v>
      </c>
      <c r="D895" s="8" t="s">
        <v>58</v>
      </c>
      <c r="E895" s="8">
        <v>1</v>
      </c>
      <c r="F895" s="11" t="s">
        <v>59</v>
      </c>
      <c r="G895" s="12" t="s">
        <v>57</v>
      </c>
      <c r="H895" s="15">
        <v>60262000</v>
      </c>
      <c r="I895" s="8">
        <v>1</v>
      </c>
    </row>
    <row r="896" spans="2:9" x14ac:dyDescent="0.25">
      <c r="B896" s="8">
        <f>1000000+INDEX(编号表!$B:$B,MATCH(C896,编号表!$A:$A,0))*1000+INDEX(编号表!$D:$D,MATCH(D896,编号表!$C:$C,0))*100+E896</f>
        <v>1027102</v>
      </c>
      <c r="C896" s="2" t="s">
        <v>247</v>
      </c>
      <c r="D896" s="8" t="s">
        <v>58</v>
      </c>
      <c r="E896" s="8">
        <v>2</v>
      </c>
      <c r="F896" s="11" t="s">
        <v>59</v>
      </c>
      <c r="G896" s="12" t="s">
        <v>57</v>
      </c>
      <c r="H896" s="15">
        <v>60262001</v>
      </c>
      <c r="I896" s="8">
        <v>1</v>
      </c>
    </row>
    <row r="897" spans="2:9" x14ac:dyDescent="0.25">
      <c r="B897" s="8">
        <f>1000000+INDEX(编号表!$B:$B,MATCH(C897,编号表!$A:$A,0))*1000+INDEX(编号表!$D:$D,MATCH(D897,编号表!$C:$C,0))*100+E897</f>
        <v>1027103</v>
      </c>
      <c r="C897" s="2" t="s">
        <v>247</v>
      </c>
      <c r="D897" s="8" t="s">
        <v>58</v>
      </c>
      <c r="E897" s="8">
        <v>3</v>
      </c>
      <c r="F897" s="11" t="s">
        <v>59</v>
      </c>
      <c r="G897" s="12" t="s">
        <v>57</v>
      </c>
      <c r="H897" s="15">
        <v>60262002</v>
      </c>
      <c r="I897" s="8">
        <v>1</v>
      </c>
    </row>
    <row r="898" spans="2:9" x14ac:dyDescent="0.25">
      <c r="B898" s="8">
        <f>1000000+INDEX(编号表!$B:$B,MATCH(C898,编号表!$A:$A,0))*1000+INDEX(编号表!$D:$D,MATCH(D898,编号表!$C:$C,0))*100+E898</f>
        <v>1027201</v>
      </c>
      <c r="C898" s="2" t="s">
        <v>247</v>
      </c>
      <c r="D898" s="8" t="s">
        <v>60</v>
      </c>
      <c r="E898" s="8">
        <f t="shared" ref="E898:E939" si="26">I898+K898+M898+O898+Q898+S898+U898+W898+Y898+AA898</f>
        <v>1</v>
      </c>
      <c r="F898" s="2" t="s">
        <v>222</v>
      </c>
      <c r="G898" s="12" t="s">
        <v>62</v>
      </c>
      <c r="H898" s="2">
        <v>60261000</v>
      </c>
      <c r="I898" s="8">
        <v>1</v>
      </c>
    </row>
    <row r="899" spans="2:9" x14ac:dyDescent="0.25">
      <c r="B899" s="8">
        <f>1000000+INDEX(编号表!$B:$B,MATCH(C899,编号表!$A:$A,0))*1000+INDEX(编号表!$D:$D,MATCH(D899,编号表!$C:$C,0))*100+E899</f>
        <v>1027301</v>
      </c>
      <c r="C899" s="2" t="s">
        <v>247</v>
      </c>
      <c r="D899" s="8" t="s">
        <v>63</v>
      </c>
      <c r="E899" s="8">
        <f t="shared" si="26"/>
        <v>1</v>
      </c>
      <c r="F899" s="2" t="s">
        <v>221</v>
      </c>
      <c r="G899" s="12" t="s">
        <v>62</v>
      </c>
      <c r="H899" s="2">
        <v>60261001</v>
      </c>
      <c r="I899" s="8">
        <v>1</v>
      </c>
    </row>
    <row r="900" spans="2:9" x14ac:dyDescent="0.25">
      <c r="B900" s="8">
        <f>1000000+INDEX(编号表!$B:$B,MATCH(C900,编号表!$A:$A,0))*1000+INDEX(编号表!$D:$D,MATCH(D900,编号表!$C:$C,0))*100+E900</f>
        <v>1027401</v>
      </c>
      <c r="C900" s="2" t="s">
        <v>247</v>
      </c>
      <c r="D900" s="8" t="s">
        <v>65</v>
      </c>
      <c r="E900" s="8">
        <f t="shared" si="26"/>
        <v>1</v>
      </c>
      <c r="F900" s="2" t="s">
        <v>206</v>
      </c>
      <c r="G900" s="12" t="s">
        <v>62</v>
      </c>
      <c r="H900" s="2">
        <v>60261002</v>
      </c>
      <c r="I900" s="8">
        <v>1</v>
      </c>
    </row>
    <row r="901" spans="2:9" x14ac:dyDescent="0.25">
      <c r="B901" s="8">
        <f>1000000+INDEX(编号表!$B:$B,MATCH(C901,编号表!$A:$A,0))*1000+INDEX(编号表!$D:$D,MATCH(D901,编号表!$C:$C,0))*100+E901</f>
        <v>1027501</v>
      </c>
      <c r="C901" s="2" t="s">
        <v>247</v>
      </c>
      <c r="D901" s="8" t="s">
        <v>67</v>
      </c>
      <c r="E901" s="8">
        <f t="shared" si="26"/>
        <v>1</v>
      </c>
      <c r="F901" s="2" t="s">
        <v>224</v>
      </c>
      <c r="G901" s="12" t="s">
        <v>62</v>
      </c>
      <c r="H901" s="2">
        <v>60261003</v>
      </c>
      <c r="I901" s="8">
        <v>1</v>
      </c>
    </row>
    <row r="902" spans="2:9" x14ac:dyDescent="0.25">
      <c r="B902" s="8">
        <f>1000000+INDEX(编号表!$B:$B,MATCH(C902,编号表!$A:$A,0))*1000+INDEX(编号表!$D:$D,MATCH(D902,编号表!$C:$C,0))*100+E902</f>
        <v>1027601</v>
      </c>
      <c r="C902" s="2" t="s">
        <v>247</v>
      </c>
      <c r="D902" s="8" t="s">
        <v>69</v>
      </c>
      <c r="E902" s="8">
        <f t="shared" si="26"/>
        <v>1</v>
      </c>
      <c r="F902" s="2" t="s">
        <v>238</v>
      </c>
      <c r="G902" s="12" t="s">
        <v>62</v>
      </c>
      <c r="H902" s="2">
        <v>60261004</v>
      </c>
      <c r="I902" s="8">
        <v>1</v>
      </c>
    </row>
    <row r="903" spans="2:9" x14ac:dyDescent="0.25">
      <c r="B903" s="8">
        <f>1000000+INDEX(编号表!$B:$B,MATCH(C903,编号表!$A:$A,0))*1000+INDEX(编号表!$D:$D,MATCH(D903,编号表!$C:$C,0))*100+E903</f>
        <v>1027701</v>
      </c>
      <c r="C903" s="2" t="s">
        <v>247</v>
      </c>
      <c r="D903" s="8" t="s">
        <v>179</v>
      </c>
      <c r="E903" s="8">
        <f t="shared" si="26"/>
        <v>1</v>
      </c>
      <c r="F903" s="2" t="s">
        <v>237</v>
      </c>
      <c r="G903" s="12" t="s">
        <v>62</v>
      </c>
      <c r="H903" s="2">
        <v>60261005</v>
      </c>
      <c r="I903" s="8">
        <v>1</v>
      </c>
    </row>
    <row r="904" spans="2:9" x14ac:dyDescent="0.25">
      <c r="B904" s="8">
        <f>1000000+INDEX(编号表!$B:$B,MATCH(C904,编号表!$A:$A,0))*1000+INDEX(编号表!$D:$D,MATCH(D904,编号表!$C:$C,0))*100+E904</f>
        <v>1027801</v>
      </c>
      <c r="C904" s="2" t="s">
        <v>247</v>
      </c>
      <c r="D904" s="8" t="s">
        <v>191</v>
      </c>
      <c r="E904" s="8">
        <f t="shared" si="26"/>
        <v>1</v>
      </c>
      <c r="F904" s="2" t="s">
        <v>240</v>
      </c>
      <c r="G904" s="12" t="s">
        <v>62</v>
      </c>
      <c r="H904" s="2">
        <v>60261006</v>
      </c>
      <c r="I904" s="8">
        <v>1</v>
      </c>
    </row>
    <row r="905" spans="2:9" x14ac:dyDescent="0.25">
      <c r="B905" s="8">
        <f>1000000+INDEX(编号表!$B:$B,MATCH(C905,编号表!$A:$A,0))*1000+INDEX(编号表!$D:$D,MATCH(D905,编号表!$C:$C,0))*100+E905</f>
        <v>1027202</v>
      </c>
      <c r="C905" s="2" t="s">
        <v>247</v>
      </c>
      <c r="D905" s="8" t="s">
        <v>60</v>
      </c>
      <c r="E905" s="8">
        <f t="shared" si="26"/>
        <v>2</v>
      </c>
      <c r="F905" s="2" t="s">
        <v>222</v>
      </c>
      <c r="G905" s="12" t="s">
        <v>62</v>
      </c>
      <c r="H905" s="2">
        <v>60261000</v>
      </c>
      <c r="I905" s="8">
        <v>2</v>
      </c>
    </row>
    <row r="906" spans="2:9" x14ac:dyDescent="0.25">
      <c r="B906" s="8">
        <f>1000000+INDEX(编号表!$B:$B,MATCH(C906,编号表!$A:$A,0))*1000+INDEX(编号表!$D:$D,MATCH(D906,编号表!$C:$C,0))*100+E906</f>
        <v>1027302</v>
      </c>
      <c r="C906" s="2" t="s">
        <v>247</v>
      </c>
      <c r="D906" s="8" t="s">
        <v>63</v>
      </c>
      <c r="E906" s="8">
        <f t="shared" si="26"/>
        <v>2</v>
      </c>
      <c r="F906" s="2" t="s">
        <v>221</v>
      </c>
      <c r="G906" s="12" t="s">
        <v>62</v>
      </c>
      <c r="H906" s="2">
        <v>60261001</v>
      </c>
      <c r="I906" s="8">
        <v>2</v>
      </c>
    </row>
    <row r="907" spans="2:9" x14ac:dyDescent="0.25">
      <c r="B907" s="8">
        <f>1000000+INDEX(编号表!$B:$B,MATCH(C907,编号表!$A:$A,0))*1000+INDEX(编号表!$D:$D,MATCH(D907,编号表!$C:$C,0))*100+E907</f>
        <v>1027402</v>
      </c>
      <c r="C907" s="2" t="s">
        <v>247</v>
      </c>
      <c r="D907" s="8" t="s">
        <v>65</v>
      </c>
      <c r="E907" s="8">
        <f t="shared" si="26"/>
        <v>2</v>
      </c>
      <c r="F907" s="2" t="s">
        <v>206</v>
      </c>
      <c r="G907" s="12" t="s">
        <v>62</v>
      </c>
      <c r="H907" s="2">
        <v>60261002</v>
      </c>
      <c r="I907" s="8">
        <v>2</v>
      </c>
    </row>
    <row r="908" spans="2:9" x14ac:dyDescent="0.25">
      <c r="B908" s="8">
        <f>1000000+INDEX(编号表!$B:$B,MATCH(C908,编号表!$A:$A,0))*1000+INDEX(编号表!$D:$D,MATCH(D908,编号表!$C:$C,0))*100+E908</f>
        <v>1027502</v>
      </c>
      <c r="C908" s="2" t="s">
        <v>247</v>
      </c>
      <c r="D908" s="8" t="s">
        <v>67</v>
      </c>
      <c r="E908" s="8">
        <f t="shared" si="26"/>
        <v>2</v>
      </c>
      <c r="F908" s="2" t="s">
        <v>224</v>
      </c>
      <c r="G908" s="12" t="s">
        <v>62</v>
      </c>
      <c r="H908" s="2">
        <v>60261003</v>
      </c>
      <c r="I908" s="8">
        <v>2</v>
      </c>
    </row>
    <row r="909" spans="2:9" x14ac:dyDescent="0.25">
      <c r="B909" s="8">
        <f>1000000+INDEX(编号表!$B:$B,MATCH(C909,编号表!$A:$A,0))*1000+INDEX(编号表!$D:$D,MATCH(D909,编号表!$C:$C,0))*100+E909</f>
        <v>1027602</v>
      </c>
      <c r="C909" s="2" t="s">
        <v>247</v>
      </c>
      <c r="D909" s="8" t="s">
        <v>69</v>
      </c>
      <c r="E909" s="8">
        <f t="shared" si="26"/>
        <v>2</v>
      </c>
      <c r="F909" s="2" t="s">
        <v>238</v>
      </c>
      <c r="G909" s="12" t="s">
        <v>62</v>
      </c>
      <c r="H909" s="2">
        <v>60261004</v>
      </c>
      <c r="I909" s="8">
        <v>2</v>
      </c>
    </row>
    <row r="910" spans="2:9" x14ac:dyDescent="0.25">
      <c r="B910" s="8">
        <f>1000000+INDEX(编号表!$B:$B,MATCH(C910,编号表!$A:$A,0))*1000+INDEX(编号表!$D:$D,MATCH(D910,编号表!$C:$C,0))*100+E910</f>
        <v>1027702</v>
      </c>
      <c r="C910" s="2" t="s">
        <v>247</v>
      </c>
      <c r="D910" s="8" t="s">
        <v>179</v>
      </c>
      <c r="E910" s="8">
        <f t="shared" si="26"/>
        <v>2</v>
      </c>
      <c r="F910" s="2" t="s">
        <v>237</v>
      </c>
      <c r="G910" s="12" t="s">
        <v>62</v>
      </c>
      <c r="H910" s="2">
        <v>60261005</v>
      </c>
      <c r="I910" s="8">
        <v>2</v>
      </c>
    </row>
    <row r="911" spans="2:9" x14ac:dyDescent="0.25">
      <c r="B911" s="8">
        <f>1000000+INDEX(编号表!$B:$B,MATCH(C911,编号表!$A:$A,0))*1000+INDEX(编号表!$D:$D,MATCH(D911,编号表!$C:$C,0))*100+E911</f>
        <v>1027802</v>
      </c>
      <c r="C911" s="2" t="s">
        <v>247</v>
      </c>
      <c r="D911" s="8" t="s">
        <v>191</v>
      </c>
      <c r="E911" s="8">
        <f t="shared" si="26"/>
        <v>2</v>
      </c>
      <c r="F911" s="2" t="s">
        <v>240</v>
      </c>
      <c r="G911" s="12" t="s">
        <v>62</v>
      </c>
      <c r="H911" s="2">
        <v>60261006</v>
      </c>
      <c r="I911" s="8">
        <v>2</v>
      </c>
    </row>
    <row r="912" spans="2:9" x14ac:dyDescent="0.25">
      <c r="B912" s="8">
        <f>1000000+INDEX(编号表!$B:$B,MATCH(C912,编号表!$A:$A,0))*1000+INDEX(编号表!$D:$D,MATCH(D912,编号表!$C:$C,0))*100+E912</f>
        <v>1027203</v>
      </c>
      <c r="C912" s="2" t="s">
        <v>247</v>
      </c>
      <c r="D912" s="8" t="s">
        <v>60</v>
      </c>
      <c r="E912" s="8">
        <f t="shared" si="26"/>
        <v>3</v>
      </c>
      <c r="F912" s="2" t="s">
        <v>222</v>
      </c>
      <c r="G912" s="12" t="s">
        <v>62</v>
      </c>
      <c r="H912" s="2">
        <v>60261000</v>
      </c>
      <c r="I912" s="8">
        <v>3</v>
      </c>
    </row>
    <row r="913" spans="2:9" x14ac:dyDescent="0.25">
      <c r="B913" s="8">
        <f>1000000+INDEX(编号表!$B:$B,MATCH(C913,编号表!$A:$A,0))*1000+INDEX(编号表!$D:$D,MATCH(D913,编号表!$C:$C,0))*100+E913</f>
        <v>1027303</v>
      </c>
      <c r="C913" s="2" t="s">
        <v>247</v>
      </c>
      <c r="D913" s="8" t="s">
        <v>63</v>
      </c>
      <c r="E913" s="8">
        <f t="shared" si="26"/>
        <v>3</v>
      </c>
      <c r="F913" s="2" t="s">
        <v>221</v>
      </c>
      <c r="G913" s="12" t="s">
        <v>62</v>
      </c>
      <c r="H913" s="2">
        <v>60261001</v>
      </c>
      <c r="I913" s="8">
        <v>3</v>
      </c>
    </row>
    <row r="914" spans="2:9" x14ac:dyDescent="0.25">
      <c r="B914" s="8">
        <f>1000000+INDEX(编号表!$B:$B,MATCH(C914,编号表!$A:$A,0))*1000+INDEX(编号表!$D:$D,MATCH(D914,编号表!$C:$C,0))*100+E914</f>
        <v>1027403</v>
      </c>
      <c r="C914" s="2" t="s">
        <v>247</v>
      </c>
      <c r="D914" s="8" t="s">
        <v>65</v>
      </c>
      <c r="E914" s="8">
        <f t="shared" si="26"/>
        <v>3</v>
      </c>
      <c r="F914" s="2" t="s">
        <v>206</v>
      </c>
      <c r="G914" s="12" t="s">
        <v>62</v>
      </c>
      <c r="H914" s="2">
        <v>60261002</v>
      </c>
      <c r="I914" s="8">
        <v>3</v>
      </c>
    </row>
    <row r="915" spans="2:9" x14ac:dyDescent="0.25">
      <c r="B915" s="8">
        <f>1000000+INDEX(编号表!$B:$B,MATCH(C915,编号表!$A:$A,0))*1000+INDEX(编号表!$D:$D,MATCH(D915,编号表!$C:$C,0))*100+E915</f>
        <v>1027503</v>
      </c>
      <c r="C915" s="2" t="s">
        <v>247</v>
      </c>
      <c r="D915" s="8" t="s">
        <v>67</v>
      </c>
      <c r="E915" s="8">
        <f t="shared" si="26"/>
        <v>3</v>
      </c>
      <c r="F915" s="2" t="s">
        <v>224</v>
      </c>
      <c r="G915" s="12" t="s">
        <v>62</v>
      </c>
      <c r="H915" s="2">
        <v>60261003</v>
      </c>
      <c r="I915" s="8">
        <v>3</v>
      </c>
    </row>
    <row r="916" spans="2:9" x14ac:dyDescent="0.25">
      <c r="B916" s="8">
        <f>1000000+INDEX(编号表!$B:$B,MATCH(C916,编号表!$A:$A,0))*1000+INDEX(编号表!$D:$D,MATCH(D916,编号表!$C:$C,0))*100+E916</f>
        <v>1027603</v>
      </c>
      <c r="C916" s="2" t="s">
        <v>247</v>
      </c>
      <c r="D916" s="8" t="s">
        <v>69</v>
      </c>
      <c r="E916" s="8">
        <f t="shared" si="26"/>
        <v>3</v>
      </c>
      <c r="F916" s="2" t="s">
        <v>238</v>
      </c>
      <c r="G916" s="12" t="s">
        <v>62</v>
      </c>
      <c r="H916" s="2">
        <v>60261004</v>
      </c>
      <c r="I916" s="8">
        <v>3</v>
      </c>
    </row>
    <row r="917" spans="2:9" x14ac:dyDescent="0.25">
      <c r="B917" s="8">
        <f>1000000+INDEX(编号表!$B:$B,MATCH(C917,编号表!$A:$A,0))*1000+INDEX(编号表!$D:$D,MATCH(D917,编号表!$C:$C,0))*100+E917</f>
        <v>1027703</v>
      </c>
      <c r="C917" s="2" t="s">
        <v>247</v>
      </c>
      <c r="D917" s="8" t="s">
        <v>179</v>
      </c>
      <c r="E917" s="8">
        <f t="shared" si="26"/>
        <v>3</v>
      </c>
      <c r="F917" s="2" t="s">
        <v>237</v>
      </c>
      <c r="G917" s="12" t="s">
        <v>62</v>
      </c>
      <c r="H917" s="2">
        <v>60261005</v>
      </c>
      <c r="I917" s="8">
        <v>3</v>
      </c>
    </row>
    <row r="918" spans="2:9" x14ac:dyDescent="0.25">
      <c r="B918" s="8">
        <f>1000000+INDEX(编号表!$B:$B,MATCH(C918,编号表!$A:$A,0))*1000+INDEX(编号表!$D:$D,MATCH(D918,编号表!$C:$C,0))*100+E918</f>
        <v>1027803</v>
      </c>
      <c r="C918" s="2" t="s">
        <v>247</v>
      </c>
      <c r="D918" s="8" t="s">
        <v>191</v>
      </c>
      <c r="E918" s="8">
        <f t="shared" si="26"/>
        <v>3</v>
      </c>
      <c r="F918" s="2" t="s">
        <v>240</v>
      </c>
      <c r="G918" s="12" t="s">
        <v>62</v>
      </c>
      <c r="H918" s="2">
        <v>60261006</v>
      </c>
      <c r="I918" s="8">
        <v>3</v>
      </c>
    </row>
    <row r="919" spans="2:9" x14ac:dyDescent="0.25">
      <c r="B919" s="8">
        <f>1000000+INDEX(编号表!$B:$B,MATCH(C919,编号表!$A:$A,0))*1000+INDEX(编号表!$D:$D,MATCH(D919,编号表!$C:$C,0))*100+E919</f>
        <v>1027205</v>
      </c>
      <c r="C919" s="2" t="s">
        <v>247</v>
      </c>
      <c r="D919" s="8" t="s">
        <v>60</v>
      </c>
      <c r="E919" s="8">
        <f t="shared" si="26"/>
        <v>5</v>
      </c>
      <c r="F919" s="2" t="s">
        <v>222</v>
      </c>
      <c r="G919" s="12" t="s">
        <v>62</v>
      </c>
      <c r="H919" s="2">
        <v>60261000</v>
      </c>
      <c r="I919" s="8">
        <v>5</v>
      </c>
    </row>
    <row r="920" spans="2:9" x14ac:dyDescent="0.25">
      <c r="B920" s="8">
        <f>1000000+INDEX(编号表!$B:$B,MATCH(C920,编号表!$A:$A,0))*1000+INDEX(编号表!$D:$D,MATCH(D920,编号表!$C:$C,0))*100+E920</f>
        <v>1027305</v>
      </c>
      <c r="C920" s="2" t="s">
        <v>247</v>
      </c>
      <c r="D920" s="8" t="s">
        <v>63</v>
      </c>
      <c r="E920" s="8">
        <f t="shared" si="26"/>
        <v>5</v>
      </c>
      <c r="F920" s="2" t="s">
        <v>221</v>
      </c>
      <c r="G920" s="12" t="s">
        <v>62</v>
      </c>
      <c r="H920" s="2">
        <v>60261001</v>
      </c>
      <c r="I920" s="8">
        <v>5</v>
      </c>
    </row>
    <row r="921" spans="2:9" x14ac:dyDescent="0.25">
      <c r="B921" s="8">
        <f>1000000+INDEX(编号表!$B:$B,MATCH(C921,编号表!$A:$A,0))*1000+INDEX(编号表!$D:$D,MATCH(D921,编号表!$C:$C,0))*100+E921</f>
        <v>1027405</v>
      </c>
      <c r="C921" s="2" t="s">
        <v>247</v>
      </c>
      <c r="D921" s="8" t="s">
        <v>65</v>
      </c>
      <c r="E921" s="8">
        <f t="shared" si="26"/>
        <v>5</v>
      </c>
      <c r="F921" s="2" t="s">
        <v>206</v>
      </c>
      <c r="G921" s="12" t="s">
        <v>62</v>
      </c>
      <c r="H921" s="2">
        <v>60261002</v>
      </c>
      <c r="I921" s="8">
        <v>5</v>
      </c>
    </row>
    <row r="922" spans="2:9" x14ac:dyDescent="0.25">
      <c r="B922" s="8">
        <f>1000000+INDEX(编号表!$B:$B,MATCH(C922,编号表!$A:$A,0))*1000+INDEX(编号表!$D:$D,MATCH(D922,编号表!$C:$C,0))*100+E922</f>
        <v>1027505</v>
      </c>
      <c r="C922" s="2" t="s">
        <v>247</v>
      </c>
      <c r="D922" s="8" t="s">
        <v>67</v>
      </c>
      <c r="E922" s="8">
        <f t="shared" si="26"/>
        <v>5</v>
      </c>
      <c r="F922" s="2" t="s">
        <v>224</v>
      </c>
      <c r="G922" s="12" t="s">
        <v>62</v>
      </c>
      <c r="H922" s="2">
        <v>60261003</v>
      </c>
      <c r="I922" s="8">
        <v>5</v>
      </c>
    </row>
    <row r="923" spans="2:9" x14ac:dyDescent="0.25">
      <c r="B923" s="8">
        <f>1000000+INDEX(编号表!$B:$B,MATCH(C923,编号表!$A:$A,0))*1000+INDEX(编号表!$D:$D,MATCH(D923,编号表!$C:$C,0))*100+E923</f>
        <v>1027605</v>
      </c>
      <c r="C923" s="2" t="s">
        <v>247</v>
      </c>
      <c r="D923" s="8" t="s">
        <v>69</v>
      </c>
      <c r="E923" s="8">
        <f t="shared" si="26"/>
        <v>5</v>
      </c>
      <c r="F923" s="2" t="s">
        <v>238</v>
      </c>
      <c r="G923" s="12" t="s">
        <v>62</v>
      </c>
      <c r="H923" s="2">
        <v>60261004</v>
      </c>
      <c r="I923" s="8">
        <v>5</v>
      </c>
    </row>
    <row r="924" spans="2:9" x14ac:dyDescent="0.25">
      <c r="B924" s="8">
        <f>1000000+INDEX(编号表!$B:$B,MATCH(C924,编号表!$A:$A,0))*1000+INDEX(编号表!$D:$D,MATCH(D924,编号表!$C:$C,0))*100+E924</f>
        <v>1027705</v>
      </c>
      <c r="C924" s="2" t="s">
        <v>247</v>
      </c>
      <c r="D924" s="8" t="s">
        <v>179</v>
      </c>
      <c r="E924" s="8">
        <f t="shared" si="26"/>
        <v>5</v>
      </c>
      <c r="F924" s="2" t="s">
        <v>237</v>
      </c>
      <c r="G924" s="12" t="s">
        <v>62</v>
      </c>
      <c r="H924" s="2">
        <v>60261005</v>
      </c>
      <c r="I924" s="8">
        <v>5</v>
      </c>
    </row>
    <row r="925" spans="2:9" x14ac:dyDescent="0.25">
      <c r="B925" s="8">
        <f>1000000+INDEX(编号表!$B:$B,MATCH(C925,编号表!$A:$A,0))*1000+INDEX(编号表!$D:$D,MATCH(D925,编号表!$C:$C,0))*100+E925</f>
        <v>1027805</v>
      </c>
      <c r="C925" s="2" t="s">
        <v>247</v>
      </c>
      <c r="D925" s="8" t="s">
        <v>191</v>
      </c>
      <c r="E925" s="8">
        <f t="shared" si="26"/>
        <v>5</v>
      </c>
      <c r="F925" s="2" t="s">
        <v>240</v>
      </c>
      <c r="G925" s="12" t="s">
        <v>62</v>
      </c>
      <c r="H925" s="2">
        <v>60261006</v>
      </c>
      <c r="I925" s="8">
        <v>5</v>
      </c>
    </row>
    <row r="926" spans="2:9" x14ac:dyDescent="0.25">
      <c r="B926" s="8">
        <f>1000000+INDEX(编号表!$B:$B,MATCH(C926,编号表!$A:$A,0))*1000+INDEX(编号表!$D:$D,MATCH(D926,编号表!$C:$C,0))*100+E926</f>
        <v>1027210</v>
      </c>
      <c r="C926" s="2" t="s">
        <v>247</v>
      </c>
      <c r="D926" s="8" t="s">
        <v>60</v>
      </c>
      <c r="E926" s="8">
        <f t="shared" si="26"/>
        <v>10</v>
      </c>
      <c r="F926" s="2" t="s">
        <v>222</v>
      </c>
      <c r="G926" s="12" t="s">
        <v>62</v>
      </c>
      <c r="H926" s="2">
        <v>60261000</v>
      </c>
      <c r="I926" s="8">
        <v>10</v>
      </c>
    </row>
    <row r="927" spans="2:9" x14ac:dyDescent="0.25">
      <c r="B927" s="8">
        <f>1000000+INDEX(编号表!$B:$B,MATCH(C927,编号表!$A:$A,0))*1000+INDEX(编号表!$D:$D,MATCH(D927,编号表!$C:$C,0))*100+E927</f>
        <v>1027310</v>
      </c>
      <c r="C927" s="2" t="s">
        <v>247</v>
      </c>
      <c r="D927" s="8" t="s">
        <v>63</v>
      </c>
      <c r="E927" s="8">
        <f t="shared" si="26"/>
        <v>10</v>
      </c>
      <c r="F927" s="2" t="s">
        <v>221</v>
      </c>
      <c r="G927" s="12" t="s">
        <v>62</v>
      </c>
      <c r="H927" s="2">
        <v>60261001</v>
      </c>
      <c r="I927" s="8">
        <v>10</v>
      </c>
    </row>
    <row r="928" spans="2:9" x14ac:dyDescent="0.25">
      <c r="B928" s="8">
        <f>1000000+INDEX(编号表!$B:$B,MATCH(C928,编号表!$A:$A,0))*1000+INDEX(编号表!$D:$D,MATCH(D928,编号表!$C:$C,0))*100+E928</f>
        <v>1027410</v>
      </c>
      <c r="C928" s="2" t="s">
        <v>247</v>
      </c>
      <c r="D928" s="8" t="s">
        <v>65</v>
      </c>
      <c r="E928" s="8">
        <f t="shared" si="26"/>
        <v>10</v>
      </c>
      <c r="F928" s="2" t="s">
        <v>206</v>
      </c>
      <c r="G928" s="12" t="s">
        <v>62</v>
      </c>
      <c r="H928" s="2">
        <v>60261002</v>
      </c>
      <c r="I928" s="8">
        <v>10</v>
      </c>
    </row>
    <row r="929" spans="2:9" x14ac:dyDescent="0.25">
      <c r="B929" s="8">
        <f>1000000+INDEX(编号表!$B:$B,MATCH(C929,编号表!$A:$A,0))*1000+INDEX(编号表!$D:$D,MATCH(D929,编号表!$C:$C,0))*100+E929</f>
        <v>1027510</v>
      </c>
      <c r="C929" s="2" t="s">
        <v>247</v>
      </c>
      <c r="D929" s="8" t="s">
        <v>67</v>
      </c>
      <c r="E929" s="8">
        <f t="shared" si="26"/>
        <v>10</v>
      </c>
      <c r="F929" s="2" t="s">
        <v>224</v>
      </c>
      <c r="G929" s="12" t="s">
        <v>62</v>
      </c>
      <c r="H929" s="2">
        <v>60261003</v>
      </c>
      <c r="I929" s="8">
        <v>10</v>
      </c>
    </row>
    <row r="930" spans="2:9" x14ac:dyDescent="0.25">
      <c r="B930" s="8">
        <f>1000000+INDEX(编号表!$B:$B,MATCH(C930,编号表!$A:$A,0))*1000+INDEX(编号表!$D:$D,MATCH(D930,编号表!$C:$C,0))*100+E930</f>
        <v>1027610</v>
      </c>
      <c r="C930" s="2" t="s">
        <v>247</v>
      </c>
      <c r="D930" s="8" t="s">
        <v>69</v>
      </c>
      <c r="E930" s="8">
        <f t="shared" si="26"/>
        <v>10</v>
      </c>
      <c r="F930" s="2" t="s">
        <v>238</v>
      </c>
      <c r="G930" s="12" t="s">
        <v>62</v>
      </c>
      <c r="H930" s="2">
        <v>60261004</v>
      </c>
      <c r="I930" s="8">
        <v>10</v>
      </c>
    </row>
    <row r="931" spans="2:9" x14ac:dyDescent="0.25">
      <c r="B931" s="8">
        <f>1000000+INDEX(编号表!$B:$B,MATCH(C931,编号表!$A:$A,0))*1000+INDEX(编号表!$D:$D,MATCH(D931,编号表!$C:$C,0))*100+E931</f>
        <v>1027710</v>
      </c>
      <c r="C931" s="2" t="s">
        <v>247</v>
      </c>
      <c r="D931" s="8" t="s">
        <v>179</v>
      </c>
      <c r="E931" s="8">
        <f t="shared" si="26"/>
        <v>10</v>
      </c>
      <c r="F931" s="2" t="s">
        <v>237</v>
      </c>
      <c r="G931" s="12" t="s">
        <v>62</v>
      </c>
      <c r="H931" s="2">
        <v>60261005</v>
      </c>
      <c r="I931" s="8">
        <v>10</v>
      </c>
    </row>
    <row r="932" spans="2:9" x14ac:dyDescent="0.25">
      <c r="B932" s="8">
        <f>1000000+INDEX(编号表!$B:$B,MATCH(C932,编号表!$A:$A,0))*1000+INDEX(编号表!$D:$D,MATCH(D932,编号表!$C:$C,0))*100+E932</f>
        <v>1027810</v>
      </c>
      <c r="C932" s="2" t="s">
        <v>247</v>
      </c>
      <c r="D932" s="8" t="s">
        <v>191</v>
      </c>
      <c r="E932" s="8">
        <f t="shared" si="26"/>
        <v>10</v>
      </c>
      <c r="F932" s="2" t="s">
        <v>240</v>
      </c>
      <c r="G932" s="12" t="s">
        <v>62</v>
      </c>
      <c r="H932" s="2">
        <v>60261006</v>
      </c>
      <c r="I932" s="8">
        <v>10</v>
      </c>
    </row>
    <row r="933" spans="2:9" x14ac:dyDescent="0.25">
      <c r="B933" s="8">
        <f>1000000+INDEX(编号表!$B:$B,MATCH(C933,编号表!$A:$A,0))*1000+INDEX(编号表!$D:$D,MATCH(D933,编号表!$C:$C,0))*100+E933</f>
        <v>1027215</v>
      </c>
      <c r="C933" s="2" t="s">
        <v>247</v>
      </c>
      <c r="D933" s="8" t="s">
        <v>60</v>
      </c>
      <c r="E933" s="8">
        <f t="shared" si="26"/>
        <v>15</v>
      </c>
      <c r="F933" s="2" t="s">
        <v>222</v>
      </c>
      <c r="G933" s="12" t="s">
        <v>62</v>
      </c>
      <c r="H933" s="2">
        <v>60261000</v>
      </c>
      <c r="I933" s="8">
        <v>15</v>
      </c>
    </row>
    <row r="934" spans="2:9" x14ac:dyDescent="0.25">
      <c r="B934" s="8">
        <f>1000000+INDEX(编号表!$B:$B,MATCH(C934,编号表!$A:$A,0))*1000+INDEX(编号表!$D:$D,MATCH(D934,编号表!$C:$C,0))*100+E934</f>
        <v>1027315</v>
      </c>
      <c r="C934" s="2" t="s">
        <v>247</v>
      </c>
      <c r="D934" s="8" t="s">
        <v>63</v>
      </c>
      <c r="E934" s="8">
        <f t="shared" si="26"/>
        <v>15</v>
      </c>
      <c r="F934" s="2" t="s">
        <v>221</v>
      </c>
      <c r="G934" s="12" t="s">
        <v>62</v>
      </c>
      <c r="H934" s="2">
        <v>60261001</v>
      </c>
      <c r="I934" s="8">
        <v>15</v>
      </c>
    </row>
    <row r="935" spans="2:9" x14ac:dyDescent="0.25">
      <c r="B935" s="8">
        <f>1000000+INDEX(编号表!$B:$B,MATCH(C935,编号表!$A:$A,0))*1000+INDEX(编号表!$D:$D,MATCH(D935,编号表!$C:$C,0))*100+E935</f>
        <v>1027415</v>
      </c>
      <c r="C935" s="2" t="s">
        <v>247</v>
      </c>
      <c r="D935" s="8" t="s">
        <v>65</v>
      </c>
      <c r="E935" s="8">
        <f t="shared" si="26"/>
        <v>15</v>
      </c>
      <c r="F935" s="2" t="s">
        <v>206</v>
      </c>
      <c r="G935" s="12" t="s">
        <v>62</v>
      </c>
      <c r="H935" s="2">
        <v>60261002</v>
      </c>
      <c r="I935" s="8">
        <v>15</v>
      </c>
    </row>
    <row r="936" spans="2:9" x14ac:dyDescent="0.25">
      <c r="B936" s="8">
        <f>1000000+INDEX(编号表!$B:$B,MATCH(C936,编号表!$A:$A,0))*1000+INDEX(编号表!$D:$D,MATCH(D936,编号表!$C:$C,0))*100+E936</f>
        <v>1027515</v>
      </c>
      <c r="C936" s="2" t="s">
        <v>247</v>
      </c>
      <c r="D936" s="8" t="s">
        <v>67</v>
      </c>
      <c r="E936" s="8">
        <f t="shared" si="26"/>
        <v>15</v>
      </c>
      <c r="F936" s="2" t="s">
        <v>224</v>
      </c>
      <c r="G936" s="12" t="s">
        <v>62</v>
      </c>
      <c r="H936" s="2">
        <v>60261003</v>
      </c>
      <c r="I936" s="8">
        <v>15</v>
      </c>
    </row>
    <row r="937" spans="2:9" x14ac:dyDescent="0.25">
      <c r="B937" s="8">
        <f>1000000+INDEX(编号表!$B:$B,MATCH(C937,编号表!$A:$A,0))*1000+INDEX(编号表!$D:$D,MATCH(D937,编号表!$C:$C,0))*100+E937</f>
        <v>1027615</v>
      </c>
      <c r="C937" s="2" t="s">
        <v>247</v>
      </c>
      <c r="D937" s="8" t="s">
        <v>69</v>
      </c>
      <c r="E937" s="8">
        <f t="shared" si="26"/>
        <v>15</v>
      </c>
      <c r="F937" s="2" t="s">
        <v>238</v>
      </c>
      <c r="G937" s="12" t="s">
        <v>62</v>
      </c>
      <c r="H937" s="2">
        <v>60261004</v>
      </c>
      <c r="I937" s="8">
        <v>15</v>
      </c>
    </row>
    <row r="938" spans="2:9" x14ac:dyDescent="0.25">
      <c r="B938" s="8">
        <f>1000000+INDEX(编号表!$B:$B,MATCH(C938,编号表!$A:$A,0))*1000+INDEX(编号表!$D:$D,MATCH(D938,编号表!$C:$C,0))*100+E938</f>
        <v>1027715</v>
      </c>
      <c r="C938" s="2" t="s">
        <v>247</v>
      </c>
      <c r="D938" s="8" t="s">
        <v>179</v>
      </c>
      <c r="E938" s="8">
        <f t="shared" si="26"/>
        <v>15</v>
      </c>
      <c r="F938" s="2" t="s">
        <v>237</v>
      </c>
      <c r="G938" s="12" t="s">
        <v>62</v>
      </c>
      <c r="H938" s="2">
        <v>60261005</v>
      </c>
      <c r="I938" s="8">
        <v>15</v>
      </c>
    </row>
    <row r="939" spans="2:9" x14ac:dyDescent="0.25">
      <c r="B939" s="8">
        <f>1000000+INDEX(编号表!$B:$B,MATCH(C939,编号表!$A:$A,0))*1000+INDEX(编号表!$D:$D,MATCH(D939,编号表!$C:$C,0))*100+E939</f>
        <v>1027815</v>
      </c>
      <c r="C939" s="2" t="s">
        <v>247</v>
      </c>
      <c r="D939" s="8" t="s">
        <v>191</v>
      </c>
      <c r="E939" s="8">
        <f t="shared" si="26"/>
        <v>15</v>
      </c>
      <c r="F939" s="2" t="s">
        <v>240</v>
      </c>
      <c r="G939" s="12" t="s">
        <v>62</v>
      </c>
      <c r="H939" s="2">
        <v>60261006</v>
      </c>
      <c r="I939" s="8">
        <v>15</v>
      </c>
    </row>
    <row r="940" spans="2:9" x14ac:dyDescent="0.25">
      <c r="B940" s="8">
        <f>1000000+INDEX(编号表!$B:$B,MATCH(C940,编号表!$A:$A,0))*1000+INDEX(编号表!$D:$D,MATCH(D940,编号表!$C:$C,0))*100+E940</f>
        <v>1028001</v>
      </c>
      <c r="C940" s="2" t="s">
        <v>248</v>
      </c>
      <c r="D940" s="8" t="s">
        <v>55</v>
      </c>
      <c r="E940" s="8">
        <v>1</v>
      </c>
      <c r="F940" s="11" t="s">
        <v>56</v>
      </c>
      <c r="G940" s="12" t="s">
        <v>57</v>
      </c>
      <c r="H940" s="8">
        <v>60274000</v>
      </c>
      <c r="I940" s="8">
        <v>1</v>
      </c>
    </row>
    <row r="941" spans="2:9" x14ac:dyDescent="0.25">
      <c r="B941" s="8">
        <f>1000000+INDEX(编号表!$B:$B,MATCH(C941,编号表!$A:$A,0))*1000+INDEX(编号表!$D:$D,MATCH(D941,编号表!$C:$C,0))*100+E941</f>
        <v>1028101</v>
      </c>
      <c r="C941" s="2" t="s">
        <v>248</v>
      </c>
      <c r="D941" s="8" t="s">
        <v>58</v>
      </c>
      <c r="E941" s="8">
        <v>1</v>
      </c>
      <c r="F941" s="11" t="s">
        <v>59</v>
      </c>
      <c r="G941" s="12" t="s">
        <v>57</v>
      </c>
      <c r="H941" s="2">
        <v>60272000</v>
      </c>
      <c r="I941" s="8">
        <v>1</v>
      </c>
    </row>
    <row r="942" spans="2:9" x14ac:dyDescent="0.25">
      <c r="B942" s="8">
        <f>1000000+INDEX(编号表!$B:$B,MATCH(C942,编号表!$A:$A,0))*1000+INDEX(编号表!$D:$D,MATCH(D942,编号表!$C:$C,0))*100+E942</f>
        <v>1028201</v>
      </c>
      <c r="C942" s="2" t="s">
        <v>248</v>
      </c>
      <c r="D942" s="8" t="s">
        <v>60</v>
      </c>
      <c r="E942" s="8">
        <f t="shared" ref="E942:E953" si="27">I942+K942+M942+O942+Q942+S942+U942+W942+Y942+AA942</f>
        <v>1</v>
      </c>
      <c r="F942" s="2" t="s">
        <v>249</v>
      </c>
      <c r="G942" s="12" t="s">
        <v>62</v>
      </c>
      <c r="H942" s="2">
        <v>60271000</v>
      </c>
      <c r="I942" s="8">
        <v>1</v>
      </c>
    </row>
    <row r="943" spans="2:9" x14ac:dyDescent="0.25">
      <c r="B943" s="8">
        <f>1000000+INDEX(编号表!$B:$B,MATCH(C943,编号表!$A:$A,0))*1000+INDEX(编号表!$D:$D,MATCH(D943,编号表!$C:$C,0))*100+E943</f>
        <v>1028301</v>
      </c>
      <c r="C943" s="2" t="s">
        <v>248</v>
      </c>
      <c r="D943" s="8" t="s">
        <v>63</v>
      </c>
      <c r="E943" s="8">
        <f t="shared" si="27"/>
        <v>1</v>
      </c>
      <c r="F943" s="2" t="s">
        <v>250</v>
      </c>
      <c r="G943" s="12" t="s">
        <v>62</v>
      </c>
      <c r="H943" s="2">
        <v>60271001</v>
      </c>
      <c r="I943" s="8">
        <v>1</v>
      </c>
    </row>
    <row r="944" spans="2:9" x14ac:dyDescent="0.25">
      <c r="B944" s="8">
        <f>1000000+INDEX(编号表!$B:$B,MATCH(C944,编号表!$A:$A,0))*1000+INDEX(编号表!$D:$D,MATCH(D944,编号表!$C:$C,0))*100+E944</f>
        <v>1028202</v>
      </c>
      <c r="C944" s="2" t="s">
        <v>248</v>
      </c>
      <c r="D944" s="8" t="s">
        <v>60</v>
      </c>
      <c r="E944" s="8">
        <f t="shared" si="27"/>
        <v>2</v>
      </c>
      <c r="F944" s="2" t="s">
        <v>249</v>
      </c>
      <c r="G944" s="12" t="s">
        <v>62</v>
      </c>
      <c r="H944" s="2">
        <v>60271000</v>
      </c>
      <c r="I944" s="8">
        <v>2</v>
      </c>
    </row>
    <row r="945" spans="2:9" x14ac:dyDescent="0.25">
      <c r="B945" s="8">
        <f>1000000+INDEX(编号表!$B:$B,MATCH(C945,编号表!$A:$A,0))*1000+INDEX(编号表!$D:$D,MATCH(D945,编号表!$C:$C,0))*100+E945</f>
        <v>1028302</v>
      </c>
      <c r="C945" s="2" t="s">
        <v>248</v>
      </c>
      <c r="D945" s="8" t="s">
        <v>63</v>
      </c>
      <c r="E945" s="8">
        <f t="shared" si="27"/>
        <v>2</v>
      </c>
      <c r="F945" s="2" t="s">
        <v>250</v>
      </c>
      <c r="G945" s="12" t="s">
        <v>62</v>
      </c>
      <c r="H945" s="2">
        <v>60271001</v>
      </c>
      <c r="I945" s="8">
        <v>2</v>
      </c>
    </row>
    <row r="946" spans="2:9" x14ac:dyDescent="0.25">
      <c r="B946" s="8">
        <f>1000000+INDEX(编号表!$B:$B,MATCH(C946,编号表!$A:$A,0))*1000+INDEX(编号表!$D:$D,MATCH(D946,编号表!$C:$C,0))*100+E946</f>
        <v>1028203</v>
      </c>
      <c r="C946" s="2" t="s">
        <v>248</v>
      </c>
      <c r="D946" s="8" t="s">
        <v>60</v>
      </c>
      <c r="E946" s="8">
        <f t="shared" si="27"/>
        <v>3</v>
      </c>
      <c r="F946" s="2" t="s">
        <v>249</v>
      </c>
      <c r="G946" s="12" t="s">
        <v>62</v>
      </c>
      <c r="H946" s="2">
        <v>60271000</v>
      </c>
      <c r="I946" s="8">
        <v>3</v>
      </c>
    </row>
    <row r="947" spans="2:9" x14ac:dyDescent="0.25">
      <c r="B947" s="8">
        <f>1000000+INDEX(编号表!$B:$B,MATCH(C947,编号表!$A:$A,0))*1000+INDEX(编号表!$D:$D,MATCH(D947,编号表!$C:$C,0))*100+E947</f>
        <v>1028303</v>
      </c>
      <c r="C947" s="2" t="s">
        <v>248</v>
      </c>
      <c r="D947" s="8" t="s">
        <v>63</v>
      </c>
      <c r="E947" s="8">
        <f t="shared" si="27"/>
        <v>3</v>
      </c>
      <c r="F947" s="2" t="s">
        <v>250</v>
      </c>
      <c r="G947" s="12" t="s">
        <v>62</v>
      </c>
      <c r="H947" s="2">
        <v>60271001</v>
      </c>
      <c r="I947" s="8">
        <v>3</v>
      </c>
    </row>
    <row r="948" spans="2:9" x14ac:dyDescent="0.25">
      <c r="B948" s="8">
        <f>1000000+INDEX(编号表!$B:$B,MATCH(C948,编号表!$A:$A,0))*1000+INDEX(编号表!$D:$D,MATCH(D948,编号表!$C:$C,0))*100+E948</f>
        <v>1028205</v>
      </c>
      <c r="C948" s="2" t="s">
        <v>248</v>
      </c>
      <c r="D948" s="8" t="s">
        <v>60</v>
      </c>
      <c r="E948" s="8">
        <f t="shared" si="27"/>
        <v>5</v>
      </c>
      <c r="F948" s="2" t="s">
        <v>249</v>
      </c>
      <c r="G948" s="12" t="s">
        <v>62</v>
      </c>
      <c r="H948" s="2">
        <v>60271000</v>
      </c>
      <c r="I948" s="8">
        <v>5</v>
      </c>
    </row>
    <row r="949" spans="2:9" x14ac:dyDescent="0.25">
      <c r="B949" s="8">
        <f>1000000+INDEX(编号表!$B:$B,MATCH(C949,编号表!$A:$A,0))*1000+INDEX(编号表!$D:$D,MATCH(D949,编号表!$C:$C,0))*100+E949</f>
        <v>1028305</v>
      </c>
      <c r="C949" s="2" t="s">
        <v>248</v>
      </c>
      <c r="D949" s="8" t="s">
        <v>63</v>
      </c>
      <c r="E949" s="8">
        <f t="shared" si="27"/>
        <v>5</v>
      </c>
      <c r="F949" s="2" t="s">
        <v>250</v>
      </c>
      <c r="G949" s="12" t="s">
        <v>62</v>
      </c>
      <c r="H949" s="2">
        <v>60271001</v>
      </c>
      <c r="I949" s="8">
        <v>5</v>
      </c>
    </row>
    <row r="950" spans="2:9" x14ac:dyDescent="0.25">
      <c r="B950" s="8">
        <f>1000000+INDEX(编号表!$B:$B,MATCH(C950,编号表!$A:$A,0))*1000+INDEX(编号表!$D:$D,MATCH(D950,编号表!$C:$C,0))*100+E950</f>
        <v>1028210</v>
      </c>
      <c r="C950" s="2" t="s">
        <v>248</v>
      </c>
      <c r="D950" s="8" t="s">
        <v>60</v>
      </c>
      <c r="E950" s="8">
        <f t="shared" si="27"/>
        <v>10</v>
      </c>
      <c r="F950" s="2" t="s">
        <v>249</v>
      </c>
      <c r="G950" s="12" t="s">
        <v>62</v>
      </c>
      <c r="H950" s="2">
        <v>60271000</v>
      </c>
      <c r="I950" s="8">
        <v>10</v>
      </c>
    </row>
    <row r="951" spans="2:9" x14ac:dyDescent="0.25">
      <c r="B951" s="8">
        <f>1000000+INDEX(编号表!$B:$B,MATCH(C951,编号表!$A:$A,0))*1000+INDEX(编号表!$D:$D,MATCH(D951,编号表!$C:$C,0))*100+E951</f>
        <v>1028310</v>
      </c>
      <c r="C951" s="2" t="s">
        <v>248</v>
      </c>
      <c r="D951" s="8" t="s">
        <v>63</v>
      </c>
      <c r="E951" s="8">
        <f t="shared" si="27"/>
        <v>10</v>
      </c>
      <c r="F951" s="2" t="s">
        <v>250</v>
      </c>
      <c r="G951" s="12" t="s">
        <v>62</v>
      </c>
      <c r="H951" s="2">
        <v>60271001</v>
      </c>
      <c r="I951" s="8">
        <v>10</v>
      </c>
    </row>
    <row r="952" spans="2:9" x14ac:dyDescent="0.25">
      <c r="B952" s="8">
        <f>1000000+INDEX(编号表!$B:$B,MATCH(C952,编号表!$A:$A,0))*1000+INDEX(编号表!$D:$D,MATCH(D952,编号表!$C:$C,0))*100+E952</f>
        <v>1028215</v>
      </c>
      <c r="C952" s="2" t="s">
        <v>248</v>
      </c>
      <c r="D952" s="8" t="s">
        <v>60</v>
      </c>
      <c r="E952" s="8">
        <f t="shared" si="27"/>
        <v>15</v>
      </c>
      <c r="F952" s="2" t="s">
        <v>249</v>
      </c>
      <c r="G952" s="12" t="s">
        <v>62</v>
      </c>
      <c r="H952" s="2">
        <v>60271000</v>
      </c>
      <c r="I952" s="8">
        <v>15</v>
      </c>
    </row>
    <row r="953" spans="2:9" x14ac:dyDescent="0.25">
      <c r="B953" s="8">
        <f>1000000+INDEX(编号表!$B:$B,MATCH(C953,编号表!$A:$A,0))*1000+INDEX(编号表!$D:$D,MATCH(D953,编号表!$C:$C,0))*100+E953</f>
        <v>1028315</v>
      </c>
      <c r="C953" s="2" t="s">
        <v>248</v>
      </c>
      <c r="D953" s="8" t="s">
        <v>63</v>
      </c>
      <c r="E953" s="8">
        <f t="shared" si="27"/>
        <v>15</v>
      </c>
      <c r="F953" s="2" t="s">
        <v>250</v>
      </c>
      <c r="G953" s="12" t="s">
        <v>62</v>
      </c>
      <c r="H953" s="2">
        <v>60271001</v>
      </c>
      <c r="I953" s="8">
        <v>15</v>
      </c>
    </row>
    <row r="954" spans="2:9" x14ac:dyDescent="0.25">
      <c r="B954" s="8">
        <f>1000000+INDEX(编号表!$B:$B,MATCH(C954,编号表!$A:$A,0))*1000+INDEX(编号表!$D:$D,MATCH(D954,编号表!$C:$C,0))*100+E954</f>
        <v>1029001</v>
      </c>
      <c r="C954" s="2" t="s">
        <v>251</v>
      </c>
      <c r="D954" s="8" t="s">
        <v>55</v>
      </c>
      <c r="E954" s="8">
        <v>1</v>
      </c>
      <c r="F954" s="11" t="s">
        <v>56</v>
      </c>
      <c r="G954" s="12" t="s">
        <v>57</v>
      </c>
      <c r="H954" s="8">
        <v>60284000</v>
      </c>
      <c r="I954" s="8">
        <v>1</v>
      </c>
    </row>
    <row r="955" spans="2:9" x14ac:dyDescent="0.25">
      <c r="B955" s="8">
        <f>1000000+INDEX(编号表!$B:$B,MATCH(C955,编号表!$A:$A,0))*1000+INDEX(编号表!$D:$D,MATCH(D955,编号表!$C:$C,0))*100+E955</f>
        <v>1029101</v>
      </c>
      <c r="C955" s="2" t="s">
        <v>251</v>
      </c>
      <c r="D955" s="8" t="s">
        <v>58</v>
      </c>
      <c r="E955" s="8">
        <v>1</v>
      </c>
      <c r="F955" s="11" t="s">
        <v>59</v>
      </c>
      <c r="G955" s="12" t="s">
        <v>57</v>
      </c>
      <c r="H955" s="2">
        <v>60282000</v>
      </c>
      <c r="I955" s="8">
        <v>1</v>
      </c>
    </row>
    <row r="956" spans="2:9" x14ac:dyDescent="0.25">
      <c r="B956" s="8">
        <f>1000000+INDEX(编号表!$B:$B,MATCH(C956,编号表!$A:$A,0))*1000+INDEX(编号表!$D:$D,MATCH(D956,编号表!$C:$C,0))*100+E956</f>
        <v>1029201</v>
      </c>
      <c r="C956" s="2" t="s">
        <v>251</v>
      </c>
      <c r="D956" s="8" t="s">
        <v>60</v>
      </c>
      <c r="E956" s="8">
        <f t="shared" ref="E956:E967" si="28">I956+K956+M956+O956+Q956+S956+U956+W956+Y956+AA956</f>
        <v>1</v>
      </c>
      <c r="F956" s="2" t="s">
        <v>249</v>
      </c>
      <c r="G956" s="12" t="s">
        <v>62</v>
      </c>
      <c r="H956" s="2">
        <v>60281000</v>
      </c>
      <c r="I956" s="8">
        <v>1</v>
      </c>
    </row>
    <row r="957" spans="2:9" x14ac:dyDescent="0.25">
      <c r="B957" s="8">
        <f>1000000+INDEX(编号表!$B:$B,MATCH(C957,编号表!$A:$A,0))*1000+INDEX(编号表!$D:$D,MATCH(D957,编号表!$C:$C,0))*100+E957</f>
        <v>1029301</v>
      </c>
      <c r="C957" s="2" t="s">
        <v>251</v>
      </c>
      <c r="D957" s="8" t="s">
        <v>63</v>
      </c>
      <c r="E957" s="8">
        <f t="shared" si="28"/>
        <v>1</v>
      </c>
      <c r="F957" s="2" t="s">
        <v>250</v>
      </c>
      <c r="G957" s="12" t="s">
        <v>62</v>
      </c>
      <c r="H957" s="2">
        <v>60281001</v>
      </c>
      <c r="I957" s="8">
        <v>1</v>
      </c>
    </row>
    <row r="958" spans="2:9" x14ac:dyDescent="0.25">
      <c r="B958" s="8">
        <f>1000000+INDEX(编号表!$B:$B,MATCH(C958,编号表!$A:$A,0))*1000+INDEX(编号表!$D:$D,MATCH(D958,编号表!$C:$C,0))*100+E958</f>
        <v>1029202</v>
      </c>
      <c r="C958" s="2" t="s">
        <v>251</v>
      </c>
      <c r="D958" s="8" t="s">
        <v>60</v>
      </c>
      <c r="E958" s="8">
        <f t="shared" si="28"/>
        <v>2</v>
      </c>
      <c r="F958" s="2" t="s">
        <v>249</v>
      </c>
      <c r="G958" s="12" t="s">
        <v>62</v>
      </c>
      <c r="H958" s="2">
        <v>60281000</v>
      </c>
      <c r="I958" s="8">
        <v>2</v>
      </c>
    </row>
    <row r="959" spans="2:9" x14ac:dyDescent="0.25">
      <c r="B959" s="8">
        <f>1000000+INDEX(编号表!$B:$B,MATCH(C959,编号表!$A:$A,0))*1000+INDEX(编号表!$D:$D,MATCH(D959,编号表!$C:$C,0))*100+E959</f>
        <v>1029302</v>
      </c>
      <c r="C959" s="2" t="s">
        <v>251</v>
      </c>
      <c r="D959" s="8" t="s">
        <v>63</v>
      </c>
      <c r="E959" s="8">
        <f t="shared" si="28"/>
        <v>2</v>
      </c>
      <c r="F959" s="2" t="s">
        <v>250</v>
      </c>
      <c r="G959" s="12" t="s">
        <v>62</v>
      </c>
      <c r="H959" s="2">
        <v>60281001</v>
      </c>
      <c r="I959" s="8">
        <v>2</v>
      </c>
    </row>
    <row r="960" spans="2:9" x14ac:dyDescent="0.25">
      <c r="B960" s="8">
        <f>1000000+INDEX(编号表!$B:$B,MATCH(C960,编号表!$A:$A,0))*1000+INDEX(编号表!$D:$D,MATCH(D960,编号表!$C:$C,0))*100+E960</f>
        <v>1029203</v>
      </c>
      <c r="C960" s="2" t="s">
        <v>251</v>
      </c>
      <c r="D960" s="8" t="s">
        <v>60</v>
      </c>
      <c r="E960" s="8">
        <f t="shared" si="28"/>
        <v>3</v>
      </c>
      <c r="F960" s="2" t="s">
        <v>249</v>
      </c>
      <c r="G960" s="12" t="s">
        <v>62</v>
      </c>
      <c r="H960" s="2">
        <v>60281000</v>
      </c>
      <c r="I960" s="8">
        <v>3</v>
      </c>
    </row>
    <row r="961" spans="2:9" x14ac:dyDescent="0.25">
      <c r="B961" s="8">
        <f>1000000+INDEX(编号表!$B:$B,MATCH(C961,编号表!$A:$A,0))*1000+INDEX(编号表!$D:$D,MATCH(D961,编号表!$C:$C,0))*100+E961</f>
        <v>1029303</v>
      </c>
      <c r="C961" s="2" t="s">
        <v>251</v>
      </c>
      <c r="D961" s="8" t="s">
        <v>63</v>
      </c>
      <c r="E961" s="8">
        <f t="shared" si="28"/>
        <v>3</v>
      </c>
      <c r="F961" s="2" t="s">
        <v>250</v>
      </c>
      <c r="G961" s="12" t="s">
        <v>62</v>
      </c>
      <c r="H961" s="2">
        <v>60281001</v>
      </c>
      <c r="I961" s="8">
        <v>3</v>
      </c>
    </row>
    <row r="962" spans="2:9" x14ac:dyDescent="0.25">
      <c r="B962" s="8">
        <f>1000000+INDEX(编号表!$B:$B,MATCH(C962,编号表!$A:$A,0))*1000+INDEX(编号表!$D:$D,MATCH(D962,编号表!$C:$C,0))*100+E962</f>
        <v>1029205</v>
      </c>
      <c r="C962" s="2" t="s">
        <v>251</v>
      </c>
      <c r="D962" s="8" t="s">
        <v>60</v>
      </c>
      <c r="E962" s="8">
        <f t="shared" si="28"/>
        <v>5</v>
      </c>
      <c r="F962" s="2" t="s">
        <v>249</v>
      </c>
      <c r="G962" s="12" t="s">
        <v>62</v>
      </c>
      <c r="H962" s="2">
        <v>60281000</v>
      </c>
      <c r="I962" s="8">
        <v>5</v>
      </c>
    </row>
    <row r="963" spans="2:9" x14ac:dyDescent="0.25">
      <c r="B963" s="8">
        <f>1000000+INDEX(编号表!$B:$B,MATCH(C963,编号表!$A:$A,0))*1000+INDEX(编号表!$D:$D,MATCH(D963,编号表!$C:$C,0))*100+E963</f>
        <v>1029305</v>
      </c>
      <c r="C963" s="2" t="s">
        <v>251</v>
      </c>
      <c r="D963" s="8" t="s">
        <v>63</v>
      </c>
      <c r="E963" s="8">
        <f t="shared" si="28"/>
        <v>5</v>
      </c>
      <c r="F963" s="2" t="s">
        <v>250</v>
      </c>
      <c r="G963" s="12" t="s">
        <v>62</v>
      </c>
      <c r="H963" s="2">
        <v>60281001</v>
      </c>
      <c r="I963" s="8">
        <v>5</v>
      </c>
    </row>
    <row r="964" spans="2:9" x14ac:dyDescent="0.25">
      <c r="B964" s="8">
        <f>1000000+INDEX(编号表!$B:$B,MATCH(C964,编号表!$A:$A,0))*1000+INDEX(编号表!$D:$D,MATCH(D964,编号表!$C:$C,0))*100+E964</f>
        <v>1029210</v>
      </c>
      <c r="C964" s="2" t="s">
        <v>251</v>
      </c>
      <c r="D964" s="8" t="s">
        <v>60</v>
      </c>
      <c r="E964" s="8">
        <f t="shared" si="28"/>
        <v>10</v>
      </c>
      <c r="F964" s="2" t="s">
        <v>249</v>
      </c>
      <c r="G964" s="12" t="s">
        <v>62</v>
      </c>
      <c r="H964" s="2">
        <v>60281000</v>
      </c>
      <c r="I964" s="8">
        <v>10</v>
      </c>
    </row>
    <row r="965" spans="2:9" x14ac:dyDescent="0.25">
      <c r="B965" s="8">
        <f>1000000+INDEX(编号表!$B:$B,MATCH(C965,编号表!$A:$A,0))*1000+INDEX(编号表!$D:$D,MATCH(D965,编号表!$C:$C,0))*100+E965</f>
        <v>1029310</v>
      </c>
      <c r="C965" s="2" t="s">
        <v>251</v>
      </c>
      <c r="D965" s="8" t="s">
        <v>63</v>
      </c>
      <c r="E965" s="8">
        <f t="shared" si="28"/>
        <v>10</v>
      </c>
      <c r="F965" s="2" t="s">
        <v>250</v>
      </c>
      <c r="G965" s="12" t="s">
        <v>62</v>
      </c>
      <c r="H965" s="2">
        <v>60281001</v>
      </c>
      <c r="I965" s="8">
        <v>10</v>
      </c>
    </row>
    <row r="966" spans="2:9" x14ac:dyDescent="0.25">
      <c r="B966" s="8">
        <f>1000000+INDEX(编号表!$B:$B,MATCH(C966,编号表!$A:$A,0))*1000+INDEX(编号表!$D:$D,MATCH(D966,编号表!$C:$C,0))*100+E966</f>
        <v>1029215</v>
      </c>
      <c r="C966" s="2" t="s">
        <v>251</v>
      </c>
      <c r="D966" s="8" t="s">
        <v>60</v>
      </c>
      <c r="E966" s="8">
        <f t="shared" si="28"/>
        <v>15</v>
      </c>
      <c r="F966" s="2" t="s">
        <v>249</v>
      </c>
      <c r="G966" s="12" t="s">
        <v>62</v>
      </c>
      <c r="H966" s="2">
        <v>60281000</v>
      </c>
      <c r="I966" s="8">
        <v>15</v>
      </c>
    </row>
    <row r="967" spans="2:9" x14ac:dyDescent="0.25">
      <c r="B967" s="8">
        <f>1000000+INDEX(编号表!$B:$B,MATCH(C967,编号表!$A:$A,0))*1000+INDEX(编号表!$D:$D,MATCH(D967,编号表!$C:$C,0))*100+E967</f>
        <v>1029315</v>
      </c>
      <c r="C967" s="2" t="s">
        <v>251</v>
      </c>
      <c r="D967" s="8" t="s">
        <v>63</v>
      </c>
      <c r="E967" s="8">
        <f t="shared" si="28"/>
        <v>15</v>
      </c>
      <c r="F967" s="2" t="s">
        <v>250</v>
      </c>
      <c r="G967" s="12" t="s">
        <v>62</v>
      </c>
      <c r="H967" s="2">
        <v>60281001</v>
      </c>
      <c r="I967" s="8">
        <v>15</v>
      </c>
    </row>
    <row r="968" spans="2:9" x14ac:dyDescent="0.25">
      <c r="B968" s="8">
        <f>1000000+INDEX(编号表!$B:$B,MATCH(C968,编号表!$A:$A,0))*1000+INDEX(编号表!$D:$D,MATCH(D968,编号表!$C:$C,0))*100+E968</f>
        <v>1030001</v>
      </c>
      <c r="C968" s="2" t="s">
        <v>252</v>
      </c>
      <c r="D968" s="8" t="s">
        <v>55</v>
      </c>
      <c r="E968" s="8">
        <v>1</v>
      </c>
      <c r="F968" s="11" t="s">
        <v>56</v>
      </c>
      <c r="G968" s="12" t="s">
        <v>57</v>
      </c>
      <c r="H968" s="8">
        <v>60294000</v>
      </c>
      <c r="I968" s="8">
        <v>1</v>
      </c>
    </row>
    <row r="969" spans="2:9" x14ac:dyDescent="0.25">
      <c r="B969" s="8">
        <f>1000000+INDEX(编号表!$B:$B,MATCH(C969,编号表!$A:$A,0))*1000+INDEX(编号表!$D:$D,MATCH(D969,编号表!$C:$C,0))*100+E969</f>
        <v>1030101</v>
      </c>
      <c r="C969" s="2" t="s">
        <v>252</v>
      </c>
      <c r="D969" s="8" t="s">
        <v>58</v>
      </c>
      <c r="E969" s="8">
        <v>1</v>
      </c>
      <c r="F969" s="11" t="s">
        <v>59</v>
      </c>
      <c r="G969" s="12" t="s">
        <v>57</v>
      </c>
      <c r="H969" s="2">
        <v>60292000</v>
      </c>
      <c r="I969" s="8">
        <v>1</v>
      </c>
    </row>
    <row r="970" spans="2:9" x14ac:dyDescent="0.25">
      <c r="B970" s="8">
        <f>1000000+INDEX(编号表!$B:$B,MATCH(C970,编号表!$A:$A,0))*1000+INDEX(编号表!$D:$D,MATCH(D970,编号表!$C:$C,0))*100+E970</f>
        <v>1030201</v>
      </c>
      <c r="C970" s="2" t="s">
        <v>252</v>
      </c>
      <c r="D970" s="8" t="s">
        <v>60</v>
      </c>
      <c r="E970" s="8">
        <f t="shared" ref="E970:E993" si="29">I970+K970+M970+O970+Q970+S970+U970+W970+Y970+AA970</f>
        <v>1</v>
      </c>
      <c r="F970" s="2" t="s">
        <v>253</v>
      </c>
      <c r="G970" s="12" t="s">
        <v>62</v>
      </c>
      <c r="H970" s="2">
        <v>60291000</v>
      </c>
      <c r="I970" s="8">
        <v>1</v>
      </c>
    </row>
    <row r="971" spans="2:9" x14ac:dyDescent="0.25">
      <c r="B971" s="8">
        <f>1000000+INDEX(编号表!$B:$B,MATCH(C971,编号表!$A:$A,0))*1000+INDEX(编号表!$D:$D,MATCH(D971,编号表!$C:$C,0))*100+E971</f>
        <v>1030301</v>
      </c>
      <c r="C971" s="2" t="s">
        <v>252</v>
      </c>
      <c r="D971" s="8" t="s">
        <v>63</v>
      </c>
      <c r="E971" s="8">
        <f t="shared" si="29"/>
        <v>1</v>
      </c>
      <c r="F971" s="2" t="s">
        <v>254</v>
      </c>
      <c r="G971" s="12" t="s">
        <v>62</v>
      </c>
      <c r="H971" s="2">
        <v>60291001</v>
      </c>
      <c r="I971" s="8">
        <v>1</v>
      </c>
    </row>
    <row r="972" spans="2:9" x14ac:dyDescent="0.25">
      <c r="B972" s="8">
        <f>1000000+INDEX(编号表!$B:$B,MATCH(C972,编号表!$A:$A,0))*1000+INDEX(编号表!$D:$D,MATCH(D972,编号表!$C:$C,0))*100+E972</f>
        <v>1030401</v>
      </c>
      <c r="C972" s="2" t="s">
        <v>252</v>
      </c>
      <c r="D972" s="8" t="s">
        <v>65</v>
      </c>
      <c r="E972" s="8">
        <f t="shared" si="29"/>
        <v>1</v>
      </c>
      <c r="F972" s="2" t="s">
        <v>255</v>
      </c>
      <c r="G972" s="12" t="s">
        <v>62</v>
      </c>
      <c r="H972" s="2">
        <v>60291002</v>
      </c>
      <c r="I972" s="8">
        <v>1</v>
      </c>
    </row>
    <row r="973" spans="2:9" x14ac:dyDescent="0.25">
      <c r="B973" s="8">
        <f>1000000+INDEX(编号表!$B:$B,MATCH(C973,编号表!$A:$A,0))*1000+INDEX(编号表!$D:$D,MATCH(D973,编号表!$C:$C,0))*100+E973</f>
        <v>1030501</v>
      </c>
      <c r="C973" s="2" t="s">
        <v>252</v>
      </c>
      <c r="D973" s="8" t="s">
        <v>67</v>
      </c>
      <c r="E973" s="8">
        <f t="shared" si="29"/>
        <v>1</v>
      </c>
      <c r="F973" s="2" t="s">
        <v>256</v>
      </c>
      <c r="G973" s="12" t="s">
        <v>62</v>
      </c>
      <c r="H973" s="2">
        <v>60291003</v>
      </c>
      <c r="I973" s="8">
        <v>1</v>
      </c>
    </row>
    <row r="974" spans="2:9" x14ac:dyDescent="0.25">
      <c r="B974" s="8">
        <f>1000000+INDEX(编号表!$B:$B,MATCH(C974,编号表!$A:$A,0))*1000+INDEX(编号表!$D:$D,MATCH(D974,编号表!$C:$C,0))*100+E974</f>
        <v>1030202</v>
      </c>
      <c r="C974" s="2" t="s">
        <v>252</v>
      </c>
      <c r="D974" s="8" t="s">
        <v>60</v>
      </c>
      <c r="E974" s="8">
        <f t="shared" si="29"/>
        <v>2</v>
      </c>
      <c r="F974" s="2" t="s">
        <v>253</v>
      </c>
      <c r="G974" s="12" t="s">
        <v>62</v>
      </c>
      <c r="H974" s="2">
        <v>60291000</v>
      </c>
      <c r="I974" s="8">
        <v>2</v>
      </c>
    </row>
    <row r="975" spans="2:9" x14ac:dyDescent="0.25">
      <c r="B975" s="8">
        <f>1000000+INDEX(编号表!$B:$B,MATCH(C975,编号表!$A:$A,0))*1000+INDEX(编号表!$D:$D,MATCH(D975,编号表!$C:$C,0))*100+E975</f>
        <v>1030302</v>
      </c>
      <c r="C975" s="2" t="s">
        <v>252</v>
      </c>
      <c r="D975" s="8" t="s">
        <v>63</v>
      </c>
      <c r="E975" s="8">
        <f t="shared" si="29"/>
        <v>2</v>
      </c>
      <c r="F975" s="2" t="s">
        <v>254</v>
      </c>
      <c r="G975" s="12" t="s">
        <v>62</v>
      </c>
      <c r="H975" s="2">
        <v>60291001</v>
      </c>
      <c r="I975" s="8">
        <v>2</v>
      </c>
    </row>
    <row r="976" spans="2:9" x14ac:dyDescent="0.25">
      <c r="B976" s="8">
        <f>1000000+INDEX(编号表!$B:$B,MATCH(C976,编号表!$A:$A,0))*1000+INDEX(编号表!$D:$D,MATCH(D976,编号表!$C:$C,0))*100+E976</f>
        <v>1030402</v>
      </c>
      <c r="C976" s="2" t="s">
        <v>252</v>
      </c>
      <c r="D976" s="8" t="s">
        <v>65</v>
      </c>
      <c r="E976" s="8">
        <f t="shared" si="29"/>
        <v>2</v>
      </c>
      <c r="F976" s="2" t="s">
        <v>255</v>
      </c>
      <c r="G976" s="12" t="s">
        <v>62</v>
      </c>
      <c r="H976" s="2">
        <v>60291002</v>
      </c>
      <c r="I976" s="8">
        <v>2</v>
      </c>
    </row>
    <row r="977" spans="2:9" x14ac:dyDescent="0.25">
      <c r="B977" s="8">
        <f>1000000+INDEX(编号表!$B:$B,MATCH(C977,编号表!$A:$A,0))*1000+INDEX(编号表!$D:$D,MATCH(D977,编号表!$C:$C,0))*100+E977</f>
        <v>1030502</v>
      </c>
      <c r="C977" s="2" t="s">
        <v>252</v>
      </c>
      <c r="D977" s="8" t="s">
        <v>67</v>
      </c>
      <c r="E977" s="8">
        <f t="shared" si="29"/>
        <v>2</v>
      </c>
      <c r="F977" s="2" t="s">
        <v>256</v>
      </c>
      <c r="G977" s="12" t="s">
        <v>62</v>
      </c>
      <c r="H977" s="2">
        <v>60291003</v>
      </c>
      <c r="I977" s="8">
        <v>2</v>
      </c>
    </row>
    <row r="978" spans="2:9" x14ac:dyDescent="0.25">
      <c r="B978" s="8">
        <f>1000000+INDEX(编号表!$B:$B,MATCH(C978,编号表!$A:$A,0))*1000+INDEX(编号表!$D:$D,MATCH(D978,编号表!$C:$C,0))*100+E978</f>
        <v>1030203</v>
      </c>
      <c r="C978" s="2" t="s">
        <v>252</v>
      </c>
      <c r="D978" s="8" t="s">
        <v>60</v>
      </c>
      <c r="E978" s="8">
        <f t="shared" si="29"/>
        <v>3</v>
      </c>
      <c r="F978" s="2" t="s">
        <v>253</v>
      </c>
      <c r="G978" s="12" t="s">
        <v>62</v>
      </c>
      <c r="H978" s="2">
        <v>60291000</v>
      </c>
      <c r="I978" s="8">
        <v>3</v>
      </c>
    </row>
    <row r="979" spans="2:9" x14ac:dyDescent="0.25">
      <c r="B979" s="8">
        <f>1000000+INDEX(编号表!$B:$B,MATCH(C979,编号表!$A:$A,0))*1000+INDEX(编号表!$D:$D,MATCH(D979,编号表!$C:$C,0))*100+E979</f>
        <v>1030303</v>
      </c>
      <c r="C979" s="2" t="s">
        <v>252</v>
      </c>
      <c r="D979" s="8" t="s">
        <v>63</v>
      </c>
      <c r="E979" s="8">
        <f t="shared" si="29"/>
        <v>3</v>
      </c>
      <c r="F979" s="2" t="s">
        <v>254</v>
      </c>
      <c r="G979" s="12" t="s">
        <v>62</v>
      </c>
      <c r="H979" s="2">
        <v>60291001</v>
      </c>
      <c r="I979" s="8">
        <v>3</v>
      </c>
    </row>
    <row r="980" spans="2:9" x14ac:dyDescent="0.25">
      <c r="B980" s="8">
        <f>1000000+INDEX(编号表!$B:$B,MATCH(C980,编号表!$A:$A,0))*1000+INDEX(编号表!$D:$D,MATCH(D980,编号表!$C:$C,0))*100+E980</f>
        <v>1030403</v>
      </c>
      <c r="C980" s="2" t="s">
        <v>252</v>
      </c>
      <c r="D980" s="8" t="s">
        <v>65</v>
      </c>
      <c r="E980" s="8">
        <f t="shared" si="29"/>
        <v>3</v>
      </c>
      <c r="F980" s="2" t="s">
        <v>255</v>
      </c>
      <c r="G980" s="12" t="s">
        <v>62</v>
      </c>
      <c r="H980" s="2">
        <v>60291002</v>
      </c>
      <c r="I980" s="8">
        <v>3</v>
      </c>
    </row>
    <row r="981" spans="2:9" x14ac:dyDescent="0.25">
      <c r="B981" s="8">
        <f>1000000+INDEX(编号表!$B:$B,MATCH(C981,编号表!$A:$A,0))*1000+INDEX(编号表!$D:$D,MATCH(D981,编号表!$C:$C,0))*100+E981</f>
        <v>1030503</v>
      </c>
      <c r="C981" s="2" t="s">
        <v>252</v>
      </c>
      <c r="D981" s="8" t="s">
        <v>67</v>
      </c>
      <c r="E981" s="8">
        <f t="shared" si="29"/>
        <v>3</v>
      </c>
      <c r="F981" s="2" t="s">
        <v>256</v>
      </c>
      <c r="G981" s="12" t="s">
        <v>62</v>
      </c>
      <c r="H981" s="2">
        <v>60291003</v>
      </c>
      <c r="I981" s="8">
        <v>3</v>
      </c>
    </row>
    <row r="982" spans="2:9" x14ac:dyDescent="0.25">
      <c r="B982" s="8">
        <f>1000000+INDEX(编号表!$B:$B,MATCH(C982,编号表!$A:$A,0))*1000+INDEX(编号表!$D:$D,MATCH(D982,编号表!$C:$C,0))*100+E982</f>
        <v>1030205</v>
      </c>
      <c r="C982" s="2" t="s">
        <v>252</v>
      </c>
      <c r="D982" s="8" t="s">
        <v>60</v>
      </c>
      <c r="E982" s="8">
        <f t="shared" si="29"/>
        <v>5</v>
      </c>
      <c r="F982" s="2" t="s">
        <v>253</v>
      </c>
      <c r="G982" s="12" t="s">
        <v>62</v>
      </c>
      <c r="H982" s="2">
        <v>60291000</v>
      </c>
      <c r="I982" s="8">
        <v>5</v>
      </c>
    </row>
    <row r="983" spans="2:9" x14ac:dyDescent="0.25">
      <c r="B983" s="8">
        <f>1000000+INDEX(编号表!$B:$B,MATCH(C983,编号表!$A:$A,0))*1000+INDEX(编号表!$D:$D,MATCH(D983,编号表!$C:$C,0))*100+E983</f>
        <v>1030305</v>
      </c>
      <c r="C983" s="2" t="s">
        <v>252</v>
      </c>
      <c r="D983" s="8" t="s">
        <v>63</v>
      </c>
      <c r="E983" s="8">
        <f t="shared" si="29"/>
        <v>5</v>
      </c>
      <c r="F983" s="2" t="s">
        <v>254</v>
      </c>
      <c r="G983" s="12" t="s">
        <v>62</v>
      </c>
      <c r="H983" s="2">
        <v>60291001</v>
      </c>
      <c r="I983" s="8">
        <v>5</v>
      </c>
    </row>
    <row r="984" spans="2:9" x14ac:dyDescent="0.25">
      <c r="B984" s="8">
        <f>1000000+INDEX(编号表!$B:$B,MATCH(C984,编号表!$A:$A,0))*1000+INDEX(编号表!$D:$D,MATCH(D984,编号表!$C:$C,0))*100+E984</f>
        <v>1030405</v>
      </c>
      <c r="C984" s="2" t="s">
        <v>252</v>
      </c>
      <c r="D984" s="8" t="s">
        <v>65</v>
      </c>
      <c r="E984" s="8">
        <f t="shared" si="29"/>
        <v>5</v>
      </c>
      <c r="F984" s="2" t="s">
        <v>255</v>
      </c>
      <c r="G984" s="12" t="s">
        <v>62</v>
      </c>
      <c r="H984" s="2">
        <v>60291002</v>
      </c>
      <c r="I984" s="8">
        <v>5</v>
      </c>
    </row>
    <row r="985" spans="2:9" x14ac:dyDescent="0.25">
      <c r="B985" s="8">
        <f>1000000+INDEX(编号表!$B:$B,MATCH(C985,编号表!$A:$A,0))*1000+INDEX(编号表!$D:$D,MATCH(D985,编号表!$C:$C,0))*100+E985</f>
        <v>1030505</v>
      </c>
      <c r="C985" s="2" t="s">
        <v>252</v>
      </c>
      <c r="D985" s="8" t="s">
        <v>67</v>
      </c>
      <c r="E985" s="8">
        <f t="shared" si="29"/>
        <v>5</v>
      </c>
      <c r="F985" s="2" t="s">
        <v>256</v>
      </c>
      <c r="G985" s="12" t="s">
        <v>62</v>
      </c>
      <c r="H985" s="2">
        <v>60291003</v>
      </c>
      <c r="I985" s="8">
        <v>5</v>
      </c>
    </row>
    <row r="986" spans="2:9" x14ac:dyDescent="0.25">
      <c r="B986" s="8">
        <f>1000000+INDEX(编号表!$B:$B,MATCH(C986,编号表!$A:$A,0))*1000+INDEX(编号表!$D:$D,MATCH(D986,编号表!$C:$C,0))*100+E986</f>
        <v>1030210</v>
      </c>
      <c r="C986" s="2" t="s">
        <v>252</v>
      </c>
      <c r="D986" s="8" t="s">
        <v>60</v>
      </c>
      <c r="E986" s="8">
        <f t="shared" si="29"/>
        <v>10</v>
      </c>
      <c r="F986" s="2" t="s">
        <v>253</v>
      </c>
      <c r="G986" s="12" t="s">
        <v>62</v>
      </c>
      <c r="H986" s="2">
        <v>60291000</v>
      </c>
      <c r="I986" s="8">
        <v>10</v>
      </c>
    </row>
    <row r="987" spans="2:9" x14ac:dyDescent="0.25">
      <c r="B987" s="8">
        <f>1000000+INDEX(编号表!$B:$B,MATCH(C987,编号表!$A:$A,0))*1000+INDEX(编号表!$D:$D,MATCH(D987,编号表!$C:$C,0))*100+E987</f>
        <v>1030310</v>
      </c>
      <c r="C987" s="2" t="s">
        <v>252</v>
      </c>
      <c r="D987" s="8" t="s">
        <v>63</v>
      </c>
      <c r="E987" s="8">
        <f t="shared" si="29"/>
        <v>10</v>
      </c>
      <c r="F987" s="2" t="s">
        <v>254</v>
      </c>
      <c r="G987" s="12" t="s">
        <v>62</v>
      </c>
      <c r="H987" s="2">
        <v>60291001</v>
      </c>
      <c r="I987" s="8">
        <v>10</v>
      </c>
    </row>
    <row r="988" spans="2:9" x14ac:dyDescent="0.25">
      <c r="B988" s="8">
        <f>1000000+INDEX(编号表!$B:$B,MATCH(C988,编号表!$A:$A,0))*1000+INDEX(编号表!$D:$D,MATCH(D988,编号表!$C:$C,0))*100+E988</f>
        <v>1030410</v>
      </c>
      <c r="C988" s="2" t="s">
        <v>252</v>
      </c>
      <c r="D988" s="8" t="s">
        <v>65</v>
      </c>
      <c r="E988" s="8">
        <f t="shared" si="29"/>
        <v>10</v>
      </c>
      <c r="F988" s="2" t="s">
        <v>255</v>
      </c>
      <c r="G988" s="12" t="s">
        <v>62</v>
      </c>
      <c r="H988" s="2">
        <v>60291002</v>
      </c>
      <c r="I988" s="8">
        <v>10</v>
      </c>
    </row>
    <row r="989" spans="2:9" x14ac:dyDescent="0.25">
      <c r="B989" s="8">
        <f>1000000+INDEX(编号表!$B:$B,MATCH(C989,编号表!$A:$A,0))*1000+INDEX(编号表!$D:$D,MATCH(D989,编号表!$C:$C,0))*100+E989</f>
        <v>1030510</v>
      </c>
      <c r="C989" s="2" t="s">
        <v>252</v>
      </c>
      <c r="D989" s="8" t="s">
        <v>67</v>
      </c>
      <c r="E989" s="8">
        <f t="shared" si="29"/>
        <v>10</v>
      </c>
      <c r="F989" s="2" t="s">
        <v>256</v>
      </c>
      <c r="G989" s="12" t="s">
        <v>62</v>
      </c>
      <c r="H989" s="2">
        <v>60291003</v>
      </c>
      <c r="I989" s="8">
        <v>10</v>
      </c>
    </row>
    <row r="990" spans="2:9" x14ac:dyDescent="0.25">
      <c r="B990" s="8">
        <f>1000000+INDEX(编号表!$B:$B,MATCH(C990,编号表!$A:$A,0))*1000+INDEX(编号表!$D:$D,MATCH(D990,编号表!$C:$C,0))*100+E990</f>
        <v>1030215</v>
      </c>
      <c r="C990" s="2" t="s">
        <v>252</v>
      </c>
      <c r="D990" s="8" t="s">
        <v>60</v>
      </c>
      <c r="E990" s="8">
        <f t="shared" si="29"/>
        <v>15</v>
      </c>
      <c r="F990" s="2" t="s">
        <v>253</v>
      </c>
      <c r="G990" s="12" t="s">
        <v>62</v>
      </c>
      <c r="H990" s="2">
        <v>60291000</v>
      </c>
      <c r="I990" s="8">
        <v>15</v>
      </c>
    </row>
    <row r="991" spans="2:9" x14ac:dyDescent="0.25">
      <c r="B991" s="8">
        <f>1000000+INDEX(编号表!$B:$B,MATCH(C991,编号表!$A:$A,0))*1000+INDEX(编号表!$D:$D,MATCH(D991,编号表!$C:$C,0))*100+E991</f>
        <v>1030315</v>
      </c>
      <c r="C991" s="2" t="s">
        <v>252</v>
      </c>
      <c r="D991" s="8" t="s">
        <v>63</v>
      </c>
      <c r="E991" s="8">
        <f t="shared" si="29"/>
        <v>15</v>
      </c>
      <c r="F991" s="2" t="s">
        <v>254</v>
      </c>
      <c r="G991" s="12" t="s">
        <v>62</v>
      </c>
      <c r="H991" s="2">
        <v>60291001</v>
      </c>
      <c r="I991" s="8">
        <v>15</v>
      </c>
    </row>
    <row r="992" spans="2:9" x14ac:dyDescent="0.25">
      <c r="B992" s="8">
        <f>1000000+INDEX(编号表!$B:$B,MATCH(C992,编号表!$A:$A,0))*1000+INDEX(编号表!$D:$D,MATCH(D992,编号表!$C:$C,0))*100+E992</f>
        <v>1030415</v>
      </c>
      <c r="C992" s="2" t="s">
        <v>252</v>
      </c>
      <c r="D992" s="8" t="s">
        <v>65</v>
      </c>
      <c r="E992" s="8">
        <f t="shared" si="29"/>
        <v>15</v>
      </c>
      <c r="F992" s="2" t="s">
        <v>255</v>
      </c>
      <c r="G992" s="12" t="s">
        <v>62</v>
      </c>
      <c r="H992" s="2">
        <v>60291002</v>
      </c>
      <c r="I992" s="8">
        <v>15</v>
      </c>
    </row>
    <row r="993" spans="2:9" x14ac:dyDescent="0.25">
      <c r="B993" s="8">
        <f>1000000+INDEX(编号表!$B:$B,MATCH(C993,编号表!$A:$A,0))*1000+INDEX(编号表!$D:$D,MATCH(D993,编号表!$C:$C,0))*100+E993</f>
        <v>1030515</v>
      </c>
      <c r="C993" s="2" t="s">
        <v>252</v>
      </c>
      <c r="D993" s="8" t="s">
        <v>67</v>
      </c>
      <c r="E993" s="8">
        <f t="shared" si="29"/>
        <v>15</v>
      </c>
      <c r="F993" s="2" t="s">
        <v>256</v>
      </c>
      <c r="G993" s="12" t="s">
        <v>62</v>
      </c>
      <c r="H993" s="2">
        <v>60291003</v>
      </c>
      <c r="I993" s="8">
        <v>15</v>
      </c>
    </row>
    <row r="994" spans="2:9" x14ac:dyDescent="0.25">
      <c r="B994" s="8">
        <f>1000000+INDEX(编号表!$B:$B,MATCH(C994,编号表!$A:$A,0))*1000+INDEX(编号表!$D:$D,MATCH(D994,编号表!$C:$C,0))*100+E994</f>
        <v>1031001</v>
      </c>
      <c r="C994" s="2" t="s">
        <v>257</v>
      </c>
      <c r="D994" s="8" t="s">
        <v>55</v>
      </c>
      <c r="E994" s="8">
        <v>1</v>
      </c>
      <c r="F994" s="11" t="s">
        <v>56</v>
      </c>
      <c r="G994" s="12" t="s">
        <v>57</v>
      </c>
      <c r="H994" s="8">
        <v>60304000</v>
      </c>
      <c r="I994" s="8">
        <v>1</v>
      </c>
    </row>
    <row r="995" spans="2:9" x14ac:dyDescent="0.25">
      <c r="B995" s="8">
        <f>1000000+INDEX(编号表!$B:$B,MATCH(C995,编号表!$A:$A,0))*1000+INDEX(编号表!$D:$D,MATCH(D995,编号表!$C:$C,0))*100+E995</f>
        <v>1031101</v>
      </c>
      <c r="C995" s="2" t="s">
        <v>257</v>
      </c>
      <c r="D995" s="8" t="s">
        <v>58</v>
      </c>
      <c r="E995" s="8">
        <v>1</v>
      </c>
      <c r="F995" s="11" t="s">
        <v>59</v>
      </c>
      <c r="G995" s="12" t="s">
        <v>57</v>
      </c>
      <c r="H995" s="2">
        <v>60302000</v>
      </c>
      <c r="I995" s="8">
        <v>1</v>
      </c>
    </row>
    <row r="996" spans="2:9" x14ac:dyDescent="0.25">
      <c r="B996" s="8">
        <f>1000000+INDEX(编号表!$B:$B,MATCH(C996,编号表!$A:$A,0))*1000+INDEX(编号表!$D:$D,MATCH(D996,编号表!$C:$C,0))*100+E996</f>
        <v>1031201</v>
      </c>
      <c r="C996" s="2" t="s">
        <v>257</v>
      </c>
      <c r="D996" s="8" t="s">
        <v>60</v>
      </c>
      <c r="E996" s="8">
        <f t="shared" ref="E996:E1019" si="30">I996+K996+M996+O996+Q996+S996+U996+W996+Y996+AA996</f>
        <v>1</v>
      </c>
      <c r="F996" s="2" t="s">
        <v>253</v>
      </c>
      <c r="G996" s="12" t="s">
        <v>62</v>
      </c>
      <c r="H996" s="2">
        <v>60301000</v>
      </c>
      <c r="I996" s="8">
        <v>1</v>
      </c>
    </row>
    <row r="997" spans="2:9" x14ac:dyDescent="0.25">
      <c r="B997" s="8">
        <f>1000000+INDEX(编号表!$B:$B,MATCH(C997,编号表!$A:$A,0))*1000+INDEX(编号表!$D:$D,MATCH(D997,编号表!$C:$C,0))*100+E997</f>
        <v>1031301</v>
      </c>
      <c r="C997" s="2" t="s">
        <v>257</v>
      </c>
      <c r="D997" s="8" t="s">
        <v>63</v>
      </c>
      <c r="E997" s="8">
        <f t="shared" si="30"/>
        <v>1</v>
      </c>
      <c r="F997" s="2" t="s">
        <v>254</v>
      </c>
      <c r="G997" s="12" t="s">
        <v>62</v>
      </c>
      <c r="H997" s="2">
        <v>60301001</v>
      </c>
      <c r="I997" s="8">
        <v>1</v>
      </c>
    </row>
    <row r="998" spans="2:9" x14ac:dyDescent="0.25">
      <c r="B998" s="8">
        <f>1000000+INDEX(编号表!$B:$B,MATCH(C998,编号表!$A:$A,0))*1000+INDEX(编号表!$D:$D,MATCH(D998,编号表!$C:$C,0))*100+E998</f>
        <v>1031401</v>
      </c>
      <c r="C998" s="2" t="s">
        <v>257</v>
      </c>
      <c r="D998" s="8" t="s">
        <v>65</v>
      </c>
      <c r="E998" s="8">
        <f t="shared" si="30"/>
        <v>1</v>
      </c>
      <c r="F998" s="2" t="s">
        <v>255</v>
      </c>
      <c r="G998" s="12" t="s">
        <v>62</v>
      </c>
      <c r="H998" s="2">
        <v>60301002</v>
      </c>
      <c r="I998" s="8">
        <v>1</v>
      </c>
    </row>
    <row r="999" spans="2:9" x14ac:dyDescent="0.25">
      <c r="B999" s="8">
        <f>1000000+INDEX(编号表!$B:$B,MATCH(C999,编号表!$A:$A,0))*1000+INDEX(编号表!$D:$D,MATCH(D999,编号表!$C:$C,0))*100+E999</f>
        <v>1031501</v>
      </c>
      <c r="C999" s="2" t="s">
        <v>257</v>
      </c>
      <c r="D999" s="8" t="s">
        <v>67</v>
      </c>
      <c r="E999" s="8">
        <f t="shared" si="30"/>
        <v>1</v>
      </c>
      <c r="F999" s="2" t="s">
        <v>256</v>
      </c>
      <c r="G999" s="12" t="s">
        <v>62</v>
      </c>
      <c r="H999" s="2">
        <v>60301003</v>
      </c>
      <c r="I999" s="8">
        <v>1</v>
      </c>
    </row>
    <row r="1000" spans="2:9" x14ac:dyDescent="0.25">
      <c r="B1000" s="8">
        <f>1000000+INDEX(编号表!$B:$B,MATCH(C1000,编号表!$A:$A,0))*1000+INDEX(编号表!$D:$D,MATCH(D1000,编号表!$C:$C,0))*100+E1000</f>
        <v>1031202</v>
      </c>
      <c r="C1000" s="2" t="s">
        <v>257</v>
      </c>
      <c r="D1000" s="8" t="s">
        <v>60</v>
      </c>
      <c r="E1000" s="8">
        <f t="shared" si="30"/>
        <v>2</v>
      </c>
      <c r="F1000" s="2" t="s">
        <v>253</v>
      </c>
      <c r="G1000" s="12" t="s">
        <v>62</v>
      </c>
      <c r="H1000" s="2">
        <v>60301000</v>
      </c>
      <c r="I1000" s="8">
        <v>2</v>
      </c>
    </row>
    <row r="1001" spans="2:9" x14ac:dyDescent="0.25">
      <c r="B1001" s="8">
        <f>1000000+INDEX(编号表!$B:$B,MATCH(C1001,编号表!$A:$A,0))*1000+INDEX(编号表!$D:$D,MATCH(D1001,编号表!$C:$C,0))*100+E1001</f>
        <v>1031302</v>
      </c>
      <c r="C1001" s="2" t="s">
        <v>257</v>
      </c>
      <c r="D1001" s="8" t="s">
        <v>63</v>
      </c>
      <c r="E1001" s="8">
        <f t="shared" si="30"/>
        <v>2</v>
      </c>
      <c r="F1001" s="2" t="s">
        <v>254</v>
      </c>
      <c r="G1001" s="12" t="s">
        <v>62</v>
      </c>
      <c r="H1001" s="2">
        <v>60301001</v>
      </c>
      <c r="I1001" s="8">
        <v>2</v>
      </c>
    </row>
    <row r="1002" spans="2:9" x14ac:dyDescent="0.25">
      <c r="B1002" s="8">
        <f>1000000+INDEX(编号表!$B:$B,MATCH(C1002,编号表!$A:$A,0))*1000+INDEX(编号表!$D:$D,MATCH(D1002,编号表!$C:$C,0))*100+E1002</f>
        <v>1031402</v>
      </c>
      <c r="C1002" s="2" t="s">
        <v>257</v>
      </c>
      <c r="D1002" s="8" t="s">
        <v>65</v>
      </c>
      <c r="E1002" s="8">
        <f t="shared" si="30"/>
        <v>2</v>
      </c>
      <c r="F1002" s="2" t="s">
        <v>255</v>
      </c>
      <c r="G1002" s="12" t="s">
        <v>62</v>
      </c>
      <c r="H1002" s="2">
        <v>60301002</v>
      </c>
      <c r="I1002" s="8">
        <v>2</v>
      </c>
    </row>
    <row r="1003" spans="2:9" x14ac:dyDescent="0.25">
      <c r="B1003" s="8">
        <f>1000000+INDEX(编号表!$B:$B,MATCH(C1003,编号表!$A:$A,0))*1000+INDEX(编号表!$D:$D,MATCH(D1003,编号表!$C:$C,0))*100+E1003</f>
        <v>1031502</v>
      </c>
      <c r="C1003" s="2" t="s">
        <v>257</v>
      </c>
      <c r="D1003" s="8" t="s">
        <v>67</v>
      </c>
      <c r="E1003" s="8">
        <f t="shared" si="30"/>
        <v>2</v>
      </c>
      <c r="F1003" s="2" t="s">
        <v>256</v>
      </c>
      <c r="G1003" s="12" t="s">
        <v>62</v>
      </c>
      <c r="H1003" s="2">
        <v>60301003</v>
      </c>
      <c r="I1003" s="8">
        <v>2</v>
      </c>
    </row>
    <row r="1004" spans="2:9" x14ac:dyDescent="0.25">
      <c r="B1004" s="8">
        <f>1000000+INDEX(编号表!$B:$B,MATCH(C1004,编号表!$A:$A,0))*1000+INDEX(编号表!$D:$D,MATCH(D1004,编号表!$C:$C,0))*100+E1004</f>
        <v>1031203</v>
      </c>
      <c r="C1004" s="2" t="s">
        <v>257</v>
      </c>
      <c r="D1004" s="8" t="s">
        <v>60</v>
      </c>
      <c r="E1004" s="8">
        <f t="shared" si="30"/>
        <v>3</v>
      </c>
      <c r="F1004" s="2" t="s">
        <v>253</v>
      </c>
      <c r="G1004" s="12" t="s">
        <v>62</v>
      </c>
      <c r="H1004" s="2">
        <v>60301000</v>
      </c>
      <c r="I1004" s="8">
        <v>3</v>
      </c>
    </row>
    <row r="1005" spans="2:9" x14ac:dyDescent="0.25">
      <c r="B1005" s="8">
        <f>1000000+INDEX(编号表!$B:$B,MATCH(C1005,编号表!$A:$A,0))*1000+INDEX(编号表!$D:$D,MATCH(D1005,编号表!$C:$C,0))*100+E1005</f>
        <v>1031303</v>
      </c>
      <c r="C1005" s="2" t="s">
        <v>257</v>
      </c>
      <c r="D1005" s="8" t="s">
        <v>63</v>
      </c>
      <c r="E1005" s="8">
        <f t="shared" si="30"/>
        <v>3</v>
      </c>
      <c r="F1005" s="2" t="s">
        <v>254</v>
      </c>
      <c r="G1005" s="12" t="s">
        <v>62</v>
      </c>
      <c r="H1005" s="2">
        <v>60301001</v>
      </c>
      <c r="I1005" s="8">
        <v>3</v>
      </c>
    </row>
    <row r="1006" spans="2:9" x14ac:dyDescent="0.25">
      <c r="B1006" s="8">
        <f>1000000+INDEX(编号表!$B:$B,MATCH(C1006,编号表!$A:$A,0))*1000+INDEX(编号表!$D:$D,MATCH(D1006,编号表!$C:$C,0))*100+E1006</f>
        <v>1031403</v>
      </c>
      <c r="C1006" s="2" t="s">
        <v>257</v>
      </c>
      <c r="D1006" s="8" t="s">
        <v>65</v>
      </c>
      <c r="E1006" s="8">
        <f t="shared" si="30"/>
        <v>3</v>
      </c>
      <c r="F1006" s="2" t="s">
        <v>255</v>
      </c>
      <c r="G1006" s="12" t="s">
        <v>62</v>
      </c>
      <c r="H1006" s="2">
        <v>60301002</v>
      </c>
      <c r="I1006" s="8">
        <v>3</v>
      </c>
    </row>
    <row r="1007" spans="2:9" x14ac:dyDescent="0.25">
      <c r="B1007" s="8">
        <f>1000000+INDEX(编号表!$B:$B,MATCH(C1007,编号表!$A:$A,0))*1000+INDEX(编号表!$D:$D,MATCH(D1007,编号表!$C:$C,0))*100+E1007</f>
        <v>1031503</v>
      </c>
      <c r="C1007" s="2" t="s">
        <v>257</v>
      </c>
      <c r="D1007" s="8" t="s">
        <v>67</v>
      </c>
      <c r="E1007" s="8">
        <f t="shared" si="30"/>
        <v>3</v>
      </c>
      <c r="F1007" s="2" t="s">
        <v>256</v>
      </c>
      <c r="G1007" s="12" t="s">
        <v>62</v>
      </c>
      <c r="H1007" s="2">
        <v>60301003</v>
      </c>
      <c r="I1007" s="8">
        <v>3</v>
      </c>
    </row>
    <row r="1008" spans="2:9" x14ac:dyDescent="0.25">
      <c r="B1008" s="8">
        <f>1000000+INDEX(编号表!$B:$B,MATCH(C1008,编号表!$A:$A,0))*1000+INDEX(编号表!$D:$D,MATCH(D1008,编号表!$C:$C,0))*100+E1008</f>
        <v>1031205</v>
      </c>
      <c r="C1008" s="2" t="s">
        <v>257</v>
      </c>
      <c r="D1008" s="8" t="s">
        <v>60</v>
      </c>
      <c r="E1008" s="8">
        <f t="shared" si="30"/>
        <v>5</v>
      </c>
      <c r="F1008" s="2" t="s">
        <v>253</v>
      </c>
      <c r="G1008" s="12" t="s">
        <v>62</v>
      </c>
      <c r="H1008" s="2">
        <v>60301000</v>
      </c>
      <c r="I1008" s="8">
        <v>5</v>
      </c>
    </row>
    <row r="1009" spans="2:9" x14ac:dyDescent="0.25">
      <c r="B1009" s="8">
        <f>1000000+INDEX(编号表!$B:$B,MATCH(C1009,编号表!$A:$A,0))*1000+INDEX(编号表!$D:$D,MATCH(D1009,编号表!$C:$C,0))*100+E1009</f>
        <v>1031305</v>
      </c>
      <c r="C1009" s="2" t="s">
        <v>257</v>
      </c>
      <c r="D1009" s="8" t="s">
        <v>63</v>
      </c>
      <c r="E1009" s="8">
        <f t="shared" si="30"/>
        <v>5</v>
      </c>
      <c r="F1009" s="2" t="s">
        <v>254</v>
      </c>
      <c r="G1009" s="12" t="s">
        <v>62</v>
      </c>
      <c r="H1009" s="2">
        <v>60301001</v>
      </c>
      <c r="I1009" s="8">
        <v>5</v>
      </c>
    </row>
    <row r="1010" spans="2:9" x14ac:dyDescent="0.25">
      <c r="B1010" s="8">
        <f>1000000+INDEX(编号表!$B:$B,MATCH(C1010,编号表!$A:$A,0))*1000+INDEX(编号表!$D:$D,MATCH(D1010,编号表!$C:$C,0))*100+E1010</f>
        <v>1031405</v>
      </c>
      <c r="C1010" s="2" t="s">
        <v>257</v>
      </c>
      <c r="D1010" s="8" t="s">
        <v>65</v>
      </c>
      <c r="E1010" s="8">
        <f t="shared" si="30"/>
        <v>5</v>
      </c>
      <c r="F1010" s="2" t="s">
        <v>255</v>
      </c>
      <c r="G1010" s="12" t="s">
        <v>62</v>
      </c>
      <c r="H1010" s="2">
        <v>60301002</v>
      </c>
      <c r="I1010" s="8">
        <v>5</v>
      </c>
    </row>
    <row r="1011" spans="2:9" x14ac:dyDescent="0.25">
      <c r="B1011" s="8">
        <f>1000000+INDEX(编号表!$B:$B,MATCH(C1011,编号表!$A:$A,0))*1000+INDEX(编号表!$D:$D,MATCH(D1011,编号表!$C:$C,0))*100+E1011</f>
        <v>1031505</v>
      </c>
      <c r="C1011" s="2" t="s">
        <v>257</v>
      </c>
      <c r="D1011" s="8" t="s">
        <v>67</v>
      </c>
      <c r="E1011" s="8">
        <f t="shared" si="30"/>
        <v>5</v>
      </c>
      <c r="F1011" s="2" t="s">
        <v>256</v>
      </c>
      <c r="G1011" s="12" t="s">
        <v>62</v>
      </c>
      <c r="H1011" s="2">
        <v>60301003</v>
      </c>
      <c r="I1011" s="8">
        <v>5</v>
      </c>
    </row>
    <row r="1012" spans="2:9" x14ac:dyDescent="0.25">
      <c r="B1012" s="8">
        <f>1000000+INDEX(编号表!$B:$B,MATCH(C1012,编号表!$A:$A,0))*1000+INDEX(编号表!$D:$D,MATCH(D1012,编号表!$C:$C,0))*100+E1012</f>
        <v>1031210</v>
      </c>
      <c r="C1012" s="2" t="s">
        <v>257</v>
      </c>
      <c r="D1012" s="8" t="s">
        <v>60</v>
      </c>
      <c r="E1012" s="8">
        <f t="shared" si="30"/>
        <v>10</v>
      </c>
      <c r="F1012" s="2" t="s">
        <v>253</v>
      </c>
      <c r="G1012" s="12" t="s">
        <v>62</v>
      </c>
      <c r="H1012" s="2">
        <v>60301000</v>
      </c>
      <c r="I1012" s="8">
        <v>10</v>
      </c>
    </row>
    <row r="1013" spans="2:9" x14ac:dyDescent="0.25">
      <c r="B1013" s="8">
        <f>1000000+INDEX(编号表!$B:$B,MATCH(C1013,编号表!$A:$A,0))*1000+INDEX(编号表!$D:$D,MATCH(D1013,编号表!$C:$C,0))*100+E1013</f>
        <v>1031310</v>
      </c>
      <c r="C1013" s="2" t="s">
        <v>257</v>
      </c>
      <c r="D1013" s="8" t="s">
        <v>63</v>
      </c>
      <c r="E1013" s="8">
        <f t="shared" si="30"/>
        <v>10</v>
      </c>
      <c r="F1013" s="2" t="s">
        <v>254</v>
      </c>
      <c r="G1013" s="12" t="s">
        <v>62</v>
      </c>
      <c r="H1013" s="2">
        <v>60301001</v>
      </c>
      <c r="I1013" s="8">
        <v>10</v>
      </c>
    </row>
    <row r="1014" spans="2:9" x14ac:dyDescent="0.25">
      <c r="B1014" s="8">
        <f>1000000+INDEX(编号表!$B:$B,MATCH(C1014,编号表!$A:$A,0))*1000+INDEX(编号表!$D:$D,MATCH(D1014,编号表!$C:$C,0))*100+E1014</f>
        <v>1031410</v>
      </c>
      <c r="C1014" s="2" t="s">
        <v>257</v>
      </c>
      <c r="D1014" s="8" t="s">
        <v>65</v>
      </c>
      <c r="E1014" s="8">
        <f t="shared" si="30"/>
        <v>10</v>
      </c>
      <c r="F1014" s="2" t="s">
        <v>255</v>
      </c>
      <c r="G1014" s="12" t="s">
        <v>62</v>
      </c>
      <c r="H1014" s="2">
        <v>60301002</v>
      </c>
      <c r="I1014" s="8">
        <v>10</v>
      </c>
    </row>
    <row r="1015" spans="2:9" x14ac:dyDescent="0.25">
      <c r="B1015" s="8">
        <f>1000000+INDEX(编号表!$B:$B,MATCH(C1015,编号表!$A:$A,0))*1000+INDEX(编号表!$D:$D,MATCH(D1015,编号表!$C:$C,0))*100+E1015</f>
        <v>1031510</v>
      </c>
      <c r="C1015" s="2" t="s">
        <v>257</v>
      </c>
      <c r="D1015" s="8" t="s">
        <v>67</v>
      </c>
      <c r="E1015" s="8">
        <f t="shared" si="30"/>
        <v>10</v>
      </c>
      <c r="F1015" s="2" t="s">
        <v>256</v>
      </c>
      <c r="G1015" s="12" t="s">
        <v>62</v>
      </c>
      <c r="H1015" s="2">
        <v>60301003</v>
      </c>
      <c r="I1015" s="8">
        <v>10</v>
      </c>
    </row>
    <row r="1016" spans="2:9" x14ac:dyDescent="0.25">
      <c r="B1016" s="8">
        <f>1000000+INDEX(编号表!$B:$B,MATCH(C1016,编号表!$A:$A,0))*1000+INDEX(编号表!$D:$D,MATCH(D1016,编号表!$C:$C,0))*100+E1016</f>
        <v>1031215</v>
      </c>
      <c r="C1016" s="2" t="s">
        <v>257</v>
      </c>
      <c r="D1016" s="8" t="s">
        <v>60</v>
      </c>
      <c r="E1016" s="8">
        <f t="shared" si="30"/>
        <v>15</v>
      </c>
      <c r="F1016" s="2" t="s">
        <v>253</v>
      </c>
      <c r="G1016" s="12" t="s">
        <v>62</v>
      </c>
      <c r="H1016" s="2">
        <v>60301000</v>
      </c>
      <c r="I1016" s="8">
        <v>15</v>
      </c>
    </row>
    <row r="1017" spans="2:9" x14ac:dyDescent="0.25">
      <c r="B1017" s="8">
        <f>1000000+INDEX(编号表!$B:$B,MATCH(C1017,编号表!$A:$A,0))*1000+INDEX(编号表!$D:$D,MATCH(D1017,编号表!$C:$C,0))*100+E1017</f>
        <v>1031315</v>
      </c>
      <c r="C1017" s="2" t="s">
        <v>257</v>
      </c>
      <c r="D1017" s="8" t="s">
        <v>63</v>
      </c>
      <c r="E1017" s="8">
        <f t="shared" si="30"/>
        <v>15</v>
      </c>
      <c r="F1017" s="2" t="s">
        <v>254</v>
      </c>
      <c r="G1017" s="12" t="s">
        <v>62</v>
      </c>
      <c r="H1017" s="2">
        <v>60301001</v>
      </c>
      <c r="I1017" s="8">
        <v>15</v>
      </c>
    </row>
    <row r="1018" spans="2:9" x14ac:dyDescent="0.25">
      <c r="B1018" s="8">
        <f>1000000+INDEX(编号表!$B:$B,MATCH(C1018,编号表!$A:$A,0))*1000+INDEX(编号表!$D:$D,MATCH(D1018,编号表!$C:$C,0))*100+E1018</f>
        <v>1031415</v>
      </c>
      <c r="C1018" s="2" t="s">
        <v>257</v>
      </c>
      <c r="D1018" s="8" t="s">
        <v>65</v>
      </c>
      <c r="E1018" s="8">
        <f t="shared" si="30"/>
        <v>15</v>
      </c>
      <c r="F1018" s="2" t="s">
        <v>255</v>
      </c>
      <c r="G1018" s="12" t="s">
        <v>62</v>
      </c>
      <c r="H1018" s="2">
        <v>60301002</v>
      </c>
      <c r="I1018" s="8">
        <v>15</v>
      </c>
    </row>
    <row r="1019" spans="2:9" x14ac:dyDescent="0.25">
      <c r="B1019" s="8">
        <f>1000000+INDEX(编号表!$B:$B,MATCH(C1019,编号表!$A:$A,0))*1000+INDEX(编号表!$D:$D,MATCH(D1019,编号表!$C:$C,0))*100+E1019</f>
        <v>1031515</v>
      </c>
      <c r="C1019" s="2" t="s">
        <v>257</v>
      </c>
      <c r="D1019" s="8" t="s">
        <v>67</v>
      </c>
      <c r="E1019" s="8">
        <f t="shared" si="30"/>
        <v>15</v>
      </c>
      <c r="F1019" s="2" t="s">
        <v>256</v>
      </c>
      <c r="G1019" s="12" t="s">
        <v>62</v>
      </c>
      <c r="H1019" s="2">
        <v>60301003</v>
      </c>
      <c r="I1019" s="8">
        <v>15</v>
      </c>
    </row>
    <row r="1020" spans="2:9" x14ac:dyDescent="0.25">
      <c r="B1020" s="8">
        <f>1000000+INDEX(编号表!$B:$B,MATCH(C1020,编号表!$A:$A,0))*1000+INDEX(编号表!$D:$D,MATCH(D1020,编号表!$C:$C,0))*100+E1020</f>
        <v>1032001</v>
      </c>
      <c r="C1020" s="2" t="s">
        <v>258</v>
      </c>
      <c r="D1020" s="8" t="s">
        <v>55</v>
      </c>
      <c r="E1020" s="8">
        <v>1</v>
      </c>
      <c r="F1020" s="11" t="s">
        <v>56</v>
      </c>
      <c r="G1020" s="12" t="s">
        <v>57</v>
      </c>
      <c r="H1020" s="8">
        <v>60314000</v>
      </c>
      <c r="I1020" s="8">
        <v>1</v>
      </c>
    </row>
    <row r="1021" spans="2:9" x14ac:dyDescent="0.25">
      <c r="B1021" s="8">
        <f>1000000+INDEX(编号表!$B:$B,MATCH(C1021,编号表!$A:$A,0))*1000+INDEX(编号表!$D:$D,MATCH(D1021,编号表!$C:$C,0))*100+E1021</f>
        <v>1032101</v>
      </c>
      <c r="C1021" s="2" t="s">
        <v>258</v>
      </c>
      <c r="D1021" s="8" t="s">
        <v>58</v>
      </c>
      <c r="E1021" s="8">
        <v>1</v>
      </c>
      <c r="F1021" s="11" t="s">
        <v>59</v>
      </c>
      <c r="G1021" s="12" t="s">
        <v>57</v>
      </c>
      <c r="H1021" s="2">
        <v>60312000</v>
      </c>
      <c r="I1021" s="8">
        <v>1</v>
      </c>
    </row>
    <row r="1022" spans="2:9" x14ac:dyDescent="0.25">
      <c r="B1022" s="8">
        <f>1000000+INDEX(编号表!$B:$B,MATCH(C1022,编号表!$A:$A,0))*1000+INDEX(编号表!$D:$D,MATCH(D1022,编号表!$C:$C,0))*100+E1022</f>
        <v>1032201</v>
      </c>
      <c r="C1022" s="2" t="s">
        <v>258</v>
      </c>
      <c r="D1022" s="8" t="s">
        <v>60</v>
      </c>
      <c r="E1022" s="8">
        <f t="shared" ref="E1022:E1051" si="31">I1022+K1022+M1022+O1022+Q1022+S1022+U1022+W1022+Y1022+AA1022</f>
        <v>1</v>
      </c>
      <c r="F1022" s="2" t="s">
        <v>259</v>
      </c>
      <c r="G1022" s="12" t="s">
        <v>62</v>
      </c>
      <c r="H1022" s="2">
        <v>60311000</v>
      </c>
      <c r="I1022" s="8">
        <v>1</v>
      </c>
    </row>
    <row r="1023" spans="2:9" x14ac:dyDescent="0.25">
      <c r="B1023" s="8">
        <f>1000000+INDEX(编号表!$B:$B,MATCH(C1023,编号表!$A:$A,0))*1000+INDEX(编号表!$D:$D,MATCH(D1023,编号表!$C:$C,0))*100+E1023</f>
        <v>1032301</v>
      </c>
      <c r="C1023" s="2" t="s">
        <v>258</v>
      </c>
      <c r="D1023" s="8" t="s">
        <v>63</v>
      </c>
      <c r="E1023" s="8">
        <f t="shared" si="31"/>
        <v>1</v>
      </c>
      <c r="F1023" s="2" t="s">
        <v>260</v>
      </c>
      <c r="G1023" s="12" t="s">
        <v>62</v>
      </c>
      <c r="H1023" s="2">
        <v>60311001</v>
      </c>
      <c r="I1023" s="8">
        <v>1</v>
      </c>
    </row>
    <row r="1024" spans="2:9" x14ac:dyDescent="0.25">
      <c r="B1024" s="8">
        <f>1000000+INDEX(编号表!$B:$B,MATCH(C1024,编号表!$A:$A,0))*1000+INDEX(编号表!$D:$D,MATCH(D1024,编号表!$C:$C,0))*100+E1024</f>
        <v>1032401</v>
      </c>
      <c r="C1024" s="2" t="s">
        <v>258</v>
      </c>
      <c r="D1024" s="8" t="s">
        <v>65</v>
      </c>
      <c r="E1024" s="8">
        <f t="shared" si="31"/>
        <v>1</v>
      </c>
      <c r="F1024" s="2" t="s">
        <v>261</v>
      </c>
      <c r="G1024" s="12" t="s">
        <v>62</v>
      </c>
      <c r="H1024" s="2">
        <v>60311002</v>
      </c>
      <c r="I1024" s="8">
        <v>1</v>
      </c>
    </row>
    <row r="1025" spans="2:9" x14ac:dyDescent="0.25">
      <c r="B1025" s="8">
        <f>1000000+INDEX(编号表!$B:$B,MATCH(C1025,编号表!$A:$A,0))*1000+INDEX(编号表!$D:$D,MATCH(D1025,编号表!$C:$C,0))*100+E1025</f>
        <v>1032501</v>
      </c>
      <c r="C1025" s="2" t="s">
        <v>258</v>
      </c>
      <c r="D1025" s="8" t="s">
        <v>67</v>
      </c>
      <c r="E1025" s="8">
        <f t="shared" si="31"/>
        <v>1</v>
      </c>
      <c r="F1025" s="2" t="s">
        <v>262</v>
      </c>
      <c r="G1025" s="12" t="s">
        <v>62</v>
      </c>
      <c r="H1025" s="2">
        <v>60311003</v>
      </c>
      <c r="I1025" s="8">
        <v>1</v>
      </c>
    </row>
    <row r="1026" spans="2:9" x14ac:dyDescent="0.25">
      <c r="B1026" s="8">
        <f>1000000+INDEX(编号表!$B:$B,MATCH(C1026,编号表!$A:$A,0))*1000+INDEX(编号表!$D:$D,MATCH(D1026,编号表!$C:$C,0))*100+E1026</f>
        <v>1032601</v>
      </c>
      <c r="C1026" s="2" t="s">
        <v>258</v>
      </c>
      <c r="D1026" s="8" t="s">
        <v>69</v>
      </c>
      <c r="E1026" s="8">
        <f t="shared" si="31"/>
        <v>1</v>
      </c>
      <c r="F1026" s="2" t="s">
        <v>263</v>
      </c>
      <c r="G1026" s="12" t="s">
        <v>62</v>
      </c>
      <c r="H1026" s="2">
        <v>60311004</v>
      </c>
      <c r="I1026" s="8">
        <v>1</v>
      </c>
    </row>
    <row r="1027" spans="2:9" x14ac:dyDescent="0.25">
      <c r="B1027" s="8">
        <f>1000000+INDEX(编号表!$B:$B,MATCH(C1027,编号表!$A:$A,0))*1000+INDEX(编号表!$D:$D,MATCH(D1027,编号表!$C:$C,0))*100+E1027</f>
        <v>1032202</v>
      </c>
      <c r="C1027" s="2" t="s">
        <v>258</v>
      </c>
      <c r="D1027" s="8" t="s">
        <v>60</v>
      </c>
      <c r="E1027" s="8">
        <f t="shared" si="31"/>
        <v>2</v>
      </c>
      <c r="F1027" s="2" t="s">
        <v>259</v>
      </c>
      <c r="G1027" s="12" t="s">
        <v>62</v>
      </c>
      <c r="H1027" s="2">
        <v>60311000</v>
      </c>
      <c r="I1027" s="8">
        <v>2</v>
      </c>
    </row>
    <row r="1028" spans="2:9" x14ac:dyDescent="0.25">
      <c r="B1028" s="8">
        <f>1000000+INDEX(编号表!$B:$B,MATCH(C1028,编号表!$A:$A,0))*1000+INDEX(编号表!$D:$D,MATCH(D1028,编号表!$C:$C,0))*100+E1028</f>
        <v>1032302</v>
      </c>
      <c r="C1028" s="2" t="s">
        <v>258</v>
      </c>
      <c r="D1028" s="8" t="s">
        <v>63</v>
      </c>
      <c r="E1028" s="8">
        <f t="shared" si="31"/>
        <v>2</v>
      </c>
      <c r="F1028" s="2" t="s">
        <v>260</v>
      </c>
      <c r="G1028" s="12" t="s">
        <v>62</v>
      </c>
      <c r="H1028" s="2">
        <v>60311001</v>
      </c>
      <c r="I1028" s="8">
        <v>2</v>
      </c>
    </row>
    <row r="1029" spans="2:9" x14ac:dyDescent="0.25">
      <c r="B1029" s="8">
        <f>1000000+INDEX(编号表!$B:$B,MATCH(C1029,编号表!$A:$A,0))*1000+INDEX(编号表!$D:$D,MATCH(D1029,编号表!$C:$C,0))*100+E1029</f>
        <v>1032402</v>
      </c>
      <c r="C1029" s="2" t="s">
        <v>258</v>
      </c>
      <c r="D1029" s="8" t="s">
        <v>65</v>
      </c>
      <c r="E1029" s="8">
        <f t="shared" si="31"/>
        <v>2</v>
      </c>
      <c r="F1029" s="2" t="s">
        <v>261</v>
      </c>
      <c r="G1029" s="12" t="s">
        <v>62</v>
      </c>
      <c r="H1029" s="2">
        <v>60311002</v>
      </c>
      <c r="I1029" s="8">
        <v>2</v>
      </c>
    </row>
    <row r="1030" spans="2:9" x14ac:dyDescent="0.25">
      <c r="B1030" s="8">
        <f>1000000+INDEX(编号表!$B:$B,MATCH(C1030,编号表!$A:$A,0))*1000+INDEX(编号表!$D:$D,MATCH(D1030,编号表!$C:$C,0))*100+E1030</f>
        <v>1032502</v>
      </c>
      <c r="C1030" s="2" t="s">
        <v>258</v>
      </c>
      <c r="D1030" s="8" t="s">
        <v>67</v>
      </c>
      <c r="E1030" s="8">
        <f t="shared" si="31"/>
        <v>2</v>
      </c>
      <c r="F1030" s="2" t="s">
        <v>262</v>
      </c>
      <c r="G1030" s="12" t="s">
        <v>62</v>
      </c>
      <c r="H1030" s="2">
        <v>60311003</v>
      </c>
      <c r="I1030" s="8">
        <v>2</v>
      </c>
    </row>
    <row r="1031" spans="2:9" x14ac:dyDescent="0.25">
      <c r="B1031" s="8">
        <f>1000000+INDEX(编号表!$B:$B,MATCH(C1031,编号表!$A:$A,0))*1000+INDEX(编号表!$D:$D,MATCH(D1031,编号表!$C:$C,0))*100+E1031</f>
        <v>1032602</v>
      </c>
      <c r="C1031" s="2" t="s">
        <v>258</v>
      </c>
      <c r="D1031" s="8" t="s">
        <v>69</v>
      </c>
      <c r="E1031" s="8">
        <f t="shared" si="31"/>
        <v>2</v>
      </c>
      <c r="F1031" s="2" t="s">
        <v>263</v>
      </c>
      <c r="G1031" s="12" t="s">
        <v>62</v>
      </c>
      <c r="H1031" s="2">
        <v>60311004</v>
      </c>
      <c r="I1031" s="8">
        <v>2</v>
      </c>
    </row>
    <row r="1032" spans="2:9" x14ac:dyDescent="0.25">
      <c r="B1032" s="8">
        <f>1000000+INDEX(编号表!$B:$B,MATCH(C1032,编号表!$A:$A,0))*1000+INDEX(编号表!$D:$D,MATCH(D1032,编号表!$C:$C,0))*100+E1032</f>
        <v>1032203</v>
      </c>
      <c r="C1032" s="2" t="s">
        <v>258</v>
      </c>
      <c r="D1032" s="8" t="s">
        <v>60</v>
      </c>
      <c r="E1032" s="8">
        <f t="shared" si="31"/>
        <v>3</v>
      </c>
      <c r="F1032" s="2" t="s">
        <v>259</v>
      </c>
      <c r="G1032" s="12" t="s">
        <v>62</v>
      </c>
      <c r="H1032" s="2">
        <v>60311000</v>
      </c>
      <c r="I1032" s="8">
        <v>3</v>
      </c>
    </row>
    <row r="1033" spans="2:9" x14ac:dyDescent="0.25">
      <c r="B1033" s="8">
        <f>1000000+INDEX(编号表!$B:$B,MATCH(C1033,编号表!$A:$A,0))*1000+INDEX(编号表!$D:$D,MATCH(D1033,编号表!$C:$C,0))*100+E1033</f>
        <v>1032303</v>
      </c>
      <c r="C1033" s="2" t="s">
        <v>258</v>
      </c>
      <c r="D1033" s="8" t="s">
        <v>63</v>
      </c>
      <c r="E1033" s="8">
        <f t="shared" si="31"/>
        <v>3</v>
      </c>
      <c r="F1033" s="2" t="s">
        <v>260</v>
      </c>
      <c r="G1033" s="12" t="s">
        <v>62</v>
      </c>
      <c r="H1033" s="2">
        <v>60311001</v>
      </c>
      <c r="I1033" s="8">
        <v>3</v>
      </c>
    </row>
    <row r="1034" spans="2:9" x14ac:dyDescent="0.25">
      <c r="B1034" s="8">
        <f>1000000+INDEX(编号表!$B:$B,MATCH(C1034,编号表!$A:$A,0))*1000+INDEX(编号表!$D:$D,MATCH(D1034,编号表!$C:$C,0))*100+E1034</f>
        <v>1032403</v>
      </c>
      <c r="C1034" s="2" t="s">
        <v>258</v>
      </c>
      <c r="D1034" s="8" t="s">
        <v>65</v>
      </c>
      <c r="E1034" s="8">
        <f t="shared" si="31"/>
        <v>3</v>
      </c>
      <c r="F1034" s="2" t="s">
        <v>261</v>
      </c>
      <c r="G1034" s="12" t="s">
        <v>62</v>
      </c>
      <c r="H1034" s="2">
        <v>60311002</v>
      </c>
      <c r="I1034" s="8">
        <v>3</v>
      </c>
    </row>
    <row r="1035" spans="2:9" x14ac:dyDescent="0.25">
      <c r="B1035" s="8">
        <f>1000000+INDEX(编号表!$B:$B,MATCH(C1035,编号表!$A:$A,0))*1000+INDEX(编号表!$D:$D,MATCH(D1035,编号表!$C:$C,0))*100+E1035</f>
        <v>1032503</v>
      </c>
      <c r="C1035" s="2" t="s">
        <v>258</v>
      </c>
      <c r="D1035" s="8" t="s">
        <v>67</v>
      </c>
      <c r="E1035" s="8">
        <f t="shared" si="31"/>
        <v>3</v>
      </c>
      <c r="F1035" s="2" t="s">
        <v>262</v>
      </c>
      <c r="G1035" s="12" t="s">
        <v>62</v>
      </c>
      <c r="H1035" s="2">
        <v>60311003</v>
      </c>
      <c r="I1035" s="8">
        <v>3</v>
      </c>
    </row>
    <row r="1036" spans="2:9" x14ac:dyDescent="0.25">
      <c r="B1036" s="8">
        <f>1000000+INDEX(编号表!$B:$B,MATCH(C1036,编号表!$A:$A,0))*1000+INDEX(编号表!$D:$D,MATCH(D1036,编号表!$C:$C,0))*100+E1036</f>
        <v>1032603</v>
      </c>
      <c r="C1036" s="2" t="s">
        <v>258</v>
      </c>
      <c r="D1036" s="8" t="s">
        <v>69</v>
      </c>
      <c r="E1036" s="8">
        <f t="shared" si="31"/>
        <v>3</v>
      </c>
      <c r="F1036" s="2" t="s">
        <v>263</v>
      </c>
      <c r="G1036" s="12" t="s">
        <v>62</v>
      </c>
      <c r="H1036" s="2">
        <v>60311004</v>
      </c>
      <c r="I1036" s="8">
        <v>3</v>
      </c>
    </row>
    <row r="1037" spans="2:9" x14ac:dyDescent="0.25">
      <c r="B1037" s="8">
        <f>1000000+INDEX(编号表!$B:$B,MATCH(C1037,编号表!$A:$A,0))*1000+INDEX(编号表!$D:$D,MATCH(D1037,编号表!$C:$C,0))*100+E1037</f>
        <v>1032205</v>
      </c>
      <c r="C1037" s="2" t="s">
        <v>258</v>
      </c>
      <c r="D1037" s="8" t="s">
        <v>60</v>
      </c>
      <c r="E1037" s="8">
        <f t="shared" si="31"/>
        <v>5</v>
      </c>
      <c r="F1037" s="2" t="s">
        <v>259</v>
      </c>
      <c r="G1037" s="12" t="s">
        <v>62</v>
      </c>
      <c r="H1037" s="2">
        <v>60311000</v>
      </c>
      <c r="I1037" s="8">
        <v>5</v>
      </c>
    </row>
    <row r="1038" spans="2:9" x14ac:dyDescent="0.25">
      <c r="B1038" s="8">
        <f>1000000+INDEX(编号表!$B:$B,MATCH(C1038,编号表!$A:$A,0))*1000+INDEX(编号表!$D:$D,MATCH(D1038,编号表!$C:$C,0))*100+E1038</f>
        <v>1032305</v>
      </c>
      <c r="C1038" s="2" t="s">
        <v>258</v>
      </c>
      <c r="D1038" s="8" t="s">
        <v>63</v>
      </c>
      <c r="E1038" s="8">
        <f t="shared" si="31"/>
        <v>5</v>
      </c>
      <c r="F1038" s="2" t="s">
        <v>260</v>
      </c>
      <c r="G1038" s="12" t="s">
        <v>62</v>
      </c>
      <c r="H1038" s="2">
        <v>60311001</v>
      </c>
      <c r="I1038" s="8">
        <v>5</v>
      </c>
    </row>
    <row r="1039" spans="2:9" x14ac:dyDescent="0.25">
      <c r="B1039" s="8">
        <f>1000000+INDEX(编号表!$B:$B,MATCH(C1039,编号表!$A:$A,0))*1000+INDEX(编号表!$D:$D,MATCH(D1039,编号表!$C:$C,0))*100+E1039</f>
        <v>1032405</v>
      </c>
      <c r="C1039" s="2" t="s">
        <v>258</v>
      </c>
      <c r="D1039" s="8" t="s">
        <v>65</v>
      </c>
      <c r="E1039" s="8">
        <f t="shared" si="31"/>
        <v>5</v>
      </c>
      <c r="F1039" s="2" t="s">
        <v>261</v>
      </c>
      <c r="G1039" s="12" t="s">
        <v>62</v>
      </c>
      <c r="H1039" s="2">
        <v>60311002</v>
      </c>
      <c r="I1039" s="8">
        <v>5</v>
      </c>
    </row>
    <row r="1040" spans="2:9" x14ac:dyDescent="0.25">
      <c r="B1040" s="8">
        <f>1000000+INDEX(编号表!$B:$B,MATCH(C1040,编号表!$A:$A,0))*1000+INDEX(编号表!$D:$D,MATCH(D1040,编号表!$C:$C,0))*100+E1040</f>
        <v>1032505</v>
      </c>
      <c r="C1040" s="2" t="s">
        <v>258</v>
      </c>
      <c r="D1040" s="8" t="s">
        <v>67</v>
      </c>
      <c r="E1040" s="8">
        <f t="shared" si="31"/>
        <v>5</v>
      </c>
      <c r="F1040" s="2" t="s">
        <v>262</v>
      </c>
      <c r="G1040" s="12" t="s">
        <v>62</v>
      </c>
      <c r="H1040" s="2">
        <v>60311003</v>
      </c>
      <c r="I1040" s="8">
        <v>5</v>
      </c>
    </row>
    <row r="1041" spans="2:9" x14ac:dyDescent="0.25">
      <c r="B1041" s="8">
        <f>1000000+INDEX(编号表!$B:$B,MATCH(C1041,编号表!$A:$A,0))*1000+INDEX(编号表!$D:$D,MATCH(D1041,编号表!$C:$C,0))*100+E1041</f>
        <v>1032605</v>
      </c>
      <c r="C1041" s="2" t="s">
        <v>258</v>
      </c>
      <c r="D1041" s="8" t="s">
        <v>69</v>
      </c>
      <c r="E1041" s="8">
        <f t="shared" si="31"/>
        <v>5</v>
      </c>
      <c r="F1041" s="2" t="s">
        <v>263</v>
      </c>
      <c r="G1041" s="12" t="s">
        <v>62</v>
      </c>
      <c r="H1041" s="2">
        <v>60311004</v>
      </c>
      <c r="I1041" s="8">
        <v>5</v>
      </c>
    </row>
    <row r="1042" spans="2:9" x14ac:dyDescent="0.25">
      <c r="B1042" s="8">
        <f>1000000+INDEX(编号表!$B:$B,MATCH(C1042,编号表!$A:$A,0))*1000+INDEX(编号表!$D:$D,MATCH(D1042,编号表!$C:$C,0))*100+E1042</f>
        <v>1032210</v>
      </c>
      <c r="C1042" s="2" t="s">
        <v>258</v>
      </c>
      <c r="D1042" s="8" t="s">
        <v>60</v>
      </c>
      <c r="E1042" s="8">
        <f t="shared" si="31"/>
        <v>10</v>
      </c>
      <c r="F1042" s="2" t="s">
        <v>259</v>
      </c>
      <c r="G1042" s="12" t="s">
        <v>62</v>
      </c>
      <c r="H1042" s="2">
        <v>60311000</v>
      </c>
      <c r="I1042" s="8">
        <v>10</v>
      </c>
    </row>
    <row r="1043" spans="2:9" x14ac:dyDescent="0.25">
      <c r="B1043" s="8">
        <f>1000000+INDEX(编号表!$B:$B,MATCH(C1043,编号表!$A:$A,0))*1000+INDEX(编号表!$D:$D,MATCH(D1043,编号表!$C:$C,0))*100+E1043</f>
        <v>1032310</v>
      </c>
      <c r="C1043" s="2" t="s">
        <v>258</v>
      </c>
      <c r="D1043" s="8" t="s">
        <v>63</v>
      </c>
      <c r="E1043" s="8">
        <f t="shared" si="31"/>
        <v>10</v>
      </c>
      <c r="F1043" s="2" t="s">
        <v>260</v>
      </c>
      <c r="G1043" s="12" t="s">
        <v>62</v>
      </c>
      <c r="H1043" s="2">
        <v>60311001</v>
      </c>
      <c r="I1043" s="8">
        <v>10</v>
      </c>
    </row>
    <row r="1044" spans="2:9" x14ac:dyDescent="0.25">
      <c r="B1044" s="8">
        <f>1000000+INDEX(编号表!$B:$B,MATCH(C1044,编号表!$A:$A,0))*1000+INDEX(编号表!$D:$D,MATCH(D1044,编号表!$C:$C,0))*100+E1044</f>
        <v>1032410</v>
      </c>
      <c r="C1044" s="2" t="s">
        <v>258</v>
      </c>
      <c r="D1044" s="8" t="s">
        <v>65</v>
      </c>
      <c r="E1044" s="8">
        <f t="shared" si="31"/>
        <v>10</v>
      </c>
      <c r="F1044" s="2" t="s">
        <v>261</v>
      </c>
      <c r="G1044" s="12" t="s">
        <v>62</v>
      </c>
      <c r="H1044" s="2">
        <v>60311002</v>
      </c>
      <c r="I1044" s="8">
        <v>10</v>
      </c>
    </row>
    <row r="1045" spans="2:9" x14ac:dyDescent="0.25">
      <c r="B1045" s="8">
        <f>1000000+INDEX(编号表!$B:$B,MATCH(C1045,编号表!$A:$A,0))*1000+INDEX(编号表!$D:$D,MATCH(D1045,编号表!$C:$C,0))*100+E1045</f>
        <v>1032510</v>
      </c>
      <c r="C1045" s="2" t="s">
        <v>258</v>
      </c>
      <c r="D1045" s="8" t="s">
        <v>67</v>
      </c>
      <c r="E1045" s="8">
        <f t="shared" si="31"/>
        <v>10</v>
      </c>
      <c r="F1045" s="2" t="s">
        <v>262</v>
      </c>
      <c r="G1045" s="12" t="s">
        <v>62</v>
      </c>
      <c r="H1045" s="2">
        <v>60311003</v>
      </c>
      <c r="I1045" s="8">
        <v>10</v>
      </c>
    </row>
    <row r="1046" spans="2:9" x14ac:dyDescent="0.25">
      <c r="B1046" s="8">
        <f>1000000+INDEX(编号表!$B:$B,MATCH(C1046,编号表!$A:$A,0))*1000+INDEX(编号表!$D:$D,MATCH(D1046,编号表!$C:$C,0))*100+E1046</f>
        <v>1032610</v>
      </c>
      <c r="C1046" s="2" t="s">
        <v>258</v>
      </c>
      <c r="D1046" s="8" t="s">
        <v>69</v>
      </c>
      <c r="E1046" s="8">
        <f t="shared" si="31"/>
        <v>10</v>
      </c>
      <c r="F1046" s="2" t="s">
        <v>263</v>
      </c>
      <c r="G1046" s="12" t="s">
        <v>62</v>
      </c>
      <c r="H1046" s="2">
        <v>60311004</v>
      </c>
      <c r="I1046" s="8">
        <v>10</v>
      </c>
    </row>
    <row r="1047" spans="2:9" x14ac:dyDescent="0.25">
      <c r="B1047" s="8">
        <f>1000000+INDEX(编号表!$B:$B,MATCH(C1047,编号表!$A:$A,0))*1000+INDEX(编号表!$D:$D,MATCH(D1047,编号表!$C:$C,0))*100+E1047</f>
        <v>1032215</v>
      </c>
      <c r="C1047" s="2" t="s">
        <v>258</v>
      </c>
      <c r="D1047" s="8" t="s">
        <v>60</v>
      </c>
      <c r="E1047" s="8">
        <f t="shared" si="31"/>
        <v>15</v>
      </c>
      <c r="F1047" s="2" t="s">
        <v>259</v>
      </c>
      <c r="G1047" s="12" t="s">
        <v>62</v>
      </c>
      <c r="H1047" s="2">
        <v>60311000</v>
      </c>
      <c r="I1047" s="8">
        <v>15</v>
      </c>
    </row>
    <row r="1048" spans="2:9" x14ac:dyDescent="0.25">
      <c r="B1048" s="8">
        <f>1000000+INDEX(编号表!$B:$B,MATCH(C1048,编号表!$A:$A,0))*1000+INDEX(编号表!$D:$D,MATCH(D1048,编号表!$C:$C,0))*100+E1048</f>
        <v>1032315</v>
      </c>
      <c r="C1048" s="2" t="s">
        <v>258</v>
      </c>
      <c r="D1048" s="8" t="s">
        <v>63</v>
      </c>
      <c r="E1048" s="8">
        <f t="shared" si="31"/>
        <v>15</v>
      </c>
      <c r="F1048" s="2" t="s">
        <v>260</v>
      </c>
      <c r="G1048" s="12" t="s">
        <v>62</v>
      </c>
      <c r="H1048" s="2">
        <v>60311001</v>
      </c>
      <c r="I1048" s="8">
        <v>15</v>
      </c>
    </row>
    <row r="1049" spans="2:9" x14ac:dyDescent="0.25">
      <c r="B1049" s="8">
        <f>1000000+INDEX(编号表!$B:$B,MATCH(C1049,编号表!$A:$A,0))*1000+INDEX(编号表!$D:$D,MATCH(D1049,编号表!$C:$C,0))*100+E1049</f>
        <v>1032415</v>
      </c>
      <c r="C1049" s="2" t="s">
        <v>258</v>
      </c>
      <c r="D1049" s="8" t="s">
        <v>65</v>
      </c>
      <c r="E1049" s="8">
        <f t="shared" si="31"/>
        <v>15</v>
      </c>
      <c r="F1049" s="2" t="s">
        <v>261</v>
      </c>
      <c r="G1049" s="12" t="s">
        <v>62</v>
      </c>
      <c r="H1049" s="2">
        <v>60311002</v>
      </c>
      <c r="I1049" s="8">
        <v>15</v>
      </c>
    </row>
    <row r="1050" spans="2:9" x14ac:dyDescent="0.25">
      <c r="B1050" s="8">
        <f>1000000+INDEX(编号表!$B:$B,MATCH(C1050,编号表!$A:$A,0))*1000+INDEX(编号表!$D:$D,MATCH(D1050,编号表!$C:$C,0))*100+E1050</f>
        <v>1032515</v>
      </c>
      <c r="C1050" s="2" t="s">
        <v>258</v>
      </c>
      <c r="D1050" s="8" t="s">
        <v>67</v>
      </c>
      <c r="E1050" s="8">
        <f t="shared" si="31"/>
        <v>15</v>
      </c>
      <c r="F1050" s="2" t="s">
        <v>262</v>
      </c>
      <c r="G1050" s="12" t="s">
        <v>62</v>
      </c>
      <c r="H1050" s="2">
        <v>60311003</v>
      </c>
      <c r="I1050" s="8">
        <v>15</v>
      </c>
    </row>
    <row r="1051" spans="2:9" x14ac:dyDescent="0.25">
      <c r="B1051" s="8">
        <f>1000000+INDEX(编号表!$B:$B,MATCH(C1051,编号表!$A:$A,0))*1000+INDEX(编号表!$D:$D,MATCH(D1051,编号表!$C:$C,0))*100+E1051</f>
        <v>1032615</v>
      </c>
      <c r="C1051" s="2" t="s">
        <v>258</v>
      </c>
      <c r="D1051" s="8" t="s">
        <v>69</v>
      </c>
      <c r="E1051" s="8">
        <f t="shared" si="31"/>
        <v>15</v>
      </c>
      <c r="F1051" s="2" t="s">
        <v>263</v>
      </c>
      <c r="G1051" s="12" t="s">
        <v>62</v>
      </c>
      <c r="H1051" s="2">
        <v>60311004</v>
      </c>
      <c r="I1051" s="8">
        <v>15</v>
      </c>
    </row>
    <row r="1052" spans="2:9" x14ac:dyDescent="0.25">
      <c r="B1052" s="8">
        <f>1000000+INDEX(编号表!$B:$B,MATCH(C1052,编号表!$A:$A,0))*1000+INDEX(编号表!$D:$D,MATCH(D1052,编号表!$C:$C,0))*100+E1052</f>
        <v>1033001</v>
      </c>
      <c r="C1052" s="2" t="s">
        <v>264</v>
      </c>
      <c r="D1052" s="8" t="s">
        <v>55</v>
      </c>
      <c r="E1052" s="8">
        <v>1</v>
      </c>
      <c r="F1052" s="11" t="s">
        <v>56</v>
      </c>
      <c r="G1052" s="12" t="s">
        <v>57</v>
      </c>
      <c r="H1052" s="8">
        <v>60324000</v>
      </c>
      <c r="I1052" s="8">
        <v>1</v>
      </c>
    </row>
    <row r="1053" spans="2:9" x14ac:dyDescent="0.25">
      <c r="B1053" s="8">
        <f>1000000+INDEX(编号表!$B:$B,MATCH(C1053,编号表!$A:$A,0))*1000+INDEX(编号表!$D:$D,MATCH(D1053,编号表!$C:$C,0))*100+E1053</f>
        <v>1033101</v>
      </c>
      <c r="C1053" s="2" t="s">
        <v>264</v>
      </c>
      <c r="D1053" s="8" t="s">
        <v>58</v>
      </c>
      <c r="E1053" s="8">
        <v>1</v>
      </c>
      <c r="F1053" s="11" t="s">
        <v>59</v>
      </c>
      <c r="G1053" s="12" t="s">
        <v>57</v>
      </c>
      <c r="H1053" s="2">
        <v>60322000</v>
      </c>
      <c r="I1053" s="8">
        <v>1</v>
      </c>
    </row>
    <row r="1054" spans="2:9" x14ac:dyDescent="0.25">
      <c r="B1054" s="8">
        <f>1000000+INDEX(编号表!$B:$B,MATCH(C1054,编号表!$A:$A,0))*1000+INDEX(编号表!$D:$D,MATCH(D1054,编号表!$C:$C,0))*100+E1054</f>
        <v>1033102</v>
      </c>
      <c r="C1054" s="2" t="s">
        <v>264</v>
      </c>
      <c r="D1054" s="8" t="s">
        <v>58</v>
      </c>
      <c r="E1054" s="8">
        <v>2</v>
      </c>
      <c r="F1054" s="11" t="s">
        <v>59</v>
      </c>
      <c r="G1054" s="12" t="s">
        <v>57</v>
      </c>
      <c r="H1054" s="2">
        <v>60322001</v>
      </c>
      <c r="I1054" s="8">
        <v>1</v>
      </c>
    </row>
    <row r="1055" spans="2:9" x14ac:dyDescent="0.25">
      <c r="B1055" s="8">
        <f>1000000+INDEX(编号表!$B:$B,MATCH(C1055,编号表!$A:$A,0))*1000+INDEX(编号表!$D:$D,MATCH(D1055,编号表!$C:$C,0))*100+E1055</f>
        <v>1033201</v>
      </c>
      <c r="C1055" s="2" t="s">
        <v>264</v>
      </c>
      <c r="D1055" s="8" t="s">
        <v>60</v>
      </c>
      <c r="E1055" s="8">
        <f t="shared" ref="E1055:E1090" si="32">I1055+K1055+M1055+O1055+Q1055+S1055+U1055+W1055+Y1055+AA1055</f>
        <v>1</v>
      </c>
      <c r="F1055" s="2" t="s">
        <v>260</v>
      </c>
      <c r="G1055" s="12" t="s">
        <v>62</v>
      </c>
      <c r="H1055" s="2">
        <v>60321000</v>
      </c>
      <c r="I1055" s="8">
        <v>1</v>
      </c>
    </row>
    <row r="1056" spans="2:9" x14ac:dyDescent="0.25">
      <c r="B1056" s="8">
        <f>1000000+INDEX(编号表!$B:$B,MATCH(C1056,编号表!$A:$A,0))*1000+INDEX(编号表!$D:$D,MATCH(D1056,编号表!$C:$C,0))*100+E1056</f>
        <v>1033301</v>
      </c>
      <c r="C1056" s="2" t="s">
        <v>264</v>
      </c>
      <c r="D1056" s="8" t="s">
        <v>63</v>
      </c>
      <c r="E1056" s="8">
        <f t="shared" si="32"/>
        <v>1</v>
      </c>
      <c r="F1056" s="2" t="s">
        <v>261</v>
      </c>
      <c r="G1056" s="12" t="s">
        <v>62</v>
      </c>
      <c r="H1056" s="2">
        <v>60321001</v>
      </c>
      <c r="I1056" s="8">
        <v>1</v>
      </c>
    </row>
    <row r="1057" spans="2:9" x14ac:dyDescent="0.25">
      <c r="B1057" s="8">
        <f>1000000+INDEX(编号表!$B:$B,MATCH(C1057,编号表!$A:$A,0))*1000+INDEX(编号表!$D:$D,MATCH(D1057,编号表!$C:$C,0))*100+E1057</f>
        <v>1033401</v>
      </c>
      <c r="C1057" s="2" t="s">
        <v>264</v>
      </c>
      <c r="D1057" s="8" t="s">
        <v>65</v>
      </c>
      <c r="E1057" s="8">
        <f t="shared" si="32"/>
        <v>1</v>
      </c>
      <c r="F1057" s="2" t="s">
        <v>262</v>
      </c>
      <c r="G1057" s="12" t="s">
        <v>62</v>
      </c>
      <c r="H1057" s="2">
        <v>60321002</v>
      </c>
      <c r="I1057" s="8">
        <v>1</v>
      </c>
    </row>
    <row r="1058" spans="2:9" x14ac:dyDescent="0.25">
      <c r="B1058" s="8">
        <f>1000000+INDEX(编号表!$B:$B,MATCH(C1058,编号表!$A:$A,0))*1000+INDEX(编号表!$D:$D,MATCH(D1058,编号表!$C:$C,0))*100+E1058</f>
        <v>1033501</v>
      </c>
      <c r="C1058" s="2" t="s">
        <v>264</v>
      </c>
      <c r="D1058" s="8" t="s">
        <v>67</v>
      </c>
      <c r="E1058" s="8">
        <f t="shared" si="32"/>
        <v>1</v>
      </c>
      <c r="F1058" s="2" t="s">
        <v>263</v>
      </c>
      <c r="G1058" s="12" t="s">
        <v>62</v>
      </c>
      <c r="H1058" s="2">
        <v>60321003</v>
      </c>
      <c r="I1058" s="8">
        <v>1</v>
      </c>
    </row>
    <row r="1059" spans="2:9" x14ac:dyDescent="0.25">
      <c r="B1059" s="8">
        <f>1000000+INDEX(编号表!$B:$B,MATCH(C1059,编号表!$A:$A,0))*1000+INDEX(编号表!$D:$D,MATCH(D1059,编号表!$C:$C,0))*100+E1059</f>
        <v>1033601</v>
      </c>
      <c r="C1059" s="2" t="s">
        <v>264</v>
      </c>
      <c r="D1059" s="8" t="s">
        <v>69</v>
      </c>
      <c r="E1059" s="8">
        <f t="shared" si="32"/>
        <v>1</v>
      </c>
      <c r="F1059" s="2" t="s">
        <v>265</v>
      </c>
      <c r="G1059" s="12" t="s">
        <v>62</v>
      </c>
      <c r="H1059" s="2">
        <v>60321004</v>
      </c>
      <c r="I1059" s="8">
        <v>1</v>
      </c>
    </row>
    <row r="1060" spans="2:9" x14ac:dyDescent="0.25">
      <c r="B1060" s="8">
        <f>1000000+INDEX(编号表!$B:$B,MATCH(C1060,编号表!$A:$A,0))*1000+INDEX(编号表!$D:$D,MATCH(D1060,编号表!$C:$C,0))*100+E1060</f>
        <v>1033701</v>
      </c>
      <c r="C1060" s="2" t="s">
        <v>264</v>
      </c>
      <c r="D1060" s="8" t="s">
        <v>179</v>
      </c>
      <c r="E1060" s="8">
        <f t="shared" si="32"/>
        <v>1</v>
      </c>
      <c r="F1060" s="2" t="s">
        <v>266</v>
      </c>
      <c r="G1060" s="12" t="s">
        <v>62</v>
      </c>
      <c r="H1060" s="2">
        <v>60321005</v>
      </c>
      <c r="I1060" s="8">
        <v>1</v>
      </c>
    </row>
    <row r="1061" spans="2:9" x14ac:dyDescent="0.25">
      <c r="B1061" s="8">
        <f>1000000+INDEX(编号表!$B:$B,MATCH(C1061,编号表!$A:$A,0))*1000+INDEX(编号表!$D:$D,MATCH(D1061,编号表!$C:$C,0))*100+E1061</f>
        <v>1033202</v>
      </c>
      <c r="C1061" s="2" t="s">
        <v>264</v>
      </c>
      <c r="D1061" s="8" t="s">
        <v>60</v>
      </c>
      <c r="E1061" s="8">
        <f t="shared" si="32"/>
        <v>2</v>
      </c>
      <c r="F1061" s="2" t="s">
        <v>260</v>
      </c>
      <c r="G1061" s="12" t="s">
        <v>62</v>
      </c>
      <c r="H1061" s="2">
        <v>60321000</v>
      </c>
      <c r="I1061" s="8">
        <v>2</v>
      </c>
    </row>
    <row r="1062" spans="2:9" x14ac:dyDescent="0.25">
      <c r="B1062" s="8">
        <f>1000000+INDEX(编号表!$B:$B,MATCH(C1062,编号表!$A:$A,0))*1000+INDEX(编号表!$D:$D,MATCH(D1062,编号表!$C:$C,0))*100+E1062</f>
        <v>1033302</v>
      </c>
      <c r="C1062" s="2" t="s">
        <v>264</v>
      </c>
      <c r="D1062" s="8" t="s">
        <v>63</v>
      </c>
      <c r="E1062" s="8">
        <f t="shared" si="32"/>
        <v>2</v>
      </c>
      <c r="F1062" s="2" t="s">
        <v>261</v>
      </c>
      <c r="G1062" s="12" t="s">
        <v>62</v>
      </c>
      <c r="H1062" s="2">
        <v>60321001</v>
      </c>
      <c r="I1062" s="8">
        <v>2</v>
      </c>
    </row>
    <row r="1063" spans="2:9" x14ac:dyDescent="0.25">
      <c r="B1063" s="8">
        <f>1000000+INDEX(编号表!$B:$B,MATCH(C1063,编号表!$A:$A,0))*1000+INDEX(编号表!$D:$D,MATCH(D1063,编号表!$C:$C,0))*100+E1063</f>
        <v>1033402</v>
      </c>
      <c r="C1063" s="2" t="s">
        <v>264</v>
      </c>
      <c r="D1063" s="8" t="s">
        <v>65</v>
      </c>
      <c r="E1063" s="8">
        <f t="shared" si="32"/>
        <v>2</v>
      </c>
      <c r="F1063" s="2" t="s">
        <v>262</v>
      </c>
      <c r="G1063" s="12" t="s">
        <v>62</v>
      </c>
      <c r="H1063" s="2">
        <v>60321002</v>
      </c>
      <c r="I1063" s="8">
        <v>2</v>
      </c>
    </row>
    <row r="1064" spans="2:9" x14ac:dyDescent="0.25">
      <c r="B1064" s="8">
        <f>1000000+INDEX(编号表!$B:$B,MATCH(C1064,编号表!$A:$A,0))*1000+INDEX(编号表!$D:$D,MATCH(D1064,编号表!$C:$C,0))*100+E1064</f>
        <v>1033502</v>
      </c>
      <c r="C1064" s="2" t="s">
        <v>264</v>
      </c>
      <c r="D1064" s="8" t="s">
        <v>67</v>
      </c>
      <c r="E1064" s="8">
        <f t="shared" si="32"/>
        <v>2</v>
      </c>
      <c r="F1064" s="2" t="s">
        <v>263</v>
      </c>
      <c r="G1064" s="12" t="s">
        <v>62</v>
      </c>
      <c r="H1064" s="2">
        <v>60321003</v>
      </c>
      <c r="I1064" s="8">
        <v>2</v>
      </c>
    </row>
    <row r="1065" spans="2:9" x14ac:dyDescent="0.25">
      <c r="B1065" s="8">
        <f>1000000+INDEX(编号表!$B:$B,MATCH(C1065,编号表!$A:$A,0))*1000+INDEX(编号表!$D:$D,MATCH(D1065,编号表!$C:$C,0))*100+E1065</f>
        <v>1033602</v>
      </c>
      <c r="C1065" s="2" t="s">
        <v>264</v>
      </c>
      <c r="D1065" s="8" t="s">
        <v>69</v>
      </c>
      <c r="E1065" s="8">
        <f t="shared" si="32"/>
        <v>2</v>
      </c>
      <c r="F1065" s="2" t="s">
        <v>265</v>
      </c>
      <c r="G1065" s="12" t="s">
        <v>62</v>
      </c>
      <c r="H1065" s="2">
        <v>60321004</v>
      </c>
      <c r="I1065" s="8">
        <v>2</v>
      </c>
    </row>
    <row r="1066" spans="2:9" x14ac:dyDescent="0.25">
      <c r="B1066" s="8">
        <f>1000000+INDEX(编号表!$B:$B,MATCH(C1066,编号表!$A:$A,0))*1000+INDEX(编号表!$D:$D,MATCH(D1066,编号表!$C:$C,0))*100+E1066</f>
        <v>1033702</v>
      </c>
      <c r="C1066" s="2" t="s">
        <v>264</v>
      </c>
      <c r="D1066" s="8" t="s">
        <v>179</v>
      </c>
      <c r="E1066" s="8">
        <f t="shared" si="32"/>
        <v>2</v>
      </c>
      <c r="F1066" s="2" t="s">
        <v>266</v>
      </c>
      <c r="G1066" s="12" t="s">
        <v>62</v>
      </c>
      <c r="H1066" s="2">
        <v>60321005</v>
      </c>
      <c r="I1066" s="8">
        <v>2</v>
      </c>
    </row>
    <row r="1067" spans="2:9" x14ac:dyDescent="0.25">
      <c r="B1067" s="8">
        <f>1000000+INDEX(编号表!$B:$B,MATCH(C1067,编号表!$A:$A,0))*1000+INDEX(编号表!$D:$D,MATCH(D1067,编号表!$C:$C,0))*100+E1067</f>
        <v>1033203</v>
      </c>
      <c r="C1067" s="2" t="s">
        <v>264</v>
      </c>
      <c r="D1067" s="8" t="s">
        <v>60</v>
      </c>
      <c r="E1067" s="8">
        <f t="shared" si="32"/>
        <v>3</v>
      </c>
      <c r="F1067" s="2" t="s">
        <v>260</v>
      </c>
      <c r="G1067" s="12" t="s">
        <v>62</v>
      </c>
      <c r="H1067" s="2">
        <v>60321000</v>
      </c>
      <c r="I1067" s="8">
        <v>3</v>
      </c>
    </row>
    <row r="1068" spans="2:9" x14ac:dyDescent="0.25">
      <c r="B1068" s="8">
        <f>1000000+INDEX(编号表!$B:$B,MATCH(C1068,编号表!$A:$A,0))*1000+INDEX(编号表!$D:$D,MATCH(D1068,编号表!$C:$C,0))*100+E1068</f>
        <v>1033303</v>
      </c>
      <c r="C1068" s="2" t="s">
        <v>264</v>
      </c>
      <c r="D1068" s="8" t="s">
        <v>63</v>
      </c>
      <c r="E1068" s="8">
        <f t="shared" si="32"/>
        <v>3</v>
      </c>
      <c r="F1068" s="2" t="s">
        <v>261</v>
      </c>
      <c r="G1068" s="12" t="s">
        <v>62</v>
      </c>
      <c r="H1068" s="2">
        <v>60321001</v>
      </c>
      <c r="I1068" s="8">
        <v>3</v>
      </c>
    </row>
    <row r="1069" spans="2:9" x14ac:dyDescent="0.25">
      <c r="B1069" s="8">
        <f>1000000+INDEX(编号表!$B:$B,MATCH(C1069,编号表!$A:$A,0))*1000+INDEX(编号表!$D:$D,MATCH(D1069,编号表!$C:$C,0))*100+E1069</f>
        <v>1033403</v>
      </c>
      <c r="C1069" s="2" t="s">
        <v>264</v>
      </c>
      <c r="D1069" s="8" t="s">
        <v>65</v>
      </c>
      <c r="E1069" s="8">
        <f t="shared" si="32"/>
        <v>3</v>
      </c>
      <c r="F1069" s="2" t="s">
        <v>262</v>
      </c>
      <c r="G1069" s="12" t="s">
        <v>62</v>
      </c>
      <c r="H1069" s="2">
        <v>60321002</v>
      </c>
      <c r="I1069" s="8">
        <v>3</v>
      </c>
    </row>
    <row r="1070" spans="2:9" x14ac:dyDescent="0.25">
      <c r="B1070" s="8">
        <f>1000000+INDEX(编号表!$B:$B,MATCH(C1070,编号表!$A:$A,0))*1000+INDEX(编号表!$D:$D,MATCH(D1070,编号表!$C:$C,0))*100+E1070</f>
        <v>1033503</v>
      </c>
      <c r="C1070" s="2" t="s">
        <v>264</v>
      </c>
      <c r="D1070" s="8" t="s">
        <v>67</v>
      </c>
      <c r="E1070" s="8">
        <f t="shared" si="32"/>
        <v>3</v>
      </c>
      <c r="F1070" s="2" t="s">
        <v>263</v>
      </c>
      <c r="G1070" s="12" t="s">
        <v>62</v>
      </c>
      <c r="H1070" s="2">
        <v>60321003</v>
      </c>
      <c r="I1070" s="8">
        <v>3</v>
      </c>
    </row>
    <row r="1071" spans="2:9" x14ac:dyDescent="0.25">
      <c r="B1071" s="8">
        <f>1000000+INDEX(编号表!$B:$B,MATCH(C1071,编号表!$A:$A,0))*1000+INDEX(编号表!$D:$D,MATCH(D1071,编号表!$C:$C,0))*100+E1071</f>
        <v>1033603</v>
      </c>
      <c r="C1071" s="2" t="s">
        <v>264</v>
      </c>
      <c r="D1071" s="8" t="s">
        <v>69</v>
      </c>
      <c r="E1071" s="8">
        <f t="shared" si="32"/>
        <v>3</v>
      </c>
      <c r="F1071" s="2" t="s">
        <v>265</v>
      </c>
      <c r="G1071" s="12" t="s">
        <v>62</v>
      </c>
      <c r="H1071" s="2">
        <v>60321004</v>
      </c>
      <c r="I1071" s="8">
        <v>3</v>
      </c>
    </row>
    <row r="1072" spans="2:9" x14ac:dyDescent="0.25">
      <c r="B1072" s="8">
        <f>1000000+INDEX(编号表!$B:$B,MATCH(C1072,编号表!$A:$A,0))*1000+INDEX(编号表!$D:$D,MATCH(D1072,编号表!$C:$C,0))*100+E1072</f>
        <v>1033703</v>
      </c>
      <c r="C1072" s="2" t="s">
        <v>264</v>
      </c>
      <c r="D1072" s="8" t="s">
        <v>179</v>
      </c>
      <c r="E1072" s="8">
        <f t="shared" si="32"/>
        <v>3</v>
      </c>
      <c r="F1072" s="2" t="s">
        <v>266</v>
      </c>
      <c r="G1072" s="12" t="s">
        <v>62</v>
      </c>
      <c r="H1072" s="2">
        <v>60321005</v>
      </c>
      <c r="I1072" s="8">
        <v>3</v>
      </c>
    </row>
    <row r="1073" spans="1:9" x14ac:dyDescent="0.25">
      <c r="B1073" s="8">
        <f>1000000+INDEX(编号表!$B:$B,MATCH(C1073,编号表!$A:$A,0))*1000+INDEX(编号表!$D:$D,MATCH(D1073,编号表!$C:$C,0))*100+E1073</f>
        <v>1033205</v>
      </c>
      <c r="C1073" s="2" t="s">
        <v>264</v>
      </c>
      <c r="D1073" s="8" t="s">
        <v>60</v>
      </c>
      <c r="E1073" s="8">
        <f t="shared" si="32"/>
        <v>5</v>
      </c>
      <c r="F1073" s="2" t="s">
        <v>260</v>
      </c>
      <c r="G1073" s="12" t="s">
        <v>62</v>
      </c>
      <c r="H1073" s="2">
        <v>60321000</v>
      </c>
      <c r="I1073" s="8">
        <v>5</v>
      </c>
    </row>
    <row r="1074" spans="1:9" x14ac:dyDescent="0.25">
      <c r="B1074" s="8">
        <f>1000000+INDEX(编号表!$B:$B,MATCH(C1074,编号表!$A:$A,0))*1000+INDEX(编号表!$D:$D,MATCH(D1074,编号表!$C:$C,0))*100+E1074</f>
        <v>1033305</v>
      </c>
      <c r="C1074" s="2" t="s">
        <v>264</v>
      </c>
      <c r="D1074" s="8" t="s">
        <v>63</v>
      </c>
      <c r="E1074" s="8">
        <f t="shared" si="32"/>
        <v>5</v>
      </c>
      <c r="F1074" s="2" t="s">
        <v>261</v>
      </c>
      <c r="G1074" s="12" t="s">
        <v>62</v>
      </c>
      <c r="H1074" s="2">
        <v>60321001</v>
      </c>
      <c r="I1074" s="8">
        <v>5</v>
      </c>
    </row>
    <row r="1075" spans="1:9" x14ac:dyDescent="0.25">
      <c r="B1075" s="8">
        <f>1000000+INDEX(编号表!$B:$B,MATCH(C1075,编号表!$A:$A,0))*1000+INDEX(编号表!$D:$D,MATCH(D1075,编号表!$C:$C,0))*100+E1075</f>
        <v>1033405</v>
      </c>
      <c r="C1075" s="2" t="s">
        <v>264</v>
      </c>
      <c r="D1075" s="8" t="s">
        <v>65</v>
      </c>
      <c r="E1075" s="8">
        <f t="shared" si="32"/>
        <v>5</v>
      </c>
      <c r="F1075" s="2" t="s">
        <v>262</v>
      </c>
      <c r="G1075" s="12" t="s">
        <v>62</v>
      </c>
      <c r="H1075" s="2">
        <v>60321002</v>
      </c>
      <c r="I1075" s="8">
        <v>5</v>
      </c>
    </row>
    <row r="1076" spans="1:9" x14ac:dyDescent="0.25">
      <c r="B1076" s="8">
        <f>1000000+INDEX(编号表!$B:$B,MATCH(C1076,编号表!$A:$A,0))*1000+INDEX(编号表!$D:$D,MATCH(D1076,编号表!$C:$C,0))*100+E1076</f>
        <v>1033505</v>
      </c>
      <c r="C1076" s="2" t="s">
        <v>264</v>
      </c>
      <c r="D1076" s="8" t="s">
        <v>67</v>
      </c>
      <c r="E1076" s="8">
        <f t="shared" si="32"/>
        <v>5</v>
      </c>
      <c r="F1076" s="2" t="s">
        <v>263</v>
      </c>
      <c r="G1076" s="12" t="s">
        <v>62</v>
      </c>
      <c r="H1076" s="2">
        <v>60321003</v>
      </c>
      <c r="I1076" s="8">
        <v>5</v>
      </c>
    </row>
    <row r="1077" spans="1:9" x14ac:dyDescent="0.25">
      <c r="B1077" s="8">
        <f>1000000+INDEX(编号表!$B:$B,MATCH(C1077,编号表!$A:$A,0))*1000+INDEX(编号表!$D:$D,MATCH(D1077,编号表!$C:$C,0))*100+E1077</f>
        <v>1033605</v>
      </c>
      <c r="C1077" s="2" t="s">
        <v>264</v>
      </c>
      <c r="D1077" s="8" t="s">
        <v>69</v>
      </c>
      <c r="E1077" s="8">
        <f t="shared" si="32"/>
        <v>5</v>
      </c>
      <c r="F1077" s="2" t="s">
        <v>265</v>
      </c>
      <c r="G1077" s="12" t="s">
        <v>62</v>
      </c>
      <c r="H1077" s="2">
        <v>60321004</v>
      </c>
      <c r="I1077" s="8">
        <v>5</v>
      </c>
    </row>
    <row r="1078" spans="1:9" x14ac:dyDescent="0.25">
      <c r="B1078" s="8">
        <f>1000000+INDEX(编号表!$B:$B,MATCH(C1078,编号表!$A:$A,0))*1000+INDEX(编号表!$D:$D,MATCH(D1078,编号表!$C:$C,0))*100+E1078</f>
        <v>1033705</v>
      </c>
      <c r="C1078" s="2" t="s">
        <v>264</v>
      </c>
      <c r="D1078" s="8" t="s">
        <v>179</v>
      </c>
      <c r="E1078" s="8">
        <f t="shared" si="32"/>
        <v>5</v>
      </c>
      <c r="F1078" s="2" t="s">
        <v>266</v>
      </c>
      <c r="G1078" s="12" t="s">
        <v>62</v>
      </c>
      <c r="H1078" s="2">
        <v>60321005</v>
      </c>
      <c r="I1078" s="8">
        <v>5</v>
      </c>
    </row>
    <row r="1079" spans="1:9" x14ac:dyDescent="0.25">
      <c r="A1079" s="8" t="s">
        <v>335</v>
      </c>
      <c r="B1079" s="8">
        <f>1000000+INDEX(编号表!$B:$B,MATCH(C1079,编号表!$A:$A,0))*1000+INDEX(编号表!$D:$D,MATCH(D1079,编号表!$C:$C,0))*100+E1079</f>
        <v>1033205</v>
      </c>
      <c r="C1079" s="2" t="s">
        <v>264</v>
      </c>
      <c r="D1079" s="8" t="s">
        <v>60</v>
      </c>
      <c r="E1079" s="8">
        <f t="shared" si="32"/>
        <v>5</v>
      </c>
      <c r="F1079" s="2" t="s">
        <v>260</v>
      </c>
      <c r="G1079" s="12" t="s">
        <v>62</v>
      </c>
      <c r="H1079" s="2">
        <v>60321000</v>
      </c>
      <c r="I1079" s="8">
        <v>5</v>
      </c>
    </row>
    <row r="1080" spans="1:9" x14ac:dyDescent="0.25">
      <c r="B1080" s="8">
        <f>1000000+INDEX(编号表!$B:$B,MATCH(C1080,编号表!$A:$A,0))*1000+INDEX(编号表!$D:$D,MATCH(D1080,编号表!$C:$C,0))*100+E1080</f>
        <v>1033310</v>
      </c>
      <c r="C1080" s="2" t="s">
        <v>264</v>
      </c>
      <c r="D1080" s="8" t="s">
        <v>63</v>
      </c>
      <c r="E1080" s="8">
        <f t="shared" si="32"/>
        <v>10</v>
      </c>
      <c r="F1080" s="2" t="s">
        <v>261</v>
      </c>
      <c r="G1080" s="12" t="s">
        <v>62</v>
      </c>
      <c r="H1080" s="2">
        <v>60321001</v>
      </c>
      <c r="I1080" s="8">
        <v>10</v>
      </c>
    </row>
    <row r="1081" spans="1:9" x14ac:dyDescent="0.25">
      <c r="B1081" s="8">
        <f>1000000+INDEX(编号表!$B:$B,MATCH(C1081,编号表!$A:$A,0))*1000+INDEX(编号表!$D:$D,MATCH(D1081,编号表!$C:$C,0))*100+E1081</f>
        <v>1033410</v>
      </c>
      <c r="C1081" s="2" t="s">
        <v>264</v>
      </c>
      <c r="D1081" s="8" t="s">
        <v>65</v>
      </c>
      <c r="E1081" s="8">
        <f t="shared" si="32"/>
        <v>10</v>
      </c>
      <c r="F1081" s="2" t="s">
        <v>262</v>
      </c>
      <c r="G1081" s="12" t="s">
        <v>62</v>
      </c>
      <c r="H1081" s="2">
        <v>60321002</v>
      </c>
      <c r="I1081" s="8">
        <v>10</v>
      </c>
    </row>
    <row r="1082" spans="1:9" x14ac:dyDescent="0.25">
      <c r="B1082" s="8">
        <f>1000000+INDEX(编号表!$B:$B,MATCH(C1082,编号表!$A:$A,0))*1000+INDEX(编号表!$D:$D,MATCH(D1082,编号表!$C:$C,0))*100+E1082</f>
        <v>1033510</v>
      </c>
      <c r="C1082" s="2" t="s">
        <v>264</v>
      </c>
      <c r="D1082" s="8" t="s">
        <v>67</v>
      </c>
      <c r="E1082" s="8">
        <f t="shared" si="32"/>
        <v>10</v>
      </c>
      <c r="F1082" s="2" t="s">
        <v>263</v>
      </c>
      <c r="G1082" s="12" t="s">
        <v>62</v>
      </c>
      <c r="H1082" s="2">
        <v>60321003</v>
      </c>
      <c r="I1082" s="8">
        <v>10</v>
      </c>
    </row>
    <row r="1083" spans="1:9" x14ac:dyDescent="0.25">
      <c r="B1083" s="8">
        <f>1000000+INDEX(编号表!$B:$B,MATCH(C1083,编号表!$A:$A,0))*1000+INDEX(编号表!$D:$D,MATCH(D1083,编号表!$C:$C,0))*100+E1083</f>
        <v>1033610</v>
      </c>
      <c r="C1083" s="2" t="s">
        <v>264</v>
      </c>
      <c r="D1083" s="8" t="s">
        <v>69</v>
      </c>
      <c r="E1083" s="8">
        <f t="shared" si="32"/>
        <v>10</v>
      </c>
      <c r="F1083" s="2" t="s">
        <v>265</v>
      </c>
      <c r="G1083" s="12" t="s">
        <v>62</v>
      </c>
      <c r="H1083" s="2">
        <v>60321004</v>
      </c>
      <c r="I1083" s="8">
        <v>10</v>
      </c>
    </row>
    <row r="1084" spans="1:9" x14ac:dyDescent="0.25">
      <c r="B1084" s="8">
        <f>1000000+INDEX(编号表!$B:$B,MATCH(C1084,编号表!$A:$A,0))*1000+INDEX(编号表!$D:$D,MATCH(D1084,编号表!$C:$C,0))*100+E1084</f>
        <v>1033710</v>
      </c>
      <c r="C1084" s="2" t="s">
        <v>264</v>
      </c>
      <c r="D1084" s="8" t="s">
        <v>179</v>
      </c>
      <c r="E1084" s="8">
        <f t="shared" si="32"/>
        <v>10</v>
      </c>
      <c r="F1084" s="2" t="s">
        <v>266</v>
      </c>
      <c r="G1084" s="12" t="s">
        <v>62</v>
      </c>
      <c r="H1084" s="2">
        <v>60321005</v>
      </c>
      <c r="I1084" s="8">
        <v>10</v>
      </c>
    </row>
    <row r="1085" spans="1:9" x14ac:dyDescent="0.25">
      <c r="B1085" s="8">
        <f>1000000+INDEX(编号表!$B:$B,MATCH(C1085,编号表!$A:$A,0))*1000+INDEX(编号表!$D:$D,MATCH(D1085,编号表!$C:$C,0))*100+E1085</f>
        <v>1033210</v>
      </c>
      <c r="C1085" s="2" t="s">
        <v>264</v>
      </c>
      <c r="D1085" s="8" t="s">
        <v>60</v>
      </c>
      <c r="E1085" s="8">
        <f t="shared" si="32"/>
        <v>10</v>
      </c>
      <c r="F1085" s="2" t="s">
        <v>260</v>
      </c>
      <c r="G1085" s="12" t="s">
        <v>62</v>
      </c>
      <c r="H1085" s="2">
        <v>60321000</v>
      </c>
      <c r="I1085" s="8">
        <v>10</v>
      </c>
    </row>
    <row r="1086" spans="1:9" x14ac:dyDescent="0.25">
      <c r="B1086" s="8">
        <f>1000000+INDEX(编号表!$B:$B,MATCH(C1086,编号表!$A:$A,0))*1000+INDEX(编号表!$D:$D,MATCH(D1086,编号表!$C:$C,0))*100+E1086</f>
        <v>1033315</v>
      </c>
      <c r="C1086" s="2" t="s">
        <v>264</v>
      </c>
      <c r="D1086" s="8" t="s">
        <v>63</v>
      </c>
      <c r="E1086" s="8">
        <f t="shared" si="32"/>
        <v>15</v>
      </c>
      <c r="F1086" s="2" t="s">
        <v>261</v>
      </c>
      <c r="G1086" s="12" t="s">
        <v>62</v>
      </c>
      <c r="H1086" s="2">
        <v>60321001</v>
      </c>
      <c r="I1086" s="8">
        <v>15</v>
      </c>
    </row>
    <row r="1087" spans="1:9" x14ac:dyDescent="0.25">
      <c r="B1087" s="8">
        <f>1000000+INDEX(编号表!$B:$B,MATCH(C1087,编号表!$A:$A,0))*1000+INDEX(编号表!$D:$D,MATCH(D1087,编号表!$C:$C,0))*100+E1087</f>
        <v>1033415</v>
      </c>
      <c r="C1087" s="2" t="s">
        <v>264</v>
      </c>
      <c r="D1087" s="8" t="s">
        <v>65</v>
      </c>
      <c r="E1087" s="8">
        <f t="shared" si="32"/>
        <v>15</v>
      </c>
      <c r="F1087" s="2" t="s">
        <v>262</v>
      </c>
      <c r="G1087" s="12" t="s">
        <v>62</v>
      </c>
      <c r="H1087" s="2">
        <v>60321002</v>
      </c>
      <c r="I1087" s="8">
        <v>15</v>
      </c>
    </row>
    <row r="1088" spans="1:9" x14ac:dyDescent="0.25">
      <c r="B1088" s="8">
        <f>1000000+INDEX(编号表!$B:$B,MATCH(C1088,编号表!$A:$A,0))*1000+INDEX(编号表!$D:$D,MATCH(D1088,编号表!$C:$C,0))*100+E1088</f>
        <v>1033515</v>
      </c>
      <c r="C1088" s="2" t="s">
        <v>264</v>
      </c>
      <c r="D1088" s="8" t="s">
        <v>67</v>
      </c>
      <c r="E1088" s="8">
        <f t="shared" si="32"/>
        <v>15</v>
      </c>
      <c r="F1088" s="2" t="s">
        <v>263</v>
      </c>
      <c r="G1088" s="12" t="s">
        <v>62</v>
      </c>
      <c r="H1088" s="2">
        <v>60321003</v>
      </c>
      <c r="I1088" s="8">
        <v>15</v>
      </c>
    </row>
    <row r="1089" spans="2:9" x14ac:dyDescent="0.25">
      <c r="B1089" s="8">
        <f>1000000+INDEX(编号表!$B:$B,MATCH(C1089,编号表!$A:$A,0))*1000+INDEX(编号表!$D:$D,MATCH(D1089,编号表!$C:$C,0))*100+E1089</f>
        <v>1033615</v>
      </c>
      <c r="C1089" s="2" t="s">
        <v>264</v>
      </c>
      <c r="D1089" s="8" t="s">
        <v>69</v>
      </c>
      <c r="E1089" s="8">
        <f t="shared" si="32"/>
        <v>15</v>
      </c>
      <c r="F1089" s="2" t="s">
        <v>265</v>
      </c>
      <c r="G1089" s="12" t="s">
        <v>62</v>
      </c>
      <c r="H1089" s="2">
        <v>60321004</v>
      </c>
      <c r="I1089" s="8">
        <v>15</v>
      </c>
    </row>
    <row r="1090" spans="2:9" x14ac:dyDescent="0.25">
      <c r="B1090" s="8">
        <f>1000000+INDEX(编号表!$B:$B,MATCH(C1090,编号表!$A:$A,0))*1000+INDEX(编号表!$D:$D,MATCH(D1090,编号表!$C:$C,0))*100+E1090</f>
        <v>1033715</v>
      </c>
      <c r="C1090" s="2" t="s">
        <v>264</v>
      </c>
      <c r="D1090" s="8" t="s">
        <v>179</v>
      </c>
      <c r="E1090" s="8">
        <f t="shared" si="32"/>
        <v>15</v>
      </c>
      <c r="F1090" s="2" t="s">
        <v>266</v>
      </c>
      <c r="G1090" s="12" t="s">
        <v>62</v>
      </c>
      <c r="H1090" s="2">
        <v>60321005</v>
      </c>
      <c r="I1090" s="8">
        <v>15</v>
      </c>
    </row>
    <row r="1091" spans="2:9" x14ac:dyDescent="0.25">
      <c r="B1091" s="8">
        <f>1000000+INDEX(编号表!$B:$B,MATCH(C1091,编号表!$A:$A,0))*1000+INDEX(编号表!$D:$D,MATCH(D1091,编号表!$C:$C,0))*100+E1091</f>
        <v>1034001</v>
      </c>
      <c r="C1091" s="2" t="s">
        <v>267</v>
      </c>
      <c r="D1091" s="8" t="s">
        <v>55</v>
      </c>
      <c r="E1091" s="8">
        <v>1</v>
      </c>
      <c r="F1091" s="11" t="s">
        <v>56</v>
      </c>
      <c r="G1091" s="12" t="s">
        <v>57</v>
      </c>
      <c r="H1091" s="8">
        <v>60334000</v>
      </c>
      <c r="I1091" s="8">
        <v>1</v>
      </c>
    </row>
    <row r="1092" spans="2:9" x14ac:dyDescent="0.25">
      <c r="B1092" s="8">
        <f>1000000+INDEX(编号表!$B:$B,MATCH(C1092,编号表!$A:$A,0))*1000+INDEX(编号表!$D:$D,MATCH(D1092,编号表!$C:$C,0))*100+E1092</f>
        <v>1034101</v>
      </c>
      <c r="C1092" s="2" t="s">
        <v>267</v>
      </c>
      <c r="D1092" s="8" t="s">
        <v>58</v>
      </c>
      <c r="E1092" s="8">
        <v>1</v>
      </c>
      <c r="F1092" s="11" t="s">
        <v>59</v>
      </c>
      <c r="G1092" s="12" t="s">
        <v>57</v>
      </c>
      <c r="H1092" s="2">
        <v>60332000</v>
      </c>
      <c r="I1092" s="8">
        <v>1</v>
      </c>
    </row>
    <row r="1093" spans="2:9" x14ac:dyDescent="0.25">
      <c r="B1093" s="8">
        <f>1000000+INDEX(编号表!$B:$B,MATCH(C1093,编号表!$A:$A,0))*1000+INDEX(编号表!$D:$D,MATCH(D1093,编号表!$C:$C,0))*100+E1093</f>
        <v>1034102</v>
      </c>
      <c r="C1093" s="2" t="s">
        <v>267</v>
      </c>
      <c r="D1093" s="8" t="s">
        <v>58</v>
      </c>
      <c r="E1093" s="8">
        <v>2</v>
      </c>
      <c r="F1093" s="11" t="s">
        <v>59</v>
      </c>
      <c r="G1093" s="12" t="s">
        <v>57</v>
      </c>
      <c r="H1093" s="2">
        <v>60332001</v>
      </c>
      <c r="I1093" s="8">
        <v>1</v>
      </c>
    </row>
    <row r="1094" spans="2:9" x14ac:dyDescent="0.25">
      <c r="B1094" s="8">
        <f>1000000+INDEX(编号表!$B:$B,MATCH(C1094,编号表!$A:$A,0))*1000+INDEX(编号表!$D:$D,MATCH(D1094,编号表!$C:$C,0))*100+E1094</f>
        <v>1034201</v>
      </c>
      <c r="C1094" s="2" t="s">
        <v>267</v>
      </c>
      <c r="D1094" s="8" t="s">
        <v>60</v>
      </c>
      <c r="E1094" s="8">
        <f t="shared" ref="E1094:E1129" si="33">I1094+K1094+M1094+O1094+Q1094+S1094+U1094+W1094+Y1094+AA1094</f>
        <v>1</v>
      </c>
      <c r="F1094" s="2" t="s">
        <v>260</v>
      </c>
      <c r="G1094" s="12" t="s">
        <v>62</v>
      </c>
      <c r="H1094" s="2">
        <v>60331000</v>
      </c>
      <c r="I1094" s="8">
        <v>1</v>
      </c>
    </row>
    <row r="1095" spans="2:9" x14ac:dyDescent="0.25">
      <c r="B1095" s="8">
        <f>1000000+INDEX(编号表!$B:$B,MATCH(C1095,编号表!$A:$A,0))*1000+INDEX(编号表!$D:$D,MATCH(D1095,编号表!$C:$C,0))*100+E1095</f>
        <v>1034301</v>
      </c>
      <c r="C1095" s="2" t="s">
        <v>267</v>
      </c>
      <c r="D1095" s="8" t="s">
        <v>63</v>
      </c>
      <c r="E1095" s="8">
        <f t="shared" si="33"/>
        <v>1</v>
      </c>
      <c r="F1095" s="2" t="s">
        <v>261</v>
      </c>
      <c r="G1095" s="12" t="s">
        <v>62</v>
      </c>
      <c r="H1095" s="2">
        <v>60331001</v>
      </c>
      <c r="I1095" s="8">
        <v>1</v>
      </c>
    </row>
    <row r="1096" spans="2:9" x14ac:dyDescent="0.25">
      <c r="B1096" s="8">
        <f>1000000+INDEX(编号表!$B:$B,MATCH(C1096,编号表!$A:$A,0))*1000+INDEX(编号表!$D:$D,MATCH(D1096,编号表!$C:$C,0))*100+E1096</f>
        <v>1034401</v>
      </c>
      <c r="C1096" s="2" t="s">
        <v>267</v>
      </c>
      <c r="D1096" s="8" t="s">
        <v>65</v>
      </c>
      <c r="E1096" s="8">
        <f t="shared" si="33"/>
        <v>1</v>
      </c>
      <c r="F1096" s="2" t="s">
        <v>262</v>
      </c>
      <c r="G1096" s="12" t="s">
        <v>62</v>
      </c>
      <c r="H1096" s="2">
        <v>60331002</v>
      </c>
      <c r="I1096" s="8">
        <v>1</v>
      </c>
    </row>
    <row r="1097" spans="2:9" x14ac:dyDescent="0.25">
      <c r="B1097" s="8">
        <f>1000000+INDEX(编号表!$B:$B,MATCH(C1097,编号表!$A:$A,0))*1000+INDEX(编号表!$D:$D,MATCH(D1097,编号表!$C:$C,0))*100+E1097</f>
        <v>1034501</v>
      </c>
      <c r="C1097" s="2" t="s">
        <v>267</v>
      </c>
      <c r="D1097" s="8" t="s">
        <v>67</v>
      </c>
      <c r="E1097" s="8">
        <f t="shared" si="33"/>
        <v>1</v>
      </c>
      <c r="F1097" s="2" t="s">
        <v>263</v>
      </c>
      <c r="G1097" s="12" t="s">
        <v>62</v>
      </c>
      <c r="H1097" s="2">
        <v>60331003</v>
      </c>
      <c r="I1097" s="8">
        <v>1</v>
      </c>
    </row>
    <row r="1098" spans="2:9" x14ac:dyDescent="0.25">
      <c r="B1098" s="8">
        <f>1000000+INDEX(编号表!$B:$B,MATCH(C1098,编号表!$A:$A,0))*1000+INDEX(编号表!$D:$D,MATCH(D1098,编号表!$C:$C,0))*100+E1098</f>
        <v>1034601</v>
      </c>
      <c r="C1098" s="2" t="s">
        <v>267</v>
      </c>
      <c r="D1098" s="8" t="s">
        <v>69</v>
      </c>
      <c r="E1098" s="8">
        <f t="shared" si="33"/>
        <v>1</v>
      </c>
      <c r="F1098" s="2" t="s">
        <v>265</v>
      </c>
      <c r="G1098" s="12" t="s">
        <v>62</v>
      </c>
      <c r="H1098" s="2">
        <v>60331004</v>
      </c>
      <c r="I1098" s="8">
        <v>1</v>
      </c>
    </row>
    <row r="1099" spans="2:9" x14ac:dyDescent="0.25">
      <c r="B1099" s="8">
        <f>1000000+INDEX(编号表!$B:$B,MATCH(C1099,编号表!$A:$A,0))*1000+INDEX(编号表!$D:$D,MATCH(D1099,编号表!$C:$C,0))*100+E1099</f>
        <v>1034701</v>
      </c>
      <c r="C1099" s="2" t="s">
        <v>267</v>
      </c>
      <c r="D1099" s="8" t="s">
        <v>179</v>
      </c>
      <c r="E1099" s="8">
        <f t="shared" si="33"/>
        <v>1</v>
      </c>
      <c r="F1099" s="2" t="s">
        <v>266</v>
      </c>
      <c r="G1099" s="12" t="s">
        <v>62</v>
      </c>
      <c r="H1099" s="2">
        <v>60331005</v>
      </c>
      <c r="I1099" s="8">
        <v>1</v>
      </c>
    </row>
    <row r="1100" spans="2:9" x14ac:dyDescent="0.25">
      <c r="B1100" s="8">
        <f>1000000+INDEX(编号表!$B:$B,MATCH(C1100,编号表!$A:$A,0))*1000+INDEX(编号表!$D:$D,MATCH(D1100,编号表!$C:$C,0))*100+E1100</f>
        <v>1034202</v>
      </c>
      <c r="C1100" s="2" t="s">
        <v>267</v>
      </c>
      <c r="D1100" s="8" t="s">
        <v>60</v>
      </c>
      <c r="E1100" s="8">
        <f t="shared" si="33"/>
        <v>2</v>
      </c>
      <c r="F1100" s="2" t="s">
        <v>260</v>
      </c>
      <c r="G1100" s="12" t="s">
        <v>62</v>
      </c>
      <c r="H1100" s="2">
        <v>60331000</v>
      </c>
      <c r="I1100" s="8">
        <v>2</v>
      </c>
    </row>
    <row r="1101" spans="2:9" x14ac:dyDescent="0.25">
      <c r="B1101" s="8">
        <f>1000000+INDEX(编号表!$B:$B,MATCH(C1101,编号表!$A:$A,0))*1000+INDEX(编号表!$D:$D,MATCH(D1101,编号表!$C:$C,0))*100+E1101</f>
        <v>1034302</v>
      </c>
      <c r="C1101" s="2" t="s">
        <v>267</v>
      </c>
      <c r="D1101" s="8" t="s">
        <v>63</v>
      </c>
      <c r="E1101" s="8">
        <f t="shared" si="33"/>
        <v>2</v>
      </c>
      <c r="F1101" s="2" t="s">
        <v>261</v>
      </c>
      <c r="G1101" s="12" t="s">
        <v>62</v>
      </c>
      <c r="H1101" s="2">
        <v>60331001</v>
      </c>
      <c r="I1101" s="8">
        <v>2</v>
      </c>
    </row>
    <row r="1102" spans="2:9" x14ac:dyDescent="0.25">
      <c r="B1102" s="8">
        <f>1000000+INDEX(编号表!$B:$B,MATCH(C1102,编号表!$A:$A,0))*1000+INDEX(编号表!$D:$D,MATCH(D1102,编号表!$C:$C,0))*100+E1102</f>
        <v>1034402</v>
      </c>
      <c r="C1102" s="2" t="s">
        <v>267</v>
      </c>
      <c r="D1102" s="8" t="s">
        <v>65</v>
      </c>
      <c r="E1102" s="8">
        <f t="shared" si="33"/>
        <v>2</v>
      </c>
      <c r="F1102" s="2" t="s">
        <v>262</v>
      </c>
      <c r="G1102" s="12" t="s">
        <v>62</v>
      </c>
      <c r="H1102" s="2">
        <v>60331002</v>
      </c>
      <c r="I1102" s="8">
        <v>2</v>
      </c>
    </row>
    <row r="1103" spans="2:9" x14ac:dyDescent="0.25">
      <c r="B1103" s="8">
        <f>1000000+INDEX(编号表!$B:$B,MATCH(C1103,编号表!$A:$A,0))*1000+INDEX(编号表!$D:$D,MATCH(D1103,编号表!$C:$C,0))*100+E1103</f>
        <v>1034502</v>
      </c>
      <c r="C1103" s="2" t="s">
        <v>267</v>
      </c>
      <c r="D1103" s="8" t="s">
        <v>67</v>
      </c>
      <c r="E1103" s="8">
        <f t="shared" si="33"/>
        <v>2</v>
      </c>
      <c r="F1103" s="2" t="s">
        <v>263</v>
      </c>
      <c r="G1103" s="12" t="s">
        <v>62</v>
      </c>
      <c r="H1103" s="2">
        <v>60331003</v>
      </c>
      <c r="I1103" s="8">
        <v>2</v>
      </c>
    </row>
    <row r="1104" spans="2:9" x14ac:dyDescent="0.25">
      <c r="B1104" s="8">
        <f>1000000+INDEX(编号表!$B:$B,MATCH(C1104,编号表!$A:$A,0))*1000+INDEX(编号表!$D:$D,MATCH(D1104,编号表!$C:$C,0))*100+E1104</f>
        <v>1034602</v>
      </c>
      <c r="C1104" s="2" t="s">
        <v>267</v>
      </c>
      <c r="D1104" s="8" t="s">
        <v>69</v>
      </c>
      <c r="E1104" s="8">
        <f t="shared" si="33"/>
        <v>2</v>
      </c>
      <c r="F1104" s="2" t="s">
        <v>265</v>
      </c>
      <c r="G1104" s="12" t="s">
        <v>62</v>
      </c>
      <c r="H1104" s="2">
        <v>60331004</v>
      </c>
      <c r="I1104" s="8">
        <v>2</v>
      </c>
    </row>
    <row r="1105" spans="1:9" x14ac:dyDescent="0.25">
      <c r="B1105" s="8">
        <f>1000000+INDEX(编号表!$B:$B,MATCH(C1105,编号表!$A:$A,0))*1000+INDEX(编号表!$D:$D,MATCH(D1105,编号表!$C:$C,0))*100+E1105</f>
        <v>1034702</v>
      </c>
      <c r="C1105" s="2" t="s">
        <v>267</v>
      </c>
      <c r="D1105" s="8" t="s">
        <v>179</v>
      </c>
      <c r="E1105" s="8">
        <f t="shared" si="33"/>
        <v>2</v>
      </c>
      <c r="F1105" s="2" t="s">
        <v>266</v>
      </c>
      <c r="G1105" s="12" t="s">
        <v>62</v>
      </c>
      <c r="H1105" s="2">
        <v>60331005</v>
      </c>
      <c r="I1105" s="8">
        <v>2</v>
      </c>
    </row>
    <row r="1106" spans="1:9" x14ac:dyDescent="0.25">
      <c r="B1106" s="8">
        <f>1000000+INDEX(编号表!$B:$B,MATCH(C1106,编号表!$A:$A,0))*1000+INDEX(编号表!$D:$D,MATCH(D1106,编号表!$C:$C,0))*100+E1106</f>
        <v>1034203</v>
      </c>
      <c r="C1106" s="2" t="s">
        <v>267</v>
      </c>
      <c r="D1106" s="8" t="s">
        <v>60</v>
      </c>
      <c r="E1106" s="8">
        <f t="shared" si="33"/>
        <v>3</v>
      </c>
      <c r="F1106" s="2" t="s">
        <v>260</v>
      </c>
      <c r="G1106" s="12" t="s">
        <v>62</v>
      </c>
      <c r="H1106" s="2">
        <v>60331000</v>
      </c>
      <c r="I1106" s="8">
        <v>3</v>
      </c>
    </row>
    <row r="1107" spans="1:9" x14ac:dyDescent="0.25">
      <c r="B1107" s="8">
        <f>1000000+INDEX(编号表!$B:$B,MATCH(C1107,编号表!$A:$A,0))*1000+INDEX(编号表!$D:$D,MATCH(D1107,编号表!$C:$C,0))*100+E1107</f>
        <v>1034303</v>
      </c>
      <c r="C1107" s="2" t="s">
        <v>267</v>
      </c>
      <c r="D1107" s="8" t="s">
        <v>63</v>
      </c>
      <c r="E1107" s="8">
        <f t="shared" si="33"/>
        <v>3</v>
      </c>
      <c r="F1107" s="2" t="s">
        <v>261</v>
      </c>
      <c r="G1107" s="12" t="s">
        <v>62</v>
      </c>
      <c r="H1107" s="2">
        <v>60331001</v>
      </c>
      <c r="I1107" s="8">
        <v>3</v>
      </c>
    </row>
    <row r="1108" spans="1:9" x14ac:dyDescent="0.25">
      <c r="B1108" s="8">
        <f>1000000+INDEX(编号表!$B:$B,MATCH(C1108,编号表!$A:$A,0))*1000+INDEX(编号表!$D:$D,MATCH(D1108,编号表!$C:$C,0))*100+E1108</f>
        <v>1034403</v>
      </c>
      <c r="C1108" s="2" t="s">
        <v>267</v>
      </c>
      <c r="D1108" s="8" t="s">
        <v>65</v>
      </c>
      <c r="E1108" s="8">
        <f t="shared" si="33"/>
        <v>3</v>
      </c>
      <c r="F1108" s="2" t="s">
        <v>262</v>
      </c>
      <c r="G1108" s="12" t="s">
        <v>62</v>
      </c>
      <c r="H1108" s="2">
        <v>60331002</v>
      </c>
      <c r="I1108" s="8">
        <v>3</v>
      </c>
    </row>
    <row r="1109" spans="1:9" x14ac:dyDescent="0.25">
      <c r="B1109" s="8">
        <f>1000000+INDEX(编号表!$B:$B,MATCH(C1109,编号表!$A:$A,0))*1000+INDEX(编号表!$D:$D,MATCH(D1109,编号表!$C:$C,0))*100+E1109</f>
        <v>1034503</v>
      </c>
      <c r="C1109" s="2" t="s">
        <v>267</v>
      </c>
      <c r="D1109" s="8" t="s">
        <v>67</v>
      </c>
      <c r="E1109" s="8">
        <f t="shared" si="33"/>
        <v>3</v>
      </c>
      <c r="F1109" s="2" t="s">
        <v>263</v>
      </c>
      <c r="G1109" s="12" t="s">
        <v>62</v>
      </c>
      <c r="H1109" s="2">
        <v>60331003</v>
      </c>
      <c r="I1109" s="8">
        <v>3</v>
      </c>
    </row>
    <row r="1110" spans="1:9" x14ac:dyDescent="0.25">
      <c r="B1110" s="8">
        <f>1000000+INDEX(编号表!$B:$B,MATCH(C1110,编号表!$A:$A,0))*1000+INDEX(编号表!$D:$D,MATCH(D1110,编号表!$C:$C,0))*100+E1110</f>
        <v>1034603</v>
      </c>
      <c r="C1110" s="2" t="s">
        <v>267</v>
      </c>
      <c r="D1110" s="8" t="s">
        <v>69</v>
      </c>
      <c r="E1110" s="8">
        <f t="shared" si="33"/>
        <v>3</v>
      </c>
      <c r="F1110" s="2" t="s">
        <v>265</v>
      </c>
      <c r="G1110" s="12" t="s">
        <v>62</v>
      </c>
      <c r="H1110" s="2">
        <v>60331004</v>
      </c>
      <c r="I1110" s="8">
        <v>3</v>
      </c>
    </row>
    <row r="1111" spans="1:9" x14ac:dyDescent="0.25">
      <c r="B1111" s="8">
        <f>1000000+INDEX(编号表!$B:$B,MATCH(C1111,编号表!$A:$A,0))*1000+INDEX(编号表!$D:$D,MATCH(D1111,编号表!$C:$C,0))*100+E1111</f>
        <v>1034703</v>
      </c>
      <c r="C1111" s="2" t="s">
        <v>267</v>
      </c>
      <c r="D1111" s="8" t="s">
        <v>179</v>
      </c>
      <c r="E1111" s="8">
        <f t="shared" si="33"/>
        <v>3</v>
      </c>
      <c r="F1111" s="2" t="s">
        <v>266</v>
      </c>
      <c r="G1111" s="12" t="s">
        <v>62</v>
      </c>
      <c r="H1111" s="2">
        <v>60331005</v>
      </c>
      <c r="I1111" s="8">
        <v>3</v>
      </c>
    </row>
    <row r="1112" spans="1:9" x14ac:dyDescent="0.25">
      <c r="A1112" s="8" t="s">
        <v>335</v>
      </c>
      <c r="B1112" s="8">
        <f>1000000+INDEX(编号表!$B:$B,MATCH(C1112,编号表!$A:$A,0))*1000+INDEX(编号表!$D:$D,MATCH(D1112,编号表!$C:$C,0))*100+E1112</f>
        <v>1034205</v>
      </c>
      <c r="C1112" s="2" t="s">
        <v>267</v>
      </c>
      <c r="D1112" s="8" t="s">
        <v>60</v>
      </c>
      <c r="E1112" s="8">
        <f t="shared" si="33"/>
        <v>5</v>
      </c>
      <c r="F1112" s="2" t="s">
        <v>260</v>
      </c>
      <c r="G1112" s="12" t="s">
        <v>62</v>
      </c>
      <c r="H1112" s="2">
        <v>60331000</v>
      </c>
      <c r="I1112" s="8">
        <v>5</v>
      </c>
    </row>
    <row r="1113" spans="1:9" x14ac:dyDescent="0.25">
      <c r="B1113" s="8">
        <f>1000000+INDEX(编号表!$B:$B,MATCH(C1113,编号表!$A:$A,0))*1000+INDEX(编号表!$D:$D,MATCH(D1113,编号表!$C:$C,0))*100+E1113</f>
        <v>1034305</v>
      </c>
      <c r="C1113" s="2" t="s">
        <v>267</v>
      </c>
      <c r="D1113" s="8" t="s">
        <v>63</v>
      </c>
      <c r="E1113" s="8">
        <f t="shared" si="33"/>
        <v>5</v>
      </c>
      <c r="F1113" s="2" t="s">
        <v>261</v>
      </c>
      <c r="G1113" s="12" t="s">
        <v>62</v>
      </c>
      <c r="H1113" s="2">
        <v>60331001</v>
      </c>
      <c r="I1113" s="8">
        <v>5</v>
      </c>
    </row>
    <row r="1114" spans="1:9" x14ac:dyDescent="0.25">
      <c r="B1114" s="8">
        <f>1000000+INDEX(编号表!$B:$B,MATCH(C1114,编号表!$A:$A,0))*1000+INDEX(编号表!$D:$D,MATCH(D1114,编号表!$C:$C,0))*100+E1114</f>
        <v>1034405</v>
      </c>
      <c r="C1114" s="2" t="s">
        <v>267</v>
      </c>
      <c r="D1114" s="8" t="s">
        <v>65</v>
      </c>
      <c r="E1114" s="8">
        <f t="shared" si="33"/>
        <v>5</v>
      </c>
      <c r="F1114" s="2" t="s">
        <v>262</v>
      </c>
      <c r="G1114" s="12" t="s">
        <v>62</v>
      </c>
      <c r="H1114" s="2">
        <v>60331002</v>
      </c>
      <c r="I1114" s="8">
        <v>5</v>
      </c>
    </row>
    <row r="1115" spans="1:9" x14ac:dyDescent="0.25">
      <c r="B1115" s="8">
        <f>1000000+INDEX(编号表!$B:$B,MATCH(C1115,编号表!$A:$A,0))*1000+INDEX(编号表!$D:$D,MATCH(D1115,编号表!$C:$C,0))*100+E1115</f>
        <v>1034505</v>
      </c>
      <c r="C1115" s="2" t="s">
        <v>267</v>
      </c>
      <c r="D1115" s="8" t="s">
        <v>67</v>
      </c>
      <c r="E1115" s="8">
        <f t="shared" si="33"/>
        <v>5</v>
      </c>
      <c r="F1115" s="2" t="s">
        <v>263</v>
      </c>
      <c r="G1115" s="12" t="s">
        <v>62</v>
      </c>
      <c r="H1115" s="2">
        <v>60331003</v>
      </c>
      <c r="I1115" s="8">
        <v>5</v>
      </c>
    </row>
    <row r="1116" spans="1:9" x14ac:dyDescent="0.25">
      <c r="B1116" s="8">
        <f>1000000+INDEX(编号表!$B:$B,MATCH(C1116,编号表!$A:$A,0))*1000+INDEX(编号表!$D:$D,MATCH(D1116,编号表!$C:$C,0))*100+E1116</f>
        <v>1034605</v>
      </c>
      <c r="C1116" s="2" t="s">
        <v>267</v>
      </c>
      <c r="D1116" s="8" t="s">
        <v>69</v>
      </c>
      <c r="E1116" s="8">
        <f t="shared" si="33"/>
        <v>5</v>
      </c>
      <c r="F1116" s="2" t="s">
        <v>265</v>
      </c>
      <c r="G1116" s="12" t="s">
        <v>62</v>
      </c>
      <c r="H1116" s="2">
        <v>60331004</v>
      </c>
      <c r="I1116" s="8">
        <v>5</v>
      </c>
    </row>
    <row r="1117" spans="1:9" x14ac:dyDescent="0.25">
      <c r="B1117" s="8">
        <f>1000000+INDEX(编号表!$B:$B,MATCH(C1117,编号表!$A:$A,0))*1000+INDEX(编号表!$D:$D,MATCH(D1117,编号表!$C:$C,0))*100+E1117</f>
        <v>1034705</v>
      </c>
      <c r="C1117" s="2" t="s">
        <v>267</v>
      </c>
      <c r="D1117" s="8" t="s">
        <v>179</v>
      </c>
      <c r="E1117" s="8">
        <f t="shared" si="33"/>
        <v>5</v>
      </c>
      <c r="F1117" s="2" t="s">
        <v>266</v>
      </c>
      <c r="G1117" s="12" t="s">
        <v>62</v>
      </c>
      <c r="H1117" s="2">
        <v>60331005</v>
      </c>
      <c r="I1117" s="8">
        <v>5</v>
      </c>
    </row>
    <row r="1118" spans="1:9" x14ac:dyDescent="0.25">
      <c r="B1118" s="8">
        <f>1000000+INDEX(编号表!$B:$B,MATCH(C1118,编号表!$A:$A,0))*1000+INDEX(编号表!$D:$D,MATCH(D1118,编号表!$C:$C,0))*100+E1118</f>
        <v>1034205</v>
      </c>
      <c r="C1118" s="2" t="s">
        <v>267</v>
      </c>
      <c r="D1118" s="8" t="s">
        <v>60</v>
      </c>
      <c r="E1118" s="8">
        <f t="shared" si="33"/>
        <v>5</v>
      </c>
      <c r="F1118" s="2" t="s">
        <v>260</v>
      </c>
      <c r="G1118" s="12" t="s">
        <v>62</v>
      </c>
      <c r="H1118" s="2">
        <v>60331000</v>
      </c>
      <c r="I1118" s="8">
        <v>5</v>
      </c>
    </row>
    <row r="1119" spans="1:9" x14ac:dyDescent="0.25">
      <c r="B1119" s="8">
        <f>1000000+INDEX(编号表!$B:$B,MATCH(C1119,编号表!$A:$A,0))*1000+INDEX(编号表!$D:$D,MATCH(D1119,编号表!$C:$C,0))*100+E1119</f>
        <v>1034310</v>
      </c>
      <c r="C1119" s="2" t="s">
        <v>267</v>
      </c>
      <c r="D1119" s="8" t="s">
        <v>63</v>
      </c>
      <c r="E1119" s="8">
        <f t="shared" si="33"/>
        <v>10</v>
      </c>
      <c r="F1119" s="2" t="s">
        <v>261</v>
      </c>
      <c r="G1119" s="12" t="s">
        <v>62</v>
      </c>
      <c r="H1119" s="2">
        <v>60331001</v>
      </c>
      <c r="I1119" s="8">
        <v>10</v>
      </c>
    </row>
    <row r="1120" spans="1:9" x14ac:dyDescent="0.25">
      <c r="B1120" s="8">
        <f>1000000+INDEX(编号表!$B:$B,MATCH(C1120,编号表!$A:$A,0))*1000+INDEX(编号表!$D:$D,MATCH(D1120,编号表!$C:$C,0))*100+E1120</f>
        <v>1034410</v>
      </c>
      <c r="C1120" s="2" t="s">
        <v>267</v>
      </c>
      <c r="D1120" s="8" t="s">
        <v>65</v>
      </c>
      <c r="E1120" s="8">
        <f t="shared" si="33"/>
        <v>10</v>
      </c>
      <c r="F1120" s="2" t="s">
        <v>262</v>
      </c>
      <c r="G1120" s="12" t="s">
        <v>62</v>
      </c>
      <c r="H1120" s="2">
        <v>60331002</v>
      </c>
      <c r="I1120" s="8">
        <v>10</v>
      </c>
    </row>
    <row r="1121" spans="2:9" x14ac:dyDescent="0.25">
      <c r="B1121" s="8">
        <f>1000000+INDEX(编号表!$B:$B,MATCH(C1121,编号表!$A:$A,0))*1000+INDEX(编号表!$D:$D,MATCH(D1121,编号表!$C:$C,0))*100+E1121</f>
        <v>1034510</v>
      </c>
      <c r="C1121" s="2" t="s">
        <v>267</v>
      </c>
      <c r="D1121" s="8" t="s">
        <v>67</v>
      </c>
      <c r="E1121" s="8">
        <f t="shared" si="33"/>
        <v>10</v>
      </c>
      <c r="F1121" s="2" t="s">
        <v>263</v>
      </c>
      <c r="G1121" s="12" t="s">
        <v>62</v>
      </c>
      <c r="H1121" s="2">
        <v>60331003</v>
      </c>
      <c r="I1121" s="8">
        <v>10</v>
      </c>
    </row>
    <row r="1122" spans="2:9" x14ac:dyDescent="0.25">
      <c r="B1122" s="8">
        <f>1000000+INDEX(编号表!$B:$B,MATCH(C1122,编号表!$A:$A,0))*1000+INDEX(编号表!$D:$D,MATCH(D1122,编号表!$C:$C,0))*100+E1122</f>
        <v>1034610</v>
      </c>
      <c r="C1122" s="2" t="s">
        <v>267</v>
      </c>
      <c r="D1122" s="8" t="s">
        <v>69</v>
      </c>
      <c r="E1122" s="8">
        <f t="shared" si="33"/>
        <v>10</v>
      </c>
      <c r="F1122" s="2" t="s">
        <v>265</v>
      </c>
      <c r="G1122" s="12" t="s">
        <v>62</v>
      </c>
      <c r="H1122" s="2">
        <v>60331004</v>
      </c>
      <c r="I1122" s="8">
        <v>10</v>
      </c>
    </row>
    <row r="1123" spans="2:9" x14ac:dyDescent="0.25">
      <c r="B1123" s="8">
        <f>1000000+INDEX(编号表!$B:$B,MATCH(C1123,编号表!$A:$A,0))*1000+INDEX(编号表!$D:$D,MATCH(D1123,编号表!$C:$C,0))*100+E1123</f>
        <v>1034710</v>
      </c>
      <c r="C1123" s="2" t="s">
        <v>267</v>
      </c>
      <c r="D1123" s="8" t="s">
        <v>179</v>
      </c>
      <c r="E1123" s="8">
        <f t="shared" si="33"/>
        <v>10</v>
      </c>
      <c r="F1123" s="2" t="s">
        <v>266</v>
      </c>
      <c r="G1123" s="12" t="s">
        <v>62</v>
      </c>
      <c r="H1123" s="2">
        <v>60331005</v>
      </c>
      <c r="I1123" s="8">
        <v>10</v>
      </c>
    </row>
    <row r="1124" spans="2:9" x14ac:dyDescent="0.25">
      <c r="B1124" s="8">
        <f>1000000+INDEX(编号表!$B:$B,MATCH(C1124,编号表!$A:$A,0))*1000+INDEX(编号表!$D:$D,MATCH(D1124,编号表!$C:$C,0))*100+E1124</f>
        <v>1034210</v>
      </c>
      <c r="C1124" s="2" t="s">
        <v>267</v>
      </c>
      <c r="D1124" s="8" t="s">
        <v>60</v>
      </c>
      <c r="E1124" s="8">
        <f t="shared" si="33"/>
        <v>10</v>
      </c>
      <c r="F1124" s="2" t="s">
        <v>260</v>
      </c>
      <c r="G1124" s="12" t="s">
        <v>62</v>
      </c>
      <c r="H1124" s="2">
        <v>60331000</v>
      </c>
      <c r="I1124" s="8">
        <v>10</v>
      </c>
    </row>
    <row r="1125" spans="2:9" x14ac:dyDescent="0.25">
      <c r="B1125" s="8">
        <f>1000000+INDEX(编号表!$B:$B,MATCH(C1125,编号表!$A:$A,0))*1000+INDEX(编号表!$D:$D,MATCH(D1125,编号表!$C:$C,0))*100+E1125</f>
        <v>1034315</v>
      </c>
      <c r="C1125" s="2" t="s">
        <v>267</v>
      </c>
      <c r="D1125" s="8" t="s">
        <v>63</v>
      </c>
      <c r="E1125" s="8">
        <f t="shared" si="33"/>
        <v>15</v>
      </c>
      <c r="F1125" s="2" t="s">
        <v>261</v>
      </c>
      <c r="G1125" s="12" t="s">
        <v>62</v>
      </c>
      <c r="H1125" s="2">
        <v>60331001</v>
      </c>
      <c r="I1125" s="8">
        <v>15</v>
      </c>
    </row>
    <row r="1126" spans="2:9" x14ac:dyDescent="0.25">
      <c r="B1126" s="8">
        <f>1000000+INDEX(编号表!$B:$B,MATCH(C1126,编号表!$A:$A,0))*1000+INDEX(编号表!$D:$D,MATCH(D1126,编号表!$C:$C,0))*100+E1126</f>
        <v>1034415</v>
      </c>
      <c r="C1126" s="2" t="s">
        <v>267</v>
      </c>
      <c r="D1126" s="8" t="s">
        <v>65</v>
      </c>
      <c r="E1126" s="8">
        <f t="shared" si="33"/>
        <v>15</v>
      </c>
      <c r="F1126" s="2" t="s">
        <v>262</v>
      </c>
      <c r="G1126" s="12" t="s">
        <v>62</v>
      </c>
      <c r="H1126" s="2">
        <v>60331002</v>
      </c>
      <c r="I1126" s="8">
        <v>15</v>
      </c>
    </row>
    <row r="1127" spans="2:9" x14ac:dyDescent="0.25">
      <c r="B1127" s="8">
        <f>1000000+INDEX(编号表!$B:$B,MATCH(C1127,编号表!$A:$A,0))*1000+INDEX(编号表!$D:$D,MATCH(D1127,编号表!$C:$C,0))*100+E1127</f>
        <v>1034515</v>
      </c>
      <c r="C1127" s="2" t="s">
        <v>267</v>
      </c>
      <c r="D1127" s="8" t="s">
        <v>67</v>
      </c>
      <c r="E1127" s="8">
        <f t="shared" si="33"/>
        <v>15</v>
      </c>
      <c r="F1127" s="2" t="s">
        <v>263</v>
      </c>
      <c r="G1127" s="12" t="s">
        <v>62</v>
      </c>
      <c r="H1127" s="2">
        <v>60331003</v>
      </c>
      <c r="I1127" s="8">
        <v>15</v>
      </c>
    </row>
    <row r="1128" spans="2:9" x14ac:dyDescent="0.25">
      <c r="B1128" s="8">
        <f>1000000+INDEX(编号表!$B:$B,MATCH(C1128,编号表!$A:$A,0))*1000+INDEX(编号表!$D:$D,MATCH(D1128,编号表!$C:$C,0))*100+E1128</f>
        <v>1034615</v>
      </c>
      <c r="C1128" s="2" t="s">
        <v>267</v>
      </c>
      <c r="D1128" s="8" t="s">
        <v>69</v>
      </c>
      <c r="E1128" s="8">
        <f t="shared" si="33"/>
        <v>15</v>
      </c>
      <c r="F1128" s="2" t="s">
        <v>265</v>
      </c>
      <c r="G1128" s="12" t="s">
        <v>62</v>
      </c>
      <c r="H1128" s="2">
        <v>60331004</v>
      </c>
      <c r="I1128" s="8">
        <v>15</v>
      </c>
    </row>
    <row r="1129" spans="2:9" x14ac:dyDescent="0.25">
      <c r="B1129" s="8">
        <f>1000000+INDEX(编号表!$B:$B,MATCH(C1129,编号表!$A:$A,0))*1000+INDEX(编号表!$D:$D,MATCH(D1129,编号表!$C:$C,0))*100+E1129</f>
        <v>1034715</v>
      </c>
      <c r="C1129" s="2" t="s">
        <v>267</v>
      </c>
      <c r="D1129" s="8" t="s">
        <v>179</v>
      </c>
      <c r="E1129" s="8">
        <f t="shared" si="33"/>
        <v>15</v>
      </c>
      <c r="F1129" s="2" t="s">
        <v>266</v>
      </c>
      <c r="G1129" s="12" t="s">
        <v>62</v>
      </c>
      <c r="H1129" s="2">
        <v>60331005</v>
      </c>
      <c r="I1129" s="8">
        <v>15</v>
      </c>
    </row>
    <row r="1130" spans="2:9" x14ac:dyDescent="0.25">
      <c r="B1130" s="8">
        <f>1000000+INDEX(编号表!$B:$B,MATCH(C1130,编号表!$A:$A,0))*1000+INDEX(编号表!$D:$D,MATCH(D1130,编号表!$C:$C,0))*100+E1130</f>
        <v>1035001</v>
      </c>
      <c r="C1130" s="2" t="s">
        <v>268</v>
      </c>
      <c r="D1130" s="8" t="s">
        <v>55</v>
      </c>
      <c r="E1130" s="8">
        <v>1</v>
      </c>
      <c r="F1130" s="11" t="s">
        <v>56</v>
      </c>
      <c r="G1130" s="12" t="s">
        <v>57</v>
      </c>
      <c r="H1130" s="8">
        <v>60344000</v>
      </c>
      <c r="I1130" s="8">
        <v>1</v>
      </c>
    </row>
    <row r="1131" spans="2:9" x14ac:dyDescent="0.25">
      <c r="B1131" s="8">
        <f>1000000+INDEX(编号表!$B:$B,MATCH(C1131,编号表!$A:$A,0))*1000+INDEX(编号表!$D:$D,MATCH(D1131,编号表!$C:$C,0))*100+E1131</f>
        <v>1035101</v>
      </c>
      <c r="C1131" s="2" t="s">
        <v>268</v>
      </c>
      <c r="D1131" s="8" t="s">
        <v>58</v>
      </c>
      <c r="E1131" s="8">
        <v>1</v>
      </c>
      <c r="F1131" s="11" t="s">
        <v>59</v>
      </c>
      <c r="G1131" s="12" t="s">
        <v>57</v>
      </c>
      <c r="H1131" s="2">
        <v>60342000</v>
      </c>
      <c r="I1131" s="8">
        <v>1</v>
      </c>
    </row>
    <row r="1132" spans="2:9" x14ac:dyDescent="0.25">
      <c r="B1132" s="8">
        <f>1000000+INDEX(编号表!$B:$B,MATCH(C1132,编号表!$A:$A,0))*1000+INDEX(编号表!$D:$D,MATCH(D1132,编号表!$C:$C,0))*100+E1132</f>
        <v>1035201</v>
      </c>
      <c r="C1132" s="2" t="s">
        <v>268</v>
      </c>
      <c r="D1132" s="8" t="s">
        <v>60</v>
      </c>
      <c r="E1132" s="8">
        <f t="shared" ref="E1132:E1161" si="34">I1132+K1132+M1132+O1132+Q1132+S1132+U1132+W1132+Y1132+AA1132</f>
        <v>1</v>
      </c>
      <c r="F1132" s="2" t="s">
        <v>269</v>
      </c>
      <c r="G1132" s="12" t="s">
        <v>62</v>
      </c>
      <c r="H1132" s="2">
        <v>60341000</v>
      </c>
      <c r="I1132" s="8">
        <v>1</v>
      </c>
    </row>
    <row r="1133" spans="2:9" x14ac:dyDescent="0.25">
      <c r="B1133" s="8">
        <f>1000000+INDEX(编号表!$B:$B,MATCH(C1133,编号表!$A:$A,0))*1000+INDEX(编号表!$D:$D,MATCH(D1133,编号表!$C:$C,0))*100+E1133</f>
        <v>1035301</v>
      </c>
      <c r="C1133" s="2" t="s">
        <v>268</v>
      </c>
      <c r="D1133" s="8" t="s">
        <v>63</v>
      </c>
      <c r="E1133" s="8">
        <f t="shared" si="34"/>
        <v>1</v>
      </c>
      <c r="F1133" s="2" t="s">
        <v>270</v>
      </c>
      <c r="G1133" s="12" t="s">
        <v>62</v>
      </c>
      <c r="H1133" s="2">
        <v>60341001</v>
      </c>
      <c r="I1133" s="8">
        <v>1</v>
      </c>
    </row>
    <row r="1134" spans="2:9" x14ac:dyDescent="0.25">
      <c r="B1134" s="8">
        <f>1000000+INDEX(编号表!$B:$B,MATCH(C1134,编号表!$A:$A,0))*1000+INDEX(编号表!$D:$D,MATCH(D1134,编号表!$C:$C,0))*100+E1134</f>
        <v>1035401</v>
      </c>
      <c r="C1134" s="2" t="s">
        <v>268</v>
      </c>
      <c r="D1134" s="8" t="s">
        <v>65</v>
      </c>
      <c r="E1134" s="8">
        <f t="shared" si="34"/>
        <v>1</v>
      </c>
      <c r="F1134" s="2" t="s">
        <v>271</v>
      </c>
      <c r="G1134" s="12" t="s">
        <v>62</v>
      </c>
      <c r="H1134" s="2">
        <v>60341002</v>
      </c>
      <c r="I1134" s="8">
        <v>1</v>
      </c>
    </row>
    <row r="1135" spans="2:9" x14ac:dyDescent="0.25">
      <c r="B1135" s="8">
        <f>1000000+INDEX(编号表!$B:$B,MATCH(C1135,编号表!$A:$A,0))*1000+INDEX(编号表!$D:$D,MATCH(D1135,编号表!$C:$C,0))*100+E1135</f>
        <v>1035501</v>
      </c>
      <c r="C1135" s="2" t="s">
        <v>268</v>
      </c>
      <c r="D1135" s="8" t="s">
        <v>67</v>
      </c>
      <c r="E1135" s="8">
        <f t="shared" si="34"/>
        <v>1</v>
      </c>
      <c r="F1135" s="2" t="s">
        <v>272</v>
      </c>
      <c r="G1135" s="12" t="s">
        <v>62</v>
      </c>
      <c r="H1135" s="2">
        <v>60341003</v>
      </c>
      <c r="I1135" s="8">
        <v>1</v>
      </c>
    </row>
    <row r="1136" spans="2:9" x14ac:dyDescent="0.25">
      <c r="B1136" s="8">
        <f>1000000+INDEX(编号表!$B:$B,MATCH(C1136,编号表!$A:$A,0))*1000+INDEX(编号表!$D:$D,MATCH(D1136,编号表!$C:$C,0))*100+E1136</f>
        <v>1035601</v>
      </c>
      <c r="C1136" s="2" t="s">
        <v>268</v>
      </c>
      <c r="D1136" s="8" t="s">
        <v>69</v>
      </c>
      <c r="E1136" s="8">
        <f t="shared" si="34"/>
        <v>1</v>
      </c>
      <c r="F1136" s="2" t="s">
        <v>273</v>
      </c>
      <c r="G1136" s="12" t="s">
        <v>62</v>
      </c>
      <c r="H1136" s="2">
        <v>60341004</v>
      </c>
      <c r="I1136" s="8">
        <v>1</v>
      </c>
    </row>
    <row r="1137" spans="2:9" x14ac:dyDescent="0.25">
      <c r="B1137" s="8">
        <f>1000000+INDEX(编号表!$B:$B,MATCH(C1137,编号表!$A:$A,0))*1000+INDEX(编号表!$D:$D,MATCH(D1137,编号表!$C:$C,0))*100+E1137</f>
        <v>1035202</v>
      </c>
      <c r="C1137" s="2" t="s">
        <v>268</v>
      </c>
      <c r="D1137" s="8" t="s">
        <v>60</v>
      </c>
      <c r="E1137" s="8">
        <f t="shared" si="34"/>
        <v>2</v>
      </c>
      <c r="F1137" s="2" t="s">
        <v>269</v>
      </c>
      <c r="G1137" s="12" t="s">
        <v>62</v>
      </c>
      <c r="H1137" s="2">
        <v>60341000</v>
      </c>
      <c r="I1137" s="8">
        <v>2</v>
      </c>
    </row>
    <row r="1138" spans="2:9" x14ac:dyDescent="0.25">
      <c r="B1138" s="8">
        <f>1000000+INDEX(编号表!$B:$B,MATCH(C1138,编号表!$A:$A,0))*1000+INDEX(编号表!$D:$D,MATCH(D1138,编号表!$C:$C,0))*100+E1138</f>
        <v>1035302</v>
      </c>
      <c r="C1138" s="2" t="s">
        <v>268</v>
      </c>
      <c r="D1138" s="8" t="s">
        <v>63</v>
      </c>
      <c r="E1138" s="8">
        <f t="shared" si="34"/>
        <v>2</v>
      </c>
      <c r="F1138" s="2" t="s">
        <v>270</v>
      </c>
      <c r="G1138" s="12" t="s">
        <v>62</v>
      </c>
      <c r="H1138" s="2">
        <v>60341001</v>
      </c>
      <c r="I1138" s="8">
        <v>2</v>
      </c>
    </row>
    <row r="1139" spans="2:9" x14ac:dyDescent="0.25">
      <c r="B1139" s="8">
        <f>1000000+INDEX(编号表!$B:$B,MATCH(C1139,编号表!$A:$A,0))*1000+INDEX(编号表!$D:$D,MATCH(D1139,编号表!$C:$C,0))*100+E1139</f>
        <v>1035402</v>
      </c>
      <c r="C1139" s="2" t="s">
        <v>268</v>
      </c>
      <c r="D1139" s="8" t="s">
        <v>65</v>
      </c>
      <c r="E1139" s="8">
        <f t="shared" si="34"/>
        <v>2</v>
      </c>
      <c r="F1139" s="2" t="s">
        <v>271</v>
      </c>
      <c r="G1139" s="12" t="s">
        <v>62</v>
      </c>
      <c r="H1139" s="2">
        <v>60341002</v>
      </c>
      <c r="I1139" s="8">
        <v>2</v>
      </c>
    </row>
    <row r="1140" spans="2:9" x14ac:dyDescent="0.25">
      <c r="B1140" s="8">
        <f>1000000+INDEX(编号表!$B:$B,MATCH(C1140,编号表!$A:$A,0))*1000+INDEX(编号表!$D:$D,MATCH(D1140,编号表!$C:$C,0))*100+E1140</f>
        <v>1035502</v>
      </c>
      <c r="C1140" s="2" t="s">
        <v>268</v>
      </c>
      <c r="D1140" s="8" t="s">
        <v>67</v>
      </c>
      <c r="E1140" s="8">
        <f t="shared" si="34"/>
        <v>2</v>
      </c>
      <c r="F1140" s="2" t="s">
        <v>272</v>
      </c>
      <c r="G1140" s="12" t="s">
        <v>62</v>
      </c>
      <c r="H1140" s="2">
        <v>60341003</v>
      </c>
      <c r="I1140" s="8">
        <v>2</v>
      </c>
    </row>
    <row r="1141" spans="2:9" x14ac:dyDescent="0.25">
      <c r="B1141" s="8">
        <f>1000000+INDEX(编号表!$B:$B,MATCH(C1141,编号表!$A:$A,0))*1000+INDEX(编号表!$D:$D,MATCH(D1141,编号表!$C:$C,0))*100+E1141</f>
        <v>1035602</v>
      </c>
      <c r="C1141" s="2" t="s">
        <v>268</v>
      </c>
      <c r="D1141" s="8" t="s">
        <v>69</v>
      </c>
      <c r="E1141" s="8">
        <f t="shared" si="34"/>
        <v>2</v>
      </c>
      <c r="F1141" s="2" t="s">
        <v>273</v>
      </c>
      <c r="G1141" s="12" t="s">
        <v>62</v>
      </c>
      <c r="H1141" s="2">
        <v>60341004</v>
      </c>
      <c r="I1141" s="8">
        <v>2</v>
      </c>
    </row>
    <row r="1142" spans="2:9" x14ac:dyDescent="0.25">
      <c r="B1142" s="8">
        <f>1000000+INDEX(编号表!$B:$B,MATCH(C1142,编号表!$A:$A,0))*1000+INDEX(编号表!$D:$D,MATCH(D1142,编号表!$C:$C,0))*100+E1142</f>
        <v>1035203</v>
      </c>
      <c r="C1142" s="2" t="s">
        <v>268</v>
      </c>
      <c r="D1142" s="8" t="s">
        <v>60</v>
      </c>
      <c r="E1142" s="8">
        <f t="shared" si="34"/>
        <v>3</v>
      </c>
      <c r="F1142" s="2" t="s">
        <v>269</v>
      </c>
      <c r="G1142" s="12" t="s">
        <v>62</v>
      </c>
      <c r="H1142" s="2">
        <v>60341000</v>
      </c>
      <c r="I1142" s="8">
        <v>3</v>
      </c>
    </row>
    <row r="1143" spans="2:9" x14ac:dyDescent="0.25">
      <c r="B1143" s="8">
        <f>1000000+INDEX(编号表!$B:$B,MATCH(C1143,编号表!$A:$A,0))*1000+INDEX(编号表!$D:$D,MATCH(D1143,编号表!$C:$C,0))*100+E1143</f>
        <v>1035303</v>
      </c>
      <c r="C1143" s="2" t="s">
        <v>268</v>
      </c>
      <c r="D1143" s="8" t="s">
        <v>63</v>
      </c>
      <c r="E1143" s="8">
        <f t="shared" si="34"/>
        <v>3</v>
      </c>
      <c r="F1143" s="2" t="s">
        <v>270</v>
      </c>
      <c r="G1143" s="12" t="s">
        <v>62</v>
      </c>
      <c r="H1143" s="2">
        <v>60341001</v>
      </c>
      <c r="I1143" s="8">
        <v>3</v>
      </c>
    </row>
    <row r="1144" spans="2:9" x14ac:dyDescent="0.25">
      <c r="B1144" s="8">
        <f>1000000+INDEX(编号表!$B:$B,MATCH(C1144,编号表!$A:$A,0))*1000+INDEX(编号表!$D:$D,MATCH(D1144,编号表!$C:$C,0))*100+E1144</f>
        <v>1035403</v>
      </c>
      <c r="C1144" s="2" t="s">
        <v>268</v>
      </c>
      <c r="D1144" s="8" t="s">
        <v>65</v>
      </c>
      <c r="E1144" s="8">
        <f t="shared" si="34"/>
        <v>3</v>
      </c>
      <c r="F1144" s="2" t="s">
        <v>271</v>
      </c>
      <c r="G1144" s="12" t="s">
        <v>62</v>
      </c>
      <c r="H1144" s="2">
        <v>60341002</v>
      </c>
      <c r="I1144" s="8">
        <v>3</v>
      </c>
    </row>
    <row r="1145" spans="2:9" x14ac:dyDescent="0.25">
      <c r="B1145" s="8">
        <f>1000000+INDEX(编号表!$B:$B,MATCH(C1145,编号表!$A:$A,0))*1000+INDEX(编号表!$D:$D,MATCH(D1145,编号表!$C:$C,0))*100+E1145</f>
        <v>1035503</v>
      </c>
      <c r="C1145" s="2" t="s">
        <v>268</v>
      </c>
      <c r="D1145" s="8" t="s">
        <v>67</v>
      </c>
      <c r="E1145" s="8">
        <f t="shared" si="34"/>
        <v>3</v>
      </c>
      <c r="F1145" s="2" t="s">
        <v>272</v>
      </c>
      <c r="G1145" s="12" t="s">
        <v>62</v>
      </c>
      <c r="H1145" s="2">
        <v>60341003</v>
      </c>
      <c r="I1145" s="8">
        <v>3</v>
      </c>
    </row>
    <row r="1146" spans="2:9" x14ac:dyDescent="0.25">
      <c r="B1146" s="8">
        <f>1000000+INDEX(编号表!$B:$B,MATCH(C1146,编号表!$A:$A,0))*1000+INDEX(编号表!$D:$D,MATCH(D1146,编号表!$C:$C,0))*100+E1146</f>
        <v>1035603</v>
      </c>
      <c r="C1146" s="2" t="s">
        <v>268</v>
      </c>
      <c r="D1146" s="8" t="s">
        <v>69</v>
      </c>
      <c r="E1146" s="8">
        <f t="shared" si="34"/>
        <v>3</v>
      </c>
      <c r="F1146" s="2" t="s">
        <v>273</v>
      </c>
      <c r="G1146" s="12" t="s">
        <v>62</v>
      </c>
      <c r="H1146" s="2">
        <v>60341004</v>
      </c>
      <c r="I1146" s="8">
        <v>3</v>
      </c>
    </row>
    <row r="1147" spans="2:9" x14ac:dyDescent="0.25">
      <c r="B1147" s="8">
        <f>1000000+INDEX(编号表!$B:$B,MATCH(C1147,编号表!$A:$A,0))*1000+INDEX(编号表!$D:$D,MATCH(D1147,编号表!$C:$C,0))*100+E1147</f>
        <v>1035205</v>
      </c>
      <c r="C1147" s="2" t="s">
        <v>268</v>
      </c>
      <c r="D1147" s="8" t="s">
        <v>60</v>
      </c>
      <c r="E1147" s="8">
        <f t="shared" si="34"/>
        <v>5</v>
      </c>
      <c r="F1147" s="2" t="s">
        <v>269</v>
      </c>
      <c r="G1147" s="12" t="s">
        <v>62</v>
      </c>
      <c r="H1147" s="2">
        <v>60341000</v>
      </c>
      <c r="I1147" s="8">
        <v>5</v>
      </c>
    </row>
    <row r="1148" spans="2:9" x14ac:dyDescent="0.25">
      <c r="B1148" s="8">
        <f>1000000+INDEX(编号表!$B:$B,MATCH(C1148,编号表!$A:$A,0))*1000+INDEX(编号表!$D:$D,MATCH(D1148,编号表!$C:$C,0))*100+E1148</f>
        <v>1035305</v>
      </c>
      <c r="C1148" s="2" t="s">
        <v>268</v>
      </c>
      <c r="D1148" s="8" t="s">
        <v>63</v>
      </c>
      <c r="E1148" s="8">
        <f t="shared" si="34"/>
        <v>5</v>
      </c>
      <c r="F1148" s="2" t="s">
        <v>270</v>
      </c>
      <c r="G1148" s="12" t="s">
        <v>62</v>
      </c>
      <c r="H1148" s="2">
        <v>60341001</v>
      </c>
      <c r="I1148" s="8">
        <v>5</v>
      </c>
    </row>
    <row r="1149" spans="2:9" x14ac:dyDescent="0.25">
      <c r="B1149" s="8">
        <f>1000000+INDEX(编号表!$B:$B,MATCH(C1149,编号表!$A:$A,0))*1000+INDEX(编号表!$D:$D,MATCH(D1149,编号表!$C:$C,0))*100+E1149</f>
        <v>1035405</v>
      </c>
      <c r="C1149" s="2" t="s">
        <v>268</v>
      </c>
      <c r="D1149" s="8" t="s">
        <v>65</v>
      </c>
      <c r="E1149" s="8">
        <f t="shared" si="34"/>
        <v>5</v>
      </c>
      <c r="F1149" s="2" t="s">
        <v>271</v>
      </c>
      <c r="G1149" s="12" t="s">
        <v>62</v>
      </c>
      <c r="H1149" s="2">
        <v>60341002</v>
      </c>
      <c r="I1149" s="8">
        <v>5</v>
      </c>
    </row>
    <row r="1150" spans="2:9" x14ac:dyDescent="0.25">
      <c r="B1150" s="8">
        <f>1000000+INDEX(编号表!$B:$B,MATCH(C1150,编号表!$A:$A,0))*1000+INDEX(编号表!$D:$D,MATCH(D1150,编号表!$C:$C,0))*100+E1150</f>
        <v>1035505</v>
      </c>
      <c r="C1150" s="2" t="s">
        <v>268</v>
      </c>
      <c r="D1150" s="8" t="s">
        <v>67</v>
      </c>
      <c r="E1150" s="8">
        <f t="shared" si="34"/>
        <v>5</v>
      </c>
      <c r="F1150" s="2" t="s">
        <v>272</v>
      </c>
      <c r="G1150" s="12" t="s">
        <v>62</v>
      </c>
      <c r="H1150" s="2">
        <v>60341003</v>
      </c>
      <c r="I1150" s="8">
        <v>5</v>
      </c>
    </row>
    <row r="1151" spans="2:9" x14ac:dyDescent="0.25">
      <c r="B1151" s="8">
        <f>1000000+INDEX(编号表!$B:$B,MATCH(C1151,编号表!$A:$A,0))*1000+INDEX(编号表!$D:$D,MATCH(D1151,编号表!$C:$C,0))*100+E1151</f>
        <v>1035605</v>
      </c>
      <c r="C1151" s="2" t="s">
        <v>268</v>
      </c>
      <c r="D1151" s="8" t="s">
        <v>69</v>
      </c>
      <c r="E1151" s="8">
        <f t="shared" si="34"/>
        <v>5</v>
      </c>
      <c r="F1151" s="2" t="s">
        <v>273</v>
      </c>
      <c r="G1151" s="12" t="s">
        <v>62</v>
      </c>
      <c r="H1151" s="2">
        <v>60341004</v>
      </c>
      <c r="I1151" s="8">
        <v>5</v>
      </c>
    </row>
    <row r="1152" spans="2:9" x14ac:dyDescent="0.25">
      <c r="B1152" s="8">
        <f>1000000+INDEX(编号表!$B:$B,MATCH(C1152,编号表!$A:$A,0))*1000+INDEX(编号表!$D:$D,MATCH(D1152,编号表!$C:$C,0))*100+E1152</f>
        <v>1035210</v>
      </c>
      <c r="C1152" s="2" t="s">
        <v>268</v>
      </c>
      <c r="D1152" s="8" t="s">
        <v>60</v>
      </c>
      <c r="E1152" s="8">
        <f t="shared" si="34"/>
        <v>10</v>
      </c>
      <c r="F1152" s="2" t="s">
        <v>269</v>
      </c>
      <c r="G1152" s="12" t="s">
        <v>62</v>
      </c>
      <c r="H1152" s="2">
        <v>60341000</v>
      </c>
      <c r="I1152" s="8">
        <v>10</v>
      </c>
    </row>
    <row r="1153" spans="2:9" x14ac:dyDescent="0.25">
      <c r="B1153" s="8">
        <f>1000000+INDEX(编号表!$B:$B,MATCH(C1153,编号表!$A:$A,0))*1000+INDEX(编号表!$D:$D,MATCH(D1153,编号表!$C:$C,0))*100+E1153</f>
        <v>1035310</v>
      </c>
      <c r="C1153" s="2" t="s">
        <v>268</v>
      </c>
      <c r="D1153" s="8" t="s">
        <v>63</v>
      </c>
      <c r="E1153" s="8">
        <f t="shared" si="34"/>
        <v>10</v>
      </c>
      <c r="F1153" s="2" t="s">
        <v>270</v>
      </c>
      <c r="G1153" s="12" t="s">
        <v>62</v>
      </c>
      <c r="H1153" s="2">
        <v>60341001</v>
      </c>
      <c r="I1153" s="8">
        <v>10</v>
      </c>
    </row>
    <row r="1154" spans="2:9" x14ac:dyDescent="0.25">
      <c r="B1154" s="8">
        <f>1000000+INDEX(编号表!$B:$B,MATCH(C1154,编号表!$A:$A,0))*1000+INDEX(编号表!$D:$D,MATCH(D1154,编号表!$C:$C,0))*100+E1154</f>
        <v>1035410</v>
      </c>
      <c r="C1154" s="2" t="s">
        <v>268</v>
      </c>
      <c r="D1154" s="8" t="s">
        <v>65</v>
      </c>
      <c r="E1154" s="8">
        <f t="shared" si="34"/>
        <v>10</v>
      </c>
      <c r="F1154" s="2" t="s">
        <v>271</v>
      </c>
      <c r="G1154" s="12" t="s">
        <v>62</v>
      </c>
      <c r="H1154" s="2">
        <v>60341002</v>
      </c>
      <c r="I1154" s="8">
        <v>10</v>
      </c>
    </row>
    <row r="1155" spans="2:9" x14ac:dyDescent="0.25">
      <c r="B1155" s="8">
        <f>1000000+INDEX(编号表!$B:$B,MATCH(C1155,编号表!$A:$A,0))*1000+INDEX(编号表!$D:$D,MATCH(D1155,编号表!$C:$C,0))*100+E1155</f>
        <v>1035510</v>
      </c>
      <c r="C1155" s="2" t="s">
        <v>268</v>
      </c>
      <c r="D1155" s="8" t="s">
        <v>67</v>
      </c>
      <c r="E1155" s="8">
        <f t="shared" si="34"/>
        <v>10</v>
      </c>
      <c r="F1155" s="2" t="s">
        <v>272</v>
      </c>
      <c r="G1155" s="12" t="s">
        <v>62</v>
      </c>
      <c r="H1155" s="2">
        <v>60341003</v>
      </c>
      <c r="I1155" s="8">
        <v>10</v>
      </c>
    </row>
    <row r="1156" spans="2:9" x14ac:dyDescent="0.25">
      <c r="B1156" s="8">
        <f>1000000+INDEX(编号表!$B:$B,MATCH(C1156,编号表!$A:$A,0))*1000+INDEX(编号表!$D:$D,MATCH(D1156,编号表!$C:$C,0))*100+E1156</f>
        <v>1035610</v>
      </c>
      <c r="C1156" s="2" t="s">
        <v>268</v>
      </c>
      <c r="D1156" s="8" t="s">
        <v>69</v>
      </c>
      <c r="E1156" s="8">
        <f t="shared" si="34"/>
        <v>10</v>
      </c>
      <c r="F1156" s="2" t="s">
        <v>273</v>
      </c>
      <c r="G1156" s="12" t="s">
        <v>62</v>
      </c>
      <c r="H1156" s="2">
        <v>60341004</v>
      </c>
      <c r="I1156" s="8">
        <v>10</v>
      </c>
    </row>
    <row r="1157" spans="2:9" x14ac:dyDescent="0.25">
      <c r="B1157" s="8">
        <f>1000000+INDEX(编号表!$B:$B,MATCH(C1157,编号表!$A:$A,0))*1000+INDEX(编号表!$D:$D,MATCH(D1157,编号表!$C:$C,0))*100+E1157</f>
        <v>1035215</v>
      </c>
      <c r="C1157" s="2" t="s">
        <v>268</v>
      </c>
      <c r="D1157" s="8" t="s">
        <v>60</v>
      </c>
      <c r="E1157" s="8">
        <f t="shared" si="34"/>
        <v>15</v>
      </c>
      <c r="F1157" s="2" t="s">
        <v>269</v>
      </c>
      <c r="G1157" s="12" t="s">
        <v>62</v>
      </c>
      <c r="H1157" s="2">
        <v>60341000</v>
      </c>
      <c r="I1157" s="8">
        <v>15</v>
      </c>
    </row>
    <row r="1158" spans="2:9" x14ac:dyDescent="0.25">
      <c r="B1158" s="8">
        <f>1000000+INDEX(编号表!$B:$B,MATCH(C1158,编号表!$A:$A,0))*1000+INDEX(编号表!$D:$D,MATCH(D1158,编号表!$C:$C,0))*100+E1158</f>
        <v>1035315</v>
      </c>
      <c r="C1158" s="2" t="s">
        <v>268</v>
      </c>
      <c r="D1158" s="8" t="s">
        <v>63</v>
      </c>
      <c r="E1158" s="8">
        <f t="shared" si="34"/>
        <v>15</v>
      </c>
      <c r="F1158" s="2" t="s">
        <v>270</v>
      </c>
      <c r="G1158" s="12" t="s">
        <v>62</v>
      </c>
      <c r="H1158" s="2">
        <v>60341001</v>
      </c>
      <c r="I1158" s="8">
        <v>15</v>
      </c>
    </row>
    <row r="1159" spans="2:9" x14ac:dyDescent="0.25">
      <c r="B1159" s="8">
        <f>1000000+INDEX(编号表!$B:$B,MATCH(C1159,编号表!$A:$A,0))*1000+INDEX(编号表!$D:$D,MATCH(D1159,编号表!$C:$C,0))*100+E1159</f>
        <v>1035415</v>
      </c>
      <c r="C1159" s="2" t="s">
        <v>268</v>
      </c>
      <c r="D1159" s="8" t="s">
        <v>65</v>
      </c>
      <c r="E1159" s="8">
        <f t="shared" si="34"/>
        <v>15</v>
      </c>
      <c r="F1159" s="2" t="s">
        <v>271</v>
      </c>
      <c r="G1159" s="12" t="s">
        <v>62</v>
      </c>
      <c r="H1159" s="2">
        <v>60341002</v>
      </c>
      <c r="I1159" s="8">
        <v>15</v>
      </c>
    </row>
    <row r="1160" spans="2:9" x14ac:dyDescent="0.25">
      <c r="B1160" s="8">
        <f>1000000+INDEX(编号表!$B:$B,MATCH(C1160,编号表!$A:$A,0))*1000+INDEX(编号表!$D:$D,MATCH(D1160,编号表!$C:$C,0))*100+E1160</f>
        <v>1035515</v>
      </c>
      <c r="C1160" s="2" t="s">
        <v>268</v>
      </c>
      <c r="D1160" s="8" t="s">
        <v>67</v>
      </c>
      <c r="E1160" s="8">
        <f t="shared" si="34"/>
        <v>15</v>
      </c>
      <c r="F1160" s="2" t="s">
        <v>272</v>
      </c>
      <c r="G1160" s="12" t="s">
        <v>62</v>
      </c>
      <c r="H1160" s="2">
        <v>60341003</v>
      </c>
      <c r="I1160" s="8">
        <v>15</v>
      </c>
    </row>
    <row r="1161" spans="2:9" x14ac:dyDescent="0.25">
      <c r="B1161" s="8">
        <f>1000000+INDEX(编号表!$B:$B,MATCH(C1161,编号表!$A:$A,0))*1000+INDEX(编号表!$D:$D,MATCH(D1161,编号表!$C:$C,0))*100+E1161</f>
        <v>1035615</v>
      </c>
      <c r="C1161" s="2" t="s">
        <v>268</v>
      </c>
      <c r="D1161" s="8" t="s">
        <v>69</v>
      </c>
      <c r="E1161" s="8">
        <f t="shared" si="34"/>
        <v>15</v>
      </c>
      <c r="F1161" s="2" t="s">
        <v>273</v>
      </c>
      <c r="G1161" s="12" t="s">
        <v>62</v>
      </c>
      <c r="H1161" s="2">
        <v>60341004</v>
      </c>
      <c r="I1161" s="8">
        <v>15</v>
      </c>
    </row>
    <row r="1162" spans="2:9" x14ac:dyDescent="0.25">
      <c r="B1162" s="8">
        <f>1000000+INDEX(编号表!$B:$B,MATCH(C1162,编号表!$A:$A,0))*1000+INDEX(编号表!$D:$D,MATCH(D1162,编号表!$C:$C,0))*100+E1162</f>
        <v>1036001</v>
      </c>
      <c r="C1162" s="2" t="s">
        <v>274</v>
      </c>
      <c r="D1162" s="8" t="s">
        <v>55</v>
      </c>
      <c r="E1162" s="8">
        <v>1</v>
      </c>
      <c r="F1162" s="11" t="s">
        <v>56</v>
      </c>
      <c r="G1162" s="12" t="s">
        <v>57</v>
      </c>
      <c r="H1162" s="8">
        <v>60354000</v>
      </c>
      <c r="I1162" s="8">
        <v>1</v>
      </c>
    </row>
    <row r="1163" spans="2:9" x14ac:dyDescent="0.25">
      <c r="B1163" s="8">
        <f>1000000+INDEX(编号表!$B:$B,MATCH(C1163,编号表!$A:$A,0))*1000+INDEX(编号表!$D:$D,MATCH(D1163,编号表!$C:$C,0))*100+E1163</f>
        <v>1036101</v>
      </c>
      <c r="C1163" s="2" t="s">
        <v>274</v>
      </c>
      <c r="D1163" s="8" t="s">
        <v>58</v>
      </c>
      <c r="E1163" s="8">
        <v>1</v>
      </c>
      <c r="F1163" s="11" t="s">
        <v>59</v>
      </c>
      <c r="G1163" s="12" t="s">
        <v>57</v>
      </c>
      <c r="H1163" s="2">
        <v>60352000</v>
      </c>
      <c r="I1163" s="8">
        <v>1</v>
      </c>
    </row>
    <row r="1164" spans="2:9" x14ac:dyDescent="0.25">
      <c r="B1164" s="8">
        <f>1000000+INDEX(编号表!$B:$B,MATCH(C1164,编号表!$A:$A,0))*1000+INDEX(编号表!$D:$D,MATCH(D1164,编号表!$C:$C,0))*100+E1164</f>
        <v>1036201</v>
      </c>
      <c r="C1164" s="2" t="s">
        <v>274</v>
      </c>
      <c r="D1164" s="8" t="s">
        <v>60</v>
      </c>
      <c r="E1164" s="8">
        <f t="shared" ref="E1164:E1193" si="35">I1164+K1164+M1164+O1164+Q1164+S1164+U1164+W1164+Y1164+AA1164</f>
        <v>1</v>
      </c>
      <c r="F1164" s="2" t="s">
        <v>270</v>
      </c>
      <c r="G1164" s="12" t="s">
        <v>62</v>
      </c>
      <c r="H1164" s="2">
        <v>60351000</v>
      </c>
      <c r="I1164" s="8">
        <v>1</v>
      </c>
    </row>
    <row r="1165" spans="2:9" x14ac:dyDescent="0.25">
      <c r="B1165" s="8">
        <f>1000000+INDEX(编号表!$B:$B,MATCH(C1165,编号表!$A:$A,0))*1000+INDEX(编号表!$D:$D,MATCH(D1165,编号表!$C:$C,0))*100+E1165</f>
        <v>1036301</v>
      </c>
      <c r="C1165" s="2" t="s">
        <v>274</v>
      </c>
      <c r="D1165" s="8" t="s">
        <v>63</v>
      </c>
      <c r="E1165" s="8">
        <f t="shared" si="35"/>
        <v>1</v>
      </c>
      <c r="F1165" s="2" t="s">
        <v>271</v>
      </c>
      <c r="G1165" s="12" t="s">
        <v>62</v>
      </c>
      <c r="H1165" s="2">
        <v>60351001</v>
      </c>
      <c r="I1165" s="8">
        <v>1</v>
      </c>
    </row>
    <row r="1166" spans="2:9" x14ac:dyDescent="0.25">
      <c r="B1166" s="8">
        <f>1000000+INDEX(编号表!$B:$B,MATCH(C1166,编号表!$A:$A,0))*1000+INDEX(编号表!$D:$D,MATCH(D1166,编号表!$C:$C,0))*100+E1166</f>
        <v>1036401</v>
      </c>
      <c r="C1166" s="2" t="s">
        <v>274</v>
      </c>
      <c r="D1166" s="8" t="s">
        <v>65</v>
      </c>
      <c r="E1166" s="8">
        <f t="shared" si="35"/>
        <v>1</v>
      </c>
      <c r="F1166" s="2" t="s">
        <v>272</v>
      </c>
      <c r="G1166" s="12" t="s">
        <v>62</v>
      </c>
      <c r="H1166" s="2">
        <v>60351002</v>
      </c>
      <c r="I1166" s="8">
        <v>1</v>
      </c>
    </row>
    <row r="1167" spans="2:9" x14ac:dyDescent="0.25">
      <c r="B1167" s="8">
        <f>1000000+INDEX(编号表!$B:$B,MATCH(C1167,编号表!$A:$A,0))*1000+INDEX(编号表!$D:$D,MATCH(D1167,编号表!$C:$C,0))*100+E1167</f>
        <v>1036501</v>
      </c>
      <c r="C1167" s="2" t="s">
        <v>274</v>
      </c>
      <c r="D1167" s="8" t="s">
        <v>67</v>
      </c>
      <c r="E1167" s="8">
        <f t="shared" si="35"/>
        <v>1</v>
      </c>
      <c r="F1167" s="2" t="s">
        <v>275</v>
      </c>
      <c r="G1167" s="12" t="s">
        <v>62</v>
      </c>
      <c r="H1167" s="2">
        <v>60351003</v>
      </c>
      <c r="I1167" s="8">
        <v>1</v>
      </c>
    </row>
    <row r="1168" spans="2:9" x14ac:dyDescent="0.25">
      <c r="B1168" s="8">
        <f>1000000+INDEX(编号表!$B:$B,MATCH(C1168,编号表!$A:$A,0))*1000+INDEX(编号表!$D:$D,MATCH(D1168,编号表!$C:$C,0))*100+E1168</f>
        <v>1036601</v>
      </c>
      <c r="C1168" s="2" t="s">
        <v>274</v>
      </c>
      <c r="D1168" s="8" t="s">
        <v>69</v>
      </c>
      <c r="E1168" s="8">
        <f t="shared" si="35"/>
        <v>1</v>
      </c>
      <c r="F1168" s="2" t="s">
        <v>273</v>
      </c>
      <c r="G1168" s="12" t="s">
        <v>62</v>
      </c>
      <c r="H1168" s="2">
        <v>60351004</v>
      </c>
      <c r="I1168" s="8">
        <v>1</v>
      </c>
    </row>
    <row r="1169" spans="2:9" x14ac:dyDescent="0.25">
      <c r="B1169" s="8">
        <f>1000000+INDEX(编号表!$B:$B,MATCH(C1169,编号表!$A:$A,0))*1000+INDEX(编号表!$D:$D,MATCH(D1169,编号表!$C:$C,0))*100+E1169</f>
        <v>1036202</v>
      </c>
      <c r="C1169" s="2" t="s">
        <v>274</v>
      </c>
      <c r="D1169" s="8" t="s">
        <v>60</v>
      </c>
      <c r="E1169" s="8">
        <f t="shared" si="35"/>
        <v>2</v>
      </c>
      <c r="F1169" s="2" t="s">
        <v>270</v>
      </c>
      <c r="G1169" s="12" t="s">
        <v>62</v>
      </c>
      <c r="H1169" s="2">
        <v>60351000</v>
      </c>
      <c r="I1169" s="8">
        <v>2</v>
      </c>
    </row>
    <row r="1170" spans="2:9" x14ac:dyDescent="0.25">
      <c r="B1170" s="8">
        <f>1000000+INDEX(编号表!$B:$B,MATCH(C1170,编号表!$A:$A,0))*1000+INDEX(编号表!$D:$D,MATCH(D1170,编号表!$C:$C,0))*100+E1170</f>
        <v>1036302</v>
      </c>
      <c r="C1170" s="2" t="s">
        <v>274</v>
      </c>
      <c r="D1170" s="8" t="s">
        <v>63</v>
      </c>
      <c r="E1170" s="8">
        <f t="shared" si="35"/>
        <v>2</v>
      </c>
      <c r="F1170" s="2" t="s">
        <v>271</v>
      </c>
      <c r="G1170" s="12" t="s">
        <v>62</v>
      </c>
      <c r="H1170" s="2">
        <v>60351001</v>
      </c>
      <c r="I1170" s="8">
        <v>2</v>
      </c>
    </row>
    <row r="1171" spans="2:9" x14ac:dyDescent="0.25">
      <c r="B1171" s="8">
        <f>1000000+INDEX(编号表!$B:$B,MATCH(C1171,编号表!$A:$A,0))*1000+INDEX(编号表!$D:$D,MATCH(D1171,编号表!$C:$C,0))*100+E1171</f>
        <v>1036402</v>
      </c>
      <c r="C1171" s="2" t="s">
        <v>274</v>
      </c>
      <c r="D1171" s="8" t="s">
        <v>65</v>
      </c>
      <c r="E1171" s="8">
        <f t="shared" si="35"/>
        <v>2</v>
      </c>
      <c r="F1171" s="2" t="s">
        <v>272</v>
      </c>
      <c r="G1171" s="12" t="s">
        <v>62</v>
      </c>
      <c r="H1171" s="2">
        <v>60351002</v>
      </c>
      <c r="I1171" s="8">
        <v>2</v>
      </c>
    </row>
    <row r="1172" spans="2:9" x14ac:dyDescent="0.25">
      <c r="B1172" s="8">
        <f>1000000+INDEX(编号表!$B:$B,MATCH(C1172,编号表!$A:$A,0))*1000+INDEX(编号表!$D:$D,MATCH(D1172,编号表!$C:$C,0))*100+E1172</f>
        <v>1036502</v>
      </c>
      <c r="C1172" s="2" t="s">
        <v>274</v>
      </c>
      <c r="D1172" s="8" t="s">
        <v>67</v>
      </c>
      <c r="E1172" s="8">
        <f t="shared" si="35"/>
        <v>2</v>
      </c>
      <c r="F1172" s="2" t="s">
        <v>275</v>
      </c>
      <c r="G1172" s="12" t="s">
        <v>62</v>
      </c>
      <c r="H1172" s="2">
        <v>60351003</v>
      </c>
      <c r="I1172" s="8">
        <v>2</v>
      </c>
    </row>
    <row r="1173" spans="2:9" x14ac:dyDescent="0.25">
      <c r="B1173" s="8">
        <f>1000000+INDEX(编号表!$B:$B,MATCH(C1173,编号表!$A:$A,0))*1000+INDEX(编号表!$D:$D,MATCH(D1173,编号表!$C:$C,0))*100+E1173</f>
        <v>1036602</v>
      </c>
      <c r="C1173" s="2" t="s">
        <v>274</v>
      </c>
      <c r="D1173" s="8" t="s">
        <v>69</v>
      </c>
      <c r="E1173" s="8">
        <f t="shared" si="35"/>
        <v>2</v>
      </c>
      <c r="F1173" s="2" t="s">
        <v>273</v>
      </c>
      <c r="G1173" s="12" t="s">
        <v>62</v>
      </c>
      <c r="H1173" s="2">
        <v>60351004</v>
      </c>
      <c r="I1173" s="8">
        <v>2</v>
      </c>
    </row>
    <row r="1174" spans="2:9" x14ac:dyDescent="0.25">
      <c r="B1174" s="8">
        <f>1000000+INDEX(编号表!$B:$B,MATCH(C1174,编号表!$A:$A,0))*1000+INDEX(编号表!$D:$D,MATCH(D1174,编号表!$C:$C,0))*100+E1174</f>
        <v>1036203</v>
      </c>
      <c r="C1174" s="2" t="s">
        <v>274</v>
      </c>
      <c r="D1174" s="8" t="s">
        <v>60</v>
      </c>
      <c r="E1174" s="8">
        <f t="shared" si="35"/>
        <v>3</v>
      </c>
      <c r="F1174" s="2" t="s">
        <v>270</v>
      </c>
      <c r="G1174" s="12" t="s">
        <v>62</v>
      </c>
      <c r="H1174" s="2">
        <v>60351000</v>
      </c>
      <c r="I1174" s="8">
        <v>3</v>
      </c>
    </row>
    <row r="1175" spans="2:9" x14ac:dyDescent="0.25">
      <c r="B1175" s="8">
        <f>1000000+INDEX(编号表!$B:$B,MATCH(C1175,编号表!$A:$A,0))*1000+INDEX(编号表!$D:$D,MATCH(D1175,编号表!$C:$C,0))*100+E1175</f>
        <v>1036303</v>
      </c>
      <c r="C1175" s="2" t="s">
        <v>274</v>
      </c>
      <c r="D1175" s="8" t="s">
        <v>63</v>
      </c>
      <c r="E1175" s="8">
        <f t="shared" si="35"/>
        <v>3</v>
      </c>
      <c r="F1175" s="2" t="s">
        <v>271</v>
      </c>
      <c r="G1175" s="12" t="s">
        <v>62</v>
      </c>
      <c r="H1175" s="2">
        <v>60351001</v>
      </c>
      <c r="I1175" s="8">
        <v>3</v>
      </c>
    </row>
    <row r="1176" spans="2:9" x14ac:dyDescent="0.25">
      <c r="B1176" s="8">
        <f>1000000+INDEX(编号表!$B:$B,MATCH(C1176,编号表!$A:$A,0))*1000+INDEX(编号表!$D:$D,MATCH(D1176,编号表!$C:$C,0))*100+E1176</f>
        <v>1036403</v>
      </c>
      <c r="C1176" s="2" t="s">
        <v>274</v>
      </c>
      <c r="D1176" s="8" t="s">
        <v>65</v>
      </c>
      <c r="E1176" s="8">
        <f t="shared" si="35"/>
        <v>3</v>
      </c>
      <c r="F1176" s="2" t="s">
        <v>272</v>
      </c>
      <c r="G1176" s="12" t="s">
        <v>62</v>
      </c>
      <c r="H1176" s="2">
        <v>60351002</v>
      </c>
      <c r="I1176" s="8">
        <v>3</v>
      </c>
    </row>
    <row r="1177" spans="2:9" x14ac:dyDescent="0.25">
      <c r="B1177" s="8">
        <f>1000000+INDEX(编号表!$B:$B,MATCH(C1177,编号表!$A:$A,0))*1000+INDEX(编号表!$D:$D,MATCH(D1177,编号表!$C:$C,0))*100+E1177</f>
        <v>1036503</v>
      </c>
      <c r="C1177" s="2" t="s">
        <v>274</v>
      </c>
      <c r="D1177" s="8" t="s">
        <v>67</v>
      </c>
      <c r="E1177" s="8">
        <f t="shared" si="35"/>
        <v>3</v>
      </c>
      <c r="F1177" s="2" t="s">
        <v>275</v>
      </c>
      <c r="G1177" s="12" t="s">
        <v>62</v>
      </c>
      <c r="H1177" s="2">
        <v>60351003</v>
      </c>
      <c r="I1177" s="8">
        <v>3</v>
      </c>
    </row>
    <row r="1178" spans="2:9" x14ac:dyDescent="0.25">
      <c r="B1178" s="8">
        <f>1000000+INDEX(编号表!$B:$B,MATCH(C1178,编号表!$A:$A,0))*1000+INDEX(编号表!$D:$D,MATCH(D1178,编号表!$C:$C,0))*100+E1178</f>
        <v>1036603</v>
      </c>
      <c r="C1178" s="2" t="s">
        <v>274</v>
      </c>
      <c r="D1178" s="8" t="s">
        <v>69</v>
      </c>
      <c r="E1178" s="8">
        <f t="shared" si="35"/>
        <v>3</v>
      </c>
      <c r="F1178" s="2" t="s">
        <v>273</v>
      </c>
      <c r="G1178" s="12" t="s">
        <v>62</v>
      </c>
      <c r="H1178" s="2">
        <v>60351004</v>
      </c>
      <c r="I1178" s="8">
        <v>3</v>
      </c>
    </row>
    <row r="1179" spans="2:9" x14ac:dyDescent="0.25">
      <c r="B1179" s="8">
        <f>1000000+INDEX(编号表!$B:$B,MATCH(C1179,编号表!$A:$A,0))*1000+INDEX(编号表!$D:$D,MATCH(D1179,编号表!$C:$C,0))*100+E1179</f>
        <v>1036205</v>
      </c>
      <c r="C1179" s="2" t="s">
        <v>274</v>
      </c>
      <c r="D1179" s="8" t="s">
        <v>60</v>
      </c>
      <c r="E1179" s="8">
        <f t="shared" si="35"/>
        <v>5</v>
      </c>
      <c r="F1179" s="2" t="s">
        <v>270</v>
      </c>
      <c r="G1179" s="12" t="s">
        <v>62</v>
      </c>
      <c r="H1179" s="2">
        <v>60351000</v>
      </c>
      <c r="I1179" s="8">
        <v>5</v>
      </c>
    </row>
    <row r="1180" spans="2:9" x14ac:dyDescent="0.25">
      <c r="B1180" s="8">
        <f>1000000+INDEX(编号表!$B:$B,MATCH(C1180,编号表!$A:$A,0))*1000+INDEX(编号表!$D:$D,MATCH(D1180,编号表!$C:$C,0))*100+E1180</f>
        <v>1036305</v>
      </c>
      <c r="C1180" s="2" t="s">
        <v>274</v>
      </c>
      <c r="D1180" s="8" t="s">
        <v>63</v>
      </c>
      <c r="E1180" s="8">
        <f t="shared" si="35"/>
        <v>5</v>
      </c>
      <c r="F1180" s="2" t="s">
        <v>271</v>
      </c>
      <c r="G1180" s="12" t="s">
        <v>62</v>
      </c>
      <c r="H1180" s="2">
        <v>60351001</v>
      </c>
      <c r="I1180" s="8">
        <v>5</v>
      </c>
    </row>
    <row r="1181" spans="2:9" x14ac:dyDescent="0.25">
      <c r="B1181" s="8">
        <f>1000000+INDEX(编号表!$B:$B,MATCH(C1181,编号表!$A:$A,0))*1000+INDEX(编号表!$D:$D,MATCH(D1181,编号表!$C:$C,0))*100+E1181</f>
        <v>1036405</v>
      </c>
      <c r="C1181" s="2" t="s">
        <v>274</v>
      </c>
      <c r="D1181" s="8" t="s">
        <v>65</v>
      </c>
      <c r="E1181" s="8">
        <f t="shared" si="35"/>
        <v>5</v>
      </c>
      <c r="F1181" s="2" t="s">
        <v>272</v>
      </c>
      <c r="G1181" s="12" t="s">
        <v>62</v>
      </c>
      <c r="H1181" s="2">
        <v>60351002</v>
      </c>
      <c r="I1181" s="8">
        <v>5</v>
      </c>
    </row>
    <row r="1182" spans="2:9" x14ac:dyDescent="0.25">
      <c r="B1182" s="8">
        <f>1000000+INDEX(编号表!$B:$B,MATCH(C1182,编号表!$A:$A,0))*1000+INDEX(编号表!$D:$D,MATCH(D1182,编号表!$C:$C,0))*100+E1182</f>
        <v>1036505</v>
      </c>
      <c r="C1182" s="2" t="s">
        <v>274</v>
      </c>
      <c r="D1182" s="8" t="s">
        <v>67</v>
      </c>
      <c r="E1182" s="8">
        <f t="shared" si="35"/>
        <v>5</v>
      </c>
      <c r="F1182" s="2" t="s">
        <v>275</v>
      </c>
      <c r="G1182" s="12" t="s">
        <v>62</v>
      </c>
      <c r="H1182" s="2">
        <v>60351003</v>
      </c>
      <c r="I1182" s="8">
        <v>5</v>
      </c>
    </row>
    <row r="1183" spans="2:9" x14ac:dyDescent="0.25">
      <c r="B1183" s="8">
        <f>1000000+INDEX(编号表!$B:$B,MATCH(C1183,编号表!$A:$A,0))*1000+INDEX(编号表!$D:$D,MATCH(D1183,编号表!$C:$C,0))*100+E1183</f>
        <v>1036605</v>
      </c>
      <c r="C1183" s="2" t="s">
        <v>274</v>
      </c>
      <c r="D1183" s="8" t="s">
        <v>69</v>
      </c>
      <c r="E1183" s="8">
        <f t="shared" si="35"/>
        <v>5</v>
      </c>
      <c r="F1183" s="2" t="s">
        <v>273</v>
      </c>
      <c r="G1183" s="12" t="s">
        <v>62</v>
      </c>
      <c r="H1183" s="2">
        <v>60351004</v>
      </c>
      <c r="I1183" s="8">
        <v>5</v>
      </c>
    </row>
    <row r="1184" spans="2:9" x14ac:dyDescent="0.25">
      <c r="B1184" s="8">
        <f>1000000+INDEX(编号表!$B:$B,MATCH(C1184,编号表!$A:$A,0))*1000+INDEX(编号表!$D:$D,MATCH(D1184,编号表!$C:$C,0))*100+E1184</f>
        <v>1036210</v>
      </c>
      <c r="C1184" s="2" t="s">
        <v>274</v>
      </c>
      <c r="D1184" s="8" t="s">
        <v>60</v>
      </c>
      <c r="E1184" s="8">
        <f t="shared" si="35"/>
        <v>10</v>
      </c>
      <c r="F1184" s="2" t="s">
        <v>270</v>
      </c>
      <c r="G1184" s="12" t="s">
        <v>62</v>
      </c>
      <c r="H1184" s="2">
        <v>60351000</v>
      </c>
      <c r="I1184" s="8">
        <v>10</v>
      </c>
    </row>
    <row r="1185" spans="2:9" x14ac:dyDescent="0.25">
      <c r="B1185" s="8">
        <f>1000000+INDEX(编号表!$B:$B,MATCH(C1185,编号表!$A:$A,0))*1000+INDEX(编号表!$D:$D,MATCH(D1185,编号表!$C:$C,0))*100+E1185</f>
        <v>1036310</v>
      </c>
      <c r="C1185" s="2" t="s">
        <v>274</v>
      </c>
      <c r="D1185" s="8" t="s">
        <v>63</v>
      </c>
      <c r="E1185" s="8">
        <f t="shared" si="35"/>
        <v>10</v>
      </c>
      <c r="F1185" s="2" t="s">
        <v>271</v>
      </c>
      <c r="G1185" s="12" t="s">
        <v>62</v>
      </c>
      <c r="H1185" s="2">
        <v>60351001</v>
      </c>
      <c r="I1185" s="8">
        <v>10</v>
      </c>
    </row>
    <row r="1186" spans="2:9" x14ac:dyDescent="0.25">
      <c r="B1186" s="8">
        <f>1000000+INDEX(编号表!$B:$B,MATCH(C1186,编号表!$A:$A,0))*1000+INDEX(编号表!$D:$D,MATCH(D1186,编号表!$C:$C,0))*100+E1186</f>
        <v>1036410</v>
      </c>
      <c r="C1186" s="2" t="s">
        <v>274</v>
      </c>
      <c r="D1186" s="8" t="s">
        <v>65</v>
      </c>
      <c r="E1186" s="8">
        <f t="shared" si="35"/>
        <v>10</v>
      </c>
      <c r="F1186" s="2" t="s">
        <v>272</v>
      </c>
      <c r="G1186" s="12" t="s">
        <v>62</v>
      </c>
      <c r="H1186" s="2">
        <v>60351002</v>
      </c>
      <c r="I1186" s="8">
        <v>10</v>
      </c>
    </row>
    <row r="1187" spans="2:9" x14ac:dyDescent="0.25">
      <c r="B1187" s="8">
        <f>1000000+INDEX(编号表!$B:$B,MATCH(C1187,编号表!$A:$A,0))*1000+INDEX(编号表!$D:$D,MATCH(D1187,编号表!$C:$C,0))*100+E1187</f>
        <v>1036510</v>
      </c>
      <c r="C1187" s="2" t="s">
        <v>274</v>
      </c>
      <c r="D1187" s="8" t="s">
        <v>67</v>
      </c>
      <c r="E1187" s="8">
        <f t="shared" si="35"/>
        <v>10</v>
      </c>
      <c r="F1187" s="2" t="s">
        <v>275</v>
      </c>
      <c r="G1187" s="12" t="s">
        <v>62</v>
      </c>
      <c r="H1187" s="2">
        <v>60351003</v>
      </c>
      <c r="I1187" s="8">
        <v>10</v>
      </c>
    </row>
    <row r="1188" spans="2:9" x14ac:dyDescent="0.25">
      <c r="B1188" s="8">
        <f>1000000+INDEX(编号表!$B:$B,MATCH(C1188,编号表!$A:$A,0))*1000+INDEX(编号表!$D:$D,MATCH(D1188,编号表!$C:$C,0))*100+E1188</f>
        <v>1036610</v>
      </c>
      <c r="C1188" s="2" t="s">
        <v>274</v>
      </c>
      <c r="D1188" s="8" t="s">
        <v>69</v>
      </c>
      <c r="E1188" s="8">
        <f t="shared" si="35"/>
        <v>10</v>
      </c>
      <c r="F1188" s="2" t="s">
        <v>273</v>
      </c>
      <c r="G1188" s="12" t="s">
        <v>62</v>
      </c>
      <c r="H1188" s="2">
        <v>60351004</v>
      </c>
      <c r="I1188" s="8">
        <v>10</v>
      </c>
    </row>
    <row r="1189" spans="2:9" x14ac:dyDescent="0.25">
      <c r="B1189" s="8">
        <f>1000000+INDEX(编号表!$B:$B,MATCH(C1189,编号表!$A:$A,0))*1000+INDEX(编号表!$D:$D,MATCH(D1189,编号表!$C:$C,0))*100+E1189</f>
        <v>1036215</v>
      </c>
      <c r="C1189" s="2" t="s">
        <v>274</v>
      </c>
      <c r="D1189" s="8" t="s">
        <v>60</v>
      </c>
      <c r="E1189" s="8">
        <f t="shared" si="35"/>
        <v>15</v>
      </c>
      <c r="F1189" s="2" t="s">
        <v>270</v>
      </c>
      <c r="G1189" s="12" t="s">
        <v>62</v>
      </c>
      <c r="H1189" s="2">
        <v>60351000</v>
      </c>
      <c r="I1189" s="8">
        <v>15</v>
      </c>
    </row>
    <row r="1190" spans="2:9" x14ac:dyDescent="0.25">
      <c r="B1190" s="8">
        <f>1000000+INDEX(编号表!$B:$B,MATCH(C1190,编号表!$A:$A,0))*1000+INDEX(编号表!$D:$D,MATCH(D1190,编号表!$C:$C,0))*100+E1190</f>
        <v>1036315</v>
      </c>
      <c r="C1190" s="2" t="s">
        <v>274</v>
      </c>
      <c r="D1190" s="8" t="s">
        <v>63</v>
      </c>
      <c r="E1190" s="8">
        <f t="shared" si="35"/>
        <v>15</v>
      </c>
      <c r="F1190" s="2" t="s">
        <v>271</v>
      </c>
      <c r="G1190" s="12" t="s">
        <v>62</v>
      </c>
      <c r="H1190" s="2">
        <v>60351001</v>
      </c>
      <c r="I1190" s="8">
        <v>15</v>
      </c>
    </row>
    <row r="1191" spans="2:9" x14ac:dyDescent="0.25">
      <c r="B1191" s="8">
        <f>1000000+INDEX(编号表!$B:$B,MATCH(C1191,编号表!$A:$A,0))*1000+INDEX(编号表!$D:$D,MATCH(D1191,编号表!$C:$C,0))*100+E1191</f>
        <v>1036415</v>
      </c>
      <c r="C1191" s="2" t="s">
        <v>274</v>
      </c>
      <c r="D1191" s="8" t="s">
        <v>65</v>
      </c>
      <c r="E1191" s="8">
        <f t="shared" si="35"/>
        <v>15</v>
      </c>
      <c r="F1191" s="2" t="s">
        <v>272</v>
      </c>
      <c r="G1191" s="12" t="s">
        <v>62</v>
      </c>
      <c r="H1191" s="2">
        <v>60351002</v>
      </c>
      <c r="I1191" s="8">
        <v>15</v>
      </c>
    </row>
    <row r="1192" spans="2:9" x14ac:dyDescent="0.25">
      <c r="B1192" s="8">
        <f>1000000+INDEX(编号表!$B:$B,MATCH(C1192,编号表!$A:$A,0))*1000+INDEX(编号表!$D:$D,MATCH(D1192,编号表!$C:$C,0))*100+E1192</f>
        <v>1036515</v>
      </c>
      <c r="C1192" s="2" t="s">
        <v>274</v>
      </c>
      <c r="D1192" s="8" t="s">
        <v>67</v>
      </c>
      <c r="E1192" s="8">
        <f t="shared" si="35"/>
        <v>15</v>
      </c>
      <c r="F1192" s="2" t="s">
        <v>275</v>
      </c>
      <c r="G1192" s="12" t="s">
        <v>62</v>
      </c>
      <c r="H1192" s="2">
        <v>60351003</v>
      </c>
      <c r="I1192" s="8">
        <v>15</v>
      </c>
    </row>
    <row r="1193" spans="2:9" x14ac:dyDescent="0.25">
      <c r="B1193" s="8">
        <f>1000000+INDEX(编号表!$B:$B,MATCH(C1193,编号表!$A:$A,0))*1000+INDEX(编号表!$D:$D,MATCH(D1193,编号表!$C:$C,0))*100+E1193</f>
        <v>1036615</v>
      </c>
      <c r="C1193" s="2" t="s">
        <v>274</v>
      </c>
      <c r="D1193" s="8" t="s">
        <v>69</v>
      </c>
      <c r="E1193" s="8">
        <f t="shared" si="35"/>
        <v>15</v>
      </c>
      <c r="F1193" s="2" t="s">
        <v>273</v>
      </c>
      <c r="G1193" s="12" t="s">
        <v>62</v>
      </c>
      <c r="H1193" s="2">
        <v>60351004</v>
      </c>
      <c r="I1193" s="8">
        <v>15</v>
      </c>
    </row>
    <row r="1194" spans="2:9" x14ac:dyDescent="0.25">
      <c r="B1194" s="8">
        <f>1000000+INDEX(编号表!$B:$B,MATCH(C1194,编号表!$A:$A,0))*1000+INDEX(编号表!$D:$D,MATCH(D1194,编号表!$C:$C,0))*100+E1194</f>
        <v>1037001</v>
      </c>
      <c r="C1194" s="2" t="s">
        <v>276</v>
      </c>
      <c r="D1194" s="8" t="s">
        <v>55</v>
      </c>
      <c r="E1194" s="8">
        <v>1</v>
      </c>
      <c r="F1194" s="11" t="s">
        <v>56</v>
      </c>
      <c r="G1194" s="12" t="s">
        <v>57</v>
      </c>
      <c r="H1194" s="8">
        <v>60364000</v>
      </c>
      <c r="I1194" s="8">
        <v>1</v>
      </c>
    </row>
    <row r="1195" spans="2:9" x14ac:dyDescent="0.25">
      <c r="B1195" s="8">
        <f>1000000+INDEX(编号表!$B:$B,MATCH(C1195,编号表!$A:$A,0))*1000+INDEX(编号表!$D:$D,MATCH(D1195,编号表!$C:$C,0))*100+E1195</f>
        <v>1037101</v>
      </c>
      <c r="C1195" s="2" t="s">
        <v>276</v>
      </c>
      <c r="D1195" s="8" t="s">
        <v>58</v>
      </c>
      <c r="E1195" s="8">
        <v>1</v>
      </c>
      <c r="F1195" s="11" t="s">
        <v>59</v>
      </c>
      <c r="G1195" s="12" t="s">
        <v>57</v>
      </c>
      <c r="H1195" s="2">
        <v>60362000</v>
      </c>
      <c r="I1195" s="8">
        <v>1</v>
      </c>
    </row>
    <row r="1196" spans="2:9" x14ac:dyDescent="0.25">
      <c r="B1196" s="8">
        <f>1000000+INDEX(编号表!$B:$B,MATCH(C1196,编号表!$A:$A,0))*1000+INDEX(编号表!$D:$D,MATCH(D1196,编号表!$C:$C,0))*100+E1196</f>
        <v>1037201</v>
      </c>
      <c r="C1196" s="2" t="s">
        <v>276</v>
      </c>
      <c r="D1196" s="8" t="s">
        <v>60</v>
      </c>
      <c r="E1196" s="8">
        <f t="shared" ref="E1196:E1225" si="36">I1196+K1196+M1196+O1196+Q1196+S1196+U1196+W1196+Y1196+AA1196</f>
        <v>1</v>
      </c>
      <c r="F1196" s="2" t="s">
        <v>270</v>
      </c>
      <c r="G1196" s="12" t="s">
        <v>62</v>
      </c>
      <c r="H1196" s="2">
        <v>60361000</v>
      </c>
      <c r="I1196" s="8">
        <v>1</v>
      </c>
    </row>
    <row r="1197" spans="2:9" x14ac:dyDescent="0.25">
      <c r="B1197" s="8">
        <f>1000000+INDEX(编号表!$B:$B,MATCH(C1197,编号表!$A:$A,0))*1000+INDEX(编号表!$D:$D,MATCH(D1197,编号表!$C:$C,0))*100+E1197</f>
        <v>1037301</v>
      </c>
      <c r="C1197" s="2" t="s">
        <v>276</v>
      </c>
      <c r="D1197" s="8" t="s">
        <v>63</v>
      </c>
      <c r="E1197" s="8">
        <f t="shared" si="36"/>
        <v>1</v>
      </c>
      <c r="F1197" s="2" t="s">
        <v>271</v>
      </c>
      <c r="G1197" s="12" t="s">
        <v>62</v>
      </c>
      <c r="H1197" s="2">
        <v>60361001</v>
      </c>
      <c r="I1197" s="8">
        <v>1</v>
      </c>
    </row>
    <row r="1198" spans="2:9" x14ac:dyDescent="0.25">
      <c r="B1198" s="8">
        <f>1000000+INDEX(编号表!$B:$B,MATCH(C1198,编号表!$A:$A,0))*1000+INDEX(编号表!$D:$D,MATCH(D1198,编号表!$C:$C,0))*100+E1198</f>
        <v>1037401</v>
      </c>
      <c r="C1198" s="2" t="s">
        <v>276</v>
      </c>
      <c r="D1198" s="8" t="s">
        <v>65</v>
      </c>
      <c r="E1198" s="8">
        <f t="shared" si="36"/>
        <v>1</v>
      </c>
      <c r="F1198" s="2" t="s">
        <v>272</v>
      </c>
      <c r="G1198" s="12" t="s">
        <v>62</v>
      </c>
      <c r="H1198" s="2">
        <v>60361002</v>
      </c>
      <c r="I1198" s="8">
        <v>1</v>
      </c>
    </row>
    <row r="1199" spans="2:9" x14ac:dyDescent="0.25">
      <c r="B1199" s="8">
        <f>1000000+INDEX(编号表!$B:$B,MATCH(C1199,编号表!$A:$A,0))*1000+INDEX(编号表!$D:$D,MATCH(D1199,编号表!$C:$C,0))*100+E1199</f>
        <v>1037501</v>
      </c>
      <c r="C1199" s="2" t="s">
        <v>276</v>
      </c>
      <c r="D1199" s="8" t="s">
        <v>67</v>
      </c>
      <c r="E1199" s="8">
        <f t="shared" si="36"/>
        <v>1</v>
      </c>
      <c r="F1199" s="2" t="s">
        <v>275</v>
      </c>
      <c r="G1199" s="12" t="s">
        <v>62</v>
      </c>
      <c r="H1199" s="2">
        <v>60361003</v>
      </c>
      <c r="I1199" s="8">
        <v>1</v>
      </c>
    </row>
    <row r="1200" spans="2:9" x14ac:dyDescent="0.25">
      <c r="B1200" s="8">
        <f>1000000+INDEX(编号表!$B:$B,MATCH(C1200,编号表!$A:$A,0))*1000+INDEX(编号表!$D:$D,MATCH(D1200,编号表!$C:$C,0))*100+E1200</f>
        <v>1037601</v>
      </c>
      <c r="C1200" s="2" t="s">
        <v>276</v>
      </c>
      <c r="D1200" s="8" t="s">
        <v>69</v>
      </c>
      <c r="E1200" s="8">
        <f t="shared" si="36"/>
        <v>1</v>
      </c>
      <c r="F1200" s="2" t="s">
        <v>273</v>
      </c>
      <c r="G1200" s="12" t="s">
        <v>62</v>
      </c>
      <c r="H1200" s="2">
        <v>60361004</v>
      </c>
      <c r="I1200" s="8">
        <v>1</v>
      </c>
    </row>
    <row r="1201" spans="2:9" x14ac:dyDescent="0.25">
      <c r="B1201" s="8">
        <f>1000000+INDEX(编号表!$B:$B,MATCH(C1201,编号表!$A:$A,0))*1000+INDEX(编号表!$D:$D,MATCH(D1201,编号表!$C:$C,0))*100+E1201</f>
        <v>1037202</v>
      </c>
      <c r="C1201" s="2" t="s">
        <v>276</v>
      </c>
      <c r="D1201" s="8" t="s">
        <v>60</v>
      </c>
      <c r="E1201" s="8">
        <f t="shared" si="36"/>
        <v>2</v>
      </c>
      <c r="F1201" s="2" t="s">
        <v>270</v>
      </c>
      <c r="G1201" s="12" t="s">
        <v>62</v>
      </c>
      <c r="H1201" s="2">
        <v>60361000</v>
      </c>
      <c r="I1201" s="8">
        <v>2</v>
      </c>
    </row>
    <row r="1202" spans="2:9" x14ac:dyDescent="0.25">
      <c r="B1202" s="8">
        <f>1000000+INDEX(编号表!$B:$B,MATCH(C1202,编号表!$A:$A,0))*1000+INDEX(编号表!$D:$D,MATCH(D1202,编号表!$C:$C,0))*100+E1202</f>
        <v>1037302</v>
      </c>
      <c r="C1202" s="2" t="s">
        <v>276</v>
      </c>
      <c r="D1202" s="8" t="s">
        <v>63</v>
      </c>
      <c r="E1202" s="8">
        <f t="shared" si="36"/>
        <v>2</v>
      </c>
      <c r="F1202" s="2" t="s">
        <v>271</v>
      </c>
      <c r="G1202" s="12" t="s">
        <v>62</v>
      </c>
      <c r="H1202" s="2">
        <v>60361001</v>
      </c>
      <c r="I1202" s="8">
        <v>2</v>
      </c>
    </row>
    <row r="1203" spans="2:9" x14ac:dyDescent="0.25">
      <c r="B1203" s="8">
        <f>1000000+INDEX(编号表!$B:$B,MATCH(C1203,编号表!$A:$A,0))*1000+INDEX(编号表!$D:$D,MATCH(D1203,编号表!$C:$C,0))*100+E1203</f>
        <v>1037402</v>
      </c>
      <c r="C1203" s="2" t="s">
        <v>276</v>
      </c>
      <c r="D1203" s="8" t="s">
        <v>65</v>
      </c>
      <c r="E1203" s="8">
        <f t="shared" si="36"/>
        <v>2</v>
      </c>
      <c r="F1203" s="2" t="s">
        <v>272</v>
      </c>
      <c r="G1203" s="12" t="s">
        <v>62</v>
      </c>
      <c r="H1203" s="2">
        <v>60361002</v>
      </c>
      <c r="I1203" s="8">
        <v>2</v>
      </c>
    </row>
    <row r="1204" spans="2:9" x14ac:dyDescent="0.25">
      <c r="B1204" s="8">
        <f>1000000+INDEX(编号表!$B:$B,MATCH(C1204,编号表!$A:$A,0))*1000+INDEX(编号表!$D:$D,MATCH(D1204,编号表!$C:$C,0))*100+E1204</f>
        <v>1037502</v>
      </c>
      <c r="C1204" s="2" t="s">
        <v>276</v>
      </c>
      <c r="D1204" s="8" t="s">
        <v>67</v>
      </c>
      <c r="E1204" s="8">
        <f t="shared" si="36"/>
        <v>2</v>
      </c>
      <c r="F1204" s="2" t="s">
        <v>275</v>
      </c>
      <c r="G1204" s="12" t="s">
        <v>62</v>
      </c>
      <c r="H1204" s="2">
        <v>60361003</v>
      </c>
      <c r="I1204" s="8">
        <v>2</v>
      </c>
    </row>
    <row r="1205" spans="2:9" x14ac:dyDescent="0.25">
      <c r="B1205" s="8">
        <f>1000000+INDEX(编号表!$B:$B,MATCH(C1205,编号表!$A:$A,0))*1000+INDEX(编号表!$D:$D,MATCH(D1205,编号表!$C:$C,0))*100+E1205</f>
        <v>1037602</v>
      </c>
      <c r="C1205" s="2" t="s">
        <v>276</v>
      </c>
      <c r="D1205" s="8" t="s">
        <v>69</v>
      </c>
      <c r="E1205" s="8">
        <f t="shared" si="36"/>
        <v>2</v>
      </c>
      <c r="F1205" s="2" t="s">
        <v>273</v>
      </c>
      <c r="G1205" s="12" t="s">
        <v>62</v>
      </c>
      <c r="H1205" s="2">
        <v>60361004</v>
      </c>
      <c r="I1205" s="8">
        <v>2</v>
      </c>
    </row>
    <row r="1206" spans="2:9" x14ac:dyDescent="0.25">
      <c r="B1206" s="8">
        <f>1000000+INDEX(编号表!$B:$B,MATCH(C1206,编号表!$A:$A,0))*1000+INDEX(编号表!$D:$D,MATCH(D1206,编号表!$C:$C,0))*100+E1206</f>
        <v>1037203</v>
      </c>
      <c r="C1206" s="2" t="s">
        <v>276</v>
      </c>
      <c r="D1206" s="8" t="s">
        <v>60</v>
      </c>
      <c r="E1206" s="8">
        <f t="shared" si="36"/>
        <v>3</v>
      </c>
      <c r="F1206" s="2" t="s">
        <v>270</v>
      </c>
      <c r="G1206" s="12" t="s">
        <v>62</v>
      </c>
      <c r="H1206" s="2">
        <v>60361000</v>
      </c>
      <c r="I1206" s="8">
        <v>3</v>
      </c>
    </row>
    <row r="1207" spans="2:9" x14ac:dyDescent="0.25">
      <c r="B1207" s="8">
        <f>1000000+INDEX(编号表!$B:$B,MATCH(C1207,编号表!$A:$A,0))*1000+INDEX(编号表!$D:$D,MATCH(D1207,编号表!$C:$C,0))*100+E1207</f>
        <v>1037303</v>
      </c>
      <c r="C1207" s="2" t="s">
        <v>276</v>
      </c>
      <c r="D1207" s="8" t="s">
        <v>63</v>
      </c>
      <c r="E1207" s="8">
        <f t="shared" si="36"/>
        <v>3</v>
      </c>
      <c r="F1207" s="2" t="s">
        <v>271</v>
      </c>
      <c r="G1207" s="12" t="s">
        <v>62</v>
      </c>
      <c r="H1207" s="2">
        <v>60361001</v>
      </c>
      <c r="I1207" s="8">
        <v>3</v>
      </c>
    </row>
    <row r="1208" spans="2:9" x14ac:dyDescent="0.25">
      <c r="B1208" s="8">
        <f>1000000+INDEX(编号表!$B:$B,MATCH(C1208,编号表!$A:$A,0))*1000+INDEX(编号表!$D:$D,MATCH(D1208,编号表!$C:$C,0))*100+E1208</f>
        <v>1037403</v>
      </c>
      <c r="C1208" s="2" t="s">
        <v>276</v>
      </c>
      <c r="D1208" s="8" t="s">
        <v>65</v>
      </c>
      <c r="E1208" s="8">
        <f t="shared" si="36"/>
        <v>3</v>
      </c>
      <c r="F1208" s="2" t="s">
        <v>272</v>
      </c>
      <c r="G1208" s="12" t="s">
        <v>62</v>
      </c>
      <c r="H1208" s="2">
        <v>60361002</v>
      </c>
      <c r="I1208" s="8">
        <v>3</v>
      </c>
    </row>
    <row r="1209" spans="2:9" x14ac:dyDescent="0.25">
      <c r="B1209" s="8">
        <f>1000000+INDEX(编号表!$B:$B,MATCH(C1209,编号表!$A:$A,0))*1000+INDEX(编号表!$D:$D,MATCH(D1209,编号表!$C:$C,0))*100+E1209</f>
        <v>1037503</v>
      </c>
      <c r="C1209" s="2" t="s">
        <v>276</v>
      </c>
      <c r="D1209" s="8" t="s">
        <v>67</v>
      </c>
      <c r="E1209" s="8">
        <f t="shared" si="36"/>
        <v>3</v>
      </c>
      <c r="F1209" s="2" t="s">
        <v>275</v>
      </c>
      <c r="G1209" s="12" t="s">
        <v>62</v>
      </c>
      <c r="H1209" s="2">
        <v>60361003</v>
      </c>
      <c r="I1209" s="8">
        <v>3</v>
      </c>
    </row>
    <row r="1210" spans="2:9" x14ac:dyDescent="0.25">
      <c r="B1210" s="8">
        <f>1000000+INDEX(编号表!$B:$B,MATCH(C1210,编号表!$A:$A,0))*1000+INDEX(编号表!$D:$D,MATCH(D1210,编号表!$C:$C,0))*100+E1210</f>
        <v>1037603</v>
      </c>
      <c r="C1210" s="2" t="s">
        <v>276</v>
      </c>
      <c r="D1210" s="8" t="s">
        <v>69</v>
      </c>
      <c r="E1210" s="8">
        <f t="shared" si="36"/>
        <v>3</v>
      </c>
      <c r="F1210" s="2" t="s">
        <v>273</v>
      </c>
      <c r="G1210" s="12" t="s">
        <v>62</v>
      </c>
      <c r="H1210" s="2">
        <v>60361004</v>
      </c>
      <c r="I1210" s="8">
        <v>3</v>
      </c>
    </row>
    <row r="1211" spans="2:9" x14ac:dyDescent="0.25">
      <c r="B1211" s="8">
        <f>1000000+INDEX(编号表!$B:$B,MATCH(C1211,编号表!$A:$A,0))*1000+INDEX(编号表!$D:$D,MATCH(D1211,编号表!$C:$C,0))*100+E1211</f>
        <v>1037205</v>
      </c>
      <c r="C1211" s="2" t="s">
        <v>276</v>
      </c>
      <c r="D1211" s="8" t="s">
        <v>60</v>
      </c>
      <c r="E1211" s="8">
        <f t="shared" si="36"/>
        <v>5</v>
      </c>
      <c r="F1211" s="2" t="s">
        <v>270</v>
      </c>
      <c r="G1211" s="12" t="s">
        <v>62</v>
      </c>
      <c r="H1211" s="2">
        <v>60361000</v>
      </c>
      <c r="I1211" s="8">
        <v>5</v>
      </c>
    </row>
    <row r="1212" spans="2:9" x14ac:dyDescent="0.25">
      <c r="B1212" s="8">
        <f>1000000+INDEX(编号表!$B:$B,MATCH(C1212,编号表!$A:$A,0))*1000+INDEX(编号表!$D:$D,MATCH(D1212,编号表!$C:$C,0))*100+E1212</f>
        <v>1037305</v>
      </c>
      <c r="C1212" s="2" t="s">
        <v>276</v>
      </c>
      <c r="D1212" s="8" t="s">
        <v>63</v>
      </c>
      <c r="E1212" s="8">
        <f t="shared" si="36"/>
        <v>5</v>
      </c>
      <c r="F1212" s="2" t="s">
        <v>271</v>
      </c>
      <c r="G1212" s="12" t="s">
        <v>62</v>
      </c>
      <c r="H1212" s="2">
        <v>60361001</v>
      </c>
      <c r="I1212" s="8">
        <v>5</v>
      </c>
    </row>
    <row r="1213" spans="2:9" x14ac:dyDescent="0.25">
      <c r="B1213" s="8">
        <f>1000000+INDEX(编号表!$B:$B,MATCH(C1213,编号表!$A:$A,0))*1000+INDEX(编号表!$D:$D,MATCH(D1213,编号表!$C:$C,0))*100+E1213</f>
        <v>1037405</v>
      </c>
      <c r="C1213" s="2" t="s">
        <v>276</v>
      </c>
      <c r="D1213" s="8" t="s">
        <v>65</v>
      </c>
      <c r="E1213" s="8">
        <f t="shared" si="36"/>
        <v>5</v>
      </c>
      <c r="F1213" s="2" t="s">
        <v>272</v>
      </c>
      <c r="G1213" s="12" t="s">
        <v>62</v>
      </c>
      <c r="H1213" s="2">
        <v>60361002</v>
      </c>
      <c r="I1213" s="8">
        <v>5</v>
      </c>
    </row>
    <row r="1214" spans="2:9" x14ac:dyDescent="0.25">
      <c r="B1214" s="8">
        <f>1000000+INDEX(编号表!$B:$B,MATCH(C1214,编号表!$A:$A,0))*1000+INDEX(编号表!$D:$D,MATCH(D1214,编号表!$C:$C,0))*100+E1214</f>
        <v>1037505</v>
      </c>
      <c r="C1214" s="2" t="s">
        <v>276</v>
      </c>
      <c r="D1214" s="8" t="s">
        <v>67</v>
      </c>
      <c r="E1214" s="8">
        <f t="shared" si="36"/>
        <v>5</v>
      </c>
      <c r="F1214" s="2" t="s">
        <v>275</v>
      </c>
      <c r="G1214" s="12" t="s">
        <v>62</v>
      </c>
      <c r="H1214" s="2">
        <v>60361003</v>
      </c>
      <c r="I1214" s="8">
        <v>5</v>
      </c>
    </row>
    <row r="1215" spans="2:9" x14ac:dyDescent="0.25">
      <c r="B1215" s="8">
        <f>1000000+INDEX(编号表!$B:$B,MATCH(C1215,编号表!$A:$A,0))*1000+INDEX(编号表!$D:$D,MATCH(D1215,编号表!$C:$C,0))*100+E1215</f>
        <v>1037605</v>
      </c>
      <c r="C1215" s="2" t="s">
        <v>276</v>
      </c>
      <c r="D1215" s="8" t="s">
        <v>69</v>
      </c>
      <c r="E1215" s="8">
        <f t="shared" si="36"/>
        <v>5</v>
      </c>
      <c r="F1215" s="2" t="s">
        <v>273</v>
      </c>
      <c r="G1215" s="12" t="s">
        <v>62</v>
      </c>
      <c r="H1215" s="2">
        <v>60361004</v>
      </c>
      <c r="I1215" s="8">
        <v>5</v>
      </c>
    </row>
    <row r="1216" spans="2:9" x14ac:dyDescent="0.25">
      <c r="B1216" s="8">
        <f>1000000+INDEX(编号表!$B:$B,MATCH(C1216,编号表!$A:$A,0))*1000+INDEX(编号表!$D:$D,MATCH(D1216,编号表!$C:$C,0))*100+E1216</f>
        <v>1037210</v>
      </c>
      <c r="C1216" s="2" t="s">
        <v>276</v>
      </c>
      <c r="D1216" s="8" t="s">
        <v>60</v>
      </c>
      <c r="E1216" s="8">
        <f t="shared" si="36"/>
        <v>10</v>
      </c>
      <c r="F1216" s="2" t="s">
        <v>270</v>
      </c>
      <c r="G1216" s="12" t="s">
        <v>62</v>
      </c>
      <c r="H1216" s="2">
        <v>60361000</v>
      </c>
      <c r="I1216" s="8">
        <v>10</v>
      </c>
    </row>
    <row r="1217" spans="2:9" x14ac:dyDescent="0.25">
      <c r="B1217" s="8">
        <f>1000000+INDEX(编号表!$B:$B,MATCH(C1217,编号表!$A:$A,0))*1000+INDEX(编号表!$D:$D,MATCH(D1217,编号表!$C:$C,0))*100+E1217</f>
        <v>1037310</v>
      </c>
      <c r="C1217" s="2" t="s">
        <v>276</v>
      </c>
      <c r="D1217" s="8" t="s">
        <v>63</v>
      </c>
      <c r="E1217" s="8">
        <f t="shared" si="36"/>
        <v>10</v>
      </c>
      <c r="F1217" s="2" t="s">
        <v>271</v>
      </c>
      <c r="G1217" s="12" t="s">
        <v>62</v>
      </c>
      <c r="H1217" s="2">
        <v>60361001</v>
      </c>
      <c r="I1217" s="8">
        <v>10</v>
      </c>
    </row>
    <row r="1218" spans="2:9" x14ac:dyDescent="0.25">
      <c r="B1218" s="8">
        <f>1000000+INDEX(编号表!$B:$B,MATCH(C1218,编号表!$A:$A,0))*1000+INDEX(编号表!$D:$D,MATCH(D1218,编号表!$C:$C,0))*100+E1218</f>
        <v>1037410</v>
      </c>
      <c r="C1218" s="2" t="s">
        <v>276</v>
      </c>
      <c r="D1218" s="8" t="s">
        <v>65</v>
      </c>
      <c r="E1218" s="8">
        <f t="shared" si="36"/>
        <v>10</v>
      </c>
      <c r="F1218" s="2" t="s">
        <v>272</v>
      </c>
      <c r="G1218" s="12" t="s">
        <v>62</v>
      </c>
      <c r="H1218" s="2">
        <v>60361002</v>
      </c>
      <c r="I1218" s="8">
        <v>10</v>
      </c>
    </row>
    <row r="1219" spans="2:9" x14ac:dyDescent="0.25">
      <c r="B1219" s="8">
        <f>1000000+INDEX(编号表!$B:$B,MATCH(C1219,编号表!$A:$A,0))*1000+INDEX(编号表!$D:$D,MATCH(D1219,编号表!$C:$C,0))*100+E1219</f>
        <v>1037510</v>
      </c>
      <c r="C1219" s="2" t="s">
        <v>276</v>
      </c>
      <c r="D1219" s="8" t="s">
        <v>67</v>
      </c>
      <c r="E1219" s="8">
        <f t="shared" si="36"/>
        <v>10</v>
      </c>
      <c r="F1219" s="2" t="s">
        <v>275</v>
      </c>
      <c r="G1219" s="12" t="s">
        <v>62</v>
      </c>
      <c r="H1219" s="2">
        <v>60361003</v>
      </c>
      <c r="I1219" s="8">
        <v>10</v>
      </c>
    </row>
    <row r="1220" spans="2:9" x14ac:dyDescent="0.25">
      <c r="B1220" s="8">
        <f>1000000+INDEX(编号表!$B:$B,MATCH(C1220,编号表!$A:$A,0))*1000+INDEX(编号表!$D:$D,MATCH(D1220,编号表!$C:$C,0))*100+E1220</f>
        <v>1037610</v>
      </c>
      <c r="C1220" s="2" t="s">
        <v>276</v>
      </c>
      <c r="D1220" s="8" t="s">
        <v>69</v>
      </c>
      <c r="E1220" s="8">
        <f t="shared" si="36"/>
        <v>10</v>
      </c>
      <c r="F1220" s="2" t="s">
        <v>273</v>
      </c>
      <c r="G1220" s="12" t="s">
        <v>62</v>
      </c>
      <c r="H1220" s="2">
        <v>60361004</v>
      </c>
      <c r="I1220" s="8">
        <v>10</v>
      </c>
    </row>
    <row r="1221" spans="2:9" x14ac:dyDescent="0.25">
      <c r="B1221" s="8">
        <f>1000000+INDEX(编号表!$B:$B,MATCH(C1221,编号表!$A:$A,0))*1000+INDEX(编号表!$D:$D,MATCH(D1221,编号表!$C:$C,0))*100+E1221</f>
        <v>1037215</v>
      </c>
      <c r="C1221" s="2" t="s">
        <v>276</v>
      </c>
      <c r="D1221" s="8" t="s">
        <v>60</v>
      </c>
      <c r="E1221" s="8">
        <f t="shared" si="36"/>
        <v>15</v>
      </c>
      <c r="F1221" s="2" t="s">
        <v>270</v>
      </c>
      <c r="G1221" s="12" t="s">
        <v>62</v>
      </c>
      <c r="H1221" s="2">
        <v>60361000</v>
      </c>
      <c r="I1221" s="8">
        <v>15</v>
      </c>
    </row>
    <row r="1222" spans="2:9" x14ac:dyDescent="0.25">
      <c r="B1222" s="8">
        <f>1000000+INDEX(编号表!$B:$B,MATCH(C1222,编号表!$A:$A,0))*1000+INDEX(编号表!$D:$D,MATCH(D1222,编号表!$C:$C,0))*100+E1222</f>
        <v>1037315</v>
      </c>
      <c r="C1222" s="2" t="s">
        <v>276</v>
      </c>
      <c r="D1222" s="8" t="s">
        <v>63</v>
      </c>
      <c r="E1222" s="8">
        <f t="shared" si="36"/>
        <v>15</v>
      </c>
      <c r="F1222" s="2" t="s">
        <v>271</v>
      </c>
      <c r="G1222" s="12" t="s">
        <v>62</v>
      </c>
      <c r="H1222" s="2">
        <v>60361001</v>
      </c>
      <c r="I1222" s="8">
        <v>15</v>
      </c>
    </row>
    <row r="1223" spans="2:9" x14ac:dyDescent="0.25">
      <c r="B1223" s="8">
        <f>1000000+INDEX(编号表!$B:$B,MATCH(C1223,编号表!$A:$A,0))*1000+INDEX(编号表!$D:$D,MATCH(D1223,编号表!$C:$C,0))*100+E1223</f>
        <v>1037415</v>
      </c>
      <c r="C1223" s="2" t="s">
        <v>276</v>
      </c>
      <c r="D1223" s="8" t="s">
        <v>65</v>
      </c>
      <c r="E1223" s="8">
        <f t="shared" si="36"/>
        <v>15</v>
      </c>
      <c r="F1223" s="2" t="s">
        <v>272</v>
      </c>
      <c r="G1223" s="12" t="s">
        <v>62</v>
      </c>
      <c r="H1223" s="2">
        <v>60361002</v>
      </c>
      <c r="I1223" s="8">
        <v>15</v>
      </c>
    </row>
    <row r="1224" spans="2:9" x14ac:dyDescent="0.25">
      <c r="B1224" s="8">
        <f>1000000+INDEX(编号表!$B:$B,MATCH(C1224,编号表!$A:$A,0))*1000+INDEX(编号表!$D:$D,MATCH(D1224,编号表!$C:$C,0))*100+E1224</f>
        <v>1037515</v>
      </c>
      <c r="C1224" s="2" t="s">
        <v>276</v>
      </c>
      <c r="D1224" s="8" t="s">
        <v>67</v>
      </c>
      <c r="E1224" s="8">
        <f t="shared" si="36"/>
        <v>15</v>
      </c>
      <c r="F1224" s="2" t="s">
        <v>275</v>
      </c>
      <c r="G1224" s="12" t="s">
        <v>62</v>
      </c>
      <c r="H1224" s="2">
        <v>60361003</v>
      </c>
      <c r="I1224" s="8">
        <v>15</v>
      </c>
    </row>
    <row r="1225" spans="2:9" x14ac:dyDescent="0.25">
      <c r="B1225" s="8">
        <f>1000000+INDEX(编号表!$B:$B,MATCH(C1225,编号表!$A:$A,0))*1000+INDEX(编号表!$D:$D,MATCH(D1225,编号表!$C:$C,0))*100+E1225</f>
        <v>1037615</v>
      </c>
      <c r="C1225" s="2" t="s">
        <v>276</v>
      </c>
      <c r="D1225" s="8" t="s">
        <v>69</v>
      </c>
      <c r="E1225" s="8">
        <f t="shared" si="36"/>
        <v>15</v>
      </c>
      <c r="F1225" s="2" t="s">
        <v>273</v>
      </c>
      <c r="G1225" s="12" t="s">
        <v>62</v>
      </c>
      <c r="H1225" s="2">
        <v>60361004</v>
      </c>
      <c r="I1225" s="8">
        <v>15</v>
      </c>
    </row>
    <row r="1226" spans="2:9" x14ac:dyDescent="0.25">
      <c r="B1226" s="8">
        <f>1000000+INDEX(编号表!$B:$B,MATCH(C1226,编号表!$A:$A,0))*1000+INDEX(编号表!$D:$D,MATCH(D1226,编号表!$C:$C,0))*100+E1226</f>
        <v>1038001</v>
      </c>
      <c r="C1226" s="2" t="s">
        <v>277</v>
      </c>
      <c r="D1226" s="8" t="s">
        <v>55</v>
      </c>
      <c r="E1226" s="8">
        <v>1</v>
      </c>
      <c r="F1226" s="11" t="s">
        <v>56</v>
      </c>
      <c r="G1226" s="12" t="s">
        <v>57</v>
      </c>
      <c r="H1226" s="8">
        <v>60374000</v>
      </c>
      <c r="I1226" s="8">
        <v>1</v>
      </c>
    </row>
    <row r="1227" spans="2:9" x14ac:dyDescent="0.25">
      <c r="B1227" s="8">
        <f>1000000+INDEX(编号表!$B:$B,MATCH(C1227,编号表!$A:$A,0))*1000+INDEX(编号表!$D:$D,MATCH(D1227,编号表!$C:$C,0))*100+E1227</f>
        <v>1038101</v>
      </c>
      <c r="C1227" s="2" t="s">
        <v>277</v>
      </c>
      <c r="D1227" s="8" t="s">
        <v>58</v>
      </c>
      <c r="E1227" s="8">
        <v>1</v>
      </c>
      <c r="F1227" s="11" t="s">
        <v>59</v>
      </c>
      <c r="G1227" s="12" t="s">
        <v>57</v>
      </c>
      <c r="H1227" s="2">
        <v>60372000</v>
      </c>
      <c r="I1227" s="8">
        <v>1</v>
      </c>
    </row>
    <row r="1228" spans="2:9" x14ac:dyDescent="0.25">
      <c r="B1228" s="8">
        <f>1000000+INDEX(编号表!$B:$B,MATCH(C1228,编号表!$A:$A,0))*1000+INDEX(编号表!$D:$D,MATCH(D1228,编号表!$C:$C,0))*100+E1228</f>
        <v>1038201</v>
      </c>
      <c r="C1228" s="2" t="s">
        <v>277</v>
      </c>
      <c r="D1228" s="8" t="s">
        <v>60</v>
      </c>
      <c r="E1228" s="8">
        <f t="shared" ref="E1228:E1257" si="37">I1228+K1228+M1228+O1228+Q1228+S1228+U1228+W1228+Y1228+AA1228</f>
        <v>1</v>
      </c>
      <c r="F1228" s="2" t="s">
        <v>270</v>
      </c>
      <c r="G1228" s="12" t="s">
        <v>62</v>
      </c>
      <c r="H1228" s="2">
        <v>60371000</v>
      </c>
      <c r="I1228" s="8">
        <v>1</v>
      </c>
    </row>
    <row r="1229" spans="2:9" x14ac:dyDescent="0.25">
      <c r="B1229" s="8">
        <f>1000000+INDEX(编号表!$B:$B,MATCH(C1229,编号表!$A:$A,0))*1000+INDEX(编号表!$D:$D,MATCH(D1229,编号表!$C:$C,0))*100+E1229</f>
        <v>1038301</v>
      </c>
      <c r="C1229" s="2" t="s">
        <v>277</v>
      </c>
      <c r="D1229" s="8" t="s">
        <v>63</v>
      </c>
      <c r="E1229" s="8">
        <f t="shared" si="37"/>
        <v>1</v>
      </c>
      <c r="F1229" s="2" t="s">
        <v>271</v>
      </c>
      <c r="G1229" s="12" t="s">
        <v>62</v>
      </c>
      <c r="H1229" s="2">
        <v>60371001</v>
      </c>
      <c r="I1229" s="8">
        <v>1</v>
      </c>
    </row>
    <row r="1230" spans="2:9" x14ac:dyDescent="0.25">
      <c r="B1230" s="8">
        <f>1000000+INDEX(编号表!$B:$B,MATCH(C1230,编号表!$A:$A,0))*1000+INDEX(编号表!$D:$D,MATCH(D1230,编号表!$C:$C,0))*100+E1230</f>
        <v>1038401</v>
      </c>
      <c r="C1230" s="2" t="s">
        <v>277</v>
      </c>
      <c r="D1230" s="8" t="s">
        <v>65</v>
      </c>
      <c r="E1230" s="8">
        <f t="shared" si="37"/>
        <v>1</v>
      </c>
      <c r="F1230" s="2" t="s">
        <v>272</v>
      </c>
      <c r="G1230" s="12" t="s">
        <v>62</v>
      </c>
      <c r="H1230" s="2">
        <v>60371002</v>
      </c>
      <c r="I1230" s="8">
        <v>1</v>
      </c>
    </row>
    <row r="1231" spans="2:9" x14ac:dyDescent="0.25">
      <c r="B1231" s="8">
        <f>1000000+INDEX(编号表!$B:$B,MATCH(C1231,编号表!$A:$A,0))*1000+INDEX(编号表!$D:$D,MATCH(D1231,编号表!$C:$C,0))*100+E1231</f>
        <v>1038501</v>
      </c>
      <c r="C1231" s="2" t="s">
        <v>277</v>
      </c>
      <c r="D1231" s="8" t="s">
        <v>67</v>
      </c>
      <c r="E1231" s="8">
        <f t="shared" si="37"/>
        <v>1</v>
      </c>
      <c r="F1231" s="2" t="s">
        <v>275</v>
      </c>
      <c r="G1231" s="12" t="s">
        <v>62</v>
      </c>
      <c r="H1231" s="2">
        <v>60371003</v>
      </c>
      <c r="I1231" s="8">
        <v>1</v>
      </c>
    </row>
    <row r="1232" spans="2:9" x14ac:dyDescent="0.25">
      <c r="B1232" s="8">
        <f>1000000+INDEX(编号表!$B:$B,MATCH(C1232,编号表!$A:$A,0))*1000+INDEX(编号表!$D:$D,MATCH(D1232,编号表!$C:$C,0))*100+E1232</f>
        <v>1038601</v>
      </c>
      <c r="C1232" s="2" t="s">
        <v>277</v>
      </c>
      <c r="D1232" s="8" t="s">
        <v>69</v>
      </c>
      <c r="E1232" s="8">
        <f t="shared" si="37"/>
        <v>1</v>
      </c>
      <c r="F1232" s="2" t="s">
        <v>273</v>
      </c>
      <c r="G1232" s="12" t="s">
        <v>62</v>
      </c>
      <c r="H1232" s="2">
        <v>60371004</v>
      </c>
      <c r="I1232" s="8">
        <v>1</v>
      </c>
    </row>
    <row r="1233" spans="2:9" x14ac:dyDescent="0.25">
      <c r="B1233" s="8">
        <f>1000000+INDEX(编号表!$B:$B,MATCH(C1233,编号表!$A:$A,0))*1000+INDEX(编号表!$D:$D,MATCH(D1233,编号表!$C:$C,0))*100+E1233</f>
        <v>1038202</v>
      </c>
      <c r="C1233" s="2" t="s">
        <v>277</v>
      </c>
      <c r="D1233" s="8" t="s">
        <v>60</v>
      </c>
      <c r="E1233" s="8">
        <f t="shared" si="37"/>
        <v>2</v>
      </c>
      <c r="F1233" s="2" t="s">
        <v>270</v>
      </c>
      <c r="G1233" s="12" t="s">
        <v>62</v>
      </c>
      <c r="H1233" s="2">
        <v>60371000</v>
      </c>
      <c r="I1233" s="8">
        <v>2</v>
      </c>
    </row>
    <row r="1234" spans="2:9" x14ac:dyDescent="0.25">
      <c r="B1234" s="8">
        <f>1000000+INDEX(编号表!$B:$B,MATCH(C1234,编号表!$A:$A,0))*1000+INDEX(编号表!$D:$D,MATCH(D1234,编号表!$C:$C,0))*100+E1234</f>
        <v>1038302</v>
      </c>
      <c r="C1234" s="2" t="s">
        <v>277</v>
      </c>
      <c r="D1234" s="8" t="s">
        <v>63</v>
      </c>
      <c r="E1234" s="8">
        <f t="shared" si="37"/>
        <v>2</v>
      </c>
      <c r="F1234" s="2" t="s">
        <v>271</v>
      </c>
      <c r="G1234" s="12" t="s">
        <v>62</v>
      </c>
      <c r="H1234" s="2">
        <v>60371001</v>
      </c>
      <c r="I1234" s="8">
        <v>2</v>
      </c>
    </row>
    <row r="1235" spans="2:9" x14ac:dyDescent="0.25">
      <c r="B1235" s="8">
        <f>1000000+INDEX(编号表!$B:$B,MATCH(C1235,编号表!$A:$A,0))*1000+INDEX(编号表!$D:$D,MATCH(D1235,编号表!$C:$C,0))*100+E1235</f>
        <v>1038402</v>
      </c>
      <c r="C1235" s="2" t="s">
        <v>277</v>
      </c>
      <c r="D1235" s="8" t="s">
        <v>65</v>
      </c>
      <c r="E1235" s="8">
        <f t="shared" si="37"/>
        <v>2</v>
      </c>
      <c r="F1235" s="2" t="s">
        <v>272</v>
      </c>
      <c r="G1235" s="12" t="s">
        <v>62</v>
      </c>
      <c r="H1235" s="2">
        <v>60371002</v>
      </c>
      <c r="I1235" s="8">
        <v>2</v>
      </c>
    </row>
    <row r="1236" spans="2:9" x14ac:dyDescent="0.25">
      <c r="B1236" s="8">
        <f>1000000+INDEX(编号表!$B:$B,MATCH(C1236,编号表!$A:$A,0))*1000+INDEX(编号表!$D:$D,MATCH(D1236,编号表!$C:$C,0))*100+E1236</f>
        <v>1038502</v>
      </c>
      <c r="C1236" s="2" t="s">
        <v>277</v>
      </c>
      <c r="D1236" s="8" t="s">
        <v>67</v>
      </c>
      <c r="E1236" s="8">
        <f t="shared" si="37"/>
        <v>2</v>
      </c>
      <c r="F1236" s="2" t="s">
        <v>275</v>
      </c>
      <c r="G1236" s="12" t="s">
        <v>62</v>
      </c>
      <c r="H1236" s="2">
        <v>60371003</v>
      </c>
      <c r="I1236" s="8">
        <v>2</v>
      </c>
    </row>
    <row r="1237" spans="2:9" x14ac:dyDescent="0.25">
      <c r="B1237" s="8">
        <f>1000000+INDEX(编号表!$B:$B,MATCH(C1237,编号表!$A:$A,0))*1000+INDEX(编号表!$D:$D,MATCH(D1237,编号表!$C:$C,0))*100+E1237</f>
        <v>1038602</v>
      </c>
      <c r="C1237" s="2" t="s">
        <v>277</v>
      </c>
      <c r="D1237" s="8" t="s">
        <v>69</v>
      </c>
      <c r="E1237" s="8">
        <f t="shared" si="37"/>
        <v>2</v>
      </c>
      <c r="F1237" s="2" t="s">
        <v>273</v>
      </c>
      <c r="G1237" s="12" t="s">
        <v>62</v>
      </c>
      <c r="H1237" s="2">
        <v>60371004</v>
      </c>
      <c r="I1237" s="8">
        <v>2</v>
      </c>
    </row>
    <row r="1238" spans="2:9" x14ac:dyDescent="0.25">
      <c r="B1238" s="8">
        <f>1000000+INDEX(编号表!$B:$B,MATCH(C1238,编号表!$A:$A,0))*1000+INDEX(编号表!$D:$D,MATCH(D1238,编号表!$C:$C,0))*100+E1238</f>
        <v>1038203</v>
      </c>
      <c r="C1238" s="2" t="s">
        <v>277</v>
      </c>
      <c r="D1238" s="8" t="s">
        <v>60</v>
      </c>
      <c r="E1238" s="8">
        <f t="shared" si="37"/>
        <v>3</v>
      </c>
      <c r="F1238" s="2" t="s">
        <v>270</v>
      </c>
      <c r="G1238" s="12" t="s">
        <v>62</v>
      </c>
      <c r="H1238" s="2">
        <v>60371000</v>
      </c>
      <c r="I1238" s="8">
        <v>3</v>
      </c>
    </row>
    <row r="1239" spans="2:9" x14ac:dyDescent="0.25">
      <c r="B1239" s="8">
        <f>1000000+INDEX(编号表!$B:$B,MATCH(C1239,编号表!$A:$A,0))*1000+INDEX(编号表!$D:$D,MATCH(D1239,编号表!$C:$C,0))*100+E1239</f>
        <v>1038303</v>
      </c>
      <c r="C1239" s="2" t="s">
        <v>277</v>
      </c>
      <c r="D1239" s="8" t="s">
        <v>63</v>
      </c>
      <c r="E1239" s="8">
        <f t="shared" si="37"/>
        <v>3</v>
      </c>
      <c r="F1239" s="2" t="s">
        <v>271</v>
      </c>
      <c r="G1239" s="12" t="s">
        <v>62</v>
      </c>
      <c r="H1239" s="2">
        <v>60371001</v>
      </c>
      <c r="I1239" s="8">
        <v>3</v>
      </c>
    </row>
    <row r="1240" spans="2:9" x14ac:dyDescent="0.25">
      <c r="B1240" s="8">
        <f>1000000+INDEX(编号表!$B:$B,MATCH(C1240,编号表!$A:$A,0))*1000+INDEX(编号表!$D:$D,MATCH(D1240,编号表!$C:$C,0))*100+E1240</f>
        <v>1038403</v>
      </c>
      <c r="C1240" s="2" t="s">
        <v>277</v>
      </c>
      <c r="D1240" s="8" t="s">
        <v>65</v>
      </c>
      <c r="E1240" s="8">
        <f t="shared" si="37"/>
        <v>3</v>
      </c>
      <c r="F1240" s="2" t="s">
        <v>272</v>
      </c>
      <c r="G1240" s="12" t="s">
        <v>62</v>
      </c>
      <c r="H1240" s="2">
        <v>60371002</v>
      </c>
      <c r="I1240" s="8">
        <v>3</v>
      </c>
    </row>
    <row r="1241" spans="2:9" x14ac:dyDescent="0.25">
      <c r="B1241" s="8">
        <f>1000000+INDEX(编号表!$B:$B,MATCH(C1241,编号表!$A:$A,0))*1000+INDEX(编号表!$D:$D,MATCH(D1241,编号表!$C:$C,0))*100+E1241</f>
        <v>1038503</v>
      </c>
      <c r="C1241" s="2" t="s">
        <v>277</v>
      </c>
      <c r="D1241" s="8" t="s">
        <v>67</v>
      </c>
      <c r="E1241" s="8">
        <f t="shared" si="37"/>
        <v>3</v>
      </c>
      <c r="F1241" s="2" t="s">
        <v>275</v>
      </c>
      <c r="G1241" s="12" t="s">
        <v>62</v>
      </c>
      <c r="H1241" s="2">
        <v>60371003</v>
      </c>
      <c r="I1241" s="8">
        <v>3</v>
      </c>
    </row>
    <row r="1242" spans="2:9" x14ac:dyDescent="0.25">
      <c r="B1242" s="8">
        <f>1000000+INDEX(编号表!$B:$B,MATCH(C1242,编号表!$A:$A,0))*1000+INDEX(编号表!$D:$D,MATCH(D1242,编号表!$C:$C,0))*100+E1242</f>
        <v>1038603</v>
      </c>
      <c r="C1242" s="2" t="s">
        <v>277</v>
      </c>
      <c r="D1242" s="8" t="s">
        <v>69</v>
      </c>
      <c r="E1242" s="8">
        <f t="shared" si="37"/>
        <v>3</v>
      </c>
      <c r="F1242" s="2" t="s">
        <v>273</v>
      </c>
      <c r="G1242" s="12" t="s">
        <v>62</v>
      </c>
      <c r="H1242" s="2">
        <v>60371004</v>
      </c>
      <c r="I1242" s="8">
        <v>3</v>
      </c>
    </row>
    <row r="1243" spans="2:9" x14ac:dyDescent="0.25">
      <c r="B1243" s="8">
        <f>1000000+INDEX(编号表!$B:$B,MATCH(C1243,编号表!$A:$A,0))*1000+INDEX(编号表!$D:$D,MATCH(D1243,编号表!$C:$C,0))*100+E1243</f>
        <v>1038205</v>
      </c>
      <c r="C1243" s="2" t="s">
        <v>277</v>
      </c>
      <c r="D1243" s="8" t="s">
        <v>60</v>
      </c>
      <c r="E1243" s="8">
        <f t="shared" si="37"/>
        <v>5</v>
      </c>
      <c r="F1243" s="2" t="s">
        <v>270</v>
      </c>
      <c r="G1243" s="12" t="s">
        <v>62</v>
      </c>
      <c r="H1243" s="2">
        <v>60371000</v>
      </c>
      <c r="I1243" s="8">
        <v>5</v>
      </c>
    </row>
    <row r="1244" spans="2:9" x14ac:dyDescent="0.25">
      <c r="B1244" s="8">
        <f>1000000+INDEX(编号表!$B:$B,MATCH(C1244,编号表!$A:$A,0))*1000+INDEX(编号表!$D:$D,MATCH(D1244,编号表!$C:$C,0))*100+E1244</f>
        <v>1038305</v>
      </c>
      <c r="C1244" s="2" t="s">
        <v>277</v>
      </c>
      <c r="D1244" s="8" t="s">
        <v>63</v>
      </c>
      <c r="E1244" s="8">
        <f t="shared" si="37"/>
        <v>5</v>
      </c>
      <c r="F1244" s="2" t="s">
        <v>271</v>
      </c>
      <c r="G1244" s="12" t="s">
        <v>62</v>
      </c>
      <c r="H1244" s="2">
        <v>60371001</v>
      </c>
      <c r="I1244" s="8">
        <v>5</v>
      </c>
    </row>
    <row r="1245" spans="2:9" x14ac:dyDescent="0.25">
      <c r="B1245" s="8">
        <f>1000000+INDEX(编号表!$B:$B,MATCH(C1245,编号表!$A:$A,0))*1000+INDEX(编号表!$D:$D,MATCH(D1245,编号表!$C:$C,0))*100+E1245</f>
        <v>1038405</v>
      </c>
      <c r="C1245" s="2" t="s">
        <v>277</v>
      </c>
      <c r="D1245" s="8" t="s">
        <v>65</v>
      </c>
      <c r="E1245" s="8">
        <f t="shared" si="37"/>
        <v>5</v>
      </c>
      <c r="F1245" s="2" t="s">
        <v>272</v>
      </c>
      <c r="G1245" s="12" t="s">
        <v>62</v>
      </c>
      <c r="H1245" s="2">
        <v>60371002</v>
      </c>
      <c r="I1245" s="8">
        <v>5</v>
      </c>
    </row>
    <row r="1246" spans="2:9" x14ac:dyDescent="0.25">
      <c r="B1246" s="8">
        <f>1000000+INDEX(编号表!$B:$B,MATCH(C1246,编号表!$A:$A,0))*1000+INDEX(编号表!$D:$D,MATCH(D1246,编号表!$C:$C,0))*100+E1246</f>
        <v>1038505</v>
      </c>
      <c r="C1246" s="2" t="s">
        <v>277</v>
      </c>
      <c r="D1246" s="8" t="s">
        <v>67</v>
      </c>
      <c r="E1246" s="8">
        <f t="shared" si="37"/>
        <v>5</v>
      </c>
      <c r="F1246" s="2" t="s">
        <v>275</v>
      </c>
      <c r="G1246" s="12" t="s">
        <v>62</v>
      </c>
      <c r="H1246" s="2">
        <v>60371003</v>
      </c>
      <c r="I1246" s="8">
        <v>5</v>
      </c>
    </row>
    <row r="1247" spans="2:9" x14ac:dyDescent="0.25">
      <c r="B1247" s="8">
        <f>1000000+INDEX(编号表!$B:$B,MATCH(C1247,编号表!$A:$A,0))*1000+INDEX(编号表!$D:$D,MATCH(D1247,编号表!$C:$C,0))*100+E1247</f>
        <v>1038605</v>
      </c>
      <c r="C1247" s="2" t="s">
        <v>277</v>
      </c>
      <c r="D1247" s="8" t="s">
        <v>69</v>
      </c>
      <c r="E1247" s="8">
        <f t="shared" si="37"/>
        <v>5</v>
      </c>
      <c r="F1247" s="2" t="s">
        <v>273</v>
      </c>
      <c r="G1247" s="12" t="s">
        <v>62</v>
      </c>
      <c r="H1247" s="2">
        <v>60371004</v>
      </c>
      <c r="I1247" s="8">
        <v>5</v>
      </c>
    </row>
    <row r="1248" spans="2:9" x14ac:dyDescent="0.25">
      <c r="B1248" s="8">
        <f>1000000+INDEX(编号表!$B:$B,MATCH(C1248,编号表!$A:$A,0))*1000+INDEX(编号表!$D:$D,MATCH(D1248,编号表!$C:$C,0))*100+E1248</f>
        <v>1038210</v>
      </c>
      <c r="C1248" s="2" t="s">
        <v>277</v>
      </c>
      <c r="D1248" s="8" t="s">
        <v>60</v>
      </c>
      <c r="E1248" s="8">
        <f t="shared" si="37"/>
        <v>10</v>
      </c>
      <c r="F1248" s="2" t="s">
        <v>270</v>
      </c>
      <c r="G1248" s="12" t="s">
        <v>62</v>
      </c>
      <c r="H1248" s="2">
        <v>60371000</v>
      </c>
      <c r="I1248" s="8">
        <v>10</v>
      </c>
    </row>
    <row r="1249" spans="2:9" x14ac:dyDescent="0.25">
      <c r="B1249" s="8">
        <f>1000000+INDEX(编号表!$B:$B,MATCH(C1249,编号表!$A:$A,0))*1000+INDEX(编号表!$D:$D,MATCH(D1249,编号表!$C:$C,0))*100+E1249</f>
        <v>1038310</v>
      </c>
      <c r="C1249" s="2" t="s">
        <v>277</v>
      </c>
      <c r="D1249" s="8" t="s">
        <v>63</v>
      </c>
      <c r="E1249" s="8">
        <f t="shared" si="37"/>
        <v>10</v>
      </c>
      <c r="F1249" s="2" t="s">
        <v>271</v>
      </c>
      <c r="G1249" s="12" t="s">
        <v>62</v>
      </c>
      <c r="H1249" s="2">
        <v>60371001</v>
      </c>
      <c r="I1249" s="8">
        <v>10</v>
      </c>
    </row>
    <row r="1250" spans="2:9" x14ac:dyDescent="0.25">
      <c r="B1250" s="8">
        <f>1000000+INDEX(编号表!$B:$B,MATCH(C1250,编号表!$A:$A,0))*1000+INDEX(编号表!$D:$D,MATCH(D1250,编号表!$C:$C,0))*100+E1250</f>
        <v>1038410</v>
      </c>
      <c r="C1250" s="2" t="s">
        <v>277</v>
      </c>
      <c r="D1250" s="8" t="s">
        <v>65</v>
      </c>
      <c r="E1250" s="8">
        <f t="shared" si="37"/>
        <v>10</v>
      </c>
      <c r="F1250" s="2" t="s">
        <v>272</v>
      </c>
      <c r="G1250" s="12" t="s">
        <v>62</v>
      </c>
      <c r="H1250" s="2">
        <v>60371002</v>
      </c>
      <c r="I1250" s="8">
        <v>10</v>
      </c>
    </row>
    <row r="1251" spans="2:9" x14ac:dyDescent="0.25">
      <c r="B1251" s="8">
        <f>1000000+INDEX(编号表!$B:$B,MATCH(C1251,编号表!$A:$A,0))*1000+INDEX(编号表!$D:$D,MATCH(D1251,编号表!$C:$C,0))*100+E1251</f>
        <v>1038510</v>
      </c>
      <c r="C1251" s="2" t="s">
        <v>277</v>
      </c>
      <c r="D1251" s="8" t="s">
        <v>67</v>
      </c>
      <c r="E1251" s="8">
        <f t="shared" si="37"/>
        <v>10</v>
      </c>
      <c r="F1251" s="2" t="s">
        <v>275</v>
      </c>
      <c r="G1251" s="12" t="s">
        <v>62</v>
      </c>
      <c r="H1251" s="2">
        <v>60371003</v>
      </c>
      <c r="I1251" s="8">
        <v>10</v>
      </c>
    </row>
    <row r="1252" spans="2:9" x14ac:dyDescent="0.25">
      <c r="B1252" s="8">
        <f>1000000+INDEX(编号表!$B:$B,MATCH(C1252,编号表!$A:$A,0))*1000+INDEX(编号表!$D:$D,MATCH(D1252,编号表!$C:$C,0))*100+E1252</f>
        <v>1038610</v>
      </c>
      <c r="C1252" s="2" t="s">
        <v>277</v>
      </c>
      <c r="D1252" s="8" t="s">
        <v>69</v>
      </c>
      <c r="E1252" s="8">
        <f t="shared" si="37"/>
        <v>10</v>
      </c>
      <c r="F1252" s="2" t="s">
        <v>273</v>
      </c>
      <c r="G1252" s="12" t="s">
        <v>62</v>
      </c>
      <c r="H1252" s="2">
        <v>60371004</v>
      </c>
      <c r="I1252" s="8">
        <v>10</v>
      </c>
    </row>
    <row r="1253" spans="2:9" x14ac:dyDescent="0.25">
      <c r="B1253" s="8">
        <f>1000000+INDEX(编号表!$B:$B,MATCH(C1253,编号表!$A:$A,0))*1000+INDEX(编号表!$D:$D,MATCH(D1253,编号表!$C:$C,0))*100+E1253</f>
        <v>1038215</v>
      </c>
      <c r="C1253" s="2" t="s">
        <v>277</v>
      </c>
      <c r="D1253" s="8" t="s">
        <v>60</v>
      </c>
      <c r="E1253" s="8">
        <f t="shared" si="37"/>
        <v>15</v>
      </c>
      <c r="F1253" s="2" t="s">
        <v>270</v>
      </c>
      <c r="G1253" s="12" t="s">
        <v>62</v>
      </c>
      <c r="H1253" s="2">
        <v>60371000</v>
      </c>
      <c r="I1253" s="8">
        <v>15</v>
      </c>
    </row>
    <row r="1254" spans="2:9" x14ac:dyDescent="0.25">
      <c r="B1254" s="8">
        <f>1000000+INDEX(编号表!$B:$B,MATCH(C1254,编号表!$A:$A,0))*1000+INDEX(编号表!$D:$D,MATCH(D1254,编号表!$C:$C,0))*100+E1254</f>
        <v>1038315</v>
      </c>
      <c r="C1254" s="2" t="s">
        <v>277</v>
      </c>
      <c r="D1254" s="8" t="s">
        <v>63</v>
      </c>
      <c r="E1254" s="8">
        <f t="shared" si="37"/>
        <v>15</v>
      </c>
      <c r="F1254" s="2" t="s">
        <v>271</v>
      </c>
      <c r="G1254" s="12" t="s">
        <v>62</v>
      </c>
      <c r="H1254" s="2">
        <v>60371001</v>
      </c>
      <c r="I1254" s="8">
        <v>15</v>
      </c>
    </row>
    <row r="1255" spans="2:9" x14ac:dyDescent="0.25">
      <c r="B1255" s="8">
        <f>1000000+INDEX(编号表!$B:$B,MATCH(C1255,编号表!$A:$A,0))*1000+INDEX(编号表!$D:$D,MATCH(D1255,编号表!$C:$C,0))*100+E1255</f>
        <v>1038415</v>
      </c>
      <c r="C1255" s="2" t="s">
        <v>277</v>
      </c>
      <c r="D1255" s="8" t="s">
        <v>65</v>
      </c>
      <c r="E1255" s="8">
        <f t="shared" si="37"/>
        <v>15</v>
      </c>
      <c r="F1255" s="2" t="s">
        <v>272</v>
      </c>
      <c r="G1255" s="12" t="s">
        <v>62</v>
      </c>
      <c r="H1255" s="2">
        <v>60371002</v>
      </c>
      <c r="I1255" s="8">
        <v>15</v>
      </c>
    </row>
    <row r="1256" spans="2:9" x14ac:dyDescent="0.25">
      <c r="B1256" s="8">
        <f>1000000+INDEX(编号表!$B:$B,MATCH(C1256,编号表!$A:$A,0))*1000+INDEX(编号表!$D:$D,MATCH(D1256,编号表!$C:$C,0))*100+E1256</f>
        <v>1038515</v>
      </c>
      <c r="C1256" s="2" t="s">
        <v>277</v>
      </c>
      <c r="D1256" s="8" t="s">
        <v>67</v>
      </c>
      <c r="E1256" s="8">
        <f t="shared" si="37"/>
        <v>15</v>
      </c>
      <c r="F1256" s="2" t="s">
        <v>275</v>
      </c>
      <c r="G1256" s="12" t="s">
        <v>62</v>
      </c>
      <c r="H1256" s="2">
        <v>60371003</v>
      </c>
      <c r="I1256" s="8">
        <v>15</v>
      </c>
    </row>
    <row r="1257" spans="2:9" x14ac:dyDescent="0.25">
      <c r="B1257" s="8">
        <f>1000000+INDEX(编号表!$B:$B,MATCH(C1257,编号表!$A:$A,0))*1000+INDEX(编号表!$D:$D,MATCH(D1257,编号表!$C:$C,0))*100+E1257</f>
        <v>1038615</v>
      </c>
      <c r="C1257" s="2" t="s">
        <v>277</v>
      </c>
      <c r="D1257" s="8" t="s">
        <v>69</v>
      </c>
      <c r="E1257" s="8">
        <f t="shared" si="37"/>
        <v>15</v>
      </c>
      <c r="F1257" s="2" t="s">
        <v>273</v>
      </c>
      <c r="G1257" s="12" t="s">
        <v>62</v>
      </c>
      <c r="H1257" s="2">
        <v>60371004</v>
      </c>
      <c r="I1257" s="8">
        <v>15</v>
      </c>
    </row>
    <row r="1258" spans="2:9" x14ac:dyDescent="0.25">
      <c r="B1258" s="8">
        <f>1000000+INDEX(编号表!$B:$B,MATCH(C1258,编号表!$A:$A,0))*1000+INDEX(编号表!$D:$D,MATCH(D1258,编号表!$C:$C,0))*100+E1258</f>
        <v>1039001</v>
      </c>
      <c r="C1258" s="2" t="s">
        <v>278</v>
      </c>
      <c r="D1258" s="8" t="s">
        <v>55</v>
      </c>
      <c r="E1258" s="8">
        <v>1</v>
      </c>
      <c r="F1258" s="11" t="s">
        <v>56</v>
      </c>
      <c r="G1258" s="12" t="s">
        <v>57</v>
      </c>
      <c r="H1258" s="8">
        <v>60384000</v>
      </c>
      <c r="I1258" s="8">
        <v>1</v>
      </c>
    </row>
    <row r="1259" spans="2:9" x14ac:dyDescent="0.25">
      <c r="B1259" s="8">
        <f>1000000+INDEX(编号表!$B:$B,MATCH(C1259,编号表!$A:$A,0))*1000+INDEX(编号表!$D:$D,MATCH(D1259,编号表!$C:$C,0))*100+E1259</f>
        <v>1039101</v>
      </c>
      <c r="C1259" s="2" t="s">
        <v>278</v>
      </c>
      <c r="D1259" s="8" t="s">
        <v>58</v>
      </c>
      <c r="E1259" s="8">
        <v>1</v>
      </c>
      <c r="F1259" s="11" t="s">
        <v>59</v>
      </c>
      <c r="G1259" s="12" t="s">
        <v>57</v>
      </c>
      <c r="H1259" s="2">
        <v>60382000</v>
      </c>
      <c r="I1259" s="8">
        <v>1</v>
      </c>
    </row>
    <row r="1260" spans="2:9" x14ac:dyDescent="0.25">
      <c r="B1260" s="8">
        <f>1000000+INDEX(编号表!$B:$B,MATCH(C1260,编号表!$A:$A,0))*1000+INDEX(编号表!$D:$D,MATCH(D1260,编号表!$C:$C,0))*100+E1260</f>
        <v>1039102</v>
      </c>
      <c r="C1260" s="2" t="s">
        <v>278</v>
      </c>
      <c r="D1260" s="8" t="s">
        <v>58</v>
      </c>
      <c r="E1260" s="8">
        <v>2</v>
      </c>
      <c r="F1260" s="11" t="s">
        <v>59</v>
      </c>
      <c r="G1260" s="12" t="s">
        <v>57</v>
      </c>
      <c r="H1260" s="2">
        <v>60382001</v>
      </c>
      <c r="I1260" s="8">
        <v>1</v>
      </c>
    </row>
    <row r="1261" spans="2:9" x14ac:dyDescent="0.25">
      <c r="B1261" s="8">
        <f>1000000+INDEX(编号表!$B:$B,MATCH(C1261,编号表!$A:$A,0))*1000+INDEX(编号表!$D:$D,MATCH(D1261,编号表!$C:$C,0))*100+E1261</f>
        <v>1039201</v>
      </c>
      <c r="C1261" s="2" t="s">
        <v>278</v>
      </c>
      <c r="D1261" s="8" t="s">
        <v>60</v>
      </c>
      <c r="E1261" s="8">
        <f t="shared" ref="E1261:E1296" si="38">I1261+K1261+M1261+O1261+Q1261+S1261+U1261+W1261+Y1261+AA1261</f>
        <v>1</v>
      </c>
      <c r="F1261" s="2" t="s">
        <v>272</v>
      </c>
      <c r="G1261" s="12" t="s">
        <v>62</v>
      </c>
      <c r="H1261" s="2">
        <v>60381000</v>
      </c>
      <c r="I1261" s="8">
        <v>1</v>
      </c>
    </row>
    <row r="1262" spans="2:9" x14ac:dyDescent="0.25">
      <c r="B1262" s="8">
        <f>1000000+INDEX(编号表!$B:$B,MATCH(C1262,编号表!$A:$A,0))*1000+INDEX(编号表!$D:$D,MATCH(D1262,编号表!$C:$C,0))*100+E1262</f>
        <v>1039301</v>
      </c>
      <c r="C1262" s="2" t="s">
        <v>278</v>
      </c>
      <c r="D1262" s="8" t="s">
        <v>63</v>
      </c>
      <c r="E1262" s="8">
        <f t="shared" si="38"/>
        <v>1</v>
      </c>
      <c r="F1262" s="2" t="s">
        <v>275</v>
      </c>
      <c r="G1262" s="12" t="s">
        <v>62</v>
      </c>
      <c r="H1262" s="2">
        <v>60381001</v>
      </c>
      <c r="I1262" s="8">
        <v>1</v>
      </c>
    </row>
    <row r="1263" spans="2:9" x14ac:dyDescent="0.25">
      <c r="B1263" s="8">
        <f>1000000+INDEX(编号表!$B:$B,MATCH(C1263,编号表!$A:$A,0))*1000+INDEX(编号表!$D:$D,MATCH(D1263,编号表!$C:$C,0))*100+E1263</f>
        <v>1039401</v>
      </c>
      <c r="C1263" s="2" t="s">
        <v>278</v>
      </c>
      <c r="D1263" s="8" t="s">
        <v>65</v>
      </c>
      <c r="E1263" s="8">
        <f t="shared" si="38"/>
        <v>1</v>
      </c>
      <c r="F1263" s="2" t="s">
        <v>273</v>
      </c>
      <c r="G1263" s="12" t="s">
        <v>62</v>
      </c>
      <c r="H1263" s="2">
        <v>60381002</v>
      </c>
      <c r="I1263" s="8">
        <v>1</v>
      </c>
    </row>
    <row r="1264" spans="2:9" x14ac:dyDescent="0.25">
      <c r="B1264" s="8">
        <f>1000000+INDEX(编号表!$B:$B,MATCH(C1264,编号表!$A:$A,0))*1000+INDEX(编号表!$D:$D,MATCH(D1264,编号表!$C:$C,0))*100+E1264</f>
        <v>1039501</v>
      </c>
      <c r="C1264" s="2" t="s">
        <v>278</v>
      </c>
      <c r="D1264" s="8" t="s">
        <v>67</v>
      </c>
      <c r="E1264" s="8">
        <f t="shared" si="38"/>
        <v>1</v>
      </c>
      <c r="F1264" s="2" t="s">
        <v>279</v>
      </c>
      <c r="G1264" s="12" t="s">
        <v>62</v>
      </c>
      <c r="H1264" s="2">
        <v>60381003</v>
      </c>
      <c r="I1264" s="8">
        <v>1</v>
      </c>
    </row>
    <row r="1265" spans="2:9" x14ac:dyDescent="0.25">
      <c r="B1265" s="8">
        <f>1000000+INDEX(编号表!$B:$B,MATCH(C1265,编号表!$A:$A,0))*1000+INDEX(编号表!$D:$D,MATCH(D1265,编号表!$C:$C,0))*100+E1265</f>
        <v>1039601</v>
      </c>
      <c r="C1265" s="2" t="s">
        <v>278</v>
      </c>
      <c r="D1265" s="8" t="s">
        <v>69</v>
      </c>
      <c r="E1265" s="8">
        <f t="shared" si="38"/>
        <v>1</v>
      </c>
      <c r="F1265" s="2" t="s">
        <v>280</v>
      </c>
      <c r="G1265" s="12" t="s">
        <v>62</v>
      </c>
      <c r="H1265" s="2">
        <v>60381004</v>
      </c>
      <c r="I1265" s="8">
        <v>1</v>
      </c>
    </row>
    <row r="1266" spans="2:9" x14ac:dyDescent="0.25">
      <c r="B1266" s="8">
        <f>1000000+INDEX(编号表!$B:$B,MATCH(C1266,编号表!$A:$A,0))*1000+INDEX(编号表!$D:$D,MATCH(D1266,编号表!$C:$C,0))*100+E1266</f>
        <v>1039701</v>
      </c>
      <c r="C1266" s="2" t="s">
        <v>278</v>
      </c>
      <c r="D1266" s="8" t="s">
        <v>179</v>
      </c>
      <c r="E1266" s="8">
        <f t="shared" si="38"/>
        <v>1</v>
      </c>
      <c r="F1266" s="2" t="s">
        <v>281</v>
      </c>
      <c r="G1266" s="12" t="s">
        <v>62</v>
      </c>
      <c r="H1266" s="2">
        <v>60381005</v>
      </c>
      <c r="I1266" s="8">
        <v>1</v>
      </c>
    </row>
    <row r="1267" spans="2:9" x14ac:dyDescent="0.25">
      <c r="B1267" s="8">
        <f>1000000+INDEX(编号表!$B:$B,MATCH(C1267,编号表!$A:$A,0))*1000+INDEX(编号表!$D:$D,MATCH(D1267,编号表!$C:$C,0))*100+E1267</f>
        <v>1039202</v>
      </c>
      <c r="C1267" s="2" t="s">
        <v>278</v>
      </c>
      <c r="D1267" s="8" t="s">
        <v>60</v>
      </c>
      <c r="E1267" s="8">
        <f t="shared" si="38"/>
        <v>2</v>
      </c>
      <c r="F1267" s="2" t="s">
        <v>272</v>
      </c>
      <c r="G1267" s="12" t="s">
        <v>62</v>
      </c>
      <c r="H1267" s="2">
        <v>60381000</v>
      </c>
      <c r="I1267" s="8">
        <v>2</v>
      </c>
    </row>
    <row r="1268" spans="2:9" x14ac:dyDescent="0.25">
      <c r="B1268" s="8">
        <f>1000000+INDEX(编号表!$B:$B,MATCH(C1268,编号表!$A:$A,0))*1000+INDEX(编号表!$D:$D,MATCH(D1268,编号表!$C:$C,0))*100+E1268</f>
        <v>1039302</v>
      </c>
      <c r="C1268" s="2" t="s">
        <v>278</v>
      </c>
      <c r="D1268" s="8" t="s">
        <v>63</v>
      </c>
      <c r="E1268" s="8">
        <f t="shared" si="38"/>
        <v>2</v>
      </c>
      <c r="F1268" s="2" t="s">
        <v>275</v>
      </c>
      <c r="G1268" s="12" t="s">
        <v>62</v>
      </c>
      <c r="H1268" s="2">
        <v>60381001</v>
      </c>
      <c r="I1268" s="8">
        <v>2</v>
      </c>
    </row>
    <row r="1269" spans="2:9" x14ac:dyDescent="0.25">
      <c r="B1269" s="8">
        <f>1000000+INDEX(编号表!$B:$B,MATCH(C1269,编号表!$A:$A,0))*1000+INDEX(编号表!$D:$D,MATCH(D1269,编号表!$C:$C,0))*100+E1269</f>
        <v>1039402</v>
      </c>
      <c r="C1269" s="2" t="s">
        <v>278</v>
      </c>
      <c r="D1269" s="8" t="s">
        <v>65</v>
      </c>
      <c r="E1269" s="8">
        <f t="shared" si="38"/>
        <v>2</v>
      </c>
      <c r="F1269" s="2" t="s">
        <v>273</v>
      </c>
      <c r="G1269" s="12" t="s">
        <v>62</v>
      </c>
      <c r="H1269" s="2">
        <v>60381002</v>
      </c>
      <c r="I1269" s="8">
        <v>2</v>
      </c>
    </row>
    <row r="1270" spans="2:9" x14ac:dyDescent="0.25">
      <c r="B1270" s="8">
        <f>1000000+INDEX(编号表!$B:$B,MATCH(C1270,编号表!$A:$A,0))*1000+INDEX(编号表!$D:$D,MATCH(D1270,编号表!$C:$C,0))*100+E1270</f>
        <v>1039502</v>
      </c>
      <c r="C1270" s="2" t="s">
        <v>278</v>
      </c>
      <c r="D1270" s="8" t="s">
        <v>67</v>
      </c>
      <c r="E1270" s="8">
        <f t="shared" si="38"/>
        <v>2</v>
      </c>
      <c r="F1270" s="2" t="s">
        <v>279</v>
      </c>
      <c r="G1270" s="12" t="s">
        <v>62</v>
      </c>
      <c r="H1270" s="2">
        <v>60381003</v>
      </c>
      <c r="I1270" s="8">
        <v>2</v>
      </c>
    </row>
    <row r="1271" spans="2:9" x14ac:dyDescent="0.25">
      <c r="B1271" s="8">
        <f>1000000+INDEX(编号表!$B:$B,MATCH(C1271,编号表!$A:$A,0))*1000+INDEX(编号表!$D:$D,MATCH(D1271,编号表!$C:$C,0))*100+E1271</f>
        <v>1039602</v>
      </c>
      <c r="C1271" s="2" t="s">
        <v>278</v>
      </c>
      <c r="D1271" s="8" t="s">
        <v>69</v>
      </c>
      <c r="E1271" s="8">
        <f t="shared" si="38"/>
        <v>2</v>
      </c>
      <c r="F1271" s="2" t="s">
        <v>280</v>
      </c>
      <c r="G1271" s="12" t="s">
        <v>62</v>
      </c>
      <c r="H1271" s="2">
        <v>60381004</v>
      </c>
      <c r="I1271" s="8">
        <v>2</v>
      </c>
    </row>
    <row r="1272" spans="2:9" x14ac:dyDescent="0.25">
      <c r="B1272" s="8">
        <f>1000000+INDEX(编号表!$B:$B,MATCH(C1272,编号表!$A:$A,0))*1000+INDEX(编号表!$D:$D,MATCH(D1272,编号表!$C:$C,0))*100+E1272</f>
        <v>1039702</v>
      </c>
      <c r="C1272" s="2" t="s">
        <v>278</v>
      </c>
      <c r="D1272" s="8" t="s">
        <v>179</v>
      </c>
      <c r="E1272" s="8">
        <f t="shared" si="38"/>
        <v>2</v>
      </c>
      <c r="F1272" s="2" t="s">
        <v>281</v>
      </c>
      <c r="G1272" s="12" t="s">
        <v>62</v>
      </c>
      <c r="H1272" s="2">
        <v>60381005</v>
      </c>
      <c r="I1272" s="8">
        <v>2</v>
      </c>
    </row>
    <row r="1273" spans="2:9" x14ac:dyDescent="0.25">
      <c r="B1273" s="8">
        <f>1000000+INDEX(编号表!$B:$B,MATCH(C1273,编号表!$A:$A,0))*1000+INDEX(编号表!$D:$D,MATCH(D1273,编号表!$C:$C,0))*100+E1273</f>
        <v>1039203</v>
      </c>
      <c r="C1273" s="2" t="s">
        <v>278</v>
      </c>
      <c r="D1273" s="8" t="s">
        <v>60</v>
      </c>
      <c r="E1273" s="8">
        <f t="shared" si="38"/>
        <v>3</v>
      </c>
      <c r="F1273" s="2" t="s">
        <v>272</v>
      </c>
      <c r="G1273" s="12" t="s">
        <v>62</v>
      </c>
      <c r="H1273" s="2">
        <v>60381000</v>
      </c>
      <c r="I1273" s="8">
        <v>3</v>
      </c>
    </row>
    <row r="1274" spans="2:9" x14ac:dyDescent="0.25">
      <c r="B1274" s="8">
        <f>1000000+INDEX(编号表!$B:$B,MATCH(C1274,编号表!$A:$A,0))*1000+INDEX(编号表!$D:$D,MATCH(D1274,编号表!$C:$C,0))*100+E1274</f>
        <v>1039303</v>
      </c>
      <c r="C1274" s="2" t="s">
        <v>278</v>
      </c>
      <c r="D1274" s="8" t="s">
        <v>63</v>
      </c>
      <c r="E1274" s="8">
        <f t="shared" si="38"/>
        <v>3</v>
      </c>
      <c r="F1274" s="2" t="s">
        <v>275</v>
      </c>
      <c r="G1274" s="12" t="s">
        <v>62</v>
      </c>
      <c r="H1274" s="2">
        <v>60381001</v>
      </c>
      <c r="I1274" s="8">
        <v>3</v>
      </c>
    </row>
    <row r="1275" spans="2:9" x14ac:dyDescent="0.25">
      <c r="B1275" s="8">
        <f>1000000+INDEX(编号表!$B:$B,MATCH(C1275,编号表!$A:$A,0))*1000+INDEX(编号表!$D:$D,MATCH(D1275,编号表!$C:$C,0))*100+E1275</f>
        <v>1039403</v>
      </c>
      <c r="C1275" s="2" t="s">
        <v>278</v>
      </c>
      <c r="D1275" s="8" t="s">
        <v>65</v>
      </c>
      <c r="E1275" s="8">
        <f t="shared" si="38"/>
        <v>3</v>
      </c>
      <c r="F1275" s="2" t="s">
        <v>273</v>
      </c>
      <c r="G1275" s="12" t="s">
        <v>62</v>
      </c>
      <c r="H1275" s="2">
        <v>60381002</v>
      </c>
      <c r="I1275" s="8">
        <v>3</v>
      </c>
    </row>
    <row r="1276" spans="2:9" x14ac:dyDescent="0.25">
      <c r="B1276" s="8">
        <f>1000000+INDEX(编号表!$B:$B,MATCH(C1276,编号表!$A:$A,0))*1000+INDEX(编号表!$D:$D,MATCH(D1276,编号表!$C:$C,0))*100+E1276</f>
        <v>1039503</v>
      </c>
      <c r="C1276" s="2" t="s">
        <v>278</v>
      </c>
      <c r="D1276" s="8" t="s">
        <v>67</v>
      </c>
      <c r="E1276" s="8">
        <f t="shared" si="38"/>
        <v>3</v>
      </c>
      <c r="F1276" s="2" t="s">
        <v>279</v>
      </c>
      <c r="G1276" s="12" t="s">
        <v>62</v>
      </c>
      <c r="H1276" s="2">
        <v>60381003</v>
      </c>
      <c r="I1276" s="8">
        <v>3</v>
      </c>
    </row>
    <row r="1277" spans="2:9" x14ac:dyDescent="0.25">
      <c r="B1277" s="8">
        <f>1000000+INDEX(编号表!$B:$B,MATCH(C1277,编号表!$A:$A,0))*1000+INDEX(编号表!$D:$D,MATCH(D1277,编号表!$C:$C,0))*100+E1277</f>
        <v>1039603</v>
      </c>
      <c r="C1277" s="2" t="s">
        <v>278</v>
      </c>
      <c r="D1277" s="8" t="s">
        <v>69</v>
      </c>
      <c r="E1277" s="8">
        <f t="shared" si="38"/>
        <v>3</v>
      </c>
      <c r="F1277" s="2" t="s">
        <v>280</v>
      </c>
      <c r="G1277" s="12" t="s">
        <v>62</v>
      </c>
      <c r="H1277" s="2">
        <v>60381004</v>
      </c>
      <c r="I1277" s="8">
        <v>3</v>
      </c>
    </row>
    <row r="1278" spans="2:9" x14ac:dyDescent="0.25">
      <c r="B1278" s="8">
        <f>1000000+INDEX(编号表!$B:$B,MATCH(C1278,编号表!$A:$A,0))*1000+INDEX(编号表!$D:$D,MATCH(D1278,编号表!$C:$C,0))*100+E1278</f>
        <v>1039703</v>
      </c>
      <c r="C1278" s="2" t="s">
        <v>278</v>
      </c>
      <c r="D1278" s="8" t="s">
        <v>179</v>
      </c>
      <c r="E1278" s="8">
        <f t="shared" si="38"/>
        <v>3</v>
      </c>
      <c r="F1278" s="2" t="s">
        <v>281</v>
      </c>
      <c r="G1278" s="12" t="s">
        <v>62</v>
      </c>
      <c r="H1278" s="2">
        <v>60381005</v>
      </c>
      <c r="I1278" s="8">
        <v>3</v>
      </c>
    </row>
    <row r="1279" spans="2:9" x14ac:dyDescent="0.25">
      <c r="B1279" s="8">
        <f>1000000+INDEX(编号表!$B:$B,MATCH(C1279,编号表!$A:$A,0))*1000+INDEX(编号表!$D:$D,MATCH(D1279,编号表!$C:$C,0))*100+E1279</f>
        <v>1039205</v>
      </c>
      <c r="C1279" s="2" t="s">
        <v>278</v>
      </c>
      <c r="D1279" s="8" t="s">
        <v>60</v>
      </c>
      <c r="E1279" s="8">
        <f t="shared" si="38"/>
        <v>5</v>
      </c>
      <c r="F1279" s="2" t="s">
        <v>272</v>
      </c>
      <c r="G1279" s="12" t="s">
        <v>62</v>
      </c>
      <c r="H1279" s="2">
        <v>60381000</v>
      </c>
      <c r="I1279" s="8">
        <v>5</v>
      </c>
    </row>
    <row r="1280" spans="2:9" x14ac:dyDescent="0.25">
      <c r="B1280" s="8">
        <f>1000000+INDEX(编号表!$B:$B,MATCH(C1280,编号表!$A:$A,0))*1000+INDEX(编号表!$D:$D,MATCH(D1280,编号表!$C:$C,0))*100+E1280</f>
        <v>1039305</v>
      </c>
      <c r="C1280" s="2" t="s">
        <v>278</v>
      </c>
      <c r="D1280" s="8" t="s">
        <v>63</v>
      </c>
      <c r="E1280" s="8">
        <f t="shared" si="38"/>
        <v>5</v>
      </c>
      <c r="F1280" s="2" t="s">
        <v>275</v>
      </c>
      <c r="G1280" s="12" t="s">
        <v>62</v>
      </c>
      <c r="H1280" s="2">
        <v>60381001</v>
      </c>
      <c r="I1280" s="8">
        <v>5</v>
      </c>
    </row>
    <row r="1281" spans="1:9" x14ac:dyDescent="0.25">
      <c r="B1281" s="8">
        <f>1000000+INDEX(编号表!$B:$B,MATCH(C1281,编号表!$A:$A,0))*1000+INDEX(编号表!$D:$D,MATCH(D1281,编号表!$C:$C,0))*100+E1281</f>
        <v>1039405</v>
      </c>
      <c r="C1281" s="2" t="s">
        <v>278</v>
      </c>
      <c r="D1281" s="8" t="s">
        <v>65</v>
      </c>
      <c r="E1281" s="8">
        <f t="shared" si="38"/>
        <v>5</v>
      </c>
      <c r="F1281" s="2" t="s">
        <v>273</v>
      </c>
      <c r="G1281" s="12" t="s">
        <v>62</v>
      </c>
      <c r="H1281" s="2">
        <v>60381002</v>
      </c>
      <c r="I1281" s="8">
        <v>5</v>
      </c>
    </row>
    <row r="1282" spans="1:9" x14ac:dyDescent="0.25">
      <c r="B1282" s="8">
        <f>1000000+INDEX(编号表!$B:$B,MATCH(C1282,编号表!$A:$A,0))*1000+INDEX(编号表!$D:$D,MATCH(D1282,编号表!$C:$C,0))*100+E1282</f>
        <v>1039505</v>
      </c>
      <c r="C1282" s="2" t="s">
        <v>278</v>
      </c>
      <c r="D1282" s="8" t="s">
        <v>67</v>
      </c>
      <c r="E1282" s="8">
        <f t="shared" si="38"/>
        <v>5</v>
      </c>
      <c r="F1282" s="2" t="s">
        <v>279</v>
      </c>
      <c r="G1282" s="12" t="s">
        <v>62</v>
      </c>
      <c r="H1282" s="2">
        <v>60381003</v>
      </c>
      <c r="I1282" s="8">
        <v>5</v>
      </c>
    </row>
    <row r="1283" spans="1:9" x14ac:dyDescent="0.25">
      <c r="B1283" s="8">
        <f>1000000+INDEX(编号表!$B:$B,MATCH(C1283,编号表!$A:$A,0))*1000+INDEX(编号表!$D:$D,MATCH(D1283,编号表!$C:$C,0))*100+E1283</f>
        <v>1039605</v>
      </c>
      <c r="C1283" s="2" t="s">
        <v>278</v>
      </c>
      <c r="D1283" s="8" t="s">
        <v>69</v>
      </c>
      <c r="E1283" s="8">
        <f t="shared" si="38"/>
        <v>5</v>
      </c>
      <c r="F1283" s="2" t="s">
        <v>280</v>
      </c>
      <c r="G1283" s="12" t="s">
        <v>62</v>
      </c>
      <c r="H1283" s="2">
        <v>60381004</v>
      </c>
      <c r="I1283" s="8">
        <v>5</v>
      </c>
    </row>
    <row r="1284" spans="1:9" x14ac:dyDescent="0.25">
      <c r="B1284" s="8">
        <f>1000000+INDEX(编号表!$B:$B,MATCH(C1284,编号表!$A:$A,0))*1000+INDEX(编号表!$D:$D,MATCH(D1284,编号表!$C:$C,0))*100+E1284</f>
        <v>1039705</v>
      </c>
      <c r="C1284" s="2" t="s">
        <v>278</v>
      </c>
      <c r="D1284" s="8" t="s">
        <v>179</v>
      </c>
      <c r="E1284" s="8">
        <f t="shared" si="38"/>
        <v>5</v>
      </c>
      <c r="F1284" s="2" t="s">
        <v>281</v>
      </c>
      <c r="G1284" s="12" t="s">
        <v>62</v>
      </c>
      <c r="H1284" s="2">
        <v>60381005</v>
      </c>
      <c r="I1284" s="8">
        <v>5</v>
      </c>
    </row>
    <row r="1285" spans="1:9" x14ac:dyDescent="0.25">
      <c r="A1285" s="8" t="s">
        <v>335</v>
      </c>
      <c r="B1285" s="8">
        <f>1000000+INDEX(编号表!$B:$B,MATCH(C1285,编号表!$A:$A,0))*1000+INDEX(编号表!$D:$D,MATCH(D1285,编号表!$C:$C,0))*100+E1285</f>
        <v>1039205</v>
      </c>
      <c r="C1285" s="2" t="s">
        <v>278</v>
      </c>
      <c r="D1285" s="8" t="s">
        <v>60</v>
      </c>
      <c r="E1285" s="8">
        <f t="shared" si="38"/>
        <v>5</v>
      </c>
      <c r="F1285" s="2" t="s">
        <v>272</v>
      </c>
      <c r="G1285" s="12" t="s">
        <v>62</v>
      </c>
      <c r="H1285" s="2">
        <v>60381000</v>
      </c>
      <c r="I1285" s="8">
        <v>5</v>
      </c>
    </row>
    <row r="1286" spans="1:9" x14ac:dyDescent="0.25">
      <c r="B1286" s="8">
        <f>1000000+INDEX(编号表!$B:$B,MATCH(C1286,编号表!$A:$A,0))*1000+INDEX(编号表!$D:$D,MATCH(D1286,编号表!$C:$C,0))*100+E1286</f>
        <v>1039310</v>
      </c>
      <c r="C1286" s="2" t="s">
        <v>278</v>
      </c>
      <c r="D1286" s="8" t="s">
        <v>63</v>
      </c>
      <c r="E1286" s="8">
        <f t="shared" si="38"/>
        <v>10</v>
      </c>
      <c r="F1286" s="2" t="s">
        <v>275</v>
      </c>
      <c r="G1286" s="12" t="s">
        <v>62</v>
      </c>
      <c r="H1286" s="2">
        <v>60381001</v>
      </c>
      <c r="I1286" s="8">
        <v>10</v>
      </c>
    </row>
    <row r="1287" spans="1:9" x14ac:dyDescent="0.25">
      <c r="B1287" s="8">
        <f>1000000+INDEX(编号表!$B:$B,MATCH(C1287,编号表!$A:$A,0))*1000+INDEX(编号表!$D:$D,MATCH(D1287,编号表!$C:$C,0))*100+E1287</f>
        <v>1039410</v>
      </c>
      <c r="C1287" s="2" t="s">
        <v>278</v>
      </c>
      <c r="D1287" s="8" t="s">
        <v>65</v>
      </c>
      <c r="E1287" s="8">
        <f t="shared" si="38"/>
        <v>10</v>
      </c>
      <c r="F1287" s="2" t="s">
        <v>273</v>
      </c>
      <c r="G1287" s="12" t="s">
        <v>62</v>
      </c>
      <c r="H1287" s="2">
        <v>60381002</v>
      </c>
      <c r="I1287" s="8">
        <v>10</v>
      </c>
    </row>
    <row r="1288" spans="1:9" x14ac:dyDescent="0.25">
      <c r="B1288" s="8">
        <f>1000000+INDEX(编号表!$B:$B,MATCH(C1288,编号表!$A:$A,0))*1000+INDEX(编号表!$D:$D,MATCH(D1288,编号表!$C:$C,0))*100+E1288</f>
        <v>1039510</v>
      </c>
      <c r="C1288" s="2" t="s">
        <v>278</v>
      </c>
      <c r="D1288" s="8" t="s">
        <v>67</v>
      </c>
      <c r="E1288" s="8">
        <f t="shared" si="38"/>
        <v>10</v>
      </c>
      <c r="F1288" s="2" t="s">
        <v>279</v>
      </c>
      <c r="G1288" s="12" t="s">
        <v>62</v>
      </c>
      <c r="H1288" s="2">
        <v>60381003</v>
      </c>
      <c r="I1288" s="8">
        <v>10</v>
      </c>
    </row>
    <row r="1289" spans="1:9" x14ac:dyDescent="0.25">
      <c r="B1289" s="8">
        <f>1000000+INDEX(编号表!$B:$B,MATCH(C1289,编号表!$A:$A,0))*1000+INDEX(编号表!$D:$D,MATCH(D1289,编号表!$C:$C,0))*100+E1289</f>
        <v>1039610</v>
      </c>
      <c r="C1289" s="2" t="s">
        <v>278</v>
      </c>
      <c r="D1289" s="8" t="s">
        <v>69</v>
      </c>
      <c r="E1289" s="8">
        <f t="shared" si="38"/>
        <v>10</v>
      </c>
      <c r="F1289" s="2" t="s">
        <v>280</v>
      </c>
      <c r="G1289" s="12" t="s">
        <v>62</v>
      </c>
      <c r="H1289" s="2">
        <v>60381004</v>
      </c>
      <c r="I1289" s="8">
        <v>10</v>
      </c>
    </row>
    <row r="1290" spans="1:9" x14ac:dyDescent="0.25">
      <c r="B1290" s="8">
        <f>1000000+INDEX(编号表!$B:$B,MATCH(C1290,编号表!$A:$A,0))*1000+INDEX(编号表!$D:$D,MATCH(D1290,编号表!$C:$C,0))*100+E1290</f>
        <v>1039710</v>
      </c>
      <c r="C1290" s="2" t="s">
        <v>278</v>
      </c>
      <c r="D1290" s="8" t="s">
        <v>179</v>
      </c>
      <c r="E1290" s="8">
        <f t="shared" si="38"/>
        <v>10</v>
      </c>
      <c r="F1290" s="2" t="s">
        <v>281</v>
      </c>
      <c r="G1290" s="12" t="s">
        <v>62</v>
      </c>
      <c r="H1290" s="2">
        <v>60381005</v>
      </c>
      <c r="I1290" s="8">
        <v>10</v>
      </c>
    </row>
    <row r="1291" spans="1:9" x14ac:dyDescent="0.25">
      <c r="B1291" s="8">
        <f>1000000+INDEX(编号表!$B:$B,MATCH(C1291,编号表!$A:$A,0))*1000+INDEX(编号表!$D:$D,MATCH(D1291,编号表!$C:$C,0))*100+E1291</f>
        <v>1039210</v>
      </c>
      <c r="C1291" s="2" t="s">
        <v>278</v>
      </c>
      <c r="D1291" s="8" t="s">
        <v>60</v>
      </c>
      <c r="E1291" s="8">
        <f t="shared" si="38"/>
        <v>10</v>
      </c>
      <c r="F1291" s="2" t="s">
        <v>272</v>
      </c>
      <c r="G1291" s="12" t="s">
        <v>62</v>
      </c>
      <c r="H1291" s="2">
        <v>60381000</v>
      </c>
      <c r="I1291" s="8">
        <v>10</v>
      </c>
    </row>
    <row r="1292" spans="1:9" x14ac:dyDescent="0.25">
      <c r="B1292" s="8">
        <f>1000000+INDEX(编号表!$B:$B,MATCH(C1292,编号表!$A:$A,0))*1000+INDEX(编号表!$D:$D,MATCH(D1292,编号表!$C:$C,0))*100+E1292</f>
        <v>1039315</v>
      </c>
      <c r="C1292" s="2" t="s">
        <v>278</v>
      </c>
      <c r="D1292" s="8" t="s">
        <v>63</v>
      </c>
      <c r="E1292" s="8">
        <f t="shared" si="38"/>
        <v>15</v>
      </c>
      <c r="F1292" s="2" t="s">
        <v>275</v>
      </c>
      <c r="G1292" s="12" t="s">
        <v>62</v>
      </c>
      <c r="H1292" s="2">
        <v>60381001</v>
      </c>
      <c r="I1292" s="8">
        <v>15</v>
      </c>
    </row>
    <row r="1293" spans="1:9" x14ac:dyDescent="0.25">
      <c r="B1293" s="8">
        <f>1000000+INDEX(编号表!$B:$B,MATCH(C1293,编号表!$A:$A,0))*1000+INDEX(编号表!$D:$D,MATCH(D1293,编号表!$C:$C,0))*100+E1293</f>
        <v>1039415</v>
      </c>
      <c r="C1293" s="2" t="s">
        <v>278</v>
      </c>
      <c r="D1293" s="8" t="s">
        <v>65</v>
      </c>
      <c r="E1293" s="8">
        <f t="shared" si="38"/>
        <v>15</v>
      </c>
      <c r="F1293" s="2" t="s">
        <v>273</v>
      </c>
      <c r="G1293" s="12" t="s">
        <v>62</v>
      </c>
      <c r="H1293" s="2">
        <v>60381002</v>
      </c>
      <c r="I1293" s="8">
        <v>15</v>
      </c>
    </row>
    <row r="1294" spans="1:9" x14ac:dyDescent="0.25">
      <c r="B1294" s="8">
        <f>1000000+INDEX(编号表!$B:$B,MATCH(C1294,编号表!$A:$A,0))*1000+INDEX(编号表!$D:$D,MATCH(D1294,编号表!$C:$C,0))*100+E1294</f>
        <v>1039515</v>
      </c>
      <c r="C1294" s="2" t="s">
        <v>278</v>
      </c>
      <c r="D1294" s="8" t="s">
        <v>67</v>
      </c>
      <c r="E1294" s="8">
        <f t="shared" si="38"/>
        <v>15</v>
      </c>
      <c r="F1294" s="2" t="s">
        <v>279</v>
      </c>
      <c r="G1294" s="12" t="s">
        <v>62</v>
      </c>
      <c r="H1294" s="2">
        <v>60381003</v>
      </c>
      <c r="I1294" s="8">
        <v>15</v>
      </c>
    </row>
    <row r="1295" spans="1:9" x14ac:dyDescent="0.25">
      <c r="B1295" s="8">
        <f>1000000+INDEX(编号表!$B:$B,MATCH(C1295,编号表!$A:$A,0))*1000+INDEX(编号表!$D:$D,MATCH(D1295,编号表!$C:$C,0))*100+E1295</f>
        <v>1039615</v>
      </c>
      <c r="C1295" s="2" t="s">
        <v>278</v>
      </c>
      <c r="D1295" s="8" t="s">
        <v>69</v>
      </c>
      <c r="E1295" s="8">
        <f t="shared" si="38"/>
        <v>15</v>
      </c>
      <c r="F1295" s="2" t="s">
        <v>280</v>
      </c>
      <c r="G1295" s="12" t="s">
        <v>62</v>
      </c>
      <c r="H1295" s="2">
        <v>60381004</v>
      </c>
      <c r="I1295" s="8">
        <v>15</v>
      </c>
    </row>
    <row r="1296" spans="1:9" x14ac:dyDescent="0.25">
      <c r="B1296" s="8">
        <f>1000000+INDEX(编号表!$B:$B,MATCH(C1296,编号表!$A:$A,0))*1000+INDEX(编号表!$D:$D,MATCH(D1296,编号表!$C:$C,0))*100+E1296</f>
        <v>1039715</v>
      </c>
      <c r="C1296" s="2" t="s">
        <v>278</v>
      </c>
      <c r="D1296" s="8" t="s">
        <v>179</v>
      </c>
      <c r="E1296" s="8">
        <f t="shared" si="38"/>
        <v>15</v>
      </c>
      <c r="F1296" s="2" t="s">
        <v>281</v>
      </c>
      <c r="G1296" s="12" t="s">
        <v>62</v>
      </c>
      <c r="H1296" s="2">
        <v>60381005</v>
      </c>
      <c r="I1296" s="8">
        <v>15</v>
      </c>
    </row>
    <row r="1297" spans="2:9" x14ac:dyDescent="0.25">
      <c r="B1297" s="8">
        <f>1000000+INDEX(编号表!$B:$B,MATCH(C1297,编号表!$A:$A,0))*1000+INDEX(编号表!$D:$D,MATCH(D1297,编号表!$C:$C,0))*100+E1297</f>
        <v>1040001</v>
      </c>
      <c r="C1297" s="2" t="s">
        <v>282</v>
      </c>
      <c r="D1297" s="8" t="s">
        <v>55</v>
      </c>
      <c r="E1297" s="8">
        <v>1</v>
      </c>
      <c r="F1297" s="11" t="s">
        <v>56</v>
      </c>
      <c r="G1297" s="12" t="s">
        <v>57</v>
      </c>
      <c r="H1297" s="8">
        <v>60394000</v>
      </c>
      <c r="I1297" s="8">
        <v>1</v>
      </c>
    </row>
    <row r="1298" spans="2:9" x14ac:dyDescent="0.25">
      <c r="B1298" s="8">
        <f>1000000+INDEX(编号表!$B:$B,MATCH(C1298,编号表!$A:$A,0))*1000+INDEX(编号表!$D:$D,MATCH(D1298,编号表!$C:$C,0))*100+E1298</f>
        <v>1040002</v>
      </c>
      <c r="C1298" s="2" t="s">
        <v>282</v>
      </c>
      <c r="D1298" s="8" t="s">
        <v>55</v>
      </c>
      <c r="E1298" s="8">
        <v>2</v>
      </c>
      <c r="F1298" s="11" t="s">
        <v>56</v>
      </c>
      <c r="G1298" s="12" t="s">
        <v>57</v>
      </c>
      <c r="H1298" s="8">
        <v>60394001</v>
      </c>
      <c r="I1298" s="8">
        <v>1</v>
      </c>
    </row>
    <row r="1299" spans="2:9" x14ac:dyDescent="0.25">
      <c r="B1299" s="8">
        <f>1000000+INDEX(编号表!$B:$B,MATCH(C1299,编号表!$A:$A,0))*1000+INDEX(编号表!$D:$D,MATCH(D1299,编号表!$C:$C,0))*100+E1299</f>
        <v>1040101</v>
      </c>
      <c r="C1299" s="2" t="s">
        <v>282</v>
      </c>
      <c r="D1299" s="8" t="s">
        <v>58</v>
      </c>
      <c r="E1299" s="8">
        <v>1</v>
      </c>
      <c r="F1299" s="11" t="s">
        <v>59</v>
      </c>
      <c r="G1299" s="12" t="s">
        <v>57</v>
      </c>
      <c r="H1299" s="2">
        <v>60392000</v>
      </c>
      <c r="I1299" s="8">
        <v>1</v>
      </c>
    </row>
    <row r="1300" spans="2:9" x14ac:dyDescent="0.25">
      <c r="B1300" s="8">
        <f>1000000+INDEX(编号表!$B:$B,MATCH(C1300,编号表!$A:$A,0))*1000+INDEX(编号表!$D:$D,MATCH(D1300,编号表!$C:$C,0))*100+E1300</f>
        <v>1040201</v>
      </c>
      <c r="C1300" s="2" t="s">
        <v>282</v>
      </c>
      <c r="D1300" s="8" t="s">
        <v>60</v>
      </c>
      <c r="E1300" s="8">
        <f t="shared" ref="E1300:E1329" si="39">I1300+K1300+M1300+O1300+Q1300+S1300+U1300+W1300+Y1300+AA1300</f>
        <v>1</v>
      </c>
      <c r="F1300" s="2" t="s">
        <v>271</v>
      </c>
      <c r="G1300" s="12" t="s">
        <v>62</v>
      </c>
      <c r="H1300" s="2">
        <v>60391000</v>
      </c>
      <c r="I1300" s="8">
        <v>1</v>
      </c>
    </row>
    <row r="1301" spans="2:9" x14ac:dyDescent="0.25">
      <c r="B1301" s="8">
        <f>1000000+INDEX(编号表!$B:$B,MATCH(C1301,编号表!$A:$A,0))*1000+INDEX(编号表!$D:$D,MATCH(D1301,编号表!$C:$C,0))*100+E1301</f>
        <v>1040301</v>
      </c>
      <c r="C1301" s="2" t="s">
        <v>282</v>
      </c>
      <c r="D1301" s="8" t="s">
        <v>63</v>
      </c>
      <c r="E1301" s="8">
        <f t="shared" si="39"/>
        <v>1</v>
      </c>
      <c r="F1301" s="2" t="s">
        <v>272</v>
      </c>
      <c r="G1301" s="12" t="s">
        <v>62</v>
      </c>
      <c r="H1301" s="2">
        <v>60391001</v>
      </c>
      <c r="I1301" s="8">
        <v>1</v>
      </c>
    </row>
    <row r="1302" spans="2:9" x14ac:dyDescent="0.25">
      <c r="B1302" s="8">
        <f>1000000+INDEX(编号表!$B:$B,MATCH(C1302,编号表!$A:$A,0))*1000+INDEX(编号表!$D:$D,MATCH(D1302,编号表!$C:$C,0))*100+E1302</f>
        <v>1040401</v>
      </c>
      <c r="C1302" s="2" t="s">
        <v>282</v>
      </c>
      <c r="D1302" s="8" t="s">
        <v>65</v>
      </c>
      <c r="E1302" s="8">
        <f t="shared" si="39"/>
        <v>1</v>
      </c>
      <c r="F1302" s="2" t="s">
        <v>275</v>
      </c>
      <c r="G1302" s="12" t="s">
        <v>62</v>
      </c>
      <c r="H1302" s="2">
        <v>60391002</v>
      </c>
      <c r="I1302" s="8">
        <v>1</v>
      </c>
    </row>
    <row r="1303" spans="2:9" x14ac:dyDescent="0.25">
      <c r="B1303" s="8">
        <f>1000000+INDEX(编号表!$B:$B,MATCH(C1303,编号表!$A:$A,0))*1000+INDEX(编号表!$D:$D,MATCH(D1303,编号表!$C:$C,0))*100+E1303</f>
        <v>1040501</v>
      </c>
      <c r="C1303" s="2" t="s">
        <v>282</v>
      </c>
      <c r="D1303" s="8" t="s">
        <v>67</v>
      </c>
      <c r="E1303" s="8">
        <f t="shared" si="39"/>
        <v>1</v>
      </c>
      <c r="F1303" s="2" t="s">
        <v>279</v>
      </c>
      <c r="G1303" s="12" t="s">
        <v>62</v>
      </c>
      <c r="H1303" s="2">
        <v>60391003</v>
      </c>
      <c r="I1303" s="8">
        <v>1</v>
      </c>
    </row>
    <row r="1304" spans="2:9" x14ac:dyDescent="0.25">
      <c r="B1304" s="8">
        <f>1000000+INDEX(编号表!$B:$B,MATCH(C1304,编号表!$A:$A,0))*1000+INDEX(编号表!$D:$D,MATCH(D1304,编号表!$C:$C,0))*100+E1304</f>
        <v>1040601</v>
      </c>
      <c r="C1304" s="2" t="s">
        <v>282</v>
      </c>
      <c r="D1304" s="8" t="s">
        <v>69</v>
      </c>
      <c r="E1304" s="8">
        <f t="shared" si="39"/>
        <v>1</v>
      </c>
      <c r="F1304" s="2" t="s">
        <v>281</v>
      </c>
      <c r="G1304" s="12" t="s">
        <v>62</v>
      </c>
      <c r="H1304" s="2">
        <v>60391004</v>
      </c>
      <c r="I1304" s="8">
        <v>1</v>
      </c>
    </row>
    <row r="1305" spans="2:9" x14ac:dyDescent="0.25">
      <c r="B1305" s="8">
        <f>1000000+INDEX(编号表!$B:$B,MATCH(C1305,编号表!$A:$A,0))*1000+INDEX(编号表!$D:$D,MATCH(D1305,编号表!$C:$C,0))*100+E1305</f>
        <v>1040202</v>
      </c>
      <c r="C1305" s="2" t="s">
        <v>282</v>
      </c>
      <c r="D1305" s="8" t="s">
        <v>60</v>
      </c>
      <c r="E1305" s="8">
        <f t="shared" si="39"/>
        <v>2</v>
      </c>
      <c r="F1305" s="2" t="s">
        <v>271</v>
      </c>
      <c r="G1305" s="12" t="s">
        <v>62</v>
      </c>
      <c r="H1305" s="2">
        <v>60391000</v>
      </c>
      <c r="I1305" s="8">
        <v>2</v>
      </c>
    </row>
    <row r="1306" spans="2:9" x14ac:dyDescent="0.25">
      <c r="B1306" s="8">
        <f>1000000+INDEX(编号表!$B:$B,MATCH(C1306,编号表!$A:$A,0))*1000+INDEX(编号表!$D:$D,MATCH(D1306,编号表!$C:$C,0))*100+E1306</f>
        <v>1040302</v>
      </c>
      <c r="C1306" s="2" t="s">
        <v>282</v>
      </c>
      <c r="D1306" s="8" t="s">
        <v>63</v>
      </c>
      <c r="E1306" s="8">
        <f t="shared" si="39"/>
        <v>2</v>
      </c>
      <c r="F1306" s="2" t="s">
        <v>272</v>
      </c>
      <c r="G1306" s="12" t="s">
        <v>62</v>
      </c>
      <c r="H1306" s="2">
        <v>60391001</v>
      </c>
      <c r="I1306" s="8">
        <v>2</v>
      </c>
    </row>
    <row r="1307" spans="2:9" x14ac:dyDescent="0.25">
      <c r="B1307" s="8">
        <f>1000000+INDEX(编号表!$B:$B,MATCH(C1307,编号表!$A:$A,0))*1000+INDEX(编号表!$D:$D,MATCH(D1307,编号表!$C:$C,0))*100+E1307</f>
        <v>1040402</v>
      </c>
      <c r="C1307" s="2" t="s">
        <v>282</v>
      </c>
      <c r="D1307" s="8" t="s">
        <v>65</v>
      </c>
      <c r="E1307" s="8">
        <f t="shared" si="39"/>
        <v>2</v>
      </c>
      <c r="F1307" s="2" t="s">
        <v>275</v>
      </c>
      <c r="G1307" s="12" t="s">
        <v>62</v>
      </c>
      <c r="H1307" s="2">
        <v>60391002</v>
      </c>
      <c r="I1307" s="8">
        <v>2</v>
      </c>
    </row>
    <row r="1308" spans="2:9" x14ac:dyDescent="0.25">
      <c r="B1308" s="8">
        <f>1000000+INDEX(编号表!$B:$B,MATCH(C1308,编号表!$A:$A,0))*1000+INDEX(编号表!$D:$D,MATCH(D1308,编号表!$C:$C,0))*100+E1308</f>
        <v>1040502</v>
      </c>
      <c r="C1308" s="2" t="s">
        <v>282</v>
      </c>
      <c r="D1308" s="8" t="s">
        <v>67</v>
      </c>
      <c r="E1308" s="8">
        <f t="shared" si="39"/>
        <v>2</v>
      </c>
      <c r="F1308" s="2" t="s">
        <v>279</v>
      </c>
      <c r="G1308" s="12" t="s">
        <v>62</v>
      </c>
      <c r="H1308" s="2">
        <v>60391003</v>
      </c>
      <c r="I1308" s="8">
        <v>2</v>
      </c>
    </row>
    <row r="1309" spans="2:9" x14ac:dyDescent="0.25">
      <c r="B1309" s="8">
        <f>1000000+INDEX(编号表!$B:$B,MATCH(C1309,编号表!$A:$A,0))*1000+INDEX(编号表!$D:$D,MATCH(D1309,编号表!$C:$C,0))*100+E1309</f>
        <v>1040602</v>
      </c>
      <c r="C1309" s="2" t="s">
        <v>282</v>
      </c>
      <c r="D1309" s="8" t="s">
        <v>69</v>
      </c>
      <c r="E1309" s="8">
        <f t="shared" si="39"/>
        <v>2</v>
      </c>
      <c r="F1309" s="2" t="s">
        <v>281</v>
      </c>
      <c r="G1309" s="12" t="s">
        <v>62</v>
      </c>
      <c r="H1309" s="2">
        <v>60391004</v>
      </c>
      <c r="I1309" s="8">
        <v>2</v>
      </c>
    </row>
    <row r="1310" spans="2:9" x14ac:dyDescent="0.25">
      <c r="B1310" s="8">
        <f>1000000+INDEX(编号表!$B:$B,MATCH(C1310,编号表!$A:$A,0))*1000+INDEX(编号表!$D:$D,MATCH(D1310,编号表!$C:$C,0))*100+E1310</f>
        <v>1040203</v>
      </c>
      <c r="C1310" s="2" t="s">
        <v>282</v>
      </c>
      <c r="D1310" s="8" t="s">
        <v>60</v>
      </c>
      <c r="E1310" s="8">
        <f t="shared" si="39"/>
        <v>3</v>
      </c>
      <c r="F1310" s="2" t="s">
        <v>271</v>
      </c>
      <c r="G1310" s="12" t="s">
        <v>62</v>
      </c>
      <c r="H1310" s="2">
        <v>60391000</v>
      </c>
      <c r="I1310" s="8">
        <v>3</v>
      </c>
    </row>
    <row r="1311" spans="2:9" x14ac:dyDescent="0.25">
      <c r="B1311" s="8">
        <f>1000000+INDEX(编号表!$B:$B,MATCH(C1311,编号表!$A:$A,0))*1000+INDEX(编号表!$D:$D,MATCH(D1311,编号表!$C:$C,0))*100+E1311</f>
        <v>1040303</v>
      </c>
      <c r="C1311" s="2" t="s">
        <v>282</v>
      </c>
      <c r="D1311" s="8" t="s">
        <v>63</v>
      </c>
      <c r="E1311" s="8">
        <f t="shared" si="39"/>
        <v>3</v>
      </c>
      <c r="F1311" s="2" t="s">
        <v>272</v>
      </c>
      <c r="G1311" s="12" t="s">
        <v>62</v>
      </c>
      <c r="H1311" s="2">
        <v>60391001</v>
      </c>
      <c r="I1311" s="8">
        <v>3</v>
      </c>
    </row>
    <row r="1312" spans="2:9" x14ac:dyDescent="0.25">
      <c r="B1312" s="8">
        <f>1000000+INDEX(编号表!$B:$B,MATCH(C1312,编号表!$A:$A,0))*1000+INDEX(编号表!$D:$D,MATCH(D1312,编号表!$C:$C,0))*100+E1312</f>
        <v>1040403</v>
      </c>
      <c r="C1312" s="2" t="s">
        <v>282</v>
      </c>
      <c r="D1312" s="8" t="s">
        <v>65</v>
      </c>
      <c r="E1312" s="8">
        <f t="shared" si="39"/>
        <v>3</v>
      </c>
      <c r="F1312" s="2" t="s">
        <v>275</v>
      </c>
      <c r="G1312" s="12" t="s">
        <v>62</v>
      </c>
      <c r="H1312" s="2">
        <v>60391002</v>
      </c>
      <c r="I1312" s="8">
        <v>3</v>
      </c>
    </row>
    <row r="1313" spans="2:9" x14ac:dyDescent="0.25">
      <c r="B1313" s="8">
        <f>1000000+INDEX(编号表!$B:$B,MATCH(C1313,编号表!$A:$A,0))*1000+INDEX(编号表!$D:$D,MATCH(D1313,编号表!$C:$C,0))*100+E1313</f>
        <v>1040503</v>
      </c>
      <c r="C1313" s="2" t="s">
        <v>282</v>
      </c>
      <c r="D1313" s="8" t="s">
        <v>67</v>
      </c>
      <c r="E1313" s="8">
        <f t="shared" si="39"/>
        <v>3</v>
      </c>
      <c r="F1313" s="2" t="s">
        <v>279</v>
      </c>
      <c r="G1313" s="12" t="s">
        <v>62</v>
      </c>
      <c r="H1313" s="2">
        <v>60391003</v>
      </c>
      <c r="I1313" s="8">
        <v>3</v>
      </c>
    </row>
    <row r="1314" spans="2:9" x14ac:dyDescent="0.25">
      <c r="B1314" s="8">
        <f>1000000+INDEX(编号表!$B:$B,MATCH(C1314,编号表!$A:$A,0))*1000+INDEX(编号表!$D:$D,MATCH(D1314,编号表!$C:$C,0))*100+E1314</f>
        <v>1040603</v>
      </c>
      <c r="C1314" s="2" t="s">
        <v>282</v>
      </c>
      <c r="D1314" s="8" t="s">
        <v>69</v>
      </c>
      <c r="E1314" s="8">
        <f t="shared" si="39"/>
        <v>3</v>
      </c>
      <c r="F1314" s="2" t="s">
        <v>281</v>
      </c>
      <c r="G1314" s="12" t="s">
        <v>62</v>
      </c>
      <c r="H1314" s="2">
        <v>60391004</v>
      </c>
      <c r="I1314" s="8">
        <v>3</v>
      </c>
    </row>
    <row r="1315" spans="2:9" x14ac:dyDescent="0.25">
      <c r="B1315" s="8">
        <f>1000000+INDEX(编号表!$B:$B,MATCH(C1315,编号表!$A:$A,0))*1000+INDEX(编号表!$D:$D,MATCH(D1315,编号表!$C:$C,0))*100+E1315</f>
        <v>1040205</v>
      </c>
      <c r="C1315" s="2" t="s">
        <v>282</v>
      </c>
      <c r="D1315" s="8" t="s">
        <v>60</v>
      </c>
      <c r="E1315" s="8">
        <f t="shared" si="39"/>
        <v>5</v>
      </c>
      <c r="F1315" s="2" t="s">
        <v>271</v>
      </c>
      <c r="G1315" s="12" t="s">
        <v>62</v>
      </c>
      <c r="H1315" s="2">
        <v>60391000</v>
      </c>
      <c r="I1315" s="8">
        <v>5</v>
      </c>
    </row>
    <row r="1316" spans="2:9" x14ac:dyDescent="0.25">
      <c r="B1316" s="8">
        <f>1000000+INDEX(编号表!$B:$B,MATCH(C1316,编号表!$A:$A,0))*1000+INDEX(编号表!$D:$D,MATCH(D1316,编号表!$C:$C,0))*100+E1316</f>
        <v>1040305</v>
      </c>
      <c r="C1316" s="2" t="s">
        <v>282</v>
      </c>
      <c r="D1316" s="8" t="s">
        <v>63</v>
      </c>
      <c r="E1316" s="8">
        <f t="shared" si="39"/>
        <v>5</v>
      </c>
      <c r="F1316" s="2" t="s">
        <v>272</v>
      </c>
      <c r="G1316" s="12" t="s">
        <v>62</v>
      </c>
      <c r="H1316" s="2">
        <v>60391001</v>
      </c>
      <c r="I1316" s="8">
        <v>5</v>
      </c>
    </row>
    <row r="1317" spans="2:9" x14ac:dyDescent="0.25">
      <c r="B1317" s="8">
        <f>1000000+INDEX(编号表!$B:$B,MATCH(C1317,编号表!$A:$A,0))*1000+INDEX(编号表!$D:$D,MATCH(D1317,编号表!$C:$C,0))*100+E1317</f>
        <v>1040405</v>
      </c>
      <c r="C1317" s="2" t="s">
        <v>282</v>
      </c>
      <c r="D1317" s="8" t="s">
        <v>65</v>
      </c>
      <c r="E1317" s="8">
        <f t="shared" si="39"/>
        <v>5</v>
      </c>
      <c r="F1317" s="2" t="s">
        <v>275</v>
      </c>
      <c r="G1317" s="12" t="s">
        <v>62</v>
      </c>
      <c r="H1317" s="2">
        <v>60391002</v>
      </c>
      <c r="I1317" s="8">
        <v>5</v>
      </c>
    </row>
    <row r="1318" spans="2:9" x14ac:dyDescent="0.25">
      <c r="B1318" s="8">
        <f>1000000+INDEX(编号表!$B:$B,MATCH(C1318,编号表!$A:$A,0))*1000+INDEX(编号表!$D:$D,MATCH(D1318,编号表!$C:$C,0))*100+E1318</f>
        <v>1040505</v>
      </c>
      <c r="C1318" s="2" t="s">
        <v>282</v>
      </c>
      <c r="D1318" s="8" t="s">
        <v>67</v>
      </c>
      <c r="E1318" s="8">
        <f t="shared" si="39"/>
        <v>5</v>
      </c>
      <c r="F1318" s="2" t="s">
        <v>279</v>
      </c>
      <c r="G1318" s="12" t="s">
        <v>62</v>
      </c>
      <c r="H1318" s="2">
        <v>60391003</v>
      </c>
      <c r="I1318" s="8">
        <v>5</v>
      </c>
    </row>
    <row r="1319" spans="2:9" x14ac:dyDescent="0.25">
      <c r="B1319" s="8">
        <f>1000000+INDEX(编号表!$B:$B,MATCH(C1319,编号表!$A:$A,0))*1000+INDEX(编号表!$D:$D,MATCH(D1319,编号表!$C:$C,0))*100+E1319</f>
        <v>1040605</v>
      </c>
      <c r="C1319" s="2" t="s">
        <v>282</v>
      </c>
      <c r="D1319" s="8" t="s">
        <v>69</v>
      </c>
      <c r="E1319" s="8">
        <f t="shared" si="39"/>
        <v>5</v>
      </c>
      <c r="F1319" s="2" t="s">
        <v>281</v>
      </c>
      <c r="G1319" s="12" t="s">
        <v>62</v>
      </c>
      <c r="H1319" s="2">
        <v>60391004</v>
      </c>
      <c r="I1319" s="8">
        <v>5</v>
      </c>
    </row>
    <row r="1320" spans="2:9" x14ac:dyDescent="0.25">
      <c r="B1320" s="8">
        <f>1000000+INDEX(编号表!$B:$B,MATCH(C1320,编号表!$A:$A,0))*1000+INDEX(编号表!$D:$D,MATCH(D1320,编号表!$C:$C,0))*100+E1320</f>
        <v>1040210</v>
      </c>
      <c r="C1320" s="2" t="s">
        <v>282</v>
      </c>
      <c r="D1320" s="8" t="s">
        <v>60</v>
      </c>
      <c r="E1320" s="8">
        <f t="shared" si="39"/>
        <v>10</v>
      </c>
      <c r="F1320" s="2" t="s">
        <v>271</v>
      </c>
      <c r="G1320" s="12" t="s">
        <v>62</v>
      </c>
      <c r="H1320" s="2">
        <v>60391000</v>
      </c>
      <c r="I1320" s="8">
        <v>10</v>
      </c>
    </row>
    <row r="1321" spans="2:9" x14ac:dyDescent="0.25">
      <c r="B1321" s="8">
        <f>1000000+INDEX(编号表!$B:$B,MATCH(C1321,编号表!$A:$A,0))*1000+INDEX(编号表!$D:$D,MATCH(D1321,编号表!$C:$C,0))*100+E1321</f>
        <v>1040310</v>
      </c>
      <c r="C1321" s="2" t="s">
        <v>282</v>
      </c>
      <c r="D1321" s="8" t="s">
        <v>63</v>
      </c>
      <c r="E1321" s="8">
        <f t="shared" si="39"/>
        <v>10</v>
      </c>
      <c r="F1321" s="2" t="s">
        <v>272</v>
      </c>
      <c r="G1321" s="12" t="s">
        <v>62</v>
      </c>
      <c r="H1321" s="2">
        <v>60391001</v>
      </c>
      <c r="I1321" s="8">
        <v>10</v>
      </c>
    </row>
    <row r="1322" spans="2:9" x14ac:dyDescent="0.25">
      <c r="B1322" s="8">
        <f>1000000+INDEX(编号表!$B:$B,MATCH(C1322,编号表!$A:$A,0))*1000+INDEX(编号表!$D:$D,MATCH(D1322,编号表!$C:$C,0))*100+E1322</f>
        <v>1040410</v>
      </c>
      <c r="C1322" s="2" t="s">
        <v>282</v>
      </c>
      <c r="D1322" s="8" t="s">
        <v>65</v>
      </c>
      <c r="E1322" s="8">
        <f t="shared" si="39"/>
        <v>10</v>
      </c>
      <c r="F1322" s="2" t="s">
        <v>275</v>
      </c>
      <c r="G1322" s="12" t="s">
        <v>62</v>
      </c>
      <c r="H1322" s="2">
        <v>60391002</v>
      </c>
      <c r="I1322" s="8">
        <v>10</v>
      </c>
    </row>
    <row r="1323" spans="2:9" x14ac:dyDescent="0.25">
      <c r="B1323" s="8">
        <f>1000000+INDEX(编号表!$B:$B,MATCH(C1323,编号表!$A:$A,0))*1000+INDEX(编号表!$D:$D,MATCH(D1323,编号表!$C:$C,0))*100+E1323</f>
        <v>1040510</v>
      </c>
      <c r="C1323" s="2" t="s">
        <v>282</v>
      </c>
      <c r="D1323" s="8" t="s">
        <v>67</v>
      </c>
      <c r="E1323" s="8">
        <f t="shared" si="39"/>
        <v>10</v>
      </c>
      <c r="F1323" s="2" t="s">
        <v>279</v>
      </c>
      <c r="G1323" s="12" t="s">
        <v>62</v>
      </c>
      <c r="H1323" s="2">
        <v>60391003</v>
      </c>
      <c r="I1323" s="8">
        <v>10</v>
      </c>
    </row>
    <row r="1324" spans="2:9" x14ac:dyDescent="0.25">
      <c r="B1324" s="8">
        <f>1000000+INDEX(编号表!$B:$B,MATCH(C1324,编号表!$A:$A,0))*1000+INDEX(编号表!$D:$D,MATCH(D1324,编号表!$C:$C,0))*100+E1324</f>
        <v>1040610</v>
      </c>
      <c r="C1324" s="2" t="s">
        <v>282</v>
      </c>
      <c r="D1324" s="8" t="s">
        <v>69</v>
      </c>
      <c r="E1324" s="8">
        <f t="shared" si="39"/>
        <v>10</v>
      </c>
      <c r="F1324" s="2" t="s">
        <v>281</v>
      </c>
      <c r="G1324" s="12" t="s">
        <v>62</v>
      </c>
      <c r="H1324" s="2">
        <v>60391004</v>
      </c>
      <c r="I1324" s="8">
        <v>10</v>
      </c>
    </row>
    <row r="1325" spans="2:9" x14ac:dyDescent="0.25">
      <c r="B1325" s="8">
        <f>1000000+INDEX(编号表!$B:$B,MATCH(C1325,编号表!$A:$A,0))*1000+INDEX(编号表!$D:$D,MATCH(D1325,编号表!$C:$C,0))*100+E1325</f>
        <v>1040215</v>
      </c>
      <c r="C1325" s="2" t="s">
        <v>282</v>
      </c>
      <c r="D1325" s="8" t="s">
        <v>60</v>
      </c>
      <c r="E1325" s="8">
        <f t="shared" si="39"/>
        <v>15</v>
      </c>
      <c r="F1325" s="2" t="s">
        <v>271</v>
      </c>
      <c r="G1325" s="12" t="s">
        <v>62</v>
      </c>
      <c r="H1325" s="2">
        <v>60391000</v>
      </c>
      <c r="I1325" s="8">
        <v>15</v>
      </c>
    </row>
    <row r="1326" spans="2:9" x14ac:dyDescent="0.25">
      <c r="B1326" s="8">
        <f>1000000+INDEX(编号表!$B:$B,MATCH(C1326,编号表!$A:$A,0))*1000+INDEX(编号表!$D:$D,MATCH(D1326,编号表!$C:$C,0))*100+E1326</f>
        <v>1040315</v>
      </c>
      <c r="C1326" s="2" t="s">
        <v>282</v>
      </c>
      <c r="D1326" s="8" t="s">
        <v>63</v>
      </c>
      <c r="E1326" s="8">
        <f t="shared" si="39"/>
        <v>15</v>
      </c>
      <c r="F1326" s="2" t="s">
        <v>272</v>
      </c>
      <c r="G1326" s="12" t="s">
        <v>62</v>
      </c>
      <c r="H1326" s="2">
        <v>60391001</v>
      </c>
      <c r="I1326" s="8">
        <v>15</v>
      </c>
    </row>
    <row r="1327" spans="2:9" x14ac:dyDescent="0.25">
      <c r="B1327" s="8">
        <f>1000000+INDEX(编号表!$B:$B,MATCH(C1327,编号表!$A:$A,0))*1000+INDEX(编号表!$D:$D,MATCH(D1327,编号表!$C:$C,0))*100+E1327</f>
        <v>1040415</v>
      </c>
      <c r="C1327" s="2" t="s">
        <v>282</v>
      </c>
      <c r="D1327" s="8" t="s">
        <v>65</v>
      </c>
      <c r="E1327" s="8">
        <f t="shared" si="39"/>
        <v>15</v>
      </c>
      <c r="F1327" s="2" t="s">
        <v>275</v>
      </c>
      <c r="G1327" s="12" t="s">
        <v>62</v>
      </c>
      <c r="H1327" s="2">
        <v>60391002</v>
      </c>
      <c r="I1327" s="8">
        <v>15</v>
      </c>
    </row>
    <row r="1328" spans="2:9" x14ac:dyDescent="0.25">
      <c r="B1328" s="8">
        <f>1000000+INDEX(编号表!$B:$B,MATCH(C1328,编号表!$A:$A,0))*1000+INDEX(编号表!$D:$D,MATCH(D1328,编号表!$C:$C,0))*100+E1328</f>
        <v>1040515</v>
      </c>
      <c r="C1328" s="2" t="s">
        <v>282</v>
      </c>
      <c r="D1328" s="8" t="s">
        <v>67</v>
      </c>
      <c r="E1328" s="8">
        <f t="shared" si="39"/>
        <v>15</v>
      </c>
      <c r="F1328" s="2" t="s">
        <v>279</v>
      </c>
      <c r="G1328" s="12" t="s">
        <v>62</v>
      </c>
      <c r="H1328" s="2">
        <v>60391003</v>
      </c>
      <c r="I1328" s="8">
        <v>15</v>
      </c>
    </row>
    <row r="1329" spans="2:9" x14ac:dyDescent="0.25">
      <c r="B1329" s="8">
        <f>1000000+INDEX(编号表!$B:$B,MATCH(C1329,编号表!$A:$A,0))*1000+INDEX(编号表!$D:$D,MATCH(D1329,编号表!$C:$C,0))*100+E1329</f>
        <v>1040615</v>
      </c>
      <c r="C1329" s="2" t="s">
        <v>282</v>
      </c>
      <c r="D1329" s="8" t="s">
        <v>69</v>
      </c>
      <c r="E1329" s="8">
        <f t="shared" si="39"/>
        <v>15</v>
      </c>
      <c r="F1329" s="2" t="s">
        <v>281</v>
      </c>
      <c r="G1329" s="12" t="s">
        <v>62</v>
      </c>
      <c r="H1329" s="2">
        <v>60391004</v>
      </c>
      <c r="I1329" s="8">
        <v>15</v>
      </c>
    </row>
    <row r="1330" spans="2:9" x14ac:dyDescent="0.25">
      <c r="B1330" s="8">
        <f>1000000+INDEX(编号表!$B:$B,MATCH(C1330,编号表!$A:$A,0))*1000+INDEX(编号表!$D:$D,MATCH(D1330,编号表!$C:$C,0))*100+E1330</f>
        <v>1041001</v>
      </c>
      <c r="C1330" s="2" t="s">
        <v>283</v>
      </c>
      <c r="D1330" s="8" t="s">
        <v>55</v>
      </c>
      <c r="E1330" s="8">
        <v>1</v>
      </c>
      <c r="F1330" s="11" t="s">
        <v>56</v>
      </c>
      <c r="G1330" s="12" t="s">
        <v>57</v>
      </c>
      <c r="H1330" s="8">
        <v>60404000</v>
      </c>
      <c r="I1330" s="8">
        <v>1</v>
      </c>
    </row>
    <row r="1331" spans="2:9" x14ac:dyDescent="0.25">
      <c r="B1331" s="8">
        <f>1000000+INDEX(编号表!$B:$B,MATCH(C1331,编号表!$A:$A,0))*1000+INDEX(编号表!$D:$D,MATCH(D1331,编号表!$C:$C,0))*100+E1331</f>
        <v>1041002</v>
      </c>
      <c r="C1331" s="2" t="s">
        <v>283</v>
      </c>
      <c r="D1331" s="8" t="s">
        <v>55</v>
      </c>
      <c r="E1331" s="8">
        <v>2</v>
      </c>
      <c r="F1331" s="11" t="s">
        <v>56</v>
      </c>
      <c r="G1331" s="12" t="s">
        <v>57</v>
      </c>
      <c r="H1331" s="8">
        <v>60404001</v>
      </c>
      <c r="I1331" s="8">
        <v>1</v>
      </c>
    </row>
    <row r="1332" spans="2:9" x14ac:dyDescent="0.25">
      <c r="B1332" s="8">
        <f>1000000+INDEX(编号表!$B:$B,MATCH(C1332,编号表!$A:$A,0))*1000+INDEX(编号表!$D:$D,MATCH(D1332,编号表!$C:$C,0))*100+E1332</f>
        <v>1041003</v>
      </c>
      <c r="C1332" s="2" t="s">
        <v>283</v>
      </c>
      <c r="D1332" s="8" t="s">
        <v>55</v>
      </c>
      <c r="E1332" s="8">
        <v>3</v>
      </c>
      <c r="F1332" s="11" t="s">
        <v>56</v>
      </c>
      <c r="G1332" s="12" t="s">
        <v>57</v>
      </c>
      <c r="H1332" s="8">
        <v>60404002</v>
      </c>
      <c r="I1332" s="8">
        <v>1</v>
      </c>
    </row>
    <row r="1333" spans="2:9" x14ac:dyDescent="0.25">
      <c r="B1333" s="8">
        <f>1000000+INDEX(编号表!$B:$B,MATCH(C1333,编号表!$A:$A,0))*1000+INDEX(编号表!$D:$D,MATCH(D1333,编号表!$C:$C,0))*100+E1333</f>
        <v>1041101</v>
      </c>
      <c r="C1333" s="2" t="s">
        <v>283</v>
      </c>
      <c r="D1333" s="8" t="s">
        <v>58</v>
      </c>
      <c r="E1333" s="8">
        <v>1</v>
      </c>
      <c r="F1333" s="11" t="s">
        <v>59</v>
      </c>
      <c r="G1333" s="12" t="s">
        <v>57</v>
      </c>
      <c r="H1333" s="2">
        <v>60402000</v>
      </c>
      <c r="I1333" s="8">
        <v>1</v>
      </c>
    </row>
    <row r="1334" spans="2:9" x14ac:dyDescent="0.25">
      <c r="B1334" s="8">
        <f>1000000+INDEX(编号表!$B:$B,MATCH(C1334,编号表!$A:$A,0))*1000+INDEX(编号表!$D:$D,MATCH(D1334,编号表!$C:$C,0))*100+E1334</f>
        <v>1041201</v>
      </c>
      <c r="C1334" s="2" t="s">
        <v>283</v>
      </c>
      <c r="D1334" s="8" t="s">
        <v>60</v>
      </c>
      <c r="E1334" s="8">
        <f t="shared" ref="E1334:E1363" si="40">I1334+K1334+M1334+O1334+Q1334+S1334+U1334+W1334+Y1334+AA1334</f>
        <v>1</v>
      </c>
      <c r="F1334" s="2" t="s">
        <v>272</v>
      </c>
      <c r="G1334" s="12" t="s">
        <v>62</v>
      </c>
      <c r="H1334" s="2">
        <v>60401000</v>
      </c>
      <c r="I1334" s="8">
        <v>1</v>
      </c>
    </row>
    <row r="1335" spans="2:9" x14ac:dyDescent="0.25">
      <c r="B1335" s="8">
        <f>1000000+INDEX(编号表!$B:$B,MATCH(C1335,编号表!$A:$A,0))*1000+INDEX(编号表!$D:$D,MATCH(D1335,编号表!$C:$C,0))*100+E1335</f>
        <v>1041301</v>
      </c>
      <c r="C1335" s="2" t="s">
        <v>283</v>
      </c>
      <c r="D1335" s="8" t="s">
        <v>63</v>
      </c>
      <c r="E1335" s="8">
        <f t="shared" si="40"/>
        <v>1</v>
      </c>
      <c r="F1335" s="2" t="s">
        <v>275</v>
      </c>
      <c r="G1335" s="12" t="s">
        <v>62</v>
      </c>
      <c r="H1335" s="2">
        <v>60401001</v>
      </c>
      <c r="I1335" s="8">
        <v>1</v>
      </c>
    </row>
    <row r="1336" spans="2:9" x14ac:dyDescent="0.25">
      <c r="B1336" s="8">
        <f>1000000+INDEX(编号表!$B:$B,MATCH(C1336,编号表!$A:$A,0))*1000+INDEX(编号表!$D:$D,MATCH(D1336,编号表!$C:$C,0))*100+E1336</f>
        <v>1041401</v>
      </c>
      <c r="C1336" s="2" t="s">
        <v>283</v>
      </c>
      <c r="D1336" s="8" t="s">
        <v>65</v>
      </c>
      <c r="E1336" s="8">
        <f t="shared" si="40"/>
        <v>1</v>
      </c>
      <c r="F1336" s="2" t="s">
        <v>280</v>
      </c>
      <c r="G1336" s="12" t="s">
        <v>62</v>
      </c>
      <c r="H1336" s="2">
        <v>60401002</v>
      </c>
      <c r="I1336" s="8">
        <v>1</v>
      </c>
    </row>
    <row r="1337" spans="2:9" x14ac:dyDescent="0.25">
      <c r="B1337" s="8">
        <f>1000000+INDEX(编号表!$B:$B,MATCH(C1337,编号表!$A:$A,0))*1000+INDEX(编号表!$D:$D,MATCH(D1337,编号表!$C:$C,0))*100+E1337</f>
        <v>1041501</v>
      </c>
      <c r="C1337" s="2" t="s">
        <v>283</v>
      </c>
      <c r="D1337" s="8" t="s">
        <v>67</v>
      </c>
      <c r="E1337" s="8">
        <f t="shared" si="40"/>
        <v>1</v>
      </c>
      <c r="F1337" s="2" t="s">
        <v>279</v>
      </c>
      <c r="G1337" s="12" t="s">
        <v>62</v>
      </c>
      <c r="H1337" s="2">
        <v>60401003</v>
      </c>
      <c r="I1337" s="8">
        <v>1</v>
      </c>
    </row>
    <row r="1338" spans="2:9" x14ac:dyDescent="0.25">
      <c r="B1338" s="8">
        <f>1000000+INDEX(编号表!$B:$B,MATCH(C1338,编号表!$A:$A,0))*1000+INDEX(编号表!$D:$D,MATCH(D1338,编号表!$C:$C,0))*100+E1338</f>
        <v>1041601</v>
      </c>
      <c r="C1338" s="2" t="s">
        <v>283</v>
      </c>
      <c r="D1338" s="8" t="s">
        <v>69</v>
      </c>
      <c r="E1338" s="8">
        <f t="shared" si="40"/>
        <v>1</v>
      </c>
      <c r="F1338" s="2" t="s">
        <v>281</v>
      </c>
      <c r="G1338" s="12" t="s">
        <v>62</v>
      </c>
      <c r="H1338" s="2">
        <v>60401004</v>
      </c>
      <c r="I1338" s="8">
        <v>1</v>
      </c>
    </row>
    <row r="1339" spans="2:9" x14ac:dyDescent="0.25">
      <c r="B1339" s="8">
        <f>1000000+INDEX(编号表!$B:$B,MATCH(C1339,编号表!$A:$A,0))*1000+INDEX(编号表!$D:$D,MATCH(D1339,编号表!$C:$C,0))*100+E1339</f>
        <v>1041202</v>
      </c>
      <c r="C1339" s="2" t="s">
        <v>283</v>
      </c>
      <c r="D1339" s="8" t="s">
        <v>60</v>
      </c>
      <c r="E1339" s="8">
        <f t="shared" si="40"/>
        <v>2</v>
      </c>
      <c r="F1339" s="2" t="s">
        <v>272</v>
      </c>
      <c r="G1339" s="12" t="s">
        <v>62</v>
      </c>
      <c r="H1339" s="2">
        <v>60401000</v>
      </c>
      <c r="I1339" s="8">
        <v>2</v>
      </c>
    </row>
    <row r="1340" spans="2:9" x14ac:dyDescent="0.25">
      <c r="B1340" s="8">
        <f>1000000+INDEX(编号表!$B:$B,MATCH(C1340,编号表!$A:$A,0))*1000+INDEX(编号表!$D:$D,MATCH(D1340,编号表!$C:$C,0))*100+E1340</f>
        <v>1041302</v>
      </c>
      <c r="C1340" s="2" t="s">
        <v>283</v>
      </c>
      <c r="D1340" s="8" t="s">
        <v>63</v>
      </c>
      <c r="E1340" s="8">
        <f t="shared" si="40"/>
        <v>2</v>
      </c>
      <c r="F1340" s="2" t="s">
        <v>275</v>
      </c>
      <c r="G1340" s="12" t="s">
        <v>62</v>
      </c>
      <c r="H1340" s="2">
        <v>60401001</v>
      </c>
      <c r="I1340" s="8">
        <v>2</v>
      </c>
    </row>
    <row r="1341" spans="2:9" x14ac:dyDescent="0.25">
      <c r="B1341" s="8">
        <f>1000000+INDEX(编号表!$B:$B,MATCH(C1341,编号表!$A:$A,0))*1000+INDEX(编号表!$D:$D,MATCH(D1341,编号表!$C:$C,0))*100+E1341</f>
        <v>1041402</v>
      </c>
      <c r="C1341" s="2" t="s">
        <v>283</v>
      </c>
      <c r="D1341" s="8" t="s">
        <v>65</v>
      </c>
      <c r="E1341" s="8">
        <f t="shared" si="40"/>
        <v>2</v>
      </c>
      <c r="F1341" s="2" t="s">
        <v>280</v>
      </c>
      <c r="G1341" s="12" t="s">
        <v>62</v>
      </c>
      <c r="H1341" s="2">
        <v>60401002</v>
      </c>
      <c r="I1341" s="8">
        <v>2</v>
      </c>
    </row>
    <row r="1342" spans="2:9" x14ac:dyDescent="0.25">
      <c r="B1342" s="8">
        <f>1000000+INDEX(编号表!$B:$B,MATCH(C1342,编号表!$A:$A,0))*1000+INDEX(编号表!$D:$D,MATCH(D1342,编号表!$C:$C,0))*100+E1342</f>
        <v>1041502</v>
      </c>
      <c r="C1342" s="2" t="s">
        <v>283</v>
      </c>
      <c r="D1342" s="8" t="s">
        <v>67</v>
      </c>
      <c r="E1342" s="8">
        <f t="shared" si="40"/>
        <v>2</v>
      </c>
      <c r="F1342" s="2" t="s">
        <v>279</v>
      </c>
      <c r="G1342" s="12" t="s">
        <v>62</v>
      </c>
      <c r="H1342" s="2">
        <v>60401003</v>
      </c>
      <c r="I1342" s="8">
        <v>2</v>
      </c>
    </row>
    <row r="1343" spans="2:9" x14ac:dyDescent="0.25">
      <c r="B1343" s="8">
        <f>1000000+INDEX(编号表!$B:$B,MATCH(C1343,编号表!$A:$A,0))*1000+INDEX(编号表!$D:$D,MATCH(D1343,编号表!$C:$C,0))*100+E1343</f>
        <v>1041602</v>
      </c>
      <c r="C1343" s="2" t="s">
        <v>283</v>
      </c>
      <c r="D1343" s="8" t="s">
        <v>69</v>
      </c>
      <c r="E1343" s="8">
        <f t="shared" si="40"/>
        <v>2</v>
      </c>
      <c r="F1343" s="2" t="s">
        <v>281</v>
      </c>
      <c r="G1343" s="12" t="s">
        <v>62</v>
      </c>
      <c r="H1343" s="2">
        <v>60401004</v>
      </c>
      <c r="I1343" s="8">
        <v>2</v>
      </c>
    </row>
    <row r="1344" spans="2:9" x14ac:dyDescent="0.25">
      <c r="B1344" s="8">
        <f>1000000+INDEX(编号表!$B:$B,MATCH(C1344,编号表!$A:$A,0))*1000+INDEX(编号表!$D:$D,MATCH(D1344,编号表!$C:$C,0))*100+E1344</f>
        <v>1041203</v>
      </c>
      <c r="C1344" s="2" t="s">
        <v>283</v>
      </c>
      <c r="D1344" s="8" t="s">
        <v>60</v>
      </c>
      <c r="E1344" s="8">
        <f t="shared" si="40"/>
        <v>3</v>
      </c>
      <c r="F1344" s="2" t="s">
        <v>272</v>
      </c>
      <c r="G1344" s="12" t="s">
        <v>62</v>
      </c>
      <c r="H1344" s="2">
        <v>60401000</v>
      </c>
      <c r="I1344" s="8">
        <v>3</v>
      </c>
    </row>
    <row r="1345" spans="2:9" x14ac:dyDescent="0.25">
      <c r="B1345" s="8">
        <f>1000000+INDEX(编号表!$B:$B,MATCH(C1345,编号表!$A:$A,0))*1000+INDEX(编号表!$D:$D,MATCH(D1345,编号表!$C:$C,0))*100+E1345</f>
        <v>1041303</v>
      </c>
      <c r="C1345" s="2" t="s">
        <v>283</v>
      </c>
      <c r="D1345" s="8" t="s">
        <v>63</v>
      </c>
      <c r="E1345" s="8">
        <f t="shared" si="40"/>
        <v>3</v>
      </c>
      <c r="F1345" s="2" t="s">
        <v>275</v>
      </c>
      <c r="G1345" s="12" t="s">
        <v>62</v>
      </c>
      <c r="H1345" s="2">
        <v>60401001</v>
      </c>
      <c r="I1345" s="8">
        <v>3</v>
      </c>
    </row>
    <row r="1346" spans="2:9" x14ac:dyDescent="0.25">
      <c r="B1346" s="8">
        <f>1000000+INDEX(编号表!$B:$B,MATCH(C1346,编号表!$A:$A,0))*1000+INDEX(编号表!$D:$D,MATCH(D1346,编号表!$C:$C,0))*100+E1346</f>
        <v>1041403</v>
      </c>
      <c r="C1346" s="2" t="s">
        <v>283</v>
      </c>
      <c r="D1346" s="8" t="s">
        <v>65</v>
      </c>
      <c r="E1346" s="8">
        <f t="shared" si="40"/>
        <v>3</v>
      </c>
      <c r="F1346" s="2" t="s">
        <v>280</v>
      </c>
      <c r="G1346" s="12" t="s">
        <v>62</v>
      </c>
      <c r="H1346" s="2">
        <v>60401002</v>
      </c>
      <c r="I1346" s="8">
        <v>3</v>
      </c>
    </row>
    <row r="1347" spans="2:9" x14ac:dyDescent="0.25">
      <c r="B1347" s="8">
        <f>1000000+INDEX(编号表!$B:$B,MATCH(C1347,编号表!$A:$A,0))*1000+INDEX(编号表!$D:$D,MATCH(D1347,编号表!$C:$C,0))*100+E1347</f>
        <v>1041503</v>
      </c>
      <c r="C1347" s="2" t="s">
        <v>283</v>
      </c>
      <c r="D1347" s="8" t="s">
        <v>67</v>
      </c>
      <c r="E1347" s="8">
        <f t="shared" si="40"/>
        <v>3</v>
      </c>
      <c r="F1347" s="2" t="s">
        <v>279</v>
      </c>
      <c r="G1347" s="12" t="s">
        <v>62</v>
      </c>
      <c r="H1347" s="2">
        <v>60401003</v>
      </c>
      <c r="I1347" s="8">
        <v>3</v>
      </c>
    </row>
    <row r="1348" spans="2:9" x14ac:dyDescent="0.25">
      <c r="B1348" s="8">
        <f>1000000+INDEX(编号表!$B:$B,MATCH(C1348,编号表!$A:$A,0))*1000+INDEX(编号表!$D:$D,MATCH(D1348,编号表!$C:$C,0))*100+E1348</f>
        <v>1041603</v>
      </c>
      <c r="C1348" s="2" t="s">
        <v>283</v>
      </c>
      <c r="D1348" s="8" t="s">
        <v>69</v>
      </c>
      <c r="E1348" s="8">
        <f t="shared" si="40"/>
        <v>3</v>
      </c>
      <c r="F1348" s="2" t="s">
        <v>281</v>
      </c>
      <c r="G1348" s="12" t="s">
        <v>62</v>
      </c>
      <c r="H1348" s="2">
        <v>60401004</v>
      </c>
      <c r="I1348" s="8">
        <v>3</v>
      </c>
    </row>
    <row r="1349" spans="2:9" x14ac:dyDescent="0.25">
      <c r="B1349" s="8">
        <f>1000000+INDEX(编号表!$B:$B,MATCH(C1349,编号表!$A:$A,0))*1000+INDEX(编号表!$D:$D,MATCH(D1349,编号表!$C:$C,0))*100+E1349</f>
        <v>1041205</v>
      </c>
      <c r="C1349" s="2" t="s">
        <v>283</v>
      </c>
      <c r="D1349" s="8" t="s">
        <v>60</v>
      </c>
      <c r="E1349" s="8">
        <f t="shared" si="40"/>
        <v>5</v>
      </c>
      <c r="F1349" s="2" t="s">
        <v>272</v>
      </c>
      <c r="G1349" s="12" t="s">
        <v>62</v>
      </c>
      <c r="H1349" s="2">
        <v>60401000</v>
      </c>
      <c r="I1349" s="8">
        <v>5</v>
      </c>
    </row>
    <row r="1350" spans="2:9" x14ac:dyDescent="0.25">
      <c r="B1350" s="8">
        <f>1000000+INDEX(编号表!$B:$B,MATCH(C1350,编号表!$A:$A,0))*1000+INDEX(编号表!$D:$D,MATCH(D1350,编号表!$C:$C,0))*100+E1350</f>
        <v>1041305</v>
      </c>
      <c r="C1350" s="2" t="s">
        <v>283</v>
      </c>
      <c r="D1350" s="8" t="s">
        <v>63</v>
      </c>
      <c r="E1350" s="8">
        <f t="shared" si="40"/>
        <v>5</v>
      </c>
      <c r="F1350" s="2" t="s">
        <v>275</v>
      </c>
      <c r="G1350" s="12" t="s">
        <v>62</v>
      </c>
      <c r="H1350" s="2">
        <v>60401001</v>
      </c>
      <c r="I1350" s="8">
        <v>5</v>
      </c>
    </row>
    <row r="1351" spans="2:9" x14ac:dyDescent="0.25">
      <c r="B1351" s="8">
        <f>1000000+INDEX(编号表!$B:$B,MATCH(C1351,编号表!$A:$A,0))*1000+INDEX(编号表!$D:$D,MATCH(D1351,编号表!$C:$C,0))*100+E1351</f>
        <v>1041405</v>
      </c>
      <c r="C1351" s="2" t="s">
        <v>283</v>
      </c>
      <c r="D1351" s="8" t="s">
        <v>65</v>
      </c>
      <c r="E1351" s="8">
        <f t="shared" si="40"/>
        <v>5</v>
      </c>
      <c r="F1351" s="2" t="s">
        <v>280</v>
      </c>
      <c r="G1351" s="12" t="s">
        <v>62</v>
      </c>
      <c r="H1351" s="2">
        <v>60401002</v>
      </c>
      <c r="I1351" s="8">
        <v>5</v>
      </c>
    </row>
    <row r="1352" spans="2:9" x14ac:dyDescent="0.25">
      <c r="B1352" s="8">
        <f>1000000+INDEX(编号表!$B:$B,MATCH(C1352,编号表!$A:$A,0))*1000+INDEX(编号表!$D:$D,MATCH(D1352,编号表!$C:$C,0))*100+E1352</f>
        <v>1041505</v>
      </c>
      <c r="C1352" s="2" t="s">
        <v>283</v>
      </c>
      <c r="D1352" s="8" t="s">
        <v>67</v>
      </c>
      <c r="E1352" s="8">
        <f t="shared" si="40"/>
        <v>5</v>
      </c>
      <c r="F1352" s="2" t="s">
        <v>279</v>
      </c>
      <c r="G1352" s="12" t="s">
        <v>62</v>
      </c>
      <c r="H1352" s="2">
        <v>60401003</v>
      </c>
      <c r="I1352" s="8">
        <v>5</v>
      </c>
    </row>
    <row r="1353" spans="2:9" x14ac:dyDescent="0.25">
      <c r="B1353" s="8">
        <f>1000000+INDEX(编号表!$B:$B,MATCH(C1353,编号表!$A:$A,0))*1000+INDEX(编号表!$D:$D,MATCH(D1353,编号表!$C:$C,0))*100+E1353</f>
        <v>1041605</v>
      </c>
      <c r="C1353" s="2" t="s">
        <v>283</v>
      </c>
      <c r="D1353" s="8" t="s">
        <v>69</v>
      </c>
      <c r="E1353" s="8">
        <f t="shared" si="40"/>
        <v>5</v>
      </c>
      <c r="F1353" s="2" t="s">
        <v>281</v>
      </c>
      <c r="G1353" s="12" t="s">
        <v>62</v>
      </c>
      <c r="H1353" s="2">
        <v>60401004</v>
      </c>
      <c r="I1353" s="8">
        <v>5</v>
      </c>
    </row>
    <row r="1354" spans="2:9" x14ac:dyDescent="0.25">
      <c r="B1354" s="8">
        <f>1000000+INDEX(编号表!$B:$B,MATCH(C1354,编号表!$A:$A,0))*1000+INDEX(编号表!$D:$D,MATCH(D1354,编号表!$C:$C,0))*100+E1354</f>
        <v>1041210</v>
      </c>
      <c r="C1354" s="2" t="s">
        <v>283</v>
      </c>
      <c r="D1354" s="8" t="s">
        <v>60</v>
      </c>
      <c r="E1354" s="8">
        <f t="shared" si="40"/>
        <v>10</v>
      </c>
      <c r="F1354" s="2" t="s">
        <v>272</v>
      </c>
      <c r="G1354" s="12" t="s">
        <v>62</v>
      </c>
      <c r="H1354" s="2">
        <v>60401000</v>
      </c>
      <c r="I1354" s="8">
        <v>10</v>
      </c>
    </row>
    <row r="1355" spans="2:9" x14ac:dyDescent="0.25">
      <c r="B1355" s="8">
        <f>1000000+INDEX(编号表!$B:$B,MATCH(C1355,编号表!$A:$A,0))*1000+INDEX(编号表!$D:$D,MATCH(D1355,编号表!$C:$C,0))*100+E1355</f>
        <v>1041310</v>
      </c>
      <c r="C1355" s="2" t="s">
        <v>283</v>
      </c>
      <c r="D1355" s="8" t="s">
        <v>63</v>
      </c>
      <c r="E1355" s="8">
        <f t="shared" si="40"/>
        <v>10</v>
      </c>
      <c r="F1355" s="2" t="s">
        <v>275</v>
      </c>
      <c r="G1355" s="12" t="s">
        <v>62</v>
      </c>
      <c r="H1355" s="2">
        <v>60401001</v>
      </c>
      <c r="I1355" s="8">
        <v>10</v>
      </c>
    </row>
    <row r="1356" spans="2:9" x14ac:dyDescent="0.25">
      <c r="B1356" s="8">
        <f>1000000+INDEX(编号表!$B:$B,MATCH(C1356,编号表!$A:$A,0))*1000+INDEX(编号表!$D:$D,MATCH(D1356,编号表!$C:$C,0))*100+E1356</f>
        <v>1041410</v>
      </c>
      <c r="C1356" s="2" t="s">
        <v>283</v>
      </c>
      <c r="D1356" s="8" t="s">
        <v>65</v>
      </c>
      <c r="E1356" s="8">
        <f t="shared" si="40"/>
        <v>10</v>
      </c>
      <c r="F1356" s="2" t="s">
        <v>280</v>
      </c>
      <c r="G1356" s="12" t="s">
        <v>62</v>
      </c>
      <c r="H1356" s="2">
        <v>60401002</v>
      </c>
      <c r="I1356" s="8">
        <v>10</v>
      </c>
    </row>
    <row r="1357" spans="2:9" x14ac:dyDescent="0.25">
      <c r="B1357" s="8">
        <f>1000000+INDEX(编号表!$B:$B,MATCH(C1357,编号表!$A:$A,0))*1000+INDEX(编号表!$D:$D,MATCH(D1357,编号表!$C:$C,0))*100+E1357</f>
        <v>1041510</v>
      </c>
      <c r="C1357" s="2" t="s">
        <v>283</v>
      </c>
      <c r="D1357" s="8" t="s">
        <v>67</v>
      </c>
      <c r="E1357" s="8">
        <f t="shared" si="40"/>
        <v>10</v>
      </c>
      <c r="F1357" s="2" t="s">
        <v>279</v>
      </c>
      <c r="G1357" s="12" t="s">
        <v>62</v>
      </c>
      <c r="H1357" s="2">
        <v>60401003</v>
      </c>
      <c r="I1357" s="8">
        <v>10</v>
      </c>
    </row>
    <row r="1358" spans="2:9" x14ac:dyDescent="0.25">
      <c r="B1358" s="8">
        <f>1000000+INDEX(编号表!$B:$B,MATCH(C1358,编号表!$A:$A,0))*1000+INDEX(编号表!$D:$D,MATCH(D1358,编号表!$C:$C,0))*100+E1358</f>
        <v>1041610</v>
      </c>
      <c r="C1358" s="2" t="s">
        <v>283</v>
      </c>
      <c r="D1358" s="8" t="s">
        <v>69</v>
      </c>
      <c r="E1358" s="8">
        <f t="shared" si="40"/>
        <v>10</v>
      </c>
      <c r="F1358" s="2" t="s">
        <v>281</v>
      </c>
      <c r="G1358" s="12" t="s">
        <v>62</v>
      </c>
      <c r="H1358" s="2">
        <v>60401004</v>
      </c>
      <c r="I1358" s="8">
        <v>10</v>
      </c>
    </row>
    <row r="1359" spans="2:9" x14ac:dyDescent="0.25">
      <c r="B1359" s="8">
        <f>1000000+INDEX(编号表!$B:$B,MATCH(C1359,编号表!$A:$A,0))*1000+INDEX(编号表!$D:$D,MATCH(D1359,编号表!$C:$C,0))*100+E1359</f>
        <v>1041215</v>
      </c>
      <c r="C1359" s="2" t="s">
        <v>283</v>
      </c>
      <c r="D1359" s="8" t="s">
        <v>60</v>
      </c>
      <c r="E1359" s="8">
        <f t="shared" si="40"/>
        <v>15</v>
      </c>
      <c r="F1359" s="2" t="s">
        <v>272</v>
      </c>
      <c r="G1359" s="12" t="s">
        <v>62</v>
      </c>
      <c r="H1359" s="2">
        <v>60401000</v>
      </c>
      <c r="I1359" s="8">
        <v>15</v>
      </c>
    </row>
    <row r="1360" spans="2:9" x14ac:dyDescent="0.25">
      <c r="B1360" s="8">
        <f>1000000+INDEX(编号表!$B:$B,MATCH(C1360,编号表!$A:$A,0))*1000+INDEX(编号表!$D:$D,MATCH(D1360,编号表!$C:$C,0))*100+E1360</f>
        <v>1041315</v>
      </c>
      <c r="C1360" s="2" t="s">
        <v>283</v>
      </c>
      <c r="D1360" s="8" t="s">
        <v>63</v>
      </c>
      <c r="E1360" s="8">
        <f t="shared" si="40"/>
        <v>15</v>
      </c>
      <c r="F1360" s="2" t="s">
        <v>275</v>
      </c>
      <c r="G1360" s="12" t="s">
        <v>62</v>
      </c>
      <c r="H1360" s="2">
        <v>60401001</v>
      </c>
      <c r="I1360" s="8">
        <v>15</v>
      </c>
    </row>
    <row r="1361" spans="2:9" x14ac:dyDescent="0.25">
      <c r="B1361" s="8">
        <f>1000000+INDEX(编号表!$B:$B,MATCH(C1361,编号表!$A:$A,0))*1000+INDEX(编号表!$D:$D,MATCH(D1361,编号表!$C:$C,0))*100+E1361</f>
        <v>1041415</v>
      </c>
      <c r="C1361" s="2" t="s">
        <v>283</v>
      </c>
      <c r="D1361" s="8" t="s">
        <v>65</v>
      </c>
      <c r="E1361" s="8">
        <f t="shared" si="40"/>
        <v>15</v>
      </c>
      <c r="F1361" s="2" t="s">
        <v>280</v>
      </c>
      <c r="G1361" s="12" t="s">
        <v>62</v>
      </c>
      <c r="H1361" s="2">
        <v>60401002</v>
      </c>
      <c r="I1361" s="8">
        <v>15</v>
      </c>
    </row>
    <row r="1362" spans="2:9" x14ac:dyDescent="0.25">
      <c r="B1362" s="8">
        <f>1000000+INDEX(编号表!$B:$B,MATCH(C1362,编号表!$A:$A,0))*1000+INDEX(编号表!$D:$D,MATCH(D1362,编号表!$C:$C,0))*100+E1362</f>
        <v>1041515</v>
      </c>
      <c r="C1362" s="2" t="s">
        <v>283</v>
      </c>
      <c r="D1362" s="8" t="s">
        <v>67</v>
      </c>
      <c r="E1362" s="8">
        <f t="shared" si="40"/>
        <v>15</v>
      </c>
      <c r="F1362" s="2" t="s">
        <v>279</v>
      </c>
      <c r="G1362" s="12" t="s">
        <v>62</v>
      </c>
      <c r="H1362" s="2">
        <v>60401003</v>
      </c>
      <c r="I1362" s="8">
        <v>15</v>
      </c>
    </row>
    <row r="1363" spans="2:9" x14ac:dyDescent="0.25">
      <c r="B1363" s="8">
        <f>1000000+INDEX(编号表!$B:$B,MATCH(C1363,编号表!$A:$A,0))*1000+INDEX(编号表!$D:$D,MATCH(D1363,编号表!$C:$C,0))*100+E1363</f>
        <v>1041615</v>
      </c>
      <c r="C1363" s="2" t="s">
        <v>283</v>
      </c>
      <c r="D1363" s="8" t="s">
        <v>69</v>
      </c>
      <c r="E1363" s="8">
        <f t="shared" si="40"/>
        <v>15</v>
      </c>
      <c r="F1363" s="2" t="s">
        <v>281</v>
      </c>
      <c r="G1363" s="12" t="s">
        <v>62</v>
      </c>
      <c r="H1363" s="2">
        <v>60401004</v>
      </c>
      <c r="I1363" s="8">
        <v>15</v>
      </c>
    </row>
  </sheetData>
  <autoFilter ref="A2:Z1361" xr:uid="{00000000-0009-0000-0000-000000000000}"/>
  <mergeCells count="2">
    <mergeCell ref="H1:AA1"/>
    <mergeCell ref="H2:AA2"/>
  </mergeCells>
  <phoneticPr fontId="6" type="noConversion"/>
  <conditionalFormatting sqref="E355:E359">
    <cfRule type="duplicateValues" dxfId="291" priority="552"/>
  </conditionalFormatting>
  <conditionalFormatting sqref="E360:E364">
    <cfRule type="duplicateValues" dxfId="290" priority="548"/>
  </conditionalFormatting>
  <conditionalFormatting sqref="E365:E369">
    <cfRule type="duplicateValues" dxfId="289" priority="544"/>
  </conditionalFormatting>
  <conditionalFormatting sqref="E370:E374">
    <cfRule type="duplicateValues" dxfId="288" priority="540"/>
  </conditionalFormatting>
  <conditionalFormatting sqref="E375:E379">
    <cfRule type="duplicateValues" dxfId="287" priority="536"/>
  </conditionalFormatting>
  <conditionalFormatting sqref="E380:E384">
    <cfRule type="duplicateValues" dxfId="286" priority="532"/>
  </conditionalFormatting>
  <conditionalFormatting sqref="G3:G7">
    <cfRule type="duplicateValues" dxfId="285" priority="1"/>
  </conditionalFormatting>
  <conditionalFormatting sqref="G9:G11">
    <cfRule type="duplicateValues" dxfId="284" priority="2"/>
  </conditionalFormatting>
  <conditionalFormatting sqref="G39 I39 I40 K39 K40 M39 M40 O39 O40 Q39 Q40 S39 S40 U39 U40 W39 W40 Y39 Y40">
    <cfRule type="duplicateValues" dxfId="283" priority="617"/>
  </conditionalFormatting>
  <conditionalFormatting sqref="G40:G44 G143 G175:G176 G215 G234 G280 G298 G321 G353:G354 G387:G389 G427 G744 G953">
    <cfRule type="duplicateValues" dxfId="282" priority="611"/>
  </conditionalFormatting>
  <conditionalFormatting sqref="G177:G182">
    <cfRule type="duplicateValues" dxfId="281" priority="598"/>
  </conditionalFormatting>
  <conditionalFormatting sqref="G183:G188">
    <cfRule type="duplicateValues" dxfId="280" priority="596"/>
  </conditionalFormatting>
  <conditionalFormatting sqref="G189:G194">
    <cfRule type="duplicateValues" dxfId="279" priority="594"/>
  </conditionalFormatting>
  <conditionalFormatting sqref="G195:G200">
    <cfRule type="duplicateValues" dxfId="278" priority="592"/>
  </conditionalFormatting>
  <conditionalFormatting sqref="G201:G206">
    <cfRule type="duplicateValues" dxfId="277" priority="590"/>
  </conditionalFormatting>
  <conditionalFormatting sqref="G207:G212">
    <cfRule type="duplicateValues" dxfId="276" priority="588"/>
  </conditionalFormatting>
  <conditionalFormatting sqref="G235:G241">
    <cfRule type="duplicateValues" dxfId="275" priority="585"/>
  </conditionalFormatting>
  <conditionalFormatting sqref="G242:G248">
    <cfRule type="duplicateValues" dxfId="274" priority="584"/>
  </conditionalFormatting>
  <conditionalFormatting sqref="G249:G255">
    <cfRule type="duplicateValues" dxfId="273" priority="582"/>
  </conditionalFormatting>
  <conditionalFormatting sqref="G256:G262">
    <cfRule type="duplicateValues" dxfId="272" priority="580"/>
  </conditionalFormatting>
  <conditionalFormatting sqref="G263:G269">
    <cfRule type="duplicateValues" dxfId="271" priority="578"/>
  </conditionalFormatting>
  <conditionalFormatting sqref="G270:G276">
    <cfRule type="duplicateValues" dxfId="270" priority="576"/>
  </conditionalFormatting>
  <conditionalFormatting sqref="G299:G302">
    <cfRule type="duplicateValues" dxfId="269" priority="574"/>
  </conditionalFormatting>
  <conditionalFormatting sqref="G303:G306">
    <cfRule type="duplicateValues" dxfId="268" priority="572"/>
  </conditionalFormatting>
  <conditionalFormatting sqref="G307:G310">
    <cfRule type="duplicateValues" dxfId="267" priority="570"/>
  </conditionalFormatting>
  <conditionalFormatting sqref="G311:G314">
    <cfRule type="duplicateValues" dxfId="266" priority="568"/>
  </conditionalFormatting>
  <conditionalFormatting sqref="G315:G318">
    <cfRule type="duplicateValues" dxfId="265" priority="566"/>
  </conditionalFormatting>
  <conditionalFormatting sqref="G322:G326">
    <cfRule type="duplicateValues" dxfId="264" priority="564"/>
  </conditionalFormatting>
  <conditionalFormatting sqref="G327:G331">
    <cfRule type="duplicateValues" dxfId="263" priority="562"/>
  </conditionalFormatting>
  <conditionalFormatting sqref="G332:G336">
    <cfRule type="duplicateValues" dxfId="262" priority="560"/>
  </conditionalFormatting>
  <conditionalFormatting sqref="G337:G341">
    <cfRule type="duplicateValues" dxfId="261" priority="558"/>
  </conditionalFormatting>
  <conditionalFormatting sqref="G342:G346">
    <cfRule type="duplicateValues" dxfId="260" priority="556"/>
  </conditionalFormatting>
  <conditionalFormatting sqref="G347:G351">
    <cfRule type="duplicateValues" dxfId="259" priority="554"/>
  </conditionalFormatting>
  <conditionalFormatting sqref="G355:G359">
    <cfRule type="duplicateValues" dxfId="258" priority="550"/>
  </conditionalFormatting>
  <conditionalFormatting sqref="G360:G364">
    <cfRule type="duplicateValues" dxfId="257" priority="546"/>
  </conditionalFormatting>
  <conditionalFormatting sqref="G365:G369">
    <cfRule type="duplicateValues" dxfId="256" priority="542"/>
  </conditionalFormatting>
  <conditionalFormatting sqref="G370:G374">
    <cfRule type="duplicateValues" dxfId="255" priority="538"/>
  </conditionalFormatting>
  <conditionalFormatting sqref="G375:G379">
    <cfRule type="duplicateValues" dxfId="254" priority="534"/>
  </conditionalFormatting>
  <conditionalFormatting sqref="G380:G384">
    <cfRule type="duplicateValues" dxfId="253" priority="530"/>
  </conditionalFormatting>
  <conditionalFormatting sqref="G390:G395">
    <cfRule type="duplicateValues" dxfId="252" priority="528"/>
  </conditionalFormatting>
  <conditionalFormatting sqref="G396:G401">
    <cfRule type="duplicateValues" dxfId="251" priority="526"/>
  </conditionalFormatting>
  <conditionalFormatting sqref="G402:G407">
    <cfRule type="duplicateValues" dxfId="250" priority="524"/>
  </conditionalFormatting>
  <conditionalFormatting sqref="G408:G413">
    <cfRule type="duplicateValues" dxfId="249" priority="522"/>
  </conditionalFormatting>
  <conditionalFormatting sqref="G414:G419">
    <cfRule type="duplicateValues" dxfId="248" priority="520"/>
  </conditionalFormatting>
  <conditionalFormatting sqref="G420:G425">
    <cfRule type="duplicateValues" dxfId="247" priority="518"/>
  </conditionalFormatting>
  <conditionalFormatting sqref="G428:G432">
    <cfRule type="duplicateValues" dxfId="246" priority="515"/>
  </conditionalFormatting>
  <conditionalFormatting sqref="G433:G437">
    <cfRule type="duplicateValues" dxfId="245" priority="514"/>
  </conditionalFormatting>
  <conditionalFormatting sqref="G438:G442">
    <cfRule type="duplicateValues" dxfId="244" priority="512"/>
  </conditionalFormatting>
  <conditionalFormatting sqref="G443:G447">
    <cfRule type="duplicateValues" dxfId="243" priority="510"/>
  </conditionalFormatting>
  <conditionalFormatting sqref="G448:G452">
    <cfRule type="duplicateValues" dxfId="242" priority="508"/>
  </conditionalFormatting>
  <conditionalFormatting sqref="G453:G457">
    <cfRule type="duplicateValues" dxfId="241" priority="506"/>
  </conditionalFormatting>
  <conditionalFormatting sqref="G459">
    <cfRule type="duplicateValues" dxfId="240" priority="504"/>
  </conditionalFormatting>
  <conditionalFormatting sqref="G460:G464">
    <cfRule type="duplicateValues" dxfId="239" priority="502"/>
  </conditionalFormatting>
  <conditionalFormatting sqref="G465:G469">
    <cfRule type="duplicateValues" dxfId="238" priority="500"/>
  </conditionalFormatting>
  <conditionalFormatting sqref="G470:G474">
    <cfRule type="duplicateValues" dxfId="237" priority="498"/>
  </conditionalFormatting>
  <conditionalFormatting sqref="G475:G479">
    <cfRule type="duplicateValues" dxfId="236" priority="496"/>
  </conditionalFormatting>
  <conditionalFormatting sqref="G480:G484">
    <cfRule type="duplicateValues" dxfId="235" priority="494"/>
  </conditionalFormatting>
  <conditionalFormatting sqref="G485:G489">
    <cfRule type="duplicateValues" dxfId="234" priority="492"/>
  </conditionalFormatting>
  <conditionalFormatting sqref="G491">
    <cfRule type="duplicateValues" dxfId="233" priority="488"/>
  </conditionalFormatting>
  <conditionalFormatting sqref="G492:G496">
    <cfRule type="duplicateValues" dxfId="232" priority="486"/>
  </conditionalFormatting>
  <conditionalFormatting sqref="G497:G501">
    <cfRule type="duplicateValues" dxfId="231" priority="484"/>
  </conditionalFormatting>
  <conditionalFormatting sqref="G502:G506">
    <cfRule type="duplicateValues" dxfId="230" priority="482"/>
  </conditionalFormatting>
  <conditionalFormatting sqref="G507:G511">
    <cfRule type="duplicateValues" dxfId="229" priority="480"/>
  </conditionalFormatting>
  <conditionalFormatting sqref="G512:G516">
    <cfRule type="duplicateValues" dxfId="228" priority="478"/>
  </conditionalFormatting>
  <conditionalFormatting sqref="G517:G521">
    <cfRule type="duplicateValues" dxfId="227" priority="476"/>
  </conditionalFormatting>
  <conditionalFormatting sqref="G523">
    <cfRule type="duplicateValues" dxfId="226" priority="474"/>
  </conditionalFormatting>
  <conditionalFormatting sqref="G524:G527">
    <cfRule type="duplicateValues" dxfId="225" priority="472"/>
  </conditionalFormatting>
  <conditionalFormatting sqref="G528:G531">
    <cfRule type="duplicateValues" dxfId="224" priority="470"/>
  </conditionalFormatting>
  <conditionalFormatting sqref="G532:G535">
    <cfRule type="duplicateValues" dxfId="223" priority="468"/>
  </conditionalFormatting>
  <conditionalFormatting sqref="G536:G539">
    <cfRule type="duplicateValues" dxfId="222" priority="466"/>
  </conditionalFormatting>
  <conditionalFormatting sqref="G540:G543">
    <cfRule type="duplicateValues" dxfId="221" priority="464"/>
  </conditionalFormatting>
  <conditionalFormatting sqref="G544:G547">
    <cfRule type="duplicateValues" dxfId="220" priority="462"/>
  </conditionalFormatting>
  <conditionalFormatting sqref="G549:G550">
    <cfRule type="duplicateValues" dxfId="219" priority="460"/>
  </conditionalFormatting>
  <conditionalFormatting sqref="G551:G556">
    <cfRule type="duplicateValues" dxfId="218" priority="458"/>
  </conditionalFormatting>
  <conditionalFormatting sqref="G557:G562">
    <cfRule type="duplicateValues" dxfId="217" priority="456"/>
  </conditionalFormatting>
  <conditionalFormatting sqref="G563:G568">
    <cfRule type="duplicateValues" dxfId="216" priority="454"/>
  </conditionalFormatting>
  <conditionalFormatting sqref="G569:G574">
    <cfRule type="duplicateValues" dxfId="215" priority="452"/>
  </conditionalFormatting>
  <conditionalFormatting sqref="G575:G580">
    <cfRule type="duplicateValues" dxfId="214" priority="450"/>
  </conditionalFormatting>
  <conditionalFormatting sqref="G581:G586">
    <cfRule type="duplicateValues" dxfId="213" priority="448"/>
  </conditionalFormatting>
  <conditionalFormatting sqref="G588:G589">
    <cfRule type="duplicateValues" dxfId="212" priority="446"/>
  </conditionalFormatting>
  <conditionalFormatting sqref="G590:G596">
    <cfRule type="duplicateValues" dxfId="211" priority="444"/>
  </conditionalFormatting>
  <conditionalFormatting sqref="G597:G603">
    <cfRule type="duplicateValues" dxfId="210" priority="442"/>
  </conditionalFormatting>
  <conditionalFormatting sqref="G604:G610">
    <cfRule type="duplicateValues" dxfId="209" priority="440"/>
  </conditionalFormatting>
  <conditionalFormatting sqref="G611:G617">
    <cfRule type="duplicateValues" dxfId="208" priority="438"/>
  </conditionalFormatting>
  <conditionalFormatting sqref="G618:G624">
    <cfRule type="duplicateValues" dxfId="207" priority="436"/>
  </conditionalFormatting>
  <conditionalFormatting sqref="G625:G631">
    <cfRule type="duplicateValues" dxfId="206" priority="434"/>
  </conditionalFormatting>
  <conditionalFormatting sqref="G633">
    <cfRule type="duplicateValues" dxfId="205" priority="430"/>
  </conditionalFormatting>
  <conditionalFormatting sqref="G634:G637">
    <cfRule type="duplicateValues" dxfId="204" priority="428"/>
  </conditionalFormatting>
  <conditionalFormatting sqref="G638:G641">
    <cfRule type="duplicateValues" dxfId="203" priority="426"/>
  </conditionalFormatting>
  <conditionalFormatting sqref="G642:G645">
    <cfRule type="duplicateValues" dxfId="202" priority="424"/>
  </conditionalFormatting>
  <conditionalFormatting sqref="G646:G649">
    <cfRule type="duplicateValues" dxfId="201" priority="422"/>
  </conditionalFormatting>
  <conditionalFormatting sqref="G650:G653">
    <cfRule type="duplicateValues" dxfId="200" priority="420"/>
  </conditionalFormatting>
  <conditionalFormatting sqref="G654:G657">
    <cfRule type="duplicateValues" dxfId="199" priority="418"/>
  </conditionalFormatting>
  <conditionalFormatting sqref="G658">
    <cfRule type="duplicateValues" dxfId="198" priority="402"/>
  </conditionalFormatting>
  <conditionalFormatting sqref="G659">
    <cfRule type="duplicateValues" dxfId="197" priority="410"/>
  </conditionalFormatting>
  <conditionalFormatting sqref="G660:G662">
    <cfRule type="duplicateValues" dxfId="196" priority="408"/>
  </conditionalFormatting>
  <conditionalFormatting sqref="G663:G665">
    <cfRule type="duplicateValues" dxfId="195" priority="406"/>
  </conditionalFormatting>
  <conditionalFormatting sqref="G666:G668">
    <cfRule type="duplicateValues" dxfId="194" priority="404"/>
  </conditionalFormatting>
  <conditionalFormatting sqref="G669:G671">
    <cfRule type="duplicateValues" dxfId="193" priority="400"/>
  </conditionalFormatting>
  <conditionalFormatting sqref="G672:G674">
    <cfRule type="duplicateValues" dxfId="192" priority="398"/>
  </conditionalFormatting>
  <conditionalFormatting sqref="G675:G677">
    <cfRule type="duplicateValues" dxfId="191" priority="396"/>
  </conditionalFormatting>
  <conditionalFormatting sqref="G679">
    <cfRule type="duplicateValues" dxfId="190" priority="374"/>
  </conditionalFormatting>
  <conditionalFormatting sqref="G680">
    <cfRule type="duplicateValues" dxfId="189" priority="373"/>
  </conditionalFormatting>
  <conditionalFormatting sqref="G681">
    <cfRule type="duplicateValues" dxfId="188" priority="370"/>
  </conditionalFormatting>
  <conditionalFormatting sqref="G682">
    <cfRule type="duplicateValues" dxfId="187" priority="369"/>
  </conditionalFormatting>
  <conditionalFormatting sqref="G683">
    <cfRule type="duplicateValues" dxfId="186" priority="366"/>
  </conditionalFormatting>
  <conditionalFormatting sqref="G684">
    <cfRule type="duplicateValues" dxfId="185" priority="365"/>
  </conditionalFormatting>
  <conditionalFormatting sqref="G685">
    <cfRule type="duplicateValues" dxfId="184" priority="362"/>
  </conditionalFormatting>
  <conditionalFormatting sqref="G686">
    <cfRule type="duplicateValues" dxfId="183" priority="361"/>
  </conditionalFormatting>
  <conditionalFormatting sqref="G687">
    <cfRule type="duplicateValues" dxfId="182" priority="358"/>
  </conditionalFormatting>
  <conditionalFormatting sqref="G688">
    <cfRule type="duplicateValues" dxfId="181" priority="357"/>
  </conditionalFormatting>
  <conditionalFormatting sqref="G689">
    <cfRule type="duplicateValues" dxfId="180" priority="354"/>
  </conditionalFormatting>
  <conditionalFormatting sqref="G690">
    <cfRule type="duplicateValues" dxfId="179" priority="353"/>
  </conditionalFormatting>
  <conditionalFormatting sqref="G692">
    <cfRule type="duplicateValues" dxfId="178" priority="348"/>
  </conditionalFormatting>
  <conditionalFormatting sqref="G693:G696">
    <cfRule type="duplicateValues" dxfId="177" priority="346"/>
  </conditionalFormatting>
  <conditionalFormatting sqref="G697:G700">
    <cfRule type="duplicateValues" dxfId="176" priority="344"/>
  </conditionalFormatting>
  <conditionalFormatting sqref="G701:G704">
    <cfRule type="duplicateValues" dxfId="175" priority="342"/>
  </conditionalFormatting>
  <conditionalFormatting sqref="G705:G708">
    <cfRule type="duplicateValues" dxfId="174" priority="340"/>
  </conditionalFormatting>
  <conditionalFormatting sqref="G709:G712">
    <cfRule type="duplicateValues" dxfId="173" priority="338"/>
  </conditionalFormatting>
  <conditionalFormatting sqref="G713:G716">
    <cfRule type="duplicateValues" dxfId="172" priority="336"/>
  </conditionalFormatting>
  <conditionalFormatting sqref="G718">
    <cfRule type="duplicateValues" dxfId="171" priority="332"/>
  </conditionalFormatting>
  <conditionalFormatting sqref="G719:G722">
    <cfRule type="duplicateValues" dxfId="170" priority="330"/>
  </conditionalFormatting>
  <conditionalFormatting sqref="G723:G726">
    <cfRule type="duplicateValues" dxfId="169" priority="328"/>
  </conditionalFormatting>
  <conditionalFormatting sqref="G727:G730">
    <cfRule type="duplicateValues" dxfId="168" priority="326"/>
  </conditionalFormatting>
  <conditionalFormatting sqref="G731:G734">
    <cfRule type="duplicateValues" dxfId="167" priority="324"/>
  </conditionalFormatting>
  <conditionalFormatting sqref="G735:G738">
    <cfRule type="duplicateValues" dxfId="166" priority="322"/>
  </conditionalFormatting>
  <conditionalFormatting sqref="G739:G742">
    <cfRule type="duplicateValues" dxfId="165" priority="320"/>
  </conditionalFormatting>
  <conditionalFormatting sqref="G745:G749">
    <cfRule type="duplicateValues" dxfId="164" priority="317"/>
  </conditionalFormatting>
  <conditionalFormatting sqref="G750:G754">
    <cfRule type="duplicateValues" dxfId="163" priority="316"/>
  </conditionalFormatting>
  <conditionalFormatting sqref="G755:G759">
    <cfRule type="duplicateValues" dxfId="162" priority="314"/>
  </conditionalFormatting>
  <conditionalFormatting sqref="G760:G764">
    <cfRule type="duplicateValues" dxfId="161" priority="312"/>
  </conditionalFormatting>
  <conditionalFormatting sqref="G765:G769">
    <cfRule type="duplicateValues" dxfId="160" priority="310"/>
  </conditionalFormatting>
  <conditionalFormatting sqref="G770:G774">
    <cfRule type="duplicateValues" dxfId="159" priority="308"/>
  </conditionalFormatting>
  <conditionalFormatting sqref="G776">
    <cfRule type="duplicateValues" dxfId="158" priority="304"/>
  </conditionalFormatting>
  <conditionalFormatting sqref="G777:G780">
    <cfRule type="duplicateValues" dxfId="157" priority="302"/>
  </conditionalFormatting>
  <conditionalFormatting sqref="G781:G784">
    <cfRule type="duplicateValues" dxfId="156" priority="300"/>
  </conditionalFormatting>
  <conditionalFormatting sqref="G785:G788">
    <cfRule type="duplicateValues" dxfId="155" priority="298"/>
  </conditionalFormatting>
  <conditionalFormatting sqref="G789:G792">
    <cfRule type="duplicateValues" dxfId="154" priority="296"/>
  </conditionalFormatting>
  <conditionalFormatting sqref="G793:G796">
    <cfRule type="duplicateValues" dxfId="153" priority="294"/>
  </conditionalFormatting>
  <conditionalFormatting sqref="G797:G800">
    <cfRule type="duplicateValues" dxfId="152" priority="292"/>
  </conditionalFormatting>
  <conditionalFormatting sqref="G802">
    <cfRule type="duplicateValues" dxfId="151" priority="288"/>
  </conditionalFormatting>
  <conditionalFormatting sqref="G803:G808">
    <cfRule type="duplicateValues" dxfId="150" priority="286"/>
  </conditionalFormatting>
  <conditionalFormatting sqref="G809:G814">
    <cfRule type="duplicateValues" dxfId="149" priority="284"/>
  </conditionalFormatting>
  <conditionalFormatting sqref="G815:G820">
    <cfRule type="duplicateValues" dxfId="148" priority="282"/>
  </conditionalFormatting>
  <conditionalFormatting sqref="G821:G826">
    <cfRule type="duplicateValues" dxfId="147" priority="280"/>
  </conditionalFormatting>
  <conditionalFormatting sqref="G827:G832">
    <cfRule type="duplicateValues" dxfId="146" priority="278"/>
  </conditionalFormatting>
  <conditionalFormatting sqref="G833:G838">
    <cfRule type="duplicateValues" dxfId="145" priority="276"/>
  </conditionalFormatting>
  <conditionalFormatting sqref="G840:G841">
    <cfRule type="duplicateValues" dxfId="144" priority="272"/>
  </conditionalFormatting>
  <conditionalFormatting sqref="G842:G849">
    <cfRule type="duplicateValues" dxfId="143" priority="270"/>
  </conditionalFormatting>
  <conditionalFormatting sqref="G850:G857">
    <cfRule type="duplicateValues" dxfId="142" priority="268"/>
  </conditionalFormatting>
  <conditionalFormatting sqref="G858:G865">
    <cfRule type="duplicateValues" dxfId="141" priority="266"/>
  </conditionalFormatting>
  <conditionalFormatting sqref="G866:G873">
    <cfRule type="duplicateValues" dxfId="140" priority="264"/>
  </conditionalFormatting>
  <conditionalFormatting sqref="G874:G881">
    <cfRule type="duplicateValues" dxfId="139" priority="262"/>
  </conditionalFormatting>
  <conditionalFormatting sqref="G882:G889">
    <cfRule type="duplicateValues" dxfId="138" priority="260"/>
  </conditionalFormatting>
  <conditionalFormatting sqref="G893:G895">
    <cfRule type="duplicateValues" dxfId="137" priority="256"/>
  </conditionalFormatting>
  <conditionalFormatting sqref="G896:G902">
    <cfRule type="duplicateValues" dxfId="136" priority="254"/>
  </conditionalFormatting>
  <conditionalFormatting sqref="G903:G909">
    <cfRule type="duplicateValues" dxfId="135" priority="252"/>
  </conditionalFormatting>
  <conditionalFormatting sqref="G910:G916">
    <cfRule type="duplicateValues" dxfId="134" priority="250"/>
  </conditionalFormatting>
  <conditionalFormatting sqref="G917:G923">
    <cfRule type="duplicateValues" dxfId="133" priority="248"/>
  </conditionalFormatting>
  <conditionalFormatting sqref="G924:G930">
    <cfRule type="duplicateValues" dxfId="132" priority="246"/>
  </conditionalFormatting>
  <conditionalFormatting sqref="G931:G937">
    <cfRule type="duplicateValues" dxfId="131" priority="244"/>
  </conditionalFormatting>
  <conditionalFormatting sqref="G939">
    <cfRule type="duplicateValues" dxfId="130" priority="232"/>
  </conditionalFormatting>
  <conditionalFormatting sqref="G940:G941">
    <cfRule type="duplicateValues" dxfId="129" priority="230"/>
  </conditionalFormatting>
  <conditionalFormatting sqref="G942:G943">
    <cfRule type="duplicateValues" dxfId="128" priority="228"/>
  </conditionalFormatting>
  <conditionalFormatting sqref="G944:G945">
    <cfRule type="duplicateValues" dxfId="127" priority="226"/>
  </conditionalFormatting>
  <conditionalFormatting sqref="G946:G947">
    <cfRule type="duplicateValues" dxfId="126" priority="224"/>
  </conditionalFormatting>
  <conditionalFormatting sqref="G948:G949">
    <cfRule type="duplicateValues" dxfId="125" priority="222"/>
  </conditionalFormatting>
  <conditionalFormatting sqref="G950:G951">
    <cfRule type="duplicateValues" dxfId="124" priority="220"/>
  </conditionalFormatting>
  <conditionalFormatting sqref="G954:G955">
    <cfRule type="duplicateValues" dxfId="123" priority="204"/>
  </conditionalFormatting>
  <conditionalFormatting sqref="G956:G957">
    <cfRule type="duplicateValues" dxfId="122" priority="202"/>
  </conditionalFormatting>
  <conditionalFormatting sqref="G958:G959">
    <cfRule type="duplicateValues" dxfId="121" priority="200"/>
  </conditionalFormatting>
  <conditionalFormatting sqref="G960:G961">
    <cfRule type="duplicateValues" dxfId="120" priority="198"/>
  </conditionalFormatting>
  <conditionalFormatting sqref="G962:G963">
    <cfRule type="duplicateValues" dxfId="119" priority="196"/>
  </conditionalFormatting>
  <conditionalFormatting sqref="G964:G965">
    <cfRule type="duplicateValues" dxfId="118" priority="194"/>
  </conditionalFormatting>
  <conditionalFormatting sqref="G967">
    <cfRule type="duplicateValues" dxfId="117" priority="192"/>
  </conditionalFormatting>
  <conditionalFormatting sqref="G968:G971">
    <cfRule type="duplicateValues" dxfId="116" priority="190"/>
  </conditionalFormatting>
  <conditionalFormatting sqref="G972:G975">
    <cfRule type="duplicateValues" dxfId="115" priority="188"/>
  </conditionalFormatting>
  <conditionalFormatting sqref="G976:G979">
    <cfRule type="duplicateValues" dxfId="114" priority="186"/>
  </conditionalFormatting>
  <conditionalFormatting sqref="G980:G983">
    <cfRule type="duplicateValues" dxfId="113" priority="184"/>
  </conditionalFormatting>
  <conditionalFormatting sqref="G984:G987">
    <cfRule type="duplicateValues" dxfId="112" priority="182"/>
  </conditionalFormatting>
  <conditionalFormatting sqref="G988:G991">
    <cfRule type="duplicateValues" dxfId="111" priority="179"/>
  </conditionalFormatting>
  <conditionalFormatting sqref="G993">
    <cfRule type="duplicateValues" dxfId="110" priority="174"/>
  </conditionalFormatting>
  <conditionalFormatting sqref="G994:G997">
    <cfRule type="duplicateValues" dxfId="109" priority="172"/>
  </conditionalFormatting>
  <conditionalFormatting sqref="G998:G1001">
    <cfRule type="duplicateValues" dxfId="108" priority="170"/>
  </conditionalFormatting>
  <conditionalFormatting sqref="G1002:G1005">
    <cfRule type="duplicateValues" dxfId="107" priority="168"/>
  </conditionalFormatting>
  <conditionalFormatting sqref="G1006:G1009">
    <cfRule type="duplicateValues" dxfId="106" priority="166"/>
  </conditionalFormatting>
  <conditionalFormatting sqref="G1010:G1013">
    <cfRule type="duplicateValues" dxfId="105" priority="164"/>
  </conditionalFormatting>
  <conditionalFormatting sqref="G1014:G1017">
    <cfRule type="duplicateValues" dxfId="104" priority="162"/>
  </conditionalFormatting>
  <conditionalFormatting sqref="G1019">
    <cfRule type="duplicateValues" dxfId="103" priority="158"/>
  </conditionalFormatting>
  <conditionalFormatting sqref="G1020:G1024">
    <cfRule type="duplicateValues" dxfId="102" priority="156"/>
  </conditionalFormatting>
  <conditionalFormatting sqref="G1025:G1029">
    <cfRule type="duplicateValues" dxfId="101" priority="154"/>
  </conditionalFormatting>
  <conditionalFormatting sqref="G1030:G1034">
    <cfRule type="duplicateValues" dxfId="100" priority="152"/>
  </conditionalFormatting>
  <conditionalFormatting sqref="G1035:G1039">
    <cfRule type="duplicateValues" dxfId="99" priority="150"/>
  </conditionalFormatting>
  <conditionalFormatting sqref="G1040:G1044">
    <cfRule type="duplicateValues" dxfId="98" priority="148"/>
  </conditionalFormatting>
  <conditionalFormatting sqref="G1045:G1049">
    <cfRule type="duplicateValues" dxfId="97" priority="145"/>
  </conditionalFormatting>
  <conditionalFormatting sqref="G1051:G1052">
    <cfRule type="duplicateValues" dxfId="96" priority="142"/>
  </conditionalFormatting>
  <conditionalFormatting sqref="G1053:G1058">
    <cfRule type="duplicateValues" dxfId="95" priority="140"/>
  </conditionalFormatting>
  <conditionalFormatting sqref="G1059:G1064">
    <cfRule type="duplicateValues" dxfId="94" priority="138"/>
  </conditionalFormatting>
  <conditionalFormatting sqref="G1065:G1070">
    <cfRule type="duplicateValues" dxfId="93" priority="136"/>
  </conditionalFormatting>
  <conditionalFormatting sqref="G1071:G1076">
    <cfRule type="duplicateValues" dxfId="92" priority="134"/>
  </conditionalFormatting>
  <conditionalFormatting sqref="G1077:G1082">
    <cfRule type="duplicateValues" dxfId="91" priority="132"/>
  </conditionalFormatting>
  <conditionalFormatting sqref="G1083:G1088">
    <cfRule type="duplicateValues" dxfId="90" priority="130"/>
  </conditionalFormatting>
  <conditionalFormatting sqref="G1090:G1091">
    <cfRule type="duplicateValues" dxfId="89" priority="126"/>
  </conditionalFormatting>
  <conditionalFormatting sqref="G1092:G1097">
    <cfRule type="duplicateValues" dxfId="88" priority="124"/>
  </conditionalFormatting>
  <conditionalFormatting sqref="G1098:G1103">
    <cfRule type="duplicateValues" dxfId="87" priority="122"/>
  </conditionalFormatting>
  <conditionalFormatting sqref="G1104:G1109">
    <cfRule type="duplicateValues" dxfId="86" priority="120"/>
  </conditionalFormatting>
  <conditionalFormatting sqref="G1110:G1115">
    <cfRule type="duplicateValues" dxfId="85" priority="118"/>
  </conditionalFormatting>
  <conditionalFormatting sqref="G1116:G1121">
    <cfRule type="duplicateValues" dxfId="84" priority="116"/>
  </conditionalFormatting>
  <conditionalFormatting sqref="G1122:G1127">
    <cfRule type="duplicateValues" dxfId="83" priority="114"/>
  </conditionalFormatting>
  <conditionalFormatting sqref="G1129">
    <cfRule type="duplicateValues" dxfId="82" priority="112"/>
  </conditionalFormatting>
  <conditionalFormatting sqref="G1130:G1134">
    <cfRule type="duplicateValues" dxfId="81" priority="110"/>
  </conditionalFormatting>
  <conditionalFormatting sqref="G1135:G1139">
    <cfRule type="duplicateValues" dxfId="80" priority="108"/>
  </conditionalFormatting>
  <conditionalFormatting sqref="G1140:G1144">
    <cfRule type="duplicateValues" dxfId="79" priority="106"/>
  </conditionalFormatting>
  <conditionalFormatting sqref="G1145:G1149">
    <cfRule type="duplicateValues" dxfId="78" priority="104"/>
  </conditionalFormatting>
  <conditionalFormatting sqref="G1150:G1154">
    <cfRule type="duplicateValues" dxfId="77" priority="102"/>
  </conditionalFormatting>
  <conditionalFormatting sqref="G1155:G1159">
    <cfRule type="duplicateValues" dxfId="76" priority="99"/>
  </conditionalFormatting>
  <conditionalFormatting sqref="G1161">
    <cfRule type="duplicateValues" dxfId="75" priority="96"/>
  </conditionalFormatting>
  <conditionalFormatting sqref="G1162:G1166">
    <cfRule type="duplicateValues" dxfId="74" priority="94"/>
  </conditionalFormatting>
  <conditionalFormatting sqref="G1167:G1171">
    <cfRule type="duplicateValues" dxfId="73" priority="92"/>
  </conditionalFormatting>
  <conditionalFormatting sqref="G1172:G1176">
    <cfRule type="duplicateValues" dxfId="72" priority="90"/>
  </conditionalFormatting>
  <conditionalFormatting sqref="G1177:G1181">
    <cfRule type="duplicateValues" dxfId="71" priority="88"/>
  </conditionalFormatting>
  <conditionalFormatting sqref="G1182:G1186">
    <cfRule type="duplicateValues" dxfId="70" priority="86"/>
  </conditionalFormatting>
  <conditionalFormatting sqref="G1187:G1191">
    <cfRule type="duplicateValues" dxfId="69" priority="84"/>
  </conditionalFormatting>
  <conditionalFormatting sqref="G1193">
    <cfRule type="duplicateValues" dxfId="68" priority="80"/>
  </conditionalFormatting>
  <conditionalFormatting sqref="G1194:G1198">
    <cfRule type="duplicateValues" dxfId="67" priority="78"/>
  </conditionalFormatting>
  <conditionalFormatting sqref="G1199:G1203">
    <cfRule type="duplicateValues" dxfId="66" priority="76"/>
  </conditionalFormatting>
  <conditionalFormatting sqref="G1204:G1208">
    <cfRule type="duplicateValues" dxfId="65" priority="74"/>
  </conditionalFormatting>
  <conditionalFormatting sqref="G1209:G1213">
    <cfRule type="duplicateValues" dxfId="64" priority="72"/>
  </conditionalFormatting>
  <conditionalFormatting sqref="G1214:G1218">
    <cfRule type="duplicateValues" dxfId="63" priority="70"/>
  </conditionalFormatting>
  <conditionalFormatting sqref="G1219:G1223">
    <cfRule type="duplicateValues" dxfId="62" priority="68"/>
  </conditionalFormatting>
  <conditionalFormatting sqref="G1225">
    <cfRule type="duplicateValues" dxfId="61" priority="64"/>
  </conditionalFormatting>
  <conditionalFormatting sqref="G1226:G1230">
    <cfRule type="duplicateValues" dxfId="60" priority="62"/>
  </conditionalFormatting>
  <conditionalFormatting sqref="G1231:G1235">
    <cfRule type="duplicateValues" dxfId="59" priority="60"/>
  </conditionalFormatting>
  <conditionalFormatting sqref="G1236:G1240">
    <cfRule type="duplicateValues" dxfId="58" priority="58"/>
  </conditionalFormatting>
  <conditionalFormatting sqref="G1241:G1245">
    <cfRule type="duplicateValues" dxfId="57" priority="56"/>
  </conditionalFormatting>
  <conditionalFormatting sqref="G1246:G1250">
    <cfRule type="duplicateValues" dxfId="56" priority="54"/>
  </conditionalFormatting>
  <conditionalFormatting sqref="G1251:G1255">
    <cfRule type="duplicateValues" dxfId="55" priority="52"/>
  </conditionalFormatting>
  <conditionalFormatting sqref="G1257:G1258">
    <cfRule type="duplicateValues" dxfId="54" priority="48"/>
  </conditionalFormatting>
  <conditionalFormatting sqref="G1259:G1264">
    <cfRule type="duplicateValues" dxfId="53" priority="46"/>
  </conditionalFormatting>
  <conditionalFormatting sqref="G1265:G1270">
    <cfRule type="duplicateValues" dxfId="52" priority="44"/>
  </conditionalFormatting>
  <conditionalFormatting sqref="G1271:G1276">
    <cfRule type="duplicateValues" dxfId="51" priority="42"/>
  </conditionalFormatting>
  <conditionalFormatting sqref="G1277:G1282">
    <cfRule type="duplicateValues" dxfId="50" priority="40"/>
  </conditionalFormatting>
  <conditionalFormatting sqref="G1283:G1288">
    <cfRule type="duplicateValues" dxfId="49" priority="38"/>
  </conditionalFormatting>
  <conditionalFormatting sqref="G1289:G1294">
    <cfRule type="duplicateValues" dxfId="48" priority="36"/>
  </conditionalFormatting>
  <conditionalFormatting sqref="G1297">
    <cfRule type="duplicateValues" dxfId="47" priority="32"/>
  </conditionalFormatting>
  <conditionalFormatting sqref="G1298:G1302">
    <cfRule type="duplicateValues" dxfId="46" priority="30"/>
  </conditionalFormatting>
  <conditionalFormatting sqref="G1303:G1307">
    <cfRule type="duplicateValues" dxfId="45" priority="28"/>
  </conditionalFormatting>
  <conditionalFormatting sqref="G1308:G1312">
    <cfRule type="duplicateValues" dxfId="44" priority="26"/>
  </conditionalFormatting>
  <conditionalFormatting sqref="G1313:G1317">
    <cfRule type="duplicateValues" dxfId="43" priority="24"/>
  </conditionalFormatting>
  <conditionalFormatting sqref="G1318:G1322">
    <cfRule type="duplicateValues" dxfId="42" priority="22"/>
  </conditionalFormatting>
  <conditionalFormatting sqref="G1323:G1327">
    <cfRule type="duplicateValues" dxfId="41" priority="20"/>
  </conditionalFormatting>
  <conditionalFormatting sqref="G1331">
    <cfRule type="duplicateValues" dxfId="40" priority="16"/>
  </conditionalFormatting>
  <conditionalFormatting sqref="G1332:G1336">
    <cfRule type="duplicateValues" dxfId="39" priority="14"/>
  </conditionalFormatting>
  <conditionalFormatting sqref="G1337:G1341">
    <cfRule type="duplicateValues" dxfId="38" priority="12"/>
  </conditionalFormatting>
  <conditionalFormatting sqref="G1342:G1346">
    <cfRule type="duplicateValues" dxfId="37" priority="10"/>
  </conditionalFormatting>
  <conditionalFormatting sqref="G1347:G1351">
    <cfRule type="duplicateValues" dxfId="36" priority="8"/>
  </conditionalFormatting>
  <conditionalFormatting sqref="G1352:G1356">
    <cfRule type="duplicateValues" dxfId="35" priority="6"/>
  </conditionalFormatting>
  <conditionalFormatting sqref="G1357:G1361">
    <cfRule type="duplicateValues" dxfId="34" priority="4"/>
  </conditionalFormatting>
  <conditionalFormatting sqref="I41">
    <cfRule type="duplicateValues" dxfId="33" priority="615"/>
  </conditionalFormatting>
  <conditionalFormatting sqref="I43">
    <cfRule type="duplicateValues" dxfId="32" priority="613"/>
  </conditionalFormatting>
  <conditionalFormatting sqref="J39:J40 L39:L40 N39:N40 P39:P40 R39:R40 T39:T40 V39:V40 X39:X40 Z39:Z40">
    <cfRule type="duplicateValues" dxfId="31" priority="616"/>
  </conditionalFormatting>
  <conditionalFormatting sqref="J41">
    <cfRule type="duplicateValues" dxfId="30" priority="614"/>
  </conditionalFormatting>
  <conditionalFormatting sqref="J43:J44 J45 L43:L44 N43:N44 P43:P44 R43:R44 T43:T44 V43:V44 X43:X44 Z43:Z44">
    <cfRule type="duplicateValues" dxfId="29" priority="621"/>
  </conditionalFormatting>
  <conditionalFormatting sqref="J65">
    <cfRule type="duplicateValues" dxfId="28" priority="602"/>
  </conditionalFormatting>
  <conditionalFormatting sqref="K43:K44 K45 M43:M44 O43:O44 Q43:Q44 S43:S44 U43:U44 W43:W44 Y43:Y44">
    <cfRule type="duplicateValues" dxfId="27" priority="620"/>
  </conditionalFormatting>
  <conditionalFormatting sqref="K65">
    <cfRule type="duplicateValues" dxfId="26" priority="601"/>
  </conditionalFormatting>
  <conditionalFormatting sqref="L45">
    <cfRule type="duplicateValues" dxfId="25" priority="619"/>
  </conditionalFormatting>
  <conditionalFormatting sqref="L65">
    <cfRule type="duplicateValues" dxfId="24" priority="600"/>
  </conditionalFormatting>
  <conditionalFormatting sqref="M45">
    <cfRule type="duplicateValues" dxfId="23" priority="618"/>
  </conditionalFormatting>
  <conditionalFormatting sqref="M65">
    <cfRule type="duplicateValues" dxfId="22" priority="599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2"/>
  <sheetViews>
    <sheetView workbookViewId="0">
      <selection activeCell="B8" sqref="B8"/>
    </sheetView>
  </sheetViews>
  <sheetFormatPr defaultColWidth="9" defaultRowHeight="14" x14ac:dyDescent="0.25"/>
  <cols>
    <col min="2" max="2" width="81.08984375" style="16" customWidth="1"/>
  </cols>
  <sheetData>
    <row r="1" spans="1:2" x14ac:dyDescent="0.25">
      <c r="A1" t="s">
        <v>284</v>
      </c>
      <c r="B1" t="s">
        <v>285</v>
      </c>
    </row>
    <row r="2" spans="1:2" x14ac:dyDescent="0.25">
      <c r="A2" t="s">
        <v>286</v>
      </c>
      <c r="B2" t="s">
        <v>287</v>
      </c>
    </row>
    <row r="3" spans="1:2" x14ac:dyDescent="0.25">
      <c r="A3" t="s">
        <v>288</v>
      </c>
      <c r="B3" t="s">
        <v>289</v>
      </c>
    </row>
    <row r="4" spans="1:2" x14ac:dyDescent="0.25">
      <c r="A4" t="s">
        <v>290</v>
      </c>
      <c r="B4" t="s">
        <v>291</v>
      </c>
    </row>
    <row r="5" spans="1:2" x14ac:dyDescent="0.25">
      <c r="A5" t="s">
        <v>292</v>
      </c>
      <c r="B5" t="s">
        <v>293</v>
      </c>
    </row>
    <row r="6" spans="1:2" x14ac:dyDescent="0.25">
      <c r="A6" t="s">
        <v>294</v>
      </c>
      <c r="B6" t="s">
        <v>295</v>
      </c>
    </row>
    <row r="7" spans="1:2" x14ac:dyDescent="0.25">
      <c r="A7" t="s">
        <v>296</v>
      </c>
      <c r="B7" t="s">
        <v>297</v>
      </c>
    </row>
    <row r="8" spans="1:2" x14ac:dyDescent="0.25">
      <c r="A8" t="s">
        <v>298</v>
      </c>
    </row>
    <row r="9" spans="1:2" x14ac:dyDescent="0.25">
      <c r="A9" t="s">
        <v>299</v>
      </c>
    </row>
    <row r="10" spans="1:2" x14ac:dyDescent="0.25">
      <c r="A10" t="s">
        <v>300</v>
      </c>
    </row>
    <row r="11" spans="1:2" x14ac:dyDescent="0.25">
      <c r="A11" t="s">
        <v>301</v>
      </c>
    </row>
    <row r="12" spans="1:2" x14ac:dyDescent="0.25">
      <c r="A12" t="s">
        <v>302</v>
      </c>
    </row>
    <row r="13" spans="1:2" x14ac:dyDescent="0.25">
      <c r="A13" t="s">
        <v>303</v>
      </c>
    </row>
    <row r="14" spans="1:2" x14ac:dyDescent="0.25">
      <c r="A14" t="s">
        <v>304</v>
      </c>
    </row>
    <row r="15" spans="1:2" x14ac:dyDescent="0.25">
      <c r="A15" t="s">
        <v>305</v>
      </c>
    </row>
    <row r="16" spans="1:2" x14ac:dyDescent="0.25">
      <c r="A16" t="s">
        <v>306</v>
      </c>
    </row>
    <row r="17" spans="1:1" x14ac:dyDescent="0.25">
      <c r="A17" t="s">
        <v>307</v>
      </c>
    </row>
    <row r="18" spans="1:1" x14ac:dyDescent="0.25">
      <c r="A18" t="s">
        <v>308</v>
      </c>
    </row>
    <row r="19" spans="1:1" x14ac:dyDescent="0.25">
      <c r="A19" t="s">
        <v>309</v>
      </c>
    </row>
    <row r="20" spans="1:1" x14ac:dyDescent="0.25">
      <c r="A20" t="s">
        <v>310</v>
      </c>
    </row>
    <row r="21" spans="1:1" x14ac:dyDescent="0.25">
      <c r="A21" t="s">
        <v>311</v>
      </c>
    </row>
    <row r="22" spans="1:1" x14ac:dyDescent="0.25">
      <c r="A22" t="s">
        <v>312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77"/>
  <sheetViews>
    <sheetView workbookViewId="0">
      <selection activeCell="H46" sqref="H46"/>
    </sheetView>
  </sheetViews>
  <sheetFormatPr defaultColWidth="9" defaultRowHeight="14" x14ac:dyDescent="0.25"/>
  <cols>
    <col min="2" max="3" width="12.7265625" style="6" customWidth="1"/>
    <col min="4" max="7" width="11" style="16" customWidth="1"/>
    <col min="8" max="8" width="9.36328125" style="16" customWidth="1"/>
    <col min="10" max="10" width="9.36328125" style="16" customWidth="1"/>
    <col min="12" max="12" width="9.36328125" style="16" customWidth="1"/>
    <col min="14" max="14" width="9.36328125" style="16" customWidth="1"/>
    <col min="16" max="16" width="9.36328125" style="16" customWidth="1"/>
    <col min="18" max="18" width="9.36328125" style="16" customWidth="1"/>
    <col min="20" max="20" width="9.36328125" style="16" customWidth="1"/>
    <col min="22" max="22" width="9.36328125" style="16" customWidth="1"/>
  </cols>
  <sheetData>
    <row r="1" spans="1:23" s="6" customFormat="1" x14ac:dyDescent="0.25">
      <c r="A1" s="6" t="s">
        <v>28</v>
      </c>
      <c r="B1" s="6" t="s">
        <v>29</v>
      </c>
      <c r="C1" s="6" t="s">
        <v>33</v>
      </c>
      <c r="D1" s="6" t="s">
        <v>34</v>
      </c>
      <c r="E1" t="s">
        <v>35</v>
      </c>
      <c r="F1" s="6" t="s">
        <v>36</v>
      </c>
      <c r="G1" t="s">
        <v>37</v>
      </c>
      <c r="H1" s="6" t="s">
        <v>38</v>
      </c>
      <c r="I1" t="s">
        <v>39</v>
      </c>
      <c r="J1" s="6" t="s">
        <v>40</v>
      </c>
      <c r="K1" t="s">
        <v>41</v>
      </c>
      <c r="L1" s="6" t="s">
        <v>42</v>
      </c>
      <c r="M1" t="s">
        <v>43</v>
      </c>
      <c r="N1" s="6" t="s">
        <v>44</v>
      </c>
      <c r="O1" t="s">
        <v>45</v>
      </c>
      <c r="P1" s="6" t="s">
        <v>46</v>
      </c>
      <c r="Q1" t="s">
        <v>47</v>
      </c>
      <c r="R1" s="6" t="s">
        <v>48</v>
      </c>
      <c r="S1" t="s">
        <v>49</v>
      </c>
      <c r="T1" s="6" t="s">
        <v>50</v>
      </c>
      <c r="U1" t="s">
        <v>51</v>
      </c>
      <c r="V1" s="6" t="s">
        <v>52</v>
      </c>
      <c r="W1" t="s">
        <v>53</v>
      </c>
    </row>
    <row r="2" spans="1:23" s="6" customFormat="1" x14ac:dyDescent="0.25">
      <c r="A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</row>
    <row r="3" spans="1:23" x14ac:dyDescent="0.25">
      <c r="A3">
        <v>1</v>
      </c>
      <c r="B3" s="6" t="s">
        <v>72</v>
      </c>
      <c r="C3" s="6" t="s">
        <v>62</v>
      </c>
      <c r="D3">
        <v>60011037</v>
      </c>
      <c r="E3">
        <v>2</v>
      </c>
      <c r="F3">
        <v>60011090</v>
      </c>
      <c r="G3">
        <v>2</v>
      </c>
      <c r="H3">
        <v>60371001</v>
      </c>
      <c r="I3">
        <v>2</v>
      </c>
      <c r="J3">
        <v>60011033</v>
      </c>
      <c r="K3">
        <v>2</v>
      </c>
      <c r="L3">
        <v>60011035</v>
      </c>
      <c r="M3">
        <v>2</v>
      </c>
      <c r="N3">
        <v>60371009</v>
      </c>
      <c r="O3">
        <v>2</v>
      </c>
      <c r="P3">
        <v>60011016</v>
      </c>
      <c r="Q3">
        <v>2</v>
      </c>
      <c r="R3">
        <v>60011090</v>
      </c>
      <c r="S3">
        <v>2</v>
      </c>
      <c r="T3">
        <v>60011081</v>
      </c>
      <c r="U3">
        <v>2</v>
      </c>
      <c r="V3">
        <v>60371011</v>
      </c>
      <c r="W3">
        <v>2</v>
      </c>
    </row>
    <row r="4" spans="1:23" x14ac:dyDescent="0.25">
      <c r="A4">
        <v>2</v>
      </c>
      <c r="B4" s="6" t="s">
        <v>235</v>
      </c>
      <c r="C4" s="6" t="s">
        <v>62</v>
      </c>
      <c r="D4">
        <v>60011119</v>
      </c>
      <c r="E4">
        <v>1</v>
      </c>
      <c r="F4">
        <v>60011105</v>
      </c>
      <c r="G4">
        <v>1</v>
      </c>
      <c r="H4">
        <v>60371107</v>
      </c>
      <c r="I4">
        <v>1</v>
      </c>
      <c r="J4">
        <v>60011106</v>
      </c>
      <c r="K4">
        <v>1</v>
      </c>
      <c r="L4">
        <v>60011127</v>
      </c>
      <c r="M4">
        <v>1</v>
      </c>
    </row>
    <row r="5" spans="1:23" x14ac:dyDescent="0.25">
      <c r="A5">
        <v>3</v>
      </c>
      <c r="B5" s="6" t="s">
        <v>235</v>
      </c>
      <c r="C5" s="6" t="s">
        <v>62</v>
      </c>
      <c r="D5">
        <v>60011106</v>
      </c>
      <c r="E5">
        <v>1</v>
      </c>
      <c r="F5">
        <v>60011127</v>
      </c>
      <c r="G5">
        <v>1</v>
      </c>
    </row>
    <row r="6" spans="1:23" x14ac:dyDescent="0.25">
      <c r="A6">
        <v>4</v>
      </c>
      <c r="B6" s="6" t="s">
        <v>239</v>
      </c>
      <c r="C6" s="6" t="s">
        <v>62</v>
      </c>
      <c r="D6">
        <v>60011105</v>
      </c>
      <c r="E6">
        <v>1</v>
      </c>
      <c r="F6">
        <v>60371107</v>
      </c>
      <c r="G6">
        <v>1</v>
      </c>
      <c r="H6">
        <v>60011106</v>
      </c>
      <c r="I6">
        <v>1</v>
      </c>
      <c r="J6">
        <v>60011127</v>
      </c>
      <c r="K6">
        <v>1</v>
      </c>
      <c r="L6">
        <v>60011121</v>
      </c>
      <c r="M6">
        <v>1</v>
      </c>
    </row>
    <row r="7" spans="1:23" x14ac:dyDescent="0.25">
      <c r="A7">
        <v>5</v>
      </c>
      <c r="B7" s="6" t="s">
        <v>241</v>
      </c>
      <c r="C7" s="6" t="s">
        <v>62</v>
      </c>
      <c r="D7">
        <v>60011105</v>
      </c>
      <c r="E7">
        <v>6</v>
      </c>
      <c r="F7">
        <v>60371107</v>
      </c>
      <c r="G7">
        <v>6</v>
      </c>
      <c r="H7">
        <v>60011106</v>
      </c>
      <c r="I7">
        <v>6</v>
      </c>
      <c r="J7">
        <v>60011127</v>
      </c>
      <c r="K7">
        <v>6</v>
      </c>
      <c r="L7">
        <v>60011121</v>
      </c>
      <c r="M7">
        <v>6</v>
      </c>
      <c r="N7">
        <v>60371124</v>
      </c>
      <c r="O7">
        <v>6</v>
      </c>
    </row>
    <row r="8" spans="1:23" x14ac:dyDescent="0.25">
      <c r="A8">
        <v>6</v>
      </c>
      <c r="B8" s="6" t="s">
        <v>313</v>
      </c>
      <c r="C8" s="6" t="s">
        <v>57</v>
      </c>
      <c r="D8">
        <v>60011132</v>
      </c>
      <c r="E8">
        <v>1</v>
      </c>
    </row>
    <row r="9" spans="1:23" x14ac:dyDescent="0.25">
      <c r="A9">
        <v>7</v>
      </c>
      <c r="B9" s="6" t="s">
        <v>313</v>
      </c>
      <c r="C9" s="6" t="s">
        <v>62</v>
      </c>
      <c r="D9">
        <v>60011105</v>
      </c>
      <c r="E9">
        <v>4</v>
      </c>
      <c r="F9">
        <v>60371107</v>
      </c>
      <c r="G9">
        <v>4</v>
      </c>
      <c r="H9">
        <v>60011106</v>
      </c>
      <c r="I9">
        <v>4</v>
      </c>
      <c r="J9">
        <v>60011127</v>
      </c>
      <c r="K9">
        <v>4</v>
      </c>
      <c r="L9">
        <v>60011121</v>
      </c>
      <c r="M9">
        <v>4</v>
      </c>
      <c r="N9">
        <v>60371124</v>
      </c>
      <c r="O9">
        <v>4</v>
      </c>
    </row>
    <row r="10" spans="1:23" x14ac:dyDescent="0.25">
      <c r="A10">
        <v>8</v>
      </c>
      <c r="B10" s="6" t="s">
        <v>171</v>
      </c>
      <c r="C10" s="6" t="s">
        <v>62</v>
      </c>
      <c r="D10">
        <v>60011014</v>
      </c>
      <c r="E10">
        <v>1</v>
      </c>
      <c r="F10">
        <v>60011026</v>
      </c>
      <c r="G10">
        <v>1</v>
      </c>
      <c r="H10">
        <v>60011032</v>
      </c>
      <c r="I10">
        <v>1</v>
      </c>
      <c r="J10">
        <v>60371024</v>
      </c>
      <c r="K10">
        <v>1</v>
      </c>
      <c r="L10">
        <v>60011019</v>
      </c>
      <c r="M10">
        <v>1</v>
      </c>
    </row>
    <row r="11" spans="1:23" x14ac:dyDescent="0.25">
      <c r="A11">
        <v>9</v>
      </c>
      <c r="B11" s="6" t="s">
        <v>177</v>
      </c>
      <c r="C11" s="6" t="s">
        <v>62</v>
      </c>
      <c r="D11">
        <v>60011014</v>
      </c>
      <c r="E11">
        <v>1</v>
      </c>
      <c r="F11">
        <v>60011032</v>
      </c>
      <c r="G11">
        <v>1</v>
      </c>
      <c r="H11">
        <v>60371024</v>
      </c>
      <c r="I11">
        <v>1</v>
      </c>
      <c r="J11">
        <v>60011019</v>
      </c>
      <c r="K11">
        <v>1</v>
      </c>
      <c r="L11">
        <v>60011022</v>
      </c>
      <c r="M11">
        <v>1</v>
      </c>
    </row>
    <row r="12" spans="1:23" x14ac:dyDescent="0.25">
      <c r="A12">
        <v>10</v>
      </c>
      <c r="B12" s="6" t="s">
        <v>181</v>
      </c>
      <c r="C12" s="6" t="s">
        <v>57</v>
      </c>
      <c r="D12">
        <v>60011028</v>
      </c>
      <c r="E12">
        <v>1</v>
      </c>
    </row>
    <row r="13" spans="1:23" x14ac:dyDescent="0.25">
      <c r="A13">
        <v>11</v>
      </c>
      <c r="B13" s="6" t="s">
        <v>185</v>
      </c>
      <c r="C13" s="6" t="s">
        <v>62</v>
      </c>
      <c r="D13">
        <v>60011032</v>
      </c>
      <c r="E13">
        <v>1</v>
      </c>
      <c r="F13">
        <v>60371059</v>
      </c>
      <c r="G13">
        <v>1</v>
      </c>
      <c r="H13">
        <v>60371061</v>
      </c>
      <c r="I13">
        <v>1</v>
      </c>
      <c r="J13">
        <v>60371063</v>
      </c>
      <c r="K13">
        <v>1</v>
      </c>
      <c r="L13" s="7">
        <v>60371065</v>
      </c>
      <c r="M13">
        <v>1</v>
      </c>
      <c r="N13">
        <v>60371067</v>
      </c>
      <c r="O13">
        <v>1</v>
      </c>
      <c r="P13">
        <v>60371397</v>
      </c>
      <c r="Q13">
        <v>1</v>
      </c>
    </row>
    <row r="14" spans="1:23" x14ac:dyDescent="0.25">
      <c r="A14">
        <v>12</v>
      </c>
      <c r="B14" s="6" t="s">
        <v>193</v>
      </c>
      <c r="C14" s="6" t="s">
        <v>62</v>
      </c>
      <c r="D14">
        <v>60371069</v>
      </c>
      <c r="E14">
        <v>5</v>
      </c>
    </row>
    <row r="15" spans="1:23" x14ac:dyDescent="0.25">
      <c r="A15">
        <v>13</v>
      </c>
      <c r="B15" s="6" t="s">
        <v>197</v>
      </c>
      <c r="C15" s="6" t="s">
        <v>62</v>
      </c>
      <c r="D15">
        <v>60371091</v>
      </c>
      <c r="E15">
        <v>1</v>
      </c>
      <c r="F15">
        <v>60371101</v>
      </c>
      <c r="G15">
        <v>1</v>
      </c>
      <c r="H15">
        <v>60371103</v>
      </c>
      <c r="I15">
        <v>2</v>
      </c>
      <c r="J15">
        <v>60371094</v>
      </c>
      <c r="K15">
        <v>1</v>
      </c>
      <c r="L15">
        <v>60371096</v>
      </c>
      <c r="M15">
        <v>1</v>
      </c>
    </row>
    <row r="16" spans="1:23" x14ac:dyDescent="0.25">
      <c r="A16">
        <v>14</v>
      </c>
      <c r="B16" s="6" t="s">
        <v>202</v>
      </c>
      <c r="C16" s="6" t="s">
        <v>62</v>
      </c>
      <c r="D16">
        <v>60371091</v>
      </c>
      <c r="E16">
        <v>1</v>
      </c>
      <c r="F16">
        <v>60371101</v>
      </c>
      <c r="G16">
        <v>1</v>
      </c>
      <c r="H16">
        <v>60371094</v>
      </c>
      <c r="I16">
        <v>1</v>
      </c>
      <c r="J16">
        <v>60371096</v>
      </c>
      <c r="K16">
        <v>1</v>
      </c>
    </row>
    <row r="17" spans="1:15" x14ac:dyDescent="0.25">
      <c r="A17">
        <v>15</v>
      </c>
      <c r="B17" s="6" t="s">
        <v>204</v>
      </c>
      <c r="C17" s="6" t="s">
        <v>62</v>
      </c>
      <c r="D17">
        <v>60371091</v>
      </c>
      <c r="E17">
        <v>1</v>
      </c>
      <c r="F17">
        <v>60371101</v>
      </c>
      <c r="G17">
        <v>1</v>
      </c>
      <c r="H17">
        <v>60371103</v>
      </c>
      <c r="I17">
        <v>2</v>
      </c>
      <c r="J17">
        <v>60371094</v>
      </c>
      <c r="K17">
        <v>1</v>
      </c>
      <c r="L17">
        <v>60371096</v>
      </c>
      <c r="M17">
        <v>1</v>
      </c>
    </row>
    <row r="18" spans="1:15" x14ac:dyDescent="0.25">
      <c r="A18">
        <v>16</v>
      </c>
      <c r="B18" s="6" t="s">
        <v>204</v>
      </c>
      <c r="C18" s="6" t="s">
        <v>57</v>
      </c>
      <c r="D18">
        <v>60371093</v>
      </c>
      <c r="E18">
        <v>1</v>
      </c>
    </row>
    <row r="19" spans="1:15" x14ac:dyDescent="0.25">
      <c r="A19">
        <v>17</v>
      </c>
      <c r="B19" s="6" t="s">
        <v>205</v>
      </c>
      <c r="C19" s="6" t="s">
        <v>62</v>
      </c>
      <c r="D19">
        <v>60011121</v>
      </c>
      <c r="E19">
        <v>1</v>
      </c>
      <c r="F19">
        <v>60371124</v>
      </c>
      <c r="G19">
        <v>1</v>
      </c>
      <c r="H19">
        <v>60011127</v>
      </c>
      <c r="I19">
        <v>1</v>
      </c>
      <c r="J19">
        <v>60371002</v>
      </c>
      <c r="K19">
        <v>1</v>
      </c>
    </row>
    <row r="20" spans="1:15" x14ac:dyDescent="0.25">
      <c r="A20">
        <v>18</v>
      </c>
      <c r="B20" s="6" t="s">
        <v>205</v>
      </c>
      <c r="C20" s="6" t="s">
        <v>57</v>
      </c>
      <c r="D20">
        <v>60011132</v>
      </c>
      <c r="E20">
        <v>1</v>
      </c>
    </row>
    <row r="21" spans="1:15" x14ac:dyDescent="0.25">
      <c r="A21">
        <v>19</v>
      </c>
      <c r="B21" s="6" t="s">
        <v>211</v>
      </c>
      <c r="C21" s="6" t="s">
        <v>62</v>
      </c>
      <c r="D21">
        <v>60371057</v>
      </c>
      <c r="E21">
        <v>1</v>
      </c>
      <c r="F21">
        <v>60371040</v>
      </c>
      <c r="G21">
        <v>1</v>
      </c>
      <c r="H21">
        <v>60371042</v>
      </c>
      <c r="I21">
        <v>1</v>
      </c>
      <c r="J21">
        <v>60371044</v>
      </c>
      <c r="K21">
        <v>1</v>
      </c>
    </row>
    <row r="22" spans="1:15" x14ac:dyDescent="0.25">
      <c r="A22">
        <v>20</v>
      </c>
      <c r="B22" s="6" t="s">
        <v>216</v>
      </c>
      <c r="C22" s="6" t="s">
        <v>62</v>
      </c>
      <c r="D22">
        <v>60371042</v>
      </c>
      <c r="E22">
        <v>1</v>
      </c>
      <c r="F22">
        <v>60371044</v>
      </c>
      <c r="G22">
        <v>1</v>
      </c>
      <c r="H22">
        <v>60371046</v>
      </c>
      <c r="I22">
        <v>1</v>
      </c>
      <c r="J22">
        <v>60371055</v>
      </c>
      <c r="K22">
        <v>1</v>
      </c>
    </row>
    <row r="23" spans="1:15" x14ac:dyDescent="0.25">
      <c r="A23">
        <v>21</v>
      </c>
      <c r="B23" s="6" t="s">
        <v>218</v>
      </c>
      <c r="C23" s="6" t="s">
        <v>62</v>
      </c>
      <c r="D23">
        <v>60371042</v>
      </c>
      <c r="E23">
        <v>1</v>
      </c>
      <c r="F23">
        <v>60371044</v>
      </c>
      <c r="G23">
        <v>1</v>
      </c>
      <c r="H23">
        <v>60371046</v>
      </c>
      <c r="I23">
        <v>1</v>
      </c>
      <c r="J23">
        <v>60371055</v>
      </c>
      <c r="K23">
        <v>1</v>
      </c>
    </row>
    <row r="24" spans="1:15" x14ac:dyDescent="0.25">
      <c r="A24">
        <v>22</v>
      </c>
      <c r="B24" s="6" t="s">
        <v>218</v>
      </c>
      <c r="C24" s="6" t="s">
        <v>57</v>
      </c>
      <c r="D24">
        <v>60371053</v>
      </c>
      <c r="E24">
        <v>1</v>
      </c>
    </row>
    <row r="25" spans="1:15" x14ac:dyDescent="0.25">
      <c r="A25">
        <v>23</v>
      </c>
      <c r="B25" s="6" t="s">
        <v>219</v>
      </c>
      <c r="C25" s="6" t="s">
        <v>62</v>
      </c>
      <c r="D25">
        <v>60371094</v>
      </c>
      <c r="E25">
        <v>1</v>
      </c>
      <c r="F25">
        <v>60371107</v>
      </c>
      <c r="G25">
        <v>1</v>
      </c>
      <c r="H25">
        <v>60371108</v>
      </c>
      <c r="I25">
        <v>1</v>
      </c>
      <c r="J25">
        <v>60371110</v>
      </c>
      <c r="K25">
        <v>1</v>
      </c>
    </row>
    <row r="26" spans="1:15" x14ac:dyDescent="0.25">
      <c r="A26">
        <v>24</v>
      </c>
      <c r="B26" s="6" t="s">
        <v>223</v>
      </c>
      <c r="C26" s="6" t="s">
        <v>62</v>
      </c>
      <c r="D26">
        <v>60371107</v>
      </c>
      <c r="E26">
        <v>1</v>
      </c>
      <c r="F26">
        <v>60371108</v>
      </c>
      <c r="G26">
        <v>1</v>
      </c>
      <c r="H26">
        <v>60371110</v>
      </c>
      <c r="I26">
        <v>1</v>
      </c>
      <c r="J26">
        <v>60371115</v>
      </c>
      <c r="K26">
        <v>1</v>
      </c>
      <c r="L26">
        <v>60011105</v>
      </c>
      <c r="M26">
        <v>1</v>
      </c>
      <c r="N26">
        <v>60011106</v>
      </c>
      <c r="O26">
        <v>1</v>
      </c>
    </row>
    <row r="27" spans="1:15" x14ac:dyDescent="0.25">
      <c r="A27">
        <v>25</v>
      </c>
      <c r="B27" s="6" t="s">
        <v>226</v>
      </c>
      <c r="C27" s="6" t="s">
        <v>62</v>
      </c>
      <c r="D27">
        <v>60371107</v>
      </c>
      <c r="E27">
        <v>1</v>
      </c>
      <c r="F27">
        <v>60371108</v>
      </c>
      <c r="G27">
        <v>1</v>
      </c>
      <c r="H27">
        <v>60371110</v>
      </c>
      <c r="I27">
        <v>1</v>
      </c>
      <c r="J27">
        <v>60371115</v>
      </c>
      <c r="K27">
        <v>1</v>
      </c>
      <c r="L27">
        <v>60011105</v>
      </c>
      <c r="M27">
        <v>1</v>
      </c>
      <c r="N27">
        <v>60011106</v>
      </c>
      <c r="O27">
        <v>1</v>
      </c>
    </row>
    <row r="28" spans="1:15" x14ac:dyDescent="0.25">
      <c r="A28">
        <v>26</v>
      </c>
      <c r="B28" s="6" t="s">
        <v>314</v>
      </c>
      <c r="C28" s="6" t="s">
        <v>62</v>
      </c>
      <c r="D28">
        <v>60371094</v>
      </c>
      <c r="E28">
        <v>1</v>
      </c>
      <c r="F28">
        <v>60371112</v>
      </c>
      <c r="G28">
        <v>2</v>
      </c>
      <c r="H28">
        <v>60011105</v>
      </c>
      <c r="I28">
        <v>1</v>
      </c>
      <c r="J28">
        <v>60011106</v>
      </c>
      <c r="K28">
        <v>1</v>
      </c>
    </row>
    <row r="29" spans="1:15" x14ac:dyDescent="0.25">
      <c r="A29">
        <v>27</v>
      </c>
      <c r="B29" s="6" t="s">
        <v>314</v>
      </c>
      <c r="C29" s="6" t="s">
        <v>57</v>
      </c>
      <c r="D29">
        <v>60371206</v>
      </c>
      <c r="E29">
        <v>1</v>
      </c>
    </row>
    <row r="30" spans="1:15" x14ac:dyDescent="0.25">
      <c r="A30">
        <v>28</v>
      </c>
      <c r="B30" s="6" t="s">
        <v>229</v>
      </c>
      <c r="C30" s="6" t="s">
        <v>62</v>
      </c>
      <c r="D30">
        <v>60371207</v>
      </c>
      <c r="E30">
        <v>1</v>
      </c>
      <c r="F30">
        <v>60371140</v>
      </c>
      <c r="G30">
        <v>1</v>
      </c>
      <c r="H30">
        <v>60371075</v>
      </c>
      <c r="I30">
        <v>1</v>
      </c>
    </row>
    <row r="31" spans="1:15" x14ac:dyDescent="0.25">
      <c r="A31">
        <v>29</v>
      </c>
      <c r="B31" s="6" t="s">
        <v>233</v>
      </c>
      <c r="C31" s="6" t="s">
        <v>57</v>
      </c>
      <c r="D31">
        <v>60371265</v>
      </c>
      <c r="E31">
        <v>1</v>
      </c>
    </row>
    <row r="32" spans="1:15" x14ac:dyDescent="0.25">
      <c r="A32">
        <v>30</v>
      </c>
      <c r="B32" s="6" t="s">
        <v>72</v>
      </c>
      <c r="C32" s="6" t="s">
        <v>57</v>
      </c>
      <c r="D32">
        <v>60371490</v>
      </c>
      <c r="E32">
        <v>1</v>
      </c>
    </row>
    <row r="33" spans="1:6" x14ac:dyDescent="0.25">
      <c r="A33">
        <v>31</v>
      </c>
      <c r="B33" s="6" t="s">
        <v>72</v>
      </c>
      <c r="C33" s="6" t="s">
        <v>57</v>
      </c>
      <c r="D33">
        <v>60371491</v>
      </c>
      <c r="E33">
        <v>1</v>
      </c>
    </row>
    <row r="38" spans="1:6" ht="14.25" customHeight="1" x14ac:dyDescent="0.25">
      <c r="A38">
        <v>1</v>
      </c>
      <c r="B38" s="2" t="s">
        <v>72</v>
      </c>
      <c r="D38" s="6" t="s">
        <v>315</v>
      </c>
      <c r="F38">
        <v>1000000</v>
      </c>
    </row>
    <row r="39" spans="1:6" ht="14.25" customHeight="1" x14ac:dyDescent="0.25">
      <c r="A39">
        <v>2</v>
      </c>
      <c r="B39" s="2" t="s">
        <v>171</v>
      </c>
      <c r="D39" s="6" t="s">
        <v>316</v>
      </c>
    </row>
    <row r="40" spans="1:6" ht="14.25" customHeight="1" x14ac:dyDescent="0.25">
      <c r="A40">
        <v>3</v>
      </c>
      <c r="B40" s="2" t="s">
        <v>177</v>
      </c>
      <c r="D40" s="6" t="s">
        <v>317</v>
      </c>
    </row>
    <row r="41" spans="1:6" ht="14.25" customHeight="1" x14ac:dyDescent="0.25">
      <c r="A41">
        <v>4</v>
      </c>
      <c r="B41" s="2" t="s">
        <v>181</v>
      </c>
      <c r="D41" s="6" t="s">
        <v>318</v>
      </c>
    </row>
    <row r="42" spans="1:6" ht="14.25" customHeight="1" x14ac:dyDescent="0.25">
      <c r="A42">
        <v>5</v>
      </c>
      <c r="B42" s="2" t="s">
        <v>185</v>
      </c>
      <c r="D42" s="6" t="s">
        <v>319</v>
      </c>
    </row>
    <row r="43" spans="1:6" ht="14.25" customHeight="1" x14ac:dyDescent="0.25">
      <c r="A43">
        <v>6</v>
      </c>
      <c r="B43" s="2" t="s">
        <v>193</v>
      </c>
      <c r="D43" s="6" t="s">
        <v>320</v>
      </c>
    </row>
    <row r="44" spans="1:6" ht="14.25" customHeight="1" x14ac:dyDescent="0.25">
      <c r="A44">
        <v>7</v>
      </c>
      <c r="B44" s="2" t="s">
        <v>197</v>
      </c>
      <c r="D44" s="6" t="s">
        <v>58</v>
      </c>
    </row>
    <row r="45" spans="1:6" ht="14.25" customHeight="1" x14ac:dyDescent="0.25">
      <c r="A45">
        <v>8</v>
      </c>
      <c r="B45" s="2" t="s">
        <v>202</v>
      </c>
      <c r="D45" s="6" t="s">
        <v>55</v>
      </c>
    </row>
    <row r="46" spans="1:6" ht="14.25" customHeight="1" x14ac:dyDescent="0.25">
      <c r="A46">
        <v>9</v>
      </c>
      <c r="B46" s="2" t="s">
        <v>204</v>
      </c>
    </row>
    <row r="47" spans="1:6" ht="14.25" customHeight="1" x14ac:dyDescent="0.25">
      <c r="A47">
        <v>10</v>
      </c>
      <c r="B47" s="2" t="s">
        <v>205</v>
      </c>
    </row>
    <row r="48" spans="1:6" ht="14.25" customHeight="1" x14ac:dyDescent="0.25">
      <c r="A48">
        <v>11</v>
      </c>
      <c r="B48" s="2" t="s">
        <v>211</v>
      </c>
    </row>
    <row r="49" spans="1:2" ht="14.25" customHeight="1" x14ac:dyDescent="0.25">
      <c r="A49">
        <v>12</v>
      </c>
      <c r="B49" s="2" t="s">
        <v>216</v>
      </c>
    </row>
    <row r="50" spans="1:2" ht="14.25" customHeight="1" x14ac:dyDescent="0.25">
      <c r="A50">
        <v>13</v>
      </c>
      <c r="B50" s="2" t="s">
        <v>218</v>
      </c>
    </row>
    <row r="51" spans="1:2" ht="14.25" customHeight="1" x14ac:dyDescent="0.25">
      <c r="A51">
        <v>14</v>
      </c>
      <c r="B51" s="2" t="s">
        <v>219</v>
      </c>
    </row>
    <row r="52" spans="1:2" ht="14.25" customHeight="1" x14ac:dyDescent="0.25">
      <c r="A52">
        <v>15</v>
      </c>
      <c r="B52" s="2" t="s">
        <v>223</v>
      </c>
    </row>
    <row r="53" spans="1:2" ht="14.25" customHeight="1" x14ac:dyDescent="0.25">
      <c r="A53">
        <v>16</v>
      </c>
      <c r="B53" s="2" t="s">
        <v>226</v>
      </c>
    </row>
    <row r="54" spans="1:2" ht="14.25" customHeight="1" x14ac:dyDescent="0.25">
      <c r="A54">
        <v>17</v>
      </c>
      <c r="B54" s="2" t="s">
        <v>228</v>
      </c>
    </row>
    <row r="55" spans="1:2" ht="14.25" customHeight="1" x14ac:dyDescent="0.25">
      <c r="A55">
        <v>18</v>
      </c>
      <c r="B55" s="2" t="s">
        <v>229</v>
      </c>
    </row>
    <row r="56" spans="1:2" ht="14.25" customHeight="1" x14ac:dyDescent="0.25">
      <c r="A56">
        <v>19</v>
      </c>
      <c r="B56" s="2" t="s">
        <v>233</v>
      </c>
    </row>
    <row r="57" spans="1:2" ht="14.25" customHeight="1" x14ac:dyDescent="0.25">
      <c r="A57">
        <v>20</v>
      </c>
      <c r="B57" s="2" t="s">
        <v>235</v>
      </c>
    </row>
    <row r="58" spans="1:2" ht="14.25" customHeight="1" x14ac:dyDescent="0.25">
      <c r="A58">
        <v>21</v>
      </c>
      <c r="B58" s="2" t="s">
        <v>239</v>
      </c>
    </row>
    <row r="59" spans="1:2" ht="14.25" customHeight="1" x14ac:dyDescent="0.25">
      <c r="A59">
        <v>22</v>
      </c>
      <c r="B59" s="2" t="s">
        <v>241</v>
      </c>
    </row>
    <row r="60" spans="1:2" ht="14.25" customHeight="1" x14ac:dyDescent="0.25">
      <c r="A60">
        <v>23</v>
      </c>
      <c r="B60" s="2" t="s">
        <v>242</v>
      </c>
    </row>
    <row r="61" spans="1:2" ht="14.25" customHeight="1" x14ac:dyDescent="0.25">
      <c r="A61">
        <v>24</v>
      </c>
      <c r="B61" s="2" t="s">
        <v>243</v>
      </c>
    </row>
    <row r="62" spans="1:2" ht="14.25" customHeight="1" x14ac:dyDescent="0.25">
      <c r="A62">
        <v>25</v>
      </c>
      <c r="B62" s="2" t="s">
        <v>245</v>
      </c>
    </row>
    <row r="63" spans="1:2" ht="14.25" customHeight="1" x14ac:dyDescent="0.25">
      <c r="A63">
        <v>26</v>
      </c>
      <c r="B63" s="2" t="s">
        <v>247</v>
      </c>
    </row>
    <row r="64" spans="1:2" ht="14.25" customHeight="1" x14ac:dyDescent="0.25">
      <c r="A64">
        <v>27</v>
      </c>
      <c r="B64" s="2" t="s">
        <v>248</v>
      </c>
    </row>
    <row r="65" spans="1:2" ht="14.25" customHeight="1" x14ac:dyDescent="0.25">
      <c r="A65">
        <v>28</v>
      </c>
      <c r="B65" s="2" t="s">
        <v>251</v>
      </c>
    </row>
    <row r="66" spans="1:2" ht="14.25" customHeight="1" x14ac:dyDescent="0.25">
      <c r="A66">
        <v>29</v>
      </c>
      <c r="B66" s="2" t="s">
        <v>252</v>
      </c>
    </row>
    <row r="67" spans="1:2" ht="14.25" customHeight="1" x14ac:dyDescent="0.25">
      <c r="A67">
        <v>30</v>
      </c>
      <c r="B67" s="2" t="s">
        <v>257</v>
      </c>
    </row>
    <row r="68" spans="1:2" ht="14.25" customHeight="1" x14ac:dyDescent="0.25">
      <c r="A68">
        <v>31</v>
      </c>
      <c r="B68" s="2" t="s">
        <v>258</v>
      </c>
    </row>
    <row r="69" spans="1:2" ht="14.25" customHeight="1" x14ac:dyDescent="0.25">
      <c r="A69">
        <v>32</v>
      </c>
      <c r="B69" s="2" t="s">
        <v>264</v>
      </c>
    </row>
    <row r="70" spans="1:2" ht="14.25" customHeight="1" x14ac:dyDescent="0.25">
      <c r="A70">
        <v>33</v>
      </c>
      <c r="B70" s="2" t="s">
        <v>267</v>
      </c>
    </row>
    <row r="71" spans="1:2" ht="14.25" customHeight="1" x14ac:dyDescent="0.25">
      <c r="A71">
        <v>34</v>
      </c>
      <c r="B71" s="2" t="s">
        <v>268</v>
      </c>
    </row>
    <row r="72" spans="1:2" ht="14.25" customHeight="1" x14ac:dyDescent="0.25">
      <c r="A72">
        <v>35</v>
      </c>
      <c r="B72" s="2" t="s">
        <v>274</v>
      </c>
    </row>
    <row r="73" spans="1:2" ht="14.25" customHeight="1" x14ac:dyDescent="0.25">
      <c r="A73">
        <v>36</v>
      </c>
      <c r="B73" s="2" t="s">
        <v>276</v>
      </c>
    </row>
    <row r="74" spans="1:2" ht="14.25" customHeight="1" x14ac:dyDescent="0.25">
      <c r="A74">
        <v>37</v>
      </c>
      <c r="B74" s="2" t="s">
        <v>277</v>
      </c>
    </row>
    <row r="75" spans="1:2" ht="14.25" customHeight="1" x14ac:dyDescent="0.25">
      <c r="A75">
        <v>38</v>
      </c>
      <c r="B75" s="2" t="s">
        <v>278</v>
      </c>
    </row>
    <row r="76" spans="1:2" ht="14.25" customHeight="1" x14ac:dyDescent="0.25">
      <c r="A76">
        <v>39</v>
      </c>
      <c r="B76" s="2" t="s">
        <v>282</v>
      </c>
    </row>
    <row r="77" spans="1:2" ht="14.25" customHeight="1" x14ac:dyDescent="0.25">
      <c r="A77">
        <v>40</v>
      </c>
      <c r="B77" s="2" t="s">
        <v>283</v>
      </c>
    </row>
  </sheetData>
  <phoneticPr fontId="6" type="noConversion"/>
  <conditionalFormatting sqref="D1:D2 D3:D4 D8 D10 D13:D15 D18:D19 D21 D24:D25 D28:D37 D46:D1048576 F1:F2 H1:H2 J1:J2 L1:L2 N1:N2 P1:P2 R1:R2 T1:T2 V1:V2">
    <cfRule type="duplicateValues" dxfId="21" priority="22"/>
  </conditionalFormatting>
  <conditionalFormatting sqref="D6:D7 F3:F4 F7:F8 F10 F12:F15 F18:F21 F24:F25 F28:F1048576">
    <cfRule type="duplicateValues" dxfId="20" priority="20"/>
  </conditionalFormatting>
  <conditionalFormatting sqref="D9 F9">
    <cfRule type="duplicateValues" dxfId="19" priority="18"/>
  </conditionalFormatting>
  <conditionalFormatting sqref="D11">
    <cfRule type="duplicateValues" dxfId="18" priority="14"/>
  </conditionalFormatting>
  <conditionalFormatting sqref="D16">
    <cfRule type="duplicateValues" dxfId="17" priority="12"/>
  </conditionalFormatting>
  <conditionalFormatting sqref="D17">
    <cfRule type="duplicateValues" dxfId="16" priority="8"/>
  </conditionalFormatting>
  <conditionalFormatting sqref="D20">
    <cfRule type="duplicateValues" dxfId="15" priority="16"/>
  </conditionalFormatting>
  <conditionalFormatting sqref="D26">
    <cfRule type="duplicateValues" dxfId="14" priority="4"/>
  </conditionalFormatting>
  <conditionalFormatting sqref="D27">
    <cfRule type="duplicateValues" dxfId="13" priority="2"/>
  </conditionalFormatting>
  <conditionalFormatting sqref="E1:E2 E3:E4 E8 E10 E13:E15 E18:E19 E21 E24:E25 E28:E1048576 G1:G2 I1:I2 K1:K2 M1:M2 O1:O2 Q1:Q2 S1:S2 U1:U2 W1:W2">
    <cfRule type="duplicateValues" dxfId="12" priority="21"/>
  </conditionalFormatting>
  <conditionalFormatting sqref="E6:E7 G3:G4 G7:G8 G10 G12:G15 G18:G21 G24:G25 G28:G1048576">
    <cfRule type="duplicateValues" dxfId="11" priority="19"/>
  </conditionalFormatting>
  <conditionalFormatting sqref="E9 G9">
    <cfRule type="duplicateValues" dxfId="10" priority="17"/>
  </conditionalFormatting>
  <conditionalFormatting sqref="E11">
    <cfRule type="duplicateValues" dxfId="9" priority="13"/>
  </conditionalFormatting>
  <conditionalFormatting sqref="E16">
    <cfRule type="duplicateValues" dxfId="8" priority="11"/>
  </conditionalFormatting>
  <conditionalFormatting sqref="E17">
    <cfRule type="duplicateValues" dxfId="7" priority="7"/>
  </conditionalFormatting>
  <conditionalFormatting sqref="E20">
    <cfRule type="duplicateValues" dxfId="6" priority="15"/>
  </conditionalFormatting>
  <conditionalFormatting sqref="E26">
    <cfRule type="duplicateValues" dxfId="5" priority="3"/>
  </conditionalFormatting>
  <conditionalFormatting sqref="E27">
    <cfRule type="duplicateValues" dxfId="4" priority="1"/>
  </conditionalFormatting>
  <conditionalFormatting sqref="F16">
    <cfRule type="duplicateValues" dxfId="3" priority="10"/>
  </conditionalFormatting>
  <conditionalFormatting sqref="F17">
    <cfRule type="duplicateValues" dxfId="2" priority="6"/>
  </conditionalFormatting>
  <conditionalFormatting sqref="G16">
    <cfRule type="duplicateValues" dxfId="1" priority="9"/>
  </conditionalFormatting>
  <conditionalFormatting sqref="G17">
    <cfRule type="duplicateValues" dxfId="0" priority="5"/>
  </conditionalFormatting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2"/>
  <sheetViews>
    <sheetView workbookViewId="0">
      <selection activeCell="B12" sqref="B12"/>
    </sheetView>
  </sheetViews>
  <sheetFormatPr defaultColWidth="8.7265625" defaultRowHeight="14" x14ac:dyDescent="0.25"/>
  <cols>
    <col min="1" max="1" width="12.08984375" style="16" customWidth="1"/>
    <col min="7" max="7" width="9.54296875" style="16" customWidth="1"/>
    <col min="8" max="8" width="111.7265625" style="16" customWidth="1"/>
  </cols>
  <sheetData>
    <row r="1" spans="1:8" ht="14.25" customHeight="1" x14ac:dyDescent="0.25">
      <c r="A1" s="1" t="s">
        <v>321</v>
      </c>
      <c r="B1" s="1" t="s">
        <v>28</v>
      </c>
      <c r="C1" s="1" t="s">
        <v>322</v>
      </c>
      <c r="D1" s="1" t="s">
        <v>28</v>
      </c>
    </row>
    <row r="2" spans="1:8" ht="14.25" customHeight="1" x14ac:dyDescent="0.25">
      <c r="A2" s="2" t="s">
        <v>54</v>
      </c>
      <c r="B2">
        <v>1</v>
      </c>
      <c r="C2" s="2" t="s">
        <v>55</v>
      </c>
      <c r="D2" s="2">
        <v>0</v>
      </c>
    </row>
    <row r="3" spans="1:8" ht="14.25" customHeight="1" x14ac:dyDescent="0.25">
      <c r="A3" s="2" t="s">
        <v>72</v>
      </c>
      <c r="B3">
        <v>2</v>
      </c>
      <c r="C3" s="2" t="s">
        <v>58</v>
      </c>
      <c r="D3" s="2">
        <v>1</v>
      </c>
    </row>
    <row r="4" spans="1:8" ht="14.25" customHeight="1" x14ac:dyDescent="0.25">
      <c r="A4" s="2" t="s">
        <v>171</v>
      </c>
      <c r="B4">
        <v>3</v>
      </c>
      <c r="C4" s="2" t="s">
        <v>60</v>
      </c>
      <c r="D4" s="2">
        <v>2</v>
      </c>
      <c r="G4" s="3">
        <v>1001205</v>
      </c>
      <c r="H4" s="3"/>
    </row>
    <row r="5" spans="1:8" ht="14.25" customHeight="1" x14ac:dyDescent="0.25">
      <c r="A5" s="2" t="s">
        <v>177</v>
      </c>
      <c r="B5">
        <v>4</v>
      </c>
      <c r="C5" s="2" t="s">
        <v>63</v>
      </c>
      <c r="D5" s="2">
        <v>3</v>
      </c>
      <c r="G5" s="2" t="s">
        <v>323</v>
      </c>
      <c r="H5" s="2"/>
    </row>
    <row r="6" spans="1:8" ht="14.25" customHeight="1" x14ac:dyDescent="0.25">
      <c r="A6" s="2" t="s">
        <v>181</v>
      </c>
      <c r="B6">
        <v>5</v>
      </c>
      <c r="C6" s="2" t="s">
        <v>65</v>
      </c>
      <c r="D6" s="2">
        <v>4</v>
      </c>
      <c r="G6" s="2" t="s">
        <v>324</v>
      </c>
      <c r="H6" s="4" t="s">
        <v>325</v>
      </c>
    </row>
    <row r="7" spans="1:8" ht="14.25" customHeight="1" x14ac:dyDescent="0.25">
      <c r="A7" s="2" t="s">
        <v>185</v>
      </c>
      <c r="B7">
        <v>6</v>
      </c>
      <c r="C7" s="2" t="s">
        <v>67</v>
      </c>
      <c r="D7" s="2">
        <v>5</v>
      </c>
      <c r="G7" s="2" t="s">
        <v>326</v>
      </c>
      <c r="H7" s="17" t="s">
        <v>327</v>
      </c>
    </row>
    <row r="8" spans="1:8" ht="14.25" customHeight="1" x14ac:dyDescent="0.25">
      <c r="A8" s="2" t="s">
        <v>193</v>
      </c>
      <c r="B8">
        <v>7</v>
      </c>
      <c r="C8" s="2" t="s">
        <v>69</v>
      </c>
      <c r="D8" s="2">
        <v>6</v>
      </c>
      <c r="G8" s="2" t="s">
        <v>328</v>
      </c>
      <c r="H8" s="18"/>
    </row>
    <row r="9" spans="1:8" ht="14.25" customHeight="1" x14ac:dyDescent="0.25">
      <c r="A9" s="2" t="s">
        <v>197</v>
      </c>
      <c r="B9">
        <v>8</v>
      </c>
      <c r="C9" s="2" t="s">
        <v>179</v>
      </c>
      <c r="D9" s="2">
        <v>7</v>
      </c>
      <c r="G9" s="2" t="s">
        <v>329</v>
      </c>
      <c r="H9" s="18"/>
    </row>
    <row r="10" spans="1:8" ht="14.25" customHeight="1" x14ac:dyDescent="0.25">
      <c r="A10" s="2" t="s">
        <v>202</v>
      </c>
      <c r="B10">
        <v>9</v>
      </c>
      <c r="C10" s="2" t="s">
        <v>191</v>
      </c>
      <c r="D10" s="2">
        <v>8</v>
      </c>
      <c r="G10" s="2" t="s">
        <v>330</v>
      </c>
      <c r="H10" s="2" t="s">
        <v>331</v>
      </c>
    </row>
    <row r="11" spans="1:8" ht="14.25" customHeight="1" x14ac:dyDescent="0.25">
      <c r="A11" s="2" t="s">
        <v>204</v>
      </c>
      <c r="B11">
        <v>10</v>
      </c>
      <c r="C11" s="2" t="s">
        <v>246</v>
      </c>
      <c r="D11" s="2">
        <v>9</v>
      </c>
      <c r="G11" s="2" t="s">
        <v>332</v>
      </c>
      <c r="H11" s="19" t="s">
        <v>333</v>
      </c>
    </row>
    <row r="12" spans="1:8" ht="14.25" customHeight="1" x14ac:dyDescent="0.25">
      <c r="A12" s="2" t="s">
        <v>205</v>
      </c>
      <c r="B12">
        <v>11</v>
      </c>
      <c r="C12" s="2"/>
      <c r="D12" s="2"/>
      <c r="G12" s="2" t="s">
        <v>334</v>
      </c>
      <c r="H12" s="18"/>
    </row>
    <row r="13" spans="1:8" ht="14.25" customHeight="1" x14ac:dyDescent="0.25">
      <c r="A13" s="2" t="s">
        <v>211</v>
      </c>
      <c r="B13">
        <v>12</v>
      </c>
      <c r="C13" s="2"/>
      <c r="D13" s="2"/>
      <c r="G13" s="2"/>
      <c r="H13" s="5"/>
    </row>
    <row r="14" spans="1:8" ht="14.25" customHeight="1" x14ac:dyDescent="0.25">
      <c r="A14" s="2" t="s">
        <v>216</v>
      </c>
      <c r="B14">
        <v>13</v>
      </c>
      <c r="D14" s="2"/>
    </row>
    <row r="15" spans="1:8" ht="14.25" customHeight="1" x14ac:dyDescent="0.25">
      <c r="A15" s="2" t="s">
        <v>218</v>
      </c>
      <c r="B15">
        <v>14</v>
      </c>
      <c r="D15" s="2"/>
    </row>
    <row r="16" spans="1:8" ht="14.25" customHeight="1" x14ac:dyDescent="0.25">
      <c r="A16" s="2" t="s">
        <v>219</v>
      </c>
      <c r="B16">
        <v>15</v>
      </c>
      <c r="D16" s="2"/>
    </row>
    <row r="17" spans="1:4" ht="14.25" customHeight="1" x14ac:dyDescent="0.25">
      <c r="A17" s="2" t="s">
        <v>223</v>
      </c>
      <c r="B17">
        <v>16</v>
      </c>
      <c r="D17" s="2"/>
    </row>
    <row r="18" spans="1:4" ht="14.25" customHeight="1" x14ac:dyDescent="0.25">
      <c r="A18" s="2" t="s">
        <v>226</v>
      </c>
      <c r="B18">
        <v>17</v>
      </c>
      <c r="D18" s="2"/>
    </row>
    <row r="19" spans="1:4" ht="14.25" customHeight="1" x14ac:dyDescent="0.25">
      <c r="A19" s="2" t="s">
        <v>228</v>
      </c>
      <c r="B19">
        <v>18</v>
      </c>
      <c r="D19" s="2"/>
    </row>
    <row r="20" spans="1:4" ht="14.25" customHeight="1" x14ac:dyDescent="0.25">
      <c r="A20" s="2" t="s">
        <v>229</v>
      </c>
      <c r="B20">
        <v>19</v>
      </c>
    </row>
    <row r="21" spans="1:4" ht="14.25" customHeight="1" x14ac:dyDescent="0.25">
      <c r="A21" s="2" t="s">
        <v>233</v>
      </c>
      <c r="B21">
        <v>20</v>
      </c>
    </row>
    <row r="22" spans="1:4" ht="14.25" customHeight="1" x14ac:dyDescent="0.25">
      <c r="A22" s="2" t="s">
        <v>235</v>
      </c>
      <c r="B22">
        <v>21</v>
      </c>
    </row>
    <row r="23" spans="1:4" ht="14.25" customHeight="1" x14ac:dyDescent="0.25">
      <c r="A23" s="2" t="s">
        <v>239</v>
      </c>
      <c r="B23">
        <v>22</v>
      </c>
    </row>
    <row r="24" spans="1:4" ht="14.25" customHeight="1" x14ac:dyDescent="0.25">
      <c r="A24" s="2" t="s">
        <v>241</v>
      </c>
      <c r="B24">
        <v>23</v>
      </c>
    </row>
    <row r="25" spans="1:4" ht="14.25" customHeight="1" x14ac:dyDescent="0.25">
      <c r="A25" s="2" t="s">
        <v>242</v>
      </c>
      <c r="B25">
        <v>24</v>
      </c>
    </row>
    <row r="26" spans="1:4" ht="14.25" customHeight="1" x14ac:dyDescent="0.25">
      <c r="A26" s="2" t="s">
        <v>243</v>
      </c>
      <c r="B26">
        <v>25</v>
      </c>
    </row>
    <row r="27" spans="1:4" ht="14.25" customHeight="1" x14ac:dyDescent="0.25">
      <c r="A27" s="2" t="s">
        <v>245</v>
      </c>
      <c r="B27">
        <v>26</v>
      </c>
    </row>
    <row r="28" spans="1:4" ht="14.25" customHeight="1" x14ac:dyDescent="0.25">
      <c r="A28" s="2" t="s">
        <v>247</v>
      </c>
      <c r="B28">
        <v>27</v>
      </c>
    </row>
    <row r="29" spans="1:4" ht="14.25" customHeight="1" x14ac:dyDescent="0.25">
      <c r="A29" s="2" t="s">
        <v>248</v>
      </c>
      <c r="B29">
        <v>28</v>
      </c>
    </row>
    <row r="30" spans="1:4" ht="14.25" customHeight="1" x14ac:dyDescent="0.25">
      <c r="A30" s="2" t="s">
        <v>251</v>
      </c>
      <c r="B30">
        <v>29</v>
      </c>
    </row>
    <row r="31" spans="1:4" ht="14.25" customHeight="1" x14ac:dyDescent="0.25">
      <c r="A31" s="2" t="s">
        <v>252</v>
      </c>
      <c r="B31">
        <v>30</v>
      </c>
    </row>
    <row r="32" spans="1:4" ht="14.25" customHeight="1" x14ac:dyDescent="0.25">
      <c r="A32" s="2" t="s">
        <v>257</v>
      </c>
      <c r="B32">
        <v>31</v>
      </c>
    </row>
    <row r="33" spans="1:2" ht="14.25" customHeight="1" x14ac:dyDescent="0.25">
      <c r="A33" s="2" t="s">
        <v>258</v>
      </c>
      <c r="B33">
        <v>32</v>
      </c>
    </row>
    <row r="34" spans="1:2" ht="14.25" customHeight="1" x14ac:dyDescent="0.25">
      <c r="A34" s="2" t="s">
        <v>264</v>
      </c>
      <c r="B34">
        <v>33</v>
      </c>
    </row>
    <row r="35" spans="1:2" ht="14.25" customHeight="1" x14ac:dyDescent="0.25">
      <c r="A35" s="2" t="s">
        <v>267</v>
      </c>
      <c r="B35">
        <v>34</v>
      </c>
    </row>
    <row r="36" spans="1:2" ht="14.25" customHeight="1" x14ac:dyDescent="0.25">
      <c r="A36" s="2" t="s">
        <v>268</v>
      </c>
      <c r="B36">
        <v>35</v>
      </c>
    </row>
    <row r="37" spans="1:2" ht="14.25" customHeight="1" x14ac:dyDescent="0.25">
      <c r="A37" s="2" t="s">
        <v>274</v>
      </c>
      <c r="B37">
        <v>36</v>
      </c>
    </row>
    <row r="38" spans="1:2" ht="14.25" customHeight="1" x14ac:dyDescent="0.25">
      <c r="A38" s="2" t="s">
        <v>276</v>
      </c>
      <c r="B38">
        <v>37</v>
      </c>
    </row>
    <row r="39" spans="1:2" ht="14.25" customHeight="1" x14ac:dyDescent="0.25">
      <c r="A39" s="2" t="s">
        <v>277</v>
      </c>
      <c r="B39">
        <v>38</v>
      </c>
    </row>
    <row r="40" spans="1:2" ht="14.25" customHeight="1" x14ac:dyDescent="0.25">
      <c r="A40" s="2" t="s">
        <v>278</v>
      </c>
      <c r="B40">
        <v>39</v>
      </c>
    </row>
    <row r="41" spans="1:2" ht="14.25" customHeight="1" x14ac:dyDescent="0.25">
      <c r="A41" s="2" t="s">
        <v>282</v>
      </c>
      <c r="B41">
        <v>40</v>
      </c>
    </row>
    <row r="42" spans="1:2" ht="14.25" customHeight="1" x14ac:dyDescent="0.25">
      <c r="A42" s="2" t="s">
        <v>283</v>
      </c>
      <c r="B42">
        <v>41</v>
      </c>
    </row>
  </sheetData>
  <mergeCells count="2">
    <mergeCell ref="H7:H9"/>
    <mergeCell ref="H11:H12"/>
  </mergeCells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spawn_config</vt:lpstr>
      <vt:lpstr>更新说明</vt:lpstr>
      <vt:lpstr>Sheet1</vt:lpstr>
      <vt:lpstr>编号表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leo yan</cp:lastModifiedBy>
  <dcterms:created xsi:type="dcterms:W3CDTF">2025-12-18T11:49:00Z</dcterms:created>
  <dcterms:modified xsi:type="dcterms:W3CDTF">2026-07-08T08:34:27Z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2F83C229EB5F406093167F7BEA622036_13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