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skill_config" sheetId="3" r:id="rId1"/>
    <sheet name="buff_config" sheetId="4" r:id="rId2"/>
    <sheet name="编号表" sheetId="1" r:id="rId3"/>
    <sheet name="名称表" sheetId="2" r:id="rId4"/>
  </sheets>
  <externalReferences>
    <externalReference r:id="rId5"/>
    <externalReference r:id="rId6"/>
  </externalReferences>
  <definedNames>
    <definedName name="技能类型">[1]名称表!#REF!</definedName>
    <definedName name="距离类型">[1]名称表!#REF!</definedName>
    <definedName name="范围类型">[2]名称表!#REF!</definedName>
    <definedName name="特效绑定位置">[2]名称表!#REF!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<sst xmlns="http://schemas.openxmlformats.org/spreadsheetml/2006/main" count="966" uniqueCount="523">
  <si>
    <t>##var</t>
  </si>
  <si>
    <t>id</t>
  </si>
  <si>
    <t>name</t>
  </si>
  <si>
    <t>internal_name</t>
  </si>
  <si>
    <t>skill_branch</t>
  </si>
  <si>
    <t>is_invoked</t>
  </si>
  <si>
    <t>skill_type</t>
  </si>
  <si>
    <t>skill_level</t>
  </si>
  <si>
    <t>identify_id</t>
  </si>
  <si>
    <t>skill_class</t>
  </si>
  <si>
    <t>color</t>
  </si>
  <si>
    <t>next_level_id</t>
  </si>
  <si>
    <t>required_skill_id</t>
  </si>
  <si>
    <t>description</t>
  </si>
  <si>
    <t>icon_id</t>
  </si>
  <si>
    <t>consumable_id</t>
  </si>
  <si>
    <t>lingli_cost</t>
  </si>
  <si>
    <t>required_level</t>
  </si>
  <si>
    <t>exp_to_next</t>
  </si>
  <si>
    <t>exp_item_id</t>
  </si>
  <si>
    <t>effect_rate</t>
  </si>
  <si>
    <t>cast_distance</t>
  </si>
  <si>
    <t>acquire_range</t>
  </si>
  <si>
    <t>target_type</t>
  </si>
  <si>
    <t>range_type</t>
  </si>
  <si>
    <t>cast_range</t>
  </si>
  <si>
    <t>side_length</t>
  </si>
  <si>
    <t>facing_offset</t>
  </si>
  <si>
    <t>dist_offset</t>
  </si>
  <si>
    <t>sub_range_type</t>
  </si>
  <si>
    <t>sub_range_radius</t>
  </si>
  <si>
    <t>sub_range_angle</t>
  </si>
  <si>
    <t>sub_range_facing</t>
  </si>
  <si>
    <t>max_friendly</t>
  </si>
  <si>
    <t>max_target</t>
  </si>
  <si>
    <t>damage_type</t>
  </si>
  <si>
    <t>lingli_cost_2</t>
  </si>
  <si>
    <t>base_power</t>
  </si>
  <si>
    <t>effect1_target</t>
  </si>
  <si>
    <t>effect1_type</t>
  </si>
  <si>
    <t>effect1_value</t>
  </si>
  <si>
    <t>effect1_rate</t>
  </si>
  <si>
    <t>effect2_target</t>
  </si>
  <si>
    <t>effect2_type</t>
  </si>
  <si>
    <t>effect2_value</t>
  </si>
  <si>
    <t>effect2_rate</t>
  </si>
  <si>
    <t>effect3_target</t>
  </si>
  <si>
    <t>effect3_type</t>
  </si>
  <si>
    <t>effect3_value</t>
  </si>
  <si>
    <t>effect3_rate</t>
  </si>
  <si>
    <t>cast_time</t>
  </si>
  <si>
    <t>recovery_time</t>
  </si>
  <si>
    <t>cast_action</t>
  </si>
  <si>
    <t>cast_effect</t>
  </si>
  <si>
    <t>projectile_effect</t>
  </si>
  <si>
    <t>cast_point_effect</t>
  </si>
  <si>
    <t>hurt_effect</t>
  </si>
  <si>
    <t>stop_move</t>
  </si>
  <si>
    <t>cooldown</t>
  </si>
  <si>
    <t>cooldown_reduction_disabled</t>
  </si>
  <si>
    <t>skill_delay</t>
  </si>
  <si>
    <t>hit_stun</t>
  </si>
  <si>
    <t>cast_sound_id</t>
  </si>
  <si>
    <t>hit_sound_id</t>
  </si>
  <si>
    <t>passive_trigger</t>
  </si>
  <si>
    <t>passive_skill_id</t>
  </si>
  <si>
    <t>passive_icd</t>
  </si>
  <si>
    <t>projectile_speed</t>
  </si>
  <si>
    <t>projectile_height</t>
  </si>
  <si>
    <t>projectile_scale</t>
  </si>
  <si>
    <t>displace_distance</t>
  </si>
  <si>
    <t>displace_mode</t>
  </si>
  <si>
    <t>summon_id</t>
  </si>
  <si>
    <t>summon_duration</t>
  </si>
  <si>
    <t>summon_count</t>
  </si>
  <si>
    <t>summon_max</t>
  </si>
  <si>
    <t>summon_init_level</t>
  </si>
  <si>
    <t>summon_max_level</t>
  </si>
  <si>
    <t>summon_tao_rate</t>
  </si>
  <si>
    <t>summon_def_rate</t>
  </si>
  <si>
    <t>summon_hp_rate</t>
  </si>
  <si>
    <t>summon_exp_rate</t>
  </si>
  <si>
    <t>##type</t>
  </si>
  <si>
    <t>int</t>
  </si>
  <si>
    <t>string</t>
  </si>
  <si>
    <t>bool</t>
  </si>
  <si>
    <t>float</t>
  </si>
  <si>
    <t>##group</t>
  </si>
  <si>
    <t>##</t>
  </si>
  <si>
    <t>技能ID</t>
  </si>
  <si>
    <t>技能显示名称</t>
  </si>
  <si>
    <t>内部名称</t>
  </si>
  <si>
    <t>技能系别</t>
  </si>
  <si>
    <t>是否为被调用技能</t>
  </si>
  <si>
    <t>技能主被动类型</t>
  </si>
  <si>
    <t>技能等级</t>
  </si>
  <si>
    <t>技能识别ID</t>
  </si>
  <si>
    <t>技能分类</t>
  </si>
  <si>
    <t>颜色标签</t>
  </si>
  <si>
    <t>下一级技能ID</t>
  </si>
  <si>
    <t>前置技能ID</t>
  </si>
  <si>
    <t>技能描述文本</t>
  </si>
  <si>
    <t>技能图标ID</t>
  </si>
  <si>
    <t>施法消耗道具ID</t>
  </si>
  <si>
    <t>灵力消耗</t>
  </si>
  <si>
    <t>学习技能所需等级</t>
  </si>
  <si>
    <t>熟练度上限</t>
  </si>
  <si>
    <t>提升熟练度道具ID</t>
  </si>
  <si>
    <t>技能触发概率</t>
  </si>
  <si>
    <t>施法距离</t>
  </si>
  <si>
    <t>选怪半径</t>
  </si>
  <si>
    <t>施法目标类型</t>
  </si>
  <si>
    <t>效果范围类型</t>
  </si>
  <si>
    <t>技能范围:半径或宽度</t>
  </si>
  <si>
    <t>技能范围:角度或长度</t>
  </si>
  <si>
    <t>范围面向角偏移</t>
  </si>
  <si>
    <t>施法点偏移距离</t>
  </si>
  <si>
    <t>子范围形状类型（复用 RangeType 枚举值），null = 无子范围</t>
  </si>
  <si>
    <t>子范围半径，null = 继承主范围 CastRange</t>
  </si>
  <si>
    <t>子范围角度（仅扇形时有效），null = 继承主范围 SideLength</t>
  </si>
  <si>
    <t>子范围朝向</t>
  </si>
  <si>
    <t>最大友方作用个数</t>
  </si>
  <si>
    <t>最大敌方作用个数</t>
  </si>
  <si>
    <t>伤害类型</t>
  </si>
  <si>
    <t>技能威力基础值</t>
  </si>
  <si>
    <t>效果1目标类型</t>
  </si>
  <si>
    <t>效果1类型</t>
  </si>
  <si>
    <t>效果1值</t>
  </si>
  <si>
    <t>效果1触发概率</t>
  </si>
  <si>
    <t>效果2目标类型</t>
  </si>
  <si>
    <t>效果2类型</t>
  </si>
  <si>
    <t>效果2值</t>
  </si>
  <si>
    <t>效果2触发概率</t>
  </si>
  <si>
    <t>效果3目标类型</t>
  </si>
  <si>
    <t>效果3类型</t>
  </si>
  <si>
    <t>效果3值</t>
  </si>
  <si>
    <t>效果3触发概率</t>
  </si>
  <si>
    <t>前摇帧数</t>
  </si>
  <si>
    <t>后摇帧数</t>
  </si>
  <si>
    <t>施法动作名称</t>
  </si>
  <si>
    <t>施法特效路径</t>
  </si>
  <si>
    <t>弹道特效</t>
  </si>
  <si>
    <t>施法点特效路径</t>
  </si>
  <si>
    <t>怪物受击特效路径</t>
  </si>
  <si>
    <t>是否停止移动</t>
  </si>
  <si>
    <t>冷却时间(秒)</t>
  </si>
  <si>
    <t>禁止冷却缩减</t>
  </si>
  <si>
    <t>技能效果延迟(毫秒)</t>
  </si>
  <si>
    <t>受击硬直时间(毫秒)</t>
  </si>
  <si>
    <t>施法音效ID</t>
  </si>
  <si>
    <t>受击音效ID</t>
  </si>
  <si>
    <t>被动触发事件类型</t>
  </si>
  <si>
    <t>被动触发条件技能ID</t>
  </si>
  <si>
    <t>被动内置冷却(毫秒)</t>
  </si>
  <si>
    <t>弹道速度</t>
  </si>
  <si>
    <t>弹道高度</t>
  </si>
  <si>
    <t>弹道模型缩放</t>
  </si>
  <si>
    <t>位移距离</t>
  </si>
  <si>
    <t>位移模式</t>
  </si>
  <si>
    <t>召唤单位ID</t>
  </si>
  <si>
    <t>召唤持续时间</t>
  </si>
  <si>
    <t>召唤数量</t>
  </si>
  <si>
    <t>同类上限</t>
  </si>
  <si>
    <t>初始等级</t>
  </si>
  <si>
    <t>等级上限</t>
  </si>
  <si>
    <t>道术继承比例（万分比）</t>
  </si>
  <si>
    <t>防御继承比例（万分比）</t>
  </si>
  <si>
    <t>生命值继承比例（万分比）</t>
  </si>
  <si>
    <t>经验获取比例（万分比）</t>
  </si>
  <si>
    <t>基础剑术</t>
  </si>
  <si>
    <t>剑修</t>
  </si>
  <si>
    <t>否</t>
  </si>
  <si>
    <t>主动</t>
  </si>
  <si>
    <t>英雄技能</t>
  </si>
  <si>
    <t>绿色</t>
  </si>
  <si>
    <t>|cff00FF00是所有剑术的基础，习得后获得大量准确，并提升极少量伤害。</t>
  </si>
  <si>
    <t>施法目标_目标点</t>
  </si>
  <si>
    <t>范围类型_所选目标</t>
  </si>
  <si>
    <t>物理</t>
  </si>
  <si>
    <t>效果目标_范围内的敌对</t>
  </si>
  <si>
    <t>技能效果_附带伤害</t>
  </si>
  <si>
    <t>Attack One</t>
  </si>
  <si>
    <t>ain_effect_jinengtexiao_01</t>
  </si>
  <si>
    <t>是</t>
  </si>
  <si>
    <t>Zs_Gongji1</t>
  </si>
  <si>
    <t>icon_name</t>
  </si>
  <si>
    <t>level</t>
  </si>
  <si>
    <t>show_time</t>
  </si>
  <si>
    <t>time_override</t>
  </si>
  <si>
    <t>pile_type</t>
  </si>
  <si>
    <t>pile_max</t>
  </si>
  <si>
    <t>duration</t>
  </si>
  <si>
    <t>interval</t>
  </si>
  <si>
    <t>display_position</t>
  </si>
  <si>
    <t>effect_path</t>
  </si>
  <si>
    <t>binding_position</t>
  </si>
  <si>
    <t>category</t>
  </si>
  <si>
    <t>dispel_level</t>
  </si>
  <si>
    <t>effect4_type</t>
  </si>
  <si>
    <t>effect4_value</t>
  </si>
  <si>
    <t>effect4_target</t>
  </si>
  <si>
    <t>effect4_rate</t>
  </si>
  <si>
    <t>状态ID</t>
  </si>
  <si>
    <t>状态图标资源名称</t>
  </si>
  <si>
    <t>状态显示名称</t>
  </si>
  <si>
    <t>状态适用目标类型</t>
  </si>
  <si>
    <t>环境状态范围类型</t>
  </si>
  <si>
    <t>范围半径或宽度</t>
  </si>
  <si>
    <t>扇形角度或长度</t>
  </si>
  <si>
    <t>状态等级</t>
  </si>
  <si>
    <t>状态描述文本</t>
  </si>
  <si>
    <t>识别ID</t>
  </si>
  <si>
    <t>显示剩余时间</t>
  </si>
  <si>
    <t>时间覆盖类型</t>
  </si>
  <si>
    <t>层数叠加类型</t>
  </si>
  <si>
    <t>最大叠加层数</t>
  </si>
  <si>
    <t>持续时间(毫秒)</t>
  </si>
  <si>
    <t>作用间隔(毫秒)</t>
  </si>
  <si>
    <t>图标显示位置</t>
  </si>
  <si>
    <t>状态图标ID</t>
  </si>
  <si>
    <t>状态特效路径</t>
  </si>
  <si>
    <t>特效绑定位置</t>
  </si>
  <si>
    <t>Buff分类</t>
  </si>
  <si>
    <t>驱散级别</t>
  </si>
  <si>
    <t>效果1对象</t>
  </si>
  <si>
    <t>效果1概率</t>
  </si>
  <si>
    <t>效果2对象</t>
  </si>
  <si>
    <t>效果2概率</t>
  </si>
  <si>
    <t>效果3对象</t>
  </si>
  <si>
    <t>效果3概率</t>
  </si>
  <si>
    <t>效果4类型</t>
  </si>
  <si>
    <t>效果4值</t>
  </si>
  <si>
    <t>效果4对象</t>
  </si>
  <si>
    <t>效果4概率</t>
  </si>
  <si>
    <t>眩晕</t>
  </si>
  <si>
    <t>角色状态</t>
  </si>
  <si>
    <t>眩晕(无法行动)2秒</t>
  </si>
  <si>
    <t>覆盖</t>
  </si>
  <si>
    <t>不变</t>
  </si>
  <si>
    <t>减益</t>
  </si>
  <si>
    <t>状态效果_硬控|眩晕</t>
  </si>
  <si>
    <t>状态对象_敌对</t>
  </si>
  <si>
    <t>石化</t>
  </si>
  <si>
    <t>石化(无法行动)2秒</t>
  </si>
  <si>
    <t>状态效果_硬控|石化</t>
  </si>
  <si>
    <t>冰冻</t>
  </si>
  <si>
    <t>目标被冰冻定身</t>
  </si>
  <si>
    <t>状态效果_硬控|冰冻</t>
  </si>
  <si>
    <t>虚弱</t>
  </si>
  <si>
    <t>敌方伤害减免减20%，持续10秒</t>
  </si>
  <si>
    <t>状态效果_属性修正|伤害减免增幅</t>
  </si>
  <si>
    <t>中毒</t>
  </si>
  <si>
    <t>中毒状态，持续减少血量</t>
  </si>
  <si>
    <t>ain_effect_jinengtexiao_22</t>
  </si>
  <si>
    <t>origin</t>
  </si>
  <si>
    <t>状态效果_DOT伤害|道术</t>
  </si>
  <si>
    <t>状态效果_DOT伤害|道术整数</t>
  </si>
  <si>
    <t>技能内部名</t>
  </si>
  <si>
    <t>内部名编号</t>
  </si>
  <si>
    <t>状态内部名</t>
  </si>
  <si>
    <t>编号</t>
  </si>
  <si>
    <t>封印</t>
  </si>
  <si>
    <t>攻杀剑术</t>
  </si>
  <si>
    <t>刺杀剑术</t>
  </si>
  <si>
    <t>半月弯刀</t>
  </si>
  <si>
    <t>野蛮冲撞</t>
  </si>
  <si>
    <t>免控</t>
  </si>
  <si>
    <t>烈火剑法</t>
  </si>
  <si>
    <t>狮子吼​</t>
  </si>
  <si>
    <t>增加怒气</t>
  </si>
  <si>
    <t>开天斩​</t>
  </si>
  <si>
    <t>闪避</t>
  </si>
  <si>
    <t>逐日剑法​</t>
  </si>
  <si>
    <t>减伤</t>
  </si>
  <si>
    <t>刺杀调用1</t>
  </si>
  <si>
    <t>刺杀调用2</t>
  </si>
  <si>
    <t>易伤</t>
  </si>
  <si>
    <t>半月调用1</t>
  </si>
  <si>
    <t>火墙</t>
  </si>
  <si>
    <t>半月调用2</t>
  </si>
  <si>
    <t>物防增加</t>
  </si>
  <si>
    <t>半月调用3</t>
  </si>
  <si>
    <t>物防降低</t>
  </si>
  <si>
    <t>基础调用1</t>
  </si>
  <si>
    <t>魔防增加</t>
  </si>
  <si>
    <t>攻杀调用1</t>
  </si>
  <si>
    <t>魔防降低</t>
  </si>
  <si>
    <t>血药</t>
  </si>
  <si>
    <t>蓝药</t>
  </si>
  <si>
    <t>魔法盾</t>
  </si>
  <si>
    <t>治愈术</t>
  </si>
  <si>
    <t>DOT</t>
  </si>
  <si>
    <t>隐身术</t>
  </si>
  <si>
    <t>流血状态</t>
  </si>
  <si>
    <t>强攻状态</t>
  </si>
  <si>
    <t>迅捷状态</t>
  </si>
  <si>
    <t>加攻速状态</t>
  </si>
  <si>
    <t>双防增加状态</t>
  </si>
  <si>
    <t>双防减少状态</t>
  </si>
  <si>
    <t>暴击状态</t>
  </si>
  <si>
    <t>召唤大雷电术</t>
  </si>
  <si>
    <t>火球术</t>
  </si>
  <si>
    <t>元素削弱状态</t>
  </si>
  <si>
    <t>抗拒火环</t>
  </si>
  <si>
    <t>加施法状态</t>
  </si>
  <si>
    <t>雷电术</t>
  </si>
  <si>
    <t>麻痹状态</t>
  </si>
  <si>
    <t>疾光电影</t>
  </si>
  <si>
    <t>毒伤状态</t>
  </si>
  <si>
    <t>加道术</t>
  </si>
  <si>
    <t>冰咆哮</t>
  </si>
  <si>
    <t>瞬加药</t>
  </si>
  <si>
    <t>火球术调用</t>
  </si>
  <si>
    <t>灵魂火符调用</t>
  </si>
  <si>
    <t>灵魂火符</t>
  </si>
  <si>
    <t>施毒术</t>
  </si>
  <si>
    <t>召唤骷髅</t>
  </si>
  <si>
    <t>幽灵盾</t>
  </si>
  <si>
    <t>神圣战甲术</t>
  </si>
  <si>
    <t>召唤神兽</t>
  </si>
  <si>
    <t>怪物普攻</t>
  </si>
  <si>
    <t>怪物技能</t>
  </si>
  <si>
    <t>怪物远程</t>
  </si>
  <si>
    <t>怪物远程技能</t>
  </si>
  <si>
    <t>坐骑</t>
  </si>
  <si>
    <t>传送</t>
  </si>
  <si>
    <t>施法目标</t>
  </si>
  <si>
    <t>范围类型</t>
  </si>
  <si>
    <t>效果目标</t>
  </si>
  <si>
    <t>技能效果</t>
  </si>
  <si>
    <t>数据类型</t>
  </si>
  <si>
    <t>介绍</t>
  </si>
  <si>
    <t>状态效果</t>
  </si>
  <si>
    <t>施法目标_自身</t>
  </si>
  <si>
    <t>单体</t>
  </si>
  <si>
    <t>效果目标_所选</t>
  </si>
  <si>
    <t>筛选的所有目标</t>
  </si>
  <si>
    <t>BindingPosition</t>
  </si>
  <si>
    <t>技能效果_技能增伤</t>
  </si>
  <si>
    <t>状态效果_眩晕</t>
  </si>
  <si>
    <t>不配数据</t>
  </si>
  <si>
    <t>引擎内置（BuffModuleswitch-case，War3未使用（持续时间走配置）</t>
  </si>
  <si>
    <t>施法目标_敌对</t>
  </si>
  <si>
    <t>范围类型_目标圆形范围</t>
  </si>
  <si>
    <t>圆形范围</t>
  </si>
  <si>
    <t>效果目标_自身</t>
  </si>
  <si>
    <t>无视筛选，对自身施放</t>
  </si>
  <si>
    <t>脚底</t>
  </si>
  <si>
    <t>技能效果_忽视防御</t>
  </si>
  <si>
    <t>万分比</t>
  </si>
  <si>
    <t>状态效果_石化</t>
  </si>
  <si>
    <t>引擎内置（同上）未使用</t>
  </si>
  <si>
    <t>施法目标_友方</t>
  </si>
  <si>
    <t>范围类型_目标矩形范围</t>
  </si>
  <si>
    <t>筛选的所有敌方目标</t>
  </si>
  <si>
    <t>胸部</t>
  </si>
  <si>
    <t>chest</t>
  </si>
  <si>
    <t>技能效果_调用技能</t>
  </si>
  <si>
    <t>状态效果_封印</t>
  </si>
  <si>
    <t>范围类型_目标扇形范围</t>
  </si>
  <si>
    <t>效果目标_范围内的友方</t>
  </si>
  <si>
    <t>筛选的所有友方目标</t>
  </si>
  <si>
    <t>背部</t>
  </si>
  <si>
    <t>rear</t>
  </si>
  <si>
    <t>技能效果_调用状态</t>
  </si>
  <si>
    <t>状态效果_中毒</t>
  </si>
  <si>
    <t>game层PoisonHandler每DOT</t>
  </si>
  <si>
    <t>施法目标_主人</t>
  </si>
  <si>
    <t>范围类型_自身为中心矩形</t>
  </si>
  <si>
    <t>效果目标_目标点</t>
  </si>
  <si>
    <t>头顶上方</t>
  </si>
  <si>
    <t>overhead</t>
  </si>
  <si>
    <t>技能效果_召唤单位</t>
  </si>
  <si>
    <t>状态效果_火墙</t>
  </si>
  <si>
    <t>game层PoisonHandler同上</t>
  </si>
  <si>
    <t>范围类型_自身为圆心</t>
  </si>
  <si>
    <t>效果目标_主人</t>
  </si>
  <si>
    <t>头部</t>
  </si>
  <si>
    <t>head</t>
  </si>
  <si>
    <t>技能效果_弹道</t>
  </si>
  <si>
    <t>状态效果_火墙整数</t>
  </si>
  <si>
    <t>效果目标_范围内的全部</t>
  </si>
  <si>
    <t>手</t>
  </si>
  <si>
    <t>hand</t>
  </si>
  <si>
    <t>技能效果_冲撞位移</t>
  </si>
  <si>
    <t>状态效果_虚弱</t>
  </si>
  <si>
    <t>game层AttrModHandler伤害减少的万分比</t>
  </si>
  <si>
    <t>效果目标_范围内的队友</t>
  </si>
  <si>
    <t>左手</t>
  </si>
  <si>
    <t>hand left</t>
  </si>
  <si>
    <t>技能效果_火环位移</t>
  </si>
  <si>
    <t>状态效果_易伤</t>
  </si>
  <si>
    <t>game层AttrModHandler受伤增幅值</t>
  </si>
  <si>
    <t>效果目标_范围内的中立</t>
  </si>
  <si>
    <t>右手</t>
  </si>
  <si>
    <t>hand right</t>
  </si>
  <si>
    <t>技能效果_隔位刺杀</t>
  </si>
  <si>
    <t>状态效果_物防上限整数增加</t>
  </si>
  <si>
    <t>整数</t>
  </si>
  <si>
    <t>game层AttrModHandler平坦物防变化量（乘层数）</t>
  </si>
  <si>
    <t>效果目标_范围内的敌对怪</t>
  </si>
  <si>
    <t>脚</t>
  </si>
  <si>
    <t>foot</t>
  </si>
  <si>
    <t>技能效果_被触发</t>
  </si>
  <si>
    <t>状态效果_魔防上限整数增加</t>
  </si>
  <si>
    <t>game层AttrModHandler平坦魔防变化量（乘层数）</t>
  </si>
  <si>
    <t>效果目标_友方生命值最低</t>
  </si>
  <si>
    <t>左脚</t>
  </si>
  <si>
    <t>foot left</t>
  </si>
  <si>
    <t>技能效果_被动增加准确</t>
  </si>
  <si>
    <t>未实现</t>
  </si>
  <si>
    <t>状态效果_物防上限万分比增加</t>
  </si>
  <si>
    <t>game层AttrModHandler基于施法者法术强度的万分比</t>
  </si>
  <si>
    <t>右脚</t>
  </si>
  <si>
    <t>foot right</t>
  </si>
  <si>
    <t>技能效果_无</t>
  </si>
  <si>
    <t>枚举占位，无逻辑—</t>
  </si>
  <si>
    <t>状态效果_魔防上限万分比增加</t>
  </si>
  <si>
    <t>game层AttrModHandler同上</t>
  </si>
  <si>
    <t>施法逻辑</t>
  </si>
  <si>
    <t>武器</t>
  </si>
  <si>
    <t>weapon</t>
  </si>
  <si>
    <t>技能效果_刺杀近身</t>
  </si>
  <si>
    <t>状态效果_回血</t>
  </si>
  <si>
    <t>game层HealHandler（瞬时）回复HP量（整数）</t>
  </si>
  <si>
    <t>1、通过【施法目标】确定施法目标点(单位)</t>
  </si>
  <si>
    <t>精灵绑定点</t>
  </si>
  <si>
    <t>sprite</t>
  </si>
  <si>
    <t>技能效果_刺杀隔位</t>
  </si>
  <si>
    <t>状态效果_回蓝</t>
  </si>
  <si>
    <t>game层HealHandler（瞬时）回复MP量（整数）</t>
  </si>
  <si>
    <t>2、在目标点以【范围类型】再次进行筛选</t>
  </si>
  <si>
    <t>模型中部</t>
  </si>
  <si>
    <t>medium</t>
  </si>
  <si>
    <t>技能效果_传送</t>
  </si>
  <si>
    <t>1，2，3分别是回城，随机，指定传送</t>
  </si>
  <si>
    <t>状态效果_治愈术</t>
  </si>
  <si>
    <t>game层HealHandler（DOT）施法者法术强度的万分比（每跳）</t>
  </si>
  <si>
    <t>3、筛选的所有目标里，对符合【效果目标】的单位确定具体对谁施加（包括数量）</t>
  </si>
  <si>
    <t>mount</t>
  </si>
  <si>
    <t>状态效果_治愈术整数</t>
  </si>
  <si>
    <t>game层HealHandler（DOT）每跳回血量（整数，乘层数）</t>
  </si>
  <si>
    <t>3、对符合【效果目标】的单位施加技能效果</t>
  </si>
  <si>
    <t>只配置中文部分，英文是引擎使用，我们只要上面5个挂点，下面黄底色先不管，需要动作全部做一下挂点，这一点上我们具体跟动作同学聊。</t>
  </si>
  <si>
    <t>状态效果_魔法盾系数</t>
  </si>
  <si>
    <t>game层MagicShieldHandler盾值系数（万分比，基于法力值）</t>
  </si>
  <si>
    <t>4、如果【技能效果】是【调用技能B】，则技能B以【每个效果目标】作为【施法目标】(多个效果目标时，技能B会执行多次)</t>
  </si>
  <si>
    <t>状态效果_魔法盾吸收伤害</t>
  </si>
  <si>
    <t>game层MagicShieldHandler伤害吸收百分比（万分比）</t>
  </si>
  <si>
    <t>5、技能B【跳过逻辑1】【执行逻辑2】</t>
  </si>
  <si>
    <t>状态效果_隐身</t>
  </si>
  <si>
    <t>game层InvisibleHandler未使用</t>
  </si>
  <si>
    <t>6.效果目标选择 效果目标_自身 时，无视前面说的，只对自己施放</t>
  </si>
  <si>
    <t>状态效果_隐身术</t>
  </si>
  <si>
    <t>game层InvisibleHandler（别名）未使用</t>
  </si>
  <si>
    <t>7.被调用的技能一般不需要配置施法目标。</t>
  </si>
  <si>
    <t>状态效果_盾破CD</t>
  </si>
  <si>
    <t>game层ShieldBreakCDHandler未使用（持续时间走配置）</t>
  </si>
  <si>
    <t>状态效果_缓慢回血</t>
  </si>
  <si>
    <t>game层HealHandler（BUFF按配置缓慢回）回复HP量（整数）</t>
  </si>
  <si>
    <t>状态效果_缓慢回蓝</t>
  </si>
  <si>
    <t>game层HealHandler（BUFF按配置缓慢回）回复MP量（整数）</t>
  </si>
  <si>
    <t>计算自己道术属性，效果值相当于取值以后X万分比，是一个系数。算出来是整数DOT掉血（上面已有）</t>
  </si>
  <si>
    <t>状态效果_战士DOT</t>
  </si>
  <si>
    <t>计算自己攻击属性，效果值相当于取值以后X万分比，是一个系数。算出来是整数DOT掉血</t>
  </si>
  <si>
    <t>状态效果_法师DOT</t>
  </si>
  <si>
    <t>计算自己魔法属性，效果值相当于取值以后X万分比，是一个系数。算出来是整数DOT掉血（相当于火墙技能）</t>
  </si>
  <si>
    <t>状态效果_攻击万分比</t>
  </si>
  <si>
    <t>状态效果_魔法万分比</t>
  </si>
  <si>
    <t>状态效果_道术万分比</t>
  </si>
  <si>
    <t>状态效果_攻击速度</t>
  </si>
  <si>
    <t>？？</t>
  </si>
  <si>
    <t>状态效果_施法速度</t>
  </si>
  <si>
    <t>状态效果_物防上限整数降低</t>
  </si>
  <si>
    <t>状态效果_魔防上限整数降低</t>
  </si>
  <si>
    <t>状态效果_物防上限万分比降低</t>
  </si>
  <si>
    <t>状态效果_魔防上限万分比降低</t>
  </si>
  <si>
    <t>状态效果_暴击增加</t>
  </si>
  <si>
    <t>状态效果_流血战</t>
  </si>
  <si>
    <t>每秒损失攻击力*X%的生命，每秒这个事情通过间隔配置，伤害计算上和前面不一样，攻击力单独算一次，考虑幸运值的情况，从上下限取值</t>
  </si>
  <si>
    <t>状态效果_流血法</t>
  </si>
  <si>
    <t>每秒损失魔法*X%的生命，每秒这个事情通过间隔配置，伤害计算上和前面不一样，攻击力单独算一次，考虑幸运值的情况，从上下限取值</t>
  </si>
  <si>
    <t>状态效果_流血道</t>
  </si>
  <si>
    <t>每秒损失道术*X%的生命，每秒这个事情通过间隔配置，伤害计算上和前面不一样，攻击力单独算一次，考虑幸运值的情况，从上下限取值</t>
  </si>
  <si>
    <t>状态效果_加攻击下限整数</t>
  </si>
  <si>
    <t>增加攻击下限X值</t>
  </si>
  <si>
    <t>状态效果_加攻击上限整数</t>
  </si>
  <si>
    <t>增加攻击上限X值</t>
  </si>
  <si>
    <t>状态效果_加攻击下限万分比</t>
  </si>
  <si>
    <t>增加攻击下限万分比</t>
  </si>
  <si>
    <t>状态效果_加攻击上限万分比</t>
  </si>
  <si>
    <t>增加攻击上限万分比</t>
  </si>
  <si>
    <t>状态效果_加魔法下限整数</t>
  </si>
  <si>
    <t>增加魔法下限X值</t>
  </si>
  <si>
    <t>状态效果_加魔法上限整数</t>
  </si>
  <si>
    <t>增加魔法上限X值</t>
  </si>
  <si>
    <t>状态效果_加魔法下限万分比</t>
  </si>
  <si>
    <t>增加魔法下限万分比</t>
  </si>
  <si>
    <t>状态效果_加魔法上限万分比</t>
  </si>
  <si>
    <t>增加魔法上限万分比</t>
  </si>
  <si>
    <t>状态效果_加道术下限整数</t>
  </si>
  <si>
    <t>增加道术下限X值</t>
  </si>
  <si>
    <t>状态效果_加道术上限整数</t>
  </si>
  <si>
    <t>增加道术上限X值</t>
  </si>
  <si>
    <t>状态效果_加道术下限万分比</t>
  </si>
  <si>
    <t>增加道术下限万分比</t>
  </si>
  <si>
    <t>状态效果_加道术上限万分比</t>
  </si>
  <si>
    <t>增加道术上限万分比</t>
  </si>
  <si>
    <t>状态效果_流血</t>
  </si>
  <si>
    <t>状态效果_物攻百分比增加</t>
  </si>
  <si>
    <t>状态效果_移动百分比增加</t>
  </si>
  <si>
    <t>状态效果_攻速百分比增加</t>
  </si>
  <si>
    <t>状态效果_双防百分比增加</t>
  </si>
  <si>
    <t>状态效果_目标双防百分比减少</t>
  </si>
  <si>
    <t>状态效果_暴击百分比增加</t>
  </si>
  <si>
    <t>状态效果_召唤大技能</t>
  </si>
  <si>
    <t>状态效果_目标按攻击百分比扣血</t>
  </si>
  <si>
    <t>状态效果_施法速度百分比增加</t>
  </si>
  <si>
    <t>状态效果_物攻麻痹定身</t>
  </si>
  <si>
    <t>状态效果_道术百分比增加</t>
  </si>
  <si>
    <t>计算自己道术属性，算出来是整数DOT掉血</t>
  </si>
  <si>
    <t>计算自己攻击属性，算出来是整数DOT掉血</t>
  </si>
  <si>
    <t>计算自己魔法属性，算出来是整数DOT掉血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</si>
</sst>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宋体"/>
      <charset val="134"/>
      <scheme val="minor"/>
    </font>
    <font>
      <sz val="9"/>
      <color indexed="8"/>
      <name val="微软雅黑"/>
      <charset val="134"/>
    </font>
    <font>
      <sz val="11"/>
      <color indexed="8"/>
      <name val="宋体"/>
      <charset val="134"/>
    </font>
    <font>
      <sz val="9"/>
      <color rgb="FFFF0000"/>
      <name val="微软雅黑"/>
      <charset val="134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41" fontId="6" fillId="0" borderId="0">
      <alignment vertical="center"/>
    </xf>
    <xf numFmtId="42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6" fillId="4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5" borderId="6">
      <alignment vertical="center"/>
    </xf>
    <xf numFmtId="0" fontId="16" fillId="6" borderId="7">
      <alignment vertical="center"/>
    </xf>
    <xf numFmtId="0" fontId="17" fillId="6" borderId="6">
      <alignment vertical="center"/>
    </xf>
    <xf numFmtId="0" fontId="18" fillId="7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4" fillId="2" borderId="1" xfId="0" applyFont="1" applyFill="1" applyBorder="1"/>
    <xf numFmtId="0" fontId="5" fillId="0" borderId="0" xfId="0" applyFont="1"/>
    <xf numFmtId="0" fontId="5" fillId="0" borderId="0" xfId="0" applyFont="1" applyAlignment="1">
      <alignment vertical="center"/>
    </xf>
    <xf numFmtId="0" fontId="3" fillId="3" borderId="0" xfId="0" applyFont="1" applyFill="1"/>
    <xf numFmtId="0" fontId="5" fillId="3" borderId="0" xfId="0" applyFont="1" applyFill="1"/>
    <xf numFmtId="0" fontId="3" fillId="3" borderId="0" xfId="0" applyFont="1" applyFill="1" applyAlignment="1">
      <alignment horizontal="left" vertical="top"/>
    </xf>
    <xf numFmtId="0" fontId="5" fillId="3" borderId="0" xfId="0" applyFont="1" applyFill="1" applyAlignment="1">
      <alignment vertical="center"/>
    </xf>
    <xf numFmtId="0" fontId="1" fillId="3" borderId="0" xfId="0" applyFont="1" applyFill="1" applyAlignment="1">
      <alignment horizontal="left" vertical="top"/>
    </xf>
    <xf numFmtId="0" fontId="4" fillId="0" borderId="0" xfId="0" applyFont="1"/>
    <xf numFmtId="0" fontId="4" fillId="3" borderId="0" xfId="0" applyFont="1" applyFill="1"/>
    <xf numFmtId="0" fontId="3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AppData\Roaming\kingsoft\office6\backup\&#25216;&#33021;&#34920;V1.0&#65288;&#21407;1.41&#65289;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AppData\Roaming\kingsoft\office6\backup\&#25216;&#33021;&#34920;1.5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Ability"/>
      <sheetName val="ConfigBuffState"/>
      <sheetName val="ConfigAbilityEffect"/>
      <sheetName val="ConfigAbilityEffect1"/>
      <sheetName val="名称表"/>
      <sheetName val="编号表"/>
      <sheetName val="说明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nfigAbility"/>
      <sheetName val="ConfigBuffState"/>
      <sheetName val="ConfigAbilityEffect"/>
      <sheetName val="ConfigAbilityEffect1"/>
      <sheetName val="名称表"/>
      <sheetName val="编号表"/>
      <sheetName val="说明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12"/>
  <sheetViews>
    <sheetView tabSelected="1" workbookViewId="0">
      <selection activeCell="I13" sqref="I13"/>
    </sheetView>
  </sheetViews>
  <sheetFormatPr defaultColWidth="9" defaultRowHeight="14.2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t="s">
        <v>83</v>
      </c>
      <c r="C2" t="s">
        <v>84</v>
      </c>
      <c r="D2" t="s">
        <v>84</v>
      </c>
      <c r="E2" t="s">
        <v>84</v>
      </c>
      <c r="F2" t="s">
        <v>85</v>
      </c>
      <c r="G2" t="s">
        <v>84</v>
      </c>
      <c r="H2" t="s">
        <v>83</v>
      </c>
      <c r="I2" t="s">
        <v>84</v>
      </c>
      <c r="J2" t="s">
        <v>84</v>
      </c>
      <c r="K2" t="s">
        <v>84</v>
      </c>
      <c r="L2" t="s">
        <v>83</v>
      </c>
      <c r="M2" t="s">
        <v>83</v>
      </c>
      <c r="N2" t="s">
        <v>84</v>
      </c>
      <c r="O2" t="s">
        <v>83</v>
      </c>
      <c r="P2" t="s">
        <v>83</v>
      </c>
      <c r="Q2" t="s">
        <v>83</v>
      </c>
      <c r="R2" t="s">
        <v>83</v>
      </c>
      <c r="S2" t="s">
        <v>83</v>
      </c>
      <c r="T2" t="s">
        <v>83</v>
      </c>
      <c r="U2" t="s">
        <v>83</v>
      </c>
      <c r="V2" t="s">
        <v>83</v>
      </c>
      <c r="W2" t="s">
        <v>83</v>
      </c>
      <c r="X2" t="s">
        <v>84</v>
      </c>
      <c r="Y2" t="s">
        <v>84</v>
      </c>
      <c r="Z2" t="s">
        <v>83</v>
      </c>
      <c r="AA2" t="s">
        <v>83</v>
      </c>
      <c r="AB2" t="s">
        <v>83</v>
      </c>
      <c r="AC2" t="s">
        <v>83</v>
      </c>
      <c r="AD2" t="s">
        <v>84</v>
      </c>
      <c r="AE2" t="s">
        <v>83</v>
      </c>
      <c r="AF2" t="s">
        <v>83</v>
      </c>
      <c r="AG2" t="s">
        <v>83</v>
      </c>
      <c r="AH2" t="s">
        <v>83</v>
      </c>
      <c r="AI2" t="s">
        <v>83</v>
      </c>
      <c r="AJ2" t="s">
        <v>84</v>
      </c>
      <c r="AK2" t="s">
        <v>83</v>
      </c>
      <c r="AL2" t="s">
        <v>83</v>
      </c>
      <c r="AM2" t="s">
        <v>84</v>
      </c>
      <c r="AN2" t="s">
        <v>84</v>
      </c>
      <c r="AO2" t="s">
        <v>83</v>
      </c>
      <c r="AP2" t="s">
        <v>83</v>
      </c>
      <c r="AQ2" t="s">
        <v>84</v>
      </c>
      <c r="AR2" t="s">
        <v>84</v>
      </c>
      <c r="AS2" t="s">
        <v>83</v>
      </c>
      <c r="AT2" t="s">
        <v>83</v>
      </c>
      <c r="AU2" t="s">
        <v>84</v>
      </c>
      <c r="AV2" t="s">
        <v>84</v>
      </c>
      <c r="AW2" t="s">
        <v>83</v>
      </c>
      <c r="AX2" t="s">
        <v>83</v>
      </c>
      <c r="AY2" t="s">
        <v>83</v>
      </c>
      <c r="AZ2" t="s">
        <v>83</v>
      </c>
      <c r="BA2" t="s">
        <v>84</v>
      </c>
      <c r="BB2" t="s">
        <v>84</v>
      </c>
      <c r="BC2" t="s">
        <v>84</v>
      </c>
      <c r="BD2" t="s">
        <v>84</v>
      </c>
      <c r="BE2" t="s">
        <v>84</v>
      </c>
      <c r="BF2" t="s">
        <v>85</v>
      </c>
      <c r="BG2" t="s">
        <v>83</v>
      </c>
      <c r="BH2" t="s">
        <v>85</v>
      </c>
      <c r="BI2" t="s">
        <v>83</v>
      </c>
      <c r="BJ2" t="s">
        <v>83</v>
      </c>
      <c r="BK2" t="s">
        <v>83</v>
      </c>
      <c r="BL2" t="s">
        <v>83</v>
      </c>
      <c r="BM2" t="s">
        <v>84</v>
      </c>
      <c r="BN2" t="s">
        <v>83</v>
      </c>
      <c r="BO2" t="s">
        <v>83</v>
      </c>
      <c r="BP2" t="s">
        <v>83</v>
      </c>
      <c r="BQ2" t="s">
        <v>83</v>
      </c>
      <c r="BR2" t="s">
        <v>86</v>
      </c>
      <c r="BS2" t="s">
        <v>83</v>
      </c>
      <c r="BT2" t="s">
        <v>84</v>
      </c>
      <c r="BU2" t="s">
        <v>83</v>
      </c>
      <c r="BV2" t="s">
        <v>83</v>
      </c>
      <c r="BW2" t="s">
        <v>83</v>
      </c>
      <c r="BX2" t="s">
        <v>83</v>
      </c>
      <c r="BY2" t="s">
        <v>83</v>
      </c>
      <c r="BZ2" t="s">
        <v>83</v>
      </c>
      <c r="CA2" t="s">
        <v>83</v>
      </c>
      <c r="CB2" t="s">
        <v>83</v>
      </c>
      <c r="CC2" t="s">
        <v>83</v>
      </c>
      <c r="CD2" t="s">
        <v>83</v>
      </c>
    </row>
    <row r="3" spans="1:82">
      <c r="A3" t="s">
        <v>87</v>
      </c>
    </row>
    <row r="4" spans="1:82">
      <c r="A4" t="s">
        <v>88</v>
      </c>
      <c r="B4" t="s">
        <v>89</v>
      </c>
      <c r="C4" t="s">
        <v>90</v>
      </c>
      <c r="D4" t="s">
        <v>91</v>
      </c>
      <c r="E4" t="s">
        <v>92</v>
      </c>
      <c r="F4" t="s">
        <v>93</v>
      </c>
      <c r="G4" t="s">
        <v>94</v>
      </c>
      <c r="H4" t="s">
        <v>95</v>
      </c>
      <c r="I4" t="s">
        <v>96</v>
      </c>
      <c r="J4" t="s">
        <v>97</v>
      </c>
      <c r="K4" t="s">
        <v>98</v>
      </c>
      <c r="L4" t="s">
        <v>99</v>
      </c>
      <c r="M4" t="s">
        <v>100</v>
      </c>
      <c r="N4" t="s">
        <v>101</v>
      </c>
      <c r="O4" t="s">
        <v>102</v>
      </c>
      <c r="P4" t="s">
        <v>103</v>
      </c>
      <c r="Q4" t="s">
        <v>104</v>
      </c>
      <c r="R4" t="s">
        <v>105</v>
      </c>
      <c r="S4" t="s">
        <v>106</v>
      </c>
      <c r="T4" t="s">
        <v>107</v>
      </c>
      <c r="U4" t="s">
        <v>108</v>
      </c>
      <c r="V4" t="s">
        <v>109</v>
      </c>
      <c r="W4" t="s">
        <v>110</v>
      </c>
      <c r="X4" t="s">
        <v>111</v>
      </c>
      <c r="Y4" t="s">
        <v>112</v>
      </c>
      <c r="Z4" t="s">
        <v>113</v>
      </c>
      <c r="AA4" t="s">
        <v>114</v>
      </c>
      <c r="AB4" t="s">
        <v>115</v>
      </c>
      <c r="AC4" t="s">
        <v>116</v>
      </c>
      <c r="AD4" t="s">
        <v>117</v>
      </c>
      <c r="AE4" t="s">
        <v>118</v>
      </c>
      <c r="AF4" t="s">
        <v>119</v>
      </c>
      <c r="AG4" t="s">
        <v>120</v>
      </c>
      <c r="AH4" t="s">
        <v>121</v>
      </c>
      <c r="AI4" t="s">
        <v>122</v>
      </c>
      <c r="AJ4" t="s">
        <v>123</v>
      </c>
      <c r="AK4" t="s">
        <v>104</v>
      </c>
      <c r="AL4" t="s">
        <v>124</v>
      </c>
      <c r="AM4" t="s">
        <v>125</v>
      </c>
      <c r="AN4" t="s">
        <v>126</v>
      </c>
      <c r="AO4" t="s">
        <v>127</v>
      </c>
      <c r="AP4" t="s">
        <v>128</v>
      </c>
      <c r="AQ4" t="s">
        <v>129</v>
      </c>
      <c r="AR4" t="s">
        <v>130</v>
      </c>
      <c r="AS4" t="s">
        <v>131</v>
      </c>
      <c r="AT4" t="s">
        <v>132</v>
      </c>
      <c r="AU4" t="s">
        <v>133</v>
      </c>
      <c r="AV4" t="s">
        <v>134</v>
      </c>
      <c r="AW4" t="s">
        <v>135</v>
      </c>
      <c r="AX4" t="s">
        <v>136</v>
      </c>
      <c r="AY4" t="s">
        <v>137</v>
      </c>
      <c r="AZ4" t="s">
        <v>138</v>
      </c>
      <c r="BA4" t="s">
        <v>139</v>
      </c>
      <c r="BB4" t="s">
        <v>140</v>
      </c>
      <c r="BC4" t="s">
        <v>141</v>
      </c>
      <c r="BD4" t="s">
        <v>142</v>
      </c>
      <c r="BE4" t="s">
        <v>143</v>
      </c>
      <c r="BF4" t="s">
        <v>144</v>
      </c>
      <c r="BG4" t="s">
        <v>145</v>
      </c>
      <c r="BH4" t="s">
        <v>146</v>
      </c>
      <c r="BI4" t="s">
        <v>147</v>
      </c>
      <c r="BJ4" t="s">
        <v>148</v>
      </c>
      <c r="BK4" t="s">
        <v>149</v>
      </c>
      <c r="BL4" t="s">
        <v>150</v>
      </c>
      <c r="BM4" t="s">
        <v>151</v>
      </c>
      <c r="BN4" t="s">
        <v>152</v>
      </c>
      <c r="BO4" t="s">
        <v>153</v>
      </c>
      <c r="BP4" t="s">
        <v>154</v>
      </c>
      <c r="BQ4" t="s">
        <v>155</v>
      </c>
      <c r="BR4" t="s">
        <v>156</v>
      </c>
      <c r="BS4" t="s">
        <v>157</v>
      </c>
      <c r="BT4" t="s">
        <v>158</v>
      </c>
      <c r="BU4" t="s">
        <v>159</v>
      </c>
      <c r="BV4" t="s">
        <v>160</v>
      </c>
      <c r="BW4" t="s">
        <v>161</v>
      </c>
      <c r="BX4" t="s">
        <v>162</v>
      </c>
      <c r="BY4" t="s">
        <v>163</v>
      </c>
      <c r="BZ4" t="s">
        <v>164</v>
      </c>
      <c r="CA4" t="s">
        <v>165</v>
      </c>
      <c r="CB4" t="s">
        <v>166</v>
      </c>
      <c r="CC4" t="s">
        <v>167</v>
      </c>
      <c r="CD4" t="s">
        <v>168</v>
      </c>
    </row>
    <row r="5" spans="1:82">
      <c r="A5" t="e">
        <f t="array" ref="A5">10000000+INDEX(编号表!A:A,MATCH(B3,编号表!XFD:XFD,0))*10000+F3</f>
        <v>#N/A</v>
      </c>
      <c r="C5" t="s">
        <v>169</v>
      </c>
      <c r="D5" t="s">
        <v>169</v>
      </c>
      <c r="E5" t="s">
        <v>170</v>
      </c>
      <c r="F5" t="s">
        <v>171</v>
      </c>
      <c r="G5" t="s">
        <v>172</v>
      </c>
      <c r="H5">
        <v>1</v>
      </c>
      <c r="I5" t="str">
        <f t="shared" ref="I5:I12" si="0">LEFT(A3,6)</f>
        <v>##grou</v>
      </c>
      <c r="J5" t="s">
        <v>173</v>
      </c>
      <c r="K5" t="s">
        <v>174</v>
      </c>
      <c r="L5">
        <v>10010002</v>
      </c>
      <c r="N5" t="s">
        <v>175</v>
      </c>
      <c r="O5">
        <v>10010001</v>
      </c>
      <c r="P5">
        <v>0</v>
      </c>
      <c r="Q5">
        <v>0</v>
      </c>
      <c r="R5">
        <v>1</v>
      </c>
      <c r="S5">
        <v>100</v>
      </c>
      <c r="T5">
        <v>34020001</v>
      </c>
      <c r="U5">
        <v>10000</v>
      </c>
      <c r="V5">
        <v>150</v>
      </c>
      <c r="W5">
        <v>150</v>
      </c>
      <c r="X5" t="s">
        <v>176</v>
      </c>
      <c r="Y5" t="s">
        <v>177</v>
      </c>
      <c r="AB5">
        <v>0</v>
      </c>
      <c r="AC5">
        <v>0</v>
      </c>
      <c r="AH5">
        <v>1</v>
      </c>
      <c r="AI5">
        <v>1</v>
      </c>
      <c r="AJ5" t="s">
        <v>178</v>
      </c>
      <c r="AK5">
        <v>0</v>
      </c>
      <c r="AL5">
        <v>10000</v>
      </c>
      <c r="AM5" t="s">
        <v>179</v>
      </c>
      <c r="AN5" t="s">
        <v>180</v>
      </c>
      <c r="AO5">
        <v>3</v>
      </c>
      <c r="AP5">
        <v>10000</v>
      </c>
      <c r="AY5">
        <v>10</v>
      </c>
      <c r="AZ5">
        <v>20</v>
      </c>
      <c r="BA5" t="s">
        <v>181</v>
      </c>
      <c r="BB5" t="s">
        <v>182</v>
      </c>
      <c r="BF5" t="s">
        <v>183</v>
      </c>
      <c r="BH5" t="s">
        <v>171</v>
      </c>
      <c r="BK5" t="s">
        <v>184</v>
      </c>
      <c r="BN5">
        <v>0</v>
      </c>
      <c r="BO5">
        <v>0</v>
      </c>
    </row>
    <row r="6" spans="1:82">
      <c r="A6" t="e">
        <f t="array" ref="A6">10000000+INDEX(编号表!A:A,MATCH(B4,编号表!XFD:XFD,0))*10000+F4</f>
        <v>#N/A</v>
      </c>
      <c r="C6" t="s">
        <v>169</v>
      </c>
      <c r="D6" t="s">
        <v>169</v>
      </c>
      <c r="E6" t="s">
        <v>170</v>
      </c>
      <c r="F6" t="s">
        <v>171</v>
      </c>
      <c r="G6" t="s">
        <v>172</v>
      </c>
      <c r="H6">
        <v>2</v>
      </c>
      <c r="I6" t="str">
        <f t="shared" si="0"/>
        <v>##</v>
      </c>
      <c r="J6" t="s">
        <v>173</v>
      </c>
      <c r="K6" t="s">
        <v>174</v>
      </c>
      <c r="L6">
        <v>10010003</v>
      </c>
      <c r="M6">
        <v>10010001</v>
      </c>
      <c r="N6" t="s">
        <v>175</v>
      </c>
      <c r="O6">
        <v>10010001</v>
      </c>
      <c r="P6">
        <v>0</v>
      </c>
      <c r="Q6">
        <v>1</v>
      </c>
      <c r="R6">
        <v>7</v>
      </c>
      <c r="S6">
        <v>200</v>
      </c>
      <c r="T6">
        <v>34020001</v>
      </c>
      <c r="U6">
        <v>10000</v>
      </c>
      <c r="V6">
        <v>150</v>
      </c>
      <c r="W6">
        <v>150</v>
      </c>
      <c r="X6" t="s">
        <v>176</v>
      </c>
      <c r="Y6" t="s">
        <v>177</v>
      </c>
      <c r="AB6">
        <v>0</v>
      </c>
      <c r="AC6">
        <v>0</v>
      </c>
      <c r="AH6">
        <v>1</v>
      </c>
      <c r="AI6">
        <v>1</v>
      </c>
      <c r="AJ6" t="s">
        <v>178</v>
      </c>
      <c r="AK6">
        <v>1</v>
      </c>
      <c r="AL6">
        <v>10400</v>
      </c>
      <c r="AM6" t="s">
        <v>179</v>
      </c>
      <c r="AN6" t="s">
        <v>180</v>
      </c>
      <c r="AO6">
        <v>4</v>
      </c>
      <c r="AP6">
        <v>10000</v>
      </c>
      <c r="AY6">
        <v>10</v>
      </c>
      <c r="AZ6">
        <v>20</v>
      </c>
      <c r="BA6" t="s">
        <v>181</v>
      </c>
      <c r="BB6" t="s">
        <v>182</v>
      </c>
      <c r="BF6" t="s">
        <v>183</v>
      </c>
      <c r="BH6" t="s">
        <v>171</v>
      </c>
      <c r="BK6" t="s">
        <v>184</v>
      </c>
      <c r="BN6">
        <v>0</v>
      </c>
      <c r="BO6">
        <v>0</v>
      </c>
    </row>
    <row r="7" spans="1:82">
      <c r="A7" t="e">
        <f t="array" ref="A7">10000000+INDEX(编号表!A:A,MATCH(B5,编号表!XFD:XFD,0))*10000+F5</f>
        <v>#N/A</v>
      </c>
      <c r="C7" t="s">
        <v>169</v>
      </c>
      <c r="D7" t="s">
        <v>169</v>
      </c>
      <c r="E7" t="s">
        <v>170</v>
      </c>
      <c r="F7" t="s">
        <v>171</v>
      </c>
      <c r="G7" t="s">
        <v>172</v>
      </c>
      <c r="H7">
        <v>3</v>
      </c>
      <c r="I7" t="e">
        <f t="shared" si="0"/>
        <v>#N/A</v>
      </c>
      <c r="J7" t="s">
        <v>173</v>
      </c>
      <c r="K7" t="s">
        <v>174</v>
      </c>
      <c r="L7">
        <v>10010004</v>
      </c>
      <c r="M7">
        <v>10010002</v>
      </c>
      <c r="N7" t="s">
        <v>175</v>
      </c>
      <c r="O7">
        <v>10010001</v>
      </c>
      <c r="P7">
        <v>0</v>
      </c>
      <c r="Q7">
        <v>2</v>
      </c>
      <c r="R7">
        <v>11</v>
      </c>
      <c r="S7">
        <v>300</v>
      </c>
      <c r="T7">
        <v>34020001</v>
      </c>
      <c r="U7">
        <v>10000</v>
      </c>
      <c r="V7">
        <v>150</v>
      </c>
      <c r="W7">
        <v>150</v>
      </c>
      <c r="X7" t="s">
        <v>176</v>
      </c>
      <c r="Y7" t="s">
        <v>177</v>
      </c>
      <c r="AB7">
        <v>0</v>
      </c>
      <c r="AC7">
        <v>0</v>
      </c>
      <c r="AH7">
        <v>1</v>
      </c>
      <c r="AI7">
        <v>1</v>
      </c>
      <c r="AJ7" t="s">
        <v>178</v>
      </c>
      <c r="AK7">
        <v>2</v>
      </c>
      <c r="AL7">
        <v>10800</v>
      </c>
      <c r="AM7" t="s">
        <v>179</v>
      </c>
      <c r="AN7" t="s">
        <v>180</v>
      </c>
      <c r="AO7">
        <v>5</v>
      </c>
      <c r="AP7">
        <v>10000</v>
      </c>
      <c r="AY7">
        <v>10</v>
      </c>
      <c r="AZ7">
        <v>20</v>
      </c>
      <c r="BA7" t="s">
        <v>181</v>
      </c>
      <c r="BB7" t="s">
        <v>182</v>
      </c>
      <c r="BF7" t="s">
        <v>183</v>
      </c>
      <c r="BH7" t="s">
        <v>171</v>
      </c>
      <c r="BK7" t="s">
        <v>184</v>
      </c>
      <c r="BN7">
        <v>0</v>
      </c>
      <c r="BO7">
        <v>0</v>
      </c>
    </row>
    <row r="8" spans="1:82">
      <c r="A8" t="e">
        <f t="array" ref="A8">10000000+INDEX(编号表!A:A,MATCH(B6,编号表!XFD:XFD,0))*10000+F6</f>
        <v>#N/A</v>
      </c>
      <c r="C8" t="s">
        <v>169</v>
      </c>
      <c r="D8" t="s">
        <v>169</v>
      </c>
      <c r="E8" t="s">
        <v>170</v>
      </c>
      <c r="F8" t="s">
        <v>171</v>
      </c>
      <c r="G8" t="s">
        <v>172</v>
      </c>
      <c r="H8">
        <v>4</v>
      </c>
      <c r="I8" t="e">
        <f t="shared" si="0"/>
        <v>#N/A</v>
      </c>
      <c r="J8" t="s">
        <v>173</v>
      </c>
      <c r="K8" t="s">
        <v>174</v>
      </c>
      <c r="L8">
        <v>10010005</v>
      </c>
      <c r="M8">
        <v>10010003</v>
      </c>
      <c r="N8" t="s">
        <v>175</v>
      </c>
      <c r="O8">
        <v>10010001</v>
      </c>
      <c r="P8">
        <v>0</v>
      </c>
      <c r="Q8">
        <v>3</v>
      </c>
      <c r="R8">
        <v>16</v>
      </c>
      <c r="T8">
        <v>34020001</v>
      </c>
      <c r="U8">
        <v>10000</v>
      </c>
      <c r="V8">
        <v>150</v>
      </c>
      <c r="W8">
        <v>150</v>
      </c>
      <c r="X8" t="s">
        <v>176</v>
      </c>
      <c r="Y8" t="s">
        <v>177</v>
      </c>
      <c r="AB8">
        <v>0</v>
      </c>
      <c r="AC8">
        <v>0</v>
      </c>
      <c r="AH8">
        <v>1</v>
      </c>
      <c r="AI8">
        <v>1</v>
      </c>
      <c r="AJ8" t="s">
        <v>178</v>
      </c>
      <c r="AK8">
        <v>3</v>
      </c>
      <c r="AL8">
        <v>11200</v>
      </c>
      <c r="AM8" t="s">
        <v>179</v>
      </c>
      <c r="AN8" t="s">
        <v>180</v>
      </c>
      <c r="AO8">
        <v>6</v>
      </c>
      <c r="AP8">
        <v>10000</v>
      </c>
      <c r="AY8">
        <v>10</v>
      </c>
      <c r="AZ8">
        <v>20</v>
      </c>
      <c r="BA8" t="s">
        <v>181</v>
      </c>
      <c r="BB8" t="s">
        <v>182</v>
      </c>
      <c r="BF8" t="s">
        <v>183</v>
      </c>
      <c r="BH8" t="s">
        <v>171</v>
      </c>
      <c r="BK8" t="s">
        <v>184</v>
      </c>
      <c r="BN8">
        <v>0</v>
      </c>
      <c r="BO8">
        <v>0</v>
      </c>
    </row>
    <row r="9" spans="1:82">
      <c r="A9" t="e">
        <f t="array" ref="A9">10000000+INDEX(编号表!A:A,MATCH(B7,编号表!XFD:XFD,0))*10000+F7</f>
        <v>#N/A</v>
      </c>
      <c r="C9" t="s">
        <v>169</v>
      </c>
      <c r="D9" t="s">
        <v>169</v>
      </c>
      <c r="E9" t="s">
        <v>170</v>
      </c>
      <c r="F9" t="s">
        <v>171</v>
      </c>
      <c r="G9" t="s">
        <v>172</v>
      </c>
      <c r="H9">
        <v>5</v>
      </c>
      <c r="I9" t="e">
        <f t="shared" si="0"/>
        <v>#N/A</v>
      </c>
      <c r="J9" t="s">
        <v>173</v>
      </c>
      <c r="K9" t="s">
        <v>174</v>
      </c>
      <c r="L9">
        <v>10010006</v>
      </c>
      <c r="M9">
        <v>10010004</v>
      </c>
      <c r="N9" t="s">
        <v>175</v>
      </c>
      <c r="O9">
        <v>10010001</v>
      </c>
      <c r="P9">
        <v>0</v>
      </c>
      <c r="Q9">
        <v>3</v>
      </c>
      <c r="R9">
        <v>25</v>
      </c>
      <c r="T9">
        <v>34020001</v>
      </c>
      <c r="U9">
        <v>10000</v>
      </c>
      <c r="V9">
        <v>150</v>
      </c>
      <c r="W9">
        <v>150</v>
      </c>
      <c r="X9" t="s">
        <v>176</v>
      </c>
      <c r="Y9" t="s">
        <v>177</v>
      </c>
      <c r="AB9">
        <v>0</v>
      </c>
      <c r="AC9">
        <v>0</v>
      </c>
      <c r="AH9">
        <v>1</v>
      </c>
      <c r="AI9">
        <v>1</v>
      </c>
      <c r="AJ9" t="s">
        <v>178</v>
      </c>
      <c r="AK9">
        <v>3</v>
      </c>
      <c r="AL9">
        <v>11300</v>
      </c>
      <c r="AM9" t="s">
        <v>179</v>
      </c>
      <c r="AN9" t="s">
        <v>180</v>
      </c>
      <c r="AO9">
        <v>6</v>
      </c>
      <c r="AP9">
        <v>10000</v>
      </c>
      <c r="AY9">
        <v>10</v>
      </c>
      <c r="AZ9">
        <v>20</v>
      </c>
      <c r="BA9" t="s">
        <v>181</v>
      </c>
      <c r="BB9" t="s">
        <v>182</v>
      </c>
      <c r="BF9" t="s">
        <v>183</v>
      </c>
      <c r="BH9" t="s">
        <v>171</v>
      </c>
      <c r="BK9" t="s">
        <v>184</v>
      </c>
      <c r="BN9">
        <v>0</v>
      </c>
      <c r="BO9">
        <v>0</v>
      </c>
    </row>
    <row r="10" spans="1:82">
      <c r="A10" t="e">
        <f t="array" ref="A10">10000000+INDEX(编号表!A:A,MATCH(B8,编号表!XFD:XFD,0))*10000+F8</f>
        <v>#N/A</v>
      </c>
      <c r="C10" t="s">
        <v>169</v>
      </c>
      <c r="D10" t="s">
        <v>169</v>
      </c>
      <c r="E10" t="s">
        <v>170</v>
      </c>
      <c r="F10" t="s">
        <v>171</v>
      </c>
      <c r="G10" t="s">
        <v>172</v>
      </c>
      <c r="H10">
        <v>6</v>
      </c>
      <c r="I10" t="e">
        <f t="shared" si="0"/>
        <v>#N/A</v>
      </c>
      <c r="J10" t="s">
        <v>173</v>
      </c>
      <c r="K10" t="s">
        <v>174</v>
      </c>
      <c r="L10">
        <v>10010007</v>
      </c>
      <c r="M10">
        <v>10010005</v>
      </c>
      <c r="N10" t="s">
        <v>175</v>
      </c>
      <c r="O10">
        <v>10010001</v>
      </c>
      <c r="P10">
        <v>0</v>
      </c>
      <c r="Q10">
        <v>3</v>
      </c>
      <c r="R10">
        <v>30</v>
      </c>
      <c r="T10">
        <v>34020001</v>
      </c>
      <c r="U10">
        <v>10000</v>
      </c>
      <c r="V10">
        <v>150</v>
      </c>
      <c r="W10">
        <v>150</v>
      </c>
      <c r="X10" t="s">
        <v>176</v>
      </c>
      <c r="Y10" t="s">
        <v>177</v>
      </c>
      <c r="AB10">
        <v>0</v>
      </c>
      <c r="AC10">
        <v>0</v>
      </c>
      <c r="AH10">
        <v>1</v>
      </c>
      <c r="AI10">
        <v>1</v>
      </c>
      <c r="AJ10" t="s">
        <v>178</v>
      </c>
      <c r="AK10">
        <v>3</v>
      </c>
      <c r="AL10">
        <v>11600</v>
      </c>
      <c r="AM10" t="s">
        <v>179</v>
      </c>
      <c r="AN10" t="s">
        <v>180</v>
      </c>
      <c r="AO10">
        <v>7</v>
      </c>
      <c r="AP10">
        <v>10000</v>
      </c>
      <c r="AY10">
        <v>10</v>
      </c>
      <c r="AZ10">
        <v>20</v>
      </c>
      <c r="BA10" t="s">
        <v>181</v>
      </c>
      <c r="BB10" t="s">
        <v>182</v>
      </c>
      <c r="BF10" t="s">
        <v>183</v>
      </c>
      <c r="BH10" t="s">
        <v>171</v>
      </c>
      <c r="BK10" t="s">
        <v>184</v>
      </c>
      <c r="BN10">
        <v>0</v>
      </c>
      <c r="BO10">
        <v>0</v>
      </c>
    </row>
    <row r="11" spans="1:82">
      <c r="C11" t="s">
        <v>169</v>
      </c>
      <c r="D11" t="s">
        <v>169</v>
      </c>
      <c r="E11" t="s">
        <v>170</v>
      </c>
      <c r="F11" t="s">
        <v>171</v>
      </c>
      <c r="G11" t="s">
        <v>172</v>
      </c>
      <c r="H11">
        <v>7</v>
      </c>
      <c r="I11" t="e">
        <f t="shared" si="0"/>
        <v>#N/A</v>
      </c>
      <c r="J11" t="s">
        <v>173</v>
      </c>
      <c r="K11" t="s">
        <v>174</v>
      </c>
      <c r="L11">
        <v>10010008</v>
      </c>
      <c r="M11">
        <v>10010006</v>
      </c>
      <c r="N11" t="s">
        <v>175</v>
      </c>
      <c r="O11">
        <v>10010001</v>
      </c>
      <c r="P11">
        <v>0</v>
      </c>
      <c r="Q11">
        <v>3</v>
      </c>
      <c r="R11">
        <v>35</v>
      </c>
      <c r="T11">
        <v>34020001</v>
      </c>
      <c r="U11">
        <v>10000</v>
      </c>
      <c r="V11">
        <v>150</v>
      </c>
      <c r="W11">
        <v>150</v>
      </c>
      <c r="X11" t="s">
        <v>176</v>
      </c>
      <c r="Y11" t="s">
        <v>177</v>
      </c>
      <c r="AB11">
        <v>0</v>
      </c>
      <c r="AC11">
        <v>0</v>
      </c>
      <c r="AH11">
        <v>1</v>
      </c>
      <c r="AI11">
        <v>1</v>
      </c>
      <c r="AJ11" t="s">
        <v>178</v>
      </c>
      <c r="AK11">
        <v>3</v>
      </c>
      <c r="AL11">
        <v>11700</v>
      </c>
      <c r="AM11" t="s">
        <v>179</v>
      </c>
      <c r="AN11" t="s">
        <v>180</v>
      </c>
      <c r="AO11">
        <v>7</v>
      </c>
      <c r="AP11">
        <v>10000</v>
      </c>
      <c r="AY11">
        <v>10</v>
      </c>
      <c r="AZ11">
        <v>20</v>
      </c>
      <c r="BA11" t="s">
        <v>181</v>
      </c>
      <c r="BB11" t="s">
        <v>182</v>
      </c>
      <c r="BF11" t="s">
        <v>183</v>
      </c>
      <c r="BH11" t="s">
        <v>171</v>
      </c>
      <c r="BK11" t="s">
        <v>184</v>
      </c>
      <c r="BN11">
        <v>0</v>
      </c>
      <c r="BO11">
        <v>0</v>
      </c>
    </row>
    <row r="12" spans="1:82">
      <c r="C12" t="s">
        <v>169</v>
      </c>
      <c r="D12" t="s">
        <v>169</v>
      </c>
      <c r="E12" t="s">
        <v>170</v>
      </c>
      <c r="F12" t="s">
        <v>171</v>
      </c>
      <c r="G12" t="s">
        <v>172</v>
      </c>
      <c r="H12">
        <v>8</v>
      </c>
      <c r="I12" t="e">
        <f t="shared" si="0"/>
        <v>#N/A</v>
      </c>
      <c r="J12" t="s">
        <v>173</v>
      </c>
      <c r="K12" t="s">
        <v>174</v>
      </c>
      <c r="L12">
        <v>10010009</v>
      </c>
      <c r="M12">
        <v>10010007</v>
      </c>
      <c r="N12" t="s">
        <v>175</v>
      </c>
      <c r="O12">
        <v>10010001</v>
      </c>
      <c r="P12">
        <v>0</v>
      </c>
      <c r="Q12">
        <v>3</v>
      </c>
      <c r="R12">
        <v>40</v>
      </c>
      <c r="T12">
        <v>34020001</v>
      </c>
      <c r="U12">
        <v>10000</v>
      </c>
      <c r="V12">
        <v>150</v>
      </c>
      <c r="W12">
        <v>150</v>
      </c>
      <c r="X12" t="s">
        <v>176</v>
      </c>
      <c r="Y12" t="s">
        <v>177</v>
      </c>
      <c r="AB12">
        <v>0</v>
      </c>
      <c r="AC12">
        <v>0</v>
      </c>
      <c r="AH12">
        <v>1</v>
      </c>
      <c r="AI12">
        <v>1</v>
      </c>
      <c r="AJ12" t="s">
        <v>178</v>
      </c>
      <c r="AK12">
        <v>3</v>
      </c>
      <c r="AL12">
        <v>11800</v>
      </c>
      <c r="AM12" t="s">
        <v>179</v>
      </c>
      <c r="AN12" t="s">
        <v>180</v>
      </c>
      <c r="AO12">
        <v>7</v>
      </c>
      <c r="AP12">
        <v>10000</v>
      </c>
      <c r="AY12">
        <v>10</v>
      </c>
      <c r="AZ12">
        <v>20</v>
      </c>
      <c r="BA12" t="s">
        <v>181</v>
      </c>
      <c r="BB12" t="s">
        <v>182</v>
      </c>
      <c r="BF12" t="s">
        <v>183</v>
      </c>
      <c r="BH12" t="s">
        <v>171</v>
      </c>
      <c r="BK12" t="s">
        <v>184</v>
      </c>
      <c r="BN12">
        <v>0</v>
      </c>
      <c r="BO1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2"/>
  <sheetViews>
    <sheetView workbookViewId="0">
      <selection activeCell="A1" sqref="A1"/>
    </sheetView>
  </sheetViews>
  <sheetFormatPr defaultColWidth="9" defaultRowHeight="14.25"/>
  <sheetData>
    <row r="1" spans="1:41">
      <c r="A1" t="s">
        <v>0</v>
      </c>
      <c r="B1" t="s">
        <v>1</v>
      </c>
      <c r="C1" t="s">
        <v>185</v>
      </c>
      <c r="D1" t="s">
        <v>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186</v>
      </c>
      <c r="L1" t="s">
        <v>13</v>
      </c>
      <c r="M1" t="s">
        <v>8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  <c r="U1" t="s">
        <v>14</v>
      </c>
      <c r="V1" t="s">
        <v>194</v>
      </c>
      <c r="W1" t="s">
        <v>195</v>
      </c>
      <c r="X1" t="s">
        <v>196</v>
      </c>
      <c r="Y1" t="s">
        <v>197</v>
      </c>
      <c r="Z1" t="s">
        <v>39</v>
      </c>
      <c r="AA1" t="s">
        <v>40</v>
      </c>
      <c r="AB1" t="s">
        <v>38</v>
      </c>
      <c r="AC1" t="s">
        <v>41</v>
      </c>
      <c r="AD1" t="s">
        <v>43</v>
      </c>
      <c r="AE1" t="s">
        <v>44</v>
      </c>
      <c r="AF1" t="s">
        <v>42</v>
      </c>
      <c r="AG1" t="s">
        <v>45</v>
      </c>
      <c r="AH1" t="s">
        <v>47</v>
      </c>
      <c r="AI1" t="s">
        <v>48</v>
      </c>
      <c r="AJ1" t="s">
        <v>46</v>
      </c>
      <c r="AK1" t="s">
        <v>49</v>
      </c>
      <c r="AL1" t="s">
        <v>198</v>
      </c>
      <c r="AM1" t="s">
        <v>199</v>
      </c>
      <c r="AN1" t="s">
        <v>200</v>
      </c>
      <c r="AO1" t="s">
        <v>201</v>
      </c>
    </row>
    <row r="2" spans="1:41">
      <c r="A2" t="s">
        <v>82</v>
      </c>
      <c r="B2" t="s">
        <v>83</v>
      </c>
      <c r="C2" t="s">
        <v>84</v>
      </c>
      <c r="D2" t="s">
        <v>84</v>
      </c>
      <c r="E2" t="s">
        <v>84</v>
      </c>
      <c r="F2" t="s">
        <v>84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84</v>
      </c>
      <c r="M2" t="s">
        <v>84</v>
      </c>
      <c r="N2" t="s">
        <v>85</v>
      </c>
      <c r="O2" t="s">
        <v>84</v>
      </c>
      <c r="P2" t="s">
        <v>84</v>
      </c>
      <c r="Q2" t="s">
        <v>83</v>
      </c>
      <c r="R2" t="s">
        <v>83</v>
      </c>
      <c r="S2" t="s">
        <v>83</v>
      </c>
      <c r="T2" t="s">
        <v>84</v>
      </c>
      <c r="U2" t="s">
        <v>83</v>
      </c>
      <c r="V2" t="s">
        <v>84</v>
      </c>
      <c r="W2" t="s">
        <v>84</v>
      </c>
      <c r="X2" t="s">
        <v>84</v>
      </c>
      <c r="Y2" t="s">
        <v>83</v>
      </c>
      <c r="Z2" t="s">
        <v>84</v>
      </c>
      <c r="AA2" t="s">
        <v>83</v>
      </c>
      <c r="AB2" t="s">
        <v>84</v>
      </c>
      <c r="AC2" t="s">
        <v>83</v>
      </c>
      <c r="AD2" t="s">
        <v>84</v>
      </c>
      <c r="AE2" t="s">
        <v>83</v>
      </c>
      <c r="AF2" t="s">
        <v>84</v>
      </c>
      <c r="AG2" t="s">
        <v>83</v>
      </c>
      <c r="AH2" t="s">
        <v>84</v>
      </c>
      <c r="AI2" t="s">
        <v>83</v>
      </c>
      <c r="AJ2" t="s">
        <v>84</v>
      </c>
      <c r="AK2" t="s">
        <v>83</v>
      </c>
      <c r="AL2" t="s">
        <v>84</v>
      </c>
      <c r="AM2" t="s">
        <v>83</v>
      </c>
      <c r="AN2" t="s">
        <v>84</v>
      </c>
      <c r="AO2" t="s">
        <v>83</v>
      </c>
    </row>
    <row r="3" spans="1:41">
      <c r="A3" t="s">
        <v>87</v>
      </c>
    </row>
    <row r="4" spans="1:41">
      <c r="A4" t="s">
        <v>88</v>
      </c>
      <c r="B4" t="s">
        <v>202</v>
      </c>
      <c r="C4" t="s">
        <v>203</v>
      </c>
      <c r="D4" t="s">
        <v>204</v>
      </c>
      <c r="E4" t="s">
        <v>205</v>
      </c>
      <c r="F4" t="s">
        <v>206</v>
      </c>
      <c r="G4" t="s">
        <v>207</v>
      </c>
      <c r="H4" t="s">
        <v>208</v>
      </c>
      <c r="I4" t="s">
        <v>115</v>
      </c>
      <c r="J4" t="s">
        <v>116</v>
      </c>
      <c r="K4" t="s">
        <v>209</v>
      </c>
      <c r="L4" t="s">
        <v>210</v>
      </c>
      <c r="M4" t="s">
        <v>211</v>
      </c>
      <c r="N4" t="s">
        <v>212</v>
      </c>
      <c r="O4" t="s">
        <v>213</v>
      </c>
      <c r="P4" t="s">
        <v>214</v>
      </c>
      <c r="Q4" t="s">
        <v>215</v>
      </c>
      <c r="R4" t="s">
        <v>216</v>
      </c>
      <c r="S4" t="s">
        <v>217</v>
      </c>
      <c r="T4" t="s">
        <v>218</v>
      </c>
      <c r="U4" t="s">
        <v>219</v>
      </c>
      <c r="V4" t="s">
        <v>220</v>
      </c>
      <c r="W4" t="s">
        <v>221</v>
      </c>
      <c r="X4" t="s">
        <v>222</v>
      </c>
      <c r="Y4" t="s">
        <v>223</v>
      </c>
      <c r="Z4" t="s">
        <v>126</v>
      </c>
      <c r="AA4" t="s">
        <v>127</v>
      </c>
      <c r="AB4" t="s">
        <v>224</v>
      </c>
      <c r="AC4" t="s">
        <v>225</v>
      </c>
      <c r="AD4" t="s">
        <v>130</v>
      </c>
      <c r="AE4" t="s">
        <v>131</v>
      </c>
      <c r="AF4" t="s">
        <v>226</v>
      </c>
      <c r="AG4" t="s">
        <v>227</v>
      </c>
      <c r="AH4" t="s">
        <v>134</v>
      </c>
      <c r="AI4" t="s">
        <v>135</v>
      </c>
      <c r="AJ4" t="s">
        <v>228</v>
      </c>
      <c r="AK4" t="s">
        <v>229</v>
      </c>
      <c r="AL4" t="s">
        <v>230</v>
      </c>
      <c r="AM4" t="s">
        <v>231</v>
      </c>
      <c r="AN4" t="s">
        <v>232</v>
      </c>
      <c r="AO4" t="s">
        <v>233</v>
      </c>
    </row>
    <row r="5" spans="1:41">
      <c r="B5" t="e">
        <f>21000000+VLOOKUP(C3,编号表!$E:$F,2,FALSE)*100+J3</f>
        <v>#N/A</v>
      </c>
      <c r="C5" t="s">
        <v>234</v>
      </c>
      <c r="D5" t="s">
        <v>234</v>
      </c>
      <c r="E5" t="s">
        <v>235</v>
      </c>
      <c r="K5">
        <v>1</v>
      </c>
      <c r="L5" t="s">
        <v>236</v>
      </c>
      <c r="M5" t="str">
        <f t="shared" ref="M5:M12" si="0">LEFT(A3,6)</f>
        <v>##grou</v>
      </c>
      <c r="N5" t="s">
        <v>183</v>
      </c>
      <c r="O5" t="s">
        <v>237</v>
      </c>
      <c r="P5" t="s">
        <v>238</v>
      </c>
      <c r="Q5">
        <v>1</v>
      </c>
      <c r="R5">
        <v>2000</v>
      </c>
      <c r="S5">
        <v>0</v>
      </c>
      <c r="X5" t="s">
        <v>239</v>
      </c>
      <c r="Z5" t="s">
        <v>240</v>
      </c>
      <c r="AB5" t="s">
        <v>241</v>
      </c>
      <c r="AC5">
        <v>10000</v>
      </c>
    </row>
    <row r="6" spans="1:41">
      <c r="B6" t="e">
        <f>21000000+VLOOKUP(C4,编号表!$E:$F,2,FALSE)*100+J4</f>
        <v>#N/A</v>
      </c>
      <c r="C6" t="s">
        <v>242</v>
      </c>
      <c r="D6" t="s">
        <v>242</v>
      </c>
      <c r="E6" t="s">
        <v>235</v>
      </c>
      <c r="K6">
        <v>1</v>
      </c>
      <c r="L6" t="s">
        <v>243</v>
      </c>
      <c r="M6" t="str">
        <f t="shared" si="0"/>
        <v>##</v>
      </c>
      <c r="N6" t="s">
        <v>183</v>
      </c>
      <c r="O6" t="s">
        <v>237</v>
      </c>
      <c r="P6" t="s">
        <v>238</v>
      </c>
      <c r="Q6">
        <v>1</v>
      </c>
      <c r="R6">
        <v>2000</v>
      </c>
      <c r="S6">
        <v>0</v>
      </c>
      <c r="X6" t="s">
        <v>239</v>
      </c>
      <c r="Z6" t="s">
        <v>244</v>
      </c>
      <c r="AB6" t="s">
        <v>241</v>
      </c>
      <c r="AC6">
        <v>10000</v>
      </c>
    </row>
    <row r="7" spans="1:41">
      <c r="B7">
        <f>21000000+VLOOKUP(C5,编号表!$E:$F,2,FALSE)*100+J5</f>
        <v>21000300</v>
      </c>
      <c r="C7" t="s">
        <v>245</v>
      </c>
      <c r="D7" t="s">
        <v>245</v>
      </c>
      <c r="E7" t="s">
        <v>235</v>
      </c>
      <c r="K7">
        <v>1</v>
      </c>
      <c r="L7" t="s">
        <v>246</v>
      </c>
      <c r="M7" t="str">
        <f t="shared" si="0"/>
        <v/>
      </c>
      <c r="N7" t="s">
        <v>183</v>
      </c>
      <c r="O7" t="s">
        <v>237</v>
      </c>
      <c r="P7" t="s">
        <v>238</v>
      </c>
      <c r="Q7">
        <v>1</v>
      </c>
      <c r="R7">
        <v>2000</v>
      </c>
      <c r="X7" t="s">
        <v>239</v>
      </c>
      <c r="Z7" t="s">
        <v>247</v>
      </c>
      <c r="AB7" t="s">
        <v>241</v>
      </c>
      <c r="AC7">
        <v>10000</v>
      </c>
    </row>
    <row r="8" spans="1:41">
      <c r="B8">
        <f>21000000+VLOOKUP(C6,编号表!$E:$F,2,FALSE)*100+J6</f>
        <v>21000400</v>
      </c>
      <c r="C8" t="s">
        <v>248</v>
      </c>
      <c r="D8" t="s">
        <v>248</v>
      </c>
      <c r="E8" t="s">
        <v>235</v>
      </c>
      <c r="K8">
        <v>1</v>
      </c>
      <c r="L8" t="s">
        <v>249</v>
      </c>
      <c r="M8" t="str">
        <f t="shared" si="0"/>
        <v/>
      </c>
      <c r="N8" t="s">
        <v>183</v>
      </c>
      <c r="O8" t="s">
        <v>237</v>
      </c>
      <c r="P8" t="s">
        <v>238</v>
      </c>
      <c r="Q8">
        <v>1</v>
      </c>
      <c r="R8">
        <v>10000</v>
      </c>
      <c r="S8">
        <v>0</v>
      </c>
      <c r="X8" t="s">
        <v>239</v>
      </c>
      <c r="Z8" t="s">
        <v>250</v>
      </c>
      <c r="AA8">
        <v>-2000</v>
      </c>
      <c r="AB8" t="s">
        <v>241</v>
      </c>
      <c r="AC8">
        <v>10000</v>
      </c>
    </row>
    <row r="9" spans="1:41">
      <c r="B9">
        <f>21000000+VLOOKUP(C7,编号表!$E:$F,2,FALSE)*100+J7</f>
        <v>21000600</v>
      </c>
      <c r="C9" t="s">
        <v>251</v>
      </c>
      <c r="D9" t="s">
        <v>251</v>
      </c>
      <c r="E9" t="s">
        <v>235</v>
      </c>
      <c r="K9">
        <v>1</v>
      </c>
      <c r="L9" t="s">
        <v>252</v>
      </c>
      <c r="M9" t="str">
        <f t="shared" si="0"/>
        <v/>
      </c>
      <c r="N9" t="s">
        <v>183</v>
      </c>
      <c r="O9" t="s">
        <v>237</v>
      </c>
      <c r="P9" t="s">
        <v>238</v>
      </c>
      <c r="Q9">
        <v>1</v>
      </c>
      <c r="R9">
        <v>12000</v>
      </c>
      <c r="S9">
        <v>3000</v>
      </c>
      <c r="V9" t="s">
        <v>253</v>
      </c>
      <c r="W9" t="s">
        <v>254</v>
      </c>
      <c r="X9" t="s">
        <v>239</v>
      </c>
      <c r="Z9" t="s">
        <v>255</v>
      </c>
      <c r="AA9">
        <v>2200</v>
      </c>
      <c r="AB9" t="s">
        <v>241</v>
      </c>
      <c r="AC9">
        <v>10000</v>
      </c>
      <c r="AD9" t="s">
        <v>256</v>
      </c>
      <c r="AE9">
        <v>2</v>
      </c>
      <c r="AF9" t="s">
        <v>241</v>
      </c>
      <c r="AG9">
        <v>10000</v>
      </c>
    </row>
    <row r="10" spans="1:41">
      <c r="B10">
        <f>21000000+VLOOKUP(C8,编号表!$E:$F,2,FALSE)*100+J8</f>
        <v>21001000</v>
      </c>
      <c r="C10" t="s">
        <v>251</v>
      </c>
      <c r="D10" t="s">
        <v>251</v>
      </c>
      <c r="E10" t="s">
        <v>235</v>
      </c>
      <c r="K10">
        <v>2</v>
      </c>
      <c r="L10" t="s">
        <v>252</v>
      </c>
      <c r="M10" t="str">
        <f t="shared" si="0"/>
        <v/>
      </c>
      <c r="N10" t="s">
        <v>183</v>
      </c>
      <c r="O10" t="s">
        <v>237</v>
      </c>
      <c r="P10" t="s">
        <v>238</v>
      </c>
      <c r="Q10">
        <v>1</v>
      </c>
      <c r="R10">
        <v>12000</v>
      </c>
      <c r="S10">
        <v>3000</v>
      </c>
      <c r="V10" t="s">
        <v>253</v>
      </c>
      <c r="W10" t="s">
        <v>254</v>
      </c>
      <c r="X10" t="s">
        <v>239</v>
      </c>
      <c r="Z10" t="s">
        <v>255</v>
      </c>
      <c r="AA10">
        <v>2600</v>
      </c>
      <c r="AB10" t="s">
        <v>241</v>
      </c>
      <c r="AC10">
        <v>10000</v>
      </c>
      <c r="AD10" t="s">
        <v>256</v>
      </c>
      <c r="AE10">
        <v>3</v>
      </c>
      <c r="AF10" t="s">
        <v>241</v>
      </c>
      <c r="AG10">
        <v>10000</v>
      </c>
    </row>
    <row r="11" spans="1:41">
      <c r="B11">
        <f>21000000+VLOOKUP(C9,编号表!$E:$F,2,FALSE)*100+J9</f>
        <v>21000200</v>
      </c>
      <c r="C11" t="s">
        <v>251</v>
      </c>
      <c r="D11" t="s">
        <v>251</v>
      </c>
      <c r="E11" t="s">
        <v>235</v>
      </c>
      <c r="K11">
        <v>3</v>
      </c>
      <c r="L11" t="s">
        <v>252</v>
      </c>
      <c r="M11" t="str">
        <f t="shared" si="0"/>
        <v/>
      </c>
      <c r="N11" t="s">
        <v>183</v>
      </c>
      <c r="O11" t="s">
        <v>237</v>
      </c>
      <c r="P11" t="s">
        <v>238</v>
      </c>
      <c r="Q11">
        <v>1</v>
      </c>
      <c r="R11">
        <v>12000</v>
      </c>
      <c r="S11">
        <v>3000</v>
      </c>
      <c r="V11" t="s">
        <v>253</v>
      </c>
      <c r="W11" t="s">
        <v>254</v>
      </c>
      <c r="X11" t="s">
        <v>239</v>
      </c>
      <c r="Z11" t="s">
        <v>255</v>
      </c>
      <c r="AA11">
        <v>3000</v>
      </c>
      <c r="AB11" t="s">
        <v>241</v>
      </c>
      <c r="AC11">
        <v>10000</v>
      </c>
      <c r="AD11" t="s">
        <v>256</v>
      </c>
      <c r="AE11">
        <v>4</v>
      </c>
      <c r="AF11" t="s">
        <v>241</v>
      </c>
      <c r="AG11">
        <v>10000</v>
      </c>
    </row>
    <row r="12" spans="1:41">
      <c r="B12">
        <f>21000000+VLOOKUP(C10,编号表!$E:$F,2,FALSE)*100+J10</f>
        <v>21000200</v>
      </c>
      <c r="C12" t="s">
        <v>251</v>
      </c>
      <c r="D12" t="s">
        <v>251</v>
      </c>
      <c r="E12" t="s">
        <v>235</v>
      </c>
      <c r="K12">
        <v>4</v>
      </c>
      <c r="L12" t="s">
        <v>252</v>
      </c>
      <c r="M12" t="str">
        <f t="shared" si="0"/>
        <v/>
      </c>
      <c r="N12" t="s">
        <v>183</v>
      </c>
      <c r="O12" t="s">
        <v>237</v>
      </c>
      <c r="P12" t="s">
        <v>238</v>
      </c>
      <c r="Q12">
        <v>1</v>
      </c>
      <c r="R12">
        <v>12000</v>
      </c>
      <c r="S12">
        <v>3000</v>
      </c>
      <c r="V12" t="s">
        <v>253</v>
      </c>
      <c r="W12" t="s">
        <v>254</v>
      </c>
      <c r="X12" t="s">
        <v>239</v>
      </c>
      <c r="Z12" t="s">
        <v>255</v>
      </c>
      <c r="AA12">
        <v>3600</v>
      </c>
      <c r="AB12" t="s">
        <v>241</v>
      </c>
      <c r="AC12">
        <v>10000</v>
      </c>
      <c r="AD12" t="s">
        <v>256</v>
      </c>
      <c r="AE12">
        <v>6</v>
      </c>
      <c r="AF12" t="s">
        <v>241</v>
      </c>
      <c r="AG12">
        <v>10000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F112"/>
  <sheetViews>
    <sheetView workbookViewId="0">
      <selection activeCell="E50" sqref="E50"/>
    </sheetView>
  </sheetViews>
  <sheetFormatPr defaultColWidth="8.25" defaultRowHeight="14.25" outlineLevelCol="5"/>
  <cols>
    <col min="1" max="1" width="10.5" style="16" customWidth="1"/>
    <col min="2" max="2" width="8" style="16" customWidth="1"/>
    <col min="3" max="3" width="6.875" style="17" customWidth="1"/>
    <col min="4" max="4" width="8.25" style="17" customWidth="1"/>
    <col min="5" max="5" width="23.375" style="17" customWidth="1"/>
    <col min="6" max="6" width="4.58333333333333" style="17" customWidth="1"/>
    <col min="7" max="7" width="13.75" style="16" customWidth="1"/>
    <col min="8" max="16384" width="8.25" style="16" customWidth="1"/>
  </cols>
  <sheetData>
    <row r="1" s="16" customFormat="1" spans="1:6">
      <c r="A1" s="16" t="s">
        <v>257</v>
      </c>
      <c r="B1" s="16" t="s">
        <v>258</v>
      </c>
      <c r="C1" s="17"/>
      <c r="D1" s="17"/>
      <c r="E1" s="17" t="s">
        <v>259</v>
      </c>
      <c r="F1" s="17" t="s">
        <v>260</v>
      </c>
    </row>
    <row r="2" s="16" customFormat="1" spans="1:6">
      <c r="A2" s="16" t="s">
        <v>169</v>
      </c>
      <c r="B2" s="16">
        <v>1</v>
      </c>
      <c r="C2" s="17"/>
      <c r="D2" s="17"/>
      <c r="E2" s="17" t="s">
        <v>261</v>
      </c>
      <c r="F2" s="17">
        <v>1</v>
      </c>
    </row>
    <row r="3" s="16" customFormat="1" spans="1:6">
      <c r="A3" s="16" t="s">
        <v>262</v>
      </c>
      <c r="B3" s="16">
        <v>2</v>
      </c>
      <c r="C3" s="17"/>
      <c r="D3" s="17"/>
      <c r="E3" s="17" t="s">
        <v>251</v>
      </c>
      <c r="F3" s="17">
        <v>2</v>
      </c>
    </row>
    <row r="4" s="16" customFormat="1" spans="1:6">
      <c r="A4" s="16" t="s">
        <v>263</v>
      </c>
      <c r="B4" s="16">
        <v>3</v>
      </c>
      <c r="C4" s="17"/>
      <c r="D4" s="17"/>
      <c r="E4" s="17" t="s">
        <v>234</v>
      </c>
      <c r="F4" s="17">
        <v>3</v>
      </c>
    </row>
    <row r="5" s="16" customFormat="1" spans="1:6">
      <c r="A5" s="16" t="s">
        <v>264</v>
      </c>
      <c r="B5" s="16">
        <v>4</v>
      </c>
      <c r="C5" s="17"/>
      <c r="D5" s="17"/>
      <c r="E5" s="17" t="s">
        <v>242</v>
      </c>
      <c r="F5" s="17">
        <v>4</v>
      </c>
    </row>
    <row r="6" s="16" customFormat="1" spans="1:6">
      <c r="A6" s="16" t="s">
        <v>265</v>
      </c>
      <c r="B6" s="16">
        <v>5</v>
      </c>
      <c r="C6" s="17"/>
      <c r="D6" s="17"/>
      <c r="E6" s="17" t="s">
        <v>266</v>
      </c>
      <c r="F6" s="17">
        <v>5</v>
      </c>
    </row>
    <row r="7" s="16" customFormat="1" spans="1:6">
      <c r="A7" s="16" t="s">
        <v>267</v>
      </c>
      <c r="B7" s="16">
        <v>6</v>
      </c>
      <c r="C7" s="17"/>
      <c r="D7" s="17"/>
      <c r="E7" s="17" t="s">
        <v>245</v>
      </c>
      <c r="F7" s="17">
        <v>6</v>
      </c>
    </row>
    <row r="8" s="16" customFormat="1" spans="1:6">
      <c r="A8" s="16" t="s">
        <v>268</v>
      </c>
      <c r="B8" s="16">
        <v>7</v>
      </c>
      <c r="C8" s="17"/>
      <c r="D8" s="17"/>
      <c r="E8" s="17" t="s">
        <v>269</v>
      </c>
      <c r="F8" s="17">
        <v>7</v>
      </c>
    </row>
    <row r="9" s="16" customFormat="1" spans="1:6">
      <c r="A9" s="16" t="s">
        <v>270</v>
      </c>
      <c r="B9" s="16">
        <v>8</v>
      </c>
      <c r="C9" s="17"/>
      <c r="D9" s="17"/>
      <c r="E9" s="17" t="s">
        <v>271</v>
      </c>
      <c r="F9" s="17">
        <v>8</v>
      </c>
    </row>
    <row r="10" s="16" customFormat="1" spans="1:6">
      <c r="A10" s="16" t="s">
        <v>272</v>
      </c>
      <c r="B10" s="16">
        <v>9</v>
      </c>
      <c r="C10" s="17"/>
      <c r="D10" s="17"/>
      <c r="E10" s="17" t="s">
        <v>273</v>
      </c>
      <c r="F10" s="17">
        <v>9</v>
      </c>
    </row>
    <row r="11" s="16" customFormat="1" spans="1:6">
      <c r="A11" s="16" t="s">
        <v>274</v>
      </c>
      <c r="B11" s="16">
        <v>10</v>
      </c>
      <c r="C11" s="17"/>
      <c r="D11" s="17"/>
      <c r="E11" s="17" t="s">
        <v>248</v>
      </c>
      <c r="F11" s="17">
        <v>10</v>
      </c>
    </row>
    <row r="12" s="16" customFormat="1" spans="1:6">
      <c r="A12" s="16" t="s">
        <v>275</v>
      </c>
      <c r="B12" s="16">
        <v>11</v>
      </c>
      <c r="C12" s="17"/>
      <c r="D12" s="17"/>
      <c r="E12" s="17" t="s">
        <v>276</v>
      </c>
      <c r="F12" s="17">
        <v>11</v>
      </c>
    </row>
    <row r="13" s="16" customFormat="1" spans="1:6">
      <c r="A13" s="16" t="s">
        <v>277</v>
      </c>
      <c r="B13" s="16">
        <v>12</v>
      </c>
      <c r="C13" s="17"/>
      <c r="D13" s="17"/>
      <c r="E13" s="17" t="s">
        <v>278</v>
      </c>
      <c r="F13" s="17">
        <v>12</v>
      </c>
    </row>
    <row r="14" s="16" customFormat="1" spans="1:6">
      <c r="A14" s="16" t="s">
        <v>279</v>
      </c>
      <c r="B14" s="16">
        <v>13</v>
      </c>
      <c r="C14" s="17"/>
      <c r="D14" s="17"/>
      <c r="E14" s="17" t="s">
        <v>280</v>
      </c>
      <c r="F14" s="17">
        <v>13</v>
      </c>
    </row>
    <row r="15" s="16" customFormat="1" spans="1:6">
      <c r="A15" s="16" t="s">
        <v>281</v>
      </c>
      <c r="B15" s="16">
        <v>14</v>
      </c>
      <c r="C15" s="17"/>
      <c r="D15" s="17"/>
      <c r="E15" s="17" t="s">
        <v>282</v>
      </c>
      <c r="F15" s="17">
        <v>14</v>
      </c>
    </row>
    <row r="16" s="16" customFormat="1" spans="1:6">
      <c r="A16" s="16" t="s">
        <v>283</v>
      </c>
      <c r="B16" s="16">
        <v>15</v>
      </c>
      <c r="C16" s="17"/>
      <c r="D16" s="17"/>
      <c r="E16" s="17" t="s">
        <v>284</v>
      </c>
      <c r="F16" s="17">
        <v>15</v>
      </c>
    </row>
    <row r="17" s="16" customFormat="1" spans="1:6">
      <c r="A17" s="16" t="s">
        <v>285</v>
      </c>
      <c r="B17" s="16">
        <v>16</v>
      </c>
      <c r="C17" s="17"/>
      <c r="D17" s="17"/>
      <c r="E17" s="17" t="s">
        <v>286</v>
      </c>
      <c r="F17" s="17">
        <v>16</v>
      </c>
    </row>
    <row r="18" s="16" customFormat="1" spans="1:6">
      <c r="A18" s="16" t="s">
        <v>274</v>
      </c>
      <c r="B18" s="16">
        <v>17</v>
      </c>
      <c r="C18" s="17"/>
      <c r="D18" s="17"/>
      <c r="E18" s="17" t="s">
        <v>287</v>
      </c>
      <c r="F18" s="17">
        <v>17</v>
      </c>
    </row>
    <row r="19" s="16" customFormat="1" spans="1:6">
      <c r="A19" s="16" t="s">
        <v>275</v>
      </c>
      <c r="B19" s="16">
        <v>18</v>
      </c>
      <c r="C19" s="17"/>
      <c r="D19" s="17"/>
      <c r="E19" s="17" t="s">
        <v>288</v>
      </c>
      <c r="F19" s="17">
        <v>18</v>
      </c>
    </row>
    <row r="20" s="16" customFormat="1" spans="1:6">
      <c r="B20" s="16">
        <v>19</v>
      </c>
      <c r="C20" s="17"/>
      <c r="D20" s="17"/>
      <c r="E20" s="17" t="s">
        <v>289</v>
      </c>
      <c r="F20" s="17">
        <v>19</v>
      </c>
    </row>
    <row r="21" s="16" customFormat="1" spans="1:6">
      <c r="B21" s="16">
        <v>20</v>
      </c>
      <c r="C21" s="17"/>
      <c r="D21" s="17"/>
      <c r="E21" s="17" t="s">
        <v>290</v>
      </c>
      <c r="F21" s="17">
        <v>20</v>
      </c>
    </row>
    <row r="22" s="16" customFormat="1" spans="1:6">
      <c r="B22" s="16">
        <v>21</v>
      </c>
      <c r="C22" s="17"/>
      <c r="D22" s="17"/>
      <c r="E22" s="17" t="s">
        <v>291</v>
      </c>
      <c r="F22" s="17">
        <v>21</v>
      </c>
    </row>
    <row r="23" s="16" customFormat="1" spans="1:6">
      <c r="B23" s="16">
        <v>22</v>
      </c>
      <c r="C23" s="17"/>
      <c r="D23" s="17"/>
      <c r="E23" s="17" t="s">
        <v>292</v>
      </c>
      <c r="F23" s="17">
        <v>22</v>
      </c>
    </row>
    <row r="24" s="16" customFormat="1" spans="1:6">
      <c r="B24" s="16">
        <v>23</v>
      </c>
      <c r="C24" s="17"/>
      <c r="D24" s="17"/>
      <c r="E24" s="17" t="s">
        <v>293</v>
      </c>
      <c r="F24" s="17">
        <v>23</v>
      </c>
    </row>
    <row r="25" s="16" customFormat="1" spans="1:6">
      <c r="B25" s="16">
        <v>24</v>
      </c>
      <c r="C25" s="17"/>
      <c r="D25" s="17"/>
      <c r="E25" s="17" t="s">
        <v>294</v>
      </c>
      <c r="F25" s="17">
        <v>24</v>
      </c>
    </row>
    <row r="26" s="16" customFormat="1" spans="1:6">
      <c r="B26" s="16">
        <v>25</v>
      </c>
      <c r="C26" s="17"/>
      <c r="D26" s="17"/>
      <c r="E26" s="17" t="s">
        <v>295</v>
      </c>
      <c r="F26" s="17">
        <v>25</v>
      </c>
    </row>
    <row r="27" s="16" customFormat="1" spans="1:6">
      <c r="B27" s="16">
        <v>26</v>
      </c>
      <c r="C27" s="17"/>
      <c r="D27" s="17"/>
      <c r="E27" s="17" t="s">
        <v>296</v>
      </c>
      <c r="F27" s="17">
        <v>26</v>
      </c>
    </row>
    <row r="28" s="16" customFormat="1" spans="1:6">
      <c r="B28" s="16">
        <v>27</v>
      </c>
      <c r="C28" s="17"/>
      <c r="D28" s="17"/>
      <c r="E28" s="17" t="s">
        <v>297</v>
      </c>
      <c r="F28" s="17">
        <v>27</v>
      </c>
    </row>
    <row r="29" s="16" customFormat="1" spans="1:6">
      <c r="B29" s="16">
        <v>28</v>
      </c>
      <c r="C29" s="17"/>
      <c r="D29" s="17"/>
      <c r="E29" s="17" t="s">
        <v>298</v>
      </c>
      <c r="F29" s="17">
        <v>28</v>
      </c>
    </row>
    <row r="30" s="16" customFormat="1" spans="1:6">
      <c r="B30" s="16">
        <v>29</v>
      </c>
      <c r="C30" s="17"/>
      <c r="D30" s="17"/>
      <c r="E30" s="17" t="s">
        <v>299</v>
      </c>
      <c r="F30" s="17">
        <v>29</v>
      </c>
    </row>
    <row r="31" s="16" customFormat="1" spans="1:6">
      <c r="B31" s="16">
        <v>30</v>
      </c>
      <c r="C31" s="17"/>
      <c r="D31" s="17"/>
      <c r="E31" s="17" t="s">
        <v>300</v>
      </c>
      <c r="F31" s="17">
        <v>30</v>
      </c>
    </row>
    <row r="32" s="16" customFormat="1" spans="1:6">
      <c r="A32" s="16" t="s">
        <v>301</v>
      </c>
      <c r="B32" s="16">
        <v>31</v>
      </c>
      <c r="C32" s="17"/>
      <c r="D32" s="17"/>
      <c r="E32" s="17" t="s">
        <v>302</v>
      </c>
      <c r="F32" s="17">
        <v>31</v>
      </c>
    </row>
    <row r="33" s="16" customFormat="1" spans="1:6">
      <c r="A33" s="16" t="s">
        <v>303</v>
      </c>
      <c r="B33" s="16">
        <v>32</v>
      </c>
      <c r="C33" s="17"/>
      <c r="D33" s="17"/>
      <c r="E33" s="17" t="s">
        <v>304</v>
      </c>
      <c r="F33" s="17">
        <v>32</v>
      </c>
    </row>
    <row r="34" s="16" customFormat="1" spans="1:6">
      <c r="A34" s="16" t="s">
        <v>305</v>
      </c>
      <c r="B34" s="16">
        <v>33</v>
      </c>
      <c r="C34" s="17"/>
      <c r="D34" s="17"/>
      <c r="E34" s="17" t="s">
        <v>306</v>
      </c>
      <c r="F34" s="17">
        <v>33</v>
      </c>
    </row>
    <row r="35" s="16" customFormat="1" spans="1:6">
      <c r="A35" s="16" t="s">
        <v>278</v>
      </c>
      <c r="B35" s="16">
        <v>34</v>
      </c>
      <c r="C35" s="17"/>
      <c r="D35" s="17"/>
      <c r="E35" s="17"/>
      <c r="F35" s="17">
        <v>34</v>
      </c>
    </row>
    <row r="36" s="16" customFormat="1" spans="1:6">
      <c r="A36" s="16" t="s">
        <v>307</v>
      </c>
      <c r="B36" s="16">
        <v>35</v>
      </c>
      <c r="C36" s="17"/>
      <c r="D36" s="17"/>
      <c r="E36" s="17" t="s">
        <v>308</v>
      </c>
      <c r="F36" s="17">
        <v>35</v>
      </c>
    </row>
    <row r="37" s="16" customFormat="1" spans="1:6">
      <c r="A37" s="16" t="s">
        <v>289</v>
      </c>
      <c r="B37" s="16">
        <v>36</v>
      </c>
      <c r="C37" s="17"/>
      <c r="D37" s="17"/>
      <c r="E37" s="17" t="s">
        <v>309</v>
      </c>
      <c r="F37" s="17">
        <v>36</v>
      </c>
    </row>
    <row r="38" s="16" customFormat="1" spans="1:6">
      <c r="A38" s="16" t="s">
        <v>310</v>
      </c>
      <c r="B38" s="16">
        <v>37</v>
      </c>
      <c r="C38" s="17"/>
      <c r="D38" s="17"/>
      <c r="E38" s="17" t="s">
        <v>311</v>
      </c>
      <c r="F38" s="17">
        <v>37</v>
      </c>
    </row>
    <row r="39" s="16" customFormat="1" spans="1:6">
      <c r="B39" s="16">
        <v>38</v>
      </c>
      <c r="C39" s="17"/>
      <c r="D39" s="17"/>
      <c r="E39" s="17"/>
      <c r="F39" s="17">
        <v>38</v>
      </c>
    </row>
    <row r="40" s="16" customFormat="1" spans="1:6">
      <c r="B40" s="16">
        <v>39</v>
      </c>
      <c r="C40" s="17"/>
      <c r="D40" s="17"/>
      <c r="E40" s="17"/>
      <c r="F40" s="17"/>
    </row>
    <row r="41" s="16" customFormat="1" spans="1:6">
      <c r="B41" s="16">
        <v>40</v>
      </c>
      <c r="C41" s="17"/>
      <c r="D41" s="17"/>
      <c r="E41" s="17"/>
      <c r="F41" s="17"/>
    </row>
    <row r="42" s="16" customFormat="1" spans="1:6">
      <c r="B42" s="16">
        <v>41</v>
      </c>
      <c r="C42" s="17"/>
      <c r="D42" s="17"/>
      <c r="E42" s="17"/>
      <c r="F42" s="17"/>
    </row>
    <row r="43" s="16" customFormat="1" spans="1:6">
      <c r="B43" s="16">
        <v>42</v>
      </c>
      <c r="C43" s="17"/>
      <c r="D43" s="17"/>
      <c r="E43" s="17"/>
      <c r="F43" s="17"/>
    </row>
    <row r="44" s="16" customFormat="1" spans="1:6">
      <c r="A44" s="16" t="s">
        <v>312</v>
      </c>
      <c r="B44" s="16">
        <v>43</v>
      </c>
      <c r="C44" s="17"/>
      <c r="D44" s="17"/>
      <c r="E44" s="17"/>
      <c r="F44" s="17"/>
    </row>
    <row r="45" s="16" customFormat="1" spans="1:6">
      <c r="A45" s="16" t="s">
        <v>313</v>
      </c>
      <c r="B45" s="16">
        <v>44</v>
      </c>
      <c r="C45" s="17"/>
      <c r="D45" s="17"/>
      <c r="E45" s="17"/>
      <c r="F45" s="17"/>
    </row>
    <row r="46" s="16" customFormat="1" spans="1:6">
      <c r="B46" s="16">
        <v>45</v>
      </c>
      <c r="C46" s="17"/>
      <c r="D46" s="17"/>
      <c r="E46" s="17"/>
      <c r="F46" s="17"/>
    </row>
    <row r="47" s="16" customFormat="1" spans="1:6">
      <c r="B47" s="16">
        <v>46</v>
      </c>
      <c r="C47" s="17"/>
      <c r="D47" s="17"/>
      <c r="E47" s="17"/>
      <c r="F47" s="17"/>
    </row>
    <row r="48" s="16" customFormat="1" spans="1:6">
      <c r="B48" s="16">
        <v>47</v>
      </c>
      <c r="C48" s="17"/>
      <c r="D48" s="17"/>
      <c r="E48" s="17"/>
      <c r="F48" s="17"/>
    </row>
    <row r="49" s="16" customFormat="1" spans="1:6">
      <c r="B49" s="16">
        <v>48</v>
      </c>
      <c r="C49" s="17"/>
      <c r="D49" s="17"/>
      <c r="E49" s="17"/>
      <c r="F49" s="17"/>
    </row>
    <row r="50" s="16" customFormat="1" spans="1:6">
      <c r="B50" s="16">
        <v>49</v>
      </c>
      <c r="C50" s="17"/>
      <c r="D50" s="17"/>
      <c r="E50" s="17"/>
      <c r="F50" s="17"/>
    </row>
    <row r="51" s="16" customFormat="1" spans="1:6">
      <c r="B51" s="16">
        <v>50</v>
      </c>
      <c r="C51" s="17"/>
      <c r="D51" s="17"/>
      <c r="E51" s="17"/>
      <c r="F51" s="17"/>
    </row>
    <row r="52" s="16" customFormat="1" spans="1:6">
      <c r="B52" s="16">
        <v>51</v>
      </c>
      <c r="C52" s="17"/>
      <c r="D52" s="17"/>
      <c r="E52" s="17"/>
      <c r="F52" s="17"/>
    </row>
    <row r="53" s="16" customFormat="1" spans="1:6">
      <c r="B53" s="16">
        <v>52</v>
      </c>
      <c r="C53" s="17"/>
      <c r="D53" s="17"/>
      <c r="E53" s="17"/>
      <c r="F53" s="17"/>
    </row>
    <row r="54" s="16" customFormat="1" spans="1:6">
      <c r="B54" s="16">
        <v>53</v>
      </c>
      <c r="C54" s="17"/>
      <c r="D54" s="17"/>
      <c r="E54" s="17"/>
      <c r="F54" s="17"/>
    </row>
    <row r="55" s="16" customFormat="1" spans="1:6">
      <c r="B55" s="16">
        <v>54</v>
      </c>
      <c r="C55" s="17"/>
      <c r="D55" s="17"/>
      <c r="E55" s="17"/>
      <c r="F55" s="17"/>
    </row>
    <row r="56" s="16" customFormat="1" spans="1:6">
      <c r="B56" s="16">
        <v>55</v>
      </c>
      <c r="C56" s="17"/>
      <c r="D56" s="17"/>
      <c r="E56" s="17"/>
      <c r="F56" s="17"/>
    </row>
    <row r="57" s="16" customFormat="1" spans="1:6">
      <c r="B57" s="16">
        <v>56</v>
      </c>
      <c r="C57" s="17"/>
      <c r="D57" s="17"/>
      <c r="E57" s="17"/>
      <c r="F57" s="17"/>
    </row>
    <row r="58" s="16" customFormat="1" spans="1:6">
      <c r="B58" s="16">
        <v>57</v>
      </c>
      <c r="C58" s="17"/>
      <c r="D58" s="17"/>
      <c r="E58" s="17"/>
      <c r="F58" s="17"/>
    </row>
    <row r="59" s="16" customFormat="1" spans="1:6">
      <c r="B59" s="16">
        <v>58</v>
      </c>
      <c r="C59" s="17"/>
      <c r="D59" s="17"/>
      <c r="E59" s="17"/>
      <c r="F59" s="17"/>
    </row>
    <row r="60" s="16" customFormat="1" spans="1:6">
      <c r="B60" s="16">
        <v>59</v>
      </c>
      <c r="C60" s="17"/>
      <c r="D60" s="17"/>
      <c r="E60" s="17"/>
      <c r="F60" s="17"/>
    </row>
    <row r="61" s="16" customFormat="1" spans="1:6">
      <c r="B61" s="16">
        <v>60</v>
      </c>
      <c r="C61" s="17"/>
      <c r="D61" s="17"/>
      <c r="E61" s="17"/>
      <c r="F61" s="17"/>
    </row>
    <row r="62" s="16" customFormat="1" spans="1:6">
      <c r="A62" s="16" t="s">
        <v>314</v>
      </c>
      <c r="B62" s="16">
        <v>61</v>
      </c>
      <c r="C62" s="17"/>
      <c r="D62" s="17"/>
      <c r="E62" s="17"/>
      <c r="F62" s="17"/>
    </row>
    <row r="63" s="16" customFormat="1" spans="1:6">
      <c r="A63" s="16" t="s">
        <v>290</v>
      </c>
      <c r="B63" s="16">
        <v>62</v>
      </c>
      <c r="C63" s="17"/>
      <c r="D63" s="17"/>
      <c r="E63" s="17"/>
      <c r="F63" s="17"/>
    </row>
    <row r="64" s="16" customFormat="1" spans="1:6">
      <c r="A64" s="16" t="s">
        <v>315</v>
      </c>
      <c r="B64" s="16">
        <v>63</v>
      </c>
      <c r="C64" s="17"/>
      <c r="D64" s="17"/>
      <c r="E64" s="17"/>
      <c r="F64" s="17"/>
    </row>
    <row r="65" s="16" customFormat="1" spans="1:6">
      <c r="A65" s="16" t="s">
        <v>316</v>
      </c>
      <c r="B65" s="16">
        <v>64</v>
      </c>
      <c r="C65" s="17"/>
      <c r="D65" s="17"/>
      <c r="E65" s="17"/>
      <c r="F65" s="17"/>
    </row>
    <row r="66" s="16" customFormat="1" spans="1:6">
      <c r="A66" s="16" t="s">
        <v>317</v>
      </c>
      <c r="B66" s="16">
        <v>65</v>
      </c>
      <c r="C66" s="17"/>
      <c r="D66" s="17"/>
      <c r="E66" s="17"/>
      <c r="F66" s="17"/>
    </row>
    <row r="67" s="16" customFormat="1" spans="1:6">
      <c r="A67" s="16" t="s">
        <v>318</v>
      </c>
      <c r="B67" s="16">
        <v>66</v>
      </c>
      <c r="C67" s="17"/>
      <c r="D67" s="17"/>
      <c r="E67" s="17"/>
      <c r="F67" s="17"/>
    </row>
    <row r="68" s="16" customFormat="1" spans="1:6">
      <c r="A68" s="16" t="s">
        <v>292</v>
      </c>
      <c r="B68" s="16">
        <v>67</v>
      </c>
      <c r="C68" s="17"/>
      <c r="D68" s="17"/>
      <c r="E68" s="17"/>
      <c r="F68" s="17"/>
    </row>
    <row r="69" s="16" customFormat="1" spans="1:6">
      <c r="A69" s="16" t="s">
        <v>319</v>
      </c>
      <c r="B69" s="16">
        <v>68</v>
      </c>
      <c r="C69" s="17"/>
      <c r="D69" s="17"/>
      <c r="E69" s="17"/>
      <c r="F69" s="17"/>
    </row>
    <row r="70" s="16" customFormat="1" spans="1:6">
      <c r="B70" s="16">
        <v>69</v>
      </c>
      <c r="C70" s="17"/>
      <c r="D70" s="17"/>
      <c r="E70" s="17"/>
      <c r="F70" s="17"/>
    </row>
    <row r="71" s="16" customFormat="1" spans="1:6">
      <c r="B71" s="16">
        <v>70</v>
      </c>
      <c r="C71" s="17"/>
      <c r="D71" s="17"/>
      <c r="E71" s="17"/>
      <c r="F71" s="17"/>
    </row>
    <row r="72" s="16" customFormat="1" spans="1:6">
      <c r="B72" s="16">
        <v>71</v>
      </c>
      <c r="C72" s="17"/>
      <c r="D72" s="17"/>
      <c r="E72" s="17"/>
      <c r="F72" s="17"/>
    </row>
    <row r="73" s="16" customFormat="1" spans="1:6">
      <c r="B73" s="16">
        <v>72</v>
      </c>
      <c r="C73" s="17"/>
      <c r="D73" s="17"/>
      <c r="E73" s="17"/>
      <c r="F73" s="17"/>
    </row>
    <row r="74" s="16" customFormat="1" spans="1:6">
      <c r="B74" s="16">
        <v>73</v>
      </c>
      <c r="C74" s="17"/>
      <c r="D74" s="17"/>
      <c r="E74" s="17"/>
      <c r="F74" s="17"/>
    </row>
    <row r="75" s="16" customFormat="1" spans="1:6">
      <c r="B75" s="16">
        <v>74</v>
      </c>
      <c r="C75" s="17"/>
      <c r="D75" s="17"/>
      <c r="E75" s="17"/>
      <c r="F75" s="17"/>
    </row>
    <row r="76" s="16" customFormat="1" spans="1:6">
      <c r="B76" s="16">
        <v>75</v>
      </c>
      <c r="C76" s="17"/>
      <c r="D76" s="17"/>
      <c r="E76" s="17"/>
      <c r="F76" s="17"/>
    </row>
    <row r="77" s="16" customFormat="1" spans="1:6">
      <c r="B77" s="16">
        <v>76</v>
      </c>
      <c r="C77" s="17"/>
      <c r="D77" s="17"/>
      <c r="E77" s="17"/>
      <c r="F77" s="17"/>
    </row>
    <row r="78" s="16" customFormat="1" spans="1:6">
      <c r="B78" s="16">
        <v>77</v>
      </c>
      <c r="C78" s="17"/>
      <c r="D78" s="17"/>
      <c r="E78" s="17"/>
      <c r="F78" s="17"/>
    </row>
    <row r="79" s="16" customFormat="1" spans="1:6">
      <c r="B79" s="16">
        <v>78</v>
      </c>
      <c r="C79" s="17"/>
      <c r="D79" s="17"/>
      <c r="E79" s="17"/>
      <c r="F79" s="17"/>
    </row>
    <row r="80" s="16" customFormat="1" spans="1:6">
      <c r="B80" s="16">
        <v>79</v>
      </c>
      <c r="C80" s="17"/>
      <c r="D80" s="17"/>
      <c r="E80" s="17"/>
      <c r="F80" s="17"/>
    </row>
    <row r="81" s="16" customFormat="1" spans="2:6">
      <c r="B81" s="16">
        <v>80</v>
      </c>
      <c r="C81" s="17"/>
      <c r="D81" s="17"/>
      <c r="E81" s="17"/>
      <c r="F81" s="17"/>
    </row>
    <row r="82" s="16" customFormat="1" spans="2:6">
      <c r="B82" s="16">
        <v>81</v>
      </c>
      <c r="C82" s="17"/>
      <c r="D82" s="17"/>
      <c r="E82" s="17"/>
      <c r="F82" s="17"/>
    </row>
    <row r="83" s="16" customFormat="1" spans="2:6">
      <c r="B83" s="16">
        <v>82</v>
      </c>
      <c r="C83" s="17"/>
      <c r="D83" s="17"/>
      <c r="E83" s="17"/>
      <c r="F83" s="17"/>
    </row>
    <row r="84" s="16" customFormat="1" spans="2:6">
      <c r="B84" s="16">
        <v>83</v>
      </c>
      <c r="C84" s="17"/>
      <c r="D84" s="17"/>
      <c r="E84" s="17"/>
      <c r="F84" s="17"/>
    </row>
    <row r="85" s="16" customFormat="1" spans="2:6">
      <c r="B85" s="16">
        <v>84</v>
      </c>
      <c r="C85" s="17"/>
      <c r="D85" s="17"/>
      <c r="E85" s="17"/>
      <c r="F85" s="17"/>
    </row>
    <row r="86" s="16" customFormat="1" spans="2:6">
      <c r="B86" s="16">
        <v>85</v>
      </c>
      <c r="C86" s="17"/>
      <c r="D86" s="17"/>
      <c r="E86" s="17"/>
      <c r="F86" s="17"/>
    </row>
    <row r="87" s="16" customFormat="1" spans="2:6">
      <c r="B87" s="16">
        <v>86</v>
      </c>
      <c r="C87" s="17"/>
      <c r="D87" s="17"/>
      <c r="E87" s="17"/>
      <c r="F87" s="17"/>
    </row>
    <row r="88" s="16" customFormat="1" spans="2:6">
      <c r="B88" s="16">
        <v>87</v>
      </c>
      <c r="C88" s="17"/>
      <c r="D88" s="17"/>
      <c r="E88" s="17"/>
      <c r="F88" s="17"/>
    </row>
    <row r="89" s="16" customFormat="1" spans="2:6">
      <c r="B89" s="16">
        <v>88</v>
      </c>
      <c r="C89" s="17"/>
      <c r="D89" s="17"/>
      <c r="E89" s="17"/>
      <c r="F89" s="17"/>
    </row>
    <row r="90" s="16" customFormat="1" spans="2:6">
      <c r="B90" s="16">
        <v>89</v>
      </c>
      <c r="C90" s="17"/>
      <c r="D90" s="17"/>
      <c r="E90" s="17"/>
      <c r="F90" s="17"/>
    </row>
    <row r="91" s="16" customFormat="1" spans="2:6">
      <c r="B91" s="16">
        <v>90</v>
      </c>
      <c r="C91" s="17"/>
      <c r="D91" s="17"/>
      <c r="E91" s="17"/>
      <c r="F91" s="17"/>
    </row>
    <row r="92" s="16" customFormat="1" spans="2:6">
      <c r="B92" s="16">
        <v>91</v>
      </c>
      <c r="C92" s="17"/>
      <c r="D92" s="17"/>
      <c r="E92" s="17"/>
      <c r="F92" s="17"/>
    </row>
    <row r="93" s="16" customFormat="1" spans="2:6">
      <c r="B93" s="16">
        <v>92</v>
      </c>
      <c r="C93" s="17"/>
      <c r="D93" s="17"/>
      <c r="E93" s="17"/>
      <c r="F93" s="17"/>
    </row>
    <row r="94" s="16" customFormat="1" spans="2:6">
      <c r="B94" s="16">
        <v>93</v>
      </c>
      <c r="C94" s="17"/>
      <c r="D94" s="17"/>
      <c r="E94" s="17"/>
      <c r="F94" s="17"/>
    </row>
    <row r="95" s="16" customFormat="1" spans="2:6">
      <c r="B95" s="16">
        <v>94</v>
      </c>
      <c r="C95" s="17"/>
      <c r="D95" s="17"/>
      <c r="E95" s="17"/>
      <c r="F95" s="17"/>
    </row>
    <row r="96" s="16" customFormat="1" spans="2:6">
      <c r="B96" s="16">
        <v>95</v>
      </c>
      <c r="C96" s="17"/>
      <c r="D96" s="17"/>
      <c r="E96" s="17"/>
      <c r="F96" s="17"/>
    </row>
    <row r="97" s="16" customFormat="1" spans="1:6">
      <c r="B97" s="16">
        <v>96</v>
      </c>
      <c r="C97" s="17"/>
      <c r="D97" s="17"/>
      <c r="E97" s="17"/>
      <c r="F97" s="17"/>
    </row>
    <row r="98" s="16" customFormat="1" spans="1:6">
      <c r="B98" s="16">
        <v>97</v>
      </c>
      <c r="C98" s="17"/>
      <c r="D98" s="17"/>
      <c r="E98" s="17"/>
      <c r="F98" s="17"/>
    </row>
    <row r="99" s="16" customFormat="1" spans="1:6">
      <c r="B99" s="16">
        <v>98</v>
      </c>
      <c r="C99" s="17"/>
      <c r="D99" s="17"/>
      <c r="E99" s="17"/>
      <c r="F99" s="17"/>
    </row>
    <row r="100" s="16" customFormat="1" spans="1:6">
      <c r="B100" s="16">
        <v>99</v>
      </c>
      <c r="C100" s="17"/>
      <c r="D100" s="17"/>
      <c r="E100" s="17"/>
      <c r="F100" s="17"/>
    </row>
    <row r="101" s="16" customFormat="1" spans="1:6">
      <c r="B101" s="16">
        <v>100</v>
      </c>
      <c r="C101" s="17"/>
      <c r="D101" s="17"/>
      <c r="E101" s="17"/>
      <c r="F101" s="17"/>
    </row>
    <row r="102" s="16" customFormat="1" spans="1:6">
      <c r="A102" s="16" t="s">
        <v>320</v>
      </c>
      <c r="B102" s="16">
        <v>101</v>
      </c>
      <c r="C102" s="17"/>
      <c r="D102" s="17"/>
      <c r="E102" s="17"/>
      <c r="F102" s="17"/>
    </row>
    <row r="103" s="16" customFormat="1" spans="1:6">
      <c r="A103" s="16" t="s">
        <v>321</v>
      </c>
      <c r="B103" s="16">
        <v>102</v>
      </c>
      <c r="C103" s="17"/>
      <c r="D103" s="17"/>
      <c r="E103" s="17"/>
      <c r="F103" s="17"/>
    </row>
    <row r="104" s="16" customFormat="1" spans="1:6">
      <c r="A104" s="16" t="s">
        <v>322</v>
      </c>
      <c r="B104" s="16">
        <v>103</v>
      </c>
      <c r="C104" s="17"/>
      <c r="D104" s="17"/>
      <c r="E104" s="17"/>
      <c r="F104" s="17"/>
    </row>
    <row r="105" s="16" customFormat="1" spans="1:6">
      <c r="A105" s="16" t="s">
        <v>323</v>
      </c>
      <c r="B105" s="16">
        <v>104</v>
      </c>
      <c r="C105" s="17"/>
      <c r="D105" s="17"/>
      <c r="E105" s="17"/>
      <c r="F105" s="17"/>
    </row>
    <row r="106" s="16" customFormat="1" ht="16.5" customHeight="1" spans="1:6">
      <c r="A106" s="13" t="s">
        <v>324</v>
      </c>
      <c r="B106" s="16">
        <v>105</v>
      </c>
      <c r="C106" s="17"/>
      <c r="D106" s="17"/>
      <c r="E106" s="17"/>
      <c r="F106" s="17"/>
    </row>
    <row r="107" s="16" customFormat="1" spans="1:6">
      <c r="A107" s="16" t="s">
        <v>325</v>
      </c>
      <c r="B107" s="16">
        <v>106</v>
      </c>
      <c r="C107" s="17"/>
      <c r="D107" s="17"/>
      <c r="E107" s="17"/>
      <c r="F107" s="17"/>
    </row>
    <row r="108" s="16" customFormat="1" spans="1:6">
      <c r="B108" s="16">
        <v>107</v>
      </c>
      <c r="C108" s="17"/>
      <c r="D108" s="17"/>
      <c r="E108" s="17"/>
      <c r="F108" s="17"/>
    </row>
    <row r="109" s="16" customFormat="1" spans="1:6">
      <c r="B109" s="16">
        <v>108</v>
      </c>
      <c r="C109" s="17"/>
      <c r="D109" s="17"/>
      <c r="E109" s="17"/>
      <c r="F109" s="17"/>
    </row>
    <row r="110" s="16" customFormat="1" spans="1:6">
      <c r="B110" s="16">
        <v>109</v>
      </c>
      <c r="C110" s="17"/>
      <c r="D110" s="17"/>
      <c r="E110" s="17"/>
      <c r="F110" s="17"/>
    </row>
    <row r="111" s="16" customFormat="1" spans="1:6">
      <c r="B111" s="16">
        <v>110</v>
      </c>
      <c r="C111" s="17"/>
      <c r="D111" s="17"/>
      <c r="E111" s="17"/>
      <c r="F111" s="17"/>
    </row>
    <row r="112" s="16" customFormat="1" spans="1:6">
      <c r="B112" s="16">
        <v>111</v>
      </c>
      <c r="C112" s="17"/>
      <c r="D112" s="17"/>
      <c r="E112" s="17"/>
      <c r="F112" s="17"/>
    </row>
  </sheetData>
  <conditionalFormatting sqref="E2:E37">
    <cfRule type="duplicateValues" dxfId="0" priority="1"/>
  </conditionalFormatting>
  <conditionalFormatting sqref="E1 E38:E1048576">
    <cfRule type="duplicateValues" dxfId="0" priority="2"/>
  </conditionalFormatting>
  <dataValidations count="1">
    <dataValidation type="whole" operator="between" allowBlank="1" showInputMessage="1" showErrorMessage="1" sqref="F$1:F$1048576">
      <formula1>1</formula1>
      <formula2>999</formula2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Q103"/>
  <sheetViews>
    <sheetView topLeftCell="B55" workbookViewId="0">
      <selection activeCell="J93" sqref="J93"/>
    </sheetView>
  </sheetViews>
  <sheetFormatPr defaultColWidth="8.25" defaultRowHeight="14.25"/>
  <cols>
    <col min="1" max="2" width="14.0833333333333" style="1" customWidth="1"/>
    <col min="3" max="3" width="18.2166666666667" style="1" customWidth="1"/>
    <col min="4" max="4" width="9.5" style="1" customWidth="1"/>
    <col min="5" max="5" width="8.25" style="1" customWidth="1"/>
    <col min="6" max="6" width="18.5" style="1" customWidth="1"/>
    <col min="7" max="7" width="16.6166666666667" style="1" customWidth="1"/>
    <col min="8" max="8" width="13.0833333333333" style="1" customWidth="1"/>
    <col min="9" max="9" width="12.6666666666667" style="1" customWidth="1"/>
    <col min="10" max="10" width="20.8583333333333" style="1" customWidth="1"/>
    <col min="11" max="11" width="8.25" style="2" customWidth="1"/>
    <col min="12" max="12" width="27.5" style="1" customWidth="1"/>
    <col min="13" max="13" width="22.9166666666667" style="1" customWidth="1"/>
    <col min="14" max="14" width="17.875" style="1" customWidth="1"/>
    <col min="15" max="15" width="98.9166666666667" style="1" customWidth="1"/>
    <col min="16" max="16" width="10.8333333333333" style="1" customWidth="1"/>
    <col min="17" max="17" width="1.83333333333333" style="1" customWidth="1"/>
    <col min="18" max="18" width="11.3416666666667" style="1" customWidth="1"/>
    <col min="19" max="16384" width="8.25" style="1" customWidth="1"/>
  </cols>
  <sheetData>
    <row r="1" s="1" customFormat="1" ht="16.5" customHeight="1" spans="1:15">
      <c r="A1" s="3" t="s">
        <v>326</v>
      </c>
      <c r="B1" s="3"/>
      <c r="C1" s="4" t="s">
        <v>327</v>
      </c>
      <c r="E1" s="3"/>
      <c r="F1" s="3" t="s">
        <v>328</v>
      </c>
      <c r="H1" s="5" t="s">
        <v>221</v>
      </c>
      <c r="J1" s="3" t="s">
        <v>329</v>
      </c>
      <c r="K1" s="3" t="s">
        <v>330</v>
      </c>
      <c r="L1" s="1" t="s">
        <v>331</v>
      </c>
      <c r="M1" s="3" t="s">
        <v>332</v>
      </c>
      <c r="N1" s="3" t="s">
        <v>330</v>
      </c>
      <c r="O1" s="3" t="s">
        <v>331</v>
      </c>
    </row>
    <row r="2" s="1" customFormat="1" ht="16.5" customHeight="1" spans="1:15">
      <c r="A2" s="6" t="s">
        <v>333</v>
      </c>
      <c r="B2" s="6"/>
      <c r="C2" s="6" t="s">
        <v>177</v>
      </c>
      <c r="D2" s="1" t="s">
        <v>334</v>
      </c>
      <c r="F2" s="1" t="s">
        <v>335</v>
      </c>
      <c r="G2" s="1" t="s">
        <v>336</v>
      </c>
      <c r="H2" s="5" t="s">
        <v>337</v>
      </c>
      <c r="J2" s="7" t="s">
        <v>338</v>
      </c>
      <c r="K2" s="2"/>
      <c r="L2" s="1"/>
      <c r="M2" s="7" t="s">
        <v>339</v>
      </c>
      <c r="N2" s="1" t="s">
        <v>340</v>
      </c>
      <c r="O2" s="7" t="s">
        <v>341</v>
      </c>
    </row>
    <row r="3" s="1" customFormat="1" spans="1:15">
      <c r="A3" s="6" t="s">
        <v>342</v>
      </c>
      <c r="B3" s="6"/>
      <c r="C3" s="6" t="s">
        <v>343</v>
      </c>
      <c r="D3" s="1" t="s">
        <v>344</v>
      </c>
      <c r="F3" s="1" t="s">
        <v>345</v>
      </c>
      <c r="G3" s="3" t="s">
        <v>346</v>
      </c>
      <c r="H3" s="7" t="s">
        <v>347</v>
      </c>
      <c r="I3" s="7" t="s">
        <v>254</v>
      </c>
      <c r="J3" s="7" t="s">
        <v>348</v>
      </c>
      <c r="K3" s="2" t="s">
        <v>349</v>
      </c>
      <c r="L3" s="1"/>
      <c r="M3" s="7" t="s">
        <v>350</v>
      </c>
      <c r="N3" s="1" t="s">
        <v>340</v>
      </c>
      <c r="O3" s="7" t="s">
        <v>351</v>
      </c>
    </row>
    <row r="4" s="1" customFormat="1" spans="1:15">
      <c r="A4" s="4" t="s">
        <v>352</v>
      </c>
      <c r="B4" s="6"/>
      <c r="C4" s="6" t="s">
        <v>353</v>
      </c>
      <c r="F4" s="6" t="s">
        <v>179</v>
      </c>
      <c r="G4" s="1" t="s">
        <v>354</v>
      </c>
      <c r="H4" s="7" t="s">
        <v>355</v>
      </c>
      <c r="I4" s="7" t="s">
        <v>356</v>
      </c>
      <c r="J4" s="7" t="s">
        <v>357</v>
      </c>
      <c r="K4" s="2"/>
      <c r="L4" s="1"/>
      <c r="M4" s="7" t="s">
        <v>358</v>
      </c>
      <c r="N4" s="1" t="s">
        <v>340</v>
      </c>
      <c r="O4" s="7" t="s">
        <v>351</v>
      </c>
    </row>
    <row r="5" s="1" customFormat="1" spans="1:15">
      <c r="A5" s="6" t="s">
        <v>176</v>
      </c>
      <c r="C5" s="6" t="s">
        <v>359</v>
      </c>
      <c r="F5" s="6" t="s">
        <v>360</v>
      </c>
      <c r="G5" s="1" t="s">
        <v>361</v>
      </c>
      <c r="H5" s="7" t="s">
        <v>362</v>
      </c>
      <c r="I5" s="7" t="s">
        <v>363</v>
      </c>
      <c r="J5" s="7" t="s">
        <v>364</v>
      </c>
      <c r="K5" s="2"/>
      <c r="L5" s="1"/>
      <c r="M5" s="7" t="s">
        <v>365</v>
      </c>
      <c r="N5" s="1"/>
      <c r="O5" s="7" t="s">
        <v>366</v>
      </c>
    </row>
    <row r="6" s="1" customFormat="1" spans="1:15">
      <c r="A6" s="8" t="s">
        <v>367</v>
      </c>
      <c r="C6" s="9" t="s">
        <v>368</v>
      </c>
      <c r="F6" s="6" t="s">
        <v>369</v>
      </c>
      <c r="H6" s="7" t="s">
        <v>370</v>
      </c>
      <c r="I6" s="7" t="s">
        <v>371</v>
      </c>
      <c r="J6" s="7" t="s">
        <v>372</v>
      </c>
      <c r="K6" s="2"/>
      <c r="L6" s="1"/>
      <c r="M6" s="7" t="s">
        <v>373</v>
      </c>
      <c r="N6" s="1"/>
      <c r="O6" s="7" t="s">
        <v>374</v>
      </c>
    </row>
    <row r="7" s="1" customFormat="1" spans="1:15">
      <c r="B7" s="8"/>
      <c r="C7" s="9" t="s">
        <v>375</v>
      </c>
      <c r="F7" s="9" t="s">
        <v>376</v>
      </c>
      <c r="G7" s="10"/>
      <c r="H7" s="7" t="s">
        <v>377</v>
      </c>
      <c r="I7" s="7" t="s">
        <v>378</v>
      </c>
      <c r="J7" s="1" t="s">
        <v>379</v>
      </c>
      <c r="K7" s="7"/>
      <c r="L7" s="2"/>
      <c r="M7" s="7" t="s">
        <v>380</v>
      </c>
      <c r="N7" s="1"/>
      <c r="O7" s="7" t="s">
        <v>374</v>
      </c>
    </row>
    <row r="8" s="1" customFormat="1" spans="1:15">
      <c r="F8" s="9" t="s">
        <v>381</v>
      </c>
      <c r="G8" s="10"/>
      <c r="H8" s="11" t="s">
        <v>382</v>
      </c>
      <c r="I8" s="11" t="s">
        <v>383</v>
      </c>
      <c r="J8" s="7" t="s">
        <v>384</v>
      </c>
      <c r="K8" s="2"/>
      <c r="L8" s="1"/>
      <c r="M8" s="7" t="s">
        <v>385</v>
      </c>
      <c r="N8" s="1" t="s">
        <v>349</v>
      </c>
      <c r="O8" s="7" t="s">
        <v>386</v>
      </c>
    </row>
    <row r="9" s="1" customFormat="1" spans="1:15">
      <c r="F9" s="9" t="s">
        <v>387</v>
      </c>
      <c r="G9" s="10"/>
      <c r="H9" s="11" t="s">
        <v>388</v>
      </c>
      <c r="I9" s="11" t="s">
        <v>389</v>
      </c>
      <c r="J9" s="7" t="s">
        <v>390</v>
      </c>
      <c r="K9" s="2"/>
      <c r="L9" s="1"/>
      <c r="M9" s="7" t="s">
        <v>391</v>
      </c>
      <c r="N9" s="1" t="s">
        <v>349</v>
      </c>
      <c r="O9" s="7" t="s">
        <v>392</v>
      </c>
    </row>
    <row r="10" s="1" customFormat="1" spans="1:15">
      <c r="F10" s="9" t="s">
        <v>393</v>
      </c>
      <c r="G10" s="10"/>
      <c r="H10" s="11" t="s">
        <v>394</v>
      </c>
      <c r="I10" s="11" t="s">
        <v>395</v>
      </c>
      <c r="J10" s="7" t="s">
        <v>396</v>
      </c>
      <c r="K10" s="2"/>
      <c r="L10" s="1"/>
      <c r="M10" s="7" t="s">
        <v>397</v>
      </c>
      <c r="N10" s="1" t="s">
        <v>398</v>
      </c>
      <c r="O10" s="7" t="s">
        <v>399</v>
      </c>
    </row>
    <row r="11" s="1" customFormat="1" spans="1:15">
      <c r="F11" s="9" t="s">
        <v>400</v>
      </c>
      <c r="G11" s="10"/>
      <c r="H11" s="11" t="s">
        <v>401</v>
      </c>
      <c r="I11" s="11" t="s">
        <v>402</v>
      </c>
      <c r="J11" s="7" t="s">
        <v>403</v>
      </c>
      <c r="K11" s="2"/>
      <c r="M11" s="7" t="s">
        <v>404</v>
      </c>
      <c r="N11" s="1" t="s">
        <v>398</v>
      </c>
      <c r="O11" s="7" t="s">
        <v>405</v>
      </c>
    </row>
    <row r="12" s="1" customFormat="1" spans="1:15">
      <c r="F12" s="12" t="s">
        <v>406</v>
      </c>
      <c r="G12" s="10"/>
      <c r="H12" s="11" t="s">
        <v>407</v>
      </c>
      <c r="I12" s="11" t="s">
        <v>408</v>
      </c>
      <c r="J12" s="7" t="s">
        <v>409</v>
      </c>
      <c r="K12" s="2"/>
      <c r="L12" s="1" t="s">
        <v>410</v>
      </c>
      <c r="M12" s="7" t="s">
        <v>411</v>
      </c>
      <c r="N12" s="1" t="s">
        <v>349</v>
      </c>
      <c r="O12" s="7" t="s">
        <v>412</v>
      </c>
    </row>
    <row r="13" s="1" customFormat="1" spans="1:15">
      <c r="F13" s="6"/>
      <c r="H13" s="11" t="s">
        <v>413</v>
      </c>
      <c r="I13" s="11" t="s">
        <v>414</v>
      </c>
      <c r="J13" s="7" t="s">
        <v>415</v>
      </c>
      <c r="K13" s="2"/>
      <c r="L13" s="1" t="s">
        <v>416</v>
      </c>
      <c r="M13" s="7" t="s">
        <v>417</v>
      </c>
      <c r="N13" s="1" t="s">
        <v>349</v>
      </c>
      <c r="O13" s="7" t="s">
        <v>418</v>
      </c>
    </row>
    <row r="14" s="1" customFormat="1" spans="1:15">
      <c r="A14" s="1" t="s">
        <v>419</v>
      </c>
      <c r="F14" s="6"/>
      <c r="H14" s="11" t="s">
        <v>420</v>
      </c>
      <c r="I14" s="11" t="s">
        <v>421</v>
      </c>
      <c r="J14" s="7" t="s">
        <v>422</v>
      </c>
      <c r="K14" s="2"/>
      <c r="M14" s="7" t="s">
        <v>423</v>
      </c>
      <c r="N14" s="1" t="s">
        <v>398</v>
      </c>
      <c r="O14" s="7" t="s">
        <v>424</v>
      </c>
    </row>
    <row r="15" s="1" customFormat="1" spans="1:15">
      <c r="A15" s="1" t="s">
        <v>425</v>
      </c>
      <c r="F15" s="6"/>
      <c r="H15" s="11" t="s">
        <v>426</v>
      </c>
      <c r="I15" s="11" t="s">
        <v>427</v>
      </c>
      <c r="J15" s="7" t="s">
        <v>428</v>
      </c>
      <c r="M15" s="7" t="s">
        <v>429</v>
      </c>
      <c r="N15" s="1" t="s">
        <v>398</v>
      </c>
      <c r="O15" s="7" t="s">
        <v>430</v>
      </c>
    </row>
    <row r="16" s="1" customFormat="1" ht="16.5" customHeight="1" spans="1:15">
      <c r="A16" s="1" t="s">
        <v>431</v>
      </c>
      <c r="F16" s="6"/>
      <c r="H16" s="11" t="s">
        <v>432</v>
      </c>
      <c r="I16" s="11" t="s">
        <v>433</v>
      </c>
      <c r="J16" s="13" t="s">
        <v>434</v>
      </c>
      <c r="L16" s="1" t="s">
        <v>435</v>
      </c>
      <c r="M16" s="7" t="s">
        <v>436</v>
      </c>
      <c r="N16" s="1" t="s">
        <v>349</v>
      </c>
      <c r="O16" s="7" t="s">
        <v>437</v>
      </c>
    </row>
    <row r="17" s="1" customFormat="1" spans="1:17">
      <c r="A17" s="1" t="s">
        <v>438</v>
      </c>
      <c r="F17" s="6"/>
      <c r="H17" s="11" t="s">
        <v>324</v>
      </c>
      <c r="I17" s="11" t="s">
        <v>439</v>
      </c>
      <c r="M17" s="7" t="s">
        <v>440</v>
      </c>
      <c r="N17" s="1" t="s">
        <v>349</v>
      </c>
      <c r="O17" s="7" t="s">
        <v>441</v>
      </c>
    </row>
    <row r="18" s="1" customFormat="1" spans="1:17">
      <c r="A18" s="1" t="s">
        <v>442</v>
      </c>
      <c r="F18" s="6"/>
      <c r="I18" s="1" t="s">
        <v>443</v>
      </c>
      <c r="M18" s="7" t="s">
        <v>444</v>
      </c>
      <c r="N18" s="1" t="s">
        <v>398</v>
      </c>
      <c r="O18" s="7" t="s">
        <v>445</v>
      </c>
    </row>
    <row r="19" s="1" customFormat="1" spans="1:17">
      <c r="A19" s="1" t="s">
        <v>446</v>
      </c>
      <c r="F19" s="6"/>
      <c r="M19" s="7" t="s">
        <v>447</v>
      </c>
      <c r="N19" s="1" t="s">
        <v>340</v>
      </c>
      <c r="O19" s="7" t="s">
        <v>448</v>
      </c>
    </row>
    <row r="20" s="1" customFormat="1" spans="1:17">
      <c r="A20" s="1" t="s">
        <v>449</v>
      </c>
      <c r="F20" s="6"/>
      <c r="M20" s="7" t="s">
        <v>450</v>
      </c>
      <c r="N20" s="1" t="s">
        <v>398</v>
      </c>
      <c r="O20" s="7" t="s">
        <v>451</v>
      </c>
    </row>
    <row r="21" s="1" customFormat="1" spans="1:17">
      <c r="A21" s="3" t="s">
        <v>452</v>
      </c>
      <c r="F21" s="6"/>
      <c r="M21" s="7" t="s">
        <v>453</v>
      </c>
      <c r="N21" s="1" t="s">
        <v>398</v>
      </c>
      <c r="O21" s="7" t="s">
        <v>454</v>
      </c>
    </row>
    <row r="22" s="1" customFormat="1" spans="1:17">
      <c r="A22" s="1" t="s">
        <v>455</v>
      </c>
      <c r="G22" s="6"/>
      <c r="M22" s="7" t="s">
        <v>456</v>
      </c>
      <c r="N22" s="1" t="s">
        <v>398</v>
      </c>
      <c r="O22" s="7" t="s">
        <v>457</v>
      </c>
    </row>
    <row r="23" s="1" customFormat="1" spans="1:17">
      <c r="G23" s="6"/>
      <c r="K23" s="2"/>
      <c r="M23" s="7" t="s">
        <v>458</v>
      </c>
      <c r="N23" s="1" t="s">
        <v>398</v>
      </c>
      <c r="O23" s="7" t="s">
        <v>459</v>
      </c>
    </row>
    <row r="24" s="1" customFormat="1" spans="1:17">
      <c r="G24" s="6"/>
      <c r="K24" s="2"/>
      <c r="M24" s="7" t="s">
        <v>460</v>
      </c>
      <c r="N24" s="1" t="s">
        <v>398</v>
      </c>
      <c r="O24" s="7" t="s">
        <v>461</v>
      </c>
    </row>
    <row r="25" s="1" customFormat="1" ht="16.5" customHeight="1" spans="1:17">
      <c r="F25" s="6"/>
      <c r="G25" s="6"/>
      <c r="K25" s="2"/>
      <c r="M25" s="13" t="s">
        <v>365</v>
      </c>
      <c r="N25" s="13" t="s">
        <v>462</v>
      </c>
      <c r="O25" s="13"/>
      <c r="P25" s="13"/>
      <c r="Q25" s="13"/>
    </row>
    <row r="26" s="1" customFormat="1" ht="16.5" customHeight="1" spans="1:17">
      <c r="F26" s="6"/>
      <c r="G26" s="6"/>
      <c r="K26" s="2"/>
      <c r="M26" s="13" t="s">
        <v>463</v>
      </c>
      <c r="N26" s="13" t="s">
        <v>464</v>
      </c>
      <c r="O26" s="13"/>
      <c r="P26" s="13"/>
      <c r="Q26" s="13"/>
    </row>
    <row r="27" s="1" customFormat="1" ht="16.5" customHeight="1" spans="1:17">
      <c r="K27" s="2"/>
      <c r="M27" s="13" t="s">
        <v>465</v>
      </c>
      <c r="N27" s="13" t="s">
        <v>466</v>
      </c>
      <c r="O27" s="13"/>
      <c r="P27" s="13"/>
      <c r="Q27" s="13"/>
    </row>
    <row r="28" ht="16.5" customHeight="1" spans="1:17">
      <c r="M28" s="13" t="s">
        <v>467</v>
      </c>
      <c r="N28" s="13"/>
      <c r="O28" s="13"/>
      <c r="P28" s="13"/>
      <c r="Q28" s="13"/>
    </row>
    <row r="29" ht="16.5" customHeight="1" spans="1:17">
      <c r="M29" s="13" t="s">
        <v>468</v>
      </c>
      <c r="N29" s="13"/>
      <c r="O29" s="13"/>
      <c r="P29" s="13"/>
      <c r="Q29" s="13"/>
    </row>
    <row r="30" ht="16.5" customHeight="1" spans="1:17">
      <c r="M30" s="13" t="s">
        <v>469</v>
      </c>
      <c r="N30" s="13"/>
      <c r="O30" s="13"/>
      <c r="P30" s="13"/>
      <c r="Q30" s="13"/>
    </row>
    <row r="31" ht="16.5" customHeight="1" spans="1:17">
      <c r="M31" s="14" t="s">
        <v>470</v>
      </c>
      <c r="N31" s="13"/>
      <c r="O31" s="13" t="s">
        <v>471</v>
      </c>
      <c r="P31" s="13"/>
      <c r="Q31" s="13"/>
    </row>
    <row r="32" ht="16.5" customHeight="1" spans="1:17">
      <c r="M32" s="14" t="s">
        <v>472</v>
      </c>
      <c r="N32" s="13"/>
      <c r="O32" s="13" t="s">
        <v>471</v>
      </c>
      <c r="P32" s="13"/>
      <c r="Q32" s="13"/>
    </row>
    <row r="33" s="1" customFormat="1" ht="16.5" customHeight="1" spans="11:17">
      <c r="K33" s="2"/>
      <c r="M33" s="14" t="s">
        <v>472</v>
      </c>
      <c r="N33" s="13"/>
      <c r="O33" s="13" t="s">
        <v>471</v>
      </c>
      <c r="P33" s="13"/>
      <c r="Q33" s="13"/>
    </row>
    <row r="34" s="1" customFormat="1" ht="16.5" customHeight="1" spans="11:17">
      <c r="K34" s="2"/>
      <c r="M34" s="7" t="s">
        <v>473</v>
      </c>
      <c r="N34" s="13"/>
      <c r="O34" s="13"/>
      <c r="P34" s="13"/>
      <c r="Q34" s="13"/>
    </row>
    <row r="35" s="1" customFormat="1" ht="16.5" customHeight="1" spans="11:17">
      <c r="K35" s="2"/>
      <c r="M35" s="7" t="s">
        <v>474</v>
      </c>
      <c r="N35" s="13"/>
      <c r="O35" s="13"/>
      <c r="P35" s="13"/>
      <c r="Q35" s="13"/>
    </row>
    <row r="36" s="1" customFormat="1" ht="16.5" customHeight="1" spans="11:17">
      <c r="K36" s="2"/>
      <c r="M36" s="7" t="s">
        <v>475</v>
      </c>
      <c r="N36" s="13"/>
      <c r="O36" s="13"/>
      <c r="P36" s="13"/>
      <c r="Q36" s="13"/>
    </row>
    <row r="37" s="1" customFormat="1" ht="16.5" customHeight="1" spans="11:17">
      <c r="K37" s="2"/>
      <c r="M37" s="7" t="s">
        <v>476</v>
      </c>
      <c r="N37" s="13"/>
      <c r="O37" s="13"/>
      <c r="P37" s="13"/>
      <c r="Q37" s="13"/>
    </row>
    <row r="38" s="1" customFormat="1" ht="16.5" customHeight="1" spans="11:17">
      <c r="K38" s="2"/>
      <c r="M38" s="13" t="s">
        <v>477</v>
      </c>
      <c r="N38" s="13"/>
      <c r="O38" s="13"/>
      <c r="P38" s="13"/>
      <c r="Q38" s="13"/>
    </row>
    <row r="39" s="1" customFormat="1" ht="16.5" customHeight="1" spans="11:17">
      <c r="K39" s="2"/>
      <c r="M39" s="13" t="s">
        <v>478</v>
      </c>
      <c r="N39" s="13" t="s">
        <v>479</v>
      </c>
      <c r="O39" s="13"/>
      <c r="P39" s="13"/>
      <c r="Q39" s="13"/>
    </row>
    <row r="40" s="1" customFormat="1" ht="16.5" customHeight="1" spans="11:17">
      <c r="K40" s="2"/>
      <c r="M40" s="13" t="s">
        <v>480</v>
      </c>
      <c r="N40" s="13" t="s">
        <v>481</v>
      </c>
      <c r="O40" s="13"/>
      <c r="P40" s="13"/>
      <c r="Q40" s="13"/>
    </row>
    <row r="41" s="1" customFormat="1" ht="16.5" customHeight="1" spans="11:17">
      <c r="M41" s="13" t="s">
        <v>482</v>
      </c>
      <c r="N41" s="13" t="s">
        <v>483</v>
      </c>
      <c r="O41" s="13"/>
      <c r="P41" s="13"/>
      <c r="Q41" s="13"/>
    </row>
    <row r="42" s="1" customFormat="1" ht="16.5" customHeight="1" spans="11:17">
      <c r="M42" s="7" t="s">
        <v>484</v>
      </c>
      <c r="N42" s="13" t="s">
        <v>485</v>
      </c>
      <c r="O42" s="13"/>
      <c r="P42" s="13"/>
      <c r="Q42" s="13"/>
    </row>
    <row r="43" s="1" customFormat="1" ht="16.5" customHeight="1" spans="11:17">
      <c r="M43" s="7" t="s">
        <v>486</v>
      </c>
      <c r="N43" s="13" t="s">
        <v>487</v>
      </c>
      <c r="O43" s="13"/>
      <c r="P43" s="13"/>
      <c r="Q43" s="13"/>
    </row>
    <row r="44" s="1" customFormat="1" ht="16.5" customHeight="1" spans="11:17">
      <c r="M44" s="7" t="s">
        <v>488</v>
      </c>
      <c r="N44" s="13" t="s">
        <v>489</v>
      </c>
      <c r="O44" s="13"/>
      <c r="P44" s="13"/>
      <c r="Q44" s="13"/>
    </row>
    <row r="45" s="1" customFormat="1" ht="16.5" customHeight="1" spans="11:17">
      <c r="M45" s="7" t="s">
        <v>490</v>
      </c>
      <c r="N45" s="13" t="s">
        <v>491</v>
      </c>
      <c r="O45" s="13"/>
      <c r="P45" s="13"/>
      <c r="Q45" s="13"/>
    </row>
    <row r="46" s="1" customFormat="1" ht="16.5" customHeight="1" spans="11:17">
      <c r="M46" s="7" t="s">
        <v>492</v>
      </c>
      <c r="N46" s="13" t="s">
        <v>493</v>
      </c>
      <c r="O46" s="13"/>
      <c r="P46" s="13"/>
      <c r="Q46" s="13"/>
    </row>
    <row r="47" s="1" customFormat="1" ht="16.5" customHeight="1" spans="11:17">
      <c r="M47" s="7" t="s">
        <v>494</v>
      </c>
      <c r="N47" s="13" t="s">
        <v>495</v>
      </c>
      <c r="O47" s="13"/>
      <c r="P47" s="13"/>
      <c r="Q47" s="13"/>
    </row>
    <row r="48" s="1" customFormat="1" ht="16.5" customHeight="1" spans="11:17">
      <c r="M48" s="7" t="s">
        <v>496</v>
      </c>
      <c r="N48" s="13" t="s">
        <v>497</v>
      </c>
      <c r="O48" s="13"/>
      <c r="P48" s="13"/>
      <c r="Q48" s="13"/>
    </row>
    <row r="49" s="1" customFormat="1" ht="16.5" customHeight="1" spans="6:17">
      <c r="M49" s="7" t="s">
        <v>498</v>
      </c>
      <c r="N49" s="13" t="s">
        <v>499</v>
      </c>
      <c r="O49" s="13"/>
      <c r="P49" s="13"/>
      <c r="Q49" s="13"/>
    </row>
    <row r="50" s="1" customFormat="1" ht="16.5" customHeight="1" spans="6:17">
      <c r="M50" s="7" t="s">
        <v>500</v>
      </c>
      <c r="N50" s="13" t="s">
        <v>501</v>
      </c>
      <c r="O50" s="13"/>
      <c r="P50" s="13"/>
      <c r="Q50" s="13"/>
    </row>
    <row r="51" s="1" customFormat="1" ht="16.5" customHeight="1" spans="6:17">
      <c r="M51" s="7" t="s">
        <v>502</v>
      </c>
      <c r="N51" s="13" t="s">
        <v>503</v>
      </c>
      <c r="O51" s="13"/>
      <c r="P51" s="13"/>
      <c r="Q51" s="13"/>
    </row>
    <row r="52" s="1" customFormat="1" ht="16.5" customHeight="1" spans="6:17">
      <c r="M52" s="7" t="s">
        <v>504</v>
      </c>
      <c r="N52" s="13" t="s">
        <v>505</v>
      </c>
      <c r="O52" s="13"/>
      <c r="P52" s="13"/>
      <c r="Q52" s="13"/>
    </row>
    <row r="53" s="1" customFormat="1" ht="16.5" customHeight="1" spans="6:17">
      <c r="M53" s="7" t="s">
        <v>506</v>
      </c>
      <c r="N53" s="13" t="s">
        <v>507</v>
      </c>
      <c r="O53" s="13"/>
      <c r="P53" s="13"/>
      <c r="Q53" s="13"/>
    </row>
    <row r="54" s="1" customFormat="1" spans="6:17">
      <c r="M54" s="15"/>
    </row>
    <row r="55" s="1" customFormat="1" spans="6:17">
      <c r="M55" s="15"/>
    </row>
    <row r="56" s="1" customFormat="1"/>
    <row r="57" s="1" customFormat="1" ht="16.5" customHeight="1" spans="6:17">
      <c r="F57" s="13" t="s">
        <v>508</v>
      </c>
      <c r="G57" s="13"/>
      <c r="H57" s="13"/>
      <c r="I57" s="13"/>
      <c r="J57" s="13"/>
      <c r="K57" s="13"/>
      <c r="L57" s="13"/>
      <c r="M57" s="13"/>
      <c r="N57" s="13"/>
    </row>
    <row r="58" s="1" customFormat="1" ht="16.5" customHeight="1" spans="6:17">
      <c r="F58" s="13" t="s">
        <v>509</v>
      </c>
      <c r="G58" s="13"/>
      <c r="H58" s="13"/>
      <c r="I58" s="13"/>
      <c r="J58" s="13"/>
      <c r="K58" s="13"/>
      <c r="L58" s="13"/>
      <c r="M58" s="13"/>
      <c r="N58" s="13"/>
    </row>
    <row r="59" s="1" customFormat="1" ht="16.5" customHeight="1" spans="6:17">
      <c r="F59" s="13" t="s">
        <v>510</v>
      </c>
      <c r="G59" s="13"/>
      <c r="H59" s="13"/>
      <c r="I59" s="13"/>
      <c r="J59" s="13"/>
      <c r="K59" s="13"/>
      <c r="L59" s="13"/>
      <c r="M59" s="13"/>
      <c r="N59" s="13"/>
    </row>
    <row r="60" s="1" customFormat="1" ht="16.5" customHeight="1" spans="6:17">
      <c r="F60" s="13" t="s">
        <v>511</v>
      </c>
      <c r="G60" s="13"/>
      <c r="H60" s="13"/>
      <c r="I60" s="13"/>
      <c r="J60" s="13"/>
      <c r="K60" s="13"/>
      <c r="L60" s="13"/>
      <c r="M60" s="13"/>
      <c r="N60" s="13"/>
    </row>
    <row r="61" s="1" customFormat="1" ht="16.5" customHeight="1" spans="6:17">
      <c r="F61" s="13" t="s">
        <v>512</v>
      </c>
      <c r="G61" s="13"/>
      <c r="H61" s="13"/>
      <c r="I61" s="13"/>
      <c r="J61" s="13"/>
      <c r="K61" s="13"/>
      <c r="L61" s="13"/>
      <c r="M61" s="13"/>
      <c r="N61" s="13"/>
    </row>
    <row r="62" s="1" customFormat="1" ht="16.5" customHeight="1" spans="6:17">
      <c r="F62" s="13" t="s">
        <v>513</v>
      </c>
      <c r="G62" s="13"/>
      <c r="H62" s="13"/>
      <c r="I62" s="13"/>
      <c r="J62" s="13"/>
      <c r="K62" s="13"/>
      <c r="L62" s="13"/>
      <c r="M62" s="13"/>
      <c r="N62" s="13"/>
    </row>
    <row r="63" s="1" customFormat="1" ht="16.5" customHeight="1" spans="6:17">
      <c r="F63" s="13" t="s">
        <v>514</v>
      </c>
      <c r="G63" s="13"/>
      <c r="H63" s="13"/>
      <c r="I63" s="13"/>
      <c r="J63" s="13"/>
      <c r="K63" s="13"/>
      <c r="L63" s="13"/>
      <c r="M63" s="13"/>
      <c r="N63" s="13"/>
    </row>
    <row r="64" s="1" customFormat="1" ht="16.5" customHeight="1" spans="6:17">
      <c r="F64" s="13" t="s">
        <v>515</v>
      </c>
      <c r="G64" s="13"/>
      <c r="H64" s="13"/>
      <c r="I64" s="13"/>
      <c r="J64" s="13"/>
      <c r="K64" s="13"/>
      <c r="L64" s="13"/>
      <c r="M64" s="13"/>
      <c r="N64" s="13"/>
    </row>
    <row r="65" s="1" customFormat="1" ht="16.5" customHeight="1" spans="6:14">
      <c r="F65" s="13" t="s">
        <v>516</v>
      </c>
      <c r="G65" s="13"/>
      <c r="H65" s="13"/>
      <c r="I65" s="13"/>
      <c r="J65" s="13"/>
      <c r="K65" s="13"/>
      <c r="L65" s="13"/>
      <c r="M65" s="13"/>
      <c r="N65" s="13"/>
    </row>
    <row r="66" s="1" customFormat="1" ht="16.5" customHeight="1" spans="6:14">
      <c r="F66" s="13" t="s">
        <v>517</v>
      </c>
      <c r="G66" s="13"/>
      <c r="H66" s="13"/>
      <c r="I66" s="13"/>
      <c r="J66" s="13"/>
      <c r="K66" s="13"/>
      <c r="L66" s="13"/>
      <c r="M66" s="13"/>
      <c r="N66" s="13"/>
    </row>
    <row r="67" s="1" customFormat="1" ht="16.5" customHeight="1" spans="6:14">
      <c r="F67" s="13" t="s">
        <v>518</v>
      </c>
      <c r="G67" s="13"/>
      <c r="H67" s="13"/>
      <c r="I67" s="13"/>
      <c r="J67" s="13"/>
      <c r="K67" s="13"/>
      <c r="L67" s="13"/>
      <c r="M67" s="13"/>
      <c r="N67" s="13"/>
    </row>
    <row r="68" s="1" customFormat="1" ht="16.5" customHeight="1" spans="6:14">
      <c r="F68" s="13" t="s">
        <v>516</v>
      </c>
      <c r="G68" s="13"/>
      <c r="H68" s="13"/>
      <c r="I68" s="13"/>
      <c r="J68" s="13"/>
      <c r="K68" s="13"/>
      <c r="L68" s="13"/>
      <c r="M68" s="13"/>
      <c r="N68" s="13"/>
    </row>
    <row r="69" s="1" customFormat="1" ht="16.5" customHeight="1" spans="6:14">
      <c r="F69" s="13" t="s">
        <v>519</v>
      </c>
      <c r="G69" s="13"/>
      <c r="H69" s="13"/>
      <c r="I69" s="13"/>
      <c r="J69" s="13"/>
      <c r="K69" s="13"/>
      <c r="L69" s="13"/>
      <c r="M69" s="13"/>
      <c r="N69" s="13"/>
    </row>
    <row r="70" s="1" customFormat="1" ht="16.5" customHeight="1" spans="6:14">
      <c r="F70" s="13"/>
      <c r="G70" s="13"/>
      <c r="H70" s="13"/>
      <c r="I70" s="13"/>
      <c r="J70" s="13"/>
      <c r="K70" s="13"/>
      <c r="L70" s="13"/>
      <c r="M70" s="13"/>
      <c r="N70" s="13"/>
    </row>
    <row r="71" s="1" customFormat="1" ht="16.5" customHeight="1" spans="6:14">
      <c r="F71" s="13" t="s">
        <v>365</v>
      </c>
      <c r="G71" s="13" t="s">
        <v>520</v>
      </c>
      <c r="H71" s="13"/>
      <c r="I71" s="13"/>
      <c r="J71" s="13"/>
      <c r="K71" s="13"/>
      <c r="L71" s="13"/>
      <c r="M71" s="13"/>
      <c r="N71" s="13"/>
    </row>
    <row r="72" s="1" customFormat="1" ht="16.5" customHeight="1" spans="6:14">
      <c r="F72" s="13" t="s">
        <v>463</v>
      </c>
      <c r="G72" s="13" t="s">
        <v>521</v>
      </c>
      <c r="H72" s="13"/>
      <c r="I72" s="13"/>
      <c r="J72" s="13"/>
      <c r="K72" s="13"/>
      <c r="L72" s="13"/>
      <c r="M72" s="13"/>
      <c r="N72" s="13"/>
    </row>
    <row r="73" s="1" customFormat="1" ht="16.5" customHeight="1" spans="6:14">
      <c r="F73" s="13" t="s">
        <v>465</v>
      </c>
      <c r="G73" s="13" t="s">
        <v>522</v>
      </c>
      <c r="H73" s="13"/>
      <c r="I73" s="13"/>
      <c r="J73" s="13"/>
      <c r="K73" s="13"/>
      <c r="L73" s="13"/>
      <c r="M73" s="13"/>
      <c r="N73" s="13"/>
    </row>
    <row r="74" s="1" customFormat="1" ht="16.5" customHeight="1" spans="6:14">
      <c r="F74" s="13" t="s">
        <v>467</v>
      </c>
      <c r="G74" s="13"/>
      <c r="H74" s="13"/>
      <c r="I74" s="13"/>
      <c r="J74" s="13"/>
      <c r="K74" s="13"/>
      <c r="L74" s="13"/>
      <c r="M74" s="13"/>
      <c r="N74" s="13"/>
    </row>
    <row r="75" s="1" customFormat="1" ht="16.5" customHeight="1" spans="6:14">
      <c r="F75" s="13" t="s">
        <v>468</v>
      </c>
      <c r="G75" s="13"/>
      <c r="H75" s="13"/>
      <c r="I75" s="13"/>
      <c r="J75" s="13"/>
      <c r="K75" s="13"/>
      <c r="L75" s="13"/>
      <c r="M75" s="13"/>
      <c r="N75" s="13"/>
    </row>
    <row r="76" s="1" customFormat="1" ht="16.5" customHeight="1" spans="6:14">
      <c r="F76" s="13" t="s">
        <v>469</v>
      </c>
      <c r="G76" s="13"/>
      <c r="H76" s="13"/>
      <c r="I76" s="13"/>
      <c r="J76" s="13"/>
      <c r="K76" s="13"/>
      <c r="L76" s="13"/>
      <c r="M76" s="13"/>
      <c r="N76" s="13"/>
    </row>
    <row r="77" s="1" customFormat="1" ht="16.5" customHeight="1" spans="6:14">
      <c r="F77" s="13" t="s">
        <v>470</v>
      </c>
      <c r="G77" s="13"/>
      <c r="H77" s="13"/>
      <c r="I77" s="13"/>
      <c r="J77" s="13"/>
      <c r="K77" s="13"/>
      <c r="L77" s="13"/>
      <c r="M77" s="13"/>
      <c r="N77" s="13"/>
    </row>
    <row r="78" s="1" customFormat="1" ht="16.5" customHeight="1" spans="6:14">
      <c r="F78" s="13" t="s">
        <v>472</v>
      </c>
      <c r="G78" s="13"/>
      <c r="H78" s="13"/>
      <c r="I78" s="13"/>
      <c r="J78" s="13"/>
      <c r="K78" s="13"/>
      <c r="L78" s="13"/>
      <c r="M78" s="13"/>
      <c r="N78" s="13"/>
    </row>
    <row r="79" s="1" customFormat="1" ht="16.5" customHeight="1" spans="6:14">
      <c r="F79" s="13" t="s">
        <v>472</v>
      </c>
      <c r="G79" s="13"/>
      <c r="H79" s="13"/>
      <c r="I79" s="13"/>
      <c r="J79" s="13"/>
      <c r="K79" s="13"/>
      <c r="L79" s="13"/>
      <c r="M79" s="13"/>
      <c r="N79" s="13"/>
    </row>
    <row r="80" s="1" customFormat="1" ht="16.5" customHeight="1" spans="6:14">
      <c r="F80" s="7" t="s">
        <v>473</v>
      </c>
      <c r="G80" s="13"/>
      <c r="H80" s="13"/>
      <c r="I80" s="13"/>
      <c r="J80" s="13"/>
      <c r="K80" s="13"/>
      <c r="L80" s="13"/>
      <c r="M80" s="13"/>
      <c r="N80" s="13"/>
    </row>
    <row r="81" s="1" customFormat="1" ht="16.5" spans="6:14">
      <c r="F81" s="7" t="s">
        <v>474</v>
      </c>
      <c r="G81" s="13"/>
      <c r="H81" s="13"/>
      <c r="I81" s="13"/>
      <c r="J81" s="13"/>
      <c r="K81" s="13"/>
      <c r="L81" s="13"/>
      <c r="M81" s="13"/>
      <c r="N81" s="13"/>
    </row>
    <row r="82" s="1" customFormat="1" ht="16.5" spans="6:14">
      <c r="F82" s="7" t="s">
        <v>475</v>
      </c>
      <c r="G82" s="13"/>
      <c r="H82" s="13"/>
      <c r="I82" s="13"/>
      <c r="J82" s="13"/>
      <c r="K82" s="13"/>
      <c r="L82" s="13"/>
      <c r="M82" s="13"/>
      <c r="N82" s="13"/>
    </row>
    <row r="83" s="1" customFormat="1" ht="16.5" spans="6:14">
      <c r="F83" s="7" t="s">
        <v>476</v>
      </c>
      <c r="G83" s="13"/>
      <c r="H83" s="13"/>
      <c r="I83" s="13"/>
      <c r="J83" s="13"/>
      <c r="K83" s="13"/>
      <c r="L83" s="13"/>
      <c r="M83" s="13"/>
      <c r="N83" s="13"/>
    </row>
    <row r="84" s="1" customFormat="1" ht="16.5" spans="6:14">
      <c r="F84" s="13" t="s">
        <v>477</v>
      </c>
      <c r="G84" s="13"/>
      <c r="H84" s="13"/>
      <c r="I84" s="13"/>
      <c r="J84" s="13"/>
      <c r="K84" s="13"/>
      <c r="L84" s="13"/>
      <c r="M84" s="13"/>
      <c r="N84" s="13"/>
    </row>
    <row r="85" s="1" customFormat="1" ht="16.5" spans="6:14">
      <c r="F85" s="13" t="s">
        <v>478</v>
      </c>
      <c r="G85" s="13" t="s">
        <v>479</v>
      </c>
      <c r="H85" s="13"/>
      <c r="I85" s="13"/>
      <c r="J85" s="13"/>
      <c r="K85" s="13"/>
      <c r="L85" s="13"/>
      <c r="M85" s="13"/>
      <c r="N85" s="13"/>
    </row>
    <row r="86" s="1" customFormat="1" ht="16.5" spans="6:14">
      <c r="F86" s="13" t="s">
        <v>480</v>
      </c>
      <c r="G86" s="13" t="s">
        <v>481</v>
      </c>
      <c r="H86" s="13"/>
      <c r="I86" s="13"/>
      <c r="J86" s="13"/>
      <c r="K86" s="13"/>
      <c r="L86" s="13"/>
      <c r="M86" s="13"/>
      <c r="N86" s="13"/>
    </row>
    <row r="87" s="1" customFormat="1" ht="16.5" spans="6:14">
      <c r="F87" s="13" t="s">
        <v>482</v>
      </c>
      <c r="G87" s="13" t="s">
        <v>483</v>
      </c>
      <c r="H87" s="13"/>
      <c r="I87" s="13"/>
      <c r="J87" s="13"/>
      <c r="K87" s="13"/>
      <c r="L87" s="13"/>
      <c r="M87" s="13"/>
      <c r="N87" s="13"/>
    </row>
    <row r="88" s="1" customFormat="1" ht="16.5" spans="6:14">
      <c r="F88" s="7" t="s">
        <v>484</v>
      </c>
      <c r="G88" s="13" t="s">
        <v>485</v>
      </c>
      <c r="H88" s="13"/>
      <c r="I88" s="13"/>
      <c r="J88" s="13"/>
      <c r="K88" s="13"/>
      <c r="L88" s="13"/>
      <c r="M88" s="13"/>
      <c r="N88" s="13"/>
    </row>
    <row r="89" s="1" customFormat="1" ht="16.5" customHeight="1" spans="6:14">
      <c r="F89" s="7" t="s">
        <v>486</v>
      </c>
      <c r="G89" s="13" t="s">
        <v>487</v>
      </c>
      <c r="H89" s="13"/>
      <c r="I89" s="13"/>
      <c r="J89" s="13"/>
      <c r="K89" s="13"/>
      <c r="L89" s="13"/>
      <c r="M89" s="13"/>
      <c r="N89" s="13"/>
    </row>
    <row r="90" s="1" customFormat="1" ht="16.5" customHeight="1" spans="6:14">
      <c r="F90" s="7" t="s">
        <v>488</v>
      </c>
      <c r="G90" s="13" t="s">
        <v>489</v>
      </c>
      <c r="H90" s="13"/>
      <c r="I90" s="13"/>
      <c r="J90" s="13"/>
      <c r="K90" s="13"/>
      <c r="L90" s="13"/>
      <c r="M90" s="13"/>
      <c r="N90" s="13"/>
    </row>
    <row r="91" s="1" customFormat="1" ht="16.5" customHeight="1" spans="6:14">
      <c r="F91" s="7" t="s">
        <v>490</v>
      </c>
      <c r="G91" s="13" t="s">
        <v>491</v>
      </c>
      <c r="H91" s="13"/>
      <c r="I91" s="13"/>
      <c r="J91" s="13"/>
      <c r="K91" s="13"/>
      <c r="L91" s="13"/>
      <c r="M91" s="13"/>
      <c r="N91" s="13"/>
    </row>
    <row r="92" s="1" customFormat="1" ht="16.5" customHeight="1" spans="6:14">
      <c r="F92" s="7" t="s">
        <v>492</v>
      </c>
      <c r="G92" s="13" t="s">
        <v>493</v>
      </c>
      <c r="H92" s="13"/>
      <c r="I92" s="13"/>
      <c r="J92" s="13"/>
      <c r="K92" s="13"/>
      <c r="L92" s="13"/>
      <c r="M92" s="13"/>
      <c r="N92" s="13"/>
    </row>
    <row r="93" s="1" customFormat="1" ht="16.5" customHeight="1" spans="6:14">
      <c r="F93" s="7" t="s">
        <v>494</v>
      </c>
      <c r="G93" s="13" t="s">
        <v>495</v>
      </c>
      <c r="H93" s="13"/>
      <c r="I93" s="13"/>
      <c r="J93" s="13"/>
      <c r="K93" s="13"/>
      <c r="L93" s="13"/>
      <c r="M93" s="13"/>
      <c r="N93" s="13"/>
    </row>
    <row r="94" s="1" customFormat="1" ht="16.5" customHeight="1" spans="6:14">
      <c r="F94" s="7" t="s">
        <v>496</v>
      </c>
      <c r="G94" s="13" t="s">
        <v>497</v>
      </c>
      <c r="H94" s="13"/>
      <c r="I94" s="13"/>
      <c r="J94" s="13"/>
      <c r="K94" s="13"/>
      <c r="L94" s="13"/>
      <c r="M94" s="13"/>
      <c r="N94" s="13"/>
    </row>
    <row r="95" s="1" customFormat="1" ht="16.5" customHeight="1" spans="6:14">
      <c r="F95" s="7" t="s">
        <v>498</v>
      </c>
      <c r="G95" s="13" t="s">
        <v>499</v>
      </c>
      <c r="H95" s="13"/>
      <c r="I95" s="13"/>
      <c r="J95" s="13"/>
      <c r="K95" s="13"/>
      <c r="L95" s="13"/>
      <c r="M95" s="13"/>
      <c r="N95" s="13"/>
    </row>
    <row r="96" s="1" customFormat="1" ht="16.5" customHeight="1" spans="6:14">
      <c r="F96" s="7" t="s">
        <v>500</v>
      </c>
      <c r="G96" s="13" t="s">
        <v>501</v>
      </c>
      <c r="H96" s="13"/>
      <c r="I96" s="13"/>
      <c r="J96" s="13"/>
      <c r="K96" s="13"/>
      <c r="L96" s="13"/>
      <c r="M96" s="13"/>
      <c r="N96" s="13"/>
    </row>
    <row r="97" s="1" customFormat="1" ht="16.5" customHeight="1" spans="6:14">
      <c r="F97" s="7" t="s">
        <v>502</v>
      </c>
      <c r="G97" s="13" t="s">
        <v>503</v>
      </c>
      <c r="H97" s="13"/>
      <c r="I97" s="13"/>
      <c r="J97" s="13"/>
      <c r="K97" s="13"/>
      <c r="L97" s="13"/>
      <c r="M97" s="13"/>
      <c r="N97" s="13"/>
    </row>
    <row r="98" s="1" customFormat="1" ht="16.5" customHeight="1" spans="6:14">
      <c r="F98" s="7" t="s">
        <v>504</v>
      </c>
      <c r="G98" s="13" t="s">
        <v>505</v>
      </c>
      <c r="H98" s="13"/>
      <c r="I98" s="13"/>
      <c r="J98" s="13"/>
      <c r="K98" s="13"/>
      <c r="L98" s="13"/>
      <c r="M98" s="13"/>
      <c r="N98" s="13"/>
    </row>
    <row r="99" s="1" customFormat="1" ht="16.5" customHeight="1" spans="6:14">
      <c r="F99" s="7" t="s">
        <v>506</v>
      </c>
      <c r="G99" s="13" t="s">
        <v>507</v>
      </c>
      <c r="H99" s="13"/>
      <c r="I99" s="13"/>
      <c r="J99" s="13"/>
      <c r="K99" s="13"/>
      <c r="L99" s="13"/>
      <c r="M99" s="13"/>
      <c r="N99" s="13"/>
    </row>
    <row r="100" s="1" customFormat="1" ht="16.5" customHeight="1" spans="6:14">
      <c r="F100" s="13"/>
      <c r="G100" s="13"/>
      <c r="H100" s="13"/>
      <c r="I100" s="13"/>
      <c r="J100" s="13"/>
      <c r="K100" s="13"/>
      <c r="L100" s="13"/>
      <c r="M100" s="13"/>
      <c r="N100" s="13"/>
    </row>
    <row r="101" s="1" customFormat="1" spans="6:14">
      <c r="K101" s="2"/>
    </row>
    <row r="102" s="1" customFormat="1" spans="6:14">
      <c r="K102" s="2"/>
    </row>
    <row r="103" s="1" customFormat="1" spans="6:14">
      <c r="K103" s="2"/>
    </row>
  </sheetData>
  <conditionalFormatting sqref="J5">
    <cfRule type="duplicateValues" dxfId="0" priority="7"/>
  </conditionalFormatting>
  <conditionalFormatting sqref="L5">
    <cfRule type="duplicateValues" dxfId="0" priority="23"/>
  </conditionalFormatting>
  <conditionalFormatting sqref="O5">
    <cfRule type="duplicateValues" dxfId="0" priority="18"/>
  </conditionalFormatting>
  <conditionalFormatting sqref="J6">
    <cfRule type="duplicateValues" dxfId="0" priority="8"/>
  </conditionalFormatting>
  <conditionalFormatting sqref="L6">
    <cfRule type="duplicateValues" dxfId="0" priority="26"/>
  </conditionalFormatting>
  <conditionalFormatting sqref="O6">
    <cfRule type="duplicateValues" dxfId="0" priority="19"/>
  </conditionalFormatting>
  <conditionalFormatting sqref="O7">
    <cfRule type="duplicateValues" dxfId="0" priority="17"/>
  </conditionalFormatting>
  <conditionalFormatting sqref="O8">
    <cfRule type="duplicateValues" dxfId="0" priority="15"/>
  </conditionalFormatting>
  <conditionalFormatting sqref="J9">
    <cfRule type="duplicateValues" dxfId="0" priority="4"/>
  </conditionalFormatting>
  <conditionalFormatting sqref="L10">
    <cfRule type="duplicateValues" dxfId="0" priority="21"/>
  </conditionalFormatting>
  <conditionalFormatting sqref="L15">
    <cfRule type="duplicateValues" dxfId="0" priority="24"/>
  </conditionalFormatting>
  <conditionalFormatting sqref="O18">
    <cfRule type="duplicateValues" dxfId="0" priority="12"/>
  </conditionalFormatting>
  <conditionalFormatting sqref="O19">
    <cfRule type="duplicateValues" dxfId="0" priority="13"/>
  </conditionalFormatting>
  <conditionalFormatting sqref="J2:J4">
    <cfRule type="duplicateValues" dxfId="0" priority="9"/>
  </conditionalFormatting>
  <conditionalFormatting sqref="L2:L4">
    <cfRule type="duplicateValues" dxfId="0" priority="27"/>
  </conditionalFormatting>
  <conditionalFormatting sqref="L7:L9">
    <cfRule type="duplicateValues" dxfId="0" priority="22"/>
  </conditionalFormatting>
  <conditionalFormatting sqref="O2:O4">
    <cfRule type="duplicateValues" dxfId="0" priority="20"/>
  </conditionalFormatting>
  <conditionalFormatting sqref="O9:O12">
    <cfRule type="duplicateValues" dxfId="0" priority="14"/>
  </conditionalFormatting>
  <conditionalFormatting sqref="O13:O17">
    <cfRule type="duplicateValues" dxfId="0" priority="16"/>
  </conditionalFormatting>
  <conditionalFormatting sqref="O20:O22">
    <cfRule type="duplicateValues" dxfId="0" priority="11"/>
  </conditionalFormatting>
  <conditionalFormatting sqref="O23:O24">
    <cfRule type="duplicateValues" dxfId="0" priority="1"/>
  </conditionalFormatting>
  <conditionalFormatting sqref="H3:I17"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skill_config</vt:lpstr>
      <vt:lpstr>buff_config</vt:lpstr>
      <vt:lpstr>编号表</vt:lpstr>
      <vt:lpstr>名称表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thothSSQS</cp:lastModifiedBy>
  <dcterms:created xsi:type="dcterms:W3CDTF">2026-03-19T06:29:00Z</dcterms:created>
  <dcterms:modified xsi:type="dcterms:W3CDTF">2026-07-09T13:28:03Z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7F7B77B2021E4C62A658CD0B69CCA214_13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