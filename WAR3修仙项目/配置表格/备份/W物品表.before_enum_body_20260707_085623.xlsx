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0" autoFilterDateGrouping="1"/>
  </bookViews>
  <sheets>
    <sheet name="item_config" sheetId="1" state="visible" r:id="rId1"/>
    <sheet name="编号表" sheetId="2" state="visible" r:id="rId2"/>
    <sheet name="更新说明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微软雅黑"/>
      <charset val="134"/>
      <color theme="1"/>
      <sz val="9"/>
    </font>
    <font>
      <name val="微软雅黑"/>
      <charset val="134"/>
      <color rgb="FFFF0000"/>
      <sz val="36"/>
    </font>
    <font>
      <name val="微软雅黑"/>
      <charset val="134"/>
      <color rgb="FFFF0000"/>
      <sz val="9"/>
    </font>
    <font>
      <name val="微软雅黑"/>
      <charset val="134"/>
      <color rgb="FF000000"/>
      <sz val="10"/>
    </font>
    <font>
      <name val="宋体"/>
      <charset val="134"/>
      <sz val="10"/>
    </font>
    <font>
      <name val="等线"/>
      <charset val="134"/>
      <color rgb="FF000000"/>
      <sz val="10"/>
      <scheme val="minor"/>
    </font>
    <font>
      <name val="微软雅黑"/>
      <charset val="134"/>
      <color rgb="FF000000"/>
      <sz val="9"/>
    </font>
    <font>
      <name val="等线"/>
      <charset val="134"/>
      <sz val="9"/>
      <scheme val="minor"/>
    </font>
    <font>
      <name val="Adobe 黑体 Std R"/>
      <charset val="134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6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7" borderId="5" applyAlignment="1">
      <alignment vertical="center"/>
    </xf>
    <xf numFmtId="0" fontId="19" fillId="8" borderId="6" applyAlignment="1">
      <alignment vertical="center"/>
    </xf>
    <xf numFmtId="0" fontId="20" fillId="8" borderId="5" applyAlignment="1">
      <alignment vertical="center"/>
    </xf>
    <xf numFmtId="0" fontId="21" fillId="9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4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</author>
  </authors>
  <commentList>
    <comment ref="F4" authorId="0" shapeId="0">
      <text>
        <t>Admin:
秒为单位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AF171"/>
  <sheetViews>
    <sheetView tabSelected="1" workbookViewId="0">
      <pane xSplit="3" ySplit="2" topLeftCell="M3" activePane="bottomRight" state="frozen"/>
      <selection activeCell="A1" sqref="A1"/>
      <selection pane="topRight" activeCell="A1" sqref="A1"/>
      <selection pane="bottomLeft" activeCell="A1" sqref="A1"/>
      <selection pane="bottomRight" activeCell="R1" sqref="R$1:S$1048576"/>
    </sheetView>
  </sheetViews>
  <sheetFormatPr baseColWidth="8" defaultColWidth="9" defaultRowHeight="14.25"/>
  <cols>
    <col width="9.571428571428569" customWidth="1" style="3" min="1" max="1"/>
    <col width="12" customWidth="1" style="3" min="2" max="2"/>
    <col width="7" customWidth="1" style="3" min="3" max="4"/>
    <col width="12" customWidth="1" style="3" min="5" max="5"/>
    <col width="7.72380952380952" customWidth="1" style="3" min="6" max="6"/>
    <col width="10.6380952380952" customWidth="1" style="3" min="7" max="8"/>
    <col width="8.542857142857139" customWidth="1" style="3" min="9" max="10"/>
    <col width="8.276190476190481" customWidth="1" style="3" min="11" max="11"/>
    <col width="13.1809523809524" customWidth="1" style="3" min="12" max="13"/>
    <col width="13.8190476190476" customWidth="1" style="3" min="14" max="15"/>
    <col width="9.542857142857139" customWidth="1" style="3" min="16" max="16"/>
    <col width="8.723809523809519" customWidth="1" style="3" min="17" max="17"/>
    <col width="18.4571428571429" customWidth="1" style="3" min="18" max="18"/>
    <col width="15.1809523809524" customWidth="1" style="3" min="19" max="19"/>
    <col width="14.0952380952381" customWidth="1" style="3" min="20" max="20"/>
    <col width="41.5428571428571" customWidth="1" style="3" min="21" max="21"/>
    <col width="20.4571428571429" customWidth="1" style="3" min="22" max="22"/>
    <col width="11" customWidth="1" style="3" min="23" max="23"/>
    <col width="23.1809523809524" customWidth="1" style="3" min="24" max="24"/>
    <col width="33.9047619047619" customWidth="1" style="3" min="25" max="25"/>
    <col width="12.8190476190476" customWidth="1" style="3" min="26" max="27"/>
    <col width="9" customWidth="1" style="3" min="28" max="28"/>
    <col width="13" customWidth="1" style="3" min="29" max="29"/>
    <col width="9" customWidth="1" style="3" min="30" max="16384"/>
  </cols>
  <sheetData>
    <row r="1">
      <c r="A1" s="3" t="inlineStr">
        <is>
          <t>##var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Color</t>
        </is>
      </c>
      <c r="E1" s="6" t="n"/>
      <c r="F1" s="6" t="inlineStr">
        <is>
          <t>DurT</t>
        </is>
      </c>
      <c r="G1" s="6" t="n"/>
      <c r="H1" s="3" t="inlineStr">
        <is>
          <t>MainClass</t>
        </is>
      </c>
      <c r="I1" s="3" t="inlineStr">
        <is>
          <t>SubClass</t>
        </is>
      </c>
      <c r="J1" s="3" t="inlineStr">
        <is>
          <t>DropLevel</t>
        </is>
      </c>
      <c r="K1" s="3" t="inlineStr">
        <is>
          <t>DisplayType</t>
        </is>
      </c>
      <c r="L1" s="3" t="inlineStr">
        <is>
          <t>attrLimit</t>
        </is>
      </c>
      <c r="M1" s="3" t="inlineStr">
        <is>
          <t>durT</t>
        </is>
      </c>
      <c r="N1" s="3" t="inlineStr">
        <is>
          <t>isDrop</t>
        </is>
      </c>
      <c r="O1" s="3" t="inlineStr">
        <is>
          <t>isAutoUse</t>
        </is>
      </c>
      <c r="P1" s="3" t="inlineStr">
        <is>
          <t>RequiredLevel</t>
        </is>
      </c>
      <c r="Q1" s="3" t="inlineStr">
        <is>
          <t>CultivationTags</t>
        </is>
      </c>
      <c r="R1" s="3" t="inlineStr">
        <is>
          <t>PileMax</t>
        </is>
      </c>
      <c r="S1" s="3" t="inlineStr">
        <is>
          <t>FunctionType</t>
        </is>
      </c>
      <c r="T1" s="3" t="inlineStr">
        <is>
          <t>FunctionID</t>
        </is>
      </c>
      <c r="U1" s="3" t="inlineStr">
        <is>
          <t>FunctionValue</t>
        </is>
      </c>
      <c r="V1" s="3" t="inlineStr">
        <is>
          <t>Desc</t>
        </is>
      </c>
      <c r="W1" s="3" t="inlineStr">
        <is>
          <t>SpecDesc</t>
        </is>
      </c>
      <c r="X1" s="3" t="inlineStr">
        <is>
          <t>IconID</t>
        </is>
      </c>
      <c r="Y1" s="3" t="inlineStr">
        <is>
          <t>mdxID</t>
        </is>
      </c>
      <c r="Z1" s="3" t="inlineStr">
        <is>
          <t>LightEffId</t>
        </is>
      </c>
      <c r="AA1" s="3" t="inlineStr">
        <is>
          <t>Border1</t>
        </is>
      </c>
      <c r="AB1" s="3" t="inlineStr">
        <is>
          <t>Border2</t>
        </is>
      </c>
      <c r="AC1" s="3" t="inlineStr">
        <is>
          <t>Tag1</t>
        </is>
      </c>
      <c r="AD1" s="3" t="inlineStr">
        <is>
          <t>Tag2</t>
        </is>
      </c>
      <c r="AE1" s="3" t="inlineStr">
        <is>
          <t>Tag3</t>
        </is>
      </c>
      <c r="AF1" s="3" t="inlineStr">
        <is>
          <t>Tag4</t>
        </is>
      </c>
    </row>
    <row r="2">
      <c r="A2" s="3" t="inlineStr">
        <is>
          <t>##type</t>
        </is>
      </c>
      <c r="B2" s="3" t="inlineStr">
        <is>
          <t>int</t>
        </is>
      </c>
      <c r="C2" s="3" t="inlineStr">
        <is>
          <t>string</t>
        </is>
      </c>
      <c r="D2" s="3" t="inlineStr">
        <is>
          <t>string</t>
        </is>
      </c>
      <c r="E2" s="6" t="inlineStr"/>
      <c r="F2" s="6" t="inlineStr">
        <is>
          <t>int</t>
        </is>
      </c>
      <c r="G2" s="6" t="inlineStr"/>
      <c r="H2" s="3" t="inlineStr">
        <is>
          <t>string</t>
        </is>
      </c>
      <c r="I2" s="3" t="inlineStr">
        <is>
          <t>string</t>
        </is>
      </c>
      <c r="J2" s="3" t="inlineStr">
        <is>
          <t>int</t>
        </is>
      </c>
      <c r="K2" s="3" t="inlineStr">
        <is>
          <t>string</t>
        </is>
      </c>
      <c r="L2" s="3" t="inlineStr">
        <is>
          <t>int</t>
        </is>
      </c>
      <c r="M2" s="3" t="inlineStr">
        <is>
          <t>int</t>
        </is>
      </c>
      <c r="N2" s="3" t="inlineStr">
        <is>
          <t>bool</t>
        </is>
      </c>
      <c r="O2" s="3" t="inlineStr">
        <is>
          <t>bool</t>
        </is>
      </c>
      <c r="P2" s="3" t="inlineStr">
        <is>
          <t>int</t>
        </is>
      </c>
      <c r="Q2" s="3" t="inlineStr">
        <is>
          <t>string</t>
        </is>
      </c>
      <c r="R2" s="3" t="inlineStr">
        <is>
          <t>int</t>
        </is>
      </c>
      <c r="S2" s="3" t="inlineStr">
        <is>
          <t>string</t>
        </is>
      </c>
      <c r="T2" s="3" t="inlineStr">
        <is>
          <t>int</t>
        </is>
      </c>
      <c r="U2" s="3" t="inlineStr">
        <is>
          <t>int</t>
        </is>
      </c>
      <c r="V2" s="3" t="inlineStr">
        <is>
          <t>string</t>
        </is>
      </c>
      <c r="W2" s="3" t="inlineStr">
        <is>
          <t>string</t>
        </is>
      </c>
      <c r="X2" s="3" t="inlineStr">
        <is>
          <t>string</t>
        </is>
      </c>
      <c r="Y2" s="3" t="inlineStr">
        <is>
          <t>string</t>
        </is>
      </c>
      <c r="Z2" s="3" t="inlineStr">
        <is>
          <t>string</t>
        </is>
      </c>
      <c r="AA2" s="3" t="inlineStr">
        <is>
          <t>string</t>
        </is>
      </c>
      <c r="AB2" s="3" t="inlineStr">
        <is>
          <t>string</t>
        </is>
      </c>
      <c r="AC2" s="3" t="inlineStr">
        <is>
          <t>string</t>
        </is>
      </c>
      <c r="AD2" s="3" t="inlineStr">
        <is>
          <t>string</t>
        </is>
      </c>
      <c r="AE2" s="3" t="inlineStr">
        <is>
          <t>string</t>
        </is>
      </c>
      <c r="AF2" s="3" t="inlineStr">
        <is>
          <t>string</t>
        </is>
      </c>
    </row>
    <row r="3">
      <c r="A3" s="3" t="inlineStr">
        <is>
          <t>##group</t>
        </is>
      </c>
      <c r="E3" s="6" t="n"/>
      <c r="F3" s="6" t="n"/>
      <c r="G3" s="6" t="n"/>
    </row>
    <row r="4">
      <c r="A4" s="3" t="inlineStr">
        <is>
          <t>##</t>
        </is>
      </c>
      <c r="B4" s="3" t="inlineStr">
        <is>
          <t>道具ID</t>
        </is>
      </c>
      <c r="C4" s="3" t="inlineStr">
        <is>
          <t>0名称</t>
        </is>
      </c>
      <c r="D4" s="3" t="inlineStr">
        <is>
          <t>0颜色</t>
        </is>
      </c>
      <c r="E4" s="6" t="inlineStr">
        <is>
          <t>0ID编号</t>
        </is>
      </c>
      <c r="F4" s="6" t="inlineStr">
        <is>
          <t>存在时间</t>
        </is>
      </c>
      <c r="G4" s="6" t="inlineStr">
        <is>
          <t>0大类</t>
        </is>
      </c>
      <c r="H4" s="3" t="inlineStr">
        <is>
          <t>0大类</t>
        </is>
      </c>
      <c r="I4" s="3" t="inlineStr">
        <is>
          <t>0子类</t>
        </is>
      </c>
      <c r="J4" s="3" t="inlineStr">
        <is>
          <t>0档次</t>
        </is>
      </c>
      <c r="K4" s="3" t="inlineStr">
        <is>
          <t>0显示分类</t>
        </is>
      </c>
      <c r="L4" s="3" t="inlineStr">
        <is>
          <t>属性限制</t>
        </is>
      </c>
      <c r="M4" s="3" t="inlineStr">
        <is>
          <t>存在时间</t>
        </is>
      </c>
      <c r="N4" s="3" t="inlineStr">
        <is>
          <t>0是否可丢弃</t>
        </is>
      </c>
      <c r="O4" s="3" t="inlineStr">
        <is>
          <t>是否可以自动使用</t>
        </is>
      </c>
      <c r="P4" s="3" t="inlineStr">
        <is>
          <t>0使用级别下限</t>
        </is>
      </c>
      <c r="Q4" s="3" t="inlineStr">
        <is>
          <t>修炼标签</t>
        </is>
      </c>
      <c r="R4" s="3" t="inlineStr">
        <is>
          <t>0堆叠上限</t>
        </is>
      </c>
      <c r="S4" s="3" t="inlineStr">
        <is>
          <t>0功能类型</t>
        </is>
      </c>
      <c r="T4" s="3" t="inlineStr">
        <is>
          <t>0功能ID</t>
        </is>
      </c>
      <c r="U4" s="3" t="inlineStr">
        <is>
          <t>0功能数值</t>
        </is>
      </c>
      <c r="V4" s="3" t="inlineStr">
        <is>
          <t>0说明</t>
        </is>
      </c>
      <c r="W4" s="3" t="inlineStr">
        <is>
          <t>0获得说明</t>
        </is>
      </c>
      <c r="X4" s="3" t="inlineStr">
        <is>
          <t>0背包图标</t>
        </is>
      </c>
      <c r="Y4" s="3" t="inlineStr">
        <is>
          <t>0地表模型</t>
        </is>
      </c>
      <c r="Z4" s="3" t="inlineStr">
        <is>
          <t>掉落光柱模型</t>
        </is>
      </c>
      <c r="AA4" s="3" t="inlineStr">
        <is>
          <t>静态边框</t>
        </is>
      </c>
      <c r="AB4" s="3" t="inlineStr">
        <is>
          <t>动态边框</t>
        </is>
      </c>
      <c r="AC4" s="3" t="inlineStr">
        <is>
          <t>标签1</t>
        </is>
      </c>
      <c r="AD4" s="3" t="inlineStr">
        <is>
          <t>标签2</t>
        </is>
      </c>
      <c r="AE4" s="3" t="inlineStr">
        <is>
          <t>标签3</t>
        </is>
      </c>
      <c r="AF4" s="3" t="inlineStr">
        <is>
          <t>标签4</t>
        </is>
      </c>
    </row>
    <row r="5">
      <c r="B5" s="3" t="n">
        <v>31010001</v>
      </c>
      <c r="C5" s="3" t="inlineStr">
        <is>
          <t>一小袋金币</t>
        </is>
      </c>
      <c r="D5" s="3" t="inlineStr">
        <is>
          <t>白色</t>
        </is>
      </c>
      <c r="E5" s="3" t="n">
        <v>1</v>
      </c>
      <c r="F5" s="3" t="n">
        <v>60</v>
      </c>
      <c r="G5" s="3" t="inlineStr">
        <is>
          <t>货币</t>
        </is>
      </c>
      <c r="H5" s="3" t="inlineStr">
        <is>
          <t>大类_基础</t>
        </is>
      </c>
      <c r="I5" s="3" t="inlineStr">
        <is>
          <t>子类_货币</t>
        </is>
      </c>
      <c r="J5" s="3" t="n">
        <v>1</v>
      </c>
      <c r="K5" s="3" t="inlineStr">
        <is>
          <t>货币</t>
        </is>
      </c>
      <c r="M5" s="3" t="n">
        <v>30000</v>
      </c>
      <c r="N5" s="3" t="inlineStr">
        <is>
          <t>否</t>
        </is>
      </c>
      <c r="P5" s="3" t="n">
        <v>1</v>
      </c>
      <c r="Q5" s="3" t="inlineStr">
        <is>
          <t>无</t>
        </is>
      </c>
      <c r="R5" s="3" t="n">
        <v>999</v>
      </c>
      <c r="S5" s="3" t="inlineStr">
        <is>
          <t>货币_金币</t>
        </is>
      </c>
      <c r="U5" s="3" t="n">
        <v>50</v>
      </c>
      <c r="V5" s="3">
        <f>"|cff00FF00"&amp;C5&amp;"，打开后可以获得"&amp;U5&amp;"金币。"</f>
        <v/>
      </c>
      <c r="W5" s="3" t="inlineStr">
        <is>
          <t>击杀所有怪物，出售道具装备可获得</t>
        </is>
      </c>
      <c r="X5" s="3" t="n">
        <v>31010001</v>
      </c>
      <c r="Y5" s="3" t="inlineStr">
        <is>
          <t>fall_coin</t>
        </is>
      </c>
      <c r="AC5" s="3" t="inlineStr">
        <is>
          <t>货币</t>
        </is>
      </c>
      <c r="AD5" s="3" t="inlineStr">
        <is>
          <t>金币</t>
        </is>
      </c>
    </row>
    <row r="6">
      <c r="B6" s="3" t="n">
        <v>31010002</v>
      </c>
      <c r="C6" s="3" t="inlineStr">
        <is>
          <t>一小袋灵符</t>
        </is>
      </c>
      <c r="D6" s="3" t="inlineStr">
        <is>
          <t>白色</t>
        </is>
      </c>
      <c r="E6" s="3" t="n">
        <v>2</v>
      </c>
      <c r="F6" s="3" t="n">
        <v>60</v>
      </c>
      <c r="G6" s="3" t="inlineStr">
        <is>
          <t>货币</t>
        </is>
      </c>
      <c r="H6" s="3" t="inlineStr">
        <is>
          <t>大类_基础</t>
        </is>
      </c>
      <c r="I6" s="3" t="inlineStr">
        <is>
          <t>子类_货币</t>
        </is>
      </c>
      <c r="J6" s="3" t="n">
        <v>2</v>
      </c>
      <c r="K6" s="3" t="inlineStr">
        <is>
          <t>货币</t>
        </is>
      </c>
      <c r="M6" s="3" t="n">
        <v>30000</v>
      </c>
      <c r="N6" s="3" t="inlineStr">
        <is>
          <t>否</t>
        </is>
      </c>
      <c r="P6" s="3" t="n">
        <v>1</v>
      </c>
      <c r="Q6" s="3" t="inlineStr">
        <is>
          <t>无</t>
        </is>
      </c>
      <c r="R6" s="3" t="n">
        <v>999</v>
      </c>
      <c r="S6" s="3" t="inlineStr">
        <is>
          <t>货币_灵符</t>
        </is>
      </c>
      <c r="U6" s="3" t="n">
        <v>5</v>
      </c>
      <c r="V6" s="3">
        <f>"|cff00FF00"&amp;C6&amp;"，打开后可以获得"&amp;U6&amp;"灵符。"</f>
        <v/>
      </c>
      <c r="W6" s="3" t="inlineStr">
        <is>
          <t>击杀所有怪物，出售道具装备可获得</t>
        </is>
      </c>
      <c r="X6" s="3" t="n">
        <v>31010002</v>
      </c>
      <c r="Y6" s="3" t="inlineStr">
        <is>
          <t>fall_lingfu</t>
        </is>
      </c>
      <c r="AC6" s="3" t="inlineStr">
        <is>
          <t>货币</t>
        </is>
      </c>
      <c r="AD6" s="3" t="inlineStr">
        <is>
          <t>灵符</t>
        </is>
      </c>
    </row>
    <row r="7">
      <c r="B7" s="3" t="n">
        <v>31010003</v>
      </c>
      <c r="C7" s="3" t="inlineStr">
        <is>
          <t>一袋金币</t>
        </is>
      </c>
      <c r="D7" s="3" t="inlineStr">
        <is>
          <t>白色</t>
        </is>
      </c>
      <c r="E7" s="3" t="n">
        <v>3</v>
      </c>
      <c r="F7" s="3" t="n">
        <v>60</v>
      </c>
      <c r="G7" s="3" t="inlineStr">
        <is>
          <t>货币</t>
        </is>
      </c>
      <c r="H7" s="3" t="inlineStr">
        <is>
          <t>大类_基础</t>
        </is>
      </c>
      <c r="I7" s="3" t="inlineStr">
        <is>
          <t>子类_货币</t>
        </is>
      </c>
      <c r="J7" s="3" t="n">
        <v>3</v>
      </c>
      <c r="K7" s="3" t="inlineStr">
        <is>
          <t>货币</t>
        </is>
      </c>
      <c r="M7" s="3" t="n">
        <v>30000</v>
      </c>
      <c r="N7" s="3" t="inlineStr">
        <is>
          <t>否</t>
        </is>
      </c>
      <c r="P7" s="3" t="n">
        <v>1</v>
      </c>
      <c r="Q7" s="3" t="inlineStr">
        <is>
          <t>无</t>
        </is>
      </c>
      <c r="R7" s="3" t="n">
        <v>999</v>
      </c>
      <c r="S7" s="3" t="inlineStr">
        <is>
          <t>货币_金币</t>
        </is>
      </c>
      <c r="U7" s="3" t="n">
        <v>100</v>
      </c>
      <c r="V7" s="3">
        <f>"|cff00FF00"&amp;C7&amp;"，打开后可以获得"&amp;U7&amp;"金币。"</f>
        <v/>
      </c>
      <c r="W7" s="3" t="inlineStr">
        <is>
          <t>击杀所有怪物，出售道具装备可获得</t>
        </is>
      </c>
      <c r="X7" s="3" t="n">
        <v>31010001</v>
      </c>
      <c r="Y7" s="3" t="inlineStr">
        <is>
          <t>fall_coin</t>
        </is>
      </c>
      <c r="AC7" s="3" t="inlineStr">
        <is>
          <t>货币</t>
        </is>
      </c>
      <c r="AD7" s="3" t="inlineStr">
        <is>
          <t>金币</t>
        </is>
      </c>
    </row>
    <row r="8">
      <c r="B8" s="3" t="n">
        <v>31010004</v>
      </c>
      <c r="C8" s="3" t="inlineStr">
        <is>
          <t>一袋灵符</t>
        </is>
      </c>
      <c r="D8" s="3" t="inlineStr">
        <is>
          <t>白色</t>
        </is>
      </c>
      <c r="E8" s="3" t="n">
        <v>4</v>
      </c>
      <c r="F8" s="3" t="n">
        <v>60</v>
      </c>
      <c r="G8" s="3" t="inlineStr">
        <is>
          <t>货币</t>
        </is>
      </c>
      <c r="H8" s="3" t="inlineStr">
        <is>
          <t>大类_基础</t>
        </is>
      </c>
      <c r="I8" s="3" t="inlineStr">
        <is>
          <t>子类_货币</t>
        </is>
      </c>
      <c r="J8" s="3" t="n">
        <v>4</v>
      </c>
      <c r="K8" s="3" t="inlineStr">
        <is>
          <t>货币</t>
        </is>
      </c>
      <c r="M8" s="3" t="n">
        <v>30000</v>
      </c>
      <c r="N8" s="3" t="inlineStr">
        <is>
          <t>否</t>
        </is>
      </c>
      <c r="P8" s="3" t="n">
        <v>1</v>
      </c>
      <c r="Q8" s="3" t="inlineStr">
        <is>
          <t>无</t>
        </is>
      </c>
      <c r="R8" s="3" t="n">
        <v>999</v>
      </c>
      <c r="S8" s="3" t="inlineStr">
        <is>
          <t>货币_灵符</t>
        </is>
      </c>
      <c r="U8" s="3" t="n">
        <v>10</v>
      </c>
      <c r="V8" s="3">
        <f>"|cff00FF00"&amp;C8&amp;"，打开后可以获得"&amp;U8&amp;"灵符。"</f>
        <v/>
      </c>
      <c r="W8" s="3" t="inlineStr">
        <is>
          <t>击杀所有怪物，出售道具装备可获得</t>
        </is>
      </c>
      <c r="X8" s="3" t="n">
        <v>31010002</v>
      </c>
      <c r="Y8" s="3" t="inlineStr">
        <is>
          <t>fall_lingfu</t>
        </is>
      </c>
      <c r="AC8" s="3" t="inlineStr">
        <is>
          <t>货币</t>
        </is>
      </c>
      <c r="AD8" s="3" t="inlineStr">
        <is>
          <t>灵符</t>
        </is>
      </c>
    </row>
    <row r="9">
      <c r="B9" s="3" t="n">
        <v>31010005</v>
      </c>
      <c r="C9" s="3" t="inlineStr">
        <is>
          <t>一大袋金币</t>
        </is>
      </c>
      <c r="D9" s="3" t="inlineStr">
        <is>
          <t>白色</t>
        </is>
      </c>
      <c r="E9" s="3" t="n">
        <v>5</v>
      </c>
      <c r="F9" s="3" t="n">
        <v>60</v>
      </c>
      <c r="G9" s="3" t="inlineStr">
        <is>
          <t>货币</t>
        </is>
      </c>
      <c r="H9" s="3" t="inlineStr">
        <is>
          <t>大类_基础</t>
        </is>
      </c>
      <c r="I9" s="3" t="inlineStr">
        <is>
          <t>子类_货币</t>
        </is>
      </c>
      <c r="J9" s="3" t="n">
        <v>5</v>
      </c>
      <c r="K9" s="3" t="inlineStr">
        <is>
          <t>货币</t>
        </is>
      </c>
      <c r="M9" s="3" t="n">
        <v>30000</v>
      </c>
      <c r="N9" s="3" t="inlineStr">
        <is>
          <t>否</t>
        </is>
      </c>
      <c r="P9" s="3" t="n">
        <v>1</v>
      </c>
      <c r="Q9" s="3" t="inlineStr">
        <is>
          <t>无</t>
        </is>
      </c>
      <c r="R9" s="3" t="n">
        <v>999</v>
      </c>
      <c r="S9" s="3" t="inlineStr">
        <is>
          <t>货币_金币</t>
        </is>
      </c>
      <c r="U9" s="3" t="n">
        <v>500</v>
      </c>
      <c r="V9" s="3">
        <f>"|cff00FF00"&amp;C9&amp;"，打开后可以获得"&amp;U9&amp;"金币。"</f>
        <v/>
      </c>
      <c r="W9" s="3" t="inlineStr">
        <is>
          <t>击杀所有怪物，出售道具装备可获得</t>
        </is>
      </c>
      <c r="X9" s="3" t="n">
        <v>31010001</v>
      </c>
      <c r="Y9" s="3" t="inlineStr">
        <is>
          <t>fall_coin</t>
        </is>
      </c>
      <c r="AC9" s="3" t="inlineStr">
        <is>
          <t>货币</t>
        </is>
      </c>
      <c r="AD9" s="3" t="inlineStr">
        <is>
          <t>金币</t>
        </is>
      </c>
    </row>
    <row r="10">
      <c r="B10" s="3" t="n">
        <v>31010006</v>
      </c>
      <c r="C10" s="3" t="inlineStr">
        <is>
          <t>一大袋灵符</t>
        </is>
      </c>
      <c r="D10" s="3" t="inlineStr">
        <is>
          <t>白色</t>
        </is>
      </c>
      <c r="E10" s="3" t="n">
        <v>6</v>
      </c>
      <c r="F10" s="3" t="n">
        <v>60</v>
      </c>
      <c r="G10" s="3" t="inlineStr">
        <is>
          <t>货币</t>
        </is>
      </c>
      <c r="H10" s="3" t="inlineStr">
        <is>
          <t>大类_基础</t>
        </is>
      </c>
      <c r="I10" s="3" t="inlineStr">
        <is>
          <t>子类_货币</t>
        </is>
      </c>
      <c r="J10" s="3" t="n">
        <v>6</v>
      </c>
      <c r="K10" s="3" t="inlineStr">
        <is>
          <t>货币</t>
        </is>
      </c>
      <c r="M10" s="3" t="n">
        <v>30000</v>
      </c>
      <c r="N10" s="3" t="inlineStr">
        <is>
          <t>否</t>
        </is>
      </c>
      <c r="P10" s="3" t="n">
        <v>1</v>
      </c>
      <c r="Q10" s="3" t="inlineStr">
        <is>
          <t>无</t>
        </is>
      </c>
      <c r="R10" s="3" t="n">
        <v>999</v>
      </c>
      <c r="S10" s="3" t="inlineStr">
        <is>
          <t>货币_灵符</t>
        </is>
      </c>
      <c r="U10" s="3" t="n">
        <v>50</v>
      </c>
      <c r="V10" s="3">
        <f>"|cff00FF00"&amp;C10&amp;"，打开后可以获得"&amp;U10&amp;"灵符。"</f>
        <v/>
      </c>
      <c r="W10" s="3" t="inlineStr">
        <is>
          <t>击杀所有怪物，出售道具装备可获得</t>
        </is>
      </c>
      <c r="X10" s="3" t="n">
        <v>31010002</v>
      </c>
      <c r="Y10" s="3" t="inlineStr">
        <is>
          <t>fall_lingfu</t>
        </is>
      </c>
      <c r="AC10" s="3" t="inlineStr">
        <is>
          <t>货币</t>
        </is>
      </c>
      <c r="AD10" s="3" t="inlineStr">
        <is>
          <t>灵符</t>
        </is>
      </c>
    </row>
    <row r="11">
      <c r="B11" s="3" t="n">
        <v>31010007</v>
      </c>
      <c r="C11" s="3" t="inlineStr">
        <is>
          <t>一箱金币</t>
        </is>
      </c>
      <c r="D11" s="3" t="inlineStr">
        <is>
          <t>白色</t>
        </is>
      </c>
      <c r="E11" s="3" t="n">
        <v>7</v>
      </c>
      <c r="F11" s="3" t="n">
        <v>60</v>
      </c>
      <c r="G11" s="3" t="inlineStr">
        <is>
          <t>货币</t>
        </is>
      </c>
      <c r="H11" s="3" t="inlineStr">
        <is>
          <t>大类_基础</t>
        </is>
      </c>
      <c r="I11" s="3" t="inlineStr">
        <is>
          <t>子类_货币</t>
        </is>
      </c>
      <c r="J11" s="3" t="n">
        <v>7</v>
      </c>
      <c r="K11" s="3" t="inlineStr">
        <is>
          <t>货币</t>
        </is>
      </c>
      <c r="M11" s="3" t="n">
        <v>30000</v>
      </c>
      <c r="N11" s="3" t="inlineStr">
        <is>
          <t>否</t>
        </is>
      </c>
      <c r="P11" s="3" t="n">
        <v>1</v>
      </c>
      <c r="Q11" s="3" t="inlineStr">
        <is>
          <t>无</t>
        </is>
      </c>
      <c r="R11" s="3" t="n">
        <v>999</v>
      </c>
      <c r="S11" s="3" t="inlineStr">
        <is>
          <t>货币_金币</t>
        </is>
      </c>
      <c r="U11" s="3" t="n">
        <v>1000</v>
      </c>
      <c r="V11" s="3">
        <f>"|cff00FF00"&amp;C11&amp;"，打开后可以获得"&amp;U11&amp;"金币。"</f>
        <v/>
      </c>
      <c r="W11" s="3" t="inlineStr">
        <is>
          <t>击杀所有怪物，出售道具装备可获得</t>
        </is>
      </c>
      <c r="X11" s="3" t="n">
        <v>31010001</v>
      </c>
      <c r="Y11" s="3" t="inlineStr">
        <is>
          <t>fall_coin</t>
        </is>
      </c>
      <c r="AC11" s="3" t="inlineStr">
        <is>
          <t>货币</t>
        </is>
      </c>
      <c r="AD11" s="3" t="inlineStr">
        <is>
          <t>金币</t>
        </is>
      </c>
    </row>
    <row r="12">
      <c r="B12" s="3" t="n">
        <v>31010008</v>
      </c>
      <c r="C12" s="3" t="inlineStr">
        <is>
          <t>一箱灵符</t>
        </is>
      </c>
      <c r="D12" s="3" t="inlineStr">
        <is>
          <t>白色</t>
        </is>
      </c>
      <c r="E12" s="3" t="n">
        <v>8</v>
      </c>
      <c r="F12" s="3" t="n">
        <v>60</v>
      </c>
      <c r="G12" s="3" t="inlineStr">
        <is>
          <t>货币</t>
        </is>
      </c>
      <c r="H12" s="3" t="inlineStr">
        <is>
          <t>大类_基础</t>
        </is>
      </c>
      <c r="I12" s="3" t="inlineStr">
        <is>
          <t>子类_货币</t>
        </is>
      </c>
      <c r="J12" s="3" t="n">
        <v>8</v>
      </c>
      <c r="K12" s="3" t="inlineStr">
        <is>
          <t>货币</t>
        </is>
      </c>
      <c r="M12" s="3" t="n">
        <v>30000</v>
      </c>
      <c r="N12" s="3" t="inlineStr">
        <is>
          <t>否</t>
        </is>
      </c>
      <c r="P12" s="3" t="n">
        <v>1</v>
      </c>
      <c r="Q12" s="3" t="inlineStr">
        <is>
          <t>无</t>
        </is>
      </c>
      <c r="R12" s="3" t="n">
        <v>999</v>
      </c>
      <c r="S12" s="3" t="inlineStr">
        <is>
          <t>货币_灵符</t>
        </is>
      </c>
      <c r="U12" s="3" t="n">
        <v>100</v>
      </c>
      <c r="V12" s="3">
        <f>"|cff00FF00"&amp;C12&amp;"，打开后可以获得"&amp;U12&amp;"灵符。"</f>
        <v/>
      </c>
      <c r="W12" s="3" t="inlineStr">
        <is>
          <t>击杀所有怪物，出售道具装备可获得</t>
        </is>
      </c>
      <c r="X12" s="3" t="n">
        <v>31010002</v>
      </c>
      <c r="Y12" s="3" t="inlineStr">
        <is>
          <t>fall_lingfu</t>
        </is>
      </c>
      <c r="AC12" s="3" t="inlineStr">
        <is>
          <t>货币</t>
        </is>
      </c>
      <c r="AD12" s="3" t="inlineStr">
        <is>
          <t>灵符</t>
        </is>
      </c>
    </row>
    <row r="13">
      <c r="B13" s="3" t="n">
        <v>31010009</v>
      </c>
      <c r="C13" s="3" t="inlineStr">
        <is>
          <t>一大箱金币</t>
        </is>
      </c>
      <c r="D13" s="3" t="inlineStr">
        <is>
          <t>白色</t>
        </is>
      </c>
      <c r="E13" s="3" t="n">
        <v>9</v>
      </c>
      <c r="F13" s="3" t="n">
        <v>60</v>
      </c>
      <c r="G13" s="3" t="inlineStr">
        <is>
          <t>货币</t>
        </is>
      </c>
      <c r="H13" s="3" t="inlineStr">
        <is>
          <t>大类_基础</t>
        </is>
      </c>
      <c r="I13" s="3" t="inlineStr">
        <is>
          <t>子类_货币</t>
        </is>
      </c>
      <c r="J13" s="3" t="n">
        <v>9</v>
      </c>
      <c r="K13" s="3" t="inlineStr">
        <is>
          <t>货币</t>
        </is>
      </c>
      <c r="M13" s="3" t="n">
        <v>30000</v>
      </c>
      <c r="N13" s="3" t="inlineStr">
        <is>
          <t>否</t>
        </is>
      </c>
      <c r="P13" s="3" t="n">
        <v>1</v>
      </c>
      <c r="Q13" s="3" t="inlineStr">
        <is>
          <t>无</t>
        </is>
      </c>
      <c r="R13" s="3" t="n">
        <v>999</v>
      </c>
      <c r="S13" s="3" t="inlineStr">
        <is>
          <t>货币_金币</t>
        </is>
      </c>
      <c r="U13" s="3" t="n">
        <v>5000</v>
      </c>
      <c r="V13" s="3">
        <f>"|cff00FF00"&amp;C13&amp;"，打开后可以获得"&amp;U13&amp;"金币。"</f>
        <v/>
      </c>
      <c r="W13" s="3" t="inlineStr">
        <is>
          <t>击杀所有怪物，出售道具装备可获得</t>
        </is>
      </c>
      <c r="X13" s="3" t="n">
        <v>31010001</v>
      </c>
      <c r="Y13" s="3" t="inlineStr">
        <is>
          <t>fall_coin</t>
        </is>
      </c>
      <c r="AC13" s="3" t="inlineStr">
        <is>
          <t>货币</t>
        </is>
      </c>
      <c r="AD13" s="3" t="inlineStr">
        <is>
          <t>金币</t>
        </is>
      </c>
    </row>
    <row r="14">
      <c r="B14" s="3" t="n">
        <v>31010010</v>
      </c>
      <c r="C14" s="3" t="inlineStr">
        <is>
          <t>一大箱灵符</t>
        </is>
      </c>
      <c r="D14" s="3" t="inlineStr">
        <is>
          <t>白色</t>
        </is>
      </c>
      <c r="E14" s="3" t="n">
        <v>10</v>
      </c>
      <c r="F14" s="3" t="n">
        <v>60</v>
      </c>
      <c r="G14" s="3" t="inlineStr">
        <is>
          <t>货币</t>
        </is>
      </c>
      <c r="H14" s="3" t="inlineStr">
        <is>
          <t>大类_基础</t>
        </is>
      </c>
      <c r="I14" s="3" t="inlineStr">
        <is>
          <t>子类_货币</t>
        </is>
      </c>
      <c r="J14" s="3" t="n">
        <v>10</v>
      </c>
      <c r="K14" s="3" t="inlineStr">
        <is>
          <t>货币</t>
        </is>
      </c>
      <c r="M14" s="3" t="n">
        <v>30000</v>
      </c>
      <c r="N14" s="3" t="inlineStr">
        <is>
          <t>否</t>
        </is>
      </c>
      <c r="P14" s="3" t="n">
        <v>1</v>
      </c>
      <c r="Q14" s="3" t="inlineStr">
        <is>
          <t>无</t>
        </is>
      </c>
      <c r="R14" s="3" t="n">
        <v>999</v>
      </c>
      <c r="S14" s="3" t="inlineStr">
        <is>
          <t>货币_灵符</t>
        </is>
      </c>
      <c r="U14" s="3" t="n">
        <v>500</v>
      </c>
      <c r="V14" s="3">
        <f>"|cff00FF00"&amp;C14&amp;"，打开后可以获得"&amp;U14&amp;"灵符。"</f>
        <v/>
      </c>
      <c r="W14" s="3" t="inlineStr">
        <is>
          <t>击杀所有怪物，出售道具装备可获得</t>
        </is>
      </c>
      <c r="X14" s="3" t="n">
        <v>31010002</v>
      </c>
      <c r="Y14" s="3" t="inlineStr">
        <is>
          <t>fall_lingfu</t>
        </is>
      </c>
      <c r="AC14" s="3" t="inlineStr">
        <is>
          <t>货币</t>
        </is>
      </c>
      <c r="AD14" s="3" t="inlineStr">
        <is>
          <t>灵符</t>
        </is>
      </c>
    </row>
    <row r="15">
      <c r="B15" s="3" t="n">
        <v>31010011</v>
      </c>
      <c r="C15" s="3" t="inlineStr">
        <is>
          <t>一车金币</t>
        </is>
      </c>
      <c r="D15" s="3" t="inlineStr">
        <is>
          <t>白色</t>
        </is>
      </c>
      <c r="E15" s="3" t="n">
        <v>11</v>
      </c>
      <c r="F15" s="3" t="n">
        <v>60</v>
      </c>
      <c r="G15" s="3" t="inlineStr">
        <is>
          <t>货币</t>
        </is>
      </c>
      <c r="H15" s="3" t="inlineStr">
        <is>
          <t>大类_基础</t>
        </is>
      </c>
      <c r="I15" s="3" t="inlineStr">
        <is>
          <t>子类_货币</t>
        </is>
      </c>
      <c r="J15" s="3" t="n">
        <v>11</v>
      </c>
      <c r="K15" s="3" t="inlineStr">
        <is>
          <t>货币</t>
        </is>
      </c>
      <c r="M15" s="3" t="n">
        <v>30000</v>
      </c>
      <c r="N15" s="3" t="inlineStr">
        <is>
          <t>否</t>
        </is>
      </c>
      <c r="P15" s="3" t="n">
        <v>1</v>
      </c>
      <c r="Q15" s="3" t="inlineStr">
        <is>
          <t>无</t>
        </is>
      </c>
      <c r="R15" s="3" t="n">
        <v>999</v>
      </c>
      <c r="S15" s="3" t="inlineStr">
        <is>
          <t>货币_金币</t>
        </is>
      </c>
      <c r="U15" s="3" t="n">
        <v>10000</v>
      </c>
      <c r="V15" s="3">
        <f>"|cff00FF00"&amp;C15&amp;"，打开后可以获得"&amp;U15&amp;"金币。"</f>
        <v/>
      </c>
      <c r="W15" s="3" t="inlineStr">
        <is>
          <t>击杀所有怪物，出售道具装备可获得</t>
        </is>
      </c>
      <c r="X15" s="3" t="n">
        <v>31010001</v>
      </c>
      <c r="Y15" s="3" t="inlineStr">
        <is>
          <t>fall_coin</t>
        </is>
      </c>
      <c r="AC15" s="3" t="inlineStr">
        <is>
          <t>货币</t>
        </is>
      </c>
      <c r="AD15" s="3" t="inlineStr">
        <is>
          <t>金币</t>
        </is>
      </c>
    </row>
    <row r="16">
      <c r="B16" s="3" t="n">
        <v>31010012</v>
      </c>
      <c r="C16" s="3" t="inlineStr">
        <is>
          <t>一车灵符</t>
        </is>
      </c>
      <c r="D16" s="3" t="inlineStr">
        <is>
          <t>白色</t>
        </is>
      </c>
      <c r="E16" s="3" t="n">
        <v>12</v>
      </c>
      <c r="F16" s="3" t="n">
        <v>60</v>
      </c>
      <c r="G16" s="3" t="inlineStr">
        <is>
          <t>货币</t>
        </is>
      </c>
      <c r="H16" s="3" t="inlineStr">
        <is>
          <t>大类_基础</t>
        </is>
      </c>
      <c r="I16" s="3" t="inlineStr">
        <is>
          <t>子类_货币</t>
        </is>
      </c>
      <c r="J16" s="3" t="n">
        <v>12</v>
      </c>
      <c r="K16" s="3" t="inlineStr">
        <is>
          <t>货币</t>
        </is>
      </c>
      <c r="M16" s="3" t="n">
        <v>30000</v>
      </c>
      <c r="N16" s="3" t="inlineStr">
        <is>
          <t>否</t>
        </is>
      </c>
      <c r="P16" s="3" t="n">
        <v>1</v>
      </c>
      <c r="Q16" s="3" t="inlineStr">
        <is>
          <t>无</t>
        </is>
      </c>
      <c r="R16" s="3" t="n">
        <v>999</v>
      </c>
      <c r="S16" s="3" t="inlineStr">
        <is>
          <t>货币_灵符</t>
        </is>
      </c>
      <c r="U16" s="3" t="n">
        <v>100</v>
      </c>
      <c r="V16" s="3">
        <f>"|cff00FF00"&amp;C16&amp;"，打开后可以获得"&amp;U16&amp;"灵符。"</f>
        <v/>
      </c>
      <c r="W16" s="3" t="inlineStr">
        <is>
          <t>击杀所有怪物，出售道具装备可获得</t>
        </is>
      </c>
      <c r="X16" s="3" t="n">
        <v>31010002</v>
      </c>
      <c r="Y16" s="3" t="inlineStr">
        <is>
          <t>fall_lingfu</t>
        </is>
      </c>
      <c r="AC16" s="3" t="inlineStr">
        <is>
          <t>货币</t>
        </is>
      </c>
      <c r="AD16" s="3" t="inlineStr">
        <is>
          <t>灵符</t>
        </is>
      </c>
    </row>
    <row r="17">
      <c r="B17" s="3" t="n">
        <v>31010013</v>
      </c>
      <c r="C17" s="3" t="inlineStr">
        <is>
          <t>一卡车金币</t>
        </is>
      </c>
      <c r="D17" s="3" t="inlineStr">
        <is>
          <t>白色</t>
        </is>
      </c>
      <c r="E17" s="3" t="n">
        <v>13</v>
      </c>
      <c r="F17" s="3" t="n">
        <v>60</v>
      </c>
      <c r="G17" s="3" t="inlineStr">
        <is>
          <t>货币</t>
        </is>
      </c>
      <c r="H17" s="3" t="inlineStr">
        <is>
          <t>大类_基础</t>
        </is>
      </c>
      <c r="I17" s="3" t="inlineStr">
        <is>
          <t>子类_货币</t>
        </is>
      </c>
      <c r="J17" s="3" t="n">
        <v>13</v>
      </c>
      <c r="K17" s="3" t="inlineStr">
        <is>
          <t>货币</t>
        </is>
      </c>
      <c r="M17" s="3" t="n">
        <v>30000</v>
      </c>
      <c r="N17" s="3" t="inlineStr">
        <is>
          <t>否</t>
        </is>
      </c>
      <c r="P17" s="3" t="n">
        <v>1</v>
      </c>
      <c r="Q17" s="3" t="inlineStr">
        <is>
          <t>无</t>
        </is>
      </c>
      <c r="R17" s="3" t="n">
        <v>999</v>
      </c>
      <c r="S17" s="3" t="inlineStr">
        <is>
          <t>货币_金币</t>
        </is>
      </c>
      <c r="U17" s="3" t="n">
        <v>50000</v>
      </c>
      <c r="V17" s="3">
        <f>"|cff00FF00"&amp;C17&amp;"，打开后可以获得"&amp;U17&amp;"金币。"</f>
        <v/>
      </c>
      <c r="W17" s="3" t="inlineStr">
        <is>
          <t>击杀所有怪物，出售道具装备可获得</t>
        </is>
      </c>
      <c r="X17" s="3" t="n">
        <v>31010001</v>
      </c>
      <c r="Y17" s="3" t="inlineStr">
        <is>
          <t>fall_coin</t>
        </is>
      </c>
      <c r="AC17" s="3" t="inlineStr">
        <is>
          <t>货币</t>
        </is>
      </c>
      <c r="AD17" s="3" t="inlineStr">
        <is>
          <t>金币</t>
        </is>
      </c>
    </row>
    <row r="18">
      <c r="B18" s="3" t="n">
        <v>31010014</v>
      </c>
      <c r="C18" s="3" t="inlineStr">
        <is>
          <t>一卡车灵符</t>
        </is>
      </c>
      <c r="D18" s="3" t="inlineStr">
        <is>
          <t>白色</t>
        </is>
      </c>
      <c r="E18" s="3" t="n">
        <v>14</v>
      </c>
      <c r="F18" s="3" t="n">
        <v>60</v>
      </c>
      <c r="G18" s="3" t="inlineStr">
        <is>
          <t>货币</t>
        </is>
      </c>
      <c r="H18" s="3" t="inlineStr">
        <is>
          <t>大类_基础</t>
        </is>
      </c>
      <c r="I18" s="3" t="inlineStr">
        <is>
          <t>子类_货币</t>
        </is>
      </c>
      <c r="J18" s="3" t="n">
        <v>14</v>
      </c>
      <c r="K18" s="3" t="inlineStr">
        <is>
          <t>货币</t>
        </is>
      </c>
      <c r="M18" s="3" t="n">
        <v>30000</v>
      </c>
      <c r="N18" s="3" t="inlineStr">
        <is>
          <t>否</t>
        </is>
      </c>
      <c r="P18" s="3" t="n">
        <v>1</v>
      </c>
      <c r="Q18" s="3" t="inlineStr">
        <is>
          <t>无</t>
        </is>
      </c>
      <c r="R18" s="3" t="n">
        <v>999</v>
      </c>
      <c r="S18" s="3" t="inlineStr">
        <is>
          <t>货币_灵符</t>
        </is>
      </c>
      <c r="U18" s="3" t="n">
        <v>500</v>
      </c>
      <c r="V18" s="3">
        <f>"|cff00FF00"&amp;C18&amp;"，打开后可以获得"&amp;U18&amp;"灵符。"</f>
        <v/>
      </c>
      <c r="W18" s="3" t="inlineStr">
        <is>
          <t>击杀所有怪物，出售道具装备可获得</t>
        </is>
      </c>
      <c r="X18" s="3" t="n">
        <v>31010002</v>
      </c>
      <c r="Y18" s="3" t="inlineStr">
        <is>
          <t>fall_lingfu</t>
        </is>
      </c>
      <c r="AC18" s="3" t="inlineStr">
        <is>
          <t>货币</t>
        </is>
      </c>
      <c r="AD18" s="3" t="inlineStr">
        <is>
          <t>灵符</t>
        </is>
      </c>
    </row>
    <row r="19" ht="16.5" customHeight="1" s="2">
      <c r="B19" s="3" t="n">
        <v>31010015</v>
      </c>
      <c r="C19" s="3" t="inlineStr">
        <is>
          <t>活跃丹</t>
        </is>
      </c>
      <c r="D19" s="3" t="inlineStr">
        <is>
          <t>紫色</t>
        </is>
      </c>
      <c r="E19" s="3" t="n">
        <v>15</v>
      </c>
      <c r="F19" s="3" t="n">
        <v>60</v>
      </c>
      <c r="G19" s="3" t="inlineStr">
        <is>
          <t>货币</t>
        </is>
      </c>
      <c r="H19" s="3" t="inlineStr">
        <is>
          <t>大类_基础</t>
        </is>
      </c>
      <c r="I19" s="3" t="inlineStr">
        <is>
          <t>子类_货币</t>
        </is>
      </c>
      <c r="J19" s="3" t="n">
        <v>15</v>
      </c>
      <c r="K19" s="3" t="inlineStr">
        <is>
          <t>货币</t>
        </is>
      </c>
      <c r="M19" s="3" t="n">
        <v>30000</v>
      </c>
      <c r="N19" s="3" t="inlineStr">
        <is>
          <t>否</t>
        </is>
      </c>
      <c r="P19" s="3" t="n">
        <v>1</v>
      </c>
      <c r="Q19" s="3" t="inlineStr">
        <is>
          <t>无</t>
        </is>
      </c>
      <c r="R19" s="3" t="n">
        <v>999</v>
      </c>
      <c r="S19" s="3" t="inlineStr">
        <is>
          <t>货币_活跃点</t>
        </is>
      </c>
      <c r="U19" s="3" t="n">
        <v>1000</v>
      </c>
      <c r="V19" s="3">
        <f>"|cff00FF00"&amp;C19&amp;"，打开后可以获得"&amp;U19&amp;"活跃点。"</f>
        <v/>
      </c>
      <c r="W19" s="3" t="inlineStr">
        <is>
          <t>系统赠送获得</t>
        </is>
      </c>
      <c r="Y19" s="3" t="inlineStr">
        <is>
          <t>fall_lingfu</t>
        </is>
      </c>
      <c r="Z19" s="3" t="inlineStr">
        <is>
          <t>ain_effect_ziseguangzhu_85</t>
        </is>
      </c>
      <c r="AA19" s="3" t="inlineStr">
        <is>
          <t>BK_J_zi</t>
        </is>
      </c>
      <c r="AB19" s="3" t="inlineStr">
        <is>
          <t>BK_D_zi</t>
        </is>
      </c>
      <c r="AC19" s="3" t="inlineStr">
        <is>
          <t>货币</t>
        </is>
      </c>
      <c r="AD19" s="3" t="inlineStr">
        <is>
          <t>活跃点</t>
        </is>
      </c>
    </row>
    <row r="20" ht="16.5" customHeight="1" s="2">
      <c r="B20" s="3" t="n">
        <v>31010016</v>
      </c>
      <c r="C20" s="3" t="inlineStr">
        <is>
          <t>声望丹</t>
        </is>
      </c>
      <c r="D20" s="3" t="inlineStr">
        <is>
          <t>紫色</t>
        </is>
      </c>
      <c r="E20" s="3" t="n">
        <v>16</v>
      </c>
      <c r="F20" s="3" t="n">
        <v>60</v>
      </c>
      <c r="G20" s="3" t="inlineStr">
        <is>
          <t>货币</t>
        </is>
      </c>
      <c r="H20" s="3" t="inlineStr">
        <is>
          <t>大类_基础</t>
        </is>
      </c>
      <c r="I20" s="3" t="inlineStr">
        <is>
          <t>子类_货币</t>
        </is>
      </c>
      <c r="J20" s="3" t="n">
        <v>16</v>
      </c>
      <c r="K20" s="3" t="inlineStr">
        <is>
          <t>货币</t>
        </is>
      </c>
      <c r="M20" s="3" t="n">
        <v>30000</v>
      </c>
      <c r="N20" s="3" t="inlineStr">
        <is>
          <t>否</t>
        </is>
      </c>
      <c r="P20" s="3" t="n">
        <v>1</v>
      </c>
      <c r="Q20" s="3" t="inlineStr">
        <is>
          <t>无</t>
        </is>
      </c>
      <c r="R20" s="3" t="n">
        <v>999</v>
      </c>
      <c r="S20" s="3" t="inlineStr">
        <is>
          <t>货币_声望点</t>
        </is>
      </c>
      <c r="U20" s="3" t="n">
        <v>1000</v>
      </c>
      <c r="V20" s="3">
        <f>"|cff00FF00"&amp;C20&amp;"，打开后可以获得"&amp;U20&amp;"声望点。"</f>
        <v/>
      </c>
      <c r="W20" s="3" t="inlineStr">
        <is>
          <t>系统赠送获得</t>
        </is>
      </c>
      <c r="Y20" s="3" t="inlineStr">
        <is>
          <t>fall_lingfu</t>
        </is>
      </c>
      <c r="Z20" s="3" t="inlineStr">
        <is>
          <t>ain_effect_ziseguangzhu_85</t>
        </is>
      </c>
      <c r="AA20" s="3" t="inlineStr">
        <is>
          <t>BK_J_zi</t>
        </is>
      </c>
      <c r="AB20" s="3" t="inlineStr">
        <is>
          <t>BK_D_zi</t>
        </is>
      </c>
      <c r="AC20" s="3" t="inlineStr">
        <is>
          <t>货币</t>
        </is>
      </c>
      <c r="AD20" s="3" t="inlineStr">
        <is>
          <t>声望点</t>
        </is>
      </c>
    </row>
    <row r="21" ht="16.5" customHeight="1" s="2">
      <c r="B21" s="3" t="n">
        <v>34020001</v>
      </c>
      <c r="C21" s="3" t="inlineStr">
        <is>
          <t>基础剑术</t>
        </is>
      </c>
      <c r="D21" s="3" t="inlineStr">
        <is>
          <t>绿色</t>
        </is>
      </c>
      <c r="E21" s="3" t="n">
        <v>1</v>
      </c>
      <c r="F21" s="3" t="n">
        <v>60</v>
      </c>
      <c r="G21" s="3" t="inlineStr">
        <is>
          <t>技能</t>
        </is>
      </c>
      <c r="H21" s="3" t="inlineStr">
        <is>
          <t>大类_基础</t>
        </is>
      </c>
      <c r="I21" s="3" t="inlineStr">
        <is>
          <t>子类_技能书</t>
        </is>
      </c>
      <c r="J21" s="3" t="n">
        <v>1</v>
      </c>
      <c r="K21" s="3" t="inlineStr">
        <is>
          <t>技能书</t>
        </is>
      </c>
      <c r="M21" s="3" t="n">
        <v>30000</v>
      </c>
      <c r="N21" s="3" t="inlineStr">
        <is>
          <t>是</t>
        </is>
      </c>
      <c r="P21" s="3" t="n">
        <v>7</v>
      </c>
      <c r="Q21" s="3" t="inlineStr">
        <is>
          <t>体修</t>
        </is>
      </c>
      <c r="R21" s="3" t="n">
        <v>999</v>
      </c>
      <c r="S21" s="3" t="inlineStr">
        <is>
          <t>技能书</t>
        </is>
      </c>
      <c r="T21" s="3" t="n">
        <v>10010001</v>
      </c>
      <c r="V21" s="3">
        <f>"|cff00FF00达到"&amp;P21&amp;"级后可以学习技能"&amp;C21&amp;"，也可以在当前技能经验满后对该技能进行升级。"</f>
        <v/>
      </c>
      <c r="W21" s="3" t="inlineStr">
        <is>
          <t>击杀沃玛怪物获得</t>
        </is>
      </c>
      <c r="X21" s="3" t="n">
        <v>34020001</v>
      </c>
      <c r="Y21" s="7" t="inlineStr">
        <is>
          <t>fall_jinengshu_01</t>
        </is>
      </c>
      <c r="Z21" s="3" t="inlineStr">
        <is>
          <t>ain_effect_lvseguangzhu_88</t>
        </is>
      </c>
      <c r="AA21" s="3" t="inlineStr">
        <is>
          <t>BK_J_lv</t>
        </is>
      </c>
      <c r="AB21" s="3" t="inlineStr">
        <is>
          <t>BK_D_lv</t>
        </is>
      </c>
      <c r="AC21" s="8" t="inlineStr">
        <is>
          <t>材料</t>
        </is>
      </c>
      <c r="AD21" s="9" t="inlineStr">
        <is>
          <t>战士技能书</t>
        </is>
      </c>
    </row>
    <row r="22" ht="16.5" customHeight="1" s="2">
      <c r="B22" s="3" t="n">
        <v>34020002</v>
      </c>
      <c r="C22" s="3" t="inlineStr">
        <is>
          <t>攻杀剑术</t>
        </is>
      </c>
      <c r="D22" s="3" t="inlineStr">
        <is>
          <t>绿色</t>
        </is>
      </c>
      <c r="E22" s="3" t="n">
        <v>2</v>
      </c>
      <c r="F22" s="3" t="n">
        <v>60</v>
      </c>
      <c r="G22" s="3" t="inlineStr">
        <is>
          <t>技能</t>
        </is>
      </c>
      <c r="H22" s="3" t="inlineStr">
        <is>
          <t>大类_基础</t>
        </is>
      </c>
      <c r="I22" s="3" t="inlineStr">
        <is>
          <t>子类_技能书</t>
        </is>
      </c>
      <c r="J22" s="3" t="n">
        <v>1</v>
      </c>
      <c r="K22" s="3" t="inlineStr">
        <is>
          <t>技能书</t>
        </is>
      </c>
      <c r="M22" s="3" t="n">
        <v>30000</v>
      </c>
      <c r="N22" s="3" t="inlineStr">
        <is>
          <t>是</t>
        </is>
      </c>
      <c r="P22" s="3" t="n">
        <v>19</v>
      </c>
      <c r="Q22" s="3" t="inlineStr">
        <is>
          <t>体修</t>
        </is>
      </c>
      <c r="R22" s="3" t="n">
        <v>999</v>
      </c>
      <c r="S22" s="3" t="inlineStr">
        <is>
          <t>技能书</t>
        </is>
      </c>
      <c r="T22" s="3" t="n">
        <v>10020001</v>
      </c>
      <c r="V22" s="3">
        <f>"|cff00FF00达到"&amp;P22&amp;"级后可以学习技能"&amp;C22&amp;"，也可以在当前技能经验满后对该技能进行升级。"</f>
        <v/>
      </c>
      <c r="W22" s="3" t="inlineStr">
        <is>
          <t>击杀沃玛怪物获得</t>
        </is>
      </c>
      <c r="X22" s="3" t="n">
        <v>34020001</v>
      </c>
      <c r="Y22" s="7" t="inlineStr">
        <is>
          <t>fall_jinengshu_01</t>
        </is>
      </c>
      <c r="Z22" s="3" t="inlineStr">
        <is>
          <t>ain_effect_lvseguangzhu_88</t>
        </is>
      </c>
      <c r="AA22" s="3" t="inlineStr">
        <is>
          <t>BK_J_lv</t>
        </is>
      </c>
      <c r="AB22" s="3" t="inlineStr">
        <is>
          <t>BK_D_lv</t>
        </is>
      </c>
      <c r="AC22" s="8" t="inlineStr">
        <is>
          <t>材料</t>
        </is>
      </c>
      <c r="AD22" s="9" t="inlineStr">
        <is>
          <t>战士技能书</t>
        </is>
      </c>
    </row>
    <row r="23" ht="16.5" customHeight="1" s="2">
      <c r="B23" s="3" t="n">
        <v>34020003</v>
      </c>
      <c r="C23" s="3" t="inlineStr">
        <is>
          <t>刺杀剑术</t>
        </is>
      </c>
      <c r="D23" s="3" t="inlineStr">
        <is>
          <t>绿色</t>
        </is>
      </c>
      <c r="E23" s="3" t="n">
        <v>3</v>
      </c>
      <c r="F23" s="3" t="n">
        <v>60</v>
      </c>
      <c r="G23" s="3" t="inlineStr">
        <is>
          <t>技能</t>
        </is>
      </c>
      <c r="H23" s="3" t="inlineStr">
        <is>
          <t>大类_基础</t>
        </is>
      </c>
      <c r="I23" s="3" t="inlineStr">
        <is>
          <t>子类_技能书</t>
        </is>
      </c>
      <c r="J23" s="3" t="n">
        <v>1</v>
      </c>
      <c r="K23" s="3" t="inlineStr">
        <is>
          <t>技能书</t>
        </is>
      </c>
      <c r="M23" s="3" t="n">
        <v>30000</v>
      </c>
      <c r="N23" s="3" t="inlineStr">
        <is>
          <t>是</t>
        </is>
      </c>
      <c r="P23" s="3" t="n">
        <v>25</v>
      </c>
      <c r="Q23" s="3" t="inlineStr">
        <is>
          <t>体修</t>
        </is>
      </c>
      <c r="R23" s="3" t="n">
        <v>999</v>
      </c>
      <c r="S23" s="3" t="inlineStr">
        <is>
          <t>技能书</t>
        </is>
      </c>
      <c r="T23" s="3" t="n">
        <v>10030001</v>
      </c>
      <c r="V23" s="3">
        <f>"|cff00FF00达到"&amp;P23&amp;"级后可以学习技能"&amp;C23&amp;"，也可以在当前技能经验满后对该技能进行升级。"</f>
        <v/>
      </c>
      <c r="W23" s="3" t="inlineStr">
        <is>
          <t>击杀祖玛怪物获得</t>
        </is>
      </c>
      <c r="X23" s="3" t="n">
        <v>34020001</v>
      </c>
      <c r="Y23" s="7" t="inlineStr">
        <is>
          <t>fall_jinengshu_01</t>
        </is>
      </c>
      <c r="Z23" s="3" t="inlineStr">
        <is>
          <t>ain_effect_lvseguangzhu_88</t>
        </is>
      </c>
      <c r="AA23" s="3" t="inlineStr">
        <is>
          <t>BK_J_lv</t>
        </is>
      </c>
      <c r="AB23" s="3" t="inlineStr">
        <is>
          <t>BK_D_lv</t>
        </is>
      </c>
      <c r="AC23" s="8" t="inlineStr">
        <is>
          <t>材料</t>
        </is>
      </c>
      <c r="AD23" s="9" t="inlineStr">
        <is>
          <t>战士技能书</t>
        </is>
      </c>
    </row>
    <row r="24" ht="16.5" customHeight="1" s="2">
      <c r="B24" s="3" t="n">
        <v>34020004</v>
      </c>
      <c r="C24" s="3" t="inlineStr">
        <is>
          <t>半月弯刀</t>
        </is>
      </c>
      <c r="D24" s="3" t="inlineStr">
        <is>
          <t>绿色</t>
        </is>
      </c>
      <c r="E24" s="3" t="n">
        <v>4</v>
      </c>
      <c r="F24" s="3" t="n">
        <v>60</v>
      </c>
      <c r="G24" s="3" t="inlineStr">
        <is>
          <t>技能</t>
        </is>
      </c>
      <c r="H24" s="3" t="inlineStr">
        <is>
          <t>大类_基础</t>
        </is>
      </c>
      <c r="I24" s="3" t="inlineStr">
        <is>
          <t>子类_技能书</t>
        </is>
      </c>
      <c r="J24" s="3" t="n">
        <v>1</v>
      </c>
      <c r="K24" s="3" t="inlineStr">
        <is>
          <t>技能书</t>
        </is>
      </c>
      <c r="M24" s="3" t="n">
        <v>30000</v>
      </c>
      <c r="N24" s="3" t="inlineStr">
        <is>
          <t>是</t>
        </is>
      </c>
      <c r="P24" s="3" t="n">
        <v>28</v>
      </c>
      <c r="Q24" s="3" t="inlineStr">
        <is>
          <t>体修</t>
        </is>
      </c>
      <c r="R24" s="3" t="n">
        <v>999</v>
      </c>
      <c r="S24" s="3" t="inlineStr">
        <is>
          <t>技能书</t>
        </is>
      </c>
      <c r="T24" s="3" t="n">
        <v>10040001</v>
      </c>
      <c r="V24" s="3">
        <f>"|cff00FF00达到"&amp;P24&amp;"级后可以学习技能"&amp;C24&amp;"，也可以在当前技能经验满后对该技能进行升级。"</f>
        <v/>
      </c>
      <c r="W24" s="3" t="inlineStr">
        <is>
          <t>击杀祖玛怪物获得</t>
        </is>
      </c>
      <c r="X24" s="3" t="n">
        <v>34020001</v>
      </c>
      <c r="Y24" s="7" t="inlineStr">
        <is>
          <t>fall_jinengshu_01</t>
        </is>
      </c>
      <c r="Z24" s="3" t="inlineStr">
        <is>
          <t>ain_effect_lvseguangzhu_88</t>
        </is>
      </c>
      <c r="AA24" s="3" t="inlineStr">
        <is>
          <t>BK_J_lv</t>
        </is>
      </c>
      <c r="AB24" s="3" t="inlineStr">
        <is>
          <t>BK_D_lv</t>
        </is>
      </c>
      <c r="AC24" s="8" t="inlineStr">
        <is>
          <t>材料</t>
        </is>
      </c>
      <c r="AD24" s="9" t="inlineStr">
        <is>
          <t>战士技能书</t>
        </is>
      </c>
    </row>
    <row r="25" ht="16.5" customHeight="1" s="2">
      <c r="B25" s="3" t="n">
        <v>34020005</v>
      </c>
      <c r="C25" s="3" t="inlineStr">
        <is>
          <t>野蛮冲撞</t>
        </is>
      </c>
      <c r="D25" s="3" t="inlineStr">
        <is>
          <t>绿色</t>
        </is>
      </c>
      <c r="E25" s="3" t="n">
        <v>5</v>
      </c>
      <c r="F25" s="3" t="n">
        <v>60</v>
      </c>
      <c r="G25" s="3" t="inlineStr">
        <is>
          <t>技能</t>
        </is>
      </c>
      <c r="H25" s="3" t="inlineStr">
        <is>
          <t>大类_基础</t>
        </is>
      </c>
      <c r="I25" s="3" t="inlineStr">
        <is>
          <t>子类_技能书</t>
        </is>
      </c>
      <c r="J25" s="3" t="n">
        <v>1</v>
      </c>
      <c r="K25" s="3" t="inlineStr">
        <is>
          <t>技能书</t>
        </is>
      </c>
      <c r="M25" s="3" t="n">
        <v>30000</v>
      </c>
      <c r="N25" s="3" t="inlineStr">
        <is>
          <t>是</t>
        </is>
      </c>
      <c r="P25" s="3" t="n">
        <v>30</v>
      </c>
      <c r="Q25" s="3" t="inlineStr">
        <is>
          <t>体修</t>
        </is>
      </c>
      <c r="R25" s="3" t="n">
        <v>999</v>
      </c>
      <c r="S25" s="3" t="inlineStr">
        <is>
          <t>技能书</t>
        </is>
      </c>
      <c r="T25" s="3" t="n">
        <v>10050001</v>
      </c>
      <c r="V25" s="3">
        <f>"|cff00FF00达到"&amp;P25&amp;"级后可以学习技能"&amp;C25&amp;"，也可以在当前技能经验满后对该技能进行升级。"</f>
        <v/>
      </c>
      <c r="W25" s="3" t="inlineStr">
        <is>
          <t>击杀赤月怪物获得</t>
        </is>
      </c>
      <c r="X25" s="3" t="n">
        <v>34020001</v>
      </c>
      <c r="Y25" s="7" t="inlineStr">
        <is>
          <t>fall_jinengshu_01</t>
        </is>
      </c>
      <c r="Z25" s="3" t="inlineStr">
        <is>
          <t>ain_effect_lvseguangzhu_88</t>
        </is>
      </c>
      <c r="AA25" s="3" t="inlineStr">
        <is>
          <t>BK_J_lv</t>
        </is>
      </c>
      <c r="AB25" s="3" t="inlineStr">
        <is>
          <t>BK_D_lv</t>
        </is>
      </c>
      <c r="AC25" s="8" t="inlineStr">
        <is>
          <t>材料</t>
        </is>
      </c>
      <c r="AD25" s="9" t="inlineStr">
        <is>
          <t>战士技能书</t>
        </is>
      </c>
    </row>
    <row r="26" ht="16.5" customHeight="1" s="2">
      <c r="B26" s="3" t="n">
        <v>34020006</v>
      </c>
      <c r="C26" s="3" t="inlineStr">
        <is>
          <t>烈火剑法</t>
        </is>
      </c>
      <c r="D26" s="3" t="inlineStr">
        <is>
          <t>绿色</t>
        </is>
      </c>
      <c r="E26" s="3" t="n">
        <v>6</v>
      </c>
      <c r="F26" s="3" t="n">
        <v>60</v>
      </c>
      <c r="G26" s="3" t="inlineStr">
        <is>
          <t>技能</t>
        </is>
      </c>
      <c r="H26" s="3" t="inlineStr">
        <is>
          <t>大类_基础</t>
        </is>
      </c>
      <c r="I26" s="3" t="inlineStr">
        <is>
          <t>子类_技能书</t>
        </is>
      </c>
      <c r="J26" s="3" t="n">
        <v>1</v>
      </c>
      <c r="K26" s="3" t="inlineStr">
        <is>
          <t>技能书</t>
        </is>
      </c>
      <c r="M26" s="3" t="n">
        <v>30000</v>
      </c>
      <c r="N26" s="3" t="inlineStr">
        <is>
          <t>是</t>
        </is>
      </c>
      <c r="P26" s="3" t="n">
        <v>35</v>
      </c>
      <c r="Q26" s="3" t="inlineStr">
        <is>
          <t>体修</t>
        </is>
      </c>
      <c r="R26" s="3" t="n">
        <v>999</v>
      </c>
      <c r="S26" s="3" t="inlineStr">
        <is>
          <t>技能书</t>
        </is>
      </c>
      <c r="T26" s="3" t="n">
        <v>10060001</v>
      </c>
      <c r="V26" s="3">
        <f>"|cff00FF00达到"&amp;P26&amp;"级后可以学习技能"&amp;C26&amp;"，也可以在当前技能经验满后对该技能进行升级。"</f>
        <v/>
      </c>
      <c r="W26" s="3" t="inlineStr">
        <is>
          <t>击杀赤月怪物获得</t>
        </is>
      </c>
      <c r="X26" s="3" t="n">
        <v>34020001</v>
      </c>
      <c r="Y26" s="7" t="inlineStr">
        <is>
          <t>fall_jinengshu_01</t>
        </is>
      </c>
      <c r="Z26" s="3" t="inlineStr">
        <is>
          <t>ain_effect_lvseguangzhu_88</t>
        </is>
      </c>
      <c r="AA26" s="3" t="inlineStr">
        <is>
          <t>BK_J_lv</t>
        </is>
      </c>
      <c r="AB26" s="3" t="inlineStr">
        <is>
          <t>BK_D_lv</t>
        </is>
      </c>
      <c r="AC26" s="8" t="inlineStr">
        <is>
          <t>材料</t>
        </is>
      </c>
      <c r="AD26" s="9" t="inlineStr">
        <is>
          <t>战士技能书</t>
        </is>
      </c>
    </row>
    <row r="27" ht="16.5" customHeight="1" s="2">
      <c r="B27" s="3" t="n">
        <v>34020031</v>
      </c>
      <c r="C27" s="3" t="inlineStr">
        <is>
          <t>火球术</t>
        </is>
      </c>
      <c r="D27" s="3" t="inlineStr">
        <is>
          <t>绿色</t>
        </is>
      </c>
      <c r="E27" s="3" t="n">
        <v>31</v>
      </c>
      <c r="F27" s="3" t="n">
        <v>60</v>
      </c>
      <c r="G27" s="3" t="inlineStr">
        <is>
          <t>技能</t>
        </is>
      </c>
      <c r="H27" s="3" t="inlineStr">
        <is>
          <t>大类_基础</t>
        </is>
      </c>
      <c r="I27" s="3" t="inlineStr">
        <is>
          <t>子类_技能书</t>
        </is>
      </c>
      <c r="J27" s="3" t="n">
        <v>1</v>
      </c>
      <c r="K27" s="3" t="inlineStr">
        <is>
          <t>技能书</t>
        </is>
      </c>
      <c r="M27" s="3" t="n">
        <v>30000</v>
      </c>
      <c r="N27" s="3" t="inlineStr">
        <is>
          <t>是</t>
        </is>
      </c>
      <c r="P27" s="3" t="n">
        <v>7</v>
      </c>
      <c r="Q27" s="3" t="inlineStr">
        <is>
          <t>法修</t>
        </is>
      </c>
      <c r="R27" s="3" t="n">
        <v>999</v>
      </c>
      <c r="S27" s="3" t="inlineStr">
        <is>
          <t>技能书</t>
        </is>
      </c>
      <c r="T27" s="3" t="n">
        <v>10310001</v>
      </c>
      <c r="V27" s="3">
        <f>"|cff00FF00达到"&amp;P27&amp;"级后可以学习技能"&amp;C27&amp;"，也可以在当前技能经验满后对该技能进行升级。"</f>
        <v/>
      </c>
      <c r="W27" s="3" t="inlineStr">
        <is>
          <t>击杀沃玛怪物获得</t>
        </is>
      </c>
      <c r="X27" s="3" t="n">
        <v>34020001</v>
      </c>
      <c r="Y27" s="7" t="inlineStr">
        <is>
          <t>fall_jinengshu_01</t>
        </is>
      </c>
      <c r="Z27" s="3" t="inlineStr">
        <is>
          <t>ain_effect_lvseguangzhu_88</t>
        </is>
      </c>
      <c r="AA27" s="3" t="inlineStr">
        <is>
          <t>BK_J_lv</t>
        </is>
      </c>
      <c r="AB27" s="3" t="inlineStr">
        <is>
          <t>BK_D_lv</t>
        </is>
      </c>
      <c r="AC27" s="8" t="inlineStr">
        <is>
          <t>材料</t>
        </is>
      </c>
      <c r="AD27" s="9" t="inlineStr">
        <is>
          <t>法师技能书</t>
        </is>
      </c>
    </row>
    <row r="28" ht="16.5" customHeight="1" s="2">
      <c r="B28" s="3" t="n">
        <v>34020032</v>
      </c>
      <c r="C28" s="3" t="inlineStr">
        <is>
          <t>抗拒火环</t>
        </is>
      </c>
      <c r="D28" s="3" t="inlineStr">
        <is>
          <t>绿色</t>
        </is>
      </c>
      <c r="E28" s="3" t="n">
        <v>32</v>
      </c>
      <c r="F28" s="3" t="n">
        <v>60</v>
      </c>
      <c r="G28" s="3" t="inlineStr">
        <is>
          <t>技能</t>
        </is>
      </c>
      <c r="H28" s="3" t="inlineStr">
        <is>
          <t>大类_基础</t>
        </is>
      </c>
      <c r="I28" s="3" t="inlineStr">
        <is>
          <t>子类_技能书</t>
        </is>
      </c>
      <c r="J28" s="3" t="n">
        <v>1</v>
      </c>
      <c r="K28" s="3" t="inlineStr">
        <is>
          <t>技能书</t>
        </is>
      </c>
      <c r="M28" s="3" t="n">
        <v>30000</v>
      </c>
      <c r="N28" s="3" t="inlineStr">
        <is>
          <t>是</t>
        </is>
      </c>
      <c r="P28" s="3" t="n">
        <v>12</v>
      </c>
      <c r="Q28" s="3" t="inlineStr">
        <is>
          <t>法修</t>
        </is>
      </c>
      <c r="R28" s="3" t="n">
        <v>999</v>
      </c>
      <c r="S28" s="3" t="inlineStr">
        <is>
          <t>技能书</t>
        </is>
      </c>
      <c r="T28" s="3" t="n">
        <v>10320001</v>
      </c>
      <c r="V28" s="3">
        <f>"|cff00FF00达到"&amp;P28&amp;"级后可以学习技能"&amp;C28&amp;"，也可以在当前技能经验满后对该技能进行升级。"</f>
        <v/>
      </c>
      <c r="W28" s="3" t="inlineStr">
        <is>
          <t>击杀沃玛怪物获得</t>
        </is>
      </c>
      <c r="X28" s="3" t="n">
        <v>34020001</v>
      </c>
      <c r="Y28" s="7" t="inlineStr">
        <is>
          <t>fall_jinengshu_01</t>
        </is>
      </c>
      <c r="Z28" s="3" t="inlineStr">
        <is>
          <t>ain_effect_lvseguangzhu_88</t>
        </is>
      </c>
      <c r="AA28" s="3" t="inlineStr">
        <is>
          <t>BK_J_lv</t>
        </is>
      </c>
      <c r="AB28" s="3" t="inlineStr">
        <is>
          <t>BK_D_lv</t>
        </is>
      </c>
      <c r="AC28" s="8" t="inlineStr">
        <is>
          <t>材料</t>
        </is>
      </c>
      <c r="AD28" s="9" t="inlineStr">
        <is>
          <t>法师技能书</t>
        </is>
      </c>
    </row>
    <row r="29" ht="16.5" customHeight="1" s="2">
      <c r="B29" s="3" t="n">
        <v>34020033</v>
      </c>
      <c r="C29" s="3" t="inlineStr">
        <is>
          <t>雷电术</t>
        </is>
      </c>
      <c r="D29" s="3" t="inlineStr">
        <is>
          <t>绿色</t>
        </is>
      </c>
      <c r="E29" s="3" t="n">
        <v>33</v>
      </c>
      <c r="F29" s="3" t="n">
        <v>60</v>
      </c>
      <c r="G29" s="3" t="inlineStr">
        <is>
          <t>技能</t>
        </is>
      </c>
      <c r="H29" s="3" t="inlineStr">
        <is>
          <t>大类_基础</t>
        </is>
      </c>
      <c r="I29" s="3" t="inlineStr">
        <is>
          <t>子类_技能书</t>
        </is>
      </c>
      <c r="J29" s="3" t="n">
        <v>1</v>
      </c>
      <c r="K29" s="3" t="inlineStr">
        <is>
          <t>技能书</t>
        </is>
      </c>
      <c r="M29" s="3" t="n">
        <v>30000</v>
      </c>
      <c r="N29" s="3" t="inlineStr">
        <is>
          <t>是</t>
        </is>
      </c>
      <c r="P29" s="3" t="n">
        <v>17</v>
      </c>
      <c r="Q29" s="3" t="inlineStr">
        <is>
          <t>法修</t>
        </is>
      </c>
      <c r="R29" s="3" t="n">
        <v>999</v>
      </c>
      <c r="S29" s="3" t="inlineStr">
        <is>
          <t>技能书</t>
        </is>
      </c>
      <c r="T29" s="3" t="n">
        <v>10330001</v>
      </c>
      <c r="V29" s="3">
        <f>"|cff00FF00达到"&amp;P29&amp;"级后可以学习技能"&amp;C29&amp;"，也可以在当前技能经验满后对该技能进行升级。"</f>
        <v/>
      </c>
      <c r="W29" s="3" t="inlineStr">
        <is>
          <t>击杀祖玛怪物获得</t>
        </is>
      </c>
      <c r="X29" s="3" t="n">
        <v>34020001</v>
      </c>
      <c r="Y29" s="7" t="inlineStr">
        <is>
          <t>fall_jinengshu_02</t>
        </is>
      </c>
      <c r="Z29" s="3" t="inlineStr">
        <is>
          <t>ain_effect_lvseguangzhu_88</t>
        </is>
      </c>
      <c r="AA29" s="3" t="inlineStr">
        <is>
          <t>BK_J_lv</t>
        </is>
      </c>
      <c r="AB29" s="3" t="inlineStr">
        <is>
          <t>BK_D_lv</t>
        </is>
      </c>
      <c r="AC29" s="8" t="inlineStr">
        <is>
          <t>材料</t>
        </is>
      </c>
      <c r="AD29" s="9" t="inlineStr">
        <is>
          <t>法师技能书</t>
        </is>
      </c>
    </row>
    <row r="30" ht="16.5" customHeight="1" s="2">
      <c r="B30" s="3" t="n">
        <v>34020034</v>
      </c>
      <c r="C30" s="3" t="inlineStr">
        <is>
          <t>火墙</t>
        </is>
      </c>
      <c r="D30" s="3" t="inlineStr">
        <is>
          <t>绿色</t>
        </is>
      </c>
      <c r="E30" s="3" t="n">
        <v>34</v>
      </c>
      <c r="F30" s="3" t="n">
        <v>60</v>
      </c>
      <c r="G30" s="3" t="inlineStr">
        <is>
          <t>技能</t>
        </is>
      </c>
      <c r="H30" s="3" t="inlineStr">
        <is>
          <t>大类_基础</t>
        </is>
      </c>
      <c r="I30" s="3" t="inlineStr">
        <is>
          <t>子类_技能书</t>
        </is>
      </c>
      <c r="J30" s="3" t="n">
        <v>1</v>
      </c>
      <c r="K30" s="3" t="inlineStr">
        <is>
          <t>技能书</t>
        </is>
      </c>
      <c r="M30" s="3" t="n">
        <v>30000</v>
      </c>
      <c r="N30" s="3" t="inlineStr">
        <is>
          <t>是</t>
        </is>
      </c>
      <c r="P30" s="3" t="n">
        <v>22</v>
      </c>
      <c r="Q30" s="3" t="inlineStr">
        <is>
          <t>法修</t>
        </is>
      </c>
      <c r="R30" s="3" t="n">
        <v>999</v>
      </c>
      <c r="S30" s="3" t="inlineStr">
        <is>
          <t>技能书</t>
        </is>
      </c>
      <c r="T30" s="3" t="n">
        <v>10340001</v>
      </c>
      <c r="V30" s="3">
        <f>"|cff00FF00达到"&amp;P30&amp;"级后可以学习技能"&amp;C30&amp;"，也可以在当前技能经验满后对该技能进行升级。"</f>
        <v/>
      </c>
      <c r="W30" s="3" t="inlineStr">
        <is>
          <t>击杀祖玛怪物获得</t>
        </is>
      </c>
      <c r="X30" s="3" t="n">
        <v>34020001</v>
      </c>
      <c r="Y30" s="7" t="inlineStr">
        <is>
          <t>fall_jinengshu_02</t>
        </is>
      </c>
      <c r="Z30" s="3" t="inlineStr">
        <is>
          <t>ain_effect_lvseguangzhu_88</t>
        </is>
      </c>
      <c r="AA30" s="3" t="inlineStr">
        <is>
          <t>BK_J_lv</t>
        </is>
      </c>
      <c r="AB30" s="3" t="inlineStr">
        <is>
          <t>BK_D_lv</t>
        </is>
      </c>
      <c r="AC30" s="8" t="inlineStr">
        <is>
          <t>材料</t>
        </is>
      </c>
      <c r="AD30" s="9" t="inlineStr">
        <is>
          <t>法师技能书</t>
        </is>
      </c>
    </row>
    <row r="31" ht="16.5" customHeight="1" s="2">
      <c r="B31" s="3" t="n">
        <v>34020035</v>
      </c>
      <c r="C31" s="3" t="inlineStr">
        <is>
          <t>疾光电影</t>
        </is>
      </c>
      <c r="D31" s="3" t="inlineStr">
        <is>
          <t>绿色</t>
        </is>
      </c>
      <c r="E31" s="3" t="n">
        <v>35</v>
      </c>
      <c r="F31" s="3" t="n">
        <v>60</v>
      </c>
      <c r="G31" s="3" t="inlineStr">
        <is>
          <t>技能</t>
        </is>
      </c>
      <c r="H31" s="3" t="inlineStr">
        <is>
          <t>大类_基础</t>
        </is>
      </c>
      <c r="I31" s="3" t="inlineStr">
        <is>
          <t>子类_技能书</t>
        </is>
      </c>
      <c r="J31" s="3" t="n">
        <v>1</v>
      </c>
      <c r="K31" s="3" t="inlineStr">
        <is>
          <t>技能书</t>
        </is>
      </c>
      <c r="M31" s="3" t="n">
        <v>30000</v>
      </c>
      <c r="N31" s="3" t="inlineStr">
        <is>
          <t>是</t>
        </is>
      </c>
      <c r="P31" s="3" t="n">
        <v>26</v>
      </c>
      <c r="Q31" s="3" t="inlineStr">
        <is>
          <t>法修</t>
        </is>
      </c>
      <c r="R31" s="3" t="n">
        <v>999</v>
      </c>
      <c r="S31" s="3" t="inlineStr">
        <is>
          <t>技能书</t>
        </is>
      </c>
      <c r="T31" s="3" t="n">
        <v>10350001</v>
      </c>
      <c r="V31" s="3">
        <f>"|cff00FF00达到"&amp;P31&amp;"级后可以学习技能"&amp;C31&amp;"，也可以在当前技能经验满后对该技能进行升级。"</f>
        <v/>
      </c>
      <c r="W31" s="3" t="inlineStr">
        <is>
          <t>击杀赤月怪物获得</t>
        </is>
      </c>
      <c r="X31" s="3" t="n">
        <v>34020001</v>
      </c>
      <c r="Y31" s="7" t="inlineStr">
        <is>
          <t>fall_jinengshu_02</t>
        </is>
      </c>
      <c r="Z31" s="3" t="inlineStr">
        <is>
          <t>ain_effect_lvseguangzhu_88</t>
        </is>
      </c>
      <c r="AA31" s="3" t="inlineStr">
        <is>
          <t>BK_J_lv</t>
        </is>
      </c>
      <c r="AB31" s="3" t="inlineStr">
        <is>
          <t>BK_D_lv</t>
        </is>
      </c>
      <c r="AC31" s="8" t="inlineStr">
        <is>
          <t>材料</t>
        </is>
      </c>
      <c r="AD31" s="9" t="inlineStr">
        <is>
          <t>法师技能书</t>
        </is>
      </c>
    </row>
    <row r="32" ht="16.5" customHeight="1" s="2">
      <c r="B32" s="3" t="n">
        <v>34020036</v>
      </c>
      <c r="C32" s="3" t="inlineStr">
        <is>
          <t>魔法盾</t>
        </is>
      </c>
      <c r="D32" s="3" t="inlineStr">
        <is>
          <t>绿色</t>
        </is>
      </c>
      <c r="E32" s="3" t="n">
        <v>36</v>
      </c>
      <c r="F32" s="3" t="n">
        <v>60</v>
      </c>
      <c r="G32" s="3" t="inlineStr">
        <is>
          <t>技能</t>
        </is>
      </c>
      <c r="H32" s="3" t="inlineStr">
        <is>
          <t>大类_基础</t>
        </is>
      </c>
      <c r="I32" s="3" t="inlineStr">
        <is>
          <t>子类_技能书</t>
        </is>
      </c>
      <c r="J32" s="3" t="n">
        <v>1</v>
      </c>
      <c r="K32" s="3" t="inlineStr">
        <is>
          <t>技能书</t>
        </is>
      </c>
      <c r="M32" s="3" t="n">
        <v>30000</v>
      </c>
      <c r="N32" s="3" t="inlineStr">
        <is>
          <t>是</t>
        </is>
      </c>
      <c r="P32" s="3" t="n">
        <v>31</v>
      </c>
      <c r="Q32" s="3" t="inlineStr">
        <is>
          <t>法修</t>
        </is>
      </c>
      <c r="R32" s="3" t="n">
        <v>999</v>
      </c>
      <c r="S32" s="3" t="inlineStr">
        <is>
          <t>技能书</t>
        </is>
      </c>
      <c r="T32" s="3" t="n">
        <v>10360001</v>
      </c>
      <c r="V32" s="3">
        <f>"|cff00FF00达到"&amp;P32&amp;"级后可以学习技能"&amp;C32&amp;"，也可以在当前技能经验满后对该技能进行升级。"</f>
        <v/>
      </c>
      <c r="W32" s="3" t="inlineStr">
        <is>
          <t>击杀赤月怪物获得</t>
        </is>
      </c>
      <c r="X32" s="3" t="n">
        <v>34020001</v>
      </c>
      <c r="Y32" s="7" t="inlineStr">
        <is>
          <t>fall_jinengshu_02</t>
        </is>
      </c>
      <c r="Z32" s="3" t="inlineStr">
        <is>
          <t>ain_effect_lvseguangzhu_88</t>
        </is>
      </c>
      <c r="AA32" s="3" t="inlineStr">
        <is>
          <t>BK_J_lv</t>
        </is>
      </c>
      <c r="AB32" s="3" t="inlineStr">
        <is>
          <t>BK_D_lv</t>
        </is>
      </c>
      <c r="AC32" s="8" t="inlineStr">
        <is>
          <t>材料</t>
        </is>
      </c>
      <c r="AD32" s="9" t="inlineStr">
        <is>
          <t>法师技能书</t>
        </is>
      </c>
    </row>
    <row r="33" ht="16.5" customHeight="1" s="2">
      <c r="B33" s="3" t="n">
        <v>34020037</v>
      </c>
      <c r="C33" s="3" t="inlineStr">
        <is>
          <t>冰咆哮</t>
        </is>
      </c>
      <c r="D33" s="3" t="inlineStr">
        <is>
          <t>绿色</t>
        </is>
      </c>
      <c r="E33" s="3" t="n">
        <v>37</v>
      </c>
      <c r="F33" s="3" t="n">
        <v>60</v>
      </c>
      <c r="G33" s="3" t="inlineStr">
        <is>
          <t>技能</t>
        </is>
      </c>
      <c r="H33" s="3" t="inlineStr">
        <is>
          <t>大类_基础</t>
        </is>
      </c>
      <c r="I33" s="3" t="inlineStr">
        <is>
          <t>子类_技能书</t>
        </is>
      </c>
      <c r="J33" s="3" t="n">
        <v>1</v>
      </c>
      <c r="K33" s="3" t="inlineStr">
        <is>
          <t>技能书</t>
        </is>
      </c>
      <c r="M33" s="3" t="n">
        <v>30000</v>
      </c>
      <c r="N33" s="3" t="inlineStr">
        <is>
          <t>是</t>
        </is>
      </c>
      <c r="P33" s="3" t="n">
        <v>35</v>
      </c>
      <c r="Q33" s="3" t="inlineStr">
        <is>
          <t>法修</t>
        </is>
      </c>
      <c r="R33" s="3" t="n">
        <v>999</v>
      </c>
      <c r="S33" s="3" t="inlineStr">
        <is>
          <t>技能书</t>
        </is>
      </c>
      <c r="T33" s="3" t="n">
        <v>10370001</v>
      </c>
      <c r="V33" s="3">
        <f>"|cff00FF00达到"&amp;P33&amp;"级后可以学习技能"&amp;C33&amp;"，也可以在当前技能经验满后对该技能进行升级。"</f>
        <v/>
      </c>
      <c r="W33" s="3" t="inlineStr">
        <is>
          <t>击杀赤月怪物获得</t>
        </is>
      </c>
      <c r="X33" s="3" t="n">
        <v>34020001</v>
      </c>
      <c r="Y33" s="7" t="inlineStr">
        <is>
          <t>fall_jinengshu_02</t>
        </is>
      </c>
      <c r="Z33" s="3" t="inlineStr">
        <is>
          <t>ain_effect_lvseguangzhu_88</t>
        </is>
      </c>
      <c r="AA33" s="3" t="inlineStr">
        <is>
          <t>BK_J_lv</t>
        </is>
      </c>
      <c r="AB33" s="3" t="inlineStr">
        <is>
          <t>BK_D_lv</t>
        </is>
      </c>
      <c r="AC33" s="8" t="inlineStr">
        <is>
          <t>材料</t>
        </is>
      </c>
      <c r="AD33" s="9" t="inlineStr">
        <is>
          <t>法师技能书</t>
        </is>
      </c>
    </row>
    <row r="34" ht="16.5" customHeight="1" s="2">
      <c r="B34" s="3" t="n">
        <v>34020061</v>
      </c>
      <c r="C34" s="3" t="inlineStr">
        <is>
          <t>灵魂火符</t>
        </is>
      </c>
      <c r="D34" s="3" t="inlineStr">
        <is>
          <t>绿色</t>
        </is>
      </c>
      <c r="E34" s="3" t="n">
        <v>61</v>
      </c>
      <c r="F34" s="3" t="n">
        <v>60</v>
      </c>
      <c r="G34" s="3" t="inlineStr">
        <is>
          <t>技能</t>
        </is>
      </c>
      <c r="H34" s="3" t="inlineStr">
        <is>
          <t>大类_基础</t>
        </is>
      </c>
      <c r="I34" s="3" t="inlineStr">
        <is>
          <t>子类_技能书</t>
        </is>
      </c>
      <c r="J34" s="3" t="n">
        <v>1</v>
      </c>
      <c r="K34" s="3" t="inlineStr">
        <is>
          <t>技能书</t>
        </is>
      </c>
      <c r="M34" s="3" t="n">
        <v>30000</v>
      </c>
      <c r="N34" s="3" t="inlineStr">
        <is>
          <t>是</t>
        </is>
      </c>
      <c r="P34" s="3" t="n">
        <v>7</v>
      </c>
      <c r="Q34" s="3" t="inlineStr">
        <is>
          <t>丹修</t>
        </is>
      </c>
      <c r="R34" s="3" t="n">
        <v>999</v>
      </c>
      <c r="S34" s="3" t="inlineStr">
        <is>
          <t>技能书</t>
        </is>
      </c>
      <c r="T34" s="3" t="n">
        <v>10610001</v>
      </c>
      <c r="V34" s="3">
        <f>"|cff00FF00达到"&amp;P34&amp;"级后可以学习技能"&amp;C34&amp;"，也可以在当前技能经验满后对该技能进行升级。"</f>
        <v/>
      </c>
      <c r="W34" s="3" t="inlineStr">
        <is>
          <t>击杀沃玛怪物获得</t>
        </is>
      </c>
      <c r="X34" s="3" t="n">
        <v>34020001</v>
      </c>
      <c r="Y34" s="7" t="inlineStr">
        <is>
          <t>fall_jinengshu_02</t>
        </is>
      </c>
      <c r="Z34" s="3" t="inlineStr">
        <is>
          <t>ain_effect_lvseguangzhu_88</t>
        </is>
      </c>
      <c r="AA34" s="3" t="inlineStr">
        <is>
          <t>BK_J_lv</t>
        </is>
      </c>
      <c r="AB34" s="3" t="inlineStr">
        <is>
          <t>BK_D_lv</t>
        </is>
      </c>
      <c r="AC34" s="8" t="inlineStr">
        <is>
          <t>材料</t>
        </is>
      </c>
      <c r="AD34" s="9" t="inlineStr">
        <is>
          <t>道士技能书</t>
        </is>
      </c>
    </row>
    <row r="35" ht="16.5" customHeight="1" s="2">
      <c r="B35" s="3" t="n">
        <v>34020062</v>
      </c>
      <c r="C35" s="3" t="inlineStr">
        <is>
          <t>治愈术</t>
        </is>
      </c>
      <c r="D35" s="3" t="inlineStr">
        <is>
          <t>绿色</t>
        </is>
      </c>
      <c r="E35" s="3" t="n">
        <v>62</v>
      </c>
      <c r="F35" s="3" t="n">
        <v>60</v>
      </c>
      <c r="G35" s="3" t="inlineStr">
        <is>
          <t>技能</t>
        </is>
      </c>
      <c r="H35" s="3" t="inlineStr">
        <is>
          <t>大类_基础</t>
        </is>
      </c>
      <c r="I35" s="3" t="inlineStr">
        <is>
          <t>子类_技能书</t>
        </is>
      </c>
      <c r="J35" s="3" t="n">
        <v>1</v>
      </c>
      <c r="K35" s="3" t="inlineStr">
        <is>
          <t>技能书</t>
        </is>
      </c>
      <c r="M35" s="3" t="n">
        <v>30000</v>
      </c>
      <c r="N35" s="3" t="inlineStr">
        <is>
          <t>是</t>
        </is>
      </c>
      <c r="P35" s="3" t="n">
        <v>9</v>
      </c>
      <c r="Q35" s="3" t="inlineStr">
        <is>
          <t>丹修</t>
        </is>
      </c>
      <c r="R35" s="3" t="n">
        <v>999</v>
      </c>
      <c r="S35" s="3" t="inlineStr">
        <is>
          <t>技能书</t>
        </is>
      </c>
      <c r="T35" s="3" t="n">
        <v>10620001</v>
      </c>
      <c r="V35" s="3">
        <f>"|cff00FF00达到"&amp;P35&amp;"级后可以学习技能"&amp;C35&amp;"，也可以在当前技能经验满后对该技能进行升级。"</f>
        <v/>
      </c>
      <c r="W35" s="3" t="inlineStr">
        <is>
          <t>击杀沃玛怪物获得</t>
        </is>
      </c>
      <c r="X35" s="3" t="n">
        <v>34020001</v>
      </c>
      <c r="Y35" s="7" t="inlineStr">
        <is>
          <t>fall_jinengshu_02</t>
        </is>
      </c>
      <c r="Z35" s="3" t="inlineStr">
        <is>
          <t>ain_effect_lvseguangzhu_88</t>
        </is>
      </c>
      <c r="AA35" s="3" t="inlineStr">
        <is>
          <t>BK_J_lv</t>
        </is>
      </c>
      <c r="AB35" s="3" t="inlineStr">
        <is>
          <t>BK_D_lv</t>
        </is>
      </c>
      <c r="AC35" s="8" t="inlineStr">
        <is>
          <t>材料</t>
        </is>
      </c>
      <c r="AD35" s="9" t="inlineStr">
        <is>
          <t>道士技能书</t>
        </is>
      </c>
    </row>
    <row r="36" ht="16.5" customHeight="1" s="2">
      <c r="B36" s="3" t="n">
        <v>34020063</v>
      </c>
      <c r="C36" s="3" t="inlineStr">
        <is>
          <t>施毒术</t>
        </is>
      </c>
      <c r="D36" s="3" t="inlineStr">
        <is>
          <t>绿色</t>
        </is>
      </c>
      <c r="E36" s="3" t="n">
        <v>63</v>
      </c>
      <c r="F36" s="3" t="n">
        <v>60</v>
      </c>
      <c r="G36" s="3" t="inlineStr">
        <is>
          <t>技能</t>
        </is>
      </c>
      <c r="H36" s="3" t="inlineStr">
        <is>
          <t>大类_基础</t>
        </is>
      </c>
      <c r="I36" s="3" t="inlineStr">
        <is>
          <t>子类_技能书</t>
        </is>
      </c>
      <c r="J36" s="3" t="n">
        <v>1</v>
      </c>
      <c r="K36" s="3" t="inlineStr">
        <is>
          <t>技能书</t>
        </is>
      </c>
      <c r="M36" s="3" t="n">
        <v>30000</v>
      </c>
      <c r="N36" s="3" t="inlineStr">
        <is>
          <t>是</t>
        </is>
      </c>
      <c r="P36" s="3" t="n">
        <v>14</v>
      </c>
      <c r="Q36" s="3" t="inlineStr">
        <is>
          <t>丹修</t>
        </is>
      </c>
      <c r="R36" s="3" t="n">
        <v>999</v>
      </c>
      <c r="S36" s="3" t="inlineStr">
        <is>
          <t>技能书</t>
        </is>
      </c>
      <c r="T36" s="3" t="n">
        <v>10630001</v>
      </c>
      <c r="V36" s="3">
        <f>"|cff00FF00达到"&amp;P36&amp;"级后可以学习技能"&amp;C36&amp;"，也可以在当前技能经验满后对该技能进行升级。"</f>
        <v/>
      </c>
      <c r="W36" s="3" t="inlineStr">
        <is>
          <t>击杀祖玛怪物获得</t>
        </is>
      </c>
      <c r="X36" s="3" t="n">
        <v>34020001</v>
      </c>
      <c r="Y36" s="7" t="inlineStr">
        <is>
          <t>fall_jinengshu_02</t>
        </is>
      </c>
      <c r="Z36" s="3" t="inlineStr">
        <is>
          <t>ain_effect_lvseguangzhu_88</t>
        </is>
      </c>
      <c r="AA36" s="3" t="inlineStr">
        <is>
          <t>BK_J_lv</t>
        </is>
      </c>
      <c r="AB36" s="3" t="inlineStr">
        <is>
          <t>BK_D_lv</t>
        </is>
      </c>
      <c r="AC36" s="8" t="inlineStr">
        <is>
          <t>材料</t>
        </is>
      </c>
      <c r="AD36" s="9" t="inlineStr">
        <is>
          <t>道士技能书</t>
        </is>
      </c>
    </row>
    <row r="37" ht="16.5" customHeight="1" s="2">
      <c r="B37" s="3" t="n">
        <v>34020064</v>
      </c>
      <c r="C37" s="3" t="inlineStr">
        <is>
          <t>召唤骷髅</t>
        </is>
      </c>
      <c r="D37" s="3" t="inlineStr">
        <is>
          <t>绿色</t>
        </is>
      </c>
      <c r="E37" s="3" t="n">
        <v>64</v>
      </c>
      <c r="F37" s="3" t="n">
        <v>60</v>
      </c>
      <c r="G37" s="3" t="inlineStr">
        <is>
          <t>技能</t>
        </is>
      </c>
      <c r="H37" s="3" t="inlineStr">
        <is>
          <t>大类_基础</t>
        </is>
      </c>
      <c r="I37" s="3" t="inlineStr">
        <is>
          <t>子类_技能书</t>
        </is>
      </c>
      <c r="J37" s="3" t="n">
        <v>1</v>
      </c>
      <c r="K37" s="3" t="inlineStr">
        <is>
          <t>技能书</t>
        </is>
      </c>
      <c r="M37" s="3" t="n">
        <v>30000</v>
      </c>
      <c r="N37" s="3" t="inlineStr">
        <is>
          <t>是</t>
        </is>
      </c>
      <c r="P37" s="3" t="n">
        <v>19</v>
      </c>
      <c r="Q37" s="3" t="inlineStr">
        <is>
          <t>丹修</t>
        </is>
      </c>
      <c r="R37" s="3" t="n">
        <v>999</v>
      </c>
      <c r="S37" s="3" t="inlineStr">
        <is>
          <t>技能书</t>
        </is>
      </c>
      <c r="T37" s="3" t="n">
        <v>10640001</v>
      </c>
      <c r="V37" s="3">
        <f>"|cff00FF00达到"&amp;P37&amp;"级后可以学习技能"&amp;C37&amp;"，也可以在当前技能经验满后对该技能进行升级。"</f>
        <v/>
      </c>
      <c r="W37" s="3" t="inlineStr">
        <is>
          <t>击杀祖玛怪物获得</t>
        </is>
      </c>
      <c r="X37" s="3" t="n">
        <v>34020001</v>
      </c>
      <c r="Y37" s="7" t="inlineStr">
        <is>
          <t>fall_jinengshu_02</t>
        </is>
      </c>
      <c r="Z37" s="3" t="inlineStr">
        <is>
          <t>ain_effect_lvseguangzhu_88</t>
        </is>
      </c>
      <c r="AA37" s="3" t="inlineStr">
        <is>
          <t>BK_J_lv</t>
        </is>
      </c>
      <c r="AB37" s="3" t="inlineStr">
        <is>
          <t>BK_D_lv</t>
        </is>
      </c>
      <c r="AC37" s="8" t="inlineStr">
        <is>
          <t>材料</t>
        </is>
      </c>
      <c r="AD37" s="9" t="inlineStr">
        <is>
          <t>道士技能书</t>
        </is>
      </c>
    </row>
    <row r="38" ht="16.5" customHeight="1" s="2">
      <c r="B38" s="3" t="n">
        <v>34020065</v>
      </c>
      <c r="C38" s="3" t="inlineStr">
        <is>
          <t>幽灵盾</t>
        </is>
      </c>
      <c r="D38" s="3" t="inlineStr">
        <is>
          <t>绿色</t>
        </is>
      </c>
      <c r="E38" s="3" t="n">
        <v>65</v>
      </c>
      <c r="F38" s="3" t="n">
        <v>60</v>
      </c>
      <c r="G38" s="3" t="inlineStr">
        <is>
          <t>技能</t>
        </is>
      </c>
      <c r="H38" s="3" t="inlineStr">
        <is>
          <t>大类_基础</t>
        </is>
      </c>
      <c r="I38" s="3" t="inlineStr">
        <is>
          <t>子类_技能书</t>
        </is>
      </c>
      <c r="J38" s="3" t="n">
        <v>1</v>
      </c>
      <c r="K38" s="3" t="inlineStr">
        <is>
          <t>技能书</t>
        </is>
      </c>
      <c r="M38" s="3" t="n">
        <v>30000</v>
      </c>
      <c r="N38" s="3" t="inlineStr">
        <is>
          <t>是</t>
        </is>
      </c>
      <c r="P38" s="3" t="n">
        <v>22</v>
      </c>
      <c r="Q38" s="3" t="inlineStr">
        <is>
          <t>丹修</t>
        </is>
      </c>
      <c r="R38" s="3" t="n">
        <v>999</v>
      </c>
      <c r="S38" s="3" t="inlineStr">
        <is>
          <t>技能书</t>
        </is>
      </c>
      <c r="T38" s="3" t="n">
        <v>10650001</v>
      </c>
      <c r="V38" s="3">
        <f>"|cff00FF00达到"&amp;P38&amp;"级后可以学习技能"&amp;C38&amp;"，也可以在当前技能经验满后对该技能进行升级。"</f>
        <v/>
      </c>
      <c r="W38" s="3" t="inlineStr">
        <is>
          <t>击杀赤月怪物获得</t>
        </is>
      </c>
      <c r="X38" s="3" t="n">
        <v>34020001</v>
      </c>
      <c r="Y38" s="7" t="inlineStr">
        <is>
          <t>fall_jinengshu_02</t>
        </is>
      </c>
      <c r="Z38" s="3" t="inlineStr">
        <is>
          <t>ain_effect_lvseguangzhu_88</t>
        </is>
      </c>
      <c r="AA38" s="3" t="inlineStr">
        <is>
          <t>BK_J_lv</t>
        </is>
      </c>
      <c r="AB38" s="3" t="inlineStr">
        <is>
          <t>BK_D_lv</t>
        </is>
      </c>
      <c r="AC38" s="8" t="inlineStr">
        <is>
          <t>材料</t>
        </is>
      </c>
      <c r="AD38" s="9" t="inlineStr">
        <is>
          <t>道士技能书</t>
        </is>
      </c>
    </row>
    <row r="39" ht="16.5" customHeight="1" s="2">
      <c r="B39" s="3" t="n">
        <v>34020066</v>
      </c>
      <c r="C39" s="3" t="inlineStr">
        <is>
          <t>神圣战甲术</t>
        </is>
      </c>
      <c r="D39" s="3" t="inlineStr">
        <is>
          <t>绿色</t>
        </is>
      </c>
      <c r="E39" s="3" t="n">
        <v>66</v>
      </c>
      <c r="F39" s="3" t="n">
        <v>60</v>
      </c>
      <c r="G39" s="3" t="inlineStr">
        <is>
          <t>技能</t>
        </is>
      </c>
      <c r="H39" s="3" t="inlineStr">
        <is>
          <t>大类_基础</t>
        </is>
      </c>
      <c r="I39" s="3" t="inlineStr">
        <is>
          <t>子类_技能书</t>
        </is>
      </c>
      <c r="J39" s="3" t="n">
        <v>1</v>
      </c>
      <c r="K39" s="3" t="inlineStr">
        <is>
          <t>技能书</t>
        </is>
      </c>
      <c r="M39" s="3" t="n">
        <v>30000</v>
      </c>
      <c r="N39" s="3" t="inlineStr">
        <is>
          <t>是</t>
        </is>
      </c>
      <c r="P39" s="3" t="n">
        <v>25</v>
      </c>
      <c r="Q39" s="3" t="inlineStr">
        <is>
          <t>丹修</t>
        </is>
      </c>
      <c r="R39" s="3" t="n">
        <v>999</v>
      </c>
      <c r="S39" s="3" t="inlineStr">
        <is>
          <t>技能书</t>
        </is>
      </c>
      <c r="T39" s="3" t="n">
        <v>10660001</v>
      </c>
      <c r="V39" s="3">
        <f>"|cff00FF00达到"&amp;P39&amp;"级后可以学习技能"&amp;C39&amp;"，也可以在当前技能经验满后对该技能进行升级。"</f>
        <v/>
      </c>
      <c r="W39" s="3" t="inlineStr">
        <is>
          <t>击杀赤月怪物获得</t>
        </is>
      </c>
      <c r="X39" s="3" t="n">
        <v>34020001</v>
      </c>
      <c r="Y39" s="7" t="inlineStr">
        <is>
          <t>fall_jinengshu_02</t>
        </is>
      </c>
      <c r="Z39" s="3" t="inlineStr">
        <is>
          <t>ain_effect_lvseguangzhu_88</t>
        </is>
      </c>
      <c r="AA39" s="3" t="inlineStr">
        <is>
          <t>BK_J_lv</t>
        </is>
      </c>
      <c r="AB39" s="3" t="inlineStr">
        <is>
          <t>BK_D_lv</t>
        </is>
      </c>
      <c r="AC39" s="8" t="inlineStr">
        <is>
          <t>材料</t>
        </is>
      </c>
      <c r="AD39" s="9" t="inlineStr">
        <is>
          <t>道士技能书</t>
        </is>
      </c>
    </row>
    <row r="40" ht="16.5" customHeight="1" s="2">
      <c r="B40" s="3" t="n">
        <v>34020067</v>
      </c>
      <c r="C40" s="3" t="inlineStr">
        <is>
          <t>隐身术</t>
        </is>
      </c>
      <c r="D40" s="3" t="inlineStr">
        <is>
          <t>绿色</t>
        </is>
      </c>
      <c r="E40" s="3" t="n">
        <v>67</v>
      </c>
      <c r="F40" s="3" t="n">
        <v>60</v>
      </c>
      <c r="G40" s="3" t="inlineStr">
        <is>
          <t>技能</t>
        </is>
      </c>
      <c r="H40" s="3" t="inlineStr">
        <is>
          <t>大类_基础</t>
        </is>
      </c>
      <c r="I40" s="3" t="inlineStr">
        <is>
          <t>子类_技能书</t>
        </is>
      </c>
      <c r="J40" s="3" t="n">
        <v>1</v>
      </c>
      <c r="K40" s="3" t="inlineStr">
        <is>
          <t>技能书</t>
        </is>
      </c>
      <c r="M40" s="3" t="n">
        <v>30000</v>
      </c>
      <c r="N40" s="3" t="inlineStr">
        <is>
          <t>是</t>
        </is>
      </c>
      <c r="P40" s="3" t="n">
        <v>30</v>
      </c>
      <c r="Q40" s="3" t="inlineStr">
        <is>
          <t>丹修</t>
        </is>
      </c>
      <c r="R40" s="3" t="n">
        <v>999</v>
      </c>
      <c r="S40" s="3" t="inlineStr">
        <is>
          <t>技能书</t>
        </is>
      </c>
      <c r="T40" s="3" t="n">
        <v>10670001</v>
      </c>
      <c r="V40" s="3">
        <f>"|cff00FF00达到"&amp;P40&amp;"级后可以学习技能"&amp;C40&amp;"，也可以在当前技能经验满后对该技能进行升级。"</f>
        <v/>
      </c>
      <c r="W40" s="3" t="inlineStr">
        <is>
          <t>击杀赤月怪物获得</t>
        </is>
      </c>
      <c r="X40" s="3" t="n">
        <v>34020001</v>
      </c>
      <c r="Y40" s="7" t="inlineStr">
        <is>
          <t>fall_jinengshu_02</t>
        </is>
      </c>
      <c r="Z40" s="3" t="inlineStr">
        <is>
          <t>ain_effect_lvseguangzhu_88</t>
        </is>
      </c>
      <c r="AA40" s="3" t="inlineStr">
        <is>
          <t>BK_J_lv</t>
        </is>
      </c>
      <c r="AB40" s="3" t="inlineStr">
        <is>
          <t>BK_D_lv</t>
        </is>
      </c>
      <c r="AC40" s="8" t="inlineStr">
        <is>
          <t>材料</t>
        </is>
      </c>
      <c r="AD40" s="9" t="inlineStr">
        <is>
          <t>道士技能书</t>
        </is>
      </c>
    </row>
    <row r="41" ht="16.5" customHeight="1" s="2">
      <c r="B41" s="3" t="n">
        <v>34020068</v>
      </c>
      <c r="C41" s="3" t="inlineStr">
        <is>
          <t>召唤神兽</t>
        </is>
      </c>
      <c r="D41" s="3" t="inlineStr">
        <is>
          <t>绿色</t>
        </is>
      </c>
      <c r="E41" s="3" t="n">
        <v>68</v>
      </c>
      <c r="F41" s="3" t="n">
        <v>60</v>
      </c>
      <c r="G41" s="3" t="inlineStr">
        <is>
          <t>技能</t>
        </is>
      </c>
      <c r="H41" s="3" t="inlineStr">
        <is>
          <t>大类_基础</t>
        </is>
      </c>
      <c r="I41" s="3" t="inlineStr">
        <is>
          <t>子类_技能书</t>
        </is>
      </c>
      <c r="J41" s="3" t="n">
        <v>1</v>
      </c>
      <c r="K41" s="3" t="inlineStr">
        <is>
          <t>技能书</t>
        </is>
      </c>
      <c r="M41" s="3" t="n">
        <v>30000</v>
      </c>
      <c r="N41" s="3" t="inlineStr">
        <is>
          <t>是</t>
        </is>
      </c>
      <c r="P41" s="3" t="n">
        <v>35</v>
      </c>
      <c r="Q41" s="3" t="inlineStr">
        <is>
          <t>丹修</t>
        </is>
      </c>
      <c r="R41" s="3" t="n">
        <v>999</v>
      </c>
      <c r="S41" s="3" t="inlineStr">
        <is>
          <t>技能书</t>
        </is>
      </c>
      <c r="T41" s="3" t="n">
        <v>10680001</v>
      </c>
      <c r="V41" s="3">
        <f>"|cff00FF00达到"&amp;P41&amp;"级后可以学习技能"&amp;C41&amp;"，也可以在当前技能经验满后对该技能进行升级。"</f>
        <v/>
      </c>
      <c r="W41" s="3" t="inlineStr">
        <is>
          <t>击杀赤月怪物获得</t>
        </is>
      </c>
      <c r="X41" s="3" t="n">
        <v>34020001</v>
      </c>
      <c r="Y41" s="7" t="inlineStr">
        <is>
          <t>fall_jinengshu_02</t>
        </is>
      </c>
      <c r="Z41" s="3" t="inlineStr">
        <is>
          <t>ain_effect_lvseguangzhu_88</t>
        </is>
      </c>
      <c r="AA41" s="3" t="inlineStr">
        <is>
          <t>BK_J_lv</t>
        </is>
      </c>
      <c r="AB41" s="3" t="inlineStr">
        <is>
          <t>BK_D_lv</t>
        </is>
      </c>
      <c r="AC41" s="8" t="inlineStr">
        <is>
          <t>材料</t>
        </is>
      </c>
      <c r="AD41" s="9" t="inlineStr">
        <is>
          <t>道士技能书</t>
        </is>
      </c>
    </row>
    <row r="42" ht="16.5" customHeight="1" s="2">
      <c r="B42" s="3" t="n">
        <v>34020100</v>
      </c>
      <c r="C42" s="3" t="inlineStr">
        <is>
          <t>技能书</t>
        </is>
      </c>
      <c r="D42" s="3" t="inlineStr">
        <is>
          <t>绿色</t>
        </is>
      </c>
      <c r="E42" s="3" t="n">
        <v>100</v>
      </c>
      <c r="F42" s="3" t="n">
        <v>60</v>
      </c>
      <c r="G42" s="3" t="inlineStr">
        <is>
          <t>技能</t>
        </is>
      </c>
      <c r="H42" s="3" t="inlineStr">
        <is>
          <t>大类_基础</t>
        </is>
      </c>
      <c r="I42" s="3" t="inlineStr">
        <is>
          <t>子类_技能书</t>
        </is>
      </c>
      <c r="J42" s="3" t="n">
        <v>7</v>
      </c>
      <c r="K42" s="3" t="inlineStr">
        <is>
          <t>技能书</t>
        </is>
      </c>
      <c r="M42" s="3" t="n">
        <v>30000</v>
      </c>
      <c r="N42" s="3" t="inlineStr">
        <is>
          <t>是</t>
        </is>
      </c>
      <c r="P42" s="3" t="n">
        <v>1</v>
      </c>
      <c r="Q42" s="3" t="inlineStr">
        <is>
          <t>无</t>
        </is>
      </c>
      <c r="R42" s="3" t="n">
        <v>999</v>
      </c>
      <c r="S42" s="3" t="inlineStr">
        <is>
          <t>技能经验</t>
        </is>
      </c>
      <c r="V42" s="3" t="inlineStr">
        <is>
          <t>|cff00FF00增加技能的经验值</t>
        </is>
      </c>
      <c r="W42" s="3" t="inlineStr">
        <is>
          <t>参加特殊活动，击杀BOSS可得</t>
        </is>
      </c>
      <c r="X42" s="3" t="n">
        <v>34020100</v>
      </c>
      <c r="Y42" s="7" t="inlineStr">
        <is>
          <t>fall_jinengshu_02</t>
        </is>
      </c>
      <c r="Z42" s="3" t="inlineStr">
        <is>
          <t>ain_effect_lvseguangzhu_88</t>
        </is>
      </c>
      <c r="AA42" s="3" t="inlineStr">
        <is>
          <t>BK_J_lv</t>
        </is>
      </c>
      <c r="AB42" s="3" t="inlineStr">
        <is>
          <t>BK_D_lv</t>
        </is>
      </c>
      <c r="AC42" s="8" t="inlineStr">
        <is>
          <t>材料</t>
        </is>
      </c>
      <c r="AD42" s="9" t="inlineStr">
        <is>
          <t>技能书</t>
        </is>
      </c>
    </row>
    <row r="43">
      <c r="B43" s="3" t="n">
        <v>34040001</v>
      </c>
      <c r="C43" s="3" t="inlineStr">
        <is>
          <t>祝福油</t>
        </is>
      </c>
      <c r="D43" s="3" t="inlineStr">
        <is>
          <t>绿色</t>
        </is>
      </c>
      <c r="E43" s="3" t="n">
        <v>1</v>
      </c>
      <c r="F43" s="3" t="n">
        <v>60</v>
      </c>
      <c r="G43" s="3" t="inlineStr">
        <is>
          <t>强化</t>
        </is>
      </c>
      <c r="H43" s="3" t="inlineStr">
        <is>
          <t>大类_基础</t>
        </is>
      </c>
      <c r="I43" s="3" t="inlineStr">
        <is>
          <t>子类_贵重品</t>
        </is>
      </c>
      <c r="J43" s="3" t="n">
        <v>1</v>
      </c>
      <c r="K43" s="3" t="inlineStr">
        <is>
          <t>强化道具</t>
        </is>
      </c>
      <c r="M43" s="3" t="n">
        <v>60000</v>
      </c>
      <c r="N43" s="3" t="inlineStr">
        <is>
          <t>是</t>
        </is>
      </c>
      <c r="P43" s="3" t="n">
        <v>1</v>
      </c>
      <c r="Q43" s="3" t="inlineStr">
        <is>
          <t>无</t>
        </is>
      </c>
      <c r="R43" s="3" t="n">
        <v>999</v>
      </c>
      <c r="S43" s="3" t="inlineStr">
        <is>
          <t>祝福_幸运</t>
        </is>
      </c>
      <c r="V43" s="3" t="inlineStr">
        <is>
          <t>|cff00FF00使用祝福油有概率提升当前装备武器的幸运值，最高可以提升到7点。</t>
        </is>
      </c>
      <c r="W43" s="3" t="inlineStr">
        <is>
          <t>击杀赤月怪物获得</t>
        </is>
      </c>
      <c r="X43" s="3" t="n">
        <v>34040001</v>
      </c>
      <c r="Y43" s="10" t="inlineStr">
        <is>
          <t>fall_zhufuyou</t>
        </is>
      </c>
      <c r="Z43" s="3" t="inlineStr">
        <is>
          <t>ain_effect_lvseguangzhu_88</t>
        </is>
      </c>
      <c r="AA43" s="3" t="inlineStr">
        <is>
          <t>BK_J_lv</t>
        </is>
      </c>
      <c r="AB43" s="3" t="inlineStr">
        <is>
          <t>BK_D_lv</t>
        </is>
      </c>
      <c r="AC43" s="8" t="inlineStr">
        <is>
          <t>材料</t>
        </is>
      </c>
      <c r="AD43" s="9" t="inlineStr">
        <is>
          <t>祝福油</t>
        </is>
      </c>
    </row>
    <row r="44">
      <c r="B44" s="3" t="n">
        <v>34040002</v>
      </c>
      <c r="C44" s="3" t="inlineStr">
        <is>
          <t>强化石</t>
        </is>
      </c>
      <c r="D44" s="3" t="inlineStr">
        <is>
          <t>绿色</t>
        </is>
      </c>
      <c r="E44" s="3" t="n">
        <v>2</v>
      </c>
      <c r="F44" s="3" t="n">
        <v>60</v>
      </c>
      <c r="G44" s="3" t="inlineStr">
        <is>
          <t>强化</t>
        </is>
      </c>
      <c r="H44" s="3" t="inlineStr">
        <is>
          <t>大类_基础</t>
        </is>
      </c>
      <c r="I44" s="3" t="inlineStr">
        <is>
          <t>子类_贵重品</t>
        </is>
      </c>
      <c r="J44" s="3" t="n">
        <v>2</v>
      </c>
      <c r="K44" s="3" t="inlineStr">
        <is>
          <t>强化道具</t>
        </is>
      </c>
      <c r="M44" s="3" t="n">
        <v>30000</v>
      </c>
      <c r="N44" s="3" t="inlineStr">
        <is>
          <t>否</t>
        </is>
      </c>
      <c r="P44" s="3" t="n">
        <v>1</v>
      </c>
      <c r="Q44" s="3" t="inlineStr">
        <is>
          <t>无</t>
        </is>
      </c>
      <c r="R44" s="3" t="n">
        <v>999</v>
      </c>
      <c r="S44" s="3" t="inlineStr">
        <is>
          <t>系统_强化</t>
        </is>
      </c>
      <c r="V44" s="3" t="inlineStr">
        <is>
          <t>|cff00FF00使用后可以进行装备强化</t>
        </is>
      </c>
      <c r="W44" s="3" t="inlineStr">
        <is>
          <t>参加特殊活动，击杀BOSS可得</t>
        </is>
      </c>
      <c r="X44" s="3" t="n">
        <v>34040002</v>
      </c>
      <c r="Y44" s="10" t="inlineStr">
        <is>
          <t>fall_qianghuashi</t>
        </is>
      </c>
      <c r="Z44" s="3" t="inlineStr">
        <is>
          <t>ain_effect_lvseguangzhu_88</t>
        </is>
      </c>
      <c r="AA44" s="3" t="inlineStr">
        <is>
          <t>BK_J_lv</t>
        </is>
      </c>
      <c r="AB44" s="3" t="inlineStr">
        <is>
          <t>BK_D_lv</t>
        </is>
      </c>
      <c r="AC44" s="8" t="inlineStr">
        <is>
          <t>材料</t>
        </is>
      </c>
      <c r="AD44" s="9" t="inlineStr">
        <is>
          <t>强化石</t>
        </is>
      </c>
    </row>
    <row r="45">
      <c r="B45" s="3" t="n">
        <v>34040003</v>
      </c>
      <c r="C45" s="3" t="inlineStr">
        <is>
          <t>强化特权</t>
        </is>
      </c>
      <c r="D45" s="3" t="inlineStr">
        <is>
          <t>紫色</t>
        </is>
      </c>
      <c r="E45" s="3" t="n">
        <v>3</v>
      </c>
      <c r="F45" s="3" t="n">
        <v>60</v>
      </c>
      <c r="G45" s="3" t="inlineStr">
        <is>
          <t>强化</t>
        </is>
      </c>
      <c r="H45" s="3" t="inlineStr">
        <is>
          <t>大类_基础</t>
        </is>
      </c>
      <c r="I45" s="3" t="inlineStr">
        <is>
          <t>子类_贵重品</t>
        </is>
      </c>
      <c r="J45" s="3" t="n">
        <v>3</v>
      </c>
      <c r="K45" s="3" t="inlineStr">
        <is>
          <t>强化道具</t>
        </is>
      </c>
      <c r="M45" s="3" t="n">
        <v>30000</v>
      </c>
      <c r="N45" s="3" t="inlineStr">
        <is>
          <t>否</t>
        </is>
      </c>
      <c r="P45" s="3" t="n">
        <v>1</v>
      </c>
      <c r="Q45" s="3" t="inlineStr">
        <is>
          <t>无</t>
        </is>
      </c>
      <c r="R45" s="3" t="n">
        <v>999</v>
      </c>
      <c r="S45" s="3" t="inlineStr">
        <is>
          <t>特权_强化</t>
        </is>
      </c>
      <c r="V45" s="3" t="inlineStr">
        <is>
          <t>|cff00FF00使用后增加10%强化成功率</t>
        </is>
      </c>
      <c r="W45" s="3" t="inlineStr">
        <is>
          <t>参加特殊活动，击杀BOSS可得</t>
        </is>
      </c>
      <c r="X45" s="3" t="n">
        <v>34040003</v>
      </c>
      <c r="Y45" s="10" t="inlineStr">
        <is>
          <t>fall_qianghuatequan</t>
        </is>
      </c>
      <c r="Z45" s="3" t="inlineStr">
        <is>
          <t>ain_effect_ziseguangzhu_85</t>
        </is>
      </c>
      <c r="AA45" s="3" t="inlineStr">
        <is>
          <t>BK_J_zi</t>
        </is>
      </c>
      <c r="AB45" s="3" t="inlineStr">
        <is>
          <t>BK_D_zi</t>
        </is>
      </c>
    </row>
    <row r="46">
      <c r="B46" s="3" t="n">
        <v>34040004</v>
      </c>
      <c r="C46" s="3" t="inlineStr">
        <is>
          <t>命格洗练石</t>
        </is>
      </c>
      <c r="D46" s="3" t="inlineStr">
        <is>
          <t>紫色</t>
        </is>
      </c>
      <c r="E46" s="3" t="n">
        <v>4</v>
      </c>
      <c r="F46" s="3" t="n">
        <v>60</v>
      </c>
      <c r="G46" s="3" t="inlineStr">
        <is>
          <t>强化</t>
        </is>
      </c>
      <c r="H46" s="3" t="inlineStr">
        <is>
          <t>大类_基础</t>
        </is>
      </c>
      <c r="I46" s="3" t="inlineStr">
        <is>
          <t>子类_贵重品</t>
        </is>
      </c>
      <c r="J46" s="3" t="n">
        <v>4</v>
      </c>
      <c r="K46" s="3" t="inlineStr">
        <is>
          <t>强化道具</t>
        </is>
      </c>
      <c r="M46" s="3" t="n">
        <v>30000</v>
      </c>
      <c r="N46" s="3" t="inlineStr">
        <is>
          <t>否</t>
        </is>
      </c>
      <c r="P46" s="3" t="n">
        <v>1</v>
      </c>
      <c r="Q46" s="3" t="inlineStr">
        <is>
          <t>无</t>
        </is>
      </c>
      <c r="R46" s="3" t="n">
        <v>999</v>
      </c>
      <c r="S46" s="3" t="inlineStr">
        <is>
          <t>命格_洗练</t>
        </is>
      </c>
      <c r="V46" s="3" t="inlineStr">
        <is>
          <t>|cff00FF00使用后可以进行命格洗练</t>
        </is>
      </c>
      <c r="W46" s="3" t="inlineStr">
        <is>
          <t>参加特殊活动，击杀BOSS可得</t>
        </is>
      </c>
      <c r="X46" s="3" t="n">
        <v>34040004</v>
      </c>
      <c r="Y46" s="10" t="inlineStr">
        <is>
          <t>fall_minggeshi</t>
        </is>
      </c>
      <c r="Z46" s="3" t="inlineStr">
        <is>
          <t>ain_effect_ziseguangzhu_85</t>
        </is>
      </c>
      <c r="AA46" s="3" t="inlineStr">
        <is>
          <t>BK_J_zi</t>
        </is>
      </c>
      <c r="AB46" s="3" t="inlineStr">
        <is>
          <t>BK_D_zi</t>
        </is>
      </c>
    </row>
    <row r="47">
      <c r="B47" s="3" t="n">
        <v>34040005</v>
      </c>
      <c r="C47" s="3" t="inlineStr">
        <is>
          <t>羽毛</t>
        </is>
      </c>
      <c r="D47" s="3" t="inlineStr">
        <is>
          <t>紫色</t>
        </is>
      </c>
      <c r="E47" s="3" t="n">
        <v>5</v>
      </c>
      <c r="F47" s="3" t="n">
        <v>60</v>
      </c>
      <c r="G47" s="3" t="inlineStr">
        <is>
          <t>强化</t>
        </is>
      </c>
      <c r="H47" s="3" t="inlineStr">
        <is>
          <t>大类_基础</t>
        </is>
      </c>
      <c r="I47" s="3" t="inlineStr">
        <is>
          <t>子类_贵重品</t>
        </is>
      </c>
      <c r="J47" s="3" t="n">
        <v>5</v>
      </c>
      <c r="K47" s="3" t="inlineStr">
        <is>
          <t>强化道具</t>
        </is>
      </c>
      <c r="M47" s="3" t="n">
        <v>30000</v>
      </c>
      <c r="N47" s="3" t="inlineStr">
        <is>
          <t>否</t>
        </is>
      </c>
      <c r="P47" s="3" t="n">
        <v>1</v>
      </c>
      <c r="Q47" s="3" t="inlineStr">
        <is>
          <t>无</t>
        </is>
      </c>
      <c r="R47" s="3" t="n">
        <v>999</v>
      </c>
      <c r="S47" s="3" t="inlineStr">
        <is>
          <t>系统_羽翼</t>
        </is>
      </c>
      <c r="V47" s="3" t="inlineStr">
        <is>
          <t>|cff00FF00使用后可以进行羽翼升级</t>
        </is>
      </c>
      <c r="W47" s="3" t="inlineStr">
        <is>
          <t>参加特殊活动，击杀BOSS可得</t>
        </is>
      </c>
      <c r="X47" s="3" t="n">
        <v>34040005</v>
      </c>
      <c r="Y47" s="10" t="inlineStr">
        <is>
          <t>fall_yumao</t>
        </is>
      </c>
      <c r="Z47" s="3" t="inlineStr">
        <is>
          <t>ain_effect_ziseguangzhu_85</t>
        </is>
      </c>
      <c r="AA47" s="3" t="inlineStr">
        <is>
          <t>BK_J_zi</t>
        </is>
      </c>
      <c r="AB47" s="3" t="inlineStr">
        <is>
          <t>BK_D_zi</t>
        </is>
      </c>
      <c r="AC47" s="8" t="inlineStr">
        <is>
          <t>材料</t>
        </is>
      </c>
      <c r="AD47" s="9" t="inlineStr">
        <is>
          <t>羽毛</t>
        </is>
      </c>
    </row>
    <row r="48">
      <c r="B48" s="3" t="n">
        <v>34040006</v>
      </c>
      <c r="C48" s="3" t="inlineStr">
        <is>
          <t>背包解锁格</t>
        </is>
      </c>
      <c r="D48" s="3" t="inlineStr">
        <is>
          <t>紫色</t>
        </is>
      </c>
      <c r="E48" s="3" t="n">
        <v>6</v>
      </c>
      <c r="F48" s="3" t="n">
        <v>60</v>
      </c>
      <c r="G48" s="3" t="inlineStr">
        <is>
          <t>强化</t>
        </is>
      </c>
      <c r="H48" s="3" t="inlineStr">
        <is>
          <t>大类_基础</t>
        </is>
      </c>
      <c r="I48" s="3" t="inlineStr">
        <is>
          <t>子类_贵重品</t>
        </is>
      </c>
      <c r="J48" s="3" t="n">
        <v>99</v>
      </c>
      <c r="K48" s="3" t="inlineStr">
        <is>
          <t>强化道具</t>
        </is>
      </c>
      <c r="N48" s="3" t="inlineStr">
        <is>
          <t>否</t>
        </is>
      </c>
      <c r="P48" s="3" t="n">
        <v>1</v>
      </c>
      <c r="Q48" s="3" t="inlineStr">
        <is>
          <t>无</t>
        </is>
      </c>
      <c r="R48" s="3" t="n">
        <v>999</v>
      </c>
      <c r="S48" s="3" t="inlineStr">
        <is>
          <t>背包_解锁格</t>
        </is>
      </c>
      <c r="V48" s="3" t="inlineStr">
        <is>
          <t>|cff00FF00使用后可以解锁背包格子</t>
        </is>
      </c>
      <c r="W48" s="3" t="inlineStr">
        <is>
          <t>参加特殊活动，击杀BOSS可得</t>
        </is>
      </c>
      <c r="X48" s="3" t="n">
        <v>34040006</v>
      </c>
      <c r="Y48" s="10" t="inlineStr">
        <is>
          <t>fall_beibaoge</t>
        </is>
      </c>
      <c r="Z48" s="3" t="inlineStr">
        <is>
          <t>ain_effect_ziseguangzhu_85</t>
        </is>
      </c>
      <c r="AA48" s="3" t="inlineStr">
        <is>
          <t>BK_J_zi</t>
        </is>
      </c>
      <c r="AB48" s="3" t="inlineStr">
        <is>
          <t>BK_D_zi</t>
        </is>
      </c>
    </row>
    <row r="49">
      <c r="B49" s="3" t="n">
        <v>34040007</v>
      </c>
      <c r="C49" s="3" t="inlineStr">
        <is>
          <t>背包解锁页</t>
        </is>
      </c>
      <c r="D49" s="3" t="inlineStr">
        <is>
          <t>紫色</t>
        </is>
      </c>
      <c r="E49" s="3" t="n">
        <v>7</v>
      </c>
      <c r="F49" s="3" t="n">
        <v>60</v>
      </c>
      <c r="G49" s="3" t="inlineStr">
        <is>
          <t>强化</t>
        </is>
      </c>
      <c r="H49" s="3" t="inlineStr">
        <is>
          <t>大类_基础</t>
        </is>
      </c>
      <c r="I49" s="3" t="inlineStr">
        <is>
          <t>子类_贵重品</t>
        </is>
      </c>
      <c r="J49" s="3" t="n">
        <v>99</v>
      </c>
      <c r="K49" s="3" t="inlineStr">
        <is>
          <t>强化道具</t>
        </is>
      </c>
      <c r="N49" s="3" t="inlineStr">
        <is>
          <t>否</t>
        </is>
      </c>
      <c r="P49" s="3" t="n">
        <v>1</v>
      </c>
      <c r="Q49" s="3" t="inlineStr">
        <is>
          <t>无</t>
        </is>
      </c>
      <c r="R49" s="3" t="n">
        <v>999</v>
      </c>
      <c r="S49" s="3" t="inlineStr">
        <is>
          <t>背包_解锁页</t>
        </is>
      </c>
      <c r="V49" s="3" t="inlineStr">
        <is>
          <t>|cff00FF00使用后可以大量解锁背包页</t>
        </is>
      </c>
      <c r="W49" s="3" t="inlineStr">
        <is>
          <t>参加特殊活动，击杀BOSS可得</t>
        </is>
      </c>
      <c r="X49" s="3" t="n">
        <v>34040007</v>
      </c>
      <c r="Y49" s="10" t="inlineStr">
        <is>
          <t>fall_beibaoye</t>
        </is>
      </c>
      <c r="Z49" s="3" t="inlineStr">
        <is>
          <t>ain_effect_ziseguangzhu_85</t>
        </is>
      </c>
      <c r="AA49" s="3" t="inlineStr">
        <is>
          <t>BK_J_zi</t>
        </is>
      </c>
      <c r="AB49" s="3" t="inlineStr">
        <is>
          <t>BK_D_zi</t>
        </is>
      </c>
    </row>
    <row r="50">
      <c r="B50" s="3" t="n">
        <v>34040008</v>
      </c>
      <c r="C50" s="3" t="inlineStr">
        <is>
          <t>魂之精髓</t>
        </is>
      </c>
      <c r="D50" s="3" t="inlineStr">
        <is>
          <t>紫色</t>
        </is>
      </c>
      <c r="E50" s="3" t="n">
        <v>8</v>
      </c>
      <c r="F50" s="3" t="n">
        <v>60</v>
      </c>
      <c r="G50" s="3" t="inlineStr">
        <is>
          <t>强化</t>
        </is>
      </c>
      <c r="H50" s="3" t="inlineStr">
        <is>
          <t>大类_基础</t>
        </is>
      </c>
      <c r="I50" s="3" t="inlineStr">
        <is>
          <t>子类_贵重品</t>
        </is>
      </c>
      <c r="J50" s="3" t="n">
        <v>99</v>
      </c>
      <c r="K50" s="3" t="inlineStr">
        <is>
          <t>强化道具</t>
        </is>
      </c>
      <c r="N50" s="3" t="inlineStr">
        <is>
          <t>否</t>
        </is>
      </c>
      <c r="P50" s="3" t="n">
        <v>1</v>
      </c>
      <c r="Q50" s="3" t="inlineStr">
        <is>
          <t>无</t>
        </is>
      </c>
      <c r="R50" s="3" t="n">
        <v>99</v>
      </c>
      <c r="V50" s="3" t="inlineStr">
        <is>
          <t>打造小极品用|n|cff00FF00凝聚了天地战魂之力的血红结晶。将其投入锻造炉中，可唤醒兵器沉睡的凶性，会赋予其额外的属性或隐藏技能。|n|cffFF0000神物虽神，也看本体天性。</t>
        </is>
      </c>
      <c r="W50" s="3" t="inlineStr">
        <is>
          <t>参加特殊活动，击杀BOSS可得</t>
        </is>
      </c>
      <c r="X50" s="3" t="n">
        <v>34040008</v>
      </c>
      <c r="Y50" s="10" t="inlineStr">
        <is>
          <t>fall_jingsui</t>
        </is>
      </c>
      <c r="Z50" s="3" t="inlineStr">
        <is>
          <t>ain_effect_ziseguangzhu_85</t>
        </is>
      </c>
      <c r="AA50" s="3" t="inlineStr">
        <is>
          <t>BK_J_zi</t>
        </is>
      </c>
      <c r="AB50" s="3" t="inlineStr">
        <is>
          <t>BK_D_zi</t>
        </is>
      </c>
    </row>
    <row r="51">
      <c r="B51" s="3" t="n">
        <v>34040009</v>
      </c>
      <c r="C51" s="3" t="inlineStr">
        <is>
          <t>魄之散华</t>
        </is>
      </c>
      <c r="D51" s="3" t="inlineStr">
        <is>
          <t>紫色</t>
        </is>
      </c>
      <c r="E51" s="3" t="n">
        <v>9</v>
      </c>
      <c r="F51" s="3" t="n">
        <v>60</v>
      </c>
      <c r="G51" s="3" t="inlineStr">
        <is>
          <t>强化</t>
        </is>
      </c>
      <c r="H51" s="3" t="inlineStr">
        <is>
          <t>大类_基础</t>
        </is>
      </c>
      <c r="I51" s="3" t="inlineStr">
        <is>
          <t>子类_贵重品</t>
        </is>
      </c>
      <c r="J51" s="3" t="n">
        <v>99</v>
      </c>
      <c r="K51" s="3" t="inlineStr">
        <is>
          <t>强化道具</t>
        </is>
      </c>
      <c r="N51" s="3" t="inlineStr">
        <is>
          <t>否</t>
        </is>
      </c>
      <c r="P51" s="3" t="n">
        <v>1</v>
      </c>
      <c r="Q51" s="3" t="inlineStr">
        <is>
          <t>无</t>
        </is>
      </c>
      <c r="R51" s="3" t="n">
        <v>99</v>
      </c>
      <c r="V51" s="3" t="inlineStr">
        <is>
          <t>重置打造的小极品属性|n|cff00FF00采自幽冥忘川的幽蓝水露。能洗去兵器上一切通过魂之精髓后天唤醒的凶性，使其回归最初状态。|n使用后，所有打造附加的属性与技能将彻底消散。</t>
        </is>
      </c>
      <c r="W51" s="3" t="inlineStr">
        <is>
          <t>参加特殊活动，击杀BOSS可得</t>
        </is>
      </c>
      <c r="X51" s="3" t="n">
        <v>34040009</v>
      </c>
      <c r="Y51" s="10" t="inlineStr">
        <is>
          <t>fall_sanhua</t>
        </is>
      </c>
      <c r="Z51" s="3" t="inlineStr">
        <is>
          <t>ain_effect_ziseguangzhu_85</t>
        </is>
      </c>
      <c r="AA51" s="3" t="inlineStr">
        <is>
          <t>BK_J_zi</t>
        </is>
      </c>
      <c r="AB51" s="3" t="inlineStr">
        <is>
          <t>BK_D_zi</t>
        </is>
      </c>
    </row>
    <row r="52">
      <c r="B52" s="3" t="n">
        <v>34040010</v>
      </c>
      <c r="C52" s="3" t="inlineStr">
        <is>
          <t>超级祝福油</t>
        </is>
      </c>
      <c r="D52" s="3" t="inlineStr">
        <is>
          <t>紫色</t>
        </is>
      </c>
      <c r="E52" s="3" t="n">
        <v>10</v>
      </c>
      <c r="F52" s="3" t="n">
        <v>60</v>
      </c>
      <c r="G52" s="3" t="inlineStr">
        <is>
          <t>强化</t>
        </is>
      </c>
      <c r="H52" s="3" t="inlineStr">
        <is>
          <t>大类_基础</t>
        </is>
      </c>
      <c r="I52" s="3" t="inlineStr">
        <is>
          <t>子类_贵重品</t>
        </is>
      </c>
      <c r="J52" s="3" t="n">
        <v>1</v>
      </c>
      <c r="K52" s="3" t="inlineStr">
        <is>
          <t>强化道具</t>
        </is>
      </c>
      <c r="M52" s="3" t="n">
        <v>60000</v>
      </c>
      <c r="N52" s="3" t="inlineStr">
        <is>
          <t>是</t>
        </is>
      </c>
      <c r="P52" s="3" t="n">
        <v>1</v>
      </c>
      <c r="Q52" s="3" t="inlineStr">
        <is>
          <t>无</t>
        </is>
      </c>
      <c r="R52" s="3" t="n">
        <v>999</v>
      </c>
      <c r="S52" s="3" t="inlineStr">
        <is>
          <t>高级祝福_幸运</t>
        </is>
      </c>
      <c r="V52" s="3" t="inlineStr">
        <is>
          <t>|cff00FF00使用祝福油有概率提升当前装备武器的幸运值，最高可以提升到7点。|n失败后不会降低武器幸运。</t>
        </is>
      </c>
      <c r="W52" s="3" t="inlineStr">
        <is>
          <t>通过祝福油合成，击杀BOSS可得</t>
        </is>
      </c>
      <c r="X52" s="3" t="n">
        <v>34040010</v>
      </c>
      <c r="Y52" s="10" t="inlineStr">
        <is>
          <t>fall_bluebottle</t>
        </is>
      </c>
      <c r="Z52" s="3" t="inlineStr">
        <is>
          <t>ain_effect_ziseguangzhu_85</t>
        </is>
      </c>
      <c r="AA52" s="3" t="inlineStr">
        <is>
          <t>BK_J_zi</t>
        </is>
      </c>
      <c r="AB52" s="3" t="inlineStr">
        <is>
          <t>BK_D_zi</t>
        </is>
      </c>
    </row>
    <row r="53">
      <c r="B53" s="3" t="n">
        <v>34040011</v>
      </c>
      <c r="C53" s="3" t="inlineStr">
        <is>
          <t>1转神石</t>
        </is>
      </c>
      <c r="D53" s="3" t="inlineStr">
        <is>
          <t>紫色</t>
        </is>
      </c>
      <c r="E53" s="3" t="n">
        <v>11</v>
      </c>
      <c r="F53" s="3" t="n">
        <v>60</v>
      </c>
      <c r="G53" s="3" t="inlineStr">
        <is>
          <t>强化</t>
        </is>
      </c>
      <c r="H53" s="3" t="inlineStr">
        <is>
          <t>大类_基础</t>
        </is>
      </c>
      <c r="I53" s="3" t="inlineStr">
        <is>
          <t>子类_贵重品</t>
        </is>
      </c>
      <c r="J53" s="3" t="n">
        <v>1</v>
      </c>
      <c r="K53" s="3" t="inlineStr">
        <is>
          <t>强化道具</t>
        </is>
      </c>
      <c r="M53" s="3" t="n">
        <v>30000</v>
      </c>
      <c r="N53" s="3" t="inlineStr">
        <is>
          <t>是</t>
        </is>
      </c>
      <c r="P53" s="3" t="n">
        <v>1</v>
      </c>
      <c r="Q53" s="3" t="inlineStr">
        <is>
          <t>无</t>
        </is>
      </c>
      <c r="R53" s="3" t="n">
        <v>999</v>
      </c>
      <c r="S53" s="3" t="inlineStr">
        <is>
          <t>系统_转生</t>
        </is>
      </c>
      <c r="V53" s="3" t="inlineStr">
        <is>
          <t>|cff00FF00玩家1转时需要的材料</t>
        </is>
      </c>
      <c r="W53" s="3" t="inlineStr">
        <is>
          <t>参加特殊活动，击杀BOSS可得</t>
        </is>
      </c>
      <c r="X53" s="3" t="n">
        <v>34040011</v>
      </c>
      <c r="Y53" s="11" t="inlineStr">
        <is>
          <t>fall_zhuansheng_01</t>
        </is>
      </c>
      <c r="Z53" s="3" t="inlineStr">
        <is>
          <t>ain_effect_ziseguangzhu_85</t>
        </is>
      </c>
      <c r="AA53" s="3" t="inlineStr">
        <is>
          <t>BK_J_zi</t>
        </is>
      </c>
      <c r="AB53" s="3" t="inlineStr">
        <is>
          <t>BK_D_zi</t>
        </is>
      </c>
      <c r="AC53" s="8" t="inlineStr">
        <is>
          <t>材料</t>
        </is>
      </c>
      <c r="AD53" s="9" t="inlineStr">
        <is>
          <t>1转神石</t>
        </is>
      </c>
    </row>
    <row r="54">
      <c r="B54" s="3" t="n">
        <v>34040012</v>
      </c>
      <c r="C54" s="3" t="inlineStr">
        <is>
          <t>2转神石</t>
        </is>
      </c>
      <c r="D54" s="3" t="inlineStr">
        <is>
          <t>紫色</t>
        </is>
      </c>
      <c r="E54" s="3" t="n">
        <v>12</v>
      </c>
      <c r="F54" s="3" t="n">
        <v>60</v>
      </c>
      <c r="G54" s="3" t="inlineStr">
        <is>
          <t>强化</t>
        </is>
      </c>
      <c r="H54" s="3" t="inlineStr">
        <is>
          <t>大类_基础</t>
        </is>
      </c>
      <c r="I54" s="3" t="inlineStr">
        <is>
          <t>子类_贵重品</t>
        </is>
      </c>
      <c r="J54" s="3" t="n">
        <v>1</v>
      </c>
      <c r="K54" s="3" t="inlineStr">
        <is>
          <t>强化道具</t>
        </is>
      </c>
      <c r="M54" s="3" t="n">
        <v>30000</v>
      </c>
      <c r="N54" s="3" t="inlineStr">
        <is>
          <t>是</t>
        </is>
      </c>
      <c r="P54" s="3" t="n">
        <v>1</v>
      </c>
      <c r="Q54" s="3" t="inlineStr">
        <is>
          <t>无</t>
        </is>
      </c>
      <c r="R54" s="3" t="n">
        <v>999</v>
      </c>
      <c r="S54" s="3" t="inlineStr">
        <is>
          <t>系统_转生</t>
        </is>
      </c>
      <c r="V54" s="3" t="inlineStr">
        <is>
          <t>|cff00FF00玩家2转时需要的材料</t>
        </is>
      </c>
      <c r="W54" s="3" t="inlineStr">
        <is>
          <t>参加特殊活动，击杀BOSS可得</t>
        </is>
      </c>
      <c r="X54" s="3" t="n">
        <v>34040012</v>
      </c>
      <c r="Y54" s="3" t="inlineStr">
        <is>
          <t>fall_zhuansheng_02</t>
        </is>
      </c>
      <c r="Z54" s="3" t="inlineStr">
        <is>
          <t>ain_effect_ziseguangzhu_85</t>
        </is>
      </c>
      <c r="AA54" s="3" t="inlineStr">
        <is>
          <t>BK_J_zi</t>
        </is>
      </c>
      <c r="AB54" s="3" t="inlineStr">
        <is>
          <t>BK_D_zi</t>
        </is>
      </c>
      <c r="AC54" s="8" t="inlineStr">
        <is>
          <t>材料</t>
        </is>
      </c>
      <c r="AD54" s="9" t="inlineStr">
        <is>
          <t>2转神石</t>
        </is>
      </c>
    </row>
    <row r="55">
      <c r="B55" s="3" t="n">
        <v>34040013</v>
      </c>
      <c r="C55" s="3" t="inlineStr">
        <is>
          <t>3转神石</t>
        </is>
      </c>
      <c r="D55" s="3" t="inlineStr">
        <is>
          <t>紫色</t>
        </is>
      </c>
      <c r="E55" s="3" t="n">
        <v>13</v>
      </c>
      <c r="F55" s="3" t="n">
        <v>60</v>
      </c>
      <c r="G55" s="3" t="inlineStr">
        <is>
          <t>强化</t>
        </is>
      </c>
      <c r="H55" s="3" t="inlineStr">
        <is>
          <t>大类_基础</t>
        </is>
      </c>
      <c r="I55" s="3" t="inlineStr">
        <is>
          <t>子类_贵重品</t>
        </is>
      </c>
      <c r="J55" s="3" t="n">
        <v>1</v>
      </c>
      <c r="K55" s="3" t="inlineStr">
        <is>
          <t>强化道具</t>
        </is>
      </c>
      <c r="M55" s="3" t="n">
        <v>30000</v>
      </c>
      <c r="N55" s="3" t="inlineStr">
        <is>
          <t>是</t>
        </is>
      </c>
      <c r="P55" s="3" t="n">
        <v>1</v>
      </c>
      <c r="Q55" s="3" t="inlineStr">
        <is>
          <t>无</t>
        </is>
      </c>
      <c r="R55" s="3" t="n">
        <v>999</v>
      </c>
      <c r="S55" s="3" t="inlineStr">
        <is>
          <t>系统_转生</t>
        </is>
      </c>
      <c r="V55" s="3" t="inlineStr">
        <is>
          <t>|cff00FF00玩家3转时需要的材料</t>
        </is>
      </c>
      <c r="W55" s="3" t="inlineStr">
        <is>
          <t>参加特殊活动，击杀BOSS可得</t>
        </is>
      </c>
      <c r="X55" s="3" t="n">
        <v>34040013</v>
      </c>
      <c r="Y55" s="3" t="inlineStr">
        <is>
          <t>fall_zhuansheng_03</t>
        </is>
      </c>
      <c r="Z55" s="3" t="inlineStr">
        <is>
          <t>ain_effect_ziseguangzhu_85</t>
        </is>
      </c>
      <c r="AA55" s="3" t="inlineStr">
        <is>
          <t>BK_J_zi</t>
        </is>
      </c>
      <c r="AB55" s="3" t="inlineStr">
        <is>
          <t>BK_D_zi</t>
        </is>
      </c>
      <c r="AC55" s="8" t="inlineStr">
        <is>
          <t>材料</t>
        </is>
      </c>
      <c r="AD55" s="9" t="inlineStr">
        <is>
          <t>3转神石</t>
        </is>
      </c>
    </row>
    <row r="56">
      <c r="B56" s="3" t="n">
        <v>34040014</v>
      </c>
      <c r="C56" s="3" t="inlineStr">
        <is>
          <t>4转神石</t>
        </is>
      </c>
      <c r="D56" s="3" t="inlineStr">
        <is>
          <t>紫色</t>
        </is>
      </c>
      <c r="E56" s="3" t="n">
        <v>14</v>
      </c>
      <c r="F56" s="3" t="n">
        <v>60</v>
      </c>
      <c r="G56" s="3" t="inlineStr">
        <is>
          <t>强化</t>
        </is>
      </c>
      <c r="H56" s="3" t="inlineStr">
        <is>
          <t>大类_基础</t>
        </is>
      </c>
      <c r="I56" s="3" t="inlineStr">
        <is>
          <t>子类_贵重品</t>
        </is>
      </c>
      <c r="J56" s="3" t="n">
        <v>1</v>
      </c>
      <c r="K56" s="3" t="inlineStr">
        <is>
          <t>强化道具</t>
        </is>
      </c>
      <c r="M56" s="3" t="n">
        <v>30000</v>
      </c>
      <c r="N56" s="3" t="inlineStr">
        <is>
          <t>是</t>
        </is>
      </c>
      <c r="P56" s="3" t="n">
        <v>1</v>
      </c>
      <c r="Q56" s="3" t="inlineStr">
        <is>
          <t>无</t>
        </is>
      </c>
      <c r="R56" s="3" t="n">
        <v>999</v>
      </c>
      <c r="S56" s="3" t="inlineStr">
        <is>
          <t>系统_转生</t>
        </is>
      </c>
      <c r="V56" s="3" t="inlineStr">
        <is>
          <t>|cff00FF00玩家4转时需要的材料</t>
        </is>
      </c>
      <c r="W56" s="3" t="inlineStr">
        <is>
          <t>参加特殊活动，击杀BOSS可得</t>
        </is>
      </c>
      <c r="X56" s="3" t="n">
        <v>34040014</v>
      </c>
      <c r="Y56" s="3" t="inlineStr">
        <is>
          <t>fall_zhuansheng_04</t>
        </is>
      </c>
      <c r="Z56" s="3" t="inlineStr">
        <is>
          <t>ain_effect_ziseguangzhu_85</t>
        </is>
      </c>
      <c r="AA56" s="3" t="inlineStr">
        <is>
          <t>BK_J_zi</t>
        </is>
      </c>
      <c r="AB56" s="3" t="inlineStr">
        <is>
          <t>BK_D_zi</t>
        </is>
      </c>
      <c r="AC56" s="8" t="inlineStr">
        <is>
          <t>材料</t>
        </is>
      </c>
      <c r="AD56" s="9" t="inlineStr">
        <is>
          <t>4转神石</t>
        </is>
      </c>
    </row>
    <row r="57">
      <c r="B57" s="3" t="n">
        <v>34040015</v>
      </c>
      <c r="C57" s="3" t="inlineStr">
        <is>
          <t>合成符</t>
        </is>
      </c>
      <c r="D57" s="3" t="inlineStr">
        <is>
          <t>紫色</t>
        </is>
      </c>
      <c r="E57" s="3" t="n">
        <v>15</v>
      </c>
      <c r="F57" s="3" t="n">
        <v>60</v>
      </c>
      <c r="G57" s="3" t="inlineStr">
        <is>
          <t>强化</t>
        </is>
      </c>
      <c r="H57" s="3" t="inlineStr">
        <is>
          <t>大类_基础</t>
        </is>
      </c>
      <c r="I57" s="3" t="inlineStr">
        <is>
          <t>子类_贵重品</t>
        </is>
      </c>
      <c r="J57" s="3" t="n">
        <v>1</v>
      </c>
      <c r="K57" s="3" t="inlineStr">
        <is>
          <t>强化道具</t>
        </is>
      </c>
      <c r="M57" s="3" t="n">
        <v>30000</v>
      </c>
      <c r="N57" s="3" t="inlineStr">
        <is>
          <t>是</t>
        </is>
      </c>
      <c r="P57" s="3" t="n">
        <v>1</v>
      </c>
      <c r="Q57" s="3" t="inlineStr">
        <is>
          <t>无</t>
        </is>
      </c>
      <c r="R57" s="3" t="n">
        <v>999</v>
      </c>
      <c r="S57" s="3" t="inlineStr">
        <is>
          <t>系统_合成</t>
        </is>
      </c>
      <c r="V57" s="3" t="inlineStr">
        <is>
          <t>|cff00FF00合成贵重物品需要的材料</t>
        </is>
      </c>
      <c r="W57" s="3" t="inlineStr">
        <is>
          <t>参加特殊活动，击杀BOSS可得</t>
        </is>
      </c>
      <c r="X57" s="3" t="n">
        <v>34040015</v>
      </c>
      <c r="Y57" s="3" t="inlineStr">
        <is>
          <t>fall_hechengfu_01</t>
        </is>
      </c>
      <c r="Z57" s="3" t="inlineStr">
        <is>
          <t>ain_effect_ziseguangzhu_85</t>
        </is>
      </c>
      <c r="AA57" s="3" t="inlineStr">
        <is>
          <t>BK_J_zi</t>
        </is>
      </c>
      <c r="AB57" s="3" t="inlineStr">
        <is>
          <t>BK_D_zi</t>
        </is>
      </c>
    </row>
    <row r="58">
      <c r="B58" s="3" t="n">
        <v>34040016</v>
      </c>
      <c r="C58" s="3" t="inlineStr">
        <is>
          <t>马牌</t>
        </is>
      </c>
      <c r="D58" s="3" t="inlineStr">
        <is>
          <t>紫色</t>
        </is>
      </c>
      <c r="E58" s="3" t="n">
        <v>16</v>
      </c>
      <c r="F58" s="3" t="n">
        <v>60</v>
      </c>
      <c r="G58" s="3" t="inlineStr">
        <is>
          <t>强化</t>
        </is>
      </c>
      <c r="H58" s="3" t="inlineStr">
        <is>
          <t>大类_基础</t>
        </is>
      </c>
      <c r="I58" s="3" t="inlineStr">
        <is>
          <t>子类_贵重品</t>
        </is>
      </c>
      <c r="J58" s="3" t="n">
        <v>1</v>
      </c>
      <c r="K58" s="3" t="inlineStr">
        <is>
          <t>强化道具</t>
        </is>
      </c>
      <c r="M58" s="3" t="n">
        <v>30000</v>
      </c>
      <c r="N58" s="3" t="inlineStr">
        <is>
          <t>是</t>
        </is>
      </c>
      <c r="P58" s="3" t="n">
        <v>1</v>
      </c>
      <c r="Q58" s="3" t="inlineStr">
        <is>
          <t>无</t>
        </is>
      </c>
      <c r="R58" s="3" t="n">
        <v>999</v>
      </c>
      <c r="S58" s="3" t="inlineStr">
        <is>
          <t>系统_马牌</t>
        </is>
      </c>
      <c r="V58" s="3" t="inlineStr">
        <is>
          <t>|cff00FF00兑换马匹需要的材料</t>
        </is>
      </c>
      <c r="W58" s="3" t="inlineStr">
        <is>
          <t>打听马匹入口获得</t>
        </is>
      </c>
      <c r="X58" s="3" t="n">
        <v>34040016</v>
      </c>
      <c r="Y58" s="3" t="inlineStr">
        <is>
          <t>fall_props_mapai</t>
        </is>
      </c>
      <c r="Z58" s="3" t="inlineStr">
        <is>
          <t>ain_effect_ziseguangzhu_85</t>
        </is>
      </c>
      <c r="AA58" s="3" t="inlineStr">
        <is>
          <t>BK_J_zi</t>
        </is>
      </c>
      <c r="AB58" s="3" t="inlineStr">
        <is>
          <t>BK_D_zi</t>
        </is>
      </c>
    </row>
    <row r="59">
      <c r="B59" s="3">
        <f>30000000+INDEX(编号表!$B:$B,MATCH(G59,编号表!$A:$A,0))*10000+E59</f>
        <v/>
      </c>
      <c r="C59" s="3" t="inlineStr">
        <is>
          <t>基础铭文</t>
        </is>
      </c>
      <c r="D59" s="3" t="inlineStr">
        <is>
          <t>紫色</t>
        </is>
      </c>
      <c r="E59" s="3" t="n">
        <v>0</v>
      </c>
      <c r="F59" s="3" t="n">
        <v>60</v>
      </c>
      <c r="G59" s="3" t="inlineStr">
        <is>
          <t>铭文</t>
        </is>
      </c>
      <c r="H59" s="3" t="inlineStr">
        <is>
          <t>大类_基础</t>
        </is>
      </c>
      <c r="I59" s="3" t="inlineStr">
        <is>
          <t>子类_贵重品</t>
        </is>
      </c>
      <c r="J59" s="3" t="n">
        <v>1</v>
      </c>
      <c r="K59" s="3" t="inlineStr">
        <is>
          <t>强化道具</t>
        </is>
      </c>
      <c r="M59" s="3" t="n">
        <v>30000</v>
      </c>
      <c r="N59" s="3" t="inlineStr">
        <is>
          <t>是</t>
        </is>
      </c>
      <c r="P59" s="3" t="n">
        <v>1</v>
      </c>
      <c r="Q59" s="3" t="inlineStr">
        <is>
          <t>无</t>
        </is>
      </c>
      <c r="R59" s="3" t="n">
        <v>999</v>
      </c>
      <c r="S59" s="3" t="inlineStr">
        <is>
          <t>系统_铭文</t>
        </is>
      </c>
      <c r="V59" s="3" t="inlineStr">
        <is>
          <t>可以激活基础剑术铭文词条</t>
        </is>
      </c>
      <c r="W59" s="3" t="inlineStr">
        <is>
          <t>击杀赤月怪物获得</t>
        </is>
      </c>
      <c r="X59" s="3" t="n">
        <v>34040017</v>
      </c>
      <c r="Y59" s="12" t="inlineStr">
        <is>
          <t>fall_mingwen_jichu</t>
        </is>
      </c>
      <c r="Z59" s="3" t="inlineStr">
        <is>
          <t>ain_effect_ziseguangzhu_85</t>
        </is>
      </c>
      <c r="AA59" s="3" t="inlineStr">
        <is>
          <t>BK_J_zi</t>
        </is>
      </c>
      <c r="AB59" s="3" t="inlineStr">
        <is>
          <t>BK_D_zi</t>
        </is>
      </c>
      <c r="AC59" s="8" t="inlineStr">
        <is>
          <t>材料</t>
        </is>
      </c>
      <c r="AD59" s="9" t="inlineStr">
        <is>
          <t>战士技能铭文</t>
        </is>
      </c>
    </row>
    <row r="60">
      <c r="B60" s="3">
        <f>30000000+INDEX(编号表!$B:$B,MATCH(G60,编号表!$A:$A,0))*10000+E60</f>
        <v/>
      </c>
      <c r="C60" s="3" t="inlineStr">
        <is>
          <t>攻杀铭文</t>
        </is>
      </c>
      <c r="D60" s="3" t="inlineStr">
        <is>
          <t>紫色</t>
        </is>
      </c>
      <c r="E60" s="3" t="n">
        <v>1</v>
      </c>
      <c r="F60" s="3" t="n">
        <v>60</v>
      </c>
      <c r="G60" s="3" t="inlineStr">
        <is>
          <t>铭文</t>
        </is>
      </c>
      <c r="H60" s="3" t="inlineStr">
        <is>
          <t>大类_基础</t>
        </is>
      </c>
      <c r="I60" s="3" t="inlineStr">
        <is>
          <t>子类_贵重品</t>
        </is>
      </c>
      <c r="J60" s="3" t="n">
        <v>1</v>
      </c>
      <c r="K60" s="3" t="inlineStr">
        <is>
          <t>强化道具</t>
        </is>
      </c>
      <c r="M60" s="3" t="n">
        <v>30000</v>
      </c>
      <c r="N60" s="3" t="inlineStr">
        <is>
          <t>是</t>
        </is>
      </c>
      <c r="P60" s="3" t="n">
        <v>1</v>
      </c>
      <c r="Q60" s="3" t="inlineStr">
        <is>
          <t>无</t>
        </is>
      </c>
      <c r="R60" s="3" t="n">
        <v>999</v>
      </c>
      <c r="S60" s="3" t="inlineStr">
        <is>
          <t>系统_铭文</t>
        </is>
      </c>
      <c r="V60" s="3" t="inlineStr">
        <is>
          <t>可以激活攻杀剑术铭文词条</t>
        </is>
      </c>
      <c r="W60" s="3" t="inlineStr">
        <is>
          <t>击杀赤月怪物获得</t>
        </is>
      </c>
      <c r="X60" s="3" t="n">
        <v>34040018</v>
      </c>
      <c r="Y60" s="12" t="inlineStr">
        <is>
          <t>fall_mingwen_gongsha</t>
        </is>
      </c>
      <c r="Z60" s="3" t="inlineStr">
        <is>
          <t>ain_effect_ziseguangzhu_85</t>
        </is>
      </c>
      <c r="AA60" s="3" t="inlineStr">
        <is>
          <t>BK_J_zi</t>
        </is>
      </c>
      <c r="AB60" s="3" t="inlineStr">
        <is>
          <t>BK_D_zi</t>
        </is>
      </c>
      <c r="AC60" s="8" t="inlineStr">
        <is>
          <t>材料</t>
        </is>
      </c>
      <c r="AD60" s="9" t="inlineStr">
        <is>
          <t>战士技能铭文</t>
        </is>
      </c>
    </row>
    <row r="61">
      <c r="B61" s="3">
        <f>30000000+INDEX(编号表!$B:$B,MATCH(G61,编号表!$A:$A,0))*10000+E61</f>
        <v/>
      </c>
      <c r="C61" s="3" t="inlineStr">
        <is>
          <t>刺杀铭文</t>
        </is>
      </c>
      <c r="D61" s="3" t="inlineStr">
        <is>
          <t>紫色</t>
        </is>
      </c>
      <c r="E61" s="3" t="n">
        <v>2</v>
      </c>
      <c r="F61" s="3" t="n">
        <v>60</v>
      </c>
      <c r="G61" s="3" t="inlineStr">
        <is>
          <t>铭文</t>
        </is>
      </c>
      <c r="H61" s="3" t="inlineStr">
        <is>
          <t>大类_基础</t>
        </is>
      </c>
      <c r="I61" s="3" t="inlineStr">
        <is>
          <t>子类_贵重品</t>
        </is>
      </c>
      <c r="J61" s="3" t="n">
        <v>1</v>
      </c>
      <c r="K61" s="3" t="inlineStr">
        <is>
          <t>强化道具</t>
        </is>
      </c>
      <c r="M61" s="3" t="n">
        <v>30000</v>
      </c>
      <c r="N61" s="3" t="inlineStr">
        <is>
          <t>是</t>
        </is>
      </c>
      <c r="P61" s="3" t="n">
        <v>1</v>
      </c>
      <c r="Q61" s="3" t="inlineStr">
        <is>
          <t>无</t>
        </is>
      </c>
      <c r="R61" s="3" t="n">
        <v>999</v>
      </c>
      <c r="S61" s="3" t="inlineStr">
        <is>
          <t>系统_铭文</t>
        </is>
      </c>
      <c r="V61" s="3" t="inlineStr">
        <is>
          <t>可以激活刺杀剑术铭文词条</t>
        </is>
      </c>
      <c r="W61" s="3" t="inlineStr">
        <is>
          <t>击杀赤月怪物获得</t>
        </is>
      </c>
      <c r="X61" s="3" t="n">
        <v>34040019</v>
      </c>
      <c r="Y61" s="12" t="inlineStr">
        <is>
          <t>fall_mingwen_cisha</t>
        </is>
      </c>
      <c r="Z61" s="3" t="inlineStr">
        <is>
          <t>ain_effect_ziseguangzhu_85</t>
        </is>
      </c>
      <c r="AA61" s="3" t="inlineStr">
        <is>
          <t>BK_J_zi</t>
        </is>
      </c>
      <c r="AB61" s="3" t="inlineStr">
        <is>
          <t>BK_D_zi</t>
        </is>
      </c>
      <c r="AC61" s="8" t="inlineStr">
        <is>
          <t>材料</t>
        </is>
      </c>
      <c r="AD61" s="9" t="inlineStr">
        <is>
          <t>战士技能铭文</t>
        </is>
      </c>
    </row>
    <row r="62">
      <c r="B62" s="3">
        <f>30000000+INDEX(编号表!$B:$B,MATCH(G62,编号表!$A:$A,0))*10000+E62</f>
        <v/>
      </c>
      <c r="C62" s="3" t="inlineStr">
        <is>
          <t>半月铭文</t>
        </is>
      </c>
      <c r="D62" s="3" t="inlineStr">
        <is>
          <t>紫色</t>
        </is>
      </c>
      <c r="E62" s="3" t="n">
        <v>3</v>
      </c>
      <c r="F62" s="3" t="n">
        <v>60</v>
      </c>
      <c r="G62" s="3" t="inlineStr">
        <is>
          <t>铭文</t>
        </is>
      </c>
      <c r="H62" s="3" t="inlineStr">
        <is>
          <t>大类_基础</t>
        </is>
      </c>
      <c r="I62" s="3" t="inlineStr">
        <is>
          <t>子类_贵重品</t>
        </is>
      </c>
      <c r="J62" s="3" t="n">
        <v>1</v>
      </c>
      <c r="K62" s="3" t="inlineStr">
        <is>
          <t>强化道具</t>
        </is>
      </c>
      <c r="M62" s="3" t="n">
        <v>30000</v>
      </c>
      <c r="N62" s="3" t="inlineStr">
        <is>
          <t>是</t>
        </is>
      </c>
      <c r="P62" s="3" t="n">
        <v>1</v>
      </c>
      <c r="Q62" s="3" t="inlineStr">
        <is>
          <t>无</t>
        </is>
      </c>
      <c r="R62" s="3" t="n">
        <v>999</v>
      </c>
      <c r="S62" s="3" t="inlineStr">
        <is>
          <t>系统_铭文</t>
        </is>
      </c>
      <c r="V62" s="3" t="inlineStr">
        <is>
          <t>可以激活半月弯刀铭文词条</t>
        </is>
      </c>
      <c r="W62" s="3" t="inlineStr">
        <is>
          <t>击杀赤月怪物获得</t>
        </is>
      </c>
      <c r="X62" s="3" t="n">
        <v>34040020</v>
      </c>
      <c r="Y62" s="12" t="inlineStr">
        <is>
          <t>fall_mingwen_banyue</t>
        </is>
      </c>
      <c r="Z62" s="3" t="inlineStr">
        <is>
          <t>ain_effect_ziseguangzhu_85</t>
        </is>
      </c>
      <c r="AA62" s="3" t="inlineStr">
        <is>
          <t>BK_J_zi</t>
        </is>
      </c>
      <c r="AB62" s="3" t="inlineStr">
        <is>
          <t>BK_D_zi</t>
        </is>
      </c>
      <c r="AC62" s="8" t="inlineStr">
        <is>
          <t>材料</t>
        </is>
      </c>
      <c r="AD62" s="9" t="inlineStr">
        <is>
          <t>战士技能铭文</t>
        </is>
      </c>
    </row>
    <row r="63">
      <c r="B63" s="3">
        <f>30000000+INDEX(编号表!$B:$B,MATCH(G63,编号表!$A:$A,0))*10000+E63</f>
        <v/>
      </c>
      <c r="C63" s="3" t="inlineStr">
        <is>
          <t>烈火铭文</t>
        </is>
      </c>
      <c r="D63" s="3" t="inlineStr">
        <is>
          <t>紫色</t>
        </is>
      </c>
      <c r="E63" s="3" t="n">
        <v>4</v>
      </c>
      <c r="F63" s="3" t="n">
        <v>60</v>
      </c>
      <c r="G63" s="3" t="inlineStr">
        <is>
          <t>铭文</t>
        </is>
      </c>
      <c r="H63" s="3" t="inlineStr">
        <is>
          <t>大类_基础</t>
        </is>
      </c>
      <c r="I63" s="3" t="inlineStr">
        <is>
          <t>子类_贵重品</t>
        </is>
      </c>
      <c r="J63" s="3" t="n">
        <v>1</v>
      </c>
      <c r="K63" s="3" t="inlineStr">
        <is>
          <t>强化道具</t>
        </is>
      </c>
      <c r="M63" s="3" t="n">
        <v>30000</v>
      </c>
      <c r="N63" s="3" t="inlineStr">
        <is>
          <t>是</t>
        </is>
      </c>
      <c r="P63" s="3" t="n">
        <v>1</v>
      </c>
      <c r="Q63" s="3" t="inlineStr">
        <is>
          <t>无</t>
        </is>
      </c>
      <c r="R63" s="3" t="n">
        <v>999</v>
      </c>
      <c r="S63" s="3" t="inlineStr">
        <is>
          <t>系统_铭文</t>
        </is>
      </c>
      <c r="V63" s="3" t="inlineStr">
        <is>
          <t>可以激活烈火剑法铭文词条</t>
        </is>
      </c>
      <c r="W63" s="3" t="inlineStr">
        <is>
          <t>击杀赤月怪物获得</t>
        </is>
      </c>
      <c r="X63" s="3" t="n">
        <v>34040021</v>
      </c>
      <c r="Y63" s="12" t="inlineStr">
        <is>
          <t>fall_mingwen_liehuo</t>
        </is>
      </c>
      <c r="Z63" s="3" t="inlineStr">
        <is>
          <t>ain_effect_ziseguangzhu_85</t>
        </is>
      </c>
      <c r="AA63" s="3" t="inlineStr">
        <is>
          <t>BK_J_zi</t>
        </is>
      </c>
      <c r="AB63" s="3" t="inlineStr">
        <is>
          <t>BK_D_zi</t>
        </is>
      </c>
      <c r="AC63" s="8" t="inlineStr">
        <is>
          <t>材料</t>
        </is>
      </c>
      <c r="AD63" s="9" t="inlineStr">
        <is>
          <t>战士技能铭文</t>
        </is>
      </c>
    </row>
    <row r="64">
      <c r="B64" s="3">
        <f>30000000+INDEX(编号表!$B:$B,MATCH(G64,编号表!$A:$A,0))*10000+E64</f>
        <v/>
      </c>
      <c r="C64" s="3" t="inlineStr">
        <is>
          <t>野蛮铭文</t>
        </is>
      </c>
      <c r="D64" s="3" t="inlineStr">
        <is>
          <t>紫色</t>
        </is>
      </c>
      <c r="E64" s="3" t="n">
        <v>5</v>
      </c>
      <c r="F64" s="3" t="n">
        <v>60</v>
      </c>
      <c r="G64" s="3" t="inlineStr">
        <is>
          <t>铭文</t>
        </is>
      </c>
      <c r="H64" s="3" t="inlineStr">
        <is>
          <t>大类_基础</t>
        </is>
      </c>
      <c r="I64" s="3" t="inlineStr">
        <is>
          <t>子类_贵重品</t>
        </is>
      </c>
      <c r="J64" s="3" t="n">
        <v>1</v>
      </c>
      <c r="K64" s="3" t="inlineStr">
        <is>
          <t>强化道具</t>
        </is>
      </c>
      <c r="M64" s="3" t="n">
        <v>30000</v>
      </c>
      <c r="N64" s="3" t="inlineStr">
        <is>
          <t>是</t>
        </is>
      </c>
      <c r="P64" s="3" t="n">
        <v>1</v>
      </c>
      <c r="Q64" s="3" t="inlineStr">
        <is>
          <t>无</t>
        </is>
      </c>
      <c r="R64" s="3" t="n">
        <v>999</v>
      </c>
      <c r="S64" s="3" t="inlineStr">
        <is>
          <t>系统_铭文</t>
        </is>
      </c>
      <c r="V64" s="3" t="inlineStr">
        <is>
          <t>可以激活野蛮冲撞铭文词条</t>
        </is>
      </c>
      <c r="W64" s="3" t="inlineStr">
        <is>
          <t>击杀赤月怪物获得</t>
        </is>
      </c>
      <c r="X64" s="3" t="n">
        <v>34040022</v>
      </c>
      <c r="Y64" s="12" t="inlineStr">
        <is>
          <t>fall_mingwen_yeman</t>
        </is>
      </c>
      <c r="Z64" s="3" t="inlineStr">
        <is>
          <t>ain_effect_ziseguangzhu_85</t>
        </is>
      </c>
      <c r="AA64" s="3" t="inlineStr">
        <is>
          <t>BK_J_zi</t>
        </is>
      </c>
      <c r="AB64" s="3" t="inlineStr">
        <is>
          <t>BK_D_zi</t>
        </is>
      </c>
      <c r="AC64" s="8" t="inlineStr">
        <is>
          <t>材料</t>
        </is>
      </c>
      <c r="AD64" s="9" t="inlineStr">
        <is>
          <t>战士技能铭文</t>
        </is>
      </c>
    </row>
    <row r="65">
      <c r="B65" s="3">
        <f>30000000+INDEX(编号表!$B:$B,MATCH(G65,编号表!$A:$A,0))*10000+E65</f>
        <v/>
      </c>
      <c r="C65" s="3" t="inlineStr">
        <is>
          <t>开天铭文</t>
        </is>
      </c>
      <c r="D65" s="3" t="inlineStr">
        <is>
          <t>紫色</t>
        </is>
      </c>
      <c r="E65" s="3" t="n">
        <v>6</v>
      </c>
      <c r="F65" s="3" t="n">
        <v>60</v>
      </c>
      <c r="G65" s="3" t="inlineStr">
        <is>
          <t>铭文</t>
        </is>
      </c>
      <c r="H65" s="3" t="inlineStr">
        <is>
          <t>大类_基础</t>
        </is>
      </c>
      <c r="I65" s="3" t="inlineStr">
        <is>
          <t>子类_贵重品</t>
        </is>
      </c>
      <c r="J65" s="3" t="n">
        <v>1</v>
      </c>
      <c r="K65" s="3" t="inlineStr">
        <is>
          <t>强化道具</t>
        </is>
      </c>
      <c r="M65" s="3" t="n">
        <v>30000</v>
      </c>
      <c r="N65" s="3" t="inlineStr">
        <is>
          <t>是</t>
        </is>
      </c>
      <c r="P65" s="3" t="n">
        <v>1</v>
      </c>
      <c r="Q65" s="3" t="inlineStr">
        <is>
          <t>无</t>
        </is>
      </c>
      <c r="R65" s="3" t="n">
        <v>999</v>
      </c>
      <c r="S65" s="3" t="inlineStr">
        <is>
          <t>系统_铭文</t>
        </is>
      </c>
      <c r="V65" s="3" t="inlineStr">
        <is>
          <t>可以激活开天斩铭文词条</t>
        </is>
      </c>
      <c r="W65" s="3" t="inlineStr">
        <is>
          <t>击杀赤月怪物获得</t>
        </is>
      </c>
      <c r="X65" s="3" t="n">
        <v>34040023</v>
      </c>
      <c r="Y65" s="12" t="inlineStr">
        <is>
          <t>fall_mingwen_kaitian</t>
        </is>
      </c>
      <c r="Z65" s="3" t="inlineStr">
        <is>
          <t>ain_effect_ziseguangzhu_85</t>
        </is>
      </c>
      <c r="AA65" s="3" t="inlineStr">
        <is>
          <t>BK_J_zi</t>
        </is>
      </c>
      <c r="AB65" s="3" t="inlineStr">
        <is>
          <t>BK_D_zi</t>
        </is>
      </c>
      <c r="AC65" s="8" t="inlineStr">
        <is>
          <t>材料</t>
        </is>
      </c>
      <c r="AD65" s="9" t="inlineStr">
        <is>
          <t>战士技能铭文</t>
        </is>
      </c>
    </row>
    <row r="66">
      <c r="B66" s="3">
        <f>30000000+INDEX(编号表!$B:$B,MATCH(G66,编号表!$A:$A,0))*10000+E66</f>
        <v/>
      </c>
      <c r="C66" s="3" t="inlineStr">
        <is>
          <t>逐日铭文</t>
        </is>
      </c>
      <c r="D66" s="3" t="inlineStr">
        <is>
          <t>紫色</t>
        </is>
      </c>
      <c r="E66" s="3" t="n">
        <v>7</v>
      </c>
      <c r="F66" s="3" t="n">
        <v>60</v>
      </c>
      <c r="G66" s="3" t="inlineStr">
        <is>
          <t>铭文</t>
        </is>
      </c>
      <c r="H66" s="3" t="inlineStr">
        <is>
          <t>大类_基础</t>
        </is>
      </c>
      <c r="I66" s="3" t="inlineStr">
        <is>
          <t>子类_贵重品</t>
        </is>
      </c>
      <c r="J66" s="3" t="n">
        <v>1</v>
      </c>
      <c r="K66" s="3" t="inlineStr">
        <is>
          <t>强化道具</t>
        </is>
      </c>
      <c r="M66" s="3" t="n">
        <v>30000</v>
      </c>
      <c r="N66" s="3" t="inlineStr">
        <is>
          <t>是</t>
        </is>
      </c>
      <c r="P66" s="3" t="n">
        <v>1</v>
      </c>
      <c r="Q66" s="3" t="inlineStr">
        <is>
          <t>无</t>
        </is>
      </c>
      <c r="R66" s="3" t="n">
        <v>999</v>
      </c>
      <c r="S66" s="3" t="inlineStr">
        <is>
          <t>系统_铭文</t>
        </is>
      </c>
      <c r="V66" s="3" t="inlineStr">
        <is>
          <t>可以激活逐日剑法铭文词条</t>
        </is>
      </c>
      <c r="W66" s="3" t="inlineStr">
        <is>
          <t>击杀赤月怪物获得</t>
        </is>
      </c>
      <c r="X66" s="3" t="n">
        <v>34040024</v>
      </c>
      <c r="Y66" s="12" t="inlineStr">
        <is>
          <t>fall_mingwen_zhuri</t>
        </is>
      </c>
      <c r="Z66" s="3" t="inlineStr">
        <is>
          <t>ain_effect_ziseguangzhu_85</t>
        </is>
      </c>
      <c r="AA66" s="3" t="inlineStr">
        <is>
          <t>BK_J_zi</t>
        </is>
      </c>
      <c r="AB66" s="3" t="inlineStr">
        <is>
          <t>BK_D_zi</t>
        </is>
      </c>
      <c r="AC66" s="8" t="inlineStr">
        <is>
          <t>材料</t>
        </is>
      </c>
      <c r="AD66" s="9" t="inlineStr">
        <is>
          <t>战士技能铭文</t>
        </is>
      </c>
    </row>
    <row r="67">
      <c r="B67" s="3">
        <f>30000000+INDEX(编号表!$B:$B,MATCH(G67,编号表!$A:$A,0))*10000+E67</f>
        <v/>
      </c>
      <c r="C67" s="3" t="inlineStr">
        <is>
          <t>战神纹</t>
        </is>
      </c>
      <c r="D67" s="3" t="inlineStr">
        <is>
          <t>紫色</t>
        </is>
      </c>
      <c r="E67" s="3" t="n">
        <v>8</v>
      </c>
      <c r="F67" s="3" t="n">
        <v>60</v>
      </c>
      <c r="G67" s="3" t="inlineStr">
        <is>
          <t>铭文</t>
        </is>
      </c>
      <c r="H67" s="3" t="inlineStr">
        <is>
          <t>大类_基础</t>
        </is>
      </c>
      <c r="I67" s="3" t="inlineStr">
        <is>
          <t>子类_贵重品</t>
        </is>
      </c>
      <c r="J67" s="3" t="n">
        <v>1</v>
      </c>
      <c r="K67" s="3" t="inlineStr">
        <is>
          <t>强化道具</t>
        </is>
      </c>
      <c r="M67" s="3" t="n">
        <v>30000</v>
      </c>
      <c r="N67" s="3" t="inlineStr">
        <is>
          <t>是</t>
        </is>
      </c>
      <c r="P67" s="3" t="n">
        <v>1</v>
      </c>
      <c r="Q67" s="3" t="inlineStr">
        <is>
          <t>无</t>
        </is>
      </c>
      <c r="R67" s="3" t="n">
        <v>999</v>
      </c>
      <c r="S67" s="3" t="inlineStr">
        <is>
          <t>系统_铭文</t>
        </is>
      </c>
      <c r="V67" s="3" t="inlineStr">
        <is>
          <t>可以激活战士技能第二条词条</t>
        </is>
      </c>
      <c r="W67" s="3" t="inlineStr">
        <is>
          <t>暂无投放</t>
        </is>
      </c>
      <c r="X67" s="3" t="n">
        <v>34040025</v>
      </c>
      <c r="Y67" s="12" t="inlineStr">
        <is>
          <t>fall_mingwen_zhanshen</t>
        </is>
      </c>
      <c r="Z67" s="3" t="inlineStr">
        <is>
          <t>ain_effect_ziseguangzhu_85</t>
        </is>
      </c>
      <c r="AA67" s="3" t="inlineStr">
        <is>
          <t>BK_J_zi</t>
        </is>
      </c>
      <c r="AB67" s="3" t="inlineStr">
        <is>
          <t>BK_D_zi</t>
        </is>
      </c>
      <c r="AC67" s="8" t="inlineStr">
        <is>
          <t>材料</t>
        </is>
      </c>
      <c r="AD67" s="9" t="inlineStr">
        <is>
          <t>战士技能铭文</t>
        </is>
      </c>
    </row>
    <row r="68">
      <c r="B68" s="3">
        <f>30000000+INDEX(编号表!$B:$B,MATCH(G68,编号表!$A:$A,0))*10000+E68</f>
        <v/>
      </c>
      <c r="C68" s="3" t="inlineStr">
        <is>
          <t>火球铭文</t>
        </is>
      </c>
      <c r="D68" s="3" t="inlineStr">
        <is>
          <t>紫色</t>
        </is>
      </c>
      <c r="E68" s="3" t="n">
        <v>9</v>
      </c>
      <c r="F68" s="3" t="n">
        <v>60</v>
      </c>
      <c r="G68" s="3" t="inlineStr">
        <is>
          <t>铭文</t>
        </is>
      </c>
      <c r="H68" s="3" t="inlineStr">
        <is>
          <t>大类_基础</t>
        </is>
      </c>
      <c r="I68" s="3" t="inlineStr">
        <is>
          <t>子类_贵重品</t>
        </is>
      </c>
      <c r="J68" s="3" t="n">
        <v>1</v>
      </c>
      <c r="K68" s="3" t="inlineStr">
        <is>
          <t>强化道具</t>
        </is>
      </c>
      <c r="M68" s="3" t="n">
        <v>30000</v>
      </c>
      <c r="N68" s="3" t="inlineStr">
        <is>
          <t>是</t>
        </is>
      </c>
      <c r="P68" s="3" t="n">
        <v>1</v>
      </c>
      <c r="Q68" s="3" t="inlineStr">
        <is>
          <t>无</t>
        </is>
      </c>
      <c r="R68" s="3" t="n">
        <v>999</v>
      </c>
      <c r="S68" s="3" t="inlineStr">
        <is>
          <t>系统_铭文</t>
        </is>
      </c>
      <c r="V68" s="3" t="inlineStr">
        <is>
          <t>可以激活和洗练相应技能的铭文词条</t>
        </is>
      </c>
      <c r="W68" s="3" t="inlineStr">
        <is>
          <t>击杀怪物获得</t>
        </is>
      </c>
      <c r="X68" s="3" t="n">
        <v>34040026</v>
      </c>
      <c r="Y68" s="12" t="inlineStr">
        <is>
          <t>fall_mingwen_huoqiu</t>
        </is>
      </c>
      <c r="Z68" s="3" t="inlineStr">
        <is>
          <t>ain_effect_ziseguangzhu_85</t>
        </is>
      </c>
      <c r="AA68" s="3" t="inlineStr">
        <is>
          <t>BK_J_zi</t>
        </is>
      </c>
      <c r="AB68" s="3" t="inlineStr">
        <is>
          <t>BK_D_zi</t>
        </is>
      </c>
      <c r="AC68" s="8" t="inlineStr">
        <is>
          <t>材料</t>
        </is>
      </c>
      <c r="AD68" s="9" t="inlineStr">
        <is>
          <t>法师技能铭文</t>
        </is>
      </c>
    </row>
    <row r="69">
      <c r="B69" s="3">
        <f>30000000+INDEX(编号表!$B:$B,MATCH(G69,编号表!$A:$A,0))*10000+E69</f>
        <v/>
      </c>
      <c r="C69" s="3" t="inlineStr">
        <is>
          <t>雷电铭文</t>
        </is>
      </c>
      <c r="D69" s="3" t="inlineStr">
        <is>
          <t>紫色</t>
        </is>
      </c>
      <c r="E69" s="3" t="n">
        <v>10</v>
      </c>
      <c r="F69" s="3" t="n">
        <v>60</v>
      </c>
      <c r="G69" s="3" t="inlineStr">
        <is>
          <t>铭文</t>
        </is>
      </c>
      <c r="H69" s="3" t="inlineStr">
        <is>
          <t>大类_基础</t>
        </is>
      </c>
      <c r="I69" s="3" t="inlineStr">
        <is>
          <t>子类_贵重品</t>
        </is>
      </c>
      <c r="J69" s="3" t="n">
        <v>1</v>
      </c>
      <c r="K69" s="3" t="inlineStr">
        <is>
          <t>强化道具</t>
        </is>
      </c>
      <c r="M69" s="3" t="n">
        <v>30000</v>
      </c>
      <c r="N69" s="3" t="inlineStr">
        <is>
          <t>是</t>
        </is>
      </c>
      <c r="P69" s="3" t="n">
        <v>1</v>
      </c>
      <c r="Q69" s="3" t="inlineStr">
        <is>
          <t>无</t>
        </is>
      </c>
      <c r="R69" s="3" t="n">
        <v>999</v>
      </c>
      <c r="S69" s="3" t="inlineStr">
        <is>
          <t>系统_铭文</t>
        </is>
      </c>
      <c r="V69" s="3" t="inlineStr">
        <is>
          <t>可以激活和洗练相应技能的铭文词条</t>
        </is>
      </c>
      <c r="W69" s="3" t="inlineStr">
        <is>
          <t>击杀怪物获得</t>
        </is>
      </c>
      <c r="X69" s="3" t="n">
        <v>34040027</v>
      </c>
      <c r="Y69" s="12" t="inlineStr">
        <is>
          <t>fall_mingwen_leidian</t>
        </is>
      </c>
      <c r="Z69" s="3" t="inlineStr">
        <is>
          <t>ain_effect_ziseguangzhu_85</t>
        </is>
      </c>
      <c r="AA69" s="3" t="inlineStr">
        <is>
          <t>BK_J_zi</t>
        </is>
      </c>
      <c r="AB69" s="3" t="inlineStr">
        <is>
          <t>BK_D_zi</t>
        </is>
      </c>
      <c r="AC69" s="8" t="inlineStr">
        <is>
          <t>材料</t>
        </is>
      </c>
      <c r="AD69" s="9" t="inlineStr">
        <is>
          <t>法师技能铭文</t>
        </is>
      </c>
    </row>
    <row r="70">
      <c r="B70" s="3">
        <f>30000000+INDEX(编号表!$B:$B,MATCH(G70,编号表!$A:$A,0))*10000+E70</f>
        <v/>
      </c>
      <c r="C70" s="3" t="inlineStr">
        <is>
          <t>抗拒铭文</t>
        </is>
      </c>
      <c r="D70" s="3" t="inlineStr">
        <is>
          <t>紫色</t>
        </is>
      </c>
      <c r="E70" s="3" t="n">
        <v>11</v>
      </c>
      <c r="F70" s="3" t="n">
        <v>60</v>
      </c>
      <c r="G70" s="3" t="inlineStr">
        <is>
          <t>铭文</t>
        </is>
      </c>
      <c r="H70" s="3" t="inlineStr">
        <is>
          <t>大类_基础</t>
        </is>
      </c>
      <c r="I70" s="3" t="inlineStr">
        <is>
          <t>子类_贵重品</t>
        </is>
      </c>
      <c r="J70" s="3" t="n">
        <v>1</v>
      </c>
      <c r="K70" s="3" t="inlineStr">
        <is>
          <t>强化道具</t>
        </is>
      </c>
      <c r="M70" s="3" t="n">
        <v>30000</v>
      </c>
      <c r="N70" s="3" t="inlineStr">
        <is>
          <t>是</t>
        </is>
      </c>
      <c r="P70" s="3" t="n">
        <v>1</v>
      </c>
      <c r="Q70" s="3" t="inlineStr">
        <is>
          <t>无</t>
        </is>
      </c>
      <c r="R70" s="3" t="n">
        <v>999</v>
      </c>
      <c r="S70" s="3" t="inlineStr">
        <is>
          <t>系统_铭文</t>
        </is>
      </c>
      <c r="V70" s="3" t="inlineStr">
        <is>
          <t>可以激活和洗练相应技能的铭文词条</t>
        </is>
      </c>
      <c r="W70" s="3" t="inlineStr">
        <is>
          <t>击杀怪物获得</t>
        </is>
      </c>
      <c r="X70" s="3" t="n">
        <v>34040028</v>
      </c>
      <c r="Y70" s="12" t="inlineStr">
        <is>
          <t>fall_mingwen_kangju</t>
        </is>
      </c>
      <c r="Z70" s="3" t="inlineStr">
        <is>
          <t>ain_effect_ziseguangzhu_85</t>
        </is>
      </c>
      <c r="AA70" s="3" t="inlineStr">
        <is>
          <t>BK_J_zi</t>
        </is>
      </c>
      <c r="AB70" s="3" t="inlineStr">
        <is>
          <t>BK_D_zi</t>
        </is>
      </c>
      <c r="AC70" s="8" t="inlineStr">
        <is>
          <t>材料</t>
        </is>
      </c>
      <c r="AD70" s="9" t="inlineStr">
        <is>
          <t>法师技能铭文</t>
        </is>
      </c>
    </row>
    <row r="71">
      <c r="B71" s="3">
        <f>30000000+INDEX(编号表!$B:$B,MATCH(G71,编号表!$A:$A,0))*10000+E71</f>
        <v/>
      </c>
      <c r="C71" s="3" t="inlineStr">
        <is>
          <t>火墙铭文</t>
        </is>
      </c>
      <c r="D71" s="3" t="inlineStr">
        <is>
          <t>紫色</t>
        </is>
      </c>
      <c r="E71" s="3" t="n">
        <v>12</v>
      </c>
      <c r="F71" s="3" t="n">
        <v>60</v>
      </c>
      <c r="G71" s="3" t="inlineStr">
        <is>
          <t>铭文</t>
        </is>
      </c>
      <c r="H71" s="3" t="inlineStr">
        <is>
          <t>大类_基础</t>
        </is>
      </c>
      <c r="I71" s="3" t="inlineStr">
        <is>
          <t>子类_贵重品</t>
        </is>
      </c>
      <c r="J71" s="3" t="n">
        <v>1</v>
      </c>
      <c r="K71" s="3" t="inlineStr">
        <is>
          <t>强化道具</t>
        </is>
      </c>
      <c r="M71" s="3" t="n">
        <v>30000</v>
      </c>
      <c r="N71" s="3" t="inlineStr">
        <is>
          <t>是</t>
        </is>
      </c>
      <c r="P71" s="3" t="n">
        <v>1</v>
      </c>
      <c r="Q71" s="3" t="inlineStr">
        <is>
          <t>无</t>
        </is>
      </c>
      <c r="R71" s="3" t="n">
        <v>999</v>
      </c>
      <c r="S71" s="3" t="inlineStr">
        <is>
          <t>系统_铭文</t>
        </is>
      </c>
      <c r="V71" s="3" t="inlineStr">
        <is>
          <t>可以激活和洗练相应技能的铭文词条</t>
        </is>
      </c>
      <c r="W71" s="3" t="inlineStr">
        <is>
          <t>击杀怪物获得</t>
        </is>
      </c>
      <c r="X71" s="3" t="n">
        <v>34040029</v>
      </c>
      <c r="Y71" s="12" t="inlineStr">
        <is>
          <t>fall_mingwen_huoqiang</t>
        </is>
      </c>
      <c r="Z71" s="3" t="inlineStr">
        <is>
          <t>ain_effect_ziseguangzhu_85</t>
        </is>
      </c>
      <c r="AA71" s="3" t="inlineStr">
        <is>
          <t>BK_J_zi</t>
        </is>
      </c>
      <c r="AB71" s="3" t="inlineStr">
        <is>
          <t>BK_D_zi</t>
        </is>
      </c>
      <c r="AC71" s="8" t="inlineStr">
        <is>
          <t>材料</t>
        </is>
      </c>
      <c r="AD71" s="9" t="inlineStr">
        <is>
          <t>法师技能铭文</t>
        </is>
      </c>
    </row>
    <row r="72">
      <c r="B72" s="3">
        <f>30000000+INDEX(编号表!$B:$B,MATCH(G72,编号表!$A:$A,0))*10000+E72</f>
        <v/>
      </c>
      <c r="C72" s="3" t="inlineStr">
        <is>
          <t>法盾铭文</t>
        </is>
      </c>
      <c r="D72" s="3" t="inlineStr">
        <is>
          <t>紫色</t>
        </is>
      </c>
      <c r="E72" s="3" t="n">
        <v>13</v>
      </c>
      <c r="F72" s="3" t="n">
        <v>60</v>
      </c>
      <c r="G72" s="3" t="inlineStr">
        <is>
          <t>铭文</t>
        </is>
      </c>
      <c r="H72" s="3" t="inlineStr">
        <is>
          <t>大类_基础</t>
        </is>
      </c>
      <c r="I72" s="3" t="inlineStr">
        <is>
          <t>子类_贵重品</t>
        </is>
      </c>
      <c r="J72" s="3" t="n">
        <v>1</v>
      </c>
      <c r="K72" s="3" t="inlineStr">
        <is>
          <t>强化道具</t>
        </is>
      </c>
      <c r="M72" s="3" t="n">
        <v>30000</v>
      </c>
      <c r="N72" s="3" t="inlineStr">
        <is>
          <t>是</t>
        </is>
      </c>
      <c r="P72" s="3" t="n">
        <v>1</v>
      </c>
      <c r="Q72" s="3" t="inlineStr">
        <is>
          <t>无</t>
        </is>
      </c>
      <c r="R72" s="3" t="n">
        <v>999</v>
      </c>
      <c r="S72" s="3" t="inlineStr">
        <is>
          <t>系统_铭文</t>
        </is>
      </c>
      <c r="V72" s="3" t="inlineStr">
        <is>
          <t>可以激活和洗练相应技能的铭文词条</t>
        </is>
      </c>
      <c r="W72" s="3" t="inlineStr">
        <is>
          <t>击杀怪物获得</t>
        </is>
      </c>
      <c r="X72" s="3" t="n">
        <v>34040030</v>
      </c>
      <c r="Y72" s="12" t="inlineStr">
        <is>
          <t>fall_mingwen_fadun</t>
        </is>
      </c>
      <c r="Z72" s="3" t="inlineStr">
        <is>
          <t>ain_effect_ziseguangzhu_85</t>
        </is>
      </c>
      <c r="AA72" s="3" t="inlineStr">
        <is>
          <t>BK_J_zi</t>
        </is>
      </c>
      <c r="AB72" s="3" t="inlineStr">
        <is>
          <t>BK_D_zi</t>
        </is>
      </c>
      <c r="AC72" s="8" t="inlineStr">
        <is>
          <t>材料</t>
        </is>
      </c>
      <c r="AD72" s="9" t="inlineStr">
        <is>
          <t>法师技能铭文</t>
        </is>
      </c>
    </row>
    <row r="73">
      <c r="B73" s="3">
        <f>30000000+INDEX(编号表!$B:$B,MATCH(G73,编号表!$A:$A,0))*10000+E73</f>
        <v/>
      </c>
      <c r="C73" s="3" t="inlineStr">
        <is>
          <t>疾光铭文</t>
        </is>
      </c>
      <c r="D73" s="3" t="inlineStr">
        <is>
          <t>紫色</t>
        </is>
      </c>
      <c r="E73" s="3" t="n">
        <v>14</v>
      </c>
      <c r="F73" s="3" t="n">
        <v>60</v>
      </c>
      <c r="G73" s="3" t="inlineStr">
        <is>
          <t>铭文</t>
        </is>
      </c>
      <c r="H73" s="3" t="inlineStr">
        <is>
          <t>大类_基础</t>
        </is>
      </c>
      <c r="I73" s="3" t="inlineStr">
        <is>
          <t>子类_贵重品</t>
        </is>
      </c>
      <c r="J73" s="3" t="n">
        <v>1</v>
      </c>
      <c r="K73" s="3" t="inlineStr">
        <is>
          <t>强化道具</t>
        </is>
      </c>
      <c r="M73" s="3" t="n">
        <v>30000</v>
      </c>
      <c r="N73" s="3" t="inlineStr">
        <is>
          <t>是</t>
        </is>
      </c>
      <c r="P73" s="3" t="n">
        <v>1</v>
      </c>
      <c r="Q73" s="3" t="inlineStr">
        <is>
          <t>无</t>
        </is>
      </c>
      <c r="R73" s="3" t="n">
        <v>999</v>
      </c>
      <c r="S73" s="3" t="inlineStr">
        <is>
          <t>系统_铭文</t>
        </is>
      </c>
      <c r="V73" s="3" t="inlineStr">
        <is>
          <t>可以激活和洗练相应技能的铭文词条</t>
        </is>
      </c>
      <c r="W73" s="3" t="inlineStr">
        <is>
          <t>击杀怪物获得</t>
        </is>
      </c>
      <c r="X73" s="3" t="n">
        <v>34040031</v>
      </c>
      <c r="Y73" s="12" t="inlineStr">
        <is>
          <t>fall_mingwen_jiguang</t>
        </is>
      </c>
      <c r="Z73" s="3" t="inlineStr">
        <is>
          <t>ain_effect_ziseguangzhu_85</t>
        </is>
      </c>
      <c r="AA73" s="3" t="inlineStr">
        <is>
          <t>BK_J_zi</t>
        </is>
      </c>
      <c r="AB73" s="3" t="inlineStr">
        <is>
          <t>BK_D_zi</t>
        </is>
      </c>
      <c r="AC73" s="8" t="inlineStr">
        <is>
          <t>材料</t>
        </is>
      </c>
      <c r="AD73" s="9" t="inlineStr">
        <is>
          <t>法师技能铭文</t>
        </is>
      </c>
    </row>
    <row r="74">
      <c r="B74" s="3">
        <f>30000000+INDEX(编号表!$B:$B,MATCH(G74,编号表!$A:$A,0))*10000+E74</f>
        <v/>
      </c>
      <c r="C74" s="3" t="inlineStr">
        <is>
          <t>地狱铭文</t>
        </is>
      </c>
      <c r="D74" s="3" t="inlineStr">
        <is>
          <t>紫色</t>
        </is>
      </c>
      <c r="E74" s="3" t="n">
        <v>15</v>
      </c>
      <c r="F74" s="3" t="n">
        <v>60</v>
      </c>
      <c r="G74" s="3" t="inlineStr">
        <is>
          <t>铭文</t>
        </is>
      </c>
      <c r="H74" s="3" t="inlineStr">
        <is>
          <t>大类_基础</t>
        </is>
      </c>
      <c r="I74" s="3" t="inlineStr">
        <is>
          <t>子类_贵重品</t>
        </is>
      </c>
      <c r="J74" s="3" t="n">
        <v>1</v>
      </c>
      <c r="K74" s="3" t="inlineStr">
        <is>
          <t>强化道具</t>
        </is>
      </c>
      <c r="M74" s="3" t="n">
        <v>30000</v>
      </c>
      <c r="N74" s="3" t="inlineStr">
        <is>
          <t>是</t>
        </is>
      </c>
      <c r="P74" s="3" t="n">
        <v>1</v>
      </c>
      <c r="Q74" s="3" t="inlineStr">
        <is>
          <t>无</t>
        </is>
      </c>
      <c r="R74" s="3" t="n">
        <v>999</v>
      </c>
      <c r="S74" s="3" t="inlineStr">
        <is>
          <t>系统_铭文</t>
        </is>
      </c>
      <c r="V74" s="3" t="inlineStr">
        <is>
          <t>可以激活和洗练相应技能的铭文词条</t>
        </is>
      </c>
      <c r="W74" s="3" t="inlineStr">
        <is>
          <t>击杀怪物获得</t>
        </is>
      </c>
      <c r="X74" s="3" t="n">
        <v>34040032</v>
      </c>
      <c r="Y74" s="12" t="inlineStr">
        <is>
          <t>fall_mingwen_diyu</t>
        </is>
      </c>
      <c r="Z74" s="3" t="inlineStr">
        <is>
          <t>ain_effect_ziseguangzhu_85</t>
        </is>
      </c>
      <c r="AA74" s="3" t="inlineStr">
        <is>
          <t>BK_J_zi</t>
        </is>
      </c>
      <c r="AB74" s="3" t="inlineStr">
        <is>
          <t>BK_D_zi</t>
        </is>
      </c>
      <c r="AC74" s="8" t="inlineStr">
        <is>
          <t>材料</t>
        </is>
      </c>
      <c r="AD74" s="9" t="inlineStr">
        <is>
          <t>法师技能铭文</t>
        </is>
      </c>
    </row>
    <row r="75">
      <c r="B75" s="3">
        <f>30000000+INDEX(编号表!$B:$B,MATCH(G75,编号表!$A:$A,0))*10000+E75</f>
        <v/>
      </c>
      <c r="C75" s="3" t="inlineStr">
        <is>
          <t>咆哮铭文</t>
        </is>
      </c>
      <c r="D75" s="3" t="inlineStr">
        <is>
          <t>紫色</t>
        </is>
      </c>
      <c r="E75" s="3" t="n">
        <v>16</v>
      </c>
      <c r="F75" s="3" t="n">
        <v>60</v>
      </c>
      <c r="G75" s="3" t="inlineStr">
        <is>
          <t>铭文</t>
        </is>
      </c>
      <c r="H75" s="3" t="inlineStr">
        <is>
          <t>大类_基础</t>
        </is>
      </c>
      <c r="I75" s="3" t="inlineStr">
        <is>
          <t>子类_贵重品</t>
        </is>
      </c>
      <c r="J75" s="3" t="n">
        <v>1</v>
      </c>
      <c r="K75" s="3" t="inlineStr">
        <is>
          <t>强化道具</t>
        </is>
      </c>
      <c r="M75" s="3" t="n">
        <v>30000</v>
      </c>
      <c r="N75" s="3" t="inlineStr">
        <is>
          <t>是</t>
        </is>
      </c>
      <c r="P75" s="3" t="n">
        <v>1</v>
      </c>
      <c r="Q75" s="3" t="inlineStr">
        <is>
          <t>无</t>
        </is>
      </c>
      <c r="R75" s="3" t="n">
        <v>999</v>
      </c>
      <c r="S75" s="3" t="inlineStr">
        <is>
          <t>系统_铭文</t>
        </is>
      </c>
      <c r="V75" s="3" t="inlineStr">
        <is>
          <t>可以激活和洗练相应技能的铭文词条</t>
        </is>
      </c>
      <c r="W75" s="3" t="inlineStr">
        <is>
          <t>击杀怪物获得</t>
        </is>
      </c>
      <c r="X75" s="3" t="n">
        <v>34040033</v>
      </c>
      <c r="Y75" s="12" t="inlineStr">
        <is>
          <t>fall_mingwen_paoxiao</t>
        </is>
      </c>
      <c r="Z75" s="3" t="inlineStr">
        <is>
          <t>ain_effect_ziseguangzhu_85</t>
        </is>
      </c>
      <c r="AA75" s="3" t="inlineStr">
        <is>
          <t>BK_J_zi</t>
        </is>
      </c>
      <c r="AB75" s="3" t="inlineStr">
        <is>
          <t>BK_D_zi</t>
        </is>
      </c>
      <c r="AC75" s="8" t="inlineStr">
        <is>
          <t>材料</t>
        </is>
      </c>
      <c r="AD75" s="9" t="inlineStr">
        <is>
          <t>法师技能铭文</t>
        </is>
      </c>
    </row>
    <row r="76">
      <c r="B76" s="3">
        <f>30000000+INDEX(编号表!$B:$B,MATCH(G76,编号表!$A:$A,0))*10000+E76</f>
        <v/>
      </c>
      <c r="C76" s="3" t="inlineStr">
        <is>
          <t>法神纹</t>
        </is>
      </c>
      <c r="D76" s="3" t="inlineStr">
        <is>
          <t>紫色</t>
        </is>
      </c>
      <c r="E76" s="3" t="n">
        <v>17</v>
      </c>
      <c r="F76" s="3" t="n">
        <v>60</v>
      </c>
      <c r="G76" s="3" t="inlineStr">
        <is>
          <t>铭文</t>
        </is>
      </c>
      <c r="H76" s="3" t="inlineStr">
        <is>
          <t>大类_基础</t>
        </is>
      </c>
      <c r="I76" s="3" t="inlineStr">
        <is>
          <t>子类_贵重品</t>
        </is>
      </c>
      <c r="J76" s="3" t="n">
        <v>1</v>
      </c>
      <c r="K76" s="3" t="inlineStr">
        <is>
          <t>强化道具</t>
        </is>
      </c>
      <c r="M76" s="3" t="n">
        <v>30000</v>
      </c>
      <c r="N76" s="3" t="inlineStr">
        <is>
          <t>是</t>
        </is>
      </c>
      <c r="P76" s="3" t="n">
        <v>1</v>
      </c>
      <c r="Q76" s="3" t="inlineStr">
        <is>
          <t>无</t>
        </is>
      </c>
      <c r="R76" s="3" t="n">
        <v>999</v>
      </c>
      <c r="S76" s="3" t="inlineStr">
        <is>
          <t>系统_铭文</t>
        </is>
      </c>
      <c r="V76" s="3" t="inlineStr">
        <is>
          <t>可以激活法师技能第二条词条</t>
        </is>
      </c>
      <c r="W76" s="3" t="inlineStr">
        <is>
          <t>暂无投放</t>
        </is>
      </c>
      <c r="X76" s="3" t="n">
        <v>34040034</v>
      </c>
      <c r="Y76" s="12" t="inlineStr">
        <is>
          <t>fall_mingwen_fashen</t>
        </is>
      </c>
      <c r="Z76" s="3" t="inlineStr">
        <is>
          <t>ain_effect_ziseguangzhu_85</t>
        </is>
      </c>
      <c r="AA76" s="3" t="inlineStr">
        <is>
          <t>BK_J_zi</t>
        </is>
      </c>
      <c r="AB76" s="3" t="inlineStr">
        <is>
          <t>BK_D_zi</t>
        </is>
      </c>
      <c r="AC76" s="8" t="inlineStr">
        <is>
          <t>材料</t>
        </is>
      </c>
      <c r="AD76" s="9" t="inlineStr">
        <is>
          <t>法师技能铭文</t>
        </is>
      </c>
    </row>
    <row r="77">
      <c r="B77" s="3">
        <f>30000000+INDEX(编号表!$B:$B,MATCH(G77,编号表!$A:$A,0))*10000+E77</f>
        <v/>
      </c>
      <c r="C77" s="3" t="inlineStr">
        <is>
          <t>火符铭文</t>
        </is>
      </c>
      <c r="D77" s="3" t="inlineStr">
        <is>
          <t>紫色</t>
        </is>
      </c>
      <c r="E77" s="3" t="n">
        <v>18</v>
      </c>
      <c r="F77" s="3" t="n">
        <v>60</v>
      </c>
      <c r="G77" s="3" t="inlineStr">
        <is>
          <t>铭文</t>
        </is>
      </c>
      <c r="H77" s="3" t="inlineStr">
        <is>
          <t>大类_基础</t>
        </is>
      </c>
      <c r="I77" s="3" t="inlineStr">
        <is>
          <t>子类_贵重品</t>
        </is>
      </c>
      <c r="J77" s="3" t="n">
        <v>1</v>
      </c>
      <c r="K77" s="3" t="inlineStr">
        <is>
          <t>强化道具</t>
        </is>
      </c>
      <c r="M77" s="3" t="n">
        <v>30000</v>
      </c>
      <c r="N77" s="3" t="inlineStr">
        <is>
          <t>是</t>
        </is>
      </c>
      <c r="P77" s="3" t="n">
        <v>1</v>
      </c>
      <c r="Q77" s="3" t="inlineStr">
        <is>
          <t>无</t>
        </is>
      </c>
      <c r="R77" s="3" t="n">
        <v>999</v>
      </c>
      <c r="S77" s="3" t="inlineStr">
        <is>
          <t>系统_铭文</t>
        </is>
      </c>
      <c r="V77" s="3" t="inlineStr">
        <is>
          <t>可以激活和洗练相应技能的铭文词条</t>
        </is>
      </c>
      <c r="W77" s="3" t="inlineStr">
        <is>
          <t>击杀怪物获得</t>
        </is>
      </c>
      <c r="X77" s="3" t="n">
        <v>34040035</v>
      </c>
      <c r="Y77" s="12" t="inlineStr">
        <is>
          <t>fall_mingwen_huofu</t>
        </is>
      </c>
      <c r="Z77" s="3" t="inlineStr">
        <is>
          <t>ain_effect_ziseguangzhu_85</t>
        </is>
      </c>
      <c r="AA77" s="3" t="inlineStr">
        <is>
          <t>BK_J_zi</t>
        </is>
      </c>
      <c r="AB77" s="3" t="inlineStr">
        <is>
          <t>BK_D_zi</t>
        </is>
      </c>
      <c r="AC77" s="8" t="inlineStr">
        <is>
          <t>材料</t>
        </is>
      </c>
      <c r="AD77" s="9" t="inlineStr">
        <is>
          <t>道士技能铭文</t>
        </is>
      </c>
    </row>
    <row r="78">
      <c r="B78" s="3">
        <f>30000000+INDEX(编号表!$B:$B,MATCH(G78,编号表!$A:$A,0))*10000+E78</f>
        <v/>
      </c>
      <c r="C78" s="3" t="inlineStr">
        <is>
          <t>治愈铭文</t>
        </is>
      </c>
      <c r="D78" s="3" t="inlineStr">
        <is>
          <t>紫色</t>
        </is>
      </c>
      <c r="E78" s="3" t="n">
        <v>19</v>
      </c>
      <c r="F78" s="3" t="n">
        <v>60</v>
      </c>
      <c r="G78" s="3" t="inlineStr">
        <is>
          <t>铭文</t>
        </is>
      </c>
      <c r="H78" s="3" t="inlineStr">
        <is>
          <t>大类_基础</t>
        </is>
      </c>
      <c r="I78" s="3" t="inlineStr">
        <is>
          <t>子类_贵重品</t>
        </is>
      </c>
      <c r="J78" s="3" t="n">
        <v>1</v>
      </c>
      <c r="K78" s="3" t="inlineStr">
        <is>
          <t>强化道具</t>
        </is>
      </c>
      <c r="M78" s="3" t="n">
        <v>30000</v>
      </c>
      <c r="N78" s="3" t="inlineStr">
        <is>
          <t>是</t>
        </is>
      </c>
      <c r="P78" s="3" t="n">
        <v>1</v>
      </c>
      <c r="Q78" s="3" t="inlineStr">
        <is>
          <t>无</t>
        </is>
      </c>
      <c r="R78" s="3" t="n">
        <v>999</v>
      </c>
      <c r="S78" s="3" t="inlineStr">
        <is>
          <t>系统_铭文</t>
        </is>
      </c>
      <c r="V78" s="3" t="inlineStr">
        <is>
          <t>可以激活和洗练相应技能的铭文词条</t>
        </is>
      </c>
      <c r="W78" s="3" t="inlineStr">
        <is>
          <t>击杀怪物获得</t>
        </is>
      </c>
      <c r="X78" s="3" t="n">
        <v>34040036</v>
      </c>
      <c r="Y78" s="12" t="inlineStr">
        <is>
          <t>fall_mingwen_zhiyu</t>
        </is>
      </c>
      <c r="Z78" s="3" t="inlineStr">
        <is>
          <t>ain_effect_ziseguangzhu_85</t>
        </is>
      </c>
      <c r="AA78" s="3" t="inlineStr">
        <is>
          <t>BK_J_zi</t>
        </is>
      </c>
      <c r="AB78" s="3" t="inlineStr">
        <is>
          <t>BK_D_zi</t>
        </is>
      </c>
      <c r="AC78" s="8" t="inlineStr">
        <is>
          <t>材料</t>
        </is>
      </c>
      <c r="AD78" s="9" t="inlineStr">
        <is>
          <t>道士技能铭文</t>
        </is>
      </c>
    </row>
    <row r="79">
      <c r="B79" s="3">
        <f>30000000+INDEX(编号表!$B:$B,MATCH(G79,编号表!$A:$A,0))*10000+E79</f>
        <v/>
      </c>
      <c r="C79" s="3" t="inlineStr">
        <is>
          <t>施毒铭文</t>
        </is>
      </c>
      <c r="D79" s="3" t="inlineStr">
        <is>
          <t>紫色</t>
        </is>
      </c>
      <c r="E79" s="3" t="n">
        <v>20</v>
      </c>
      <c r="F79" s="3" t="n">
        <v>60</v>
      </c>
      <c r="G79" s="3" t="inlineStr">
        <is>
          <t>铭文</t>
        </is>
      </c>
      <c r="H79" s="3" t="inlineStr">
        <is>
          <t>大类_基础</t>
        </is>
      </c>
      <c r="I79" s="3" t="inlineStr">
        <is>
          <t>子类_贵重品</t>
        </is>
      </c>
      <c r="J79" s="3" t="n">
        <v>1</v>
      </c>
      <c r="K79" s="3" t="inlineStr">
        <is>
          <t>强化道具</t>
        </is>
      </c>
      <c r="M79" s="3" t="n">
        <v>30000</v>
      </c>
      <c r="N79" s="3" t="inlineStr">
        <is>
          <t>是</t>
        </is>
      </c>
      <c r="P79" s="3" t="n">
        <v>1</v>
      </c>
      <c r="Q79" s="3" t="inlineStr">
        <is>
          <t>无</t>
        </is>
      </c>
      <c r="R79" s="3" t="n">
        <v>999</v>
      </c>
      <c r="S79" s="3" t="inlineStr">
        <is>
          <t>系统_铭文</t>
        </is>
      </c>
      <c r="V79" s="3" t="inlineStr">
        <is>
          <t>可以激活和洗练相应技能的铭文词条</t>
        </is>
      </c>
      <c r="W79" s="3" t="inlineStr">
        <is>
          <t>击杀怪物获得</t>
        </is>
      </c>
      <c r="X79" s="3" t="n">
        <v>34040037</v>
      </c>
      <c r="Y79" s="12" t="inlineStr">
        <is>
          <t>fall_mingwen_shidu</t>
        </is>
      </c>
      <c r="Z79" s="3" t="inlineStr">
        <is>
          <t>ain_effect_ziseguangzhu_85</t>
        </is>
      </c>
      <c r="AA79" s="3" t="inlineStr">
        <is>
          <t>BK_J_zi</t>
        </is>
      </c>
      <c r="AB79" s="3" t="inlineStr">
        <is>
          <t>BK_D_zi</t>
        </is>
      </c>
      <c r="AC79" s="8" t="inlineStr">
        <is>
          <t>材料</t>
        </is>
      </c>
      <c r="AD79" s="9" t="inlineStr">
        <is>
          <t>道士技能铭文</t>
        </is>
      </c>
    </row>
    <row r="80">
      <c r="B80" s="3">
        <f>30000000+INDEX(编号表!$B:$B,MATCH(G80,编号表!$A:$A,0))*10000+E80</f>
        <v/>
      </c>
      <c r="C80" s="3" t="inlineStr">
        <is>
          <t>骷髅铭文</t>
        </is>
      </c>
      <c r="D80" s="3" t="inlineStr">
        <is>
          <t>紫色</t>
        </is>
      </c>
      <c r="E80" s="3" t="n">
        <v>21</v>
      </c>
      <c r="F80" s="3" t="n">
        <v>60</v>
      </c>
      <c r="G80" s="3" t="inlineStr">
        <is>
          <t>铭文</t>
        </is>
      </c>
      <c r="H80" s="3" t="inlineStr">
        <is>
          <t>大类_基础</t>
        </is>
      </c>
      <c r="I80" s="3" t="inlineStr">
        <is>
          <t>子类_贵重品</t>
        </is>
      </c>
      <c r="J80" s="3" t="n">
        <v>1</v>
      </c>
      <c r="K80" s="3" t="inlineStr">
        <is>
          <t>强化道具</t>
        </is>
      </c>
      <c r="M80" s="3" t="n">
        <v>30000</v>
      </c>
      <c r="N80" s="3" t="inlineStr">
        <is>
          <t>是</t>
        </is>
      </c>
      <c r="P80" s="3" t="n">
        <v>1</v>
      </c>
      <c r="Q80" s="3" t="inlineStr">
        <is>
          <t>无</t>
        </is>
      </c>
      <c r="R80" s="3" t="n">
        <v>999</v>
      </c>
      <c r="S80" s="3" t="inlineStr">
        <is>
          <t>系统_铭文</t>
        </is>
      </c>
      <c r="V80" s="3" t="inlineStr">
        <is>
          <t>可以激活和洗练相应技能的铭文词条</t>
        </is>
      </c>
      <c r="W80" s="3" t="inlineStr">
        <is>
          <t>击杀怪物获得</t>
        </is>
      </c>
      <c r="X80" s="3" t="n">
        <v>34040038</v>
      </c>
      <c r="Y80" s="12" t="inlineStr">
        <is>
          <t>fall_mingwen_kulou</t>
        </is>
      </c>
      <c r="Z80" s="3" t="inlineStr">
        <is>
          <t>ain_effect_ziseguangzhu_85</t>
        </is>
      </c>
      <c r="AA80" s="3" t="inlineStr">
        <is>
          <t>BK_J_zi</t>
        </is>
      </c>
      <c r="AB80" s="3" t="inlineStr">
        <is>
          <t>BK_D_zi</t>
        </is>
      </c>
      <c r="AC80" s="8" t="inlineStr">
        <is>
          <t>材料</t>
        </is>
      </c>
      <c r="AD80" s="9" t="inlineStr">
        <is>
          <t>道士技能铭文</t>
        </is>
      </c>
    </row>
    <row r="81">
      <c r="B81" s="3">
        <f>30000000+INDEX(编号表!$B:$B,MATCH(G81,编号表!$A:$A,0))*10000+E81</f>
        <v/>
      </c>
      <c r="C81" s="3" t="inlineStr">
        <is>
          <t>隐身铭文</t>
        </is>
      </c>
      <c r="D81" s="3" t="inlineStr">
        <is>
          <t>紫色</t>
        </is>
      </c>
      <c r="E81" s="3" t="n">
        <v>22</v>
      </c>
      <c r="F81" s="3" t="n">
        <v>60</v>
      </c>
      <c r="G81" s="3" t="inlineStr">
        <is>
          <t>铭文</t>
        </is>
      </c>
      <c r="H81" s="3" t="inlineStr">
        <is>
          <t>大类_基础</t>
        </is>
      </c>
      <c r="I81" s="3" t="inlineStr">
        <is>
          <t>子类_贵重品</t>
        </is>
      </c>
      <c r="J81" s="3" t="n">
        <v>1</v>
      </c>
      <c r="K81" s="3" t="inlineStr">
        <is>
          <t>强化道具</t>
        </is>
      </c>
      <c r="M81" s="3" t="n">
        <v>30000</v>
      </c>
      <c r="N81" s="3" t="inlineStr">
        <is>
          <t>是</t>
        </is>
      </c>
      <c r="P81" s="3" t="n">
        <v>1</v>
      </c>
      <c r="Q81" s="3" t="inlineStr">
        <is>
          <t>无</t>
        </is>
      </c>
      <c r="R81" s="3" t="n">
        <v>999</v>
      </c>
      <c r="S81" s="3" t="inlineStr">
        <is>
          <t>系统_铭文</t>
        </is>
      </c>
      <c r="V81" s="3" t="inlineStr">
        <is>
          <t>可以激活和洗练相应技能的铭文词条</t>
        </is>
      </c>
      <c r="W81" s="3" t="inlineStr">
        <is>
          <t>击杀怪物获得</t>
        </is>
      </c>
      <c r="X81" s="3" t="n">
        <v>34040039</v>
      </c>
      <c r="Y81" s="12" t="inlineStr">
        <is>
          <t>fall_mingwen_yinshen</t>
        </is>
      </c>
      <c r="Z81" s="3" t="inlineStr">
        <is>
          <t>ain_effect_ziseguangzhu_85</t>
        </is>
      </c>
      <c r="AA81" s="3" t="inlineStr">
        <is>
          <t>BK_J_zi</t>
        </is>
      </c>
      <c r="AB81" s="3" t="inlineStr">
        <is>
          <t>BK_D_zi</t>
        </is>
      </c>
      <c r="AC81" s="8" t="inlineStr">
        <is>
          <t>材料</t>
        </is>
      </c>
      <c r="AD81" s="9" t="inlineStr">
        <is>
          <t>道士技能铭文</t>
        </is>
      </c>
    </row>
    <row r="82">
      <c r="B82" s="3">
        <f>30000000+INDEX(编号表!$B:$B,MATCH(G82,编号表!$A:$A,0))*10000+E82</f>
        <v/>
      </c>
      <c r="C82" s="3" t="inlineStr">
        <is>
          <t>幽灵铭文</t>
        </is>
      </c>
      <c r="D82" s="3" t="inlineStr">
        <is>
          <t>紫色</t>
        </is>
      </c>
      <c r="E82" s="3" t="n">
        <v>23</v>
      </c>
      <c r="F82" s="3" t="n">
        <v>60</v>
      </c>
      <c r="G82" s="3" t="inlineStr">
        <is>
          <t>铭文</t>
        </is>
      </c>
      <c r="H82" s="3" t="inlineStr">
        <is>
          <t>大类_基础</t>
        </is>
      </c>
      <c r="I82" s="3" t="inlineStr">
        <is>
          <t>子类_贵重品</t>
        </is>
      </c>
      <c r="J82" s="3" t="n">
        <v>1</v>
      </c>
      <c r="K82" s="3" t="inlineStr">
        <is>
          <t>强化道具</t>
        </is>
      </c>
      <c r="M82" s="3" t="n">
        <v>30000</v>
      </c>
      <c r="N82" s="3" t="inlineStr">
        <is>
          <t>是</t>
        </is>
      </c>
      <c r="P82" s="3" t="n">
        <v>1</v>
      </c>
      <c r="Q82" s="3" t="inlineStr">
        <is>
          <t>无</t>
        </is>
      </c>
      <c r="R82" s="3" t="n">
        <v>999</v>
      </c>
      <c r="S82" s="3" t="inlineStr">
        <is>
          <t>系统_铭文</t>
        </is>
      </c>
      <c r="V82" s="3" t="inlineStr">
        <is>
          <t>可以激活和洗练相应技能的铭文词条</t>
        </is>
      </c>
      <c r="W82" s="3" t="inlineStr">
        <is>
          <t>击杀怪物获得</t>
        </is>
      </c>
      <c r="X82" s="3" t="n">
        <v>34040040</v>
      </c>
      <c r="Y82" s="12" t="inlineStr">
        <is>
          <t>fall_mingwen_youling</t>
        </is>
      </c>
      <c r="Z82" s="3" t="inlineStr">
        <is>
          <t>ain_effect_ziseguangzhu_85</t>
        </is>
      </c>
      <c r="AA82" s="3" t="inlineStr">
        <is>
          <t>BK_J_zi</t>
        </is>
      </c>
      <c r="AB82" s="3" t="inlineStr">
        <is>
          <t>BK_D_zi</t>
        </is>
      </c>
      <c r="AC82" s="8" t="inlineStr">
        <is>
          <t>材料</t>
        </is>
      </c>
      <c r="AD82" s="9" t="inlineStr">
        <is>
          <t>道士技能铭文</t>
        </is>
      </c>
    </row>
    <row r="83">
      <c r="B83" s="3">
        <f>30000000+INDEX(编号表!$B:$B,MATCH(G83,编号表!$A:$A,0))*10000+E83</f>
        <v/>
      </c>
      <c r="C83" s="3" t="inlineStr">
        <is>
          <t>神圣铭文</t>
        </is>
      </c>
      <c r="D83" s="3" t="inlineStr">
        <is>
          <t>紫色</t>
        </is>
      </c>
      <c r="E83" s="3" t="n">
        <v>24</v>
      </c>
      <c r="F83" s="3" t="n">
        <v>60</v>
      </c>
      <c r="G83" s="3" t="inlineStr">
        <is>
          <t>铭文</t>
        </is>
      </c>
      <c r="H83" s="3" t="inlineStr">
        <is>
          <t>大类_基础</t>
        </is>
      </c>
      <c r="I83" s="3" t="inlineStr">
        <is>
          <t>子类_贵重品</t>
        </is>
      </c>
      <c r="J83" s="3" t="n">
        <v>1</v>
      </c>
      <c r="K83" s="3" t="inlineStr">
        <is>
          <t>强化道具</t>
        </is>
      </c>
      <c r="M83" s="3" t="n">
        <v>30000</v>
      </c>
      <c r="N83" s="3" t="inlineStr">
        <is>
          <t>是</t>
        </is>
      </c>
      <c r="P83" s="3" t="n">
        <v>1</v>
      </c>
      <c r="Q83" s="3" t="inlineStr">
        <is>
          <t>无</t>
        </is>
      </c>
      <c r="R83" s="3" t="n">
        <v>999</v>
      </c>
      <c r="S83" s="3" t="inlineStr">
        <is>
          <t>系统_铭文</t>
        </is>
      </c>
      <c r="V83" s="3" t="inlineStr">
        <is>
          <t>可以激活和洗练相应技能的铭文词条</t>
        </is>
      </c>
      <c r="W83" s="3" t="inlineStr">
        <is>
          <t>击杀怪物获得</t>
        </is>
      </c>
      <c r="X83" s="3" t="n">
        <v>34040041</v>
      </c>
      <c r="Y83" s="12" t="inlineStr">
        <is>
          <t>fall_mingwen_shensheng</t>
        </is>
      </c>
      <c r="Z83" s="3" t="inlineStr">
        <is>
          <t>ain_effect_ziseguangzhu_85</t>
        </is>
      </c>
      <c r="AA83" s="3" t="inlineStr">
        <is>
          <t>BK_J_zi</t>
        </is>
      </c>
      <c r="AB83" s="3" t="inlineStr">
        <is>
          <t>BK_D_zi</t>
        </is>
      </c>
      <c r="AC83" s="8" t="inlineStr">
        <is>
          <t>材料</t>
        </is>
      </c>
      <c r="AD83" s="9" t="inlineStr">
        <is>
          <t>道士技能铭文</t>
        </is>
      </c>
    </row>
    <row r="84">
      <c r="B84" s="3">
        <f>30000000+INDEX(编号表!$B:$B,MATCH(G84,编号表!$A:$A,0))*10000+E84</f>
        <v/>
      </c>
      <c r="C84" s="3" t="inlineStr">
        <is>
          <t>神兽铭文</t>
        </is>
      </c>
      <c r="D84" s="3" t="inlineStr">
        <is>
          <t>紫色</t>
        </is>
      </c>
      <c r="E84" s="3" t="n">
        <v>25</v>
      </c>
      <c r="F84" s="3" t="n">
        <v>60</v>
      </c>
      <c r="G84" s="3" t="inlineStr">
        <is>
          <t>铭文</t>
        </is>
      </c>
      <c r="H84" s="3" t="inlineStr">
        <is>
          <t>大类_基础</t>
        </is>
      </c>
      <c r="I84" s="3" t="inlineStr">
        <is>
          <t>子类_贵重品</t>
        </is>
      </c>
      <c r="J84" s="3" t="n">
        <v>1</v>
      </c>
      <c r="K84" s="3" t="inlineStr">
        <is>
          <t>强化道具</t>
        </is>
      </c>
      <c r="M84" s="3" t="n">
        <v>30000</v>
      </c>
      <c r="N84" s="3" t="inlineStr">
        <is>
          <t>是</t>
        </is>
      </c>
      <c r="P84" s="3" t="n">
        <v>1</v>
      </c>
      <c r="Q84" s="3" t="inlineStr">
        <is>
          <t>无</t>
        </is>
      </c>
      <c r="R84" s="3" t="n">
        <v>999</v>
      </c>
      <c r="S84" s="3" t="inlineStr">
        <is>
          <t>系统_铭文</t>
        </is>
      </c>
      <c r="V84" s="3" t="inlineStr">
        <is>
          <t>可以激活和洗练相应技能的铭文词条</t>
        </is>
      </c>
      <c r="W84" s="3" t="inlineStr">
        <is>
          <t>击杀怪物获得</t>
        </is>
      </c>
      <c r="X84" s="3" t="n">
        <v>34040042</v>
      </c>
      <c r="Y84" s="12" t="inlineStr">
        <is>
          <t>fall_mingwen_shenshou</t>
        </is>
      </c>
      <c r="Z84" s="3" t="inlineStr">
        <is>
          <t>ain_effect_ziseguangzhu_85</t>
        </is>
      </c>
      <c r="AA84" s="3" t="inlineStr">
        <is>
          <t>BK_J_zi</t>
        </is>
      </c>
      <c r="AB84" s="3" t="inlineStr">
        <is>
          <t>BK_D_zi</t>
        </is>
      </c>
      <c r="AC84" s="8" t="inlineStr">
        <is>
          <t>材料</t>
        </is>
      </c>
      <c r="AD84" s="9" t="inlineStr">
        <is>
          <t>道士技能铭文</t>
        </is>
      </c>
    </row>
    <row r="85">
      <c r="B85" s="3">
        <f>30000000+INDEX(编号表!$B:$B,MATCH(G85,编号表!$A:$A,0))*10000+E85</f>
        <v/>
      </c>
      <c r="C85" s="3" t="inlineStr">
        <is>
          <t>困魔铭文</t>
        </is>
      </c>
      <c r="D85" s="3" t="inlineStr">
        <is>
          <t>紫色</t>
        </is>
      </c>
      <c r="E85" s="3" t="n">
        <v>26</v>
      </c>
      <c r="F85" s="3" t="n">
        <v>60</v>
      </c>
      <c r="G85" s="3" t="inlineStr">
        <is>
          <t>铭文</t>
        </is>
      </c>
      <c r="H85" s="3" t="inlineStr">
        <is>
          <t>大类_基础</t>
        </is>
      </c>
      <c r="I85" s="3" t="inlineStr">
        <is>
          <t>子类_贵重品</t>
        </is>
      </c>
      <c r="J85" s="3" t="n">
        <v>1</v>
      </c>
      <c r="K85" s="3" t="inlineStr">
        <is>
          <t>强化道具</t>
        </is>
      </c>
      <c r="M85" s="3" t="n">
        <v>30000</v>
      </c>
      <c r="N85" s="3" t="inlineStr">
        <is>
          <t>是</t>
        </is>
      </c>
      <c r="P85" s="3" t="n">
        <v>1</v>
      </c>
      <c r="Q85" s="3" t="inlineStr">
        <is>
          <t>无</t>
        </is>
      </c>
      <c r="R85" s="3" t="n">
        <v>999</v>
      </c>
      <c r="S85" s="3" t="inlineStr">
        <is>
          <t>系统_铭文</t>
        </is>
      </c>
      <c r="V85" s="3" t="inlineStr">
        <is>
          <t>可以激活和洗练相应技能的铭文词条</t>
        </is>
      </c>
      <c r="W85" s="3" t="inlineStr">
        <is>
          <t>击杀怪物获得</t>
        </is>
      </c>
      <c r="X85" s="3" t="n">
        <v>34040043</v>
      </c>
      <c r="Y85" s="12" t="inlineStr">
        <is>
          <t>fall_mingwen_kunmo</t>
        </is>
      </c>
      <c r="Z85" s="3" t="inlineStr">
        <is>
          <t>ain_effect_ziseguangzhu_85</t>
        </is>
      </c>
      <c r="AA85" s="3" t="inlineStr">
        <is>
          <t>BK_J_zi</t>
        </is>
      </c>
      <c r="AB85" s="3" t="inlineStr">
        <is>
          <t>BK_D_zi</t>
        </is>
      </c>
      <c r="AC85" s="8" t="inlineStr">
        <is>
          <t>材料</t>
        </is>
      </c>
      <c r="AD85" s="9" t="inlineStr">
        <is>
          <t>道士技能铭文</t>
        </is>
      </c>
    </row>
    <row r="86">
      <c r="B86" s="3">
        <f>30000000+INDEX(编号表!$B:$B,MATCH(G86,编号表!$A:$A,0))*10000+E86</f>
        <v/>
      </c>
      <c r="C86" s="3" t="inlineStr">
        <is>
          <t>道神纹</t>
        </is>
      </c>
      <c r="D86" s="3" t="inlineStr">
        <is>
          <t>紫色</t>
        </is>
      </c>
      <c r="E86" s="3" t="n">
        <v>27</v>
      </c>
      <c r="F86" s="3" t="n">
        <v>60</v>
      </c>
      <c r="G86" s="3" t="inlineStr">
        <is>
          <t>铭文</t>
        </is>
      </c>
      <c r="H86" s="3" t="inlineStr">
        <is>
          <t>大类_基础</t>
        </is>
      </c>
      <c r="I86" s="3" t="inlineStr">
        <is>
          <t>子类_贵重品</t>
        </is>
      </c>
      <c r="J86" s="3" t="n">
        <v>1</v>
      </c>
      <c r="K86" s="3" t="inlineStr">
        <is>
          <t>强化道具</t>
        </is>
      </c>
      <c r="M86" s="3" t="n">
        <v>30000</v>
      </c>
      <c r="N86" s="3" t="inlineStr">
        <is>
          <t>是</t>
        </is>
      </c>
      <c r="P86" s="3" t="n">
        <v>1</v>
      </c>
      <c r="Q86" s="3" t="inlineStr">
        <is>
          <t>无</t>
        </is>
      </c>
      <c r="R86" s="3" t="n">
        <v>999</v>
      </c>
      <c r="S86" s="3" t="inlineStr">
        <is>
          <t>系统_铭文</t>
        </is>
      </c>
      <c r="V86" s="3" t="inlineStr">
        <is>
          <t>可以激活道士技能第二条词条</t>
        </is>
      </c>
      <c r="W86" s="3" t="inlineStr">
        <is>
          <t>暂无投放</t>
        </is>
      </c>
      <c r="X86" s="3" t="n">
        <v>34040044</v>
      </c>
      <c r="Y86" s="12" t="inlineStr">
        <is>
          <t>fall_mingwen_daoshen</t>
        </is>
      </c>
      <c r="Z86" s="3" t="inlineStr">
        <is>
          <t>ain_effect_ziseguangzhu_85</t>
        </is>
      </c>
      <c r="AA86" s="3" t="inlineStr">
        <is>
          <t>BK_J_zi</t>
        </is>
      </c>
      <c r="AB86" s="3" t="inlineStr">
        <is>
          <t>BK_D_zi</t>
        </is>
      </c>
      <c r="AC86" s="8" t="inlineStr">
        <is>
          <t>材料</t>
        </is>
      </c>
      <c r="AD86" s="9" t="inlineStr">
        <is>
          <t>道士技能铭文</t>
        </is>
      </c>
    </row>
    <row r="87">
      <c r="B87" s="3" t="n">
        <v>31060000</v>
      </c>
      <c r="C87" s="3" t="inlineStr">
        <is>
          <t>鹿茸</t>
        </is>
      </c>
      <c r="D87" s="3" t="inlineStr">
        <is>
          <t>白色</t>
        </is>
      </c>
      <c r="E87" s="3" t="n">
        <v>0</v>
      </c>
      <c r="F87" s="3" t="n">
        <v>60</v>
      </c>
      <c r="G87" s="3" t="inlineStr">
        <is>
          <t>任务</t>
        </is>
      </c>
      <c r="H87" s="3" t="inlineStr">
        <is>
          <t>大类_基础</t>
        </is>
      </c>
      <c r="I87" s="3" t="inlineStr">
        <is>
          <t>子类_贵重品</t>
        </is>
      </c>
      <c r="J87" s="3" t="n">
        <v>1</v>
      </c>
      <c r="K87" s="3" t="inlineStr">
        <is>
          <t>强化道具</t>
        </is>
      </c>
      <c r="M87" s="3" t="n">
        <v>30000</v>
      </c>
      <c r="N87" s="3" t="inlineStr">
        <is>
          <t>是</t>
        </is>
      </c>
      <c r="P87" s="3" t="n">
        <v>1</v>
      </c>
      <c r="Q87" s="3" t="inlineStr">
        <is>
          <t>无</t>
        </is>
      </c>
      <c r="R87" s="3" t="n">
        <v>999</v>
      </c>
      <c r="S87" s="3" t="inlineStr">
        <is>
          <t>系统_合成</t>
        </is>
      </c>
      <c r="V87" s="3" t="inlineStr">
        <is>
          <t>|cff00FF00肉类材料</t>
        </is>
      </c>
      <c r="W87" s="3" t="inlineStr">
        <is>
          <t>参加特殊活动，击杀BOSS可得</t>
        </is>
      </c>
      <c r="X87" s="3" t="n">
        <v>34040045</v>
      </c>
      <c r="Y87" s="3" t="inlineStr">
        <is>
          <t>fall_props_lurong</t>
        </is>
      </c>
      <c r="AC87" s="8" t="inlineStr">
        <is>
          <t>材料</t>
        </is>
      </c>
      <c r="AD87" s="3" t="inlineStr">
        <is>
          <t>肉类</t>
        </is>
      </c>
    </row>
    <row r="88">
      <c r="B88" s="3" t="n">
        <v>31060001</v>
      </c>
      <c r="C88" s="3" t="inlineStr">
        <is>
          <t>羊腰子</t>
        </is>
      </c>
      <c r="D88" s="3" t="inlineStr">
        <is>
          <t>白色</t>
        </is>
      </c>
      <c r="E88" s="3" t="n">
        <v>1</v>
      </c>
      <c r="F88" s="3" t="n">
        <v>60</v>
      </c>
      <c r="G88" s="3" t="inlineStr">
        <is>
          <t>任务</t>
        </is>
      </c>
      <c r="H88" s="3" t="inlineStr">
        <is>
          <t>大类_基础</t>
        </is>
      </c>
      <c r="I88" s="3" t="inlineStr">
        <is>
          <t>子类_贵重品</t>
        </is>
      </c>
      <c r="J88" s="3" t="n">
        <v>1</v>
      </c>
      <c r="K88" s="3" t="inlineStr">
        <is>
          <t>强化道具</t>
        </is>
      </c>
      <c r="M88" s="3" t="n">
        <v>30000</v>
      </c>
      <c r="N88" s="3" t="inlineStr">
        <is>
          <t>是</t>
        </is>
      </c>
      <c r="P88" s="3" t="n">
        <v>1</v>
      </c>
      <c r="Q88" s="3" t="inlineStr">
        <is>
          <t>无</t>
        </is>
      </c>
      <c r="R88" s="3" t="n">
        <v>999</v>
      </c>
      <c r="S88" s="3" t="inlineStr">
        <is>
          <t>系统_合成</t>
        </is>
      </c>
      <c r="V88" s="3" t="inlineStr">
        <is>
          <t>|cff00FF00肉类材料</t>
        </is>
      </c>
      <c r="W88" s="3" t="inlineStr">
        <is>
          <t>参加特殊活动，击杀BOSS可得</t>
        </is>
      </c>
      <c r="X88" s="3" t="n">
        <v>34040046</v>
      </c>
      <c r="Y88" s="3" t="inlineStr">
        <is>
          <t>fall_props_yangyaozi</t>
        </is>
      </c>
      <c r="AC88" s="8" t="inlineStr">
        <is>
          <t>材料</t>
        </is>
      </c>
      <c r="AD88" s="3" t="inlineStr">
        <is>
          <t>肉类</t>
        </is>
      </c>
    </row>
    <row r="89">
      <c r="B89" s="3" t="n">
        <v>31060002</v>
      </c>
      <c r="C89" s="3" t="inlineStr">
        <is>
          <t>猫粮</t>
        </is>
      </c>
      <c r="D89" s="3" t="inlineStr">
        <is>
          <t>白色</t>
        </is>
      </c>
      <c r="E89" s="3" t="n">
        <v>2</v>
      </c>
      <c r="F89" s="3" t="n">
        <v>60</v>
      </c>
      <c r="G89" s="3" t="inlineStr">
        <is>
          <t>任务</t>
        </is>
      </c>
      <c r="H89" s="3" t="inlineStr">
        <is>
          <t>大类_基础</t>
        </is>
      </c>
      <c r="I89" s="3" t="inlineStr">
        <is>
          <t>子类_贵重品</t>
        </is>
      </c>
      <c r="J89" s="3" t="n">
        <v>1</v>
      </c>
      <c r="K89" s="3" t="inlineStr">
        <is>
          <t>强化道具</t>
        </is>
      </c>
      <c r="M89" s="3" t="n">
        <v>30000</v>
      </c>
      <c r="N89" s="3" t="inlineStr">
        <is>
          <t>是</t>
        </is>
      </c>
      <c r="P89" s="3" t="n">
        <v>1</v>
      </c>
      <c r="Q89" s="3" t="inlineStr">
        <is>
          <t>无</t>
        </is>
      </c>
      <c r="R89" s="3" t="n">
        <v>999</v>
      </c>
      <c r="S89" s="3" t="inlineStr">
        <is>
          <t>系统_合成</t>
        </is>
      </c>
      <c r="V89" s="3" t="inlineStr">
        <is>
          <t>|cff00FF00肉类材料</t>
        </is>
      </c>
      <c r="W89" s="3" t="inlineStr">
        <is>
          <t>参加特殊活动，击杀BOSS可得</t>
        </is>
      </c>
      <c r="X89" s="3" t="n">
        <v>34040047</v>
      </c>
      <c r="Y89" s="3" t="inlineStr">
        <is>
          <t>fall_props_maoliang</t>
        </is>
      </c>
      <c r="AC89" s="8" t="inlineStr">
        <is>
          <t>材料</t>
        </is>
      </c>
      <c r="AD89" s="3" t="inlineStr">
        <is>
          <t>肉类</t>
        </is>
      </c>
    </row>
    <row r="90">
      <c r="B90" s="3" t="n">
        <v>31060003</v>
      </c>
      <c r="C90" s="3" t="inlineStr">
        <is>
          <t>狼肉</t>
        </is>
      </c>
      <c r="D90" s="3" t="inlineStr">
        <is>
          <t>白色</t>
        </is>
      </c>
      <c r="E90" s="3" t="n">
        <v>3</v>
      </c>
      <c r="F90" s="3" t="n">
        <v>60</v>
      </c>
      <c r="G90" s="3" t="inlineStr">
        <is>
          <t>任务</t>
        </is>
      </c>
      <c r="H90" s="3" t="inlineStr">
        <is>
          <t>大类_基础</t>
        </is>
      </c>
      <c r="I90" s="3" t="inlineStr">
        <is>
          <t>子类_贵重品</t>
        </is>
      </c>
      <c r="J90" s="3" t="n">
        <v>1</v>
      </c>
      <c r="K90" s="3" t="inlineStr">
        <is>
          <t>强化道具</t>
        </is>
      </c>
      <c r="M90" s="3" t="n">
        <v>30000</v>
      </c>
      <c r="N90" s="3" t="inlineStr">
        <is>
          <t>是</t>
        </is>
      </c>
      <c r="P90" s="3" t="n">
        <v>1</v>
      </c>
      <c r="Q90" s="3" t="inlineStr">
        <is>
          <t>无</t>
        </is>
      </c>
      <c r="R90" s="3" t="n">
        <v>999</v>
      </c>
      <c r="S90" s="3" t="inlineStr">
        <is>
          <t>系统_合成</t>
        </is>
      </c>
      <c r="V90" s="3" t="inlineStr">
        <is>
          <t>|cff00FF00肉类材料</t>
        </is>
      </c>
      <c r="W90" s="3" t="inlineStr">
        <is>
          <t>参加特殊活动，击杀BOSS可得</t>
        </is>
      </c>
      <c r="X90" s="3" t="n">
        <v>34040048</v>
      </c>
      <c r="Y90" s="3" t="inlineStr">
        <is>
          <t>fall_props_langrou</t>
        </is>
      </c>
      <c r="AC90" s="8" t="inlineStr">
        <is>
          <t>材料</t>
        </is>
      </c>
      <c r="AD90" s="3" t="inlineStr">
        <is>
          <t>肉类</t>
        </is>
      </c>
    </row>
    <row r="91">
      <c r="B91" s="3" t="n">
        <v>34050001</v>
      </c>
      <c r="C91" s="3" t="inlineStr">
        <is>
          <t>小魔法药</t>
        </is>
      </c>
      <c r="D91" s="3" t="inlineStr">
        <is>
          <t>白色</t>
        </is>
      </c>
      <c r="E91" s="3" t="n">
        <v>1</v>
      </c>
      <c r="F91" s="3" t="n">
        <v>60</v>
      </c>
      <c r="G91" s="3" t="inlineStr">
        <is>
          <t>药品</t>
        </is>
      </c>
      <c r="H91" s="3" t="inlineStr">
        <is>
          <t>大类_基础</t>
        </is>
      </c>
      <c r="I91" s="3" t="inlineStr">
        <is>
          <t>子类_药品</t>
        </is>
      </c>
      <c r="J91" s="3" t="n">
        <v>1</v>
      </c>
      <c r="K91" s="3" t="inlineStr">
        <is>
          <t>药品</t>
        </is>
      </c>
      <c r="M91" s="3" t="n">
        <v>30000</v>
      </c>
      <c r="N91" s="3" t="inlineStr">
        <is>
          <t>是</t>
        </is>
      </c>
      <c r="P91" s="3" t="n">
        <v>1</v>
      </c>
      <c r="Q91" s="3" t="inlineStr">
        <is>
          <t>无</t>
        </is>
      </c>
      <c r="R91" s="3" t="n">
        <v>999</v>
      </c>
      <c r="S91" s="3" t="inlineStr">
        <is>
          <t>药品_加蓝</t>
        </is>
      </c>
      <c r="T91" s="3" t="n">
        <v>21001801</v>
      </c>
      <c r="V91" s="3" t="inlineStr">
        <is>
          <t>|cff00FF00使用后在6秒内缓慢增加魔法值60</t>
        </is>
      </c>
      <c r="W91" s="3" t="inlineStr">
        <is>
          <t>击杀沃玛怪物获得</t>
        </is>
      </c>
      <c r="X91" s="3" t="n">
        <v>34050001</v>
      </c>
      <c r="Y91" s="10" t="inlineStr">
        <is>
          <t>fall_bluebottle</t>
        </is>
      </c>
      <c r="AC91" s="9" t="inlineStr">
        <is>
          <t>药水</t>
        </is>
      </c>
      <c r="AD91" s="9" t="inlineStr">
        <is>
          <t>小魔法药</t>
        </is>
      </c>
    </row>
    <row r="92" ht="16.5" customHeight="1" s="2">
      <c r="B92" s="3" t="n">
        <v>34050002</v>
      </c>
      <c r="C92" s="3" t="inlineStr">
        <is>
          <t>强效魔法药</t>
        </is>
      </c>
      <c r="D92" s="3" t="inlineStr">
        <is>
          <t>白色</t>
        </is>
      </c>
      <c r="E92" s="3" t="n">
        <v>2</v>
      </c>
      <c r="F92" s="3" t="n">
        <v>60</v>
      </c>
      <c r="G92" s="3" t="inlineStr">
        <is>
          <t>药品</t>
        </is>
      </c>
      <c r="H92" s="3" t="inlineStr">
        <is>
          <t>大类_基础</t>
        </is>
      </c>
      <c r="I92" s="3" t="inlineStr">
        <is>
          <t>子类_药品</t>
        </is>
      </c>
      <c r="J92" s="3" t="n">
        <v>1</v>
      </c>
      <c r="K92" s="3" t="inlineStr">
        <is>
          <t>药品</t>
        </is>
      </c>
      <c r="M92" s="3" t="n">
        <v>30000</v>
      </c>
      <c r="N92" s="3" t="inlineStr">
        <is>
          <t>是</t>
        </is>
      </c>
      <c r="P92" s="3" t="n">
        <v>10</v>
      </c>
      <c r="Q92" s="3" t="inlineStr">
        <is>
          <t>无</t>
        </is>
      </c>
      <c r="R92" s="3" t="n">
        <v>999</v>
      </c>
      <c r="S92" s="3" t="inlineStr">
        <is>
          <t>药品_加蓝</t>
        </is>
      </c>
      <c r="T92" s="3" t="n">
        <v>21001802</v>
      </c>
      <c r="V92" s="3" t="inlineStr">
        <is>
          <t>|cff00FF00使用后在6秒内缓慢增加魔法值120</t>
        </is>
      </c>
      <c r="W92" s="3" t="inlineStr">
        <is>
          <t>击杀祖玛怪物获得</t>
        </is>
      </c>
      <c r="X92" s="3" t="n">
        <v>34050002</v>
      </c>
      <c r="Y92" s="10" t="inlineStr">
        <is>
          <t>fall_bluebottle_02</t>
        </is>
      </c>
      <c r="AC92" s="9" t="inlineStr">
        <is>
          <t>药水</t>
        </is>
      </c>
      <c r="AD92" s="9" t="inlineStr">
        <is>
          <t>强效魔法药</t>
        </is>
      </c>
    </row>
    <row r="93" ht="16.5" customHeight="1" s="2">
      <c r="B93" s="3" t="n">
        <v>34050003</v>
      </c>
      <c r="C93" s="3" t="inlineStr">
        <is>
          <t>特级魔法药</t>
        </is>
      </c>
      <c r="D93" s="3" t="inlineStr">
        <is>
          <t>白色</t>
        </is>
      </c>
      <c r="E93" s="3" t="n">
        <v>3</v>
      </c>
      <c r="F93" s="3" t="n">
        <v>60</v>
      </c>
      <c r="G93" s="3" t="inlineStr">
        <is>
          <t>药品</t>
        </is>
      </c>
      <c r="H93" s="3" t="inlineStr">
        <is>
          <t>大类_基础</t>
        </is>
      </c>
      <c r="I93" s="3" t="inlineStr">
        <is>
          <t>子类_药品</t>
        </is>
      </c>
      <c r="J93" s="3" t="n">
        <v>1</v>
      </c>
      <c r="K93" s="3" t="inlineStr">
        <is>
          <t>药品</t>
        </is>
      </c>
      <c r="M93" s="3" t="n">
        <v>30000</v>
      </c>
      <c r="N93" s="3" t="inlineStr">
        <is>
          <t>是</t>
        </is>
      </c>
      <c r="P93" s="3" t="n">
        <v>20</v>
      </c>
      <c r="Q93" s="3" t="inlineStr">
        <is>
          <t>无</t>
        </is>
      </c>
      <c r="R93" s="3" t="n">
        <v>999</v>
      </c>
      <c r="S93" s="3" t="inlineStr">
        <is>
          <t>药品_加蓝</t>
        </is>
      </c>
      <c r="T93" s="3" t="n">
        <v>21001803</v>
      </c>
      <c r="V93" s="3" t="inlineStr">
        <is>
          <t>|cff00FF00使用后在6秒内缓慢增加魔法值240</t>
        </is>
      </c>
      <c r="W93" s="3" t="inlineStr">
        <is>
          <t>击杀赤月怪物获得</t>
        </is>
      </c>
      <c r="X93" s="3" t="n">
        <v>34050003</v>
      </c>
      <c r="Y93" s="10" t="inlineStr">
        <is>
          <t>fall_bluebottle_03</t>
        </is>
      </c>
      <c r="AC93" s="9" t="inlineStr">
        <is>
          <t>药水</t>
        </is>
      </c>
      <c r="AD93" s="9" t="inlineStr">
        <is>
          <t>特级魔法药</t>
        </is>
      </c>
    </row>
    <row r="94" ht="16.5" customHeight="1" s="2">
      <c r="B94" s="3" t="n">
        <v>34050004</v>
      </c>
      <c r="C94" s="3" t="inlineStr">
        <is>
          <t>小金创药</t>
        </is>
      </c>
      <c r="D94" s="3" t="inlineStr">
        <is>
          <t>白色</t>
        </is>
      </c>
      <c r="E94" s="3" t="n">
        <v>4</v>
      </c>
      <c r="F94" s="3" t="n">
        <v>60</v>
      </c>
      <c r="G94" s="3" t="inlineStr">
        <is>
          <t>药品</t>
        </is>
      </c>
      <c r="H94" s="3" t="inlineStr">
        <is>
          <t>大类_基础</t>
        </is>
      </c>
      <c r="I94" s="3" t="inlineStr">
        <is>
          <t>子类_药品</t>
        </is>
      </c>
      <c r="J94" s="3" t="n">
        <v>1</v>
      </c>
      <c r="K94" s="3" t="inlineStr">
        <is>
          <t>药品</t>
        </is>
      </c>
      <c r="M94" s="3" t="n">
        <v>30000</v>
      </c>
      <c r="N94" s="3" t="inlineStr">
        <is>
          <t>是</t>
        </is>
      </c>
      <c r="P94" s="3" t="n">
        <v>1</v>
      </c>
      <c r="Q94" s="3" t="inlineStr">
        <is>
          <t>无</t>
        </is>
      </c>
      <c r="R94" s="3" t="n">
        <v>999</v>
      </c>
      <c r="S94" s="3" t="inlineStr">
        <is>
          <t>药品_加血</t>
        </is>
      </c>
      <c r="T94" s="3" t="n">
        <v>21001701</v>
      </c>
      <c r="V94" s="3" t="inlineStr">
        <is>
          <t>|cff00FF00使用后在6秒内缓慢增加血量60</t>
        </is>
      </c>
      <c r="W94" s="3" t="inlineStr">
        <is>
          <t>击杀沃玛怪物获得</t>
        </is>
      </c>
      <c r="X94" s="3" t="n">
        <v>34050004</v>
      </c>
      <c r="Y94" s="13" t="inlineStr">
        <is>
          <t>fall_redbottle</t>
        </is>
      </c>
      <c r="AC94" s="9" t="inlineStr">
        <is>
          <t>药水</t>
        </is>
      </c>
      <c r="AD94" s="9" t="inlineStr">
        <is>
          <t>太阳水</t>
        </is>
      </c>
    </row>
    <row r="95" ht="16.5" customHeight="1" s="2">
      <c r="B95" s="3" t="n">
        <v>34050005</v>
      </c>
      <c r="C95" s="3" t="inlineStr">
        <is>
          <t>强效金创药</t>
        </is>
      </c>
      <c r="D95" s="3" t="inlineStr">
        <is>
          <t>白色</t>
        </is>
      </c>
      <c r="E95" s="3" t="n">
        <v>5</v>
      </c>
      <c r="F95" s="3" t="n">
        <v>60</v>
      </c>
      <c r="G95" s="3" t="inlineStr">
        <is>
          <t>药品</t>
        </is>
      </c>
      <c r="H95" s="3" t="inlineStr">
        <is>
          <t>大类_基础</t>
        </is>
      </c>
      <c r="I95" s="3" t="inlineStr">
        <is>
          <t>子类_药品</t>
        </is>
      </c>
      <c r="J95" s="3" t="n">
        <v>1</v>
      </c>
      <c r="K95" s="3" t="inlineStr">
        <is>
          <t>药品</t>
        </is>
      </c>
      <c r="M95" s="3" t="n">
        <v>30000</v>
      </c>
      <c r="N95" s="3" t="inlineStr">
        <is>
          <t>是</t>
        </is>
      </c>
      <c r="P95" s="3" t="n">
        <v>10</v>
      </c>
      <c r="Q95" s="3" t="inlineStr">
        <is>
          <t>无</t>
        </is>
      </c>
      <c r="R95" s="3" t="n">
        <v>999</v>
      </c>
      <c r="S95" s="3" t="inlineStr">
        <is>
          <t>药品_加血</t>
        </is>
      </c>
      <c r="T95" s="3" t="n">
        <v>21001702</v>
      </c>
      <c r="V95" s="3" t="inlineStr">
        <is>
          <t>|cff00FF00使用后在6秒内缓慢增加血量120</t>
        </is>
      </c>
      <c r="W95" s="3" t="inlineStr">
        <is>
          <t>击杀祖玛怪物获得</t>
        </is>
      </c>
      <c r="X95" s="3" t="n">
        <v>34050005</v>
      </c>
      <c r="Y95" s="13" t="inlineStr">
        <is>
          <t>fall_redbottle_02</t>
        </is>
      </c>
      <c r="AC95" s="9" t="inlineStr">
        <is>
          <t>药水</t>
        </is>
      </c>
      <c r="AD95" s="9" t="inlineStr">
        <is>
          <t>强效太阳水</t>
        </is>
      </c>
    </row>
    <row r="96" ht="16.5" customHeight="1" s="2">
      <c r="B96" s="3" t="n">
        <v>34050006</v>
      </c>
      <c r="C96" s="3" t="inlineStr">
        <is>
          <t>特级金创药</t>
        </is>
      </c>
      <c r="D96" s="3" t="inlineStr">
        <is>
          <t>白色</t>
        </is>
      </c>
      <c r="E96" s="3" t="n">
        <v>6</v>
      </c>
      <c r="F96" s="3" t="n">
        <v>60</v>
      </c>
      <c r="G96" s="3" t="inlineStr">
        <is>
          <t>药品</t>
        </is>
      </c>
      <c r="H96" s="3" t="inlineStr">
        <is>
          <t>大类_基础</t>
        </is>
      </c>
      <c r="I96" s="3" t="inlineStr">
        <is>
          <t>子类_药品</t>
        </is>
      </c>
      <c r="J96" s="3" t="n">
        <v>1</v>
      </c>
      <c r="K96" s="3" t="inlineStr">
        <is>
          <t>药品</t>
        </is>
      </c>
      <c r="M96" s="3" t="n">
        <v>30000</v>
      </c>
      <c r="N96" s="3" t="inlineStr">
        <is>
          <t>是</t>
        </is>
      </c>
      <c r="P96" s="3" t="n">
        <v>20</v>
      </c>
      <c r="Q96" s="3" t="inlineStr">
        <is>
          <t>无</t>
        </is>
      </c>
      <c r="R96" s="3" t="n">
        <v>999</v>
      </c>
      <c r="S96" s="3" t="inlineStr">
        <is>
          <t>药品_加血</t>
        </is>
      </c>
      <c r="T96" s="3" t="n">
        <v>21001703</v>
      </c>
      <c r="V96" s="3" t="inlineStr">
        <is>
          <t>|cff00FF00使用后在6秒内缓慢增加血量240</t>
        </is>
      </c>
      <c r="W96" s="3" t="inlineStr">
        <is>
          <t>击杀赤月怪物获得</t>
        </is>
      </c>
      <c r="X96" s="3" t="n">
        <v>34050006</v>
      </c>
      <c r="Y96" s="13" t="inlineStr">
        <is>
          <t>fall_redbottle_03</t>
        </is>
      </c>
      <c r="AC96" s="9" t="inlineStr">
        <is>
          <t>药水</t>
        </is>
      </c>
      <c r="AD96" s="9" t="inlineStr">
        <is>
          <t>特效太阳水</t>
        </is>
      </c>
    </row>
    <row r="97" ht="16.5" customHeight="1" s="2">
      <c r="B97" s="3" t="n">
        <v>34050007</v>
      </c>
      <c r="C97" s="3" t="inlineStr">
        <is>
          <t>太阳水</t>
        </is>
      </c>
      <c r="D97" s="3" t="inlineStr">
        <is>
          <t>白色</t>
        </is>
      </c>
      <c r="E97" s="3" t="n">
        <v>7</v>
      </c>
      <c r="F97" s="3" t="n">
        <v>60</v>
      </c>
      <c r="G97" s="3" t="inlineStr">
        <is>
          <t>药品</t>
        </is>
      </c>
      <c r="H97" s="3" t="inlineStr">
        <is>
          <t>大类_基础</t>
        </is>
      </c>
      <c r="I97" s="3" t="inlineStr">
        <is>
          <t>子类_药品</t>
        </is>
      </c>
      <c r="J97" s="3" t="n">
        <v>1</v>
      </c>
      <c r="K97" s="3" t="inlineStr">
        <is>
          <t>药品</t>
        </is>
      </c>
      <c r="M97" s="3" t="n">
        <v>60000</v>
      </c>
      <c r="N97" s="3" t="inlineStr">
        <is>
          <t>是</t>
        </is>
      </c>
      <c r="P97" s="3" t="n">
        <v>20</v>
      </c>
      <c r="Q97" s="3" t="inlineStr">
        <is>
          <t>无</t>
        </is>
      </c>
      <c r="R97" s="3" t="n">
        <v>999</v>
      </c>
      <c r="S97" s="3" t="inlineStr">
        <is>
          <t>药品_加血</t>
        </is>
      </c>
      <c r="T97" s="3" t="n">
        <v>21003701</v>
      </c>
      <c r="V97" s="3" t="inlineStr">
        <is>
          <t>|cff00FF00瞬时恢复血量和魔法值</t>
        </is>
      </c>
      <c r="W97" s="3" t="inlineStr">
        <is>
          <t>击杀赤月怪物获得</t>
        </is>
      </c>
      <c r="X97" s="3" t="n">
        <v>34050007</v>
      </c>
      <c r="Y97" s="13" t="inlineStr">
        <is>
          <t>fall_taiyangshui</t>
        </is>
      </c>
      <c r="AC97" s="9" t="inlineStr">
        <is>
          <t>药水</t>
        </is>
      </c>
      <c r="AD97" s="9" t="inlineStr">
        <is>
          <t>太阳水</t>
        </is>
      </c>
    </row>
    <row r="98" ht="16.5" customHeight="1" s="2">
      <c r="B98" s="3" t="n">
        <v>34050008</v>
      </c>
      <c r="C98" s="3" t="inlineStr">
        <is>
          <t>强效太阳水</t>
        </is>
      </c>
      <c r="D98" s="3" t="inlineStr">
        <is>
          <t>白色</t>
        </is>
      </c>
      <c r="E98" s="3" t="n">
        <v>8</v>
      </c>
      <c r="F98" s="3" t="n">
        <v>60</v>
      </c>
      <c r="G98" s="3" t="inlineStr">
        <is>
          <t>药品</t>
        </is>
      </c>
      <c r="H98" s="3" t="inlineStr">
        <is>
          <t>大类_基础</t>
        </is>
      </c>
      <c r="I98" s="3" t="inlineStr">
        <is>
          <t>子类_药品</t>
        </is>
      </c>
      <c r="J98" s="3" t="n">
        <v>1</v>
      </c>
      <c r="K98" s="3" t="inlineStr">
        <is>
          <t>药品</t>
        </is>
      </c>
      <c r="M98" s="3" t="n">
        <v>60000</v>
      </c>
      <c r="N98" s="3" t="inlineStr">
        <is>
          <t>是</t>
        </is>
      </c>
      <c r="P98" s="3" t="n">
        <v>20</v>
      </c>
      <c r="Q98" s="3" t="inlineStr">
        <is>
          <t>无</t>
        </is>
      </c>
      <c r="R98" s="3" t="n">
        <v>999</v>
      </c>
      <c r="S98" s="3" t="inlineStr">
        <is>
          <t>药品_加血</t>
        </is>
      </c>
      <c r="T98" s="3" t="n">
        <v>21003702</v>
      </c>
      <c r="V98" s="3" t="inlineStr">
        <is>
          <t>|cff00FF00瞬时恢复血量和魔法值</t>
        </is>
      </c>
      <c r="W98" s="3" t="inlineStr">
        <is>
          <t>击杀赤月怪物获得</t>
        </is>
      </c>
      <c r="X98" s="3" t="n">
        <v>34050008</v>
      </c>
      <c r="Y98" s="13" t="inlineStr">
        <is>
          <t>fall_taiyangshui_02</t>
        </is>
      </c>
      <c r="AC98" s="9" t="inlineStr">
        <is>
          <t>药水</t>
        </is>
      </c>
      <c r="AD98" s="9" t="inlineStr">
        <is>
          <t>强效太阳水</t>
        </is>
      </c>
    </row>
    <row r="99" ht="14" customHeight="1" s="2">
      <c r="B99" s="3" t="n">
        <v>34050009</v>
      </c>
      <c r="C99" s="3" t="inlineStr">
        <is>
          <t>特效太阳水</t>
        </is>
      </c>
      <c r="D99" s="3" t="inlineStr">
        <is>
          <t>白色</t>
        </is>
      </c>
      <c r="E99" s="3" t="n">
        <v>9</v>
      </c>
      <c r="F99" s="3" t="n">
        <v>60</v>
      </c>
      <c r="G99" s="3" t="inlineStr">
        <is>
          <t>药品</t>
        </is>
      </c>
      <c r="H99" s="3" t="inlineStr">
        <is>
          <t>大类_基础</t>
        </is>
      </c>
      <c r="I99" s="3" t="inlineStr">
        <is>
          <t>子类_药品</t>
        </is>
      </c>
      <c r="J99" s="3" t="n">
        <v>1</v>
      </c>
      <c r="K99" s="3" t="inlineStr">
        <is>
          <t>药品</t>
        </is>
      </c>
      <c r="M99" s="3" t="n">
        <v>60000</v>
      </c>
      <c r="N99" s="3" t="inlineStr">
        <is>
          <t>是</t>
        </is>
      </c>
      <c r="P99" s="3" t="n">
        <v>20</v>
      </c>
      <c r="Q99" s="3" t="inlineStr">
        <is>
          <t>无</t>
        </is>
      </c>
      <c r="R99" s="3" t="n">
        <v>999</v>
      </c>
      <c r="S99" s="3" t="inlineStr">
        <is>
          <t>药品_加血</t>
        </is>
      </c>
      <c r="T99" s="3" t="n">
        <v>21003703</v>
      </c>
      <c r="V99" s="3" t="inlineStr">
        <is>
          <t>|cff00FF00瞬时恢复血量和魔法值</t>
        </is>
      </c>
      <c r="W99" s="3" t="inlineStr">
        <is>
          <t>击杀赤月怪物获得</t>
        </is>
      </c>
      <c r="X99" s="3" t="n">
        <v>34050009</v>
      </c>
      <c r="Y99" s="13" t="inlineStr">
        <is>
          <t>fall_taiyangshui_03</t>
        </is>
      </c>
      <c r="AC99" s="9" t="inlineStr">
        <is>
          <t>药水</t>
        </is>
      </c>
      <c r="AD99" s="9" t="inlineStr">
        <is>
          <t>特效太阳水</t>
        </is>
      </c>
    </row>
    <row r="100" ht="14" customHeight="1" s="2">
      <c r="B100" s="3" t="n">
        <v>34050010</v>
      </c>
      <c r="C100" s="3" t="inlineStr">
        <is>
          <t>疗伤药</t>
        </is>
      </c>
      <c r="D100" s="3" t="inlineStr">
        <is>
          <t>白色</t>
        </is>
      </c>
      <c r="E100" s="3" t="n">
        <v>10</v>
      </c>
      <c r="F100" s="3" t="n">
        <v>60</v>
      </c>
      <c r="G100" s="3" t="inlineStr">
        <is>
          <t>药品</t>
        </is>
      </c>
      <c r="H100" s="3" t="inlineStr">
        <is>
          <t>大类_基础</t>
        </is>
      </c>
      <c r="I100" s="3" t="inlineStr">
        <is>
          <t>子类_药品</t>
        </is>
      </c>
      <c r="J100" s="3" t="n">
        <v>1</v>
      </c>
      <c r="K100" s="3" t="inlineStr">
        <is>
          <t>药品</t>
        </is>
      </c>
      <c r="M100" s="3" t="n">
        <v>60000</v>
      </c>
      <c r="N100" s="3" t="inlineStr">
        <is>
          <t>是</t>
        </is>
      </c>
      <c r="P100" s="3" t="n">
        <v>20</v>
      </c>
      <c r="Q100" s="3" t="inlineStr">
        <is>
          <t>无</t>
        </is>
      </c>
      <c r="R100" s="3" t="n">
        <v>999</v>
      </c>
      <c r="S100" s="3" t="inlineStr">
        <is>
          <t>药品_加血</t>
        </is>
      </c>
      <c r="T100" s="3" t="n">
        <v>21003704</v>
      </c>
      <c r="V100" s="3" t="inlineStr">
        <is>
          <t>|cff00FF00瞬时恢复血量和魔法值</t>
        </is>
      </c>
      <c r="W100" s="3" t="inlineStr">
        <is>
          <t>击杀赤月怪物获得</t>
        </is>
      </c>
      <c r="X100" s="3" t="n">
        <v>34050010</v>
      </c>
      <c r="Y100" s="13" t="inlineStr">
        <is>
          <t>fall_liaoshang</t>
        </is>
      </c>
      <c r="AC100" s="9" t="inlineStr">
        <is>
          <t>药水</t>
        </is>
      </c>
      <c r="AD100" s="9" t="inlineStr">
        <is>
          <t>疗伤药</t>
        </is>
      </c>
    </row>
    <row r="101" ht="14" customHeight="1" s="2">
      <c r="B101" s="3">
        <f>30000000+INDEX(编号表!$B:$B,MATCH(G101,编号表!$A:$A,0))*10000+E101</f>
        <v/>
      </c>
      <c r="C101" s="3" t="inlineStr">
        <is>
          <t>屠龙刀</t>
        </is>
      </c>
      <c r="D101" s="3" t="inlineStr">
        <is>
          <t>绿色</t>
        </is>
      </c>
      <c r="E101" s="3" t="n">
        <v>0</v>
      </c>
      <c r="F101" s="3" t="n">
        <v>60</v>
      </c>
      <c r="G101" s="3" t="inlineStr">
        <is>
          <t>外观</t>
        </is>
      </c>
      <c r="H101" s="3" t="inlineStr">
        <is>
          <t>大类_基础</t>
        </is>
      </c>
      <c r="I101" s="3" t="inlineStr">
        <is>
          <t>子类_外观</t>
        </is>
      </c>
      <c r="J101" s="3" t="n">
        <v>0</v>
      </c>
      <c r="K101" s="3" t="inlineStr">
        <is>
          <t>外观</t>
        </is>
      </c>
      <c r="M101" s="3" t="n">
        <v>60000</v>
      </c>
      <c r="N101" s="3" t="inlineStr">
        <is>
          <t>否</t>
        </is>
      </c>
      <c r="P101" s="3" t="n">
        <v>1</v>
      </c>
      <c r="Q101" s="3" t="inlineStr">
        <is>
          <t>无</t>
        </is>
      </c>
      <c r="R101" s="3" t="n">
        <v>1</v>
      </c>
      <c r="V101" s="3" t="inlineStr">
        <is>
          <t>使用激活头像</t>
        </is>
      </c>
      <c r="W101" s="3" t="inlineStr">
        <is>
          <t>系统赠送获得</t>
        </is>
      </c>
      <c r="X101" s="3" t="n">
        <v>30080000</v>
      </c>
      <c r="Y101" s="13" t="inlineStr">
        <is>
          <t>fall_xueshuang</t>
        </is>
      </c>
      <c r="Z101" s="3" t="inlineStr">
        <is>
          <t>ain_effect_lvseguangzhu_88</t>
        </is>
      </c>
      <c r="AA101" s="3" t="inlineStr">
        <is>
          <t>BK_J_lv</t>
        </is>
      </c>
      <c r="AB101" s="3" t="inlineStr">
        <is>
          <t>BK_D_lv</t>
        </is>
      </c>
      <c r="AC101" s="9" t="n"/>
      <c r="AD101" s="9" t="n"/>
    </row>
    <row r="102" ht="14" customHeight="1" s="2">
      <c r="B102" s="3">
        <f>30000000+INDEX(编号表!$B:$B,MATCH(G102,编号表!$A:$A,0))*10000+E102</f>
        <v/>
      </c>
      <c r="C102" s="3" t="inlineStr">
        <is>
          <t>不屈战士</t>
        </is>
      </c>
      <c r="D102" s="3" t="inlineStr">
        <is>
          <t>绿色</t>
        </is>
      </c>
      <c r="E102" s="3" t="n">
        <v>1</v>
      </c>
      <c r="F102" s="3" t="n">
        <v>60</v>
      </c>
      <c r="G102" s="3" t="inlineStr">
        <is>
          <t>外观</t>
        </is>
      </c>
      <c r="H102" s="3" t="inlineStr">
        <is>
          <t>大类_基础</t>
        </is>
      </c>
      <c r="I102" s="3" t="inlineStr">
        <is>
          <t>子类_外观</t>
        </is>
      </c>
      <c r="J102" s="3" t="n">
        <v>0</v>
      </c>
      <c r="K102" s="3" t="inlineStr">
        <is>
          <t>外观</t>
        </is>
      </c>
      <c r="M102" s="3" t="n">
        <v>60000</v>
      </c>
      <c r="N102" s="3" t="inlineStr">
        <is>
          <t>否</t>
        </is>
      </c>
      <c r="P102" s="3" t="n">
        <v>1</v>
      </c>
      <c r="Q102" s="3" t="inlineStr">
        <is>
          <t>无</t>
        </is>
      </c>
      <c r="R102" s="3" t="n">
        <v>1</v>
      </c>
      <c r="V102" s="3" t="inlineStr">
        <is>
          <t>使用激活头像</t>
        </is>
      </c>
      <c r="W102" s="3" t="inlineStr">
        <is>
          <t>系统赠送获得</t>
        </is>
      </c>
      <c r="X102" s="3" t="n">
        <v>30080001</v>
      </c>
      <c r="Y102" s="13" t="inlineStr">
        <is>
          <t>fall_xueshuang</t>
        </is>
      </c>
      <c r="Z102" s="3" t="inlineStr">
        <is>
          <t>ain_effect_lvseguangzhu_88</t>
        </is>
      </c>
      <c r="AA102" s="3" t="inlineStr">
        <is>
          <t>BK_J_lv</t>
        </is>
      </c>
      <c r="AB102" s="3" t="inlineStr">
        <is>
          <t>BK_D_lv</t>
        </is>
      </c>
      <c r="AC102" s="9" t="n"/>
      <c r="AD102" s="9" t="n"/>
    </row>
    <row r="103" ht="14" customHeight="1" s="2">
      <c r="B103" s="3">
        <f>30000000+INDEX(编号表!$B:$B,MATCH(G103,编号表!$A:$A,0))*10000+E103</f>
        <v/>
      </c>
      <c r="C103" s="3" t="inlineStr">
        <is>
          <t>大魔法师</t>
        </is>
      </c>
      <c r="D103" s="3" t="inlineStr">
        <is>
          <t>绿色</t>
        </is>
      </c>
      <c r="E103" s="3" t="n">
        <v>2</v>
      </c>
      <c r="F103" s="3" t="n">
        <v>60</v>
      </c>
      <c r="G103" s="3" t="inlineStr">
        <is>
          <t>外观</t>
        </is>
      </c>
      <c r="H103" s="3" t="inlineStr">
        <is>
          <t>大类_基础</t>
        </is>
      </c>
      <c r="I103" s="3" t="inlineStr">
        <is>
          <t>子类_外观</t>
        </is>
      </c>
      <c r="J103" s="3" t="n">
        <v>0</v>
      </c>
      <c r="K103" s="3" t="inlineStr">
        <is>
          <t>外观</t>
        </is>
      </c>
      <c r="M103" s="3" t="n">
        <v>60000</v>
      </c>
      <c r="N103" s="3" t="inlineStr">
        <is>
          <t>否</t>
        </is>
      </c>
      <c r="P103" s="3" t="n">
        <v>1</v>
      </c>
      <c r="Q103" s="3" t="inlineStr">
        <is>
          <t>无</t>
        </is>
      </c>
      <c r="R103" s="3" t="n">
        <v>1</v>
      </c>
      <c r="V103" s="3" t="inlineStr">
        <is>
          <t>使用激活头像</t>
        </is>
      </c>
      <c r="W103" s="3" t="inlineStr">
        <is>
          <t>系统赠送获得</t>
        </is>
      </c>
      <c r="X103" s="3" t="n">
        <v>30080002</v>
      </c>
      <c r="Y103" s="13" t="inlineStr">
        <is>
          <t>fall_xueshuang</t>
        </is>
      </c>
      <c r="Z103" s="3" t="inlineStr">
        <is>
          <t>ain_effect_lvseguangzhu_88</t>
        </is>
      </c>
      <c r="AA103" s="3" t="inlineStr">
        <is>
          <t>BK_J_lv</t>
        </is>
      </c>
      <c r="AB103" s="3" t="inlineStr">
        <is>
          <t>BK_D_lv</t>
        </is>
      </c>
      <c r="AC103" s="9" t="n"/>
      <c r="AD103" s="9" t="n"/>
    </row>
    <row r="104" ht="16.5" customHeight="1" s="2">
      <c r="B104" s="3">
        <f>30000000+INDEX(编号表!$B:$B,MATCH(G104,编号表!$A:$A,0))*10000+E104</f>
        <v/>
      </c>
      <c r="C104" s="3" t="inlineStr">
        <is>
          <t>天尊道士</t>
        </is>
      </c>
      <c r="D104" s="3" t="inlineStr">
        <is>
          <t>绿色</t>
        </is>
      </c>
      <c r="E104" s="3" t="n">
        <v>3</v>
      </c>
      <c r="F104" s="3" t="n">
        <v>60</v>
      </c>
      <c r="G104" s="3" t="inlineStr">
        <is>
          <t>外观</t>
        </is>
      </c>
      <c r="H104" s="3" t="inlineStr">
        <is>
          <t>大类_基础</t>
        </is>
      </c>
      <c r="I104" s="3" t="inlineStr">
        <is>
          <t>子类_外观</t>
        </is>
      </c>
      <c r="J104" s="3" t="n">
        <v>0</v>
      </c>
      <c r="K104" s="3" t="inlineStr">
        <is>
          <t>外观</t>
        </is>
      </c>
      <c r="M104" s="3" t="n">
        <v>60000</v>
      </c>
      <c r="N104" s="3" t="inlineStr">
        <is>
          <t>否</t>
        </is>
      </c>
      <c r="P104" s="3" t="n">
        <v>1</v>
      </c>
      <c r="Q104" s="3" t="inlineStr">
        <is>
          <t>无</t>
        </is>
      </c>
      <c r="R104" s="3" t="n">
        <v>1</v>
      </c>
      <c r="V104" s="3" t="inlineStr">
        <is>
          <t>使用激活头像</t>
        </is>
      </c>
      <c r="W104" s="3" t="inlineStr">
        <is>
          <t>系统赠送获得</t>
        </is>
      </c>
      <c r="X104" s="3" t="n">
        <v>30080003</v>
      </c>
      <c r="Y104" s="13" t="inlineStr">
        <is>
          <t>fall_xueshuang</t>
        </is>
      </c>
      <c r="Z104" s="3" t="inlineStr">
        <is>
          <t>ain_effect_lvseguangzhu_88</t>
        </is>
      </c>
      <c r="AA104" s="3" t="inlineStr">
        <is>
          <t>BK_J_lv</t>
        </is>
      </c>
      <c r="AB104" s="3" t="inlineStr">
        <is>
          <t>BK_D_lv</t>
        </is>
      </c>
      <c r="AC104" s="9" t="n"/>
      <c r="AD104" s="9" t="n"/>
    </row>
    <row r="105" ht="16.5" customHeight="1" s="2">
      <c r="B105" s="3">
        <f>30000000+INDEX(编号表!$B:$B,MATCH(G105,编号表!$A:$A,0))*10000+E105</f>
        <v/>
      </c>
      <c r="C105" s="3" t="inlineStr">
        <is>
          <t>龙虾</t>
        </is>
      </c>
      <c r="D105" s="3" t="inlineStr">
        <is>
          <t>绿色</t>
        </is>
      </c>
      <c r="E105" s="3" t="n">
        <v>4</v>
      </c>
      <c r="F105" s="3" t="n">
        <v>60</v>
      </c>
      <c r="G105" s="3" t="inlineStr">
        <is>
          <t>外观</t>
        </is>
      </c>
      <c r="H105" s="3" t="inlineStr">
        <is>
          <t>大类_基础</t>
        </is>
      </c>
      <c r="I105" s="3" t="inlineStr">
        <is>
          <t>子类_外观</t>
        </is>
      </c>
      <c r="J105" s="3" t="n">
        <v>0</v>
      </c>
      <c r="K105" s="3" t="inlineStr">
        <is>
          <t>外观</t>
        </is>
      </c>
      <c r="M105" s="3" t="n">
        <v>60000</v>
      </c>
      <c r="N105" s="3" t="inlineStr">
        <is>
          <t>否</t>
        </is>
      </c>
      <c r="P105" s="3" t="n">
        <v>1</v>
      </c>
      <c r="Q105" s="3" t="inlineStr">
        <is>
          <t>无</t>
        </is>
      </c>
      <c r="R105" s="3" t="n">
        <v>1</v>
      </c>
      <c r="V105" s="3" t="inlineStr">
        <is>
          <t>使用激活头像</t>
        </is>
      </c>
      <c r="W105" s="3" t="inlineStr">
        <is>
          <t>系统赠送获得</t>
        </is>
      </c>
      <c r="X105" s="3" t="n">
        <v>30080004</v>
      </c>
      <c r="Y105" s="13" t="inlineStr">
        <is>
          <t>fall_xueshuang</t>
        </is>
      </c>
      <c r="Z105" s="3" t="inlineStr">
        <is>
          <t>ain_effect_lvseguangzhu_88</t>
        </is>
      </c>
      <c r="AA105" s="3" t="inlineStr">
        <is>
          <t>BK_J_lv</t>
        </is>
      </c>
      <c r="AB105" s="3" t="inlineStr">
        <is>
          <t>BK_D_lv</t>
        </is>
      </c>
      <c r="AC105" s="9" t="n"/>
      <c r="AD105" s="9" t="n"/>
    </row>
    <row r="106" ht="16.5" customHeight="1" s="2">
      <c r="B106" s="3">
        <f>30000000+INDEX(编号表!$B:$B,MATCH(G106,编号表!$A:$A,0))*10000+E106</f>
        <v/>
      </c>
      <c r="C106" s="3" t="inlineStr">
        <is>
          <t>AI管家</t>
        </is>
      </c>
      <c r="D106" s="3" t="inlineStr">
        <is>
          <t>绿色</t>
        </is>
      </c>
      <c r="E106" s="3" t="n">
        <v>5</v>
      </c>
      <c r="F106" s="3" t="n">
        <v>60</v>
      </c>
      <c r="G106" s="3" t="inlineStr">
        <is>
          <t>外观</t>
        </is>
      </c>
      <c r="H106" s="3" t="inlineStr">
        <is>
          <t>大类_基础</t>
        </is>
      </c>
      <c r="I106" s="3" t="inlineStr">
        <is>
          <t>子类_外观</t>
        </is>
      </c>
      <c r="J106" s="3" t="n">
        <v>0</v>
      </c>
      <c r="K106" s="3" t="inlineStr">
        <is>
          <t>外观</t>
        </is>
      </c>
      <c r="M106" s="3" t="n">
        <v>60000</v>
      </c>
      <c r="N106" s="3" t="inlineStr">
        <is>
          <t>否</t>
        </is>
      </c>
      <c r="P106" s="3" t="n">
        <v>1</v>
      </c>
      <c r="Q106" s="3" t="inlineStr">
        <is>
          <t>无</t>
        </is>
      </c>
      <c r="R106" s="3" t="n">
        <v>1</v>
      </c>
      <c r="V106" s="3" t="inlineStr">
        <is>
          <t>使用激活头像</t>
        </is>
      </c>
      <c r="W106" s="3" t="inlineStr">
        <is>
          <t>系统赠送获得</t>
        </is>
      </c>
      <c r="X106" s="3" t="n">
        <v>30080005</v>
      </c>
      <c r="Y106" s="14" t="inlineStr">
        <is>
          <t>fall_xueshuang</t>
        </is>
      </c>
      <c r="Z106" s="3" t="inlineStr">
        <is>
          <t>ain_effect_lvseguangzhu_88</t>
        </is>
      </c>
      <c r="AA106" s="3" t="inlineStr">
        <is>
          <t>BK_J_lv</t>
        </is>
      </c>
      <c r="AB106" s="3" t="inlineStr">
        <is>
          <t>BK_D_lv</t>
        </is>
      </c>
    </row>
    <row r="107" ht="16.5" customHeight="1" s="2">
      <c r="B107" s="3">
        <f>30000000+INDEX(编号表!$B:$B,MATCH(G107,编号表!$A:$A,0))*10000+E107</f>
        <v/>
      </c>
      <c r="C107" s="3" t="inlineStr">
        <is>
          <t>战神白起</t>
        </is>
      </c>
      <c r="D107" s="3" t="inlineStr">
        <is>
          <t>绿色</t>
        </is>
      </c>
      <c r="E107" s="3" t="n">
        <v>6</v>
      </c>
      <c r="F107" s="3" t="n">
        <v>60</v>
      </c>
      <c r="G107" s="3" t="inlineStr">
        <is>
          <t>外观</t>
        </is>
      </c>
      <c r="H107" s="3" t="inlineStr">
        <is>
          <t>大类_基础</t>
        </is>
      </c>
      <c r="I107" s="3" t="inlineStr">
        <is>
          <t>子类_外观</t>
        </is>
      </c>
      <c r="J107" s="3" t="n">
        <v>0</v>
      </c>
      <c r="K107" s="3" t="inlineStr">
        <is>
          <t>外观</t>
        </is>
      </c>
      <c r="M107" s="3" t="n">
        <v>60000</v>
      </c>
      <c r="N107" s="3" t="inlineStr">
        <is>
          <t>否</t>
        </is>
      </c>
      <c r="P107" s="3" t="n">
        <v>1</v>
      </c>
      <c r="Q107" s="3" t="inlineStr">
        <is>
          <t>无</t>
        </is>
      </c>
      <c r="R107" s="3" t="n">
        <v>1</v>
      </c>
      <c r="V107" s="3" t="inlineStr">
        <is>
          <t>使用激活头像</t>
        </is>
      </c>
      <c r="W107" s="3" t="inlineStr">
        <is>
          <t>系统赠送获得</t>
        </is>
      </c>
      <c r="X107" s="3" t="n">
        <v>30080006</v>
      </c>
      <c r="Y107" s="14" t="inlineStr">
        <is>
          <t>fall_xueshuang</t>
        </is>
      </c>
      <c r="Z107" s="3" t="inlineStr">
        <is>
          <t>ain_effect_lvseguangzhu_88</t>
        </is>
      </c>
      <c r="AA107" s="3" t="inlineStr">
        <is>
          <t>BK_J_lv</t>
        </is>
      </c>
      <c r="AB107" s="3" t="inlineStr">
        <is>
          <t>BK_D_lv</t>
        </is>
      </c>
    </row>
    <row r="108" ht="16.5" customHeight="1" s="2">
      <c r="B108" s="3">
        <f>30000000+INDEX(编号表!$B:$B,MATCH(G108,编号表!$A:$A,0))*10000+E108</f>
        <v/>
      </c>
      <c r="C108" s="3" t="inlineStr">
        <is>
          <t>法神刘秀</t>
        </is>
      </c>
      <c r="D108" s="3" t="inlineStr">
        <is>
          <t>绿色</t>
        </is>
      </c>
      <c r="E108" s="3" t="n">
        <v>7</v>
      </c>
      <c r="F108" s="3" t="n">
        <v>60</v>
      </c>
      <c r="G108" s="3" t="inlineStr">
        <is>
          <t>外观</t>
        </is>
      </c>
      <c r="H108" s="3" t="inlineStr">
        <is>
          <t>大类_基础</t>
        </is>
      </c>
      <c r="I108" s="3" t="inlineStr">
        <is>
          <t>子类_外观</t>
        </is>
      </c>
      <c r="J108" s="3" t="n">
        <v>0</v>
      </c>
      <c r="K108" s="3" t="inlineStr">
        <is>
          <t>外观</t>
        </is>
      </c>
      <c r="M108" s="3" t="n">
        <v>60000</v>
      </c>
      <c r="N108" s="3" t="inlineStr">
        <is>
          <t>否</t>
        </is>
      </c>
      <c r="P108" s="3" t="n">
        <v>1</v>
      </c>
      <c r="Q108" s="3" t="inlineStr">
        <is>
          <t>无</t>
        </is>
      </c>
      <c r="R108" s="3" t="n">
        <v>1</v>
      </c>
      <c r="V108" s="3" t="inlineStr">
        <is>
          <t>使用激活头像</t>
        </is>
      </c>
      <c r="W108" s="3" t="inlineStr">
        <is>
          <t>系统赠送获得</t>
        </is>
      </c>
      <c r="X108" s="3" t="n">
        <v>30080007</v>
      </c>
      <c r="Y108" s="14" t="inlineStr">
        <is>
          <t>fall_xueshuang</t>
        </is>
      </c>
      <c r="Z108" s="3" t="inlineStr">
        <is>
          <t>ain_effect_lvseguangzhu_88</t>
        </is>
      </c>
      <c r="AA108" s="3" t="inlineStr">
        <is>
          <t>BK_J_lv</t>
        </is>
      </c>
      <c r="AB108" s="3" t="inlineStr">
        <is>
          <t>BK_D_lv</t>
        </is>
      </c>
    </row>
    <row r="109" ht="16.5" customHeight="1" s="2">
      <c r="B109" s="3">
        <f>30000000+INDEX(编号表!$B:$B,MATCH(G109,编号表!$A:$A,0))*10000+E109</f>
        <v/>
      </c>
      <c r="C109" s="3" t="inlineStr">
        <is>
          <t>道神老子</t>
        </is>
      </c>
      <c r="D109" s="3" t="inlineStr">
        <is>
          <t>绿色</t>
        </is>
      </c>
      <c r="E109" s="3" t="n">
        <v>8</v>
      </c>
      <c r="F109" s="3" t="n">
        <v>60</v>
      </c>
      <c r="G109" s="3" t="inlineStr">
        <is>
          <t>外观</t>
        </is>
      </c>
      <c r="H109" s="3" t="inlineStr">
        <is>
          <t>大类_基础</t>
        </is>
      </c>
      <c r="I109" s="3" t="inlineStr">
        <is>
          <t>子类_外观</t>
        </is>
      </c>
      <c r="J109" s="3" t="n">
        <v>0</v>
      </c>
      <c r="K109" s="3" t="inlineStr">
        <is>
          <t>外观</t>
        </is>
      </c>
      <c r="M109" s="3" t="n">
        <v>60000</v>
      </c>
      <c r="N109" s="3" t="inlineStr">
        <is>
          <t>否</t>
        </is>
      </c>
      <c r="P109" s="3" t="n">
        <v>1</v>
      </c>
      <c r="Q109" s="3" t="inlineStr">
        <is>
          <t>无</t>
        </is>
      </c>
      <c r="R109" s="3" t="n">
        <v>1</v>
      </c>
      <c r="V109" s="3" t="inlineStr">
        <is>
          <t>使用激活头像</t>
        </is>
      </c>
      <c r="W109" s="3" t="inlineStr">
        <is>
          <t>系统赠送获得</t>
        </is>
      </c>
      <c r="X109" s="3" t="n">
        <v>30080008</v>
      </c>
      <c r="Y109" s="14" t="inlineStr">
        <is>
          <t>fall_xueshuang</t>
        </is>
      </c>
      <c r="Z109" s="3" t="inlineStr">
        <is>
          <t>ain_effect_lvseguangzhu_88</t>
        </is>
      </c>
      <c r="AA109" s="3" t="inlineStr">
        <is>
          <t>BK_J_lv</t>
        </is>
      </c>
      <c r="AB109" s="3" t="inlineStr">
        <is>
          <t>BK_D_lv</t>
        </is>
      </c>
    </row>
    <row r="110" ht="16.5" customHeight="1" s="2">
      <c r="B110" s="3">
        <f>30000000+INDEX(编号表!$B:$B,MATCH(G110,编号表!$A:$A,0))*10000+E110</f>
        <v/>
      </c>
      <c r="C110" s="3" t="inlineStr">
        <is>
          <t>斗战马喽</t>
        </is>
      </c>
      <c r="D110" s="3" t="inlineStr">
        <is>
          <t>绿色</t>
        </is>
      </c>
      <c r="E110" s="3" t="n">
        <v>9</v>
      </c>
      <c r="F110" s="3" t="n">
        <v>60</v>
      </c>
      <c r="G110" s="3" t="inlineStr">
        <is>
          <t>外观</t>
        </is>
      </c>
      <c r="H110" s="3" t="inlineStr">
        <is>
          <t>大类_基础</t>
        </is>
      </c>
      <c r="I110" s="3" t="inlineStr">
        <is>
          <t>子类_外观</t>
        </is>
      </c>
      <c r="J110" s="3" t="n">
        <v>0</v>
      </c>
      <c r="K110" s="3" t="inlineStr">
        <is>
          <t>外观</t>
        </is>
      </c>
      <c r="M110" s="3" t="n">
        <v>60000</v>
      </c>
      <c r="N110" s="3" t="inlineStr">
        <is>
          <t>否</t>
        </is>
      </c>
      <c r="P110" s="3" t="n">
        <v>1</v>
      </c>
      <c r="Q110" s="3" t="inlineStr">
        <is>
          <t>无</t>
        </is>
      </c>
      <c r="R110" s="3" t="n">
        <v>1</v>
      </c>
      <c r="V110" s="3" t="inlineStr">
        <is>
          <t>使用激活头像</t>
        </is>
      </c>
      <c r="W110" s="3" t="inlineStr">
        <is>
          <t>系统赠送获得</t>
        </is>
      </c>
      <c r="X110" s="3" t="n">
        <v>30080009</v>
      </c>
      <c r="Y110" s="14" t="inlineStr">
        <is>
          <t>fall_xueshuang</t>
        </is>
      </c>
      <c r="Z110" s="3" t="inlineStr">
        <is>
          <t>ain_effect_lvseguangzhu_88</t>
        </is>
      </c>
      <c r="AA110" s="3" t="inlineStr">
        <is>
          <t>BK_J_lv</t>
        </is>
      </c>
      <c r="AB110" s="3" t="inlineStr">
        <is>
          <t>BK_D_lv</t>
        </is>
      </c>
    </row>
    <row r="111" ht="16.5" customHeight="1" s="2">
      <c r="B111" s="3">
        <f>30000000+INDEX(编号表!$B:$B,MATCH(G111,编号表!$A:$A,0))*10000+E111</f>
        <v/>
      </c>
      <c r="C111" s="3" t="inlineStr">
        <is>
          <t>测试斗笠皮肤</t>
        </is>
      </c>
      <c r="D111" s="3" t="inlineStr">
        <is>
          <t>绿色</t>
        </is>
      </c>
      <c r="E111" s="3" t="n">
        <v>10</v>
      </c>
      <c r="F111" s="3" t="n">
        <v>60</v>
      </c>
      <c r="G111" s="3" t="inlineStr">
        <is>
          <t>外观</t>
        </is>
      </c>
      <c r="H111" s="3" t="inlineStr">
        <is>
          <t>大类_基础</t>
        </is>
      </c>
      <c r="I111" s="3" t="inlineStr">
        <is>
          <t>子类_外观</t>
        </is>
      </c>
      <c r="J111" s="3" t="n">
        <v>0</v>
      </c>
      <c r="K111" s="3" t="inlineStr">
        <is>
          <t>外观</t>
        </is>
      </c>
      <c r="M111" s="3" t="n">
        <v>60000</v>
      </c>
      <c r="N111" s="3" t="inlineStr">
        <is>
          <t>否</t>
        </is>
      </c>
      <c r="P111" s="3" t="n">
        <v>1</v>
      </c>
      <c r="Q111" s="3" t="inlineStr">
        <is>
          <t>无</t>
        </is>
      </c>
      <c r="R111" s="3" t="n">
        <v>1</v>
      </c>
      <c r="V111" s="3" t="inlineStr">
        <is>
          <t>使用激活斗笠皮肤</t>
        </is>
      </c>
      <c r="W111" s="3" t="inlineStr">
        <is>
          <t>系统赠送获得</t>
        </is>
      </c>
      <c r="X111" s="15" t="inlineStr">
        <is>
          <t>icon_douli_woma</t>
        </is>
      </c>
      <c r="Y111" s="14" t="inlineStr">
        <is>
          <t>fall_xueshuang</t>
        </is>
      </c>
      <c r="Z111" s="3" t="inlineStr">
        <is>
          <t>ain_effect_lvseguangzhu_88</t>
        </is>
      </c>
      <c r="AA111" s="3" t="inlineStr">
        <is>
          <t>BK_J_lv</t>
        </is>
      </c>
      <c r="AB111" s="3" t="inlineStr">
        <is>
          <t>BK_D_lv</t>
        </is>
      </c>
    </row>
    <row r="112" ht="16.5" customHeight="1" s="2">
      <c r="B112" s="3">
        <f>30000000+INDEX(编号表!$B:$B,MATCH(G112,编号表!$A:$A,0))*10000+E112</f>
        <v/>
      </c>
      <c r="C112" s="3" t="inlineStr">
        <is>
          <t>测试武器皮肤</t>
        </is>
      </c>
      <c r="D112" s="3" t="inlineStr">
        <is>
          <t>绿色</t>
        </is>
      </c>
      <c r="E112" s="3" t="n">
        <v>11</v>
      </c>
      <c r="F112" s="3" t="n">
        <v>60</v>
      </c>
      <c r="G112" s="3" t="inlineStr">
        <is>
          <t>外观</t>
        </is>
      </c>
      <c r="H112" s="3" t="inlineStr">
        <is>
          <t>大类_基础</t>
        </is>
      </c>
      <c r="I112" s="3" t="inlineStr">
        <is>
          <t>子类_外观</t>
        </is>
      </c>
      <c r="J112" s="3" t="n">
        <v>0</v>
      </c>
      <c r="K112" s="3" t="inlineStr">
        <is>
          <t>外观</t>
        </is>
      </c>
      <c r="M112" s="3" t="n">
        <v>60000</v>
      </c>
      <c r="N112" s="3" t="inlineStr">
        <is>
          <t>否</t>
        </is>
      </c>
      <c r="P112" s="3" t="n">
        <v>1</v>
      </c>
      <c r="Q112" s="3" t="inlineStr">
        <is>
          <t>无</t>
        </is>
      </c>
      <c r="R112" s="3" t="n">
        <v>1</v>
      </c>
      <c r="V112" s="3" t="inlineStr">
        <is>
          <t>使用激活武器皮肤</t>
        </is>
      </c>
      <c r="W112" s="3" t="inlineStr">
        <is>
          <t>系统赠送获得</t>
        </is>
      </c>
      <c r="X112" s="15" t="inlineStr">
        <is>
          <t>icon_weapon_fs_tianqiong</t>
        </is>
      </c>
      <c r="Y112" s="14" t="inlineStr">
        <is>
          <t>fall_xueshuang</t>
        </is>
      </c>
      <c r="Z112" s="3" t="inlineStr">
        <is>
          <t>ain_effect_lvseguangzhu_88</t>
        </is>
      </c>
      <c r="AA112" s="3" t="inlineStr">
        <is>
          <t>BK_J_lv</t>
        </is>
      </c>
      <c r="AB112" s="3" t="inlineStr">
        <is>
          <t>BK_D_lv</t>
        </is>
      </c>
    </row>
    <row r="113">
      <c r="B113" s="3">
        <f>30000000+INDEX(编号表!$B:$B,MATCH(G113,编号表!$A:$A,0))*10000+E113</f>
        <v/>
      </c>
      <c r="C113" s="3" t="inlineStr">
        <is>
          <t>称号碎片</t>
        </is>
      </c>
      <c r="D113" s="3" t="inlineStr">
        <is>
          <t>绿色</t>
        </is>
      </c>
      <c r="E113" s="3" t="n">
        <v>12</v>
      </c>
      <c r="F113" s="3" t="n">
        <v>60</v>
      </c>
      <c r="G113" s="3" t="inlineStr">
        <is>
          <t>外观</t>
        </is>
      </c>
      <c r="H113" s="3" t="inlineStr">
        <is>
          <t>大类_基础</t>
        </is>
      </c>
      <c r="I113" s="3" t="inlineStr">
        <is>
          <t>子类_外观</t>
        </is>
      </c>
      <c r="J113" s="3" t="n">
        <v>0</v>
      </c>
      <c r="K113" s="3" t="inlineStr">
        <is>
          <t>外观</t>
        </is>
      </c>
      <c r="M113" s="3" t="n">
        <v>60000</v>
      </c>
      <c r="N113" s="3" t="inlineStr">
        <is>
          <t>否</t>
        </is>
      </c>
      <c r="P113" s="3" t="n">
        <v>1</v>
      </c>
      <c r="Q113" s="3" t="inlineStr">
        <is>
          <t>无</t>
        </is>
      </c>
      <c r="R113" s="3" t="n">
        <v>1</v>
      </c>
      <c r="V113" s="3" t="inlineStr">
        <is>
          <t>称号升级道具</t>
        </is>
      </c>
      <c r="X113" s="16" t="n">
        <v>30080012</v>
      </c>
      <c r="Y113" s="3" t="inlineStr">
        <is>
          <t>fall_chenghaosp</t>
        </is>
      </c>
      <c r="Z113" s="3" t="inlineStr">
        <is>
          <t>ain_effect_lvseguangzhu_88</t>
        </is>
      </c>
      <c r="AA113" s="3" t="inlineStr">
        <is>
          <t>BK_J_lv</t>
        </is>
      </c>
      <c r="AB113" s="3" t="inlineStr">
        <is>
          <t>BK_D_lv</t>
        </is>
      </c>
    </row>
    <row r="114">
      <c r="B114" s="3">
        <f>30000000+INDEX(编号表!$B:$B,MATCH(G114,编号表!$A:$A,0))*10000+E114</f>
        <v/>
      </c>
      <c r="C114" s="3" t="inlineStr">
        <is>
          <t>戒指碎片·左</t>
        </is>
      </c>
      <c r="D114" s="3" t="inlineStr">
        <is>
          <t>紫色</t>
        </is>
      </c>
      <c r="E114" s="3" t="n">
        <v>0</v>
      </c>
      <c r="F114" s="3" t="n">
        <v>60</v>
      </c>
      <c r="G114" s="3" t="inlineStr">
        <is>
          <t>特戒</t>
        </is>
      </c>
      <c r="H114" s="3" t="inlineStr">
        <is>
          <t>大类_基础</t>
        </is>
      </c>
      <c r="I114" s="3" t="inlineStr">
        <is>
          <t>子类_贵重品</t>
        </is>
      </c>
      <c r="J114" s="3" t="n">
        <v>0</v>
      </c>
      <c r="K114" s="3" t="inlineStr">
        <is>
          <t>特戒</t>
        </is>
      </c>
      <c r="M114" s="3" t="n">
        <v>60000</v>
      </c>
      <c r="N114" s="3" t="inlineStr">
        <is>
          <t>否</t>
        </is>
      </c>
      <c r="P114" s="3" t="n">
        <v>1</v>
      </c>
      <c r="Q114" s="3" t="inlineStr">
        <is>
          <t>无</t>
        </is>
      </c>
      <c r="R114" s="3" t="n">
        <v>999</v>
      </c>
      <c r="V114" s="3" t="inlineStr">
        <is>
          <t>升级左列特戒需要的材料</t>
        </is>
      </c>
      <c r="W114" s="3" t="inlineStr">
        <is>
          <t>击杀怪物获得</t>
        </is>
      </c>
      <c r="X114" s="3" t="n">
        <v>34090000</v>
      </c>
      <c r="Y114" s="3" t="inlineStr">
        <is>
          <t>fall_tejiejs_zuo</t>
        </is>
      </c>
      <c r="Z114" s="3" t="inlineStr">
        <is>
          <t>ain_effect_ziseguangzhu_85</t>
        </is>
      </c>
      <c r="AA114" s="3" t="inlineStr">
        <is>
          <t>BK_J_zi</t>
        </is>
      </c>
      <c r="AB114" s="3" t="inlineStr">
        <is>
          <t>BK_D_zi</t>
        </is>
      </c>
    </row>
    <row r="115">
      <c r="B115" s="3">
        <f>30000000+INDEX(编号表!$B:$B,MATCH(G115,编号表!$A:$A,0))*10000+E115</f>
        <v/>
      </c>
      <c r="C115" s="3" t="inlineStr">
        <is>
          <t>戒指碎片·右</t>
        </is>
      </c>
      <c r="D115" s="3" t="inlineStr">
        <is>
          <t>紫色</t>
        </is>
      </c>
      <c r="E115" s="3" t="n">
        <v>1</v>
      </c>
      <c r="F115" s="3" t="n">
        <v>60</v>
      </c>
      <c r="G115" s="3" t="inlineStr">
        <is>
          <t>特戒</t>
        </is>
      </c>
      <c r="H115" s="3" t="inlineStr">
        <is>
          <t>大类_基础</t>
        </is>
      </c>
      <c r="I115" s="3" t="inlineStr">
        <is>
          <t>子类_贵重品</t>
        </is>
      </c>
      <c r="K115" s="3" t="inlineStr">
        <is>
          <t>特戒</t>
        </is>
      </c>
      <c r="M115" s="3" t="n">
        <v>60000</v>
      </c>
      <c r="N115" s="3" t="inlineStr">
        <is>
          <t>否</t>
        </is>
      </c>
      <c r="P115" s="3" t="n">
        <v>1</v>
      </c>
      <c r="Q115" s="3" t="inlineStr">
        <is>
          <t>无</t>
        </is>
      </c>
      <c r="R115" s="3" t="n">
        <v>999</v>
      </c>
      <c r="V115" s="3" t="inlineStr">
        <is>
          <t>升级右列特戒需要的材料</t>
        </is>
      </c>
      <c r="W115" s="3" t="inlineStr">
        <is>
          <t>击杀怪物获得</t>
        </is>
      </c>
      <c r="X115" s="3" t="n">
        <v>34090001</v>
      </c>
      <c r="Y115" s="3" t="inlineStr">
        <is>
          <t>fall_tejiejs_you</t>
        </is>
      </c>
      <c r="Z115" s="3" t="inlineStr">
        <is>
          <t>ain_effect_ziseguangzhu_85</t>
        </is>
      </c>
      <c r="AA115" s="3" t="inlineStr">
        <is>
          <t>BK_J_zi</t>
        </is>
      </c>
      <c r="AB115" s="3" t="inlineStr">
        <is>
          <t>BK_D_zi</t>
        </is>
      </c>
    </row>
    <row r="116">
      <c r="B116" s="3">
        <f>30000000+INDEX(编号表!$B:$B,MATCH(G116,编号表!$A:$A,0))*10000+E116</f>
        <v/>
      </c>
      <c r="C116" s="3" t="inlineStr">
        <is>
          <t>玄晶</t>
        </is>
      </c>
      <c r="D116" s="3" t="inlineStr">
        <is>
          <t>紫色</t>
        </is>
      </c>
      <c r="E116" s="3" t="n">
        <v>2</v>
      </c>
      <c r="F116" s="3" t="n">
        <v>60</v>
      </c>
      <c r="G116" s="3" t="inlineStr">
        <is>
          <t>特戒</t>
        </is>
      </c>
      <c r="H116" s="3" t="inlineStr">
        <is>
          <t>大类_基础</t>
        </is>
      </c>
      <c r="I116" s="3" t="inlineStr">
        <is>
          <t>子类_贵重品</t>
        </is>
      </c>
      <c r="J116" s="3" t="n">
        <v>0</v>
      </c>
      <c r="K116" s="3" t="inlineStr">
        <is>
          <t>特戒</t>
        </is>
      </c>
      <c r="M116" s="3" t="n">
        <v>60000</v>
      </c>
      <c r="N116" s="3" t="inlineStr">
        <is>
          <t>否</t>
        </is>
      </c>
      <c r="P116" s="3" t="n">
        <v>1</v>
      </c>
      <c r="Q116" s="3" t="inlineStr">
        <is>
          <t>无</t>
        </is>
      </c>
      <c r="R116" s="3" t="n">
        <v>999</v>
      </c>
      <c r="V116" s="3" t="inlineStr">
        <is>
          <t>升级特戒需要的材料</t>
        </is>
      </c>
      <c r="W116" s="3" t="inlineStr">
        <is>
          <t>击杀怪物获得</t>
        </is>
      </c>
      <c r="X116" s="3" t="n">
        <v>34090002</v>
      </c>
      <c r="Y116" s="3" t="inlineStr">
        <is>
          <t>fall_tejiejs_xuanjing</t>
        </is>
      </c>
      <c r="Z116" s="3" t="inlineStr">
        <is>
          <t>ain_effect_ziseguangzhu_85</t>
        </is>
      </c>
      <c r="AA116" s="3" t="inlineStr">
        <is>
          <t>BK_J_zi</t>
        </is>
      </c>
      <c r="AB116" s="3" t="inlineStr">
        <is>
          <t>BK_D_zi</t>
        </is>
      </c>
    </row>
    <row r="117">
      <c r="B117" s="3">
        <f>30000000+INDEX(编号表!$B:$B,MATCH(G117,编号表!$A:$A,0))*10000+E117</f>
        <v/>
      </c>
      <c r="C117" s="3" t="inlineStr">
        <is>
          <t>时空晶石</t>
        </is>
      </c>
      <c r="D117" s="3" t="inlineStr">
        <is>
          <t>紫色</t>
        </is>
      </c>
      <c r="E117" s="3" t="n">
        <v>3</v>
      </c>
      <c r="F117" s="3" t="n">
        <v>60</v>
      </c>
      <c r="G117" s="3" t="inlineStr">
        <is>
          <t>特戒</t>
        </is>
      </c>
      <c r="H117" s="3" t="inlineStr">
        <is>
          <t>大类_基础</t>
        </is>
      </c>
      <c r="I117" s="3" t="inlineStr">
        <is>
          <t>子类_贵重品</t>
        </is>
      </c>
      <c r="J117" s="3" t="n">
        <v>0</v>
      </c>
      <c r="K117" s="3" t="inlineStr">
        <is>
          <t>特戒</t>
        </is>
      </c>
      <c r="M117" s="3" t="n">
        <v>60000</v>
      </c>
      <c r="N117" s="3" t="inlineStr">
        <is>
          <t>否</t>
        </is>
      </c>
      <c r="P117" s="3" t="n">
        <v>1</v>
      </c>
      <c r="Q117" s="3" t="inlineStr">
        <is>
          <t>无</t>
        </is>
      </c>
      <c r="R117" s="3" t="n">
        <v>999</v>
      </c>
      <c r="V117" s="3" t="inlineStr">
        <is>
          <t>升级特戒需要的材料</t>
        </is>
      </c>
      <c r="W117" s="3" t="inlineStr">
        <is>
          <t>击杀怪物获得</t>
        </is>
      </c>
      <c r="X117" s="3" t="n">
        <v>34090003</v>
      </c>
      <c r="Y117" s="3" t="inlineStr">
        <is>
          <t>fall_tejiejs_shikong</t>
        </is>
      </c>
      <c r="Z117" s="3" t="inlineStr">
        <is>
          <t>ain_effect_ziseguangzhu_85</t>
        </is>
      </c>
      <c r="AA117" s="3" t="inlineStr">
        <is>
          <t>BK_J_zi</t>
        </is>
      </c>
      <c r="AB117" s="3" t="inlineStr">
        <is>
          <t>BK_D_zi</t>
        </is>
      </c>
    </row>
    <row r="118">
      <c r="B118" s="3">
        <f>30000000+INDEX(编号表!$B:$B,MATCH(G118,编号表!$A:$A,0))*10000+E118</f>
        <v/>
      </c>
      <c r="C118" s="3" t="inlineStr">
        <is>
          <t>金刚晶石</t>
        </is>
      </c>
      <c r="D118" s="3" t="inlineStr">
        <is>
          <t>紫色</t>
        </is>
      </c>
      <c r="E118" s="3" t="n">
        <v>4</v>
      </c>
      <c r="F118" s="3" t="n">
        <v>60</v>
      </c>
      <c r="G118" s="3" t="inlineStr">
        <is>
          <t>特戒</t>
        </is>
      </c>
      <c r="H118" s="3" t="inlineStr">
        <is>
          <t>大类_基础</t>
        </is>
      </c>
      <c r="I118" s="3" t="inlineStr">
        <is>
          <t>子类_贵重品</t>
        </is>
      </c>
      <c r="J118" s="3" t="n">
        <v>1</v>
      </c>
      <c r="K118" s="3" t="inlineStr">
        <is>
          <t>特戒</t>
        </is>
      </c>
      <c r="M118" s="3" t="n">
        <v>60000</v>
      </c>
      <c r="N118" s="3" t="inlineStr">
        <is>
          <t>否</t>
        </is>
      </c>
      <c r="P118" s="3" t="n">
        <v>1</v>
      </c>
      <c r="Q118" s="3" t="inlineStr">
        <is>
          <t>无</t>
        </is>
      </c>
      <c r="R118" s="3" t="n">
        <v>999</v>
      </c>
      <c r="V118" s="3" t="inlineStr">
        <is>
          <t>升级特戒需要的材料</t>
        </is>
      </c>
      <c r="W118" s="3" t="inlineStr">
        <is>
          <t>击杀怪物获得</t>
        </is>
      </c>
      <c r="X118" s="3" t="n">
        <v>34090004</v>
      </c>
      <c r="Y118" s="3" t="inlineStr">
        <is>
          <t>fall_tejiejs_jingang</t>
        </is>
      </c>
      <c r="Z118" s="3" t="inlineStr">
        <is>
          <t>ain_effect_ziseguangzhu_85</t>
        </is>
      </c>
      <c r="AA118" s="3" t="inlineStr">
        <is>
          <t>BK_J_zi</t>
        </is>
      </c>
      <c r="AB118" s="3" t="inlineStr">
        <is>
          <t>BK_D_zi</t>
        </is>
      </c>
    </row>
    <row r="119">
      <c r="B119" s="3">
        <f>30000000+INDEX(编号表!$B:$B,MATCH(G119,编号表!$A:$A,0))*10000+E119</f>
        <v/>
      </c>
      <c r="C119" s="3" t="inlineStr">
        <is>
          <t>魔法晶石</t>
        </is>
      </c>
      <c r="D119" s="3" t="inlineStr">
        <is>
          <t>紫色</t>
        </is>
      </c>
      <c r="E119" s="3" t="n">
        <v>5</v>
      </c>
      <c r="F119" s="3" t="n">
        <v>60</v>
      </c>
      <c r="G119" s="3" t="inlineStr">
        <is>
          <t>特戒</t>
        </is>
      </c>
      <c r="H119" s="3" t="inlineStr">
        <is>
          <t>大类_基础</t>
        </is>
      </c>
      <c r="I119" s="3" t="inlineStr">
        <is>
          <t>子类_贵重品</t>
        </is>
      </c>
      <c r="J119" s="3" t="n">
        <v>1</v>
      </c>
      <c r="K119" s="3" t="inlineStr">
        <is>
          <t>特戒</t>
        </is>
      </c>
      <c r="M119" s="3" t="n">
        <v>60000</v>
      </c>
      <c r="N119" s="3" t="inlineStr">
        <is>
          <t>否</t>
        </is>
      </c>
      <c r="P119" s="3" t="n">
        <v>1</v>
      </c>
      <c r="Q119" s="3" t="inlineStr">
        <is>
          <t>无</t>
        </is>
      </c>
      <c r="R119" s="3" t="n">
        <v>999</v>
      </c>
      <c r="V119" s="3" t="inlineStr">
        <is>
          <t>升级特戒需要的材料</t>
        </is>
      </c>
      <c r="W119" s="3" t="inlineStr">
        <is>
          <t>击杀怪物获得</t>
        </is>
      </c>
      <c r="X119" s="3" t="n">
        <v>34090005</v>
      </c>
      <c r="Y119" s="3" t="inlineStr">
        <is>
          <t>fall_tejiejs_mofa</t>
        </is>
      </c>
      <c r="Z119" s="3" t="inlineStr">
        <is>
          <t>ain_effect_ziseguangzhu_85</t>
        </is>
      </c>
      <c r="AA119" s="3" t="inlineStr">
        <is>
          <t>BK_J_zi</t>
        </is>
      </c>
      <c r="AB119" s="3" t="inlineStr">
        <is>
          <t>BK_D_zi</t>
        </is>
      </c>
    </row>
    <row r="120">
      <c r="B120" s="3">
        <f>30000000+INDEX(编号表!$B:$B,MATCH(G120,编号表!$A:$A,0))*10000+E120</f>
        <v/>
      </c>
      <c r="C120" s="3" t="inlineStr">
        <is>
          <t>生命晶石</t>
        </is>
      </c>
      <c r="D120" s="3" t="inlineStr">
        <is>
          <t>紫色</t>
        </is>
      </c>
      <c r="E120" s="3" t="n">
        <v>6</v>
      </c>
      <c r="F120" s="3" t="n">
        <v>60</v>
      </c>
      <c r="G120" s="3" t="inlineStr">
        <is>
          <t>特戒</t>
        </is>
      </c>
      <c r="H120" s="3" t="inlineStr">
        <is>
          <t>大类_基础</t>
        </is>
      </c>
      <c r="I120" s="3" t="inlineStr">
        <is>
          <t>子类_贵重品</t>
        </is>
      </c>
      <c r="J120" s="3" t="n">
        <v>1</v>
      </c>
      <c r="K120" s="3" t="inlineStr">
        <is>
          <t>特戒</t>
        </is>
      </c>
      <c r="M120" s="3" t="n">
        <v>60000</v>
      </c>
      <c r="N120" s="3" t="inlineStr">
        <is>
          <t>否</t>
        </is>
      </c>
      <c r="P120" s="3" t="n">
        <v>1</v>
      </c>
      <c r="Q120" s="3" t="inlineStr">
        <is>
          <t>无</t>
        </is>
      </c>
      <c r="R120" s="3" t="n">
        <v>999</v>
      </c>
      <c r="V120" s="3" t="inlineStr">
        <is>
          <t>升级特戒需要的材料</t>
        </is>
      </c>
      <c r="W120" s="3" t="inlineStr">
        <is>
          <t>击杀怪物获得</t>
        </is>
      </c>
      <c r="X120" s="3" t="n">
        <v>34090006</v>
      </c>
      <c r="Y120" s="3" t="inlineStr">
        <is>
          <t>fall_tejiejs_shengming</t>
        </is>
      </c>
      <c r="Z120" s="3" t="inlineStr">
        <is>
          <t>ain_effect_ziseguangzhu_85</t>
        </is>
      </c>
      <c r="AA120" s="3" t="inlineStr">
        <is>
          <t>BK_J_zi</t>
        </is>
      </c>
      <c r="AB120" s="3" t="inlineStr">
        <is>
          <t>BK_D_zi</t>
        </is>
      </c>
    </row>
    <row r="121">
      <c r="B121" s="3">
        <f>30000000+INDEX(编号表!$B:$B,MATCH(G121,编号表!$A:$A,0))*10000+E121</f>
        <v/>
      </c>
      <c r="C121" s="3" t="inlineStr">
        <is>
          <t>穿透晶石</t>
        </is>
      </c>
      <c r="D121" s="3" t="inlineStr">
        <is>
          <t>紫色</t>
        </is>
      </c>
      <c r="E121" s="3" t="n">
        <v>7</v>
      </c>
      <c r="F121" s="3" t="n">
        <v>60</v>
      </c>
      <c r="G121" s="3" t="inlineStr">
        <is>
          <t>特戒</t>
        </is>
      </c>
      <c r="H121" s="3" t="inlineStr">
        <is>
          <t>大类_基础</t>
        </is>
      </c>
      <c r="I121" s="3" t="inlineStr">
        <is>
          <t>子类_贵重品</t>
        </is>
      </c>
      <c r="J121" s="3" t="n">
        <v>1</v>
      </c>
      <c r="K121" s="3" t="inlineStr">
        <is>
          <t>特戒</t>
        </is>
      </c>
      <c r="M121" s="3" t="n">
        <v>60000</v>
      </c>
      <c r="N121" s="3" t="inlineStr">
        <is>
          <t>否</t>
        </is>
      </c>
      <c r="P121" s="3" t="n">
        <v>1</v>
      </c>
      <c r="Q121" s="3" t="inlineStr">
        <is>
          <t>无</t>
        </is>
      </c>
      <c r="R121" s="3" t="n">
        <v>999</v>
      </c>
      <c r="V121" s="3" t="inlineStr">
        <is>
          <t>升级特戒需要的材料</t>
        </is>
      </c>
      <c r="W121" s="3" t="inlineStr">
        <is>
          <t>击杀怪物获得</t>
        </is>
      </c>
      <c r="X121" s="3" t="n">
        <v>34090007</v>
      </c>
      <c r="Y121" s="3" t="inlineStr">
        <is>
          <t>fall_tejiejs_chuantou</t>
        </is>
      </c>
      <c r="Z121" s="3" t="inlineStr">
        <is>
          <t>ain_effect_ziseguangzhu_85</t>
        </is>
      </c>
      <c r="AA121" s="3" t="inlineStr">
        <is>
          <t>BK_J_zi</t>
        </is>
      </c>
      <c r="AB121" s="3" t="inlineStr">
        <is>
          <t>BK_D_zi</t>
        </is>
      </c>
    </row>
    <row r="122">
      <c r="B122" s="3">
        <f>30000000+INDEX(编号表!$B:$B,MATCH(G122,编号表!$A:$A,0))*10000+E122</f>
        <v/>
      </c>
      <c r="C122" s="3" t="inlineStr">
        <is>
          <t>元素晶石</t>
        </is>
      </c>
      <c r="D122" s="3" t="inlineStr">
        <is>
          <t>紫色</t>
        </is>
      </c>
      <c r="E122" s="3" t="n">
        <v>8</v>
      </c>
      <c r="F122" s="3" t="n">
        <v>60</v>
      </c>
      <c r="G122" s="3" t="inlineStr">
        <is>
          <t>特戒</t>
        </is>
      </c>
      <c r="H122" s="3" t="inlineStr">
        <is>
          <t>大类_基础</t>
        </is>
      </c>
      <c r="I122" s="3" t="inlineStr">
        <is>
          <t>子类_贵重品</t>
        </is>
      </c>
      <c r="J122" s="3" t="n">
        <v>1</v>
      </c>
      <c r="K122" s="3" t="inlineStr">
        <is>
          <t>特戒</t>
        </is>
      </c>
      <c r="M122" s="3" t="n">
        <v>60000</v>
      </c>
      <c r="N122" s="3" t="inlineStr">
        <is>
          <t>否</t>
        </is>
      </c>
      <c r="P122" s="3" t="n">
        <v>1</v>
      </c>
      <c r="Q122" s="3" t="inlineStr">
        <is>
          <t>无</t>
        </is>
      </c>
      <c r="R122" s="3" t="n">
        <v>999</v>
      </c>
      <c r="V122" s="3" t="inlineStr">
        <is>
          <t>升级特戒需要的材料</t>
        </is>
      </c>
      <c r="W122" s="3" t="inlineStr">
        <is>
          <t>击杀怪物获得</t>
        </is>
      </c>
      <c r="X122" s="3" t="n">
        <v>34090008</v>
      </c>
      <c r="Y122" s="3" t="inlineStr">
        <is>
          <t>fall_tejiejs_yuansu</t>
        </is>
      </c>
      <c r="Z122" s="3" t="inlineStr">
        <is>
          <t>ain_effect_ziseguangzhu_85</t>
        </is>
      </c>
      <c r="AA122" s="3" t="inlineStr">
        <is>
          <t>BK_J_zi</t>
        </is>
      </c>
      <c r="AB122" s="3" t="inlineStr">
        <is>
          <t>BK_D_zi</t>
        </is>
      </c>
    </row>
    <row r="123">
      <c r="B123" s="3">
        <f>30000000+INDEX(编号表!$B:$B,MATCH(G123,编号表!$A:$A,0))*10000+E123</f>
        <v/>
      </c>
      <c r="C123" s="3" t="inlineStr">
        <is>
          <t>雷霆晶石</t>
        </is>
      </c>
      <c r="D123" s="3" t="inlineStr">
        <is>
          <t>紫色</t>
        </is>
      </c>
      <c r="E123" s="3" t="n">
        <v>9</v>
      </c>
      <c r="F123" s="3" t="n">
        <v>60</v>
      </c>
      <c r="G123" s="3" t="inlineStr">
        <is>
          <t>特戒</t>
        </is>
      </c>
      <c r="H123" s="3" t="inlineStr">
        <is>
          <t>大类_基础</t>
        </is>
      </c>
      <c r="I123" s="3" t="inlineStr">
        <is>
          <t>子类_贵重品</t>
        </is>
      </c>
      <c r="J123" s="3" t="n">
        <v>1</v>
      </c>
      <c r="K123" s="3" t="inlineStr">
        <is>
          <t>特戒</t>
        </is>
      </c>
      <c r="M123" s="3" t="n">
        <v>60000</v>
      </c>
      <c r="N123" s="3" t="inlineStr">
        <is>
          <t>否</t>
        </is>
      </c>
      <c r="P123" s="3" t="n">
        <v>1</v>
      </c>
      <c r="Q123" s="3" t="inlineStr">
        <is>
          <t>无</t>
        </is>
      </c>
      <c r="R123" s="3" t="n">
        <v>999</v>
      </c>
      <c r="V123" s="3" t="inlineStr">
        <is>
          <t>升级特戒需要的材料</t>
        </is>
      </c>
      <c r="W123" s="3" t="inlineStr">
        <is>
          <t>击杀怪物获得</t>
        </is>
      </c>
      <c r="X123" s="3" t="n">
        <v>34090009</v>
      </c>
      <c r="Y123" s="3" t="inlineStr">
        <is>
          <t>fall_tejiejs_leiting</t>
        </is>
      </c>
      <c r="Z123" s="3" t="inlineStr">
        <is>
          <t>ain_effect_ziseguangzhu_85</t>
        </is>
      </c>
      <c r="AA123" s="3" t="inlineStr">
        <is>
          <t>BK_J_zi</t>
        </is>
      </c>
      <c r="AB123" s="3" t="inlineStr">
        <is>
          <t>BK_D_zi</t>
        </is>
      </c>
    </row>
    <row r="124">
      <c r="B124" s="3">
        <f>30000000+INDEX(编号表!$B:$B,MATCH(G124,编号表!$A:$A,0))*10000+E124</f>
        <v/>
      </c>
      <c r="C124" s="3" t="inlineStr">
        <is>
          <t>不死晶石</t>
        </is>
      </c>
      <c r="D124" s="3" t="inlineStr">
        <is>
          <t>紫色</t>
        </is>
      </c>
      <c r="E124" s="3" t="n">
        <v>10</v>
      </c>
      <c r="F124" s="3" t="n">
        <v>60</v>
      </c>
      <c r="G124" s="3" t="inlineStr">
        <is>
          <t>特戒</t>
        </is>
      </c>
      <c r="H124" s="3" t="inlineStr">
        <is>
          <t>大类_基础</t>
        </is>
      </c>
      <c r="I124" s="3" t="inlineStr">
        <is>
          <t>子类_贵重品</t>
        </is>
      </c>
      <c r="J124" s="3" t="n">
        <v>1</v>
      </c>
      <c r="K124" s="3" t="inlineStr">
        <is>
          <t>特戒</t>
        </is>
      </c>
      <c r="M124" s="3" t="n">
        <v>60000</v>
      </c>
      <c r="N124" s="3" t="inlineStr">
        <is>
          <t>否</t>
        </is>
      </c>
      <c r="P124" s="3" t="n">
        <v>1</v>
      </c>
      <c r="Q124" s="3" t="inlineStr">
        <is>
          <t>无</t>
        </is>
      </c>
      <c r="R124" s="3" t="n">
        <v>999</v>
      </c>
      <c r="V124" s="3" t="inlineStr">
        <is>
          <t>升级特戒需要的材料</t>
        </is>
      </c>
      <c r="W124" s="3" t="inlineStr">
        <is>
          <t>击杀怪物获得</t>
        </is>
      </c>
      <c r="X124" s="3" t="n">
        <v>34090010</v>
      </c>
      <c r="Y124" s="3" t="inlineStr">
        <is>
          <t>fall_tejiejs_busi</t>
        </is>
      </c>
      <c r="Z124" s="3" t="inlineStr">
        <is>
          <t>ain_effect_ziseguangzhu_85</t>
        </is>
      </c>
      <c r="AA124" s="3" t="inlineStr">
        <is>
          <t>BK_J_zi</t>
        </is>
      </c>
      <c r="AB124" s="3" t="inlineStr">
        <is>
          <t>BK_D_zi</t>
        </is>
      </c>
    </row>
    <row r="125">
      <c r="B125" s="3">
        <f>30000000+INDEX(编号表!$B:$B,MATCH(G125,编号表!$A:$A,0))*10000+E125</f>
        <v/>
      </c>
      <c r="C125" s="3" t="inlineStr">
        <is>
          <t>疾风晶石</t>
        </is>
      </c>
      <c r="D125" s="3" t="inlineStr">
        <is>
          <t>紫色</t>
        </is>
      </c>
      <c r="E125" s="3" t="n">
        <v>11</v>
      </c>
      <c r="F125" s="3" t="n">
        <v>60</v>
      </c>
      <c r="G125" s="3" t="inlineStr">
        <is>
          <t>特戒</t>
        </is>
      </c>
      <c r="H125" s="3" t="inlineStr">
        <is>
          <t>大类_基础</t>
        </is>
      </c>
      <c r="I125" s="3" t="inlineStr">
        <is>
          <t>子类_贵重品</t>
        </is>
      </c>
      <c r="J125" s="3" t="n">
        <v>1</v>
      </c>
      <c r="K125" s="3" t="inlineStr">
        <is>
          <t>特戒</t>
        </is>
      </c>
      <c r="M125" s="3" t="n">
        <v>60000</v>
      </c>
      <c r="N125" s="3" t="inlineStr">
        <is>
          <t>否</t>
        </is>
      </c>
      <c r="P125" s="3" t="n">
        <v>1</v>
      </c>
      <c r="Q125" s="3" t="inlineStr">
        <is>
          <t>无</t>
        </is>
      </c>
      <c r="R125" s="3" t="n">
        <v>999</v>
      </c>
      <c r="V125" s="3" t="inlineStr">
        <is>
          <t>升级特戒需要的材料</t>
        </is>
      </c>
      <c r="W125" s="3" t="inlineStr">
        <is>
          <t>击杀怪物获得</t>
        </is>
      </c>
      <c r="X125" s="3" t="n">
        <v>34090011</v>
      </c>
      <c r="Y125" s="3" t="inlineStr">
        <is>
          <t>fall_tejiejs_jifeng</t>
        </is>
      </c>
      <c r="Z125" s="3" t="inlineStr">
        <is>
          <t>ain_effect_ziseguangzhu_85</t>
        </is>
      </c>
      <c r="AA125" s="3" t="inlineStr">
        <is>
          <t>BK_J_zi</t>
        </is>
      </c>
      <c r="AB125" s="3" t="inlineStr">
        <is>
          <t>BK_D_zi</t>
        </is>
      </c>
    </row>
    <row r="126">
      <c r="B126" s="3">
        <f>30000000+INDEX(编号表!$B:$B,MATCH(G126,编号表!$A:$A,0))*10000+E126</f>
        <v/>
      </c>
      <c r="C126" s="3" t="inlineStr">
        <is>
          <t>割裂晶石</t>
        </is>
      </c>
      <c r="D126" s="3" t="inlineStr">
        <is>
          <t>紫色</t>
        </is>
      </c>
      <c r="E126" s="3" t="n">
        <v>12</v>
      </c>
      <c r="F126" s="3" t="n">
        <v>60</v>
      </c>
      <c r="G126" s="3" t="inlineStr">
        <is>
          <t>特戒</t>
        </is>
      </c>
      <c r="H126" s="3" t="inlineStr">
        <is>
          <t>大类_基础</t>
        </is>
      </c>
      <c r="I126" s="3" t="inlineStr">
        <is>
          <t>子类_贵重品</t>
        </is>
      </c>
      <c r="J126" s="3" t="n">
        <v>1</v>
      </c>
      <c r="K126" s="3" t="inlineStr">
        <is>
          <t>特戒</t>
        </is>
      </c>
      <c r="M126" s="3" t="n">
        <v>60000</v>
      </c>
      <c r="N126" s="3" t="inlineStr">
        <is>
          <t>否</t>
        </is>
      </c>
      <c r="P126" s="3" t="n">
        <v>1</v>
      </c>
      <c r="Q126" s="3" t="inlineStr">
        <is>
          <t>无</t>
        </is>
      </c>
      <c r="R126" s="3" t="n">
        <v>999</v>
      </c>
      <c r="V126" s="3" t="inlineStr">
        <is>
          <t>升级特戒需要的材料</t>
        </is>
      </c>
      <c r="W126" s="3" t="inlineStr">
        <is>
          <t>击杀怪物获得</t>
        </is>
      </c>
      <c r="X126" s="3" t="n">
        <v>34090012</v>
      </c>
      <c r="Y126" s="3" t="inlineStr">
        <is>
          <t>fall_tejiejs_gelie</t>
        </is>
      </c>
      <c r="Z126" s="3" t="inlineStr">
        <is>
          <t>ain_effect_ziseguangzhu_85</t>
        </is>
      </c>
      <c r="AA126" s="3" t="inlineStr">
        <is>
          <t>BK_J_zi</t>
        </is>
      </c>
      <c r="AB126" s="3" t="inlineStr">
        <is>
          <t>BK_D_zi</t>
        </is>
      </c>
    </row>
    <row r="127">
      <c r="B127" s="3">
        <f>30000000+INDEX(编号表!$B:$B,MATCH(G127,编号表!$A:$A,0))*10000+E127</f>
        <v/>
      </c>
      <c r="C127" s="3" t="inlineStr">
        <is>
          <t>秒杀晶石</t>
        </is>
      </c>
      <c r="D127" s="3" t="inlineStr">
        <is>
          <t>紫色</t>
        </is>
      </c>
      <c r="E127" s="3" t="n">
        <v>13</v>
      </c>
      <c r="F127" s="3" t="n">
        <v>60</v>
      </c>
      <c r="G127" s="3" t="inlineStr">
        <is>
          <t>特戒</t>
        </is>
      </c>
      <c r="H127" s="3" t="inlineStr">
        <is>
          <t>大类_基础</t>
        </is>
      </c>
      <c r="I127" s="3" t="inlineStr">
        <is>
          <t>子类_贵重品</t>
        </is>
      </c>
      <c r="J127" s="3" t="n">
        <v>1</v>
      </c>
      <c r="K127" s="3" t="inlineStr">
        <is>
          <t>特戒</t>
        </is>
      </c>
      <c r="M127" s="3" t="n">
        <v>60000</v>
      </c>
      <c r="N127" s="3" t="inlineStr">
        <is>
          <t>否</t>
        </is>
      </c>
      <c r="P127" s="3" t="n">
        <v>1</v>
      </c>
      <c r="Q127" s="3" t="inlineStr">
        <is>
          <t>无</t>
        </is>
      </c>
      <c r="R127" s="3" t="n">
        <v>999</v>
      </c>
      <c r="V127" s="3" t="inlineStr">
        <is>
          <t>升级特戒需要的材料</t>
        </is>
      </c>
      <c r="W127" s="3" t="inlineStr">
        <is>
          <t>击杀怪物获得</t>
        </is>
      </c>
      <c r="X127" s="3" t="n">
        <v>34090013</v>
      </c>
      <c r="Y127" s="3" t="inlineStr">
        <is>
          <t>fall_tejiejs_miaosha</t>
        </is>
      </c>
      <c r="Z127" s="3" t="inlineStr">
        <is>
          <t>ain_effect_ziseguangzhu_85</t>
        </is>
      </c>
      <c r="AA127" s="3" t="inlineStr">
        <is>
          <t>BK_J_zi</t>
        </is>
      </c>
      <c r="AB127" s="3" t="inlineStr">
        <is>
          <t>BK_D_zi</t>
        </is>
      </c>
    </row>
    <row r="128">
      <c r="B128" s="3">
        <f>30000000+INDEX(编号表!$B:$B,MATCH(G128,编号表!$A:$A,0))*10000+E128</f>
        <v/>
      </c>
      <c r="C128" s="3" t="inlineStr">
        <is>
          <t>幸运晶石</t>
        </is>
      </c>
      <c r="D128" s="3" t="inlineStr">
        <is>
          <t>紫色</t>
        </is>
      </c>
      <c r="E128" s="3" t="n">
        <v>14</v>
      </c>
      <c r="F128" s="3" t="n">
        <v>60</v>
      </c>
      <c r="G128" s="3" t="inlineStr">
        <is>
          <t>特戒</t>
        </is>
      </c>
      <c r="H128" s="3" t="inlineStr">
        <is>
          <t>大类_基础</t>
        </is>
      </c>
      <c r="I128" s="3" t="inlineStr">
        <is>
          <t>子类_贵重品</t>
        </is>
      </c>
      <c r="J128" s="3" t="n">
        <v>1</v>
      </c>
      <c r="K128" s="3" t="inlineStr">
        <is>
          <t>特戒</t>
        </is>
      </c>
      <c r="M128" s="3" t="n">
        <v>60000</v>
      </c>
      <c r="N128" s="3" t="inlineStr">
        <is>
          <t>否</t>
        </is>
      </c>
      <c r="P128" s="3" t="n">
        <v>1</v>
      </c>
      <c r="Q128" s="3" t="inlineStr">
        <is>
          <t>无</t>
        </is>
      </c>
      <c r="R128" s="3" t="n">
        <v>999</v>
      </c>
      <c r="V128" s="3" t="inlineStr">
        <is>
          <t>升级特戒需要的材料</t>
        </is>
      </c>
      <c r="W128" s="3" t="inlineStr">
        <is>
          <t>击杀怪物获得</t>
        </is>
      </c>
      <c r="X128" s="3" t="n">
        <v>34090014</v>
      </c>
      <c r="Y128" s="3" t="inlineStr">
        <is>
          <t>fall_tejiejs_xingyun</t>
        </is>
      </c>
      <c r="Z128" s="3" t="inlineStr">
        <is>
          <t>ain_effect_ziseguangzhu_85</t>
        </is>
      </c>
      <c r="AA128" s="3" t="inlineStr">
        <is>
          <t>BK_J_zi</t>
        </is>
      </c>
      <c r="AB128" s="3" t="inlineStr">
        <is>
          <t>BK_D_zi</t>
        </is>
      </c>
    </row>
    <row r="129">
      <c r="B129" s="3">
        <f>30000000+INDEX(编号表!$B:$B,MATCH(G129,编号表!$A:$A,0))*10000+E129</f>
        <v/>
      </c>
      <c r="C129" s="3" t="inlineStr">
        <is>
          <t>传送特戒</t>
        </is>
      </c>
      <c r="D129" s="3" t="inlineStr">
        <is>
          <t>橙色</t>
        </is>
      </c>
      <c r="E129" s="3" t="n">
        <v>15</v>
      </c>
      <c r="F129" s="3" t="n">
        <v>60</v>
      </c>
      <c r="G129" s="3" t="inlineStr">
        <is>
          <t>特戒</t>
        </is>
      </c>
      <c r="H129" s="3" t="inlineStr">
        <is>
          <t>大类_基础</t>
        </is>
      </c>
      <c r="I129" s="3" t="inlineStr">
        <is>
          <t>子类_贵重品</t>
        </is>
      </c>
      <c r="J129" s="3" t="n">
        <v>1</v>
      </c>
      <c r="K129" s="3" t="inlineStr">
        <is>
          <t>特戒</t>
        </is>
      </c>
      <c r="M129" s="3" t="n">
        <v>60000</v>
      </c>
      <c r="N129" s="3" t="inlineStr">
        <is>
          <t>否</t>
        </is>
      </c>
      <c r="P129" s="3" t="n">
        <v>1</v>
      </c>
      <c r="Q129" s="3" t="inlineStr">
        <is>
          <t>无</t>
        </is>
      </c>
      <c r="R129" s="3" t="n">
        <v>1</v>
      </c>
      <c r="V129" s="3" t="inlineStr">
        <is>
          <t>特戒装备，可以直接穿戴</t>
        </is>
      </c>
      <c r="W129" s="3" t="inlineStr">
        <is>
          <t>系统赠送或怪物掉落</t>
        </is>
      </c>
      <c r="X129" s="17" t="n">
        <v>34090014</v>
      </c>
      <c r="Y129" s="17" t="inlineStr">
        <is>
          <t>fall_tejiejs_xingyun</t>
        </is>
      </c>
      <c r="Z129" s="3" t="inlineStr">
        <is>
          <t>ain_effect_jinseguangzhu_86</t>
        </is>
      </c>
      <c r="AA129" s="3" t="inlineStr">
        <is>
          <t>BK_J_cheng</t>
        </is>
      </c>
      <c r="AB129" s="3" t="inlineStr">
        <is>
          <t>BK_D_cheng</t>
        </is>
      </c>
    </row>
    <row r="130">
      <c r="B130" s="3">
        <f>30000000+INDEX(编号表!$B:$B,MATCH(G130,编号表!$A:$A,0))*10000+E130</f>
        <v/>
      </c>
      <c r="C130" s="3" t="inlineStr">
        <is>
          <t>护体特戒</t>
        </is>
      </c>
      <c r="D130" s="3" t="inlineStr">
        <is>
          <t>橙色</t>
        </is>
      </c>
      <c r="E130" s="3" t="n">
        <v>16</v>
      </c>
      <c r="F130" s="3" t="n">
        <v>60</v>
      </c>
      <c r="G130" s="3" t="inlineStr">
        <is>
          <t>特戒</t>
        </is>
      </c>
      <c r="H130" s="3" t="inlineStr">
        <is>
          <t>大类_基础</t>
        </is>
      </c>
      <c r="I130" s="3" t="inlineStr">
        <is>
          <t>子类_贵重品</t>
        </is>
      </c>
      <c r="J130" s="3" t="n">
        <v>1</v>
      </c>
      <c r="K130" s="3" t="inlineStr">
        <is>
          <t>特戒</t>
        </is>
      </c>
      <c r="M130" s="3" t="n">
        <v>60000</v>
      </c>
      <c r="N130" s="3" t="inlineStr">
        <is>
          <t>否</t>
        </is>
      </c>
      <c r="P130" s="3" t="n">
        <v>1</v>
      </c>
      <c r="Q130" s="3" t="inlineStr">
        <is>
          <t>无</t>
        </is>
      </c>
      <c r="R130" s="3" t="n">
        <v>1</v>
      </c>
      <c r="V130" s="3" t="inlineStr">
        <is>
          <t>特戒装备，可以直接穿戴</t>
        </is>
      </c>
      <c r="W130" s="3" t="inlineStr">
        <is>
          <t>系统赠送或怪物掉落</t>
        </is>
      </c>
      <c r="X130" s="17" t="n">
        <v>34090014</v>
      </c>
      <c r="Y130" s="17" t="inlineStr">
        <is>
          <t>fall_tejiejs_xingyun</t>
        </is>
      </c>
      <c r="Z130" s="3" t="inlineStr">
        <is>
          <t>ain_effect_jinseguangzhu_86</t>
        </is>
      </c>
      <c r="AA130" s="3" t="inlineStr">
        <is>
          <t>BK_J_cheng</t>
        </is>
      </c>
      <c r="AB130" s="3" t="inlineStr">
        <is>
          <t>BK_D_cheng</t>
        </is>
      </c>
    </row>
    <row r="131">
      <c r="B131" s="3">
        <f>30000000+INDEX(编号表!$B:$B,MATCH(G131,编号表!$A:$A,0))*10000+E131</f>
        <v/>
      </c>
      <c r="C131" s="3" t="inlineStr">
        <is>
          <t>召唤特戒</t>
        </is>
      </c>
      <c r="D131" s="3" t="inlineStr">
        <is>
          <t>橙色</t>
        </is>
      </c>
      <c r="E131" s="3" t="n">
        <v>17</v>
      </c>
      <c r="F131" s="3" t="n">
        <v>60</v>
      </c>
      <c r="G131" s="3" t="inlineStr">
        <is>
          <t>特戒</t>
        </is>
      </c>
      <c r="H131" s="3" t="inlineStr">
        <is>
          <t>大类_基础</t>
        </is>
      </c>
      <c r="I131" s="3" t="inlineStr">
        <is>
          <t>子类_贵重品</t>
        </is>
      </c>
      <c r="J131" s="3" t="n">
        <v>1</v>
      </c>
      <c r="K131" s="3" t="inlineStr">
        <is>
          <t>特戒</t>
        </is>
      </c>
      <c r="M131" s="3" t="n">
        <v>60000</v>
      </c>
      <c r="N131" s="3" t="inlineStr">
        <is>
          <t>否</t>
        </is>
      </c>
      <c r="P131" s="3" t="n">
        <v>1</v>
      </c>
      <c r="Q131" s="3" t="inlineStr">
        <is>
          <t>无</t>
        </is>
      </c>
      <c r="R131" s="3" t="n">
        <v>1</v>
      </c>
      <c r="V131" s="3" t="inlineStr">
        <is>
          <t>特戒装备，可以直接穿戴</t>
        </is>
      </c>
      <c r="W131" s="3" t="inlineStr">
        <is>
          <t>系统赠送或怪物掉落</t>
        </is>
      </c>
      <c r="X131" s="17" t="n">
        <v>34090014</v>
      </c>
      <c r="Y131" s="17" t="inlineStr">
        <is>
          <t>fall_tejiejs_xingyun</t>
        </is>
      </c>
      <c r="Z131" s="3" t="inlineStr">
        <is>
          <t>ain_effect_jinseguangzhu_86</t>
        </is>
      </c>
      <c r="AA131" s="3" t="inlineStr">
        <is>
          <t>BK_J_cheng</t>
        </is>
      </c>
      <c r="AB131" s="3" t="inlineStr">
        <is>
          <t>BK_D_cheng</t>
        </is>
      </c>
    </row>
    <row r="132">
      <c r="B132" s="3">
        <f>30000000+INDEX(编号表!$B:$B,MATCH(G132,编号表!$A:$A,0))*10000+E132</f>
        <v/>
      </c>
      <c r="C132" s="3" t="inlineStr">
        <is>
          <t>恢复特戒</t>
        </is>
      </c>
      <c r="D132" s="3" t="inlineStr">
        <is>
          <t>橙色</t>
        </is>
      </c>
      <c r="E132" s="3" t="n">
        <v>18</v>
      </c>
      <c r="F132" s="3" t="n">
        <v>60</v>
      </c>
      <c r="G132" s="3" t="inlineStr">
        <is>
          <t>特戒</t>
        </is>
      </c>
      <c r="H132" s="3" t="inlineStr">
        <is>
          <t>大类_基础</t>
        </is>
      </c>
      <c r="I132" s="3" t="inlineStr">
        <is>
          <t>子类_贵重品</t>
        </is>
      </c>
      <c r="J132" s="3" t="n">
        <v>1</v>
      </c>
      <c r="K132" s="3" t="inlineStr">
        <is>
          <t>特戒</t>
        </is>
      </c>
      <c r="M132" s="3" t="n">
        <v>60000</v>
      </c>
      <c r="N132" s="3" t="inlineStr">
        <is>
          <t>否</t>
        </is>
      </c>
      <c r="P132" s="3" t="n">
        <v>1</v>
      </c>
      <c r="Q132" s="3" t="inlineStr">
        <is>
          <t>无</t>
        </is>
      </c>
      <c r="R132" s="3" t="n">
        <v>1</v>
      </c>
      <c r="V132" s="3" t="inlineStr">
        <is>
          <t>特戒装备，可以直接穿戴</t>
        </is>
      </c>
      <c r="W132" s="3" t="inlineStr">
        <is>
          <t>系统赠送或怪物掉落</t>
        </is>
      </c>
      <c r="X132" s="17" t="n">
        <v>34090014</v>
      </c>
      <c r="Y132" s="17" t="inlineStr">
        <is>
          <t>fall_tejiejs_xingyun</t>
        </is>
      </c>
      <c r="Z132" s="3" t="inlineStr">
        <is>
          <t>ain_effect_jinseguangzhu_86</t>
        </is>
      </c>
      <c r="AA132" s="3" t="inlineStr">
        <is>
          <t>BK_J_cheng</t>
        </is>
      </c>
      <c r="AB132" s="3" t="inlineStr">
        <is>
          <t>BK_D_cheng</t>
        </is>
      </c>
    </row>
    <row r="133">
      <c r="B133" s="3">
        <f>30000000+INDEX(编号表!$B:$B,MATCH(G133,编号表!$A:$A,0))*10000+E133</f>
        <v/>
      </c>
      <c r="C133" s="3" t="inlineStr">
        <is>
          <t>破防特戒</t>
        </is>
      </c>
      <c r="D133" s="3" t="inlineStr">
        <is>
          <t>橙色</t>
        </is>
      </c>
      <c r="E133" s="3" t="n">
        <v>19</v>
      </c>
      <c r="F133" s="3" t="n">
        <v>60</v>
      </c>
      <c r="G133" s="3" t="inlineStr">
        <is>
          <t>特戒</t>
        </is>
      </c>
      <c r="H133" s="3" t="inlineStr">
        <is>
          <t>大类_基础</t>
        </is>
      </c>
      <c r="I133" s="3" t="inlineStr">
        <is>
          <t>子类_贵重品</t>
        </is>
      </c>
      <c r="J133" s="3" t="n">
        <v>1</v>
      </c>
      <c r="K133" s="3" t="inlineStr">
        <is>
          <t>特戒</t>
        </is>
      </c>
      <c r="M133" s="3" t="n">
        <v>60000</v>
      </c>
      <c r="N133" s="3" t="inlineStr">
        <is>
          <t>否</t>
        </is>
      </c>
      <c r="P133" s="3" t="n">
        <v>1</v>
      </c>
      <c r="Q133" s="3" t="inlineStr">
        <is>
          <t>无</t>
        </is>
      </c>
      <c r="R133" s="3" t="n">
        <v>1</v>
      </c>
      <c r="V133" s="3" t="inlineStr">
        <is>
          <t>特戒装备，可以直接穿戴</t>
        </is>
      </c>
      <c r="W133" s="3" t="inlineStr">
        <is>
          <t>系统赠送或怪物掉落</t>
        </is>
      </c>
      <c r="X133" s="17" t="n">
        <v>34090014</v>
      </c>
      <c r="Y133" s="17" t="inlineStr">
        <is>
          <t>fall_tejiejs_xingyun</t>
        </is>
      </c>
      <c r="Z133" s="3" t="inlineStr">
        <is>
          <t>ain_effect_jinseguangzhu_86</t>
        </is>
      </c>
      <c r="AA133" s="3" t="inlineStr">
        <is>
          <t>BK_J_cheng</t>
        </is>
      </c>
      <c r="AB133" s="3" t="inlineStr">
        <is>
          <t>BK_D_cheng</t>
        </is>
      </c>
    </row>
    <row r="134">
      <c r="B134" s="3">
        <f>30000000+INDEX(编号表!$B:$B,MATCH(G134,编号表!$A:$A,0))*10000+E134</f>
        <v/>
      </c>
      <c r="C134" s="3" t="inlineStr">
        <is>
          <t>元素特戒</t>
        </is>
      </c>
      <c r="D134" s="3" t="inlineStr">
        <is>
          <t>橙色</t>
        </is>
      </c>
      <c r="E134" s="3" t="n">
        <v>20</v>
      </c>
      <c r="F134" s="3" t="n">
        <v>60</v>
      </c>
      <c r="G134" s="3" t="inlineStr">
        <is>
          <t>特戒</t>
        </is>
      </c>
      <c r="H134" s="3" t="inlineStr">
        <is>
          <t>大类_基础</t>
        </is>
      </c>
      <c r="I134" s="3" t="inlineStr">
        <is>
          <t>子类_贵重品</t>
        </is>
      </c>
      <c r="J134" s="3" t="n">
        <v>1</v>
      </c>
      <c r="K134" s="3" t="inlineStr">
        <is>
          <t>特戒</t>
        </is>
      </c>
      <c r="M134" s="3" t="n">
        <v>60000</v>
      </c>
      <c r="N134" s="3" t="inlineStr">
        <is>
          <t>否</t>
        </is>
      </c>
      <c r="P134" s="3" t="n">
        <v>1</v>
      </c>
      <c r="Q134" s="3" t="inlineStr">
        <is>
          <t>无</t>
        </is>
      </c>
      <c r="R134" s="3" t="n">
        <v>1</v>
      </c>
      <c r="V134" s="3" t="inlineStr">
        <is>
          <t>特戒装备，可以直接穿戴</t>
        </is>
      </c>
      <c r="W134" s="3" t="inlineStr">
        <is>
          <t>系统赠送或怪物掉落</t>
        </is>
      </c>
      <c r="X134" s="17" t="n">
        <v>34090014</v>
      </c>
      <c r="Y134" s="17" t="inlineStr">
        <is>
          <t>fall_tejiejs_xingyun</t>
        </is>
      </c>
      <c r="Z134" s="3" t="inlineStr">
        <is>
          <t>ain_effect_jinseguangzhu_86</t>
        </is>
      </c>
      <c r="AA134" s="3" t="inlineStr">
        <is>
          <t>BK_J_cheng</t>
        </is>
      </c>
      <c r="AB134" s="3" t="inlineStr">
        <is>
          <t>BK_D_cheng</t>
        </is>
      </c>
    </row>
    <row r="135">
      <c r="B135" s="3">
        <f>30000000+INDEX(编号表!$B:$B,MATCH(G135,编号表!$A:$A,0))*10000+E135</f>
        <v/>
      </c>
      <c r="C135" s="3" t="inlineStr">
        <is>
          <t>麻痹特戒</t>
        </is>
      </c>
      <c r="D135" s="3" t="inlineStr">
        <is>
          <t>橙色</t>
        </is>
      </c>
      <c r="E135" s="3" t="n">
        <v>21</v>
      </c>
      <c r="F135" s="3" t="n">
        <v>60</v>
      </c>
      <c r="G135" s="3" t="inlineStr">
        <is>
          <t>特戒</t>
        </is>
      </c>
      <c r="H135" s="3" t="inlineStr">
        <is>
          <t>大类_基础</t>
        </is>
      </c>
      <c r="I135" s="3" t="inlineStr">
        <is>
          <t>子类_贵重品</t>
        </is>
      </c>
      <c r="J135" s="3" t="n">
        <v>1</v>
      </c>
      <c r="K135" s="3" t="inlineStr">
        <is>
          <t>特戒</t>
        </is>
      </c>
      <c r="M135" s="3" t="n">
        <v>60000</v>
      </c>
      <c r="N135" s="3" t="inlineStr">
        <is>
          <t>否</t>
        </is>
      </c>
      <c r="P135" s="3" t="n">
        <v>1</v>
      </c>
      <c r="Q135" s="3" t="inlineStr">
        <is>
          <t>无</t>
        </is>
      </c>
      <c r="R135" s="3" t="n">
        <v>1</v>
      </c>
      <c r="V135" s="3" t="inlineStr">
        <is>
          <t>特戒装备，可以直接穿戴</t>
        </is>
      </c>
      <c r="W135" s="3" t="inlineStr">
        <is>
          <t>系统赠送或怪物掉落</t>
        </is>
      </c>
      <c r="X135" s="17" t="n">
        <v>34090014</v>
      </c>
      <c r="Y135" s="17" t="inlineStr">
        <is>
          <t>fall_tejiejs_xingyun</t>
        </is>
      </c>
      <c r="Z135" s="3" t="inlineStr">
        <is>
          <t>ain_effect_jinseguangzhu_86</t>
        </is>
      </c>
      <c r="AA135" s="3" t="inlineStr">
        <is>
          <t>BK_J_cheng</t>
        </is>
      </c>
      <c r="AB135" s="3" t="inlineStr">
        <is>
          <t>BK_D_cheng</t>
        </is>
      </c>
    </row>
    <row r="136">
      <c r="B136" s="3">
        <f>30000000+INDEX(编号表!$B:$B,MATCH(G136,编号表!$A:$A,0))*10000+E136</f>
        <v/>
      </c>
      <c r="C136" s="3" t="inlineStr">
        <is>
          <t>复活特戒</t>
        </is>
      </c>
      <c r="D136" s="3" t="inlineStr">
        <is>
          <t>橙色</t>
        </is>
      </c>
      <c r="E136" s="3" t="n">
        <v>22</v>
      </c>
      <c r="F136" s="3" t="n">
        <v>60</v>
      </c>
      <c r="G136" s="3" t="inlineStr">
        <is>
          <t>特戒</t>
        </is>
      </c>
      <c r="H136" s="3" t="inlineStr">
        <is>
          <t>大类_基础</t>
        </is>
      </c>
      <c r="I136" s="3" t="inlineStr">
        <is>
          <t>子类_贵重品</t>
        </is>
      </c>
      <c r="J136" s="3" t="n">
        <v>1</v>
      </c>
      <c r="K136" s="3" t="inlineStr">
        <is>
          <t>特戒</t>
        </is>
      </c>
      <c r="M136" s="3" t="n">
        <v>60000</v>
      </c>
      <c r="N136" s="3" t="inlineStr">
        <is>
          <t>否</t>
        </is>
      </c>
      <c r="P136" s="3" t="n">
        <v>1</v>
      </c>
      <c r="Q136" s="3" t="inlineStr">
        <is>
          <t>无</t>
        </is>
      </c>
      <c r="R136" s="3" t="n">
        <v>1</v>
      </c>
      <c r="V136" s="3" t="inlineStr">
        <is>
          <t>特戒装备，可以直接穿戴</t>
        </is>
      </c>
      <c r="W136" s="3" t="inlineStr">
        <is>
          <t>系统赠送或怪物掉落</t>
        </is>
      </c>
      <c r="X136" s="17" t="n">
        <v>34090014</v>
      </c>
      <c r="Y136" s="17" t="inlineStr">
        <is>
          <t>fall_tejiejs_xingyun</t>
        </is>
      </c>
      <c r="Z136" s="3" t="inlineStr">
        <is>
          <t>ain_effect_jinseguangzhu_86</t>
        </is>
      </c>
      <c r="AA136" s="3" t="inlineStr">
        <is>
          <t>BK_J_cheng</t>
        </is>
      </c>
      <c r="AB136" s="3" t="inlineStr">
        <is>
          <t>BK_D_cheng</t>
        </is>
      </c>
    </row>
    <row r="137">
      <c r="B137" s="3">
        <f>30000000+INDEX(编号表!$B:$B,MATCH(G137,编号表!$A:$A,0))*10000+E137</f>
        <v/>
      </c>
      <c r="C137" s="3" t="inlineStr">
        <is>
          <t>攻速特戒</t>
        </is>
      </c>
      <c r="D137" s="3" t="inlineStr">
        <is>
          <t>橙色</t>
        </is>
      </c>
      <c r="E137" s="3" t="n">
        <v>23</v>
      </c>
      <c r="F137" s="3" t="n">
        <v>60</v>
      </c>
      <c r="G137" s="3" t="inlineStr">
        <is>
          <t>特戒</t>
        </is>
      </c>
      <c r="H137" s="3" t="inlineStr">
        <is>
          <t>大类_基础</t>
        </is>
      </c>
      <c r="I137" s="3" t="inlineStr">
        <is>
          <t>子类_贵重品</t>
        </is>
      </c>
      <c r="J137" s="3" t="n">
        <v>1</v>
      </c>
      <c r="K137" s="3" t="inlineStr">
        <is>
          <t>特戒</t>
        </is>
      </c>
      <c r="M137" s="3" t="n">
        <v>60000</v>
      </c>
      <c r="N137" s="3" t="inlineStr">
        <is>
          <t>否</t>
        </is>
      </c>
      <c r="P137" s="3" t="n">
        <v>1</v>
      </c>
      <c r="Q137" s="3" t="inlineStr">
        <is>
          <t>无</t>
        </is>
      </c>
      <c r="R137" s="3" t="n">
        <v>1</v>
      </c>
      <c r="V137" s="3" t="inlineStr">
        <is>
          <t>特戒装备，可以直接穿戴</t>
        </is>
      </c>
      <c r="W137" s="3" t="inlineStr">
        <is>
          <t>系统赠送或怪物掉落</t>
        </is>
      </c>
      <c r="X137" s="17" t="n">
        <v>34090014</v>
      </c>
      <c r="Y137" s="17" t="inlineStr">
        <is>
          <t>fall_tejiejs_xingyun</t>
        </is>
      </c>
      <c r="Z137" s="3" t="inlineStr">
        <is>
          <t>ain_effect_jinseguangzhu_86</t>
        </is>
      </c>
      <c r="AA137" s="3" t="inlineStr">
        <is>
          <t>BK_J_cheng</t>
        </is>
      </c>
      <c r="AB137" s="3" t="inlineStr">
        <is>
          <t>BK_D_cheng</t>
        </is>
      </c>
    </row>
    <row r="138">
      <c r="B138" s="3">
        <f>30000000+INDEX(编号表!$B:$B,MATCH(G138,编号表!$A:$A,0))*10000+E138</f>
        <v/>
      </c>
      <c r="C138" s="3" t="inlineStr">
        <is>
          <t>切割特戒</t>
        </is>
      </c>
      <c r="D138" s="3" t="inlineStr">
        <is>
          <t>橙色</t>
        </is>
      </c>
      <c r="E138" s="3" t="n">
        <v>24</v>
      </c>
      <c r="F138" s="3" t="n">
        <v>60</v>
      </c>
      <c r="G138" s="3" t="inlineStr">
        <is>
          <t>特戒</t>
        </is>
      </c>
      <c r="H138" s="3" t="inlineStr">
        <is>
          <t>大类_基础</t>
        </is>
      </c>
      <c r="I138" s="3" t="inlineStr">
        <is>
          <t>子类_贵重品</t>
        </is>
      </c>
      <c r="J138" s="3" t="n">
        <v>1</v>
      </c>
      <c r="K138" s="3" t="inlineStr">
        <is>
          <t>特戒</t>
        </is>
      </c>
      <c r="M138" s="3" t="n">
        <v>60000</v>
      </c>
      <c r="N138" s="3" t="inlineStr">
        <is>
          <t>否</t>
        </is>
      </c>
      <c r="P138" s="3" t="n">
        <v>1</v>
      </c>
      <c r="Q138" s="3" t="inlineStr">
        <is>
          <t>无</t>
        </is>
      </c>
      <c r="R138" s="3" t="n">
        <v>1</v>
      </c>
      <c r="V138" s="3" t="inlineStr">
        <is>
          <t>特戒装备，可以直接穿戴</t>
        </is>
      </c>
      <c r="W138" s="3" t="inlineStr">
        <is>
          <t>系统赠送或怪物掉落</t>
        </is>
      </c>
      <c r="X138" s="17" t="n">
        <v>34090014</v>
      </c>
      <c r="Y138" s="17" t="inlineStr">
        <is>
          <t>fall_tejiejs_xingyun</t>
        </is>
      </c>
      <c r="Z138" s="3" t="inlineStr">
        <is>
          <t>ain_effect_jinseguangzhu_86</t>
        </is>
      </c>
      <c r="AA138" s="3" t="inlineStr">
        <is>
          <t>BK_J_cheng</t>
        </is>
      </c>
      <c r="AB138" s="3" t="inlineStr">
        <is>
          <t>BK_D_cheng</t>
        </is>
      </c>
    </row>
    <row r="139">
      <c r="B139" s="3">
        <f>30000000+INDEX(编号表!$B:$B,MATCH(G139,编号表!$A:$A,0))*10000+E139</f>
        <v/>
      </c>
      <c r="C139" s="3" t="inlineStr">
        <is>
          <t>斩杀特戒</t>
        </is>
      </c>
      <c r="D139" s="3" t="inlineStr">
        <is>
          <t>橙色</t>
        </is>
      </c>
      <c r="E139" s="3" t="n">
        <v>25</v>
      </c>
      <c r="F139" s="3" t="n">
        <v>60</v>
      </c>
      <c r="G139" s="3" t="inlineStr">
        <is>
          <t>特戒</t>
        </is>
      </c>
      <c r="H139" s="3" t="inlineStr">
        <is>
          <t>大类_基础</t>
        </is>
      </c>
      <c r="I139" s="3" t="inlineStr">
        <is>
          <t>子类_贵重品</t>
        </is>
      </c>
      <c r="J139" s="3" t="n">
        <v>1</v>
      </c>
      <c r="K139" s="3" t="inlineStr">
        <is>
          <t>特戒</t>
        </is>
      </c>
      <c r="M139" s="3" t="n">
        <v>60000</v>
      </c>
      <c r="N139" s="3" t="inlineStr">
        <is>
          <t>否</t>
        </is>
      </c>
      <c r="P139" s="3" t="n">
        <v>1</v>
      </c>
      <c r="Q139" s="3" t="inlineStr">
        <is>
          <t>无</t>
        </is>
      </c>
      <c r="R139" s="3" t="n">
        <v>1</v>
      </c>
      <c r="V139" s="3" t="inlineStr">
        <is>
          <t>特戒装备，可以直接穿戴</t>
        </is>
      </c>
      <c r="W139" s="3" t="inlineStr">
        <is>
          <t>系统赠送或怪物掉落</t>
        </is>
      </c>
      <c r="X139" s="17" t="n">
        <v>34090014</v>
      </c>
      <c r="Y139" s="17" t="inlineStr">
        <is>
          <t>fall_tejiejs_xingyun</t>
        </is>
      </c>
      <c r="Z139" s="3" t="inlineStr">
        <is>
          <t>ain_effect_jinseguangzhu_86</t>
        </is>
      </c>
      <c r="AA139" s="3" t="inlineStr">
        <is>
          <t>BK_J_cheng</t>
        </is>
      </c>
      <c r="AB139" s="3" t="inlineStr">
        <is>
          <t>BK_D_cheng</t>
        </is>
      </c>
    </row>
    <row r="140">
      <c r="B140" s="3">
        <f>30000000+INDEX(编号表!$B:$B,MATCH(G140,编号表!$A:$A,0))*10000+E140</f>
        <v/>
      </c>
      <c r="C140" s="3" t="inlineStr">
        <is>
          <t>幸运特戒</t>
        </is>
      </c>
      <c r="D140" s="3" t="inlineStr">
        <is>
          <t>橙色</t>
        </is>
      </c>
      <c r="E140" s="3" t="n">
        <v>26</v>
      </c>
      <c r="F140" s="3" t="n">
        <v>60</v>
      </c>
      <c r="G140" s="3" t="inlineStr">
        <is>
          <t>特戒</t>
        </is>
      </c>
      <c r="H140" s="3" t="inlineStr">
        <is>
          <t>大类_基础</t>
        </is>
      </c>
      <c r="I140" s="3" t="inlineStr">
        <is>
          <t>子类_贵重品</t>
        </is>
      </c>
      <c r="J140" s="3" t="n">
        <v>1</v>
      </c>
      <c r="K140" s="3" t="inlineStr">
        <is>
          <t>特戒</t>
        </is>
      </c>
      <c r="M140" s="3" t="n">
        <v>60000</v>
      </c>
      <c r="N140" s="3" t="inlineStr">
        <is>
          <t>否</t>
        </is>
      </c>
      <c r="P140" s="3" t="n">
        <v>1</v>
      </c>
      <c r="Q140" s="3" t="inlineStr">
        <is>
          <t>无</t>
        </is>
      </c>
      <c r="R140" s="3" t="n">
        <v>1</v>
      </c>
      <c r="V140" s="3" t="inlineStr">
        <is>
          <t>特戒装备，可以直接穿戴</t>
        </is>
      </c>
      <c r="W140" s="3" t="inlineStr">
        <is>
          <t>系统赠送或怪物掉落</t>
        </is>
      </c>
      <c r="X140" s="17" t="n">
        <v>34090014</v>
      </c>
      <c r="Y140" s="17" t="inlineStr">
        <is>
          <t>fall_tejiejs_xingyun</t>
        </is>
      </c>
      <c r="Z140" s="3" t="inlineStr">
        <is>
          <t>ain_effect_jinseguangzhu_86</t>
        </is>
      </c>
      <c r="AA140" s="3" t="inlineStr">
        <is>
          <t>BK_J_cheng</t>
        </is>
      </c>
      <c r="AB140" s="3" t="inlineStr">
        <is>
          <t>BK_D_cheng</t>
        </is>
      </c>
    </row>
    <row r="141">
      <c r="B141" s="3">
        <f>30000000+INDEX(编号表!$B:$B,MATCH(G141,编号表!$A:$A,0))*10000+E141</f>
        <v/>
      </c>
      <c r="C141" s="3" t="inlineStr">
        <is>
          <t>传送神戒</t>
        </is>
      </c>
      <c r="D141" s="3" t="inlineStr">
        <is>
          <t>红色</t>
        </is>
      </c>
      <c r="E141" s="3" t="n">
        <v>27</v>
      </c>
      <c r="F141" s="3" t="n">
        <v>60</v>
      </c>
      <c r="G141" s="3" t="inlineStr">
        <is>
          <t>特戒</t>
        </is>
      </c>
      <c r="H141" s="3" t="inlineStr">
        <is>
          <t>大类_基础</t>
        </is>
      </c>
      <c r="I141" s="3" t="inlineStr">
        <is>
          <t>子类_贵重品</t>
        </is>
      </c>
      <c r="J141" s="3" t="n">
        <v>1</v>
      </c>
      <c r="K141" s="3" t="inlineStr">
        <is>
          <t>特戒</t>
        </is>
      </c>
      <c r="M141" s="3" t="n">
        <v>60000</v>
      </c>
      <c r="N141" s="3" t="inlineStr">
        <is>
          <t>否</t>
        </is>
      </c>
      <c r="P141" s="3" t="n">
        <v>1</v>
      </c>
      <c r="Q141" s="3" t="inlineStr">
        <is>
          <t>无</t>
        </is>
      </c>
      <c r="R141" s="3" t="n">
        <v>1</v>
      </c>
      <c r="V141" s="3" t="inlineStr">
        <is>
          <t>特戒装备，可以直接穿戴</t>
        </is>
      </c>
      <c r="W141" s="3" t="inlineStr">
        <is>
          <t>系统赠送或怪物掉落</t>
        </is>
      </c>
      <c r="X141" s="17" t="n">
        <v>34090014</v>
      </c>
      <c r="Y141" s="17" t="inlineStr">
        <is>
          <t>fall_tejiejs_xingyun</t>
        </is>
      </c>
      <c r="Z141" s="3" t="inlineStr">
        <is>
          <t>ain_effect_hongseguangzhu_88</t>
        </is>
      </c>
      <c r="AA141" s="3" t="inlineStr">
        <is>
          <t>BK_J_hong</t>
        </is>
      </c>
      <c r="AB141" s="3" t="inlineStr">
        <is>
          <t>BK_D_hong</t>
        </is>
      </c>
    </row>
    <row r="142">
      <c r="B142" s="3">
        <f>30000000+INDEX(编号表!$B:$B,MATCH(G142,编号表!$A:$A,0))*10000+E142</f>
        <v/>
      </c>
      <c r="C142" s="3" t="inlineStr">
        <is>
          <t>护体神戒</t>
        </is>
      </c>
      <c r="D142" s="3" t="inlineStr">
        <is>
          <t>红色</t>
        </is>
      </c>
      <c r="E142" s="3" t="n">
        <v>28</v>
      </c>
      <c r="F142" s="3" t="n">
        <v>60</v>
      </c>
      <c r="G142" s="3" t="inlineStr">
        <is>
          <t>特戒</t>
        </is>
      </c>
      <c r="H142" s="3" t="inlineStr">
        <is>
          <t>大类_基础</t>
        </is>
      </c>
      <c r="I142" s="3" t="inlineStr">
        <is>
          <t>子类_贵重品</t>
        </is>
      </c>
      <c r="J142" s="3" t="n">
        <v>1</v>
      </c>
      <c r="K142" s="3" t="inlineStr">
        <is>
          <t>特戒</t>
        </is>
      </c>
      <c r="M142" s="3" t="n">
        <v>60000</v>
      </c>
      <c r="N142" s="3" t="inlineStr">
        <is>
          <t>否</t>
        </is>
      </c>
      <c r="P142" s="3" t="n">
        <v>1</v>
      </c>
      <c r="Q142" s="3" t="inlineStr">
        <is>
          <t>无</t>
        </is>
      </c>
      <c r="R142" s="3" t="n">
        <v>1</v>
      </c>
      <c r="V142" s="3" t="inlineStr">
        <is>
          <t>特戒装备，可以直接穿戴</t>
        </is>
      </c>
      <c r="W142" s="3" t="inlineStr">
        <is>
          <t>系统赠送或怪物掉落</t>
        </is>
      </c>
      <c r="X142" s="17" t="n">
        <v>34090014</v>
      </c>
      <c r="Y142" s="17" t="inlineStr">
        <is>
          <t>fall_tejiejs_xingyun</t>
        </is>
      </c>
      <c r="Z142" s="3" t="inlineStr">
        <is>
          <t>ain_effect_hongseguangzhu_88</t>
        </is>
      </c>
      <c r="AA142" s="3" t="inlineStr">
        <is>
          <t>BK_J_hong</t>
        </is>
      </c>
      <c r="AB142" s="3" t="inlineStr">
        <is>
          <t>BK_D_hong</t>
        </is>
      </c>
    </row>
    <row r="143">
      <c r="B143" s="3">
        <f>30000000+INDEX(编号表!$B:$B,MATCH(G143,编号表!$A:$A,0))*10000+E143</f>
        <v/>
      </c>
      <c r="C143" s="3" t="inlineStr">
        <is>
          <t>召唤神戒</t>
        </is>
      </c>
      <c r="D143" s="3" t="inlineStr">
        <is>
          <t>红色</t>
        </is>
      </c>
      <c r="E143" s="3" t="n">
        <v>29</v>
      </c>
      <c r="F143" s="3" t="n">
        <v>60</v>
      </c>
      <c r="G143" s="3" t="inlineStr">
        <is>
          <t>特戒</t>
        </is>
      </c>
      <c r="H143" s="3" t="inlineStr">
        <is>
          <t>大类_基础</t>
        </is>
      </c>
      <c r="I143" s="3" t="inlineStr">
        <is>
          <t>子类_贵重品</t>
        </is>
      </c>
      <c r="J143" s="3" t="n">
        <v>1</v>
      </c>
      <c r="K143" s="3" t="inlineStr">
        <is>
          <t>特戒</t>
        </is>
      </c>
      <c r="M143" s="3" t="n">
        <v>60000</v>
      </c>
      <c r="N143" s="3" t="inlineStr">
        <is>
          <t>否</t>
        </is>
      </c>
      <c r="P143" s="3" t="n">
        <v>1</v>
      </c>
      <c r="Q143" s="3" t="inlineStr">
        <is>
          <t>无</t>
        </is>
      </c>
      <c r="R143" s="3" t="n">
        <v>1</v>
      </c>
      <c r="V143" s="3" t="inlineStr">
        <is>
          <t>特戒装备，可以直接穿戴</t>
        </is>
      </c>
      <c r="W143" s="3" t="inlineStr">
        <is>
          <t>系统赠送或怪物掉落</t>
        </is>
      </c>
      <c r="X143" s="17" t="n">
        <v>34090014</v>
      </c>
      <c r="Y143" s="17" t="inlineStr">
        <is>
          <t>fall_tejiejs_xingyun</t>
        </is>
      </c>
      <c r="Z143" s="3" t="inlineStr">
        <is>
          <t>ain_effect_hongseguangzhu_88</t>
        </is>
      </c>
      <c r="AA143" s="3" t="inlineStr">
        <is>
          <t>BK_J_hong</t>
        </is>
      </c>
      <c r="AB143" s="3" t="inlineStr">
        <is>
          <t>BK_D_hong</t>
        </is>
      </c>
    </row>
    <row r="144">
      <c r="B144" s="3">
        <f>30000000+INDEX(编号表!$B:$B,MATCH(G144,编号表!$A:$A,0))*10000+E144</f>
        <v/>
      </c>
      <c r="C144" s="3" t="inlineStr">
        <is>
          <t>恢复神戒</t>
        </is>
      </c>
      <c r="D144" s="3" t="inlineStr">
        <is>
          <t>红色</t>
        </is>
      </c>
      <c r="E144" s="3" t="n">
        <v>30</v>
      </c>
      <c r="F144" s="3" t="n">
        <v>60</v>
      </c>
      <c r="G144" s="3" t="inlineStr">
        <is>
          <t>特戒</t>
        </is>
      </c>
      <c r="H144" s="3" t="inlineStr">
        <is>
          <t>大类_基础</t>
        </is>
      </c>
      <c r="I144" s="3" t="inlineStr">
        <is>
          <t>子类_贵重品</t>
        </is>
      </c>
      <c r="J144" s="3" t="n">
        <v>1</v>
      </c>
      <c r="K144" s="3" t="inlineStr">
        <is>
          <t>特戒</t>
        </is>
      </c>
      <c r="M144" s="3" t="n">
        <v>60000</v>
      </c>
      <c r="N144" s="3" t="inlineStr">
        <is>
          <t>否</t>
        </is>
      </c>
      <c r="P144" s="3" t="n">
        <v>1</v>
      </c>
      <c r="Q144" s="3" t="inlineStr">
        <is>
          <t>无</t>
        </is>
      </c>
      <c r="R144" s="3" t="n">
        <v>1</v>
      </c>
      <c r="V144" s="3" t="inlineStr">
        <is>
          <t>特戒装备，可以直接穿戴</t>
        </is>
      </c>
      <c r="W144" s="3" t="inlineStr">
        <is>
          <t>系统赠送或怪物掉落</t>
        </is>
      </c>
      <c r="X144" s="17" t="n">
        <v>34090014</v>
      </c>
      <c r="Y144" s="17" t="inlineStr">
        <is>
          <t>fall_tejiejs_xingyun</t>
        </is>
      </c>
      <c r="Z144" s="3" t="inlineStr">
        <is>
          <t>ain_effect_hongseguangzhu_88</t>
        </is>
      </c>
      <c r="AA144" s="3" t="inlineStr">
        <is>
          <t>BK_J_hong</t>
        </is>
      </c>
      <c r="AB144" s="3" t="inlineStr">
        <is>
          <t>BK_D_hong</t>
        </is>
      </c>
    </row>
    <row r="145">
      <c r="B145" s="3">
        <f>30000000+INDEX(编号表!$B:$B,MATCH(G145,编号表!$A:$A,0))*10000+E145</f>
        <v/>
      </c>
      <c r="C145" s="3" t="inlineStr">
        <is>
          <t>破防神戒</t>
        </is>
      </c>
      <c r="D145" s="3" t="inlineStr">
        <is>
          <t>红色</t>
        </is>
      </c>
      <c r="E145" s="3" t="n">
        <v>31</v>
      </c>
      <c r="F145" s="3" t="n">
        <v>60</v>
      </c>
      <c r="G145" s="3" t="inlineStr">
        <is>
          <t>特戒</t>
        </is>
      </c>
      <c r="H145" s="3" t="inlineStr">
        <is>
          <t>大类_基础</t>
        </is>
      </c>
      <c r="I145" s="3" t="inlineStr">
        <is>
          <t>子类_贵重品</t>
        </is>
      </c>
      <c r="J145" s="3" t="n">
        <v>1</v>
      </c>
      <c r="K145" s="3" t="inlineStr">
        <is>
          <t>特戒</t>
        </is>
      </c>
      <c r="M145" s="3" t="n">
        <v>60000</v>
      </c>
      <c r="N145" s="3" t="inlineStr">
        <is>
          <t>否</t>
        </is>
      </c>
      <c r="P145" s="3" t="n">
        <v>1</v>
      </c>
      <c r="Q145" s="3" t="inlineStr">
        <is>
          <t>无</t>
        </is>
      </c>
      <c r="R145" s="3" t="n">
        <v>1</v>
      </c>
      <c r="V145" s="3" t="inlineStr">
        <is>
          <t>特戒装备，可以直接穿戴</t>
        </is>
      </c>
      <c r="W145" s="3" t="inlineStr">
        <is>
          <t>系统赠送或怪物掉落</t>
        </is>
      </c>
      <c r="X145" s="17" t="n">
        <v>34090014</v>
      </c>
      <c r="Y145" s="17" t="inlineStr">
        <is>
          <t>fall_tejiejs_xingyun</t>
        </is>
      </c>
      <c r="Z145" s="3" t="inlineStr">
        <is>
          <t>ain_effect_hongseguangzhu_88</t>
        </is>
      </c>
      <c r="AA145" s="3" t="inlineStr">
        <is>
          <t>BK_J_hong</t>
        </is>
      </c>
      <c r="AB145" s="3" t="inlineStr">
        <is>
          <t>BK_D_hong</t>
        </is>
      </c>
    </row>
    <row r="146">
      <c r="B146" s="3">
        <f>30000000+INDEX(编号表!$B:$B,MATCH(G146,编号表!$A:$A,0))*10000+E146</f>
        <v/>
      </c>
      <c r="C146" s="3" t="inlineStr">
        <is>
          <t>元素神戒</t>
        </is>
      </c>
      <c r="D146" s="3" t="inlineStr">
        <is>
          <t>红色</t>
        </is>
      </c>
      <c r="E146" s="3" t="n">
        <v>32</v>
      </c>
      <c r="F146" s="3" t="n">
        <v>60</v>
      </c>
      <c r="G146" s="3" t="inlineStr">
        <is>
          <t>特戒</t>
        </is>
      </c>
      <c r="H146" s="3" t="inlineStr">
        <is>
          <t>大类_基础</t>
        </is>
      </c>
      <c r="I146" s="3" t="inlineStr">
        <is>
          <t>子类_贵重品</t>
        </is>
      </c>
      <c r="J146" s="3" t="n">
        <v>1</v>
      </c>
      <c r="K146" s="3" t="inlineStr">
        <is>
          <t>特戒</t>
        </is>
      </c>
      <c r="M146" s="3" t="n">
        <v>60000</v>
      </c>
      <c r="N146" s="3" t="inlineStr">
        <is>
          <t>否</t>
        </is>
      </c>
      <c r="P146" s="3" t="n">
        <v>1</v>
      </c>
      <c r="Q146" s="3" t="inlineStr">
        <is>
          <t>无</t>
        </is>
      </c>
      <c r="R146" s="3" t="n">
        <v>1</v>
      </c>
      <c r="V146" s="3" t="inlineStr">
        <is>
          <t>特戒装备，可以直接穿戴</t>
        </is>
      </c>
      <c r="W146" s="3" t="inlineStr">
        <is>
          <t>系统赠送或怪物掉落</t>
        </is>
      </c>
      <c r="X146" s="17" t="n">
        <v>34090014</v>
      </c>
      <c r="Y146" s="17" t="inlineStr">
        <is>
          <t>fall_tejiejs_xingyun</t>
        </is>
      </c>
      <c r="Z146" s="3" t="inlineStr">
        <is>
          <t>ain_effect_hongseguangzhu_88</t>
        </is>
      </c>
      <c r="AA146" s="3" t="inlineStr">
        <is>
          <t>BK_J_hong</t>
        </is>
      </c>
      <c r="AB146" s="3" t="inlineStr">
        <is>
          <t>BK_D_hong</t>
        </is>
      </c>
    </row>
    <row r="147">
      <c r="B147" s="3">
        <f>30000000+INDEX(编号表!$B:$B,MATCH(G147,编号表!$A:$A,0))*10000+E147</f>
        <v/>
      </c>
      <c r="C147" s="3" t="inlineStr">
        <is>
          <t>麻痹神戒</t>
        </is>
      </c>
      <c r="D147" s="3" t="inlineStr">
        <is>
          <t>红色</t>
        </is>
      </c>
      <c r="E147" s="3" t="n">
        <v>33</v>
      </c>
      <c r="F147" s="3" t="n">
        <v>60</v>
      </c>
      <c r="G147" s="3" t="inlineStr">
        <is>
          <t>特戒</t>
        </is>
      </c>
      <c r="H147" s="3" t="inlineStr">
        <is>
          <t>大类_基础</t>
        </is>
      </c>
      <c r="I147" s="3" t="inlineStr">
        <is>
          <t>子类_贵重品</t>
        </is>
      </c>
      <c r="J147" s="3" t="n">
        <v>1</v>
      </c>
      <c r="K147" s="3" t="inlineStr">
        <is>
          <t>特戒</t>
        </is>
      </c>
      <c r="M147" s="3" t="n">
        <v>60000</v>
      </c>
      <c r="N147" s="3" t="inlineStr">
        <is>
          <t>否</t>
        </is>
      </c>
      <c r="P147" s="3" t="n">
        <v>1</v>
      </c>
      <c r="Q147" s="3" t="inlineStr">
        <is>
          <t>无</t>
        </is>
      </c>
      <c r="R147" s="3" t="n">
        <v>1</v>
      </c>
      <c r="V147" s="3" t="inlineStr">
        <is>
          <t>特戒装备，可以直接穿戴</t>
        </is>
      </c>
      <c r="W147" s="3" t="inlineStr">
        <is>
          <t>系统赠送或怪物掉落</t>
        </is>
      </c>
      <c r="X147" s="17" t="n">
        <v>34090014</v>
      </c>
      <c r="Y147" s="17" t="inlineStr">
        <is>
          <t>fall_tejiejs_xingyun</t>
        </is>
      </c>
      <c r="Z147" s="3" t="inlineStr">
        <is>
          <t>ain_effect_hongseguangzhu_88</t>
        </is>
      </c>
      <c r="AA147" s="3" t="inlineStr">
        <is>
          <t>BK_J_hong</t>
        </is>
      </c>
      <c r="AB147" s="3" t="inlineStr">
        <is>
          <t>BK_D_hong</t>
        </is>
      </c>
    </row>
    <row r="148">
      <c r="B148" s="3">
        <f>30000000+INDEX(编号表!$B:$B,MATCH(G148,编号表!$A:$A,0))*10000+E148</f>
        <v/>
      </c>
      <c r="C148" s="3" t="inlineStr">
        <is>
          <t>复活神戒</t>
        </is>
      </c>
      <c r="D148" s="3" t="inlineStr">
        <is>
          <t>红色</t>
        </is>
      </c>
      <c r="E148" s="3" t="n">
        <v>34</v>
      </c>
      <c r="F148" s="3" t="n">
        <v>60</v>
      </c>
      <c r="G148" s="3" t="inlineStr">
        <is>
          <t>特戒</t>
        </is>
      </c>
      <c r="H148" s="3" t="inlineStr">
        <is>
          <t>大类_基础</t>
        </is>
      </c>
      <c r="I148" s="3" t="inlineStr">
        <is>
          <t>子类_贵重品</t>
        </is>
      </c>
      <c r="J148" s="3" t="n">
        <v>1</v>
      </c>
      <c r="K148" s="3" t="inlineStr">
        <is>
          <t>特戒</t>
        </is>
      </c>
      <c r="M148" s="3" t="n">
        <v>60000</v>
      </c>
      <c r="N148" s="3" t="inlineStr">
        <is>
          <t>否</t>
        </is>
      </c>
      <c r="P148" s="3" t="n">
        <v>1</v>
      </c>
      <c r="Q148" s="3" t="inlineStr">
        <is>
          <t>无</t>
        </is>
      </c>
      <c r="R148" s="3" t="n">
        <v>1</v>
      </c>
      <c r="V148" s="3" t="inlineStr">
        <is>
          <t>特戒装备，可以直接穿戴</t>
        </is>
      </c>
      <c r="W148" s="3" t="inlineStr">
        <is>
          <t>系统赠送或怪物掉落</t>
        </is>
      </c>
      <c r="X148" s="17" t="n">
        <v>34090014</v>
      </c>
      <c r="Y148" s="17" t="inlineStr">
        <is>
          <t>fall_tejiejs_xingyun</t>
        </is>
      </c>
      <c r="Z148" s="3" t="inlineStr">
        <is>
          <t>ain_effect_hongseguangzhu_88</t>
        </is>
      </c>
      <c r="AA148" s="3" t="inlineStr">
        <is>
          <t>BK_J_hong</t>
        </is>
      </c>
      <c r="AB148" s="3" t="inlineStr">
        <is>
          <t>BK_D_hong</t>
        </is>
      </c>
    </row>
    <row r="149">
      <c r="B149" s="3">
        <f>30000000+INDEX(编号表!$B:$B,MATCH(G149,编号表!$A:$A,0))*10000+E149</f>
        <v/>
      </c>
      <c r="C149" s="3" t="inlineStr">
        <is>
          <t>攻速神戒</t>
        </is>
      </c>
      <c r="D149" s="3" t="inlineStr">
        <is>
          <t>红色</t>
        </is>
      </c>
      <c r="E149" s="3" t="n">
        <v>35</v>
      </c>
      <c r="F149" s="3" t="n">
        <v>60</v>
      </c>
      <c r="G149" s="3" t="inlineStr">
        <is>
          <t>特戒</t>
        </is>
      </c>
      <c r="H149" s="3" t="inlineStr">
        <is>
          <t>大类_基础</t>
        </is>
      </c>
      <c r="I149" s="3" t="inlineStr">
        <is>
          <t>子类_贵重品</t>
        </is>
      </c>
      <c r="J149" s="3" t="n">
        <v>1</v>
      </c>
      <c r="K149" s="3" t="inlineStr">
        <is>
          <t>特戒</t>
        </is>
      </c>
      <c r="M149" s="3" t="n">
        <v>60000</v>
      </c>
      <c r="N149" s="3" t="inlineStr">
        <is>
          <t>否</t>
        </is>
      </c>
      <c r="P149" s="3" t="n">
        <v>1</v>
      </c>
      <c r="Q149" s="3" t="inlineStr">
        <is>
          <t>无</t>
        </is>
      </c>
      <c r="R149" s="3" t="n">
        <v>1</v>
      </c>
      <c r="V149" s="3" t="inlineStr">
        <is>
          <t>特戒装备，可以直接穿戴</t>
        </is>
      </c>
      <c r="W149" s="3" t="inlineStr">
        <is>
          <t>系统赠送或怪物掉落</t>
        </is>
      </c>
      <c r="X149" s="17" t="n">
        <v>34090014</v>
      </c>
      <c r="Y149" s="17" t="inlineStr">
        <is>
          <t>fall_tejiejs_xingyun</t>
        </is>
      </c>
      <c r="Z149" s="3" t="inlineStr">
        <is>
          <t>ain_effect_hongseguangzhu_88</t>
        </is>
      </c>
      <c r="AA149" s="3" t="inlineStr">
        <is>
          <t>BK_J_hong</t>
        </is>
      </c>
      <c r="AB149" s="3" t="inlineStr">
        <is>
          <t>BK_D_hong</t>
        </is>
      </c>
    </row>
    <row r="150">
      <c r="B150" s="3">
        <f>30000000+INDEX(编号表!$B:$B,MATCH(G150,编号表!$A:$A,0))*10000+E150</f>
        <v/>
      </c>
      <c r="C150" s="3" t="inlineStr">
        <is>
          <t>切割神戒</t>
        </is>
      </c>
      <c r="D150" s="3" t="inlineStr">
        <is>
          <t>红色</t>
        </is>
      </c>
      <c r="E150" s="3" t="n">
        <v>36</v>
      </c>
      <c r="F150" s="3" t="n">
        <v>60</v>
      </c>
      <c r="G150" s="3" t="inlineStr">
        <is>
          <t>特戒</t>
        </is>
      </c>
      <c r="H150" s="3" t="inlineStr">
        <is>
          <t>大类_基础</t>
        </is>
      </c>
      <c r="I150" s="3" t="inlineStr">
        <is>
          <t>子类_贵重品</t>
        </is>
      </c>
      <c r="J150" s="3" t="n">
        <v>1</v>
      </c>
      <c r="K150" s="3" t="inlineStr">
        <is>
          <t>特戒</t>
        </is>
      </c>
      <c r="M150" s="3" t="n">
        <v>60000</v>
      </c>
      <c r="N150" s="3" t="inlineStr">
        <is>
          <t>否</t>
        </is>
      </c>
      <c r="P150" s="3" t="n">
        <v>1</v>
      </c>
      <c r="Q150" s="3" t="inlineStr">
        <is>
          <t>无</t>
        </is>
      </c>
      <c r="R150" s="3" t="n">
        <v>1</v>
      </c>
      <c r="V150" s="3" t="inlineStr">
        <is>
          <t>特戒装备，可以直接穿戴</t>
        </is>
      </c>
      <c r="W150" s="3" t="inlineStr">
        <is>
          <t>系统赠送或怪物掉落</t>
        </is>
      </c>
      <c r="X150" s="17" t="n">
        <v>34090014</v>
      </c>
      <c r="Y150" s="17" t="inlineStr">
        <is>
          <t>fall_tejiejs_xingyun</t>
        </is>
      </c>
      <c r="Z150" s="3" t="inlineStr">
        <is>
          <t>ain_effect_hongseguangzhu_88</t>
        </is>
      </c>
      <c r="AA150" s="3" t="inlineStr">
        <is>
          <t>BK_J_hong</t>
        </is>
      </c>
      <c r="AB150" s="3" t="inlineStr">
        <is>
          <t>BK_D_hong</t>
        </is>
      </c>
    </row>
    <row r="151">
      <c r="B151" s="3">
        <f>30000000+INDEX(编号表!$B:$B,MATCH(G151,编号表!$A:$A,0))*10000+E151</f>
        <v/>
      </c>
      <c r="C151" s="3" t="inlineStr">
        <is>
          <t>斩杀神戒</t>
        </is>
      </c>
      <c r="D151" s="3" t="inlineStr">
        <is>
          <t>红色</t>
        </is>
      </c>
      <c r="E151" s="3" t="n">
        <v>37</v>
      </c>
      <c r="F151" s="3" t="n">
        <v>60</v>
      </c>
      <c r="G151" s="3" t="inlineStr">
        <is>
          <t>特戒</t>
        </is>
      </c>
      <c r="H151" s="3" t="inlineStr">
        <is>
          <t>大类_基础</t>
        </is>
      </c>
      <c r="I151" s="3" t="inlineStr">
        <is>
          <t>子类_贵重品</t>
        </is>
      </c>
      <c r="J151" s="3" t="n">
        <v>1</v>
      </c>
      <c r="K151" s="3" t="inlineStr">
        <is>
          <t>特戒</t>
        </is>
      </c>
      <c r="M151" s="3" t="n">
        <v>60000</v>
      </c>
      <c r="N151" s="3" t="inlineStr">
        <is>
          <t>否</t>
        </is>
      </c>
      <c r="P151" s="3" t="n">
        <v>1</v>
      </c>
      <c r="Q151" s="3" t="inlineStr">
        <is>
          <t>无</t>
        </is>
      </c>
      <c r="R151" s="3" t="n">
        <v>1</v>
      </c>
      <c r="V151" s="3" t="inlineStr">
        <is>
          <t>特戒装备，可以直接穿戴</t>
        </is>
      </c>
      <c r="W151" s="3" t="inlineStr">
        <is>
          <t>系统赠送或怪物掉落</t>
        </is>
      </c>
      <c r="X151" s="17" t="n">
        <v>34090014</v>
      </c>
      <c r="Y151" s="17" t="inlineStr">
        <is>
          <t>fall_tejiejs_xingyun</t>
        </is>
      </c>
      <c r="Z151" s="3" t="inlineStr">
        <is>
          <t>ain_effect_hongseguangzhu_88</t>
        </is>
      </c>
      <c r="AA151" s="3" t="inlineStr">
        <is>
          <t>BK_J_hong</t>
        </is>
      </c>
      <c r="AB151" s="3" t="inlineStr">
        <is>
          <t>BK_D_hong</t>
        </is>
      </c>
    </row>
    <row r="152">
      <c r="B152" s="3">
        <f>30000000+INDEX(编号表!$B:$B,MATCH(G152,编号表!$A:$A,0))*10000+E152</f>
        <v/>
      </c>
      <c r="C152" s="3" t="inlineStr">
        <is>
          <t>幸运神戒</t>
        </is>
      </c>
      <c r="D152" s="3" t="inlineStr">
        <is>
          <t>红色</t>
        </is>
      </c>
      <c r="E152" s="3" t="n">
        <v>38</v>
      </c>
      <c r="F152" s="3" t="n">
        <v>60</v>
      </c>
      <c r="G152" s="3" t="inlineStr">
        <is>
          <t>特戒</t>
        </is>
      </c>
      <c r="H152" s="3" t="inlineStr">
        <is>
          <t>大类_基础</t>
        </is>
      </c>
      <c r="I152" s="3" t="inlineStr">
        <is>
          <t>子类_贵重品</t>
        </is>
      </c>
      <c r="J152" s="3" t="n">
        <v>1</v>
      </c>
      <c r="K152" s="3" t="inlineStr">
        <is>
          <t>特戒</t>
        </is>
      </c>
      <c r="M152" s="3" t="n">
        <v>60000</v>
      </c>
      <c r="N152" s="3" t="inlineStr">
        <is>
          <t>否</t>
        </is>
      </c>
      <c r="P152" s="3" t="n">
        <v>1</v>
      </c>
      <c r="Q152" s="3" t="inlineStr">
        <is>
          <t>无</t>
        </is>
      </c>
      <c r="R152" s="3" t="n">
        <v>1</v>
      </c>
      <c r="V152" s="3" t="inlineStr">
        <is>
          <t>特戒装备，可以直接穿戴</t>
        </is>
      </c>
      <c r="W152" s="3" t="inlineStr">
        <is>
          <t>系统赠送或怪物掉落</t>
        </is>
      </c>
      <c r="X152" s="17" t="n">
        <v>34090014</v>
      </c>
      <c r="Y152" s="17" t="inlineStr">
        <is>
          <t>fall_tejiejs_xingyun</t>
        </is>
      </c>
      <c r="Z152" s="3" t="inlineStr">
        <is>
          <t>ain_effect_hongseguangzhu_88</t>
        </is>
      </c>
      <c r="AA152" s="3" t="inlineStr">
        <is>
          <t>BK_J_hong</t>
        </is>
      </c>
      <c r="AB152" s="3" t="inlineStr">
        <is>
          <t>BK_D_hong</t>
        </is>
      </c>
    </row>
    <row r="153">
      <c r="B153" s="3">
        <f>30000000+INDEX(编号表!$B:$B,MATCH(G153,编号表!$A:$A,0))*10000+E153</f>
        <v/>
      </c>
      <c r="C153" s="3" t="inlineStr">
        <is>
          <t>阎罗王碎片</t>
        </is>
      </c>
      <c r="D153" s="3" t="inlineStr">
        <is>
          <t>紫色</t>
        </is>
      </c>
      <c r="E153" s="3" t="n">
        <v>17</v>
      </c>
      <c r="F153" s="3" t="n">
        <v>60</v>
      </c>
      <c r="G153" s="3" t="inlineStr">
        <is>
          <t>强化</t>
        </is>
      </c>
      <c r="H153" s="3" t="inlineStr">
        <is>
          <t>大类_基础</t>
        </is>
      </c>
      <c r="I153" s="3" t="inlineStr">
        <is>
          <t>子类_贵重品</t>
        </is>
      </c>
      <c r="J153" s="3" t="n">
        <v>1</v>
      </c>
      <c r="K153" s="3" t="inlineStr">
        <is>
          <t>强化道具</t>
        </is>
      </c>
      <c r="M153" s="3" t="n">
        <v>30000</v>
      </c>
      <c r="N153" s="3" t="inlineStr">
        <is>
          <t>是</t>
        </is>
      </c>
      <c r="P153" s="3" t="n">
        <v>1</v>
      </c>
      <c r="Q153" s="3" t="inlineStr">
        <is>
          <t>无</t>
        </is>
      </c>
      <c r="R153" s="3" t="n">
        <v>999</v>
      </c>
      <c r="S153" s="3" t="inlineStr">
        <is>
          <t>系统_请神</t>
        </is>
      </c>
      <c r="V153" s="3" t="inlineStr">
        <is>
          <t>|cff00FF00请神系统</t>
        </is>
      </c>
      <c r="W153" s="3" t="inlineStr">
        <is>
          <t>平台抽奖获得</t>
        </is>
      </c>
      <c r="X153" s="3">
        <f>B153</f>
        <v/>
      </c>
      <c r="Y153" s="3" t="inlineStr">
        <is>
          <t>fall_props_mapai</t>
        </is>
      </c>
      <c r="Z153" s="3" t="inlineStr">
        <is>
          <t>ain_effect_ziseguangzhu_85</t>
        </is>
      </c>
      <c r="AA153" s="3" t="inlineStr">
        <is>
          <t>BK_J_zi</t>
        </is>
      </c>
      <c r="AB153" s="3" t="inlineStr">
        <is>
          <t>BK_D_zi</t>
        </is>
      </c>
    </row>
    <row r="154">
      <c r="B154" s="3">
        <f>30000000+INDEX(编号表!$B:$B,MATCH(G154,编号表!$A:$A,0))*10000+E154</f>
        <v/>
      </c>
      <c r="C154" s="3" t="inlineStr">
        <is>
          <t>秦广王碎片</t>
        </is>
      </c>
      <c r="D154" s="3" t="inlineStr">
        <is>
          <t>紫色</t>
        </is>
      </c>
      <c r="E154" s="3" t="n">
        <v>18</v>
      </c>
      <c r="F154" s="3" t="n">
        <v>60</v>
      </c>
      <c r="G154" s="3" t="inlineStr">
        <is>
          <t>强化</t>
        </is>
      </c>
      <c r="H154" s="3" t="inlineStr">
        <is>
          <t>大类_基础</t>
        </is>
      </c>
      <c r="I154" s="3" t="inlineStr">
        <is>
          <t>子类_贵重品</t>
        </is>
      </c>
      <c r="J154" s="3" t="n">
        <v>1</v>
      </c>
      <c r="K154" s="3" t="inlineStr">
        <is>
          <t>强化道具</t>
        </is>
      </c>
      <c r="M154" s="3" t="n">
        <v>30000</v>
      </c>
      <c r="N154" s="3" t="inlineStr">
        <is>
          <t>是</t>
        </is>
      </c>
      <c r="P154" s="3" t="n">
        <v>1</v>
      </c>
      <c r="Q154" s="3" t="inlineStr">
        <is>
          <t>无</t>
        </is>
      </c>
      <c r="R154" s="3" t="n">
        <v>999</v>
      </c>
      <c r="S154" s="3" t="inlineStr">
        <is>
          <t>系统_请神</t>
        </is>
      </c>
      <c r="V154" s="3" t="inlineStr">
        <is>
          <t>|cff00FF00请神系统</t>
        </is>
      </c>
      <c r="W154" s="3" t="inlineStr">
        <is>
          <t>平台抽奖获得</t>
        </is>
      </c>
      <c r="X154" s="3">
        <f>B154</f>
        <v/>
      </c>
      <c r="Y154" s="3" t="inlineStr">
        <is>
          <t>fall_props_mapai</t>
        </is>
      </c>
      <c r="Z154" s="3" t="inlineStr">
        <is>
          <t>ain_effect_ziseguangzhu_85</t>
        </is>
      </c>
      <c r="AA154" s="3" t="inlineStr">
        <is>
          <t>BK_J_zi</t>
        </is>
      </c>
      <c r="AB154" s="3" t="inlineStr">
        <is>
          <t>BK_D_zi</t>
        </is>
      </c>
    </row>
    <row r="155">
      <c r="B155" s="3">
        <f>30000000+INDEX(编号表!$B:$B,MATCH(G155,编号表!$A:$A,0))*10000+E155</f>
        <v/>
      </c>
      <c r="C155" s="3" t="inlineStr">
        <is>
          <t>楚江王碎片</t>
        </is>
      </c>
      <c r="D155" s="3" t="inlineStr">
        <is>
          <t>紫色</t>
        </is>
      </c>
      <c r="E155" s="3" t="n">
        <v>19</v>
      </c>
      <c r="F155" s="3" t="n">
        <v>60</v>
      </c>
      <c r="G155" s="3" t="inlineStr">
        <is>
          <t>强化</t>
        </is>
      </c>
      <c r="H155" s="3" t="inlineStr">
        <is>
          <t>大类_基础</t>
        </is>
      </c>
      <c r="I155" s="3" t="inlineStr">
        <is>
          <t>子类_贵重品</t>
        </is>
      </c>
      <c r="J155" s="3" t="n">
        <v>1</v>
      </c>
      <c r="K155" s="3" t="inlineStr">
        <is>
          <t>强化道具</t>
        </is>
      </c>
      <c r="M155" s="3" t="n">
        <v>30000</v>
      </c>
      <c r="N155" s="3" t="inlineStr">
        <is>
          <t>是</t>
        </is>
      </c>
      <c r="P155" s="3" t="n">
        <v>1</v>
      </c>
      <c r="Q155" s="3" t="inlineStr">
        <is>
          <t>无</t>
        </is>
      </c>
      <c r="R155" s="3" t="n">
        <v>999</v>
      </c>
      <c r="S155" s="3" t="inlineStr">
        <is>
          <t>系统_请神</t>
        </is>
      </c>
      <c r="V155" s="3" t="inlineStr">
        <is>
          <t>|cff00FF00请神系统</t>
        </is>
      </c>
      <c r="W155" s="3" t="inlineStr">
        <is>
          <t>平台抽奖获得</t>
        </is>
      </c>
      <c r="X155" s="3">
        <f>B155</f>
        <v/>
      </c>
      <c r="Y155" s="3" t="inlineStr">
        <is>
          <t>fall_props_mapai</t>
        </is>
      </c>
      <c r="Z155" s="3" t="inlineStr">
        <is>
          <t>ain_effect_ziseguangzhu_85</t>
        </is>
      </c>
      <c r="AA155" s="3" t="inlineStr">
        <is>
          <t>BK_J_zi</t>
        </is>
      </c>
      <c r="AB155" s="3" t="inlineStr">
        <is>
          <t>BK_D_zi</t>
        </is>
      </c>
    </row>
    <row r="156">
      <c r="B156" s="3">
        <f>30000000+INDEX(编号表!$B:$B,MATCH(G156,编号表!$A:$A,0))*10000+E156</f>
        <v/>
      </c>
      <c r="C156" s="3" t="inlineStr">
        <is>
          <t>酆都大帝碎片</t>
        </is>
      </c>
      <c r="D156" s="3" t="inlineStr">
        <is>
          <t>紫色</t>
        </is>
      </c>
      <c r="E156" s="3" t="n">
        <v>20</v>
      </c>
      <c r="F156" s="3" t="n">
        <v>60</v>
      </c>
      <c r="G156" s="3" t="inlineStr">
        <is>
          <t>强化</t>
        </is>
      </c>
      <c r="H156" s="3" t="inlineStr">
        <is>
          <t>大类_基础</t>
        </is>
      </c>
      <c r="I156" s="3" t="inlineStr">
        <is>
          <t>子类_贵重品</t>
        </is>
      </c>
      <c r="J156" s="3" t="n">
        <v>1</v>
      </c>
      <c r="K156" s="3" t="inlineStr">
        <is>
          <t>强化道具</t>
        </is>
      </c>
      <c r="M156" s="3" t="n">
        <v>30000</v>
      </c>
      <c r="N156" s="3" t="inlineStr">
        <is>
          <t>是</t>
        </is>
      </c>
      <c r="P156" s="3" t="n">
        <v>1</v>
      </c>
      <c r="Q156" s="3" t="inlineStr">
        <is>
          <t>无</t>
        </is>
      </c>
      <c r="R156" s="3" t="n">
        <v>999</v>
      </c>
      <c r="S156" s="3" t="inlineStr">
        <is>
          <t>系统_请神</t>
        </is>
      </c>
      <c r="V156" s="3" t="inlineStr">
        <is>
          <t>|cff00FF00请神系统</t>
        </is>
      </c>
      <c r="W156" s="3" t="inlineStr">
        <is>
          <t>平台抽奖获得</t>
        </is>
      </c>
      <c r="X156" s="3">
        <f>B156</f>
        <v/>
      </c>
      <c r="Y156" s="3" t="inlineStr">
        <is>
          <t>fall_props_mapai</t>
        </is>
      </c>
      <c r="Z156" s="3" t="inlineStr">
        <is>
          <t>ain_effect_ziseguangzhu_85</t>
        </is>
      </c>
      <c r="AA156" s="3" t="inlineStr">
        <is>
          <t>BK_J_zi</t>
        </is>
      </c>
      <c r="AB156" s="3" t="inlineStr">
        <is>
          <t>BK_D_zi</t>
        </is>
      </c>
    </row>
    <row r="157">
      <c r="B157" s="3">
        <f>30000000+INDEX(编号表!$B:$B,MATCH(G157,编号表!$A:$A,0))*10000+E157</f>
        <v/>
      </c>
      <c r="C157" s="3" t="inlineStr">
        <is>
          <t>钟馗碎片</t>
        </is>
      </c>
      <c r="D157" s="3" t="inlineStr">
        <is>
          <t>紫色</t>
        </is>
      </c>
      <c r="E157" s="3" t="n">
        <v>21</v>
      </c>
      <c r="F157" s="3" t="n">
        <v>60</v>
      </c>
      <c r="G157" s="3" t="inlineStr">
        <is>
          <t>强化</t>
        </is>
      </c>
      <c r="H157" s="3" t="inlineStr">
        <is>
          <t>大类_基础</t>
        </is>
      </c>
      <c r="I157" s="3" t="inlineStr">
        <is>
          <t>子类_贵重品</t>
        </is>
      </c>
      <c r="J157" s="3" t="n">
        <v>1</v>
      </c>
      <c r="K157" s="3" t="inlineStr">
        <is>
          <t>强化道具</t>
        </is>
      </c>
      <c r="M157" s="3" t="n">
        <v>30000</v>
      </c>
      <c r="N157" s="3" t="inlineStr">
        <is>
          <t>是</t>
        </is>
      </c>
      <c r="P157" s="3" t="n">
        <v>1</v>
      </c>
      <c r="Q157" s="3" t="inlineStr">
        <is>
          <t>无</t>
        </is>
      </c>
      <c r="R157" s="3" t="n">
        <v>999</v>
      </c>
      <c r="S157" s="3" t="inlineStr">
        <is>
          <t>系统_请神</t>
        </is>
      </c>
      <c r="V157" s="3" t="inlineStr">
        <is>
          <t>|cff00FF00请神系统</t>
        </is>
      </c>
      <c r="W157" s="3" t="inlineStr">
        <is>
          <t>平台抽奖获得</t>
        </is>
      </c>
      <c r="X157" s="3">
        <f>B157</f>
        <v/>
      </c>
      <c r="Y157" s="3" t="inlineStr">
        <is>
          <t>fall_props_mapai</t>
        </is>
      </c>
      <c r="Z157" s="3" t="inlineStr">
        <is>
          <t>ain_effect_ziseguangzhu_85</t>
        </is>
      </c>
      <c r="AA157" s="3" t="inlineStr">
        <is>
          <t>BK_J_zi</t>
        </is>
      </c>
      <c r="AB157" s="3" t="inlineStr">
        <is>
          <t>BK_D_zi</t>
        </is>
      </c>
    </row>
    <row r="158">
      <c r="B158" s="3">
        <f>30000000+INDEX(编号表!$B:$B,MATCH(G158,编号表!$A:$A,0))*10000+E158</f>
        <v/>
      </c>
      <c r="C158" s="3" t="inlineStr">
        <is>
          <t>黑无常碎片</t>
        </is>
      </c>
      <c r="D158" s="3" t="inlineStr">
        <is>
          <t>紫色</t>
        </is>
      </c>
      <c r="E158" s="3" t="n">
        <v>22</v>
      </c>
      <c r="F158" s="3" t="n">
        <v>60</v>
      </c>
      <c r="G158" s="3" t="inlineStr">
        <is>
          <t>强化</t>
        </is>
      </c>
      <c r="H158" s="3" t="inlineStr">
        <is>
          <t>大类_基础</t>
        </is>
      </c>
      <c r="I158" s="3" t="inlineStr">
        <is>
          <t>子类_贵重品</t>
        </is>
      </c>
      <c r="J158" s="3" t="n">
        <v>1</v>
      </c>
      <c r="K158" s="3" t="inlineStr">
        <is>
          <t>强化道具</t>
        </is>
      </c>
      <c r="M158" s="3" t="n">
        <v>30000</v>
      </c>
      <c r="N158" s="3" t="inlineStr">
        <is>
          <t>是</t>
        </is>
      </c>
      <c r="P158" s="3" t="n">
        <v>1</v>
      </c>
      <c r="Q158" s="3" t="inlineStr">
        <is>
          <t>无</t>
        </is>
      </c>
      <c r="R158" s="3" t="n">
        <v>999</v>
      </c>
      <c r="S158" s="3" t="inlineStr">
        <is>
          <t>系统_请神</t>
        </is>
      </c>
      <c r="V158" s="3" t="inlineStr">
        <is>
          <t>|cff00FF00请神系统</t>
        </is>
      </c>
      <c r="W158" s="3" t="inlineStr">
        <is>
          <t>平台抽奖获得</t>
        </is>
      </c>
      <c r="X158" s="3">
        <f>B158</f>
        <v/>
      </c>
      <c r="Y158" s="3" t="inlineStr">
        <is>
          <t>fall_props_mapai</t>
        </is>
      </c>
      <c r="Z158" s="3" t="inlineStr">
        <is>
          <t>ain_effect_ziseguangzhu_85</t>
        </is>
      </c>
      <c r="AA158" s="3" t="inlineStr">
        <is>
          <t>BK_J_zi</t>
        </is>
      </c>
      <c r="AB158" s="3" t="inlineStr">
        <is>
          <t>BK_D_zi</t>
        </is>
      </c>
    </row>
    <row r="159">
      <c r="B159" s="3">
        <f>30000000+INDEX(编号表!$B:$B,MATCH(G159,编号表!$A:$A,0))*10000+E159</f>
        <v/>
      </c>
      <c r="C159" s="3" t="inlineStr">
        <is>
          <t>白无常碎片</t>
        </is>
      </c>
      <c r="D159" s="3" t="inlineStr">
        <is>
          <t>紫色</t>
        </is>
      </c>
      <c r="E159" s="3" t="n">
        <v>23</v>
      </c>
      <c r="F159" s="3" t="n">
        <v>60</v>
      </c>
      <c r="G159" s="3" t="inlineStr">
        <is>
          <t>强化</t>
        </is>
      </c>
      <c r="H159" s="3" t="inlineStr">
        <is>
          <t>大类_基础</t>
        </is>
      </c>
      <c r="I159" s="3" t="inlineStr">
        <is>
          <t>子类_贵重品</t>
        </is>
      </c>
      <c r="J159" s="3" t="n">
        <v>1</v>
      </c>
      <c r="K159" s="3" t="inlineStr">
        <is>
          <t>强化道具</t>
        </is>
      </c>
      <c r="M159" s="3" t="n">
        <v>30000</v>
      </c>
      <c r="N159" s="3" t="inlineStr">
        <is>
          <t>是</t>
        </is>
      </c>
      <c r="P159" s="3" t="n">
        <v>1</v>
      </c>
      <c r="Q159" s="3" t="inlineStr">
        <is>
          <t>无</t>
        </is>
      </c>
      <c r="R159" s="3" t="n">
        <v>999</v>
      </c>
      <c r="S159" s="3" t="inlineStr">
        <is>
          <t>系统_请神</t>
        </is>
      </c>
      <c r="V159" s="3" t="inlineStr">
        <is>
          <t>|cff00FF00请神系统</t>
        </is>
      </c>
      <c r="W159" s="3" t="inlineStr">
        <is>
          <t>平台抽奖获得</t>
        </is>
      </c>
      <c r="X159" s="3">
        <f>B159</f>
        <v/>
      </c>
      <c r="Y159" s="3" t="inlineStr">
        <is>
          <t>fall_props_mapai</t>
        </is>
      </c>
      <c r="Z159" s="3" t="inlineStr">
        <is>
          <t>ain_effect_ziseguangzhu_85</t>
        </is>
      </c>
      <c r="AA159" s="3" t="inlineStr">
        <is>
          <t>BK_J_zi</t>
        </is>
      </c>
      <c r="AB159" s="3" t="inlineStr">
        <is>
          <t>BK_D_zi</t>
        </is>
      </c>
    </row>
    <row r="160">
      <c r="B160" s="3">
        <f>30000000+INDEX(编号表!$B:$B,MATCH(G160,编号表!$A:$A,0))*10000+E160</f>
        <v/>
      </c>
      <c r="C160" s="3" t="inlineStr">
        <is>
          <t>孟婆碎片</t>
        </is>
      </c>
      <c r="D160" s="3" t="inlineStr">
        <is>
          <t>紫色</t>
        </is>
      </c>
      <c r="E160" s="3" t="n">
        <v>24</v>
      </c>
      <c r="F160" s="3" t="n">
        <v>60</v>
      </c>
      <c r="G160" s="3" t="inlineStr">
        <is>
          <t>强化</t>
        </is>
      </c>
      <c r="H160" s="3" t="inlineStr">
        <is>
          <t>大类_基础</t>
        </is>
      </c>
      <c r="I160" s="3" t="inlineStr">
        <is>
          <t>子类_贵重品</t>
        </is>
      </c>
      <c r="J160" s="3" t="n">
        <v>1</v>
      </c>
      <c r="K160" s="3" t="inlineStr">
        <is>
          <t>强化道具</t>
        </is>
      </c>
      <c r="M160" s="3" t="n">
        <v>30000</v>
      </c>
      <c r="N160" s="3" t="inlineStr">
        <is>
          <t>是</t>
        </is>
      </c>
      <c r="P160" s="3" t="n">
        <v>1</v>
      </c>
      <c r="Q160" s="3" t="inlineStr">
        <is>
          <t>无</t>
        </is>
      </c>
      <c r="R160" s="3" t="n">
        <v>999</v>
      </c>
      <c r="S160" s="3" t="inlineStr">
        <is>
          <t>系统_请神</t>
        </is>
      </c>
      <c r="V160" s="3" t="inlineStr">
        <is>
          <t>|cff00FF00请神系统</t>
        </is>
      </c>
      <c r="W160" s="3" t="inlineStr">
        <is>
          <t>平台抽奖获得</t>
        </is>
      </c>
      <c r="X160" s="3">
        <f>B160</f>
        <v/>
      </c>
      <c r="Y160" s="3" t="inlineStr">
        <is>
          <t>fall_props_mapai</t>
        </is>
      </c>
      <c r="Z160" s="3" t="inlineStr">
        <is>
          <t>ain_effect_ziseguangzhu_85</t>
        </is>
      </c>
      <c r="AA160" s="3" t="inlineStr">
        <is>
          <t>BK_J_zi</t>
        </is>
      </c>
      <c r="AB160" s="3" t="inlineStr">
        <is>
          <t>BK_D_zi</t>
        </is>
      </c>
    </row>
    <row r="161">
      <c r="B161" s="3">
        <f>30000000+INDEX(编号表!$B:$B,MATCH(G161,编号表!$A:$A,0))*10000+E161</f>
        <v/>
      </c>
      <c r="C161" s="3" t="inlineStr">
        <is>
          <t>阴天子碎片</t>
        </is>
      </c>
      <c r="D161" s="3" t="inlineStr">
        <is>
          <t>紫色</t>
        </is>
      </c>
      <c r="E161" s="3" t="n">
        <v>25</v>
      </c>
      <c r="F161" s="3" t="n">
        <v>60</v>
      </c>
      <c r="G161" s="3" t="inlineStr">
        <is>
          <t>强化</t>
        </is>
      </c>
      <c r="H161" s="3" t="inlineStr">
        <is>
          <t>大类_基础</t>
        </is>
      </c>
      <c r="I161" s="3" t="inlineStr">
        <is>
          <t>子类_贵重品</t>
        </is>
      </c>
      <c r="J161" s="3" t="n">
        <v>1</v>
      </c>
      <c r="K161" s="3" t="inlineStr">
        <is>
          <t>强化道具</t>
        </is>
      </c>
      <c r="M161" s="3" t="n">
        <v>30000</v>
      </c>
      <c r="N161" s="3" t="inlineStr">
        <is>
          <t>是</t>
        </is>
      </c>
      <c r="P161" s="3" t="n">
        <v>1</v>
      </c>
      <c r="Q161" s="3" t="inlineStr">
        <is>
          <t>无</t>
        </is>
      </c>
      <c r="R161" s="3" t="n">
        <v>999</v>
      </c>
      <c r="S161" s="3" t="inlineStr">
        <is>
          <t>系统_请神</t>
        </is>
      </c>
      <c r="V161" s="3" t="inlineStr">
        <is>
          <t>|cff00FF00请神系统</t>
        </is>
      </c>
      <c r="W161" s="3" t="inlineStr">
        <is>
          <t>平台抽奖获得</t>
        </is>
      </c>
      <c r="X161" s="3">
        <f>B161</f>
        <v/>
      </c>
      <c r="Y161" s="3" t="inlineStr">
        <is>
          <t>fall_props_mapai</t>
        </is>
      </c>
      <c r="Z161" s="3" t="inlineStr">
        <is>
          <t>ain_effect_ziseguangzhu_85</t>
        </is>
      </c>
      <c r="AA161" s="3" t="inlineStr">
        <is>
          <t>BK_J_zi</t>
        </is>
      </c>
      <c r="AB161" s="3" t="inlineStr">
        <is>
          <t>BK_D_zi</t>
        </is>
      </c>
    </row>
    <row r="162">
      <c r="B162" s="3">
        <f>30000000+INDEX(编号表!$B:$B,MATCH(G162,编号表!$A:$A,0))*10000+E162</f>
        <v/>
      </c>
      <c r="C162" s="3" t="inlineStr">
        <is>
          <t>1级生命宝石</t>
        </is>
      </c>
      <c r="D162" s="3" t="inlineStr">
        <is>
          <t>紫色</t>
        </is>
      </c>
      <c r="E162" s="3" t="n">
        <v>26</v>
      </c>
      <c r="F162" s="3" t="n">
        <v>60</v>
      </c>
      <c r="G162" s="3" t="inlineStr">
        <is>
          <t>强化</t>
        </is>
      </c>
      <c r="H162" s="3" t="inlineStr">
        <is>
          <t>大类_基础</t>
        </is>
      </c>
      <c r="I162" s="3" t="inlineStr">
        <is>
          <t>子类_贵重品</t>
        </is>
      </c>
      <c r="J162" s="3" t="n">
        <v>1</v>
      </c>
      <c r="K162" s="3" t="inlineStr">
        <is>
          <t>强化道具</t>
        </is>
      </c>
      <c r="M162" s="3" t="n">
        <v>30000</v>
      </c>
      <c r="N162" s="3" t="inlineStr">
        <is>
          <t>是</t>
        </is>
      </c>
      <c r="P162" s="3" t="n">
        <v>1</v>
      </c>
      <c r="Q162" s="3" t="inlineStr">
        <is>
          <t>无</t>
        </is>
      </c>
      <c r="R162" s="3" t="n">
        <v>999</v>
      </c>
      <c r="S162" s="3" t="inlineStr">
        <is>
          <t>系统_宝石</t>
        </is>
      </c>
      <c r="V162" s="3" t="inlineStr">
        <is>
          <t>|cff00FF00镶嵌进装备后生命值+10</t>
        </is>
      </c>
      <c r="W162" s="3" t="inlineStr">
        <is>
          <t>平台抽奖获得</t>
        </is>
      </c>
      <c r="X162" s="3" t="n">
        <v>30040026</v>
      </c>
      <c r="Y162" s="11" t="inlineStr">
        <is>
          <t>fall_zhuansheng_01</t>
        </is>
      </c>
      <c r="Z162" s="3" t="inlineStr">
        <is>
          <t>ain_effect_ziseguangzhu_85</t>
        </is>
      </c>
      <c r="AA162" s="3" t="inlineStr">
        <is>
          <t>BK_J_zi</t>
        </is>
      </c>
      <c r="AB162" s="3" t="inlineStr">
        <is>
          <t>BK_D_zi</t>
        </is>
      </c>
    </row>
    <row r="163">
      <c r="B163" s="3">
        <f>30000000+INDEX(编号表!$B:$B,MATCH(G163,编号表!$A:$A,0))*10000+E163</f>
        <v/>
      </c>
      <c r="C163" s="3" t="inlineStr">
        <is>
          <t>2级生命宝石</t>
        </is>
      </c>
      <c r="D163" s="3" t="inlineStr">
        <is>
          <t>紫色</t>
        </is>
      </c>
      <c r="E163" s="3" t="n">
        <v>27</v>
      </c>
      <c r="F163" s="3" t="n">
        <v>60</v>
      </c>
      <c r="G163" s="3" t="inlineStr">
        <is>
          <t>强化</t>
        </is>
      </c>
      <c r="H163" s="3" t="inlineStr">
        <is>
          <t>大类_基础</t>
        </is>
      </c>
      <c r="I163" s="3" t="inlineStr">
        <is>
          <t>子类_贵重品</t>
        </is>
      </c>
      <c r="J163" s="3" t="n">
        <v>1</v>
      </c>
      <c r="K163" s="3" t="inlineStr">
        <is>
          <t>强化道具</t>
        </is>
      </c>
      <c r="M163" s="3" t="n">
        <v>30000</v>
      </c>
      <c r="N163" s="3" t="inlineStr">
        <is>
          <t>是</t>
        </is>
      </c>
      <c r="P163" s="3" t="n">
        <v>1</v>
      </c>
      <c r="Q163" s="3" t="inlineStr">
        <is>
          <t>无</t>
        </is>
      </c>
      <c r="R163" s="3" t="n">
        <v>999</v>
      </c>
      <c r="S163" s="3" t="inlineStr">
        <is>
          <t>系统_宝石</t>
        </is>
      </c>
      <c r="V163" s="3" t="inlineStr">
        <is>
          <t>|cff00FF00镶嵌进装备后生命值+20</t>
        </is>
      </c>
      <c r="W163" s="3" t="inlineStr">
        <is>
          <t>平台抽奖获得</t>
        </is>
      </c>
      <c r="X163" s="3" t="n">
        <v>30040027</v>
      </c>
      <c r="Y163" s="11" t="inlineStr">
        <is>
          <t>fall_zhuansheng_01</t>
        </is>
      </c>
      <c r="Z163" s="3" t="inlineStr">
        <is>
          <t>ain_effect_ziseguangzhu_85</t>
        </is>
      </c>
      <c r="AA163" s="3" t="inlineStr">
        <is>
          <t>BK_J_zi</t>
        </is>
      </c>
      <c r="AB163" s="3" t="inlineStr">
        <is>
          <t>BK_D_zi</t>
        </is>
      </c>
    </row>
    <row r="164">
      <c r="B164" s="3">
        <f>30000000+INDEX(编号表!$B:$B,MATCH(G164,编号表!$A:$A,0))*10000+E164</f>
        <v/>
      </c>
      <c r="C164" s="3" t="inlineStr">
        <is>
          <t>1级攻魔道宝石</t>
        </is>
      </c>
      <c r="D164" s="3" t="inlineStr">
        <is>
          <t>紫色</t>
        </is>
      </c>
      <c r="E164" s="3" t="n">
        <v>28</v>
      </c>
      <c r="F164" s="3" t="n">
        <v>60</v>
      </c>
      <c r="G164" s="3" t="inlineStr">
        <is>
          <t>强化</t>
        </is>
      </c>
      <c r="H164" s="3" t="inlineStr">
        <is>
          <t>大类_基础</t>
        </is>
      </c>
      <c r="I164" s="3" t="inlineStr">
        <is>
          <t>子类_贵重品</t>
        </is>
      </c>
      <c r="J164" s="3" t="n">
        <v>1</v>
      </c>
      <c r="K164" s="3" t="inlineStr">
        <is>
          <t>强化道具</t>
        </is>
      </c>
      <c r="M164" s="3" t="n">
        <v>30000</v>
      </c>
      <c r="N164" s="3" t="inlineStr">
        <is>
          <t>是</t>
        </is>
      </c>
      <c r="P164" s="3" t="n">
        <v>1</v>
      </c>
      <c r="Q164" s="3" t="inlineStr">
        <is>
          <t>无</t>
        </is>
      </c>
      <c r="R164" s="3" t="n">
        <v>999</v>
      </c>
      <c r="S164" s="3" t="inlineStr">
        <is>
          <t>系统_宝石</t>
        </is>
      </c>
      <c r="V164" s="3" t="inlineStr">
        <is>
          <t>|cff00FF00镶嵌进装备后攻魔道上限+10</t>
        </is>
      </c>
      <c r="W164" s="3" t="inlineStr">
        <is>
          <t>平台抽奖获得</t>
        </is>
      </c>
      <c r="X164" s="3" t="n">
        <v>30040028</v>
      </c>
      <c r="Y164" s="3" t="inlineStr">
        <is>
          <t>fall_zhuansheng_02</t>
        </is>
      </c>
      <c r="Z164" s="3" t="inlineStr">
        <is>
          <t>ain_effect_ziseguangzhu_85</t>
        </is>
      </c>
      <c r="AA164" s="3" t="inlineStr">
        <is>
          <t>BK_J_zi</t>
        </is>
      </c>
      <c r="AB164" s="3" t="inlineStr">
        <is>
          <t>BK_D_zi</t>
        </is>
      </c>
    </row>
    <row r="165">
      <c r="B165" s="3">
        <f>30000000+INDEX(编号表!$B:$B,MATCH(G165,编号表!$A:$A,0))*10000+E165</f>
        <v/>
      </c>
      <c r="C165" s="3" t="inlineStr">
        <is>
          <t>2级攻魔道宝石</t>
        </is>
      </c>
      <c r="D165" s="3" t="inlineStr">
        <is>
          <t>紫色</t>
        </is>
      </c>
      <c r="E165" s="3" t="n">
        <v>29</v>
      </c>
      <c r="F165" s="3" t="n">
        <v>60</v>
      </c>
      <c r="G165" s="3" t="inlineStr">
        <is>
          <t>强化</t>
        </is>
      </c>
      <c r="H165" s="3" t="inlineStr">
        <is>
          <t>大类_基础</t>
        </is>
      </c>
      <c r="I165" s="3" t="inlineStr">
        <is>
          <t>子类_贵重品</t>
        </is>
      </c>
      <c r="J165" s="3" t="n">
        <v>1</v>
      </c>
      <c r="K165" s="3" t="inlineStr">
        <is>
          <t>强化道具</t>
        </is>
      </c>
      <c r="M165" s="3" t="n">
        <v>30000</v>
      </c>
      <c r="N165" s="3" t="inlineStr">
        <is>
          <t>是</t>
        </is>
      </c>
      <c r="P165" s="3" t="n">
        <v>1</v>
      </c>
      <c r="Q165" s="3" t="inlineStr">
        <is>
          <t>无</t>
        </is>
      </c>
      <c r="R165" s="3" t="n">
        <v>999</v>
      </c>
      <c r="S165" s="3" t="inlineStr">
        <is>
          <t>系统_宝石</t>
        </is>
      </c>
      <c r="V165" s="3" t="inlineStr">
        <is>
          <t>|cff00FF00镶嵌进装备后攻魔道上限+20</t>
        </is>
      </c>
      <c r="W165" s="3" t="inlineStr">
        <is>
          <t>平台抽奖获得</t>
        </is>
      </c>
      <c r="X165" s="3" t="n">
        <v>30040029</v>
      </c>
      <c r="Y165" s="3" t="inlineStr">
        <is>
          <t>fall_zhuansheng_02</t>
        </is>
      </c>
      <c r="Z165" s="3" t="inlineStr">
        <is>
          <t>ain_effect_ziseguangzhu_85</t>
        </is>
      </c>
      <c r="AA165" s="3" t="inlineStr">
        <is>
          <t>BK_J_zi</t>
        </is>
      </c>
      <c r="AB165" s="3" t="inlineStr">
        <is>
          <t>BK_D_zi</t>
        </is>
      </c>
    </row>
    <row r="166">
      <c r="B166" s="3">
        <f>30000000+INDEX(编号表!$B:$B,MATCH(G166,编号表!$A:$A,0))*10000+E166</f>
        <v/>
      </c>
      <c r="C166" s="3" t="inlineStr">
        <is>
          <t>1级物防宝石</t>
        </is>
      </c>
      <c r="D166" s="3" t="inlineStr">
        <is>
          <t>紫色</t>
        </is>
      </c>
      <c r="E166" s="3" t="n">
        <v>30</v>
      </c>
      <c r="F166" s="3" t="n">
        <v>60</v>
      </c>
      <c r="G166" s="3" t="inlineStr">
        <is>
          <t>强化</t>
        </is>
      </c>
      <c r="H166" s="3" t="inlineStr">
        <is>
          <t>大类_基础</t>
        </is>
      </c>
      <c r="I166" s="3" t="inlineStr">
        <is>
          <t>子类_贵重品</t>
        </is>
      </c>
      <c r="J166" s="3" t="n">
        <v>1</v>
      </c>
      <c r="K166" s="3" t="inlineStr">
        <is>
          <t>强化道具</t>
        </is>
      </c>
      <c r="M166" s="3" t="n">
        <v>30000</v>
      </c>
      <c r="N166" s="3" t="inlineStr">
        <is>
          <t>是</t>
        </is>
      </c>
      <c r="P166" s="3" t="n">
        <v>1</v>
      </c>
      <c r="Q166" s="3" t="inlineStr">
        <is>
          <t>无</t>
        </is>
      </c>
      <c r="R166" s="3" t="n">
        <v>999</v>
      </c>
      <c r="S166" s="3" t="inlineStr">
        <is>
          <t>系统_宝石</t>
        </is>
      </c>
      <c r="V166" s="3" t="inlineStr">
        <is>
          <t>|cff00FF00镶嵌进装备后物防上限+10</t>
        </is>
      </c>
      <c r="W166" s="3" t="inlineStr">
        <is>
          <t>平台抽奖获得</t>
        </is>
      </c>
      <c r="X166" s="3" t="n">
        <v>30040030</v>
      </c>
      <c r="Y166" s="3" t="inlineStr">
        <is>
          <t>fall_zhuansheng_03</t>
        </is>
      </c>
      <c r="Z166" s="3" t="inlineStr">
        <is>
          <t>ain_effect_ziseguangzhu_85</t>
        </is>
      </c>
      <c r="AA166" s="3" t="inlineStr">
        <is>
          <t>BK_J_zi</t>
        </is>
      </c>
      <c r="AB166" s="3" t="inlineStr">
        <is>
          <t>BK_D_zi</t>
        </is>
      </c>
    </row>
    <row r="167">
      <c r="B167" s="3">
        <f>30000000+INDEX(编号表!$B:$B,MATCH(G167,编号表!$A:$A,0))*10000+E167</f>
        <v/>
      </c>
      <c r="C167" s="3" t="inlineStr">
        <is>
          <t>2级物防宝石</t>
        </is>
      </c>
      <c r="D167" s="3" t="inlineStr">
        <is>
          <t>紫色</t>
        </is>
      </c>
      <c r="E167" s="3" t="n">
        <v>31</v>
      </c>
      <c r="F167" s="3" t="n">
        <v>60</v>
      </c>
      <c r="G167" s="3" t="inlineStr">
        <is>
          <t>强化</t>
        </is>
      </c>
      <c r="H167" s="3" t="inlineStr">
        <is>
          <t>大类_基础</t>
        </is>
      </c>
      <c r="I167" s="3" t="inlineStr">
        <is>
          <t>子类_贵重品</t>
        </is>
      </c>
      <c r="J167" s="3" t="n">
        <v>1</v>
      </c>
      <c r="K167" s="3" t="inlineStr">
        <is>
          <t>强化道具</t>
        </is>
      </c>
      <c r="M167" s="3" t="n">
        <v>30000</v>
      </c>
      <c r="N167" s="3" t="inlineStr">
        <is>
          <t>是</t>
        </is>
      </c>
      <c r="P167" s="3" t="n">
        <v>1</v>
      </c>
      <c r="Q167" s="3" t="inlineStr">
        <is>
          <t>无</t>
        </is>
      </c>
      <c r="R167" s="3" t="n">
        <v>999</v>
      </c>
      <c r="S167" s="3" t="inlineStr">
        <is>
          <t>系统_宝石</t>
        </is>
      </c>
      <c r="V167" s="3" t="inlineStr">
        <is>
          <t>|cff00FF00镶嵌进装备后物防上限+20</t>
        </is>
      </c>
      <c r="W167" s="3" t="inlineStr">
        <is>
          <t>平台抽奖获得</t>
        </is>
      </c>
      <c r="X167" s="3" t="n">
        <v>30040031</v>
      </c>
      <c r="Y167" s="3" t="inlineStr">
        <is>
          <t>fall_zhuansheng_03</t>
        </is>
      </c>
      <c r="Z167" s="3" t="inlineStr">
        <is>
          <t>ain_effect_ziseguangzhu_85</t>
        </is>
      </c>
      <c r="AA167" s="3" t="inlineStr">
        <is>
          <t>BK_J_zi</t>
        </is>
      </c>
      <c r="AB167" s="3" t="inlineStr">
        <is>
          <t>BK_D_zi</t>
        </is>
      </c>
    </row>
    <row r="168">
      <c r="B168" s="3">
        <f>30000000+INDEX(编号表!$B:$B,MATCH(G168,编号表!$A:$A,0))*10000+E168</f>
        <v/>
      </c>
      <c r="C168" s="3" t="inlineStr">
        <is>
          <t>1级魔防宝石</t>
        </is>
      </c>
      <c r="D168" s="3" t="inlineStr">
        <is>
          <t>紫色</t>
        </is>
      </c>
      <c r="E168" s="3" t="n">
        <v>32</v>
      </c>
      <c r="F168" s="3" t="n">
        <v>60</v>
      </c>
      <c r="G168" s="3" t="inlineStr">
        <is>
          <t>强化</t>
        </is>
      </c>
      <c r="H168" s="3" t="inlineStr">
        <is>
          <t>大类_基础</t>
        </is>
      </c>
      <c r="I168" s="3" t="inlineStr">
        <is>
          <t>子类_贵重品</t>
        </is>
      </c>
      <c r="J168" s="3" t="n">
        <v>1</v>
      </c>
      <c r="K168" s="3" t="inlineStr">
        <is>
          <t>强化道具</t>
        </is>
      </c>
      <c r="M168" s="3" t="n">
        <v>30000</v>
      </c>
      <c r="N168" s="3" t="inlineStr">
        <is>
          <t>是</t>
        </is>
      </c>
      <c r="P168" s="3" t="n">
        <v>1</v>
      </c>
      <c r="Q168" s="3" t="inlineStr">
        <is>
          <t>无</t>
        </is>
      </c>
      <c r="R168" s="3" t="n">
        <v>999</v>
      </c>
      <c r="S168" s="3" t="inlineStr">
        <is>
          <t>系统_宝石</t>
        </is>
      </c>
      <c r="V168" s="3" t="inlineStr">
        <is>
          <t>|cff00FF00镶嵌进装备后魔防上限+10</t>
        </is>
      </c>
      <c r="W168" s="3" t="inlineStr">
        <is>
          <t>平台抽奖获得</t>
        </is>
      </c>
      <c r="X168" s="3" t="n">
        <v>30040032</v>
      </c>
      <c r="Y168" s="3" t="inlineStr">
        <is>
          <t>fall_zhuansheng_04</t>
        </is>
      </c>
      <c r="Z168" s="3" t="inlineStr">
        <is>
          <t>ain_effect_ziseguangzhu_85</t>
        </is>
      </c>
      <c r="AA168" s="3" t="inlineStr">
        <is>
          <t>BK_J_zi</t>
        </is>
      </c>
      <c r="AB168" s="3" t="inlineStr">
        <is>
          <t>BK_D_zi</t>
        </is>
      </c>
    </row>
    <row r="169">
      <c r="B169" s="3">
        <f>30000000+INDEX(编号表!$B:$B,MATCH(G169,编号表!$A:$A,0))*10000+E169</f>
        <v/>
      </c>
      <c r="C169" s="3" t="inlineStr">
        <is>
          <t>2级魔防宝石</t>
        </is>
      </c>
      <c r="D169" s="3" t="inlineStr">
        <is>
          <t>紫色</t>
        </is>
      </c>
      <c r="E169" s="3" t="n">
        <v>33</v>
      </c>
      <c r="F169" s="3" t="n">
        <v>60</v>
      </c>
      <c r="G169" s="3" t="inlineStr">
        <is>
          <t>强化</t>
        </is>
      </c>
      <c r="H169" s="3" t="inlineStr">
        <is>
          <t>大类_基础</t>
        </is>
      </c>
      <c r="I169" s="3" t="inlineStr">
        <is>
          <t>子类_贵重品</t>
        </is>
      </c>
      <c r="J169" s="3" t="n">
        <v>1</v>
      </c>
      <c r="K169" s="3" t="inlineStr">
        <is>
          <t>强化道具</t>
        </is>
      </c>
      <c r="M169" s="3" t="n">
        <v>30000</v>
      </c>
      <c r="N169" s="3" t="inlineStr">
        <is>
          <t>是</t>
        </is>
      </c>
      <c r="P169" s="3" t="n">
        <v>1</v>
      </c>
      <c r="Q169" s="3" t="inlineStr">
        <is>
          <t>无</t>
        </is>
      </c>
      <c r="R169" s="3" t="n">
        <v>999</v>
      </c>
      <c r="S169" s="3" t="inlineStr">
        <is>
          <t>系统_宝石</t>
        </is>
      </c>
      <c r="V169" s="3" t="inlineStr">
        <is>
          <t>|cff00FF00镶嵌进装备后魔防上限+20</t>
        </is>
      </c>
      <c r="W169" s="3" t="inlineStr">
        <is>
          <t>平台抽奖获得</t>
        </is>
      </c>
      <c r="X169" s="3" t="n">
        <v>30040033</v>
      </c>
      <c r="Y169" s="3" t="inlineStr">
        <is>
          <t>fall_zhuansheng_04</t>
        </is>
      </c>
      <c r="Z169" s="3" t="inlineStr">
        <is>
          <t>ain_effect_ziseguangzhu_85</t>
        </is>
      </c>
      <c r="AA169" s="3" t="inlineStr">
        <is>
          <t>BK_J_zi</t>
        </is>
      </c>
      <c r="AB169" s="3" t="inlineStr">
        <is>
          <t>BK_D_zi</t>
        </is>
      </c>
    </row>
    <row r="170">
      <c r="B170" s="3">
        <f>30000000+INDEX(编号表!$B:$B,MATCH(G170,编号表!$A:$A,0))*10000+E170</f>
        <v/>
      </c>
      <c r="C170" s="3" t="inlineStr">
        <is>
          <t>开孔锥</t>
        </is>
      </c>
      <c r="D170" s="3" t="inlineStr">
        <is>
          <t>紫色</t>
        </is>
      </c>
      <c r="E170" s="3" t="n">
        <v>34</v>
      </c>
      <c r="F170" s="3" t="n">
        <v>60</v>
      </c>
      <c r="G170" s="3" t="inlineStr">
        <is>
          <t>强化</t>
        </is>
      </c>
      <c r="H170" s="3" t="inlineStr">
        <is>
          <t>大类_基础</t>
        </is>
      </c>
      <c r="I170" s="3" t="inlineStr">
        <is>
          <t>子类_贵重品</t>
        </is>
      </c>
      <c r="J170" s="3" t="n">
        <v>1</v>
      </c>
      <c r="K170" s="3" t="inlineStr">
        <is>
          <t>强化道具</t>
        </is>
      </c>
      <c r="M170" s="3" t="n">
        <v>30000</v>
      </c>
      <c r="N170" s="3" t="inlineStr">
        <is>
          <t>是</t>
        </is>
      </c>
      <c r="P170" s="3" t="n">
        <v>1</v>
      </c>
      <c r="Q170" s="3" t="inlineStr">
        <is>
          <t>无</t>
        </is>
      </c>
      <c r="R170" s="3" t="n">
        <v>999</v>
      </c>
      <c r="S170" s="3" t="inlineStr">
        <is>
          <t>系统_宝石</t>
        </is>
      </c>
      <c r="V170" s="3" t="inlineStr">
        <is>
          <t>|cff00FF00前往铁匠铺装备开孔使用</t>
        </is>
      </c>
      <c r="W170" s="3" t="inlineStr">
        <is>
          <t>平台抽奖获得</t>
        </is>
      </c>
      <c r="X170" s="3" t="n">
        <v>30040034</v>
      </c>
      <c r="Y170" s="3" t="inlineStr">
        <is>
          <t>fall_hechengfu_01</t>
        </is>
      </c>
      <c r="Z170" s="3" t="inlineStr">
        <is>
          <t>ain_effect_ziseguangzhu_85</t>
        </is>
      </c>
      <c r="AA170" s="3" t="inlineStr">
        <is>
          <t>BK_J_zi</t>
        </is>
      </c>
      <c r="AB170" s="3" t="inlineStr">
        <is>
          <t>BK_D_zi</t>
        </is>
      </c>
    </row>
    <row r="171">
      <c r="B171" s="3">
        <f>30000000+INDEX(编号表!$B:$B,MATCH(G171,编号表!$A:$A,0))*10000+E171</f>
        <v/>
      </c>
      <c r="C171" s="3" t="inlineStr">
        <is>
          <t>宝石碎片</t>
        </is>
      </c>
      <c r="D171" s="3" t="inlineStr">
        <is>
          <t>紫色</t>
        </is>
      </c>
      <c r="E171" s="3" t="n">
        <v>35</v>
      </c>
      <c r="F171" s="3" t="n">
        <v>60</v>
      </c>
      <c r="G171" s="3" t="inlineStr">
        <is>
          <t>强化</t>
        </is>
      </c>
      <c r="H171" s="3" t="inlineStr">
        <is>
          <t>大类_基础</t>
        </is>
      </c>
      <c r="I171" s="3" t="inlineStr">
        <is>
          <t>子类_贵重品</t>
        </is>
      </c>
      <c r="J171" s="3" t="n">
        <v>1</v>
      </c>
      <c r="K171" s="3" t="inlineStr">
        <is>
          <t>强化道具</t>
        </is>
      </c>
      <c r="M171" s="3" t="n">
        <v>30000</v>
      </c>
      <c r="N171" s="3" t="inlineStr">
        <is>
          <t>是</t>
        </is>
      </c>
      <c r="P171" s="3" t="n">
        <v>1</v>
      </c>
      <c r="Q171" s="3" t="inlineStr">
        <is>
          <t>无</t>
        </is>
      </c>
      <c r="R171" s="3" t="n">
        <v>9999</v>
      </c>
      <c r="S171" s="3" t="inlineStr">
        <is>
          <t>系统_宝石</t>
        </is>
      </c>
      <c r="V171" s="3" t="inlineStr">
        <is>
          <t>|cff00FF00前往铁匠铺合成宝石使用</t>
        </is>
      </c>
      <c r="W171" s="3" t="inlineStr">
        <is>
          <t>平台抽奖获得</t>
        </is>
      </c>
      <c r="X171" s="3" t="n">
        <v>30040035</v>
      </c>
      <c r="Y171" s="3" t="inlineStr">
        <is>
          <t>fall_hechengfu_01</t>
        </is>
      </c>
      <c r="Z171" s="3" t="inlineStr">
        <is>
          <t>ain_effect_ziseguangzhu_85</t>
        </is>
      </c>
      <c r="AA171" s="3" t="inlineStr">
        <is>
          <t>BK_J_zi</t>
        </is>
      </c>
      <c r="AB171" s="3" t="inlineStr">
        <is>
          <t>BK_D_zi</t>
        </is>
      </c>
    </row>
  </sheetData>
  <conditionalFormatting sqref="A99:A111">
    <cfRule type="duplicateValues" priority="5" dxfId="0"/>
  </conditionalFormatting>
  <conditionalFormatting sqref="A112:A169">
    <cfRule type="duplicateValues" priority="3" dxfId="0"/>
  </conditionalFormatting>
  <conditionalFormatting sqref="W99:W108">
    <cfRule type="duplicateValues" priority="4" dxfId="0"/>
  </conditionalFormatting>
  <conditionalFormatting sqref="A1:A98 A170:A1048576">
    <cfRule type="duplicateValues" priority="18" dxfId="0"/>
  </conditionalFormatting>
  <conditionalFormatting sqref="B127:B150 E127:E150">
    <cfRule type="duplicateValues" priority="1" dxfId="1"/>
  </conditionalFormatting>
  <dataValidations count="1">
    <dataValidation sqref="G160:H1048576 K22:K23 K26 K28:K29 K31:K40 K42:K49 K51:K159 K160:M1048576 R89:R91 R104:R150 R160:R1048576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27"/>
  <sheetViews>
    <sheetView workbookViewId="0">
      <selection activeCell="C32" sqref="C32"/>
    </sheetView>
  </sheetViews>
  <sheetFormatPr baseColWidth="8" defaultColWidth="8.723809523809519" defaultRowHeight="14.25"/>
  <cols>
    <col width="26.7238095238095" customWidth="1" style="2" min="8" max="8"/>
    <col width="16.6380952380952" customWidth="1" style="2" min="12" max="12"/>
  </cols>
  <sheetData>
    <row r="1">
      <c r="A1" s="0" t="inlineStr">
        <is>
          <t>内部名</t>
        </is>
      </c>
      <c r="B1" s="0" t="inlineStr">
        <is>
          <t>编号</t>
        </is>
      </c>
      <c r="C1" s="0" t="inlineStr">
        <is>
          <t>物编编号</t>
        </is>
      </c>
      <c r="D1" s="0" t="inlineStr">
        <is>
          <t>颜色</t>
        </is>
      </c>
      <c r="E1" s="0" t="inlineStr">
        <is>
          <t>编号</t>
        </is>
      </c>
      <c r="G1" s="0" t="inlineStr">
        <is>
          <t>从左数起</t>
        </is>
      </c>
    </row>
    <row r="2">
      <c r="A2" s="0" t="inlineStr">
        <is>
          <t>货币</t>
        </is>
      </c>
      <c r="B2" s="0" t="n">
        <v>1</v>
      </c>
      <c r="C2" s="0" t="inlineStr">
        <is>
          <t>A</t>
        </is>
      </c>
      <c r="D2" s="0" t="inlineStr">
        <is>
          <t>白色</t>
        </is>
      </c>
      <c r="E2" s="0" t="n">
        <v>1</v>
      </c>
      <c r="G2" s="0" t="inlineStr">
        <is>
          <t>第1位</t>
        </is>
      </c>
      <c r="H2" s="0" t="inlineStr">
        <is>
          <t>固定为3表示物品</t>
        </is>
      </c>
    </row>
    <row r="3">
      <c r="A3" s="0" t="inlineStr">
        <is>
          <t>技能</t>
        </is>
      </c>
      <c r="B3" s="0" t="n">
        <v>2</v>
      </c>
      <c r="C3" s="0" t="inlineStr">
        <is>
          <t>B</t>
        </is>
      </c>
      <c r="D3" s="0" t="inlineStr">
        <is>
          <t>绿色</t>
        </is>
      </c>
      <c r="E3" s="0" t="n">
        <v>2</v>
      </c>
      <c r="G3" s="0" t="inlineStr">
        <is>
          <t>第2位</t>
        </is>
      </c>
      <c r="H3" s="3" t="inlineStr">
        <is>
          <t>分大类</t>
        </is>
      </c>
    </row>
    <row r="4">
      <c r="A4" s="0" t="inlineStr">
        <is>
          <t>经验</t>
        </is>
      </c>
      <c r="B4" s="0" t="n">
        <v>3</v>
      </c>
      <c r="C4" s="0" t="inlineStr">
        <is>
          <t>C</t>
        </is>
      </c>
      <c r="D4" s="0" t="inlineStr">
        <is>
          <t>蓝色</t>
        </is>
      </c>
      <c r="E4" s="0" t="n">
        <v>3</v>
      </c>
      <c r="G4" s="0" t="inlineStr">
        <is>
          <t>第3位</t>
        </is>
      </c>
    </row>
    <row r="5">
      <c r="A5" s="0" t="inlineStr">
        <is>
          <t>强化</t>
        </is>
      </c>
      <c r="B5" s="0" t="n">
        <v>4</v>
      </c>
      <c r="C5" s="0" t="inlineStr">
        <is>
          <t>D</t>
        </is>
      </c>
      <c r="D5" s="0" t="inlineStr">
        <is>
          <t>紫色</t>
        </is>
      </c>
      <c r="E5" s="0" t="n">
        <v>4</v>
      </c>
      <c r="G5" s="0" t="inlineStr">
        <is>
          <t>第4位</t>
        </is>
      </c>
    </row>
    <row r="6">
      <c r="A6" s="0" t="inlineStr">
        <is>
          <t>药品</t>
        </is>
      </c>
      <c r="B6" s="0" t="n">
        <v>5</v>
      </c>
      <c r="C6" s="0" t="inlineStr">
        <is>
          <t>E</t>
        </is>
      </c>
      <c r="D6" s="0" t="inlineStr">
        <is>
          <t>橙色</t>
        </is>
      </c>
      <c r="E6" s="0" t="n">
        <v>5</v>
      </c>
      <c r="G6" s="0" t="inlineStr">
        <is>
          <t>第5位</t>
        </is>
      </c>
      <c r="H6" s="3" t="inlineStr">
        <is>
          <t>本分类下的序号</t>
        </is>
      </c>
    </row>
    <row r="7">
      <c r="A7" s="0" t="inlineStr">
        <is>
          <t>任务</t>
        </is>
      </c>
      <c r="B7" s="0" t="n">
        <v>6</v>
      </c>
      <c r="D7" s="0" t="inlineStr">
        <is>
          <t>红色</t>
        </is>
      </c>
      <c r="E7" s="0" t="n">
        <v>6</v>
      </c>
      <c r="G7" s="0" t="inlineStr">
        <is>
          <t>第6位</t>
        </is>
      </c>
    </row>
    <row r="8">
      <c r="A8" s="0" t="inlineStr">
        <is>
          <t>铭文</t>
        </is>
      </c>
      <c r="B8" s="0" t="n">
        <v>7</v>
      </c>
      <c r="E8" s="0" t="n">
        <v>7</v>
      </c>
      <c r="G8" s="0" t="inlineStr">
        <is>
          <t>第7位</t>
        </is>
      </c>
    </row>
    <row r="9">
      <c r="A9" s="0" t="inlineStr">
        <is>
          <t>外观</t>
        </is>
      </c>
      <c r="B9" s="0" t="n">
        <v>8</v>
      </c>
      <c r="E9" s="0" t="n">
        <v>8</v>
      </c>
      <c r="G9" s="0" t="inlineStr">
        <is>
          <t>第8位</t>
        </is>
      </c>
    </row>
    <row r="10">
      <c r="A10" s="0" t="inlineStr">
        <is>
          <t>特戒</t>
        </is>
      </c>
      <c r="B10" s="0" t="n">
        <v>9</v>
      </c>
      <c r="E10" s="0" t="n">
        <v>9</v>
      </c>
    </row>
    <row r="11">
      <c r="B11" s="0" t="n">
        <v>10</v>
      </c>
    </row>
    <row r="12">
      <c r="B12" s="0" t="n">
        <v>11</v>
      </c>
    </row>
    <row r="13">
      <c r="B13" s="0" t="n">
        <v>12</v>
      </c>
    </row>
    <row r="14">
      <c r="B14" s="0" t="n">
        <v>13</v>
      </c>
      <c r="G14" s="0" t="inlineStr">
        <is>
          <t>新物品ID编号计算规则=30000000+@INDEX(编号表!$B:$B,MATCH(C3,编号表!$A:$A,0))*10000+E3</t>
        </is>
      </c>
    </row>
    <row r="15">
      <c r="B15" s="0" t="n">
        <v>14</v>
      </c>
      <c r="G15" s="0" t="inlineStr">
        <is>
          <t>改动原因：因为现在的道具配置之后，品质有改动的可能，因此暂时把品质对ID的影响取消掉。</t>
        </is>
      </c>
    </row>
    <row r="16">
      <c r="B16" s="0" t="n">
        <v>15</v>
      </c>
    </row>
    <row r="17">
      <c r="B17" s="0" t="n">
        <v>16</v>
      </c>
    </row>
    <row r="18">
      <c r="B18" s="0" t="n">
        <v>17</v>
      </c>
    </row>
    <row r="19">
      <c r="B19" s="0" t="n">
        <v>18</v>
      </c>
    </row>
    <row r="20">
      <c r="B20" s="0" t="n">
        <v>19</v>
      </c>
    </row>
    <row r="22" ht="48.75" customHeight="1" s="2">
      <c r="D22" s="4" t="inlineStr">
        <is>
          <t>道具ID必须下拉，使用公式自动生成ID！！！</t>
        </is>
      </c>
    </row>
    <row r="27">
      <c r="F27" s="5" t="n"/>
    </row>
  </sheetData>
  <mergeCells count="2">
    <mergeCell ref="H3:H5"/>
    <mergeCell ref="H6:H9"/>
  </mergeCells>
  <conditionalFormatting sqref="A1:A9">
    <cfRule type="duplicateValues" priority="1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B30" sqref="B30"/>
    </sheetView>
  </sheetViews>
  <sheetFormatPr baseColWidth="8" defaultColWidth="8.723809523809519" defaultRowHeight="14.25"/>
  <cols>
    <col width="95.0952380952381" customWidth="1" style="1" min="2" max="2"/>
  </cols>
  <sheetData>
    <row r="1">
      <c r="A1" s="0" t="inlineStr">
        <is>
          <t>版本</t>
        </is>
      </c>
      <c r="B1" s="1" t="inlineStr">
        <is>
          <t>说明</t>
        </is>
      </c>
    </row>
    <row r="2" ht="28.5" customHeight="1" s="2">
      <c r="A2" s="0" t="n">
        <v>1.12</v>
      </c>
      <c r="B2" s="1" t="inlineStr">
        <is>
          <t>物品编号从2开头七位改为3开头8位
增加光柱配置</t>
        </is>
      </c>
    </row>
    <row r="3">
      <c r="A3" s="0" t="n">
        <v>1.13</v>
      </c>
      <c r="B3" s="1" t="inlineStr">
        <is>
          <t>掉落模型</t>
        </is>
      </c>
    </row>
    <row r="4">
      <c r="A4" s="0" t="n">
        <v>1.14</v>
      </c>
      <c r="B4" s="1" t="inlineStr">
        <is>
          <t>新增0显示分类DisplayType纯TIPS上显示用</t>
        </is>
      </c>
    </row>
    <row r="5">
      <c r="A5" s="0" t="n">
        <v>1.15</v>
      </c>
      <c r="B5" s="1" t="inlineStr">
        <is>
          <t>更新编号规则，增加颜色对应的品质，对应改物品ID</t>
        </is>
      </c>
    </row>
    <row r="6">
      <c r="A6" s="0" t="n">
        <v>1.16</v>
      </c>
      <c r="B6" s="1" t="inlineStr">
        <is>
          <t>更新图标</t>
        </is>
      </c>
    </row>
    <row r="7">
      <c r="A7" s="0" t="n">
        <v>1.17</v>
      </c>
      <c r="B7" s="1" t="inlineStr">
        <is>
          <t>新增血药蓝药对应功能ID配置</t>
        </is>
      </c>
    </row>
    <row r="8">
      <c r="A8" s="0" t="n">
        <v>1.18</v>
      </c>
      <c r="B8" s="1" t="inlineStr">
        <is>
          <t>新增小极品打造相关道具</t>
        </is>
      </c>
    </row>
    <row r="9">
      <c r="A9" s="0" t="n">
        <v>1.19</v>
      </c>
      <c r="B9" s="1" t="inlineStr">
        <is>
          <t>给小极品打造道具配置图标，临时使用</t>
        </is>
      </c>
    </row>
    <row r="10">
      <c r="A10" s="0" t="n">
        <v>1.2</v>
      </c>
      <c r="B10" s="1" t="inlineStr">
        <is>
          <t>新增双加药</t>
        </is>
      </c>
    </row>
    <row r="11">
      <c r="A11" s="0" t="n">
        <v>1.21</v>
      </c>
      <c r="B11" s="1" t="inlineStr">
        <is>
          <t>新增多种金币和灵符道具，打开获得的数量不同。同时更新道具描述</t>
        </is>
      </c>
    </row>
    <row r="12">
      <c r="A12" s="0" t="n">
        <v>1.22</v>
      </c>
      <c r="B12" s="1" t="inlineStr">
        <is>
          <t>更新掉落物，物品ID增加格式，重复显示红色</t>
        </is>
      </c>
    </row>
    <row r="13">
      <c r="A13" s="0" t="n">
        <v>1.23</v>
      </c>
      <c r="B13" s="1" t="inlineStr">
        <is>
          <t>新增静态边框和动态边框的配置项</t>
        </is>
      </c>
    </row>
    <row r="14">
      <c r="A14" s="0" t="n">
        <v>1.24</v>
      </c>
      <c r="B14" s="1" t="inlineStr">
        <is>
          <t>新增铭文ICON编号和对应掉落物模型，修改34040043为道神纹</t>
        </is>
      </c>
    </row>
    <row r="15">
      <c r="A15" s="0" t="n">
        <v>1.25</v>
      </c>
    </row>
    <row r="16">
      <c r="A16" s="0" t="n">
        <v>1.26</v>
      </c>
      <c r="B16" s="1" t="inlineStr">
        <is>
          <t>编号里新增了一类任务，对应新增的任务物品的大类颜色和序号都改了，对应物品的ID也变了</t>
        </is>
      </c>
    </row>
    <row r="17" ht="28.5" customHeight="1" s="2">
      <c r="A17" s="0" t="n">
        <v>1.27</v>
      </c>
      <c r="B17" s="1" t="inlineStr">
        <is>
          <t>对ID规则进行改动，在ID编号的计算中删掉了品质的影响。铭文使用新的ID计算规则计算，其他的老物品ID不变，删掉ID编号规则，直接粘贴老的ID</t>
        </is>
      </c>
      <c r="E17" s="0" t="inlineStr">
        <is>
          <t>新物品ID编号计算规则=30000000+@INDEX(编号表!$B:$B,MATCH(C3,编号表!$A:$A,0))*10000+E3</t>
        </is>
      </c>
    </row>
    <row r="18">
      <c r="A18" s="0" t="n">
        <v>1.28</v>
      </c>
      <c r="B18" s="1" t="inlineStr">
        <is>
          <t>新增一类外观道具</t>
        </is>
      </c>
    </row>
    <row r="19">
      <c r="A19" s="0" t="n">
        <v>1.29</v>
      </c>
    </row>
    <row r="20">
      <c r="A20" s="0" t="n">
        <v>1.3</v>
      </c>
    </row>
    <row r="21">
      <c r="A21" s="0" t="n">
        <v>1.31</v>
      </c>
    </row>
    <row r="22">
      <c r="A22" s="0" t="n">
        <v>1.32</v>
      </c>
    </row>
    <row r="23">
      <c r="A23" s="0" t="n">
        <v>1.33</v>
      </c>
    </row>
    <row r="24">
      <c r="A24" s="0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Kane</dc:creator>
  <dcterms:created xsi:type="dcterms:W3CDTF">2019-08-16T02:41:00Z</dcterms:created>
  <dcterms:modified xsi:type="dcterms:W3CDTF">2026-07-06T23:32:29Z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KSOReadingLayout" fmtid="{D5CDD505-2E9C-101B-9397-08002B2CF9AE}" pid="3">
    <vt:bool>0</vt:bool>
  </property>
  <property name="ICV" fmtid="{D5CDD505-2E9C-101B-9397-08002B2CF9AE}" pid="4">
    <vt:lpwstr>F0AE49BEF5CC483E811D67B93D60AC71_13</vt:lpwstr>
  </property>
  <property name="CalculationRule" fmtid="{D5CDD505-2E9C-101B-9397-08002B2CF9AE}" pid="5">
    <vt:i4>0</vt:i4>
  </property>
</Properties>
</file>