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mortal-cultivation-war3\xlsx\"/>
    </mc:Choice>
  </mc:AlternateContent>
  <bookViews>
    <workbookView windowWidth="22091" windowHeight="9144"/>
  </bookViews>
  <sheets>
    <sheet name="region_config" sheetId="1" r:id="rId1"/>
    <sheet name="ConfigScene" sheetId="2" r:id="rId2"/>
    <sheet name="编号表" sheetId="3" r:id="rId3"/>
    <sheet name="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<sst xmlns="http://schemas.openxmlformats.org/spreadsheetml/2006/main" count="2133" uniqueCount="1100">
  <si>
    <t>##var</t>
  </si>
  <si>
    <t>config_id</t>
  </si>
  <si>
    <t>rect_name</t>
  </si>
  <si>
    <t>scene_name</t>
  </si>
  <si>
    <t>scene_id</t>
  </si>
  <si>
    <t>is_main_rect</t>
  </si>
  <si>
    <t>is_born_rect</t>
  </si>
  <si>
    <t>is_minimap_rect</t>
  </si>
  <si>
    <t>min_x</t>
  </si>
  <si>
    <t>max_x</t>
  </si>
  <si>
    <t>min_y</t>
  </si>
  <si>
    <t>max_y</t>
  </si>
  <si>
    <t>teleport_target</t>
  </si>
  <si>
    <t>refresh_monster_plans</t>
  </si>
  <si>
    <t>##type</t>
  </si>
  <si>
    <t>int</t>
  </si>
  <si>
    <t>string</t>
  </si>
  <si>
    <t>int整数string文本枚举自起名字</t>
  </si>
  <si>
    <t>float?</t>
  </si>
  <si>
    <t>array,int</t>
  </si>
  <si>
    <t>##group</t>
  </si>
  <si>
    <t>c</t>
  </si>
  <si>
    <t>c,s,,C客户端S服务器不填都用</t>
  </si>
  <si>
    <t>s</t>
  </si>
  <si>
    <t>##</t>
  </si>
  <si>
    <t>区域ID</t>
  </si>
  <si>
    <t>区域名（传送才外显）</t>
  </si>
  <si>
    <t>备注</t>
  </si>
  <si>
    <t>地编名</t>
  </si>
  <si>
    <t>所属场景ID</t>
  </si>
  <si>
    <t>类型</t>
  </si>
  <si>
    <t>面积</t>
  </si>
  <si>
    <t>行</t>
  </si>
  <si>
    <t>序号</t>
  </si>
  <si>
    <t>是否场景主区域</t>
  </si>
  <si>
    <t>是否出生区域</t>
  </si>
  <si>
    <t>是否小地图镜头区域</t>
  </si>
  <si>
    <t>区域左边界</t>
  </si>
  <si>
    <t>区域右边界</t>
  </si>
  <si>
    <t>区域下边界</t>
  </si>
  <si>
    <t>区域上边界</t>
  </si>
  <si>
    <t>传送目标区域</t>
  </si>
  <si>
    <t>刷怪方案说明</t>
  </si>
  <si>
    <t>刷怪方案1</t>
  </si>
  <si>
    <t>刷怪方案2</t>
  </si>
  <si>
    <t>刷怪方案3</t>
  </si>
  <si>
    <t>刷怪方案4</t>
  </si>
  <si>
    <t>刷怪方案5</t>
  </si>
  <si>
    <t>刷怪方案6</t>
  </si>
  <si>
    <t>刷怪方案7</t>
  </si>
  <si>
    <t>刷怪方案8</t>
  </si>
  <si>
    <t>天元宗门-怪物1</t>
  </si>
  <si>
    <t>怪物</t>
  </si>
  <si>
    <t>天元宗门-怪物2</t>
  </si>
  <si>
    <t>天元宗门-怪物3</t>
  </si>
  <si>
    <t>天元宗门-怪物4</t>
  </si>
  <si>
    <t>天元宗门-怪物5</t>
  </si>
  <si>
    <t>天元宗门-怪物6</t>
  </si>
  <si>
    <t>天元宗门-怪物7</t>
  </si>
  <si>
    <t>天元宗门-怪物8</t>
  </si>
  <si>
    <t>天元宗门-怪物9</t>
  </si>
  <si>
    <t>天元宗门-怪物10</t>
  </si>
  <si>
    <t>天元宗门-怪物11</t>
  </si>
  <si>
    <t>天元宗门-怪物12</t>
  </si>
  <si>
    <t>天元宗门-怪物13</t>
  </si>
  <si>
    <t>天元宗门-怪物14</t>
  </si>
  <si>
    <t>天元宗门-怪物15</t>
  </si>
  <si>
    <t>天元宗门-怪物16</t>
  </si>
  <si>
    <t>天元宗门-怪物17</t>
  </si>
  <si>
    <t>天元宗门-怪物18</t>
  </si>
  <si>
    <t>天元宗门-怪物19</t>
  </si>
  <si>
    <t>天元宗门-怪物20</t>
  </si>
  <si>
    <t>天元宗门-怪物21</t>
  </si>
  <si>
    <t>天元宗门-怪物22</t>
  </si>
  <si>
    <t>天元宗门-怪物23</t>
  </si>
  <si>
    <t>天元宗门-怪物24</t>
  </si>
  <si>
    <t>天元宗门-怪物25</t>
  </si>
  <si>
    <t>天元宗门-怪物26</t>
  </si>
  <si>
    <t>天元宗门-怪物27</t>
  </si>
  <si>
    <t>天元宗门-怪物28</t>
  </si>
  <si>
    <t>天元宗门-怪物29</t>
  </si>
  <si>
    <t>天元宗门-怪物30</t>
  </si>
  <si>
    <t>天元宗门-怪物31</t>
  </si>
  <si>
    <t>天元宗门-怪物32</t>
  </si>
  <si>
    <t>天元宗门-怪物33</t>
  </si>
  <si>
    <t>天元宗门-怪物34</t>
  </si>
  <si>
    <t>天元宗门-怪物35</t>
  </si>
  <si>
    <t>天元宗门-怪物36</t>
  </si>
  <si>
    <t>天元宗门-怪物37</t>
  </si>
  <si>
    <t>天元宗门-怪物38</t>
  </si>
  <si>
    <t>天元宗门-怪物39</t>
  </si>
  <si>
    <t>天元宗门-怪物40</t>
  </si>
  <si>
    <t>天元宗门-怪物41</t>
  </si>
  <si>
    <t>天元宗门-怪物42</t>
  </si>
  <si>
    <t>天元宗门-怪物43</t>
  </si>
  <si>
    <t>天元宗门-怪物44</t>
  </si>
  <si>
    <t>天元宗门-怪物45</t>
  </si>
  <si>
    <t>天元宗门-怪物46</t>
  </si>
  <si>
    <t>天元宗门-怪物47</t>
  </si>
  <si>
    <t>天元宗门-怪物48</t>
  </si>
  <si>
    <t>天元宗门-怪物49</t>
  </si>
  <si>
    <t xml:space="preserve"> </t>
  </si>
  <si>
    <t>天元宗门-怪物51</t>
  </si>
  <si>
    <t>天元宗门-怪物52</t>
  </si>
  <si>
    <t>天元宗门-怪物53</t>
  </si>
  <si>
    <t>天元宗门-怪物54</t>
  </si>
  <si>
    <t>天元宗门-怪物55</t>
  </si>
  <si>
    <t>天元宗门-怪物56</t>
  </si>
  <si>
    <t>天元宗门-怪物57</t>
  </si>
  <si>
    <t>天元宗门-怪物58</t>
  </si>
  <si>
    <t>天元宗门-怪物59</t>
  </si>
  <si>
    <t>天元宗门-怪物60</t>
  </si>
  <si>
    <t>天元宗门-怪物61</t>
  </si>
  <si>
    <t>天元宗门-怪物62</t>
  </si>
  <si>
    <t>天元宗门-怪物63</t>
  </si>
  <si>
    <t>天元宗门-怪物64</t>
  </si>
  <si>
    <t>天元宗门-怪物65</t>
  </si>
  <si>
    <t>天元宗门-怪物66</t>
  </si>
  <si>
    <t>天元宗门-怪物67</t>
  </si>
  <si>
    <t>天元宗门-怪物68</t>
  </si>
  <si>
    <t>天元宗门-怪物69</t>
  </si>
  <si>
    <t>天元宗门-怪物70</t>
  </si>
  <si>
    <t>天元宗门-怪物71</t>
  </si>
  <si>
    <t>天元宗门-怪物72</t>
  </si>
  <si>
    <t>天元宗门-怪物73</t>
  </si>
  <si>
    <t>天元宗门-怪物74</t>
  </si>
  <si>
    <t>天元宗门-怪物75</t>
  </si>
  <si>
    <t>天元宗门-怪物76</t>
  </si>
  <si>
    <t>天元宗门-怪物77</t>
  </si>
  <si>
    <t>天元宗门-怪物78</t>
  </si>
  <si>
    <t>天元宗门-怪物79</t>
  </si>
  <si>
    <t>天元宗门-怪物80</t>
  </si>
  <si>
    <t>天元宗门-怪物81</t>
  </si>
  <si>
    <t>天元宗门-怪物82</t>
  </si>
  <si>
    <t>天元宗门-怪物83</t>
  </si>
  <si>
    <t>天元宗门-怪物84</t>
  </si>
  <si>
    <t>天元宗门-怪物85</t>
  </si>
  <si>
    <t>天元宗门-怪物86</t>
  </si>
  <si>
    <t>天元宗门-怪物87</t>
  </si>
  <si>
    <t>天元宗门-怪物88</t>
  </si>
  <si>
    <t>天元宗门-怪物89</t>
  </si>
  <si>
    <t>天元宗门-怪物90</t>
  </si>
  <si>
    <t>天元宗门-怪物91</t>
  </si>
  <si>
    <t>天元宗门-怪物92</t>
  </si>
  <si>
    <t>天元宗门-怪物93</t>
  </si>
  <si>
    <t>天元宗门-怪物94</t>
  </si>
  <si>
    <t>天元宗门-怪物95</t>
  </si>
  <si>
    <t>天元宗门-怪物96</t>
  </si>
  <si>
    <t>天元宗门-怪物97</t>
  </si>
  <si>
    <t>天元宗门-怪物98</t>
  </si>
  <si>
    <t>天元宗门-怪物99</t>
  </si>
  <si>
    <t>天元宗门-怪物100</t>
  </si>
  <si>
    <t>天元宗门-怪物101</t>
  </si>
  <si>
    <t>天元宗门-怪物102</t>
  </si>
  <si>
    <t>天元宗门-怪物103</t>
  </si>
  <si>
    <t>天元宗门-怪物104</t>
  </si>
  <si>
    <t>天元宗门-怪物105</t>
  </si>
  <si>
    <t>天元宗门-怪物106</t>
  </si>
  <si>
    <t>天元宗门-怪物107</t>
  </si>
  <si>
    <t>天元宗门-怪物108</t>
  </si>
  <si>
    <t>天元宗门-怪物109</t>
  </si>
  <si>
    <t>天元宗门-怪物110</t>
  </si>
  <si>
    <t>天元宗门-怪物111</t>
  </si>
  <si>
    <t>天元宗门-怪物112</t>
  </si>
  <si>
    <t>天元宗门-怪物113</t>
  </si>
  <si>
    <t>天元宗门-怪物114</t>
  </si>
  <si>
    <t>天元宗门-镜头</t>
  </si>
  <si>
    <t>镜头</t>
  </si>
  <si>
    <t>天元宗门-传送</t>
  </si>
  <si>
    <t>传送</t>
  </si>
  <si>
    <t>天元宗门-小地图</t>
  </si>
  <si>
    <t>小地图</t>
  </si>
  <si>
    <t>蚀苇沼·末流所积-怪物1</t>
  </si>
  <si>
    <t>蚀苇沼·末流所积-怪物2</t>
  </si>
  <si>
    <t>蚀苇沼·末流所积-怪物3</t>
  </si>
  <si>
    <t>蚀苇沼·末流所积-怪物4</t>
  </si>
  <si>
    <t>蚀苇沼·末流所积-怪物5</t>
  </si>
  <si>
    <t>蚀苇沼·末流所积-怪物6</t>
  </si>
  <si>
    <t>精英</t>
  </si>
  <si>
    <t>蚀苇沼·末流所积-镜头</t>
  </si>
  <si>
    <t>蚀苇沼·末流所积-传送</t>
  </si>
  <si>
    <t>蚀苇沼·末流所积-小地图</t>
  </si>
  <si>
    <t>望岳津-镜头</t>
  </si>
  <si>
    <t>望岳津-传送</t>
  </si>
  <si>
    <t>望岳津-小地图</t>
  </si>
  <si>
    <t>浮沉洲-怪物1</t>
  </si>
  <si>
    <t>浮沉洲-怪物2</t>
  </si>
  <si>
    <t>浮沉洲-怪物3</t>
  </si>
  <si>
    <t>浮沉洲-怪物4</t>
  </si>
  <si>
    <t>浮沉洲-怪物5</t>
  </si>
  <si>
    <t>浮沉洲-怪物6</t>
  </si>
  <si>
    <t>浮沉洲-怪物7</t>
  </si>
  <si>
    <t>浮沉洲-怪物8</t>
  </si>
  <si>
    <t>浮沉洲-怪物9</t>
  </si>
  <si>
    <t>浮沉洲-怪物10</t>
  </si>
  <si>
    <t>浮沉洲-怪物11</t>
  </si>
  <si>
    <t>浮沉洲-怪物12</t>
  </si>
  <si>
    <t>浮沉洲-怪物13</t>
  </si>
  <si>
    <t>浮沉洲-怪物14</t>
  </si>
  <si>
    <t>浮沉洲-怪物15</t>
  </si>
  <si>
    <t>浮沉洲-怪物16</t>
  </si>
  <si>
    <t>浮沉洲-怪物17</t>
  </si>
  <si>
    <t>浮沉洲-怪物18</t>
  </si>
  <si>
    <t>浮沉洲-镜头</t>
  </si>
  <si>
    <t>浮沉洲-传送</t>
  </si>
  <si>
    <t>浮沉洲-小地图</t>
  </si>
  <si>
    <t>蔽苇汀-怪物1</t>
  </si>
  <si>
    <t>蔽苇汀-怪物2</t>
  </si>
  <si>
    <t>蔽苇汀-怪物3</t>
  </si>
  <si>
    <t>蔽苇汀-怪物5</t>
  </si>
  <si>
    <t>蔽苇汀-怪物6</t>
  </si>
  <si>
    <t>蔽苇汀-怪物7</t>
  </si>
  <si>
    <t>蔽苇汀-怪物8</t>
  </si>
  <si>
    <t>蔽苇汀-怪物9</t>
  </si>
  <si>
    <t>蔽苇汀-怪物10</t>
  </si>
  <si>
    <t>蔽苇汀-怪物11</t>
  </si>
  <si>
    <t>蔽苇汀-怪物12</t>
  </si>
  <si>
    <t>蔽苇汀-怪物13</t>
  </si>
  <si>
    <t>蔽苇汀-怪物14</t>
  </si>
  <si>
    <t>蔽苇汀-怪物15</t>
  </si>
  <si>
    <t>蔽苇汀-怪物16</t>
  </si>
  <si>
    <t>蔽苇汀-怪物17</t>
  </si>
  <si>
    <t>蔽苇汀-怪物18</t>
  </si>
  <si>
    <t>蔽苇汀-怪物19</t>
  </si>
  <si>
    <t>蔽苇汀-怪物20</t>
  </si>
  <si>
    <t>蔽苇汀-怪物21</t>
  </si>
  <si>
    <t>蔽苇汀-怪物22</t>
  </si>
  <si>
    <t>蔽苇汀-怪物23</t>
  </si>
  <si>
    <t>蔽苇汀-怪物24</t>
  </si>
  <si>
    <t>蔽苇汀-怪物25</t>
  </si>
  <si>
    <t>蔽苇汀-怪物26</t>
  </si>
  <si>
    <t>蔽苇汀-怪物27</t>
  </si>
  <si>
    <t>蔽苇汀-怪物28</t>
  </si>
  <si>
    <t>蔽苇汀-镜头</t>
  </si>
  <si>
    <t>蔽苇汀-传送</t>
  </si>
  <si>
    <t>蔽苇汀-小地图</t>
  </si>
  <si>
    <t>岳骨阶-怪物1</t>
  </si>
  <si>
    <t>岳骨阶-怪物2</t>
  </si>
  <si>
    <t>岳骨阶-怪物3</t>
  </si>
  <si>
    <t>岳骨阶-怪物4</t>
  </si>
  <si>
    <t>岳骨阶-怪物5</t>
  </si>
  <si>
    <t>岳骨阶-怪物6</t>
  </si>
  <si>
    <t>岳骨阶-怪物7</t>
  </si>
  <si>
    <t>岳骨阶-怪物8</t>
  </si>
  <si>
    <t>岳骨阶-怪物9</t>
  </si>
  <si>
    <t>岳骨阶-怪物10</t>
  </si>
  <si>
    <t>岳骨阶-怪物11</t>
  </si>
  <si>
    <t>岳骨阶-怪物12</t>
  </si>
  <si>
    <t>岳骨阶-怪物13</t>
  </si>
  <si>
    <t>岳骨阶-怪物14</t>
  </si>
  <si>
    <t>boss</t>
  </si>
  <si>
    <t>岳骨阶-怪物15</t>
  </si>
  <si>
    <t>岳骨阶-怪物16</t>
  </si>
  <si>
    <t>岳骨阶-怪物17</t>
  </si>
  <si>
    <t>岳骨阶-怪物18</t>
  </si>
  <si>
    <t>岳骨阶-怪物19</t>
  </si>
  <si>
    <t>岳骨阶-怪物20</t>
  </si>
  <si>
    <t>岳骨阶-怪物21</t>
  </si>
  <si>
    <t>岳骨阶-怪物22</t>
  </si>
  <si>
    <t>岳骨阶-怪物23</t>
  </si>
  <si>
    <t>岳骨阶-怪物24</t>
  </si>
  <si>
    <t>岳骨阶-怪物25</t>
  </si>
  <si>
    <t>岳骨阶-怪物26</t>
  </si>
  <si>
    <t>岳骨阶-怪物27</t>
  </si>
  <si>
    <t>岳骨阶-镜头</t>
  </si>
  <si>
    <t>岳骨阶-传送</t>
  </si>
  <si>
    <t>岳骨阶-小地图</t>
  </si>
  <si>
    <t>异霭浦-采集物1</t>
  </si>
  <si>
    <t>采集物</t>
  </si>
  <si>
    <t>异霭浦-采集物2</t>
  </si>
  <si>
    <t>异霭浦-采集物3</t>
  </si>
  <si>
    <t>异霭浦-采集物4</t>
  </si>
  <si>
    <t>异霭浦-采集物5</t>
  </si>
  <si>
    <t>异霭浦-采集物6</t>
  </si>
  <si>
    <t>异霭浦-采集物7</t>
  </si>
  <si>
    <t>异霭浦-采集物8</t>
  </si>
  <si>
    <t>异霭浦-采集物9</t>
  </si>
  <si>
    <t>异霭浦-采集物10</t>
  </si>
  <si>
    <t>异霭浦-采集物11</t>
  </si>
  <si>
    <t>异霭浦-采集物12</t>
  </si>
  <si>
    <t>异霭浦-镜头</t>
  </si>
  <si>
    <t>异霭浦-传送</t>
  </si>
  <si>
    <t>异霭浦-小地图</t>
  </si>
  <si>
    <t>砾台-采集物1</t>
  </si>
  <si>
    <t>砾台-采集物2</t>
  </si>
  <si>
    <t>砾台-采集物3</t>
  </si>
  <si>
    <t>砾台-采集物4</t>
  </si>
  <si>
    <t>砾台-采集物5</t>
  </si>
  <si>
    <t>砾台-采集物6</t>
  </si>
  <si>
    <t>砾台-采集物7</t>
  </si>
  <si>
    <t>砾台-采集物8</t>
  </si>
  <si>
    <t>砾台-采集物9</t>
  </si>
  <si>
    <t>砾台-采集物10</t>
  </si>
  <si>
    <t>砾台-采集物11</t>
  </si>
  <si>
    <t>砾台-镜头</t>
  </si>
  <si>
    <t>砾台-传送</t>
  </si>
  <si>
    <t>砾台-小地图</t>
  </si>
  <si>
    <t>垂练岩·覆而偶开-怪物1</t>
  </si>
  <si>
    <t>垂练岩·覆而偶开-怪物2</t>
  </si>
  <si>
    <t>垂练岩·覆而偶开-怪物3</t>
  </si>
  <si>
    <t>垂练岩·覆而偶开-怪物4</t>
  </si>
  <si>
    <t>垂练岩·覆而偶开-怪物5</t>
  </si>
  <si>
    <t>垂练岩·覆而偶开-怪物6</t>
  </si>
  <si>
    <t>垂练岩·覆而偶开-怪物7</t>
  </si>
  <si>
    <t>垂练岩·覆而偶开-怪物8</t>
  </si>
  <si>
    <t>垂练岩·覆而偶开-怪物9</t>
  </si>
  <si>
    <t>垂练岩·覆而偶开-怪物10</t>
  </si>
  <si>
    <t>垂练岩·覆而偶开-怪物11</t>
  </si>
  <si>
    <t>垂练岩·覆而偶开-怪物12</t>
  </si>
  <si>
    <t>垂练岩·覆而偶开-镜头</t>
  </si>
  <si>
    <t>垂练岩·覆而偶开-传送</t>
  </si>
  <si>
    <t>垂练岩·覆而偶开-小地图</t>
  </si>
  <si>
    <t>水镜滩·水退方见-怪物1</t>
  </si>
  <si>
    <t>水镜滩·水退方见-怪物2</t>
  </si>
  <si>
    <t>水镜滩·水退方见-怪物3</t>
  </si>
  <si>
    <t>水镜滩·水退方见-怪物4</t>
  </si>
  <si>
    <t>水镜滩·水退方见-怪物5</t>
  </si>
  <si>
    <t>水镜滩·水退方见-怪物6</t>
  </si>
  <si>
    <t>水镜滩·水退方见-怪物7</t>
  </si>
  <si>
    <t>水镜滩·水退方见-怪物8</t>
  </si>
  <si>
    <t>水镜滩·水退方见-怪物9</t>
  </si>
  <si>
    <t>水镜滩·水退方见-怪物10</t>
  </si>
  <si>
    <t>水镜滩·水退方见-怪物11</t>
  </si>
  <si>
    <t>水镜滩·水退方见-镜头</t>
  </si>
  <si>
    <t>水镜滩·水退方见-传送</t>
  </si>
  <si>
    <t>水镜滩·水退方见-小地图</t>
  </si>
  <si>
    <t>汇歧渚-镜头</t>
  </si>
  <si>
    <t>汇歧渚-传送</t>
  </si>
  <si>
    <t>汇歧渚-小地图</t>
  </si>
  <si>
    <t>沉浊坡-怪物1</t>
  </si>
  <si>
    <t>沉浊坡-怪物2</t>
  </si>
  <si>
    <t>沉浊坡-怪物3</t>
  </si>
  <si>
    <t>沉浊坡-怪物4</t>
  </si>
  <si>
    <t>沉浊坡-怪物5</t>
  </si>
  <si>
    <t>沉浊坡-怪物6</t>
  </si>
  <si>
    <t>沉浊坡-怪物7</t>
  </si>
  <si>
    <t>沉浊坡-怪物8</t>
  </si>
  <si>
    <t>沉浊坡-怪物9</t>
  </si>
  <si>
    <t>沉浊坡-镜头</t>
  </si>
  <si>
    <t>沉浊坡-传送</t>
  </si>
  <si>
    <t>沉浊坡-小地图</t>
  </si>
  <si>
    <t>豁烟水-怪物1</t>
  </si>
  <si>
    <t>豁烟水-怪物2</t>
  </si>
  <si>
    <t>豁烟水-怪物3</t>
  </si>
  <si>
    <t>豁烟水-怪物4</t>
  </si>
  <si>
    <t>豁烟水-怪物5</t>
  </si>
  <si>
    <t>豁烟水-怪物6</t>
  </si>
  <si>
    <t>豁烟水-怪物7</t>
  </si>
  <si>
    <t>豁烟水-怪物8</t>
  </si>
  <si>
    <t>豁烟水-怪物9</t>
  </si>
  <si>
    <t>豁烟水-怪物10</t>
  </si>
  <si>
    <t>豁烟水-怪物11</t>
  </si>
  <si>
    <t>豁烟水-怪物12</t>
  </si>
  <si>
    <t>豁烟水-怪物13</t>
  </si>
  <si>
    <t>豁烟水-怪物14</t>
  </si>
  <si>
    <t>豁烟水-怪物15</t>
  </si>
  <si>
    <t>豁烟水-怪物16</t>
  </si>
  <si>
    <t>豁烟水-怪物17</t>
  </si>
  <si>
    <t>豁烟水-怪物18</t>
  </si>
  <si>
    <t>豁烟水-怪物19</t>
  </si>
  <si>
    <t>豁烟水-怪物20</t>
  </si>
  <si>
    <t>豁烟水-镜头</t>
  </si>
  <si>
    <t>豁烟水-传送</t>
  </si>
  <si>
    <t>豁烟水-小地图</t>
  </si>
  <si>
    <t>密荷影-怪物1</t>
  </si>
  <si>
    <t>密荷影-怪物2</t>
  </si>
  <si>
    <t>密荷影-怪物3</t>
  </si>
  <si>
    <t>密荷影-怪物4</t>
  </si>
  <si>
    <t>密荷影-怪物5</t>
  </si>
  <si>
    <t>密荷影-怪物6</t>
  </si>
  <si>
    <t>密荷影-怪物7</t>
  </si>
  <si>
    <t>密荷影-怪物8</t>
  </si>
  <si>
    <t>密荷影-怪物9</t>
  </si>
  <si>
    <t>密荷影-怪物10</t>
  </si>
  <si>
    <t>密荷影-怪物11</t>
  </si>
  <si>
    <t>密荷影-怪物12</t>
  </si>
  <si>
    <t>密荷影-怪物13</t>
  </si>
  <si>
    <t>密荷影-怪物14</t>
  </si>
  <si>
    <t>密荷影-怪物15</t>
  </si>
  <si>
    <t>密荷影-怪物16</t>
  </si>
  <si>
    <t>密荷影-怪物17</t>
  </si>
  <si>
    <t>密荷影-镜头</t>
  </si>
  <si>
    <t>密荷影-传送</t>
  </si>
  <si>
    <t>密荷影-小地图</t>
  </si>
  <si>
    <t>末分石-怪物1</t>
  </si>
  <si>
    <t>末分石-怪物2</t>
  </si>
  <si>
    <t>末分石-怪物3</t>
  </si>
  <si>
    <t>末分石-怪物4</t>
  </si>
  <si>
    <t>末分石-怪物5</t>
  </si>
  <si>
    <t>末分石-怪物6</t>
  </si>
  <si>
    <t>末分石-怪物7</t>
  </si>
  <si>
    <t>末分石-怪物8</t>
  </si>
  <si>
    <t>末分石-怪物9</t>
  </si>
  <si>
    <t>末分石-怪物10</t>
  </si>
  <si>
    <t>末分石-怪物11</t>
  </si>
  <si>
    <t>末分石-怪物12</t>
  </si>
  <si>
    <t>末分石-怪物13</t>
  </si>
  <si>
    <t>末分石-镜头</t>
  </si>
  <si>
    <t>末分石-传送</t>
  </si>
  <si>
    <t>末分石-小地图</t>
  </si>
  <si>
    <t>粉浪风-采集物1</t>
  </si>
  <si>
    <t>粉浪风-采集物2</t>
  </si>
  <si>
    <t>粉浪风-采集物3</t>
  </si>
  <si>
    <t>粉浪风-采集物4</t>
  </si>
  <si>
    <t>粉浪风-采集物5</t>
  </si>
  <si>
    <t>粉浪风-采集物6</t>
  </si>
  <si>
    <t>粉浪风-采集物7</t>
  </si>
  <si>
    <t>粉浪风-采集物8</t>
  </si>
  <si>
    <t>粉浪风-采集物9</t>
  </si>
  <si>
    <t>粉浪风-镜头</t>
  </si>
  <si>
    <t>粉浪风-传送</t>
  </si>
  <si>
    <t>粉浪风-小地图</t>
  </si>
  <si>
    <t>漫莎台-采集物1</t>
  </si>
  <si>
    <t>漫莎台-采集物2</t>
  </si>
  <si>
    <t>漫莎台-采集物3</t>
  </si>
  <si>
    <t>漫莎台-采集物4</t>
  </si>
  <si>
    <t>漫莎台-采集物5</t>
  </si>
  <si>
    <t>漫莎台-采集物6</t>
  </si>
  <si>
    <t>漫莎台-采集物7</t>
  </si>
  <si>
    <t>漫莎台-采集物8</t>
  </si>
  <si>
    <t>漫莎台-采集物9</t>
  </si>
  <si>
    <t>漫莎台-镜头</t>
  </si>
  <si>
    <t>漫莎台-传送</t>
  </si>
  <si>
    <t>漫莎台-小地图</t>
  </si>
  <si>
    <t>匿汊口-怪物1</t>
  </si>
  <si>
    <t>匿汊口-怪物2</t>
  </si>
  <si>
    <t>匿汊口-怪物3</t>
  </si>
  <si>
    <t>匿汊口-怪物4</t>
  </si>
  <si>
    <t>匿汊口-怪物5</t>
  </si>
  <si>
    <t>匿汊口-怪物6</t>
  </si>
  <si>
    <t>匿汊口-怪物7</t>
  </si>
  <si>
    <t>匿汊口-怪物8</t>
  </si>
  <si>
    <t>匿汊口-怪物9</t>
  </si>
  <si>
    <t>匿汊口-怪物10</t>
  </si>
  <si>
    <t>匿汊口-怪物11</t>
  </si>
  <si>
    <t>匿汊口-怪物12</t>
  </si>
  <si>
    <t>匿汊口-怪物13</t>
  </si>
  <si>
    <t>匿汊口-镜头</t>
  </si>
  <si>
    <t>匿汊口-传送</t>
  </si>
  <si>
    <t>匿汊口-小地图</t>
  </si>
  <si>
    <t>砾藏岩-怪物1</t>
  </si>
  <si>
    <t>砾藏岩-怪物2</t>
  </si>
  <si>
    <t>砾藏岩-怪物3</t>
  </si>
  <si>
    <t>砾藏岩-怪物4</t>
  </si>
  <si>
    <t>砾藏岩-怪物5</t>
  </si>
  <si>
    <t>砾藏岩-怪物6</t>
  </si>
  <si>
    <t>砾藏岩-怪物7</t>
  </si>
  <si>
    <t>砾藏岩-怪物8</t>
  </si>
  <si>
    <t>砾藏岩-怪物9</t>
  </si>
  <si>
    <t>砾藏岩-怪物10</t>
  </si>
  <si>
    <t>砾藏岩-怪物11</t>
  </si>
  <si>
    <t>砾藏岩-镜头</t>
  </si>
  <si>
    <t>砾藏岩-传送</t>
  </si>
  <si>
    <t>砾藏岩-小地图</t>
  </si>
  <si>
    <t>岔坡-镜头</t>
  </si>
  <si>
    <t>岔坡-传送</t>
  </si>
  <si>
    <t>岔坡-小地图</t>
  </si>
  <si>
    <t>风背余晦-怪物1</t>
  </si>
  <si>
    <t>风背余晦-怪物2</t>
  </si>
  <si>
    <t>风背余晦-怪物3</t>
  </si>
  <si>
    <t>风背余晦-怪物4</t>
  </si>
  <si>
    <t>风背余晦-怪物5</t>
  </si>
  <si>
    <t>风背余晦-怪物6</t>
  </si>
  <si>
    <t>风背余晦-怪物7</t>
  </si>
  <si>
    <t>风背余晦-怪物8</t>
  </si>
  <si>
    <t>风背余晦-镜头</t>
  </si>
  <si>
    <t>风背余晦-传送</t>
  </si>
  <si>
    <t>风背余晦-小地图</t>
  </si>
  <si>
    <t>砺赭坂-怪物1</t>
  </si>
  <si>
    <t>砺赭坂-怪物2</t>
  </si>
  <si>
    <t>砺赭坂-怪物3</t>
  </si>
  <si>
    <t>砺赭坂-怪物4</t>
  </si>
  <si>
    <t>砺赭坂-怪物5</t>
  </si>
  <si>
    <t>砺赭坂-怪物6</t>
  </si>
  <si>
    <t>砺赭坂-怪物7</t>
  </si>
  <si>
    <t>砺赭坂-怪物8</t>
  </si>
  <si>
    <t>砺赭坂-怪物9</t>
  </si>
  <si>
    <t>砺赭坂-怪物10</t>
  </si>
  <si>
    <t>砺赭坂-镜头</t>
  </si>
  <si>
    <t>砺赭坂-传送</t>
  </si>
  <si>
    <t>砺赭坂-小地图</t>
  </si>
  <si>
    <t>铁色横侵-怪物1</t>
  </si>
  <si>
    <t>铁色横侵-怪物2</t>
  </si>
  <si>
    <t>铁色横侵-怪物3</t>
  </si>
  <si>
    <t>铁色横侵-怪物4</t>
  </si>
  <si>
    <t>铁色横侵-怪物5</t>
  </si>
  <si>
    <t>铁色横侵-怪物6</t>
  </si>
  <si>
    <t>铁色横侵-怪物7</t>
  </si>
  <si>
    <t>铁色横侵-怪物8</t>
  </si>
  <si>
    <t>铁色横侵-怪物9</t>
  </si>
  <si>
    <t>铁色横侵-怪物10</t>
  </si>
  <si>
    <t>铁色横侵-怪物11</t>
  </si>
  <si>
    <t>铁色横侵-怪物12</t>
  </si>
  <si>
    <t>铁色横侵-怪物13</t>
  </si>
  <si>
    <t>铁色横侵-怪物14</t>
  </si>
  <si>
    <t>铁色横侵-怪物15</t>
  </si>
  <si>
    <t>铁色横侵-镜头</t>
  </si>
  <si>
    <t>铁色横侵-传送</t>
  </si>
  <si>
    <t>铁色横侵-小地图</t>
  </si>
  <si>
    <t>伏沟鸣石-怪物1</t>
  </si>
  <si>
    <t>伏沟鸣石-怪物2</t>
  </si>
  <si>
    <t>伏沟鸣石-怪物3</t>
  </si>
  <si>
    <t>伏沟鸣石-怪物4</t>
  </si>
  <si>
    <t>伏沟鸣石-怪物5</t>
  </si>
  <si>
    <t>伏沟鸣石-怪物6</t>
  </si>
  <si>
    <t>伏沟鸣石-怪物7</t>
  </si>
  <si>
    <t>伏沟鸣石-怪物8</t>
  </si>
  <si>
    <t>伏沟鸣石-怪物9</t>
  </si>
  <si>
    <t>伏沟鸣石-怪物10</t>
  </si>
  <si>
    <t>伏沟鸣石-怪物11</t>
  </si>
  <si>
    <t>伏沟鸣石-怪物12</t>
  </si>
  <si>
    <t>伏沟鸣石-镜头</t>
  </si>
  <si>
    <t>伏沟鸣石-传送</t>
  </si>
  <si>
    <t>伏沟鸣石-小地图</t>
  </si>
  <si>
    <t>褐苔含润-采集物1</t>
  </si>
  <si>
    <t>褐苔含润-采集物2</t>
  </si>
  <si>
    <t>褐苔含润-采集物3</t>
  </si>
  <si>
    <t>褐苔含润-采集物4</t>
  </si>
  <si>
    <t>褐苔含润-采集物5</t>
  </si>
  <si>
    <t>褐苔含润-采集物6</t>
  </si>
  <si>
    <t>褐苔含润-采集物7</t>
  </si>
  <si>
    <t>褐苔含润-镜头</t>
  </si>
  <si>
    <t>褐苔含润-传送</t>
  </si>
  <si>
    <t>褐苔含润-小地图</t>
  </si>
  <si>
    <t>肩生瘠芽-采集物1</t>
  </si>
  <si>
    <t>肩生瘠芽-采集物2</t>
  </si>
  <si>
    <t>肩生瘠芽-采集物3</t>
  </si>
  <si>
    <t>肩生瘠芽-采集物4</t>
  </si>
  <si>
    <t>肩生瘠芽-采集物5</t>
  </si>
  <si>
    <t>肩生瘠芽-采集物6</t>
  </si>
  <si>
    <t>肩生瘠芽-采集物7</t>
  </si>
  <si>
    <t>肩生瘠芽-镜头</t>
  </si>
  <si>
    <t>肩生瘠芽-传送</t>
  </si>
  <si>
    <t>肩生瘠芽-小地图</t>
  </si>
  <si>
    <t>岩腹潜龛-怪物1</t>
  </si>
  <si>
    <t>岩腹潜龛-怪物2</t>
  </si>
  <si>
    <t>岩腹潜龛-怪物3</t>
  </si>
  <si>
    <t>岩腹潜龛-怪物4</t>
  </si>
  <si>
    <t>岩腹潜龛-怪物5</t>
  </si>
  <si>
    <t>岩腹潜龛-怪物6</t>
  </si>
  <si>
    <t>岩腹潜龛-怪物7</t>
  </si>
  <si>
    <t>岩腹潜龛-怪物8</t>
  </si>
  <si>
    <t>岩腹潜龛-怪物9</t>
  </si>
  <si>
    <t>岩腹潜龛-怪物10</t>
  </si>
  <si>
    <t>岩腹潜龛-镜头</t>
  </si>
  <si>
    <t>岩腹潜龛-传送</t>
  </si>
  <si>
    <t>岩腹潜龛-小地图</t>
  </si>
  <si>
    <t>水息留痕-怪物1</t>
  </si>
  <si>
    <t>水息留痕-怪物2</t>
  </si>
  <si>
    <t>水息留痕-怪物3</t>
  </si>
  <si>
    <t>水息留痕-怪物4</t>
  </si>
  <si>
    <t>水息留痕-怪物5</t>
  </si>
  <si>
    <t>水息留痕-怪物6</t>
  </si>
  <si>
    <t>水息留痕-怪物7</t>
  </si>
  <si>
    <t>水息留痕-怪物8</t>
  </si>
  <si>
    <t>水息留痕-镜头</t>
  </si>
  <si>
    <t>水息留痕-传送</t>
  </si>
  <si>
    <t>水息留痕-小地图</t>
  </si>
  <si>
    <t>断墙-镜头</t>
  </si>
  <si>
    <t>断墙-传送</t>
  </si>
  <si>
    <t>断墙-小地图</t>
  </si>
  <si>
    <t>泻砾堑-怪物1</t>
  </si>
  <si>
    <t>泻砾堑-怪物2</t>
  </si>
  <si>
    <t>泻砾堑-怪物3</t>
  </si>
  <si>
    <t>泻砾堑-怪物4</t>
  </si>
  <si>
    <t>泻砾堑-怪物5</t>
  </si>
  <si>
    <t>泻砾堑-怪物6</t>
  </si>
  <si>
    <t>泻砾堑-怪物7</t>
  </si>
  <si>
    <t>泻砾堑-怪物8</t>
  </si>
  <si>
    <t>泻砾堑-怪物9</t>
  </si>
  <si>
    <t>泻砾堑-怪物10</t>
  </si>
  <si>
    <t>泻砾堑-怪物11</t>
  </si>
  <si>
    <t>泻砾堑-镜头</t>
  </si>
  <si>
    <t>泻砾堑-传送</t>
  </si>
  <si>
    <t>泻砾堑-小地图</t>
  </si>
  <si>
    <t>幽崩谷-怪物1</t>
  </si>
  <si>
    <t>幽崩谷-怪物2</t>
  </si>
  <si>
    <t>幽崩谷-怪物3</t>
  </si>
  <si>
    <t>幽崩谷-怪物4</t>
  </si>
  <si>
    <t>幽崩谷-怪物5</t>
  </si>
  <si>
    <t>幽崩谷-怪物6</t>
  </si>
  <si>
    <t>幽崩谷-怪物7</t>
  </si>
  <si>
    <t>幽崩谷-怪物8</t>
  </si>
  <si>
    <t>幽崩谷-怪物9</t>
  </si>
  <si>
    <t>幽崩谷-怪物10</t>
  </si>
  <si>
    <t>幽崩谷-镜头</t>
  </si>
  <si>
    <t>幽崩谷-传送</t>
  </si>
  <si>
    <t>幽崩谷-小地图</t>
  </si>
  <si>
    <t>截风坡-怪物1</t>
  </si>
  <si>
    <t>截风坡-怪物2</t>
  </si>
  <si>
    <t>截风坡-怪物3</t>
  </si>
  <si>
    <t>截风坡-怪物4</t>
  </si>
  <si>
    <t>截风坡-怪物5</t>
  </si>
  <si>
    <t>截风坡-怪物6</t>
  </si>
  <si>
    <t>截风坡-怪物7</t>
  </si>
  <si>
    <t>截风坡-怪物8</t>
  </si>
  <si>
    <t>截风坡-怪物9</t>
  </si>
  <si>
    <t>截风坡-怪物10</t>
  </si>
  <si>
    <t>截风坡-镜头</t>
  </si>
  <si>
    <t>截风坡-传送</t>
  </si>
  <si>
    <t>截风坡-小地图</t>
  </si>
  <si>
    <t>隙光苔-采集物1</t>
  </si>
  <si>
    <t>隙光苔-采集物2</t>
  </si>
  <si>
    <t>隙光苔-采集物3</t>
  </si>
  <si>
    <t>隙光苔-采集物4</t>
  </si>
  <si>
    <t>隙光苔-采集物5</t>
  </si>
  <si>
    <t>隙光苔-采集物6</t>
  </si>
  <si>
    <t>隙光苔-镜头</t>
  </si>
  <si>
    <t>隙光苔-传送</t>
  </si>
  <si>
    <t>隙光苔-小地图</t>
  </si>
  <si>
    <t>浸岩菖-采集物1</t>
  </si>
  <si>
    <t>浸岩菖-采集物2</t>
  </si>
  <si>
    <t>浸岩菖-采集物3</t>
  </si>
  <si>
    <t>浸岩菖-采集物4</t>
  </si>
  <si>
    <t>浸岩菖-采集物5</t>
  </si>
  <si>
    <t>浸岩菖-采集物6</t>
  </si>
  <si>
    <t>浸岩菖-采集物7</t>
  </si>
  <si>
    <t>浸岩菖-镜头</t>
  </si>
  <si>
    <t>浸岩菖-传送</t>
  </si>
  <si>
    <t>浸岩菖-小地图</t>
  </si>
  <si>
    <t>裂口-怪物1</t>
  </si>
  <si>
    <t>裂口-怪物2</t>
  </si>
  <si>
    <t>裂口-怪物3</t>
  </si>
  <si>
    <t>裂口-怪物4</t>
  </si>
  <si>
    <t>裂口-怪物5</t>
  </si>
  <si>
    <t>裂口-怪物6</t>
  </si>
  <si>
    <t>裂口-怪物7</t>
  </si>
  <si>
    <t>裂口-怪物8</t>
  </si>
  <si>
    <t>裂口-怪物9</t>
  </si>
  <si>
    <t>裂口-怪物10</t>
  </si>
  <si>
    <t>裂口-镜头</t>
  </si>
  <si>
    <t>裂口-传送</t>
  </si>
  <si>
    <t>裂口-小地图</t>
  </si>
  <si>
    <t>承影-怪物1</t>
  </si>
  <si>
    <t>承影-怪物2</t>
  </si>
  <si>
    <t>承影-怪物3</t>
  </si>
  <si>
    <t>承影-怪物4</t>
  </si>
  <si>
    <t>承影-怪物5</t>
  </si>
  <si>
    <t>承影-怪物6</t>
  </si>
  <si>
    <t>承影-怪物7</t>
  </si>
  <si>
    <t>承影-怪物8</t>
  </si>
  <si>
    <t>承影-怪物9</t>
  </si>
  <si>
    <t>承影-镜头</t>
  </si>
  <si>
    <t>承影-传送</t>
  </si>
  <si>
    <t>承影-小地图</t>
  </si>
  <si>
    <t>壅浊石-怪物1</t>
  </si>
  <si>
    <t>壅浊石-怪物2</t>
  </si>
  <si>
    <t>壅浊石-怪物3</t>
  </si>
  <si>
    <t>壅浊石-怪物4</t>
  </si>
  <si>
    <t>壅浊石-怪物5</t>
  </si>
  <si>
    <t>壅浊石-怪物6</t>
  </si>
  <si>
    <t>壅浊石-镜头</t>
  </si>
  <si>
    <t>壅浊石-传送</t>
  </si>
  <si>
    <t>壅浊石-小地图</t>
  </si>
  <si>
    <t>石息-镜头</t>
  </si>
  <si>
    <t>石息-传送</t>
  </si>
  <si>
    <t>石息-小地图</t>
  </si>
  <si>
    <t>沉岚-怪物1</t>
  </si>
  <si>
    <t>沉岚-怪物2</t>
  </si>
  <si>
    <t>沉岚-怪物3</t>
  </si>
  <si>
    <t>沉岚-怪物4</t>
  </si>
  <si>
    <t>沉岚-怪物5</t>
  </si>
  <si>
    <t>沉岚-怪物6</t>
  </si>
  <si>
    <t>沉岚-怪物7</t>
  </si>
  <si>
    <t>沉岚-怪物8</t>
  </si>
  <si>
    <t>沉岚-怪物9</t>
  </si>
  <si>
    <t>沉岚-怪物10</t>
  </si>
  <si>
    <t>沉岚-怪物11</t>
  </si>
  <si>
    <t>沉岚-怪物12</t>
  </si>
  <si>
    <t>沉岚-镜头</t>
  </si>
  <si>
    <t>沉岚-传送</t>
  </si>
  <si>
    <t>沉岚-小地图</t>
  </si>
  <si>
    <t>悬晖-怪物1</t>
  </si>
  <si>
    <t>悬晖-怪物2</t>
  </si>
  <si>
    <t>悬晖-怪物3</t>
  </si>
  <si>
    <t>悬晖-怪物4</t>
  </si>
  <si>
    <t>悬晖-怪物5</t>
  </si>
  <si>
    <t>悬晖-怪物6</t>
  </si>
  <si>
    <t>悬晖-怪物7</t>
  </si>
  <si>
    <t>悬晖-怪物8</t>
  </si>
  <si>
    <t>悬晖-怪物9</t>
  </si>
  <si>
    <t>悬晖-怪物10</t>
  </si>
  <si>
    <t>悬晖-怪物11</t>
  </si>
  <si>
    <t>悬晖-怪物12</t>
  </si>
  <si>
    <t>悬晖-镜头</t>
  </si>
  <si>
    <t>悬晖-传送</t>
  </si>
  <si>
    <t>悬晖-小地图</t>
  </si>
  <si>
    <t>隐翳-怪物1</t>
  </si>
  <si>
    <t>隐翳-怪物2</t>
  </si>
  <si>
    <t>隐翳-怪物3</t>
  </si>
  <si>
    <t>隐翳-怪物4</t>
  </si>
  <si>
    <t>隐翳-怪物5</t>
  </si>
  <si>
    <t>隐翳-怪物6</t>
  </si>
  <si>
    <t>隐翳-怪物7</t>
  </si>
  <si>
    <t>隐翳-怪物8</t>
  </si>
  <si>
    <t>隐翳-怪物9</t>
  </si>
  <si>
    <t>隐翳-怪物10</t>
  </si>
  <si>
    <t>隐翳-怪物11</t>
  </si>
  <si>
    <t>隐翳-镜头</t>
  </si>
  <si>
    <t>隐翳-传送</t>
  </si>
  <si>
    <t>隐翳-小地图</t>
  </si>
  <si>
    <t>云根露-采集物1</t>
  </si>
  <si>
    <t>云根露-采集物2</t>
  </si>
  <si>
    <t>云根露-采集物3</t>
  </si>
  <si>
    <t>云根露-采集物4</t>
  </si>
  <si>
    <t>云根露-采集物5</t>
  </si>
  <si>
    <t>云根露-采集物6</t>
  </si>
  <si>
    <t>云根露-镜头</t>
  </si>
  <si>
    <t>云根露-传送</t>
  </si>
  <si>
    <t>云根露-小地图</t>
  </si>
  <si>
    <t>风痕苔生-采集物1</t>
  </si>
  <si>
    <t>风痕苔生-采集物2</t>
  </si>
  <si>
    <t>风痕苔生-采集物3</t>
  </si>
  <si>
    <t>风痕苔生-采集物4</t>
  </si>
  <si>
    <t>风痕苔生-采集物5</t>
  </si>
  <si>
    <t>风痕苔生-采集物6</t>
  </si>
  <si>
    <t>风痕苔生-镜头</t>
  </si>
  <si>
    <t>风痕苔生-传送</t>
  </si>
  <si>
    <t>风痕苔生-小地图</t>
  </si>
  <si>
    <t>涓台窦-怪物1</t>
  </si>
  <si>
    <t>涓台窦-怪物2</t>
  </si>
  <si>
    <t>涓台窦-怪物3</t>
  </si>
  <si>
    <t>涓台窦-怪物4</t>
  </si>
  <si>
    <t>涓台窦-怪物5</t>
  </si>
  <si>
    <t>涓台窦-怪物6</t>
  </si>
  <si>
    <t>涓台窦-怪物7</t>
  </si>
  <si>
    <t>涓台窦-怪物8</t>
  </si>
  <si>
    <t>涓台窦-怪物9</t>
  </si>
  <si>
    <t>涓台窦-镜头</t>
  </si>
  <si>
    <t>涓台窦-传送</t>
  </si>
  <si>
    <t>涓台窦-小地图</t>
  </si>
  <si>
    <t>孔收暮影-怪物1</t>
  </si>
  <si>
    <t>孔收暮影-怪物2</t>
  </si>
  <si>
    <t>孔收暮影-怪物3</t>
  </si>
  <si>
    <t>孔收暮影-怪物4</t>
  </si>
  <si>
    <t>孔收暮影-怪物5</t>
  </si>
  <si>
    <t>孔收暮影-怪物6</t>
  </si>
  <si>
    <t>孔收暮影-怪物7</t>
  </si>
  <si>
    <t>孔收暮影-怪物8</t>
  </si>
  <si>
    <t>孔收暮影-怪物9</t>
  </si>
  <si>
    <t>孔收暮影-怪物10</t>
  </si>
  <si>
    <t>孔收暮影-怪物11</t>
  </si>
  <si>
    <t>孔收暮影-镜头</t>
  </si>
  <si>
    <t>孔收暮影-传送</t>
  </si>
  <si>
    <t>孔收暮影-小地图</t>
  </si>
  <si>
    <t>雾黯岩-怪物1</t>
  </si>
  <si>
    <t>雾黯岩-怪物2</t>
  </si>
  <si>
    <t>雾黯岩-怪物3</t>
  </si>
  <si>
    <t>雾黯岩-怪物4</t>
  </si>
  <si>
    <t>雾黯岩-怪物5</t>
  </si>
  <si>
    <t>雾黯岩-镜头</t>
  </si>
  <si>
    <t>雾黯岩-传送</t>
  </si>
  <si>
    <t>雾黯岩-小地图</t>
  </si>
  <si>
    <t>风候-镜头</t>
  </si>
  <si>
    <t>风候-传送</t>
  </si>
  <si>
    <t>风候-小地图</t>
  </si>
  <si>
    <t>雪檐古兽-怪物1</t>
  </si>
  <si>
    <t>雪檐古兽-怪物2</t>
  </si>
  <si>
    <t>雪檐古兽-怪物3</t>
  </si>
  <si>
    <t>雪檐古兽-怪物4</t>
  </si>
  <si>
    <t>雪檐古兽-怪物5</t>
  </si>
  <si>
    <t>雪檐古兽-怪物6</t>
  </si>
  <si>
    <t>雪檐古兽-怪物7</t>
  </si>
  <si>
    <t>雪檐古兽-怪物8</t>
  </si>
  <si>
    <t>雪檐古兽-怪物9</t>
  </si>
  <si>
    <t>雪檐古兽-怪物10</t>
  </si>
  <si>
    <t>雪檐古兽-怪物11</t>
  </si>
  <si>
    <t>雪檐古兽-镜头</t>
  </si>
  <si>
    <t>雪檐古兽-传送</t>
  </si>
  <si>
    <t>雪檐古兽-小地图</t>
  </si>
  <si>
    <t>霰砾坡-怪物1</t>
  </si>
  <si>
    <t>霰砾坡-怪物2</t>
  </si>
  <si>
    <t>霰砾坡-怪物3</t>
  </si>
  <si>
    <t>霰砾坡-怪物4</t>
  </si>
  <si>
    <t>霰砾坡-怪物5</t>
  </si>
  <si>
    <t>霰砾坡-怪物6</t>
  </si>
  <si>
    <t>霰砾坡-怪物7</t>
  </si>
  <si>
    <t>霰砾坡-怪物8</t>
  </si>
  <si>
    <t>霰砾坡-怪物9</t>
  </si>
  <si>
    <t>霰砾坡-怪物10</t>
  </si>
  <si>
    <t>霰砾坡-怪物11</t>
  </si>
  <si>
    <t>霰砾坡-镜头</t>
  </si>
  <si>
    <t>霰砾坡-传送</t>
  </si>
  <si>
    <t>霰砾坡-小地图</t>
  </si>
  <si>
    <t>融口初声-怪物1</t>
  </si>
  <si>
    <t>融口初声-怪物2</t>
  </si>
  <si>
    <t>融口初声-怪物3</t>
  </si>
  <si>
    <t>融口初声-怪物4</t>
  </si>
  <si>
    <t>融口初声-怪物5</t>
  </si>
  <si>
    <t>融口初声-怪物6</t>
  </si>
  <si>
    <t>融口初声-怪物7</t>
  </si>
  <si>
    <t>融口初声-怪物8</t>
  </si>
  <si>
    <t>融口初声-怪物9</t>
  </si>
  <si>
    <t>融口初声-镜头</t>
  </si>
  <si>
    <t>融口初声-传送</t>
  </si>
  <si>
    <t>融口初声-小地图</t>
  </si>
  <si>
    <t>凇覆苔痕-怪物1</t>
  </si>
  <si>
    <t>凇覆苔痕-怪物2</t>
  </si>
  <si>
    <t>凇覆苔痕-怪物3</t>
  </si>
  <si>
    <t>凇覆苔痕-怪物4</t>
  </si>
  <si>
    <t>凇覆苔痕-怪物5</t>
  </si>
  <si>
    <t>凇覆苔痕-怪物6</t>
  </si>
  <si>
    <t>凇覆苔痕-怪物7</t>
  </si>
  <si>
    <t>凇覆苔痕-镜头</t>
  </si>
  <si>
    <t>凇覆苔痕-传送</t>
  </si>
  <si>
    <t>凇覆苔痕-小地图</t>
  </si>
  <si>
    <t>寒水迟芽-怪物1</t>
  </si>
  <si>
    <t>寒水迟芽-怪物2</t>
  </si>
  <si>
    <t>寒水迟芽-怪物3</t>
  </si>
  <si>
    <t>寒水迟芽-怪物4</t>
  </si>
  <si>
    <t>寒水迟芽-怪物5</t>
  </si>
  <si>
    <t>寒水迟芽-怪物6</t>
  </si>
  <si>
    <t>寒水迟芽-镜头</t>
  </si>
  <si>
    <t>寒水迟芽-传送</t>
  </si>
  <si>
    <t>寒水迟芽-小地图</t>
  </si>
  <si>
    <t>鞍窍-采集物1</t>
  </si>
  <si>
    <t>鞍窍-采集物2</t>
  </si>
  <si>
    <t>鞍窍-采集物3</t>
  </si>
  <si>
    <t>鞍窍-采集物4</t>
  </si>
  <si>
    <t>鞍窍-采集物5</t>
  </si>
  <si>
    <t>鞍窍-采集物6</t>
  </si>
  <si>
    <t>鞍窍-采集物7</t>
  </si>
  <si>
    <t>鞍窍-镜头</t>
  </si>
  <si>
    <t>鞍窍-传送</t>
  </si>
  <si>
    <t>鞍窍-小地图</t>
  </si>
  <si>
    <t>霁台-采集物1</t>
  </si>
  <si>
    <t>霁台-采集物2</t>
  </si>
  <si>
    <t>霁台-采集物3</t>
  </si>
  <si>
    <t>霁台-采集物4</t>
  </si>
  <si>
    <t>霁台-采集物5</t>
  </si>
  <si>
    <t>霁台-采集物6</t>
  </si>
  <si>
    <t>霁台-采集物7</t>
  </si>
  <si>
    <t>霁台-镜头</t>
  </si>
  <si>
    <t>霁台-传送</t>
  </si>
  <si>
    <t>霁台-小地图</t>
  </si>
  <si>
    <t>camera_distance</t>
  </si>
  <si>
    <t>camera_angle</t>
  </si>
  <si>
    <t>minimap</t>
  </si>
  <si>
    <t>bigmap</t>
  </si>
  <si>
    <t>grade</t>
  </si>
  <si>
    <t>bgm_sound_id</t>
  </si>
  <si>
    <t>场景ID</t>
  </si>
  <si>
    <t>场景名</t>
  </si>
  <si>
    <t>镜头距离</t>
  </si>
  <si>
    <t>镜头初始角度</t>
  </si>
  <si>
    <t>大地图</t>
  </si>
  <si>
    <t>场景等级</t>
  </si>
  <si>
    <t>背景音乐</t>
  </si>
  <si>
    <t>天元宗门</t>
  </si>
  <si>
    <t>mini_zm</t>
  </si>
  <si>
    <t>big_zm</t>
  </si>
  <si>
    <t/>
  </si>
  <si>
    <t>蚀苇沼·末流所积</t>
  </si>
  <si>
    <t>map_xiao_03</t>
  </si>
  <si>
    <t>望岳津</t>
  </si>
  <si>
    <t>map_xiao_02</t>
  </si>
  <si>
    <t>浮沉洲</t>
  </si>
  <si>
    <t>map_xiao_04</t>
  </si>
  <si>
    <t>蔽苇汀</t>
  </si>
  <si>
    <t>map_xiao_05</t>
  </si>
  <si>
    <t>岳骨阶</t>
  </si>
  <si>
    <t>map_xiao_06</t>
  </si>
  <si>
    <t>异霭浦</t>
  </si>
  <si>
    <t>map_xiao_07</t>
  </si>
  <si>
    <t>砾台</t>
  </si>
  <si>
    <t>map_xiao_08</t>
  </si>
  <si>
    <t>垂练岩·覆而偶开</t>
  </si>
  <si>
    <t>map_xiao_09</t>
  </si>
  <si>
    <t>水镜滩·水退方见</t>
  </si>
  <si>
    <t>map_xiao_10</t>
  </si>
  <si>
    <t>汇歧渚</t>
  </si>
  <si>
    <t>map_xiao_11</t>
  </si>
  <si>
    <t>沉浊坡</t>
  </si>
  <si>
    <t>map_xiao_12</t>
  </si>
  <si>
    <t>豁烟水</t>
  </si>
  <si>
    <t>map_xiao_13</t>
  </si>
  <si>
    <t>密荷影</t>
  </si>
  <si>
    <t>map_xiao_14</t>
  </si>
  <si>
    <t>末分石</t>
  </si>
  <si>
    <t>map_xiao_15</t>
  </si>
  <si>
    <t>粉浪风</t>
  </si>
  <si>
    <t>map_xiao_16</t>
  </si>
  <si>
    <t>漫莎台</t>
  </si>
  <si>
    <t>map_xiao_17</t>
  </si>
  <si>
    <t>匿汊口</t>
  </si>
  <si>
    <t>map_xiao_18</t>
  </si>
  <si>
    <t>砾藏岩</t>
  </si>
  <si>
    <t>map_xiao_28</t>
  </si>
  <si>
    <t>岔坡</t>
  </si>
  <si>
    <t>map_xiao_20</t>
  </si>
  <si>
    <t>风背余晦</t>
  </si>
  <si>
    <t>map_xiao_19</t>
  </si>
  <si>
    <t>砺赭坂</t>
  </si>
  <si>
    <t>map_xiao_21</t>
  </si>
  <si>
    <t>铁色横侵</t>
  </si>
  <si>
    <t>map_xiao_22</t>
  </si>
  <si>
    <t>伏沟鸣石</t>
  </si>
  <si>
    <t>map_xiao_23</t>
  </si>
  <si>
    <t>褐苔含润</t>
  </si>
  <si>
    <t>map_xiao_24</t>
  </si>
  <si>
    <t>肩生瘠芽</t>
  </si>
  <si>
    <t>map_xiao_25</t>
  </si>
  <si>
    <t>岩腹潜龛</t>
  </si>
  <si>
    <t>map_xiao_26</t>
  </si>
  <si>
    <t>水息留痕</t>
  </si>
  <si>
    <t>map_xiao_27</t>
  </si>
  <si>
    <t>断墙</t>
  </si>
  <si>
    <t>map_xiao_29</t>
  </si>
  <si>
    <t>泻砾堑</t>
  </si>
  <si>
    <t>map_xiao_30</t>
  </si>
  <si>
    <t>幽崩谷</t>
  </si>
  <si>
    <t>map_xiao_31</t>
  </si>
  <si>
    <t>截风坡</t>
  </si>
  <si>
    <t>map_xiao_32</t>
  </si>
  <si>
    <t>隙光苔</t>
  </si>
  <si>
    <t>map_xiao_33</t>
  </si>
  <si>
    <t>浸岩菖</t>
  </si>
  <si>
    <t>map_xiao_34</t>
  </si>
  <si>
    <t>裂口</t>
  </si>
  <si>
    <t>map_xiao_35</t>
  </si>
  <si>
    <t>承影</t>
  </si>
  <si>
    <t>map_xiao_36</t>
  </si>
  <si>
    <t>壅浊石</t>
  </si>
  <si>
    <t>map_xiao_37</t>
  </si>
  <si>
    <t>石息</t>
  </si>
  <si>
    <t>map_xiao_38</t>
  </si>
  <si>
    <t>沉岚</t>
  </si>
  <si>
    <t>map_xiao_39</t>
  </si>
  <si>
    <t>悬晖</t>
  </si>
  <si>
    <t>map_xiao_40</t>
  </si>
  <si>
    <t>隐翳</t>
  </si>
  <si>
    <t>map_xiao_41</t>
  </si>
  <si>
    <t>云根露</t>
  </si>
  <si>
    <t>map_xiao_42</t>
  </si>
  <si>
    <t>风痕苔生</t>
  </si>
  <si>
    <t>map_xiao_43</t>
  </si>
  <si>
    <t>涓台窦</t>
  </si>
  <si>
    <t>map_xiao_44</t>
  </si>
  <si>
    <t>孔收暮影</t>
  </si>
  <si>
    <t>map_xiao_45</t>
  </si>
  <si>
    <t>雾黯岩</t>
  </si>
  <si>
    <t>map_xiao_46</t>
  </si>
  <si>
    <t>风候</t>
  </si>
  <si>
    <t>map_xiao_47</t>
  </si>
  <si>
    <t>雪檐古兽</t>
  </si>
  <si>
    <t>map_xiao_48</t>
  </si>
  <si>
    <t>霰砾坡</t>
  </si>
  <si>
    <t>map_xiao_49</t>
  </si>
  <si>
    <t>融口初声</t>
  </si>
  <si>
    <t>map_xiao_50</t>
  </si>
  <si>
    <t>凇覆苔痕</t>
  </si>
  <si>
    <t>map_xiao_51</t>
  </si>
  <si>
    <t>寒水迟芽</t>
  </si>
  <si>
    <t>map_xiao_52</t>
  </si>
  <si>
    <t>鞍窍</t>
  </si>
  <si>
    <t>map_xiao_53</t>
  </si>
  <si>
    <t>霁台</t>
  </si>
  <si>
    <t>map_xiao_54</t>
  </si>
  <si>
    <t>缩写</t>
  </si>
  <si>
    <t>比奇城</t>
  </si>
  <si>
    <t>D1_1_</t>
  </si>
  <si>
    <t>N</t>
  </si>
  <si>
    <t>刷怪,镜头：蓝色</t>
  </si>
  <si>
    <t>兽人古墓一层</t>
  </si>
  <si>
    <t>D1_2_</t>
  </si>
  <si>
    <t>T</t>
  </si>
  <si>
    <t>传送点：绿色</t>
  </si>
  <si>
    <t>兽人古墓二层</t>
  </si>
  <si>
    <t>D1_3_</t>
  </si>
  <si>
    <t>NPC</t>
  </si>
  <si>
    <t>P</t>
  </si>
  <si>
    <t>npc:黄色</t>
  </si>
  <si>
    <t>国王陵墓</t>
  </si>
  <si>
    <t>D1_4_</t>
  </si>
  <si>
    <t>音效</t>
  </si>
  <si>
    <t>M</t>
  </si>
  <si>
    <t>采集物：紫色</t>
  </si>
  <si>
    <t>废矿区东部</t>
  </si>
  <si>
    <t>D1_5_</t>
  </si>
  <si>
    <t>J</t>
  </si>
  <si>
    <t>D-小地图</t>
  </si>
  <si>
    <t>尸王殿</t>
  </si>
  <si>
    <t>D1_6_</t>
  </si>
  <si>
    <t>C</t>
  </si>
  <si>
    <t>地牢</t>
  </si>
  <si>
    <t>D2_1_</t>
  </si>
  <si>
    <t>D</t>
  </si>
  <si>
    <t>黑暗地带</t>
  </si>
  <si>
    <t>D2_2_</t>
  </si>
  <si>
    <t>死亡棺材</t>
  </si>
  <si>
    <t>D2_3_</t>
  </si>
  <si>
    <t>未知暗殿</t>
  </si>
  <si>
    <t>D2_4_</t>
  </si>
  <si>
    <t>沃玛寺庙一层</t>
  </si>
  <si>
    <t>D2_5_</t>
  </si>
  <si>
    <t>沃玛寺庙二层</t>
  </si>
  <si>
    <t>D2_6_</t>
  </si>
  <si>
    <t>沃玛教主大殿</t>
  </si>
  <si>
    <t>D3_1_</t>
  </si>
  <si>
    <t>石墓一层</t>
  </si>
  <si>
    <t>D3_2_</t>
  </si>
  <si>
    <t>石墓阵入口</t>
  </si>
  <si>
    <t>D3_3_</t>
  </si>
  <si>
    <t>石墓阵出口</t>
  </si>
  <si>
    <t>D3_4_</t>
  </si>
  <si>
    <t>石墓顶层</t>
  </si>
  <si>
    <t>D3_5_</t>
  </si>
  <si>
    <t>桃源之门</t>
  </si>
  <si>
    <t>D3_6_</t>
  </si>
  <si>
    <t>困惑殿堂</t>
  </si>
  <si>
    <t>D4_1_</t>
  </si>
  <si>
    <t>祖玛寺庙一层</t>
  </si>
  <si>
    <t>D4_2_</t>
  </si>
  <si>
    <t>祖玛寺庙二层</t>
  </si>
  <si>
    <t>D4_3_</t>
  </si>
  <si>
    <t>祖玛阁</t>
  </si>
  <si>
    <t>D4_4_</t>
  </si>
  <si>
    <t>祖玛教主之家</t>
  </si>
  <si>
    <t>D4_5_</t>
  </si>
  <si>
    <t>封魔矿区</t>
  </si>
  <si>
    <t>D4_6_</t>
  </si>
  <si>
    <t>光芒回廊</t>
  </si>
  <si>
    <t>D5_1_</t>
  </si>
  <si>
    <t>编号命名</t>
  </si>
  <si>
    <t>封魔殿</t>
  </si>
  <si>
    <t>D5_2_</t>
  </si>
  <si>
    <t>固定“7”</t>
  </si>
  <si>
    <t>地图序号</t>
  </si>
  <si>
    <t>格子边长</t>
  </si>
  <si>
    <t>地图从上往下格子所在第x行</t>
  </si>
  <si>
    <t>格子所在行左起第x个</t>
  </si>
  <si>
    <t>尸魔洞一层</t>
  </si>
  <si>
    <t>D5_3_</t>
  </si>
  <si>
    <t>尸魔洞二层</t>
  </si>
  <si>
    <t>D5_4_</t>
  </si>
  <si>
    <t>示例：70015304，解释：序号1的地图边长为5的区域位置在地图从上往下第3行左数第4个</t>
  </si>
  <si>
    <t>骨魔洞一层</t>
  </si>
  <si>
    <t>D5_5_</t>
  </si>
  <si>
    <t>骨魔洞二层</t>
  </si>
  <si>
    <t>D5_6_</t>
  </si>
  <si>
    <t>比奇城按6区域划分行数，传送点-0，左上-1，右上-2，左下-3，右下4，城中-5</t>
  </si>
  <si>
    <t>牛魔寺庙入口</t>
  </si>
  <si>
    <t>D6_1_</t>
  </si>
  <si>
    <t>牛魔寺庙一层</t>
  </si>
  <si>
    <t>D6_2_</t>
  </si>
  <si>
    <t>牛魔寺庙大厅</t>
  </si>
  <si>
    <t>D6_3_</t>
  </si>
  <si>
    <t>地编命名</t>
  </si>
  <si>
    <t>丛林迷宫</t>
  </si>
  <si>
    <t>D6_4_</t>
  </si>
  <si>
    <t>区域类型</t>
  </si>
  <si>
    <t>格子所在第x行</t>
  </si>
  <si>
    <t>赤月峡谷西走廊</t>
  </si>
  <si>
    <t>D6_5_</t>
  </si>
  <si>
    <t>P-传送</t>
  </si>
  <si>
    <t>赤月峡谷东二层</t>
  </si>
  <si>
    <t>D6_6_</t>
  </si>
  <si>
    <t>T-NPC</t>
  </si>
  <si>
    <t>赤月峡谷广场</t>
  </si>
  <si>
    <t>M1</t>
  </si>
  <si>
    <t>N-怪物</t>
  </si>
  <si>
    <t>抉择之地</t>
  </si>
  <si>
    <t>M2</t>
  </si>
  <si>
    <t>M-音效</t>
  </si>
  <si>
    <t>恶魔祭坛</t>
  </si>
  <si>
    <t>M3</t>
  </si>
  <si>
    <t>J-镜头</t>
  </si>
  <si>
    <t>赤月魔穴</t>
  </si>
  <si>
    <t>M4</t>
  </si>
  <si>
    <t>示例：1N3_4_5，解释：序号1的地图边长为3的从上往下第4行左数第5个怪物区域</t>
  </si>
  <si>
    <t>新手村</t>
  </si>
  <si>
    <t>M5</t>
  </si>
  <si>
    <t>版本</t>
  </si>
  <si>
    <t>内容</t>
  </si>
  <si>
    <t>V1.11</t>
  </si>
  <si>
    <t>新增场景区域</t>
  </si>
  <si>
    <t>V1.12</t>
  </si>
  <si>
    <t>修改兽人古墓、矿区传送、位置</t>
  </si>
  <si>
    <t>V1.13</t>
  </si>
  <si>
    <t>V1.14</t>
  </si>
  <si>
    <t>V1.15</t>
  </si>
  <si>
    <t>更新传送方案，刷怪方案</t>
  </si>
  <si>
    <t>V1.16</t>
  </si>
  <si>
    <t>增加两个测试木桩，biqi_77,biqi_78</t>
  </si>
  <si>
    <t>V1.17</t>
  </si>
  <si>
    <t>增加主场景区域-场景镜头区域</t>
  </si>
  <si>
    <t>V1.18</t>
  </si>
  <si>
    <t>增加场景小地图大地图</t>
  </si>
  <si>
    <t>V1.19</t>
  </si>
  <si>
    <t>按照新的怪物刷新配置，刷新场景内的怪物配置</t>
  </si>
  <si>
    <t>V1.20</t>
  </si>
  <si>
    <t>更新场景</t>
  </si>
  <si>
    <t>V1.21</t>
  </si>
  <si>
    <t>比奇城新增羊，鹿和狼的配置，测试任务用。</t>
  </si>
  <si>
    <t>V1.22</t>
  </si>
  <si>
    <t>新增新手村场景区域；比奇城22,77,78刷新木桩；</t>
  </si>
  <si>
    <t>V1.23</t>
  </si>
  <si>
    <t>① 新手村、比奇城各一个出生点
② 新手村5个备用传送区域，5个落点区域，备用NPC区域10个，普通40，精英10，BOSS 5，音乐10，镜头1</t>
  </si>
  <si>
    <t>V1.24</t>
  </si>
  <si>
    <t>区域版本重制
1、传送落地点与传送起始点分开
2、区域密度提高，适配更多刷怪密度和位置策略
3、区域命名方式优化，附带区域信息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</si>
</sst>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</font>
    <font>
      <sz val="9"/>
      <color theme="1"/>
      <name val="微软雅黑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b/>
      <sz val="9"/>
      <color theme="1"/>
      <name val="微软雅黑"/>
      <charset val="134"/>
    </font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3999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5" borderId="11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2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7" fillId="0" borderId="0">
      <alignment vertical="center"/>
    </xf>
    <xf numFmtId="0" fontId="18" fillId="6" borderId="14">
      <alignment vertical="center"/>
    </xf>
    <xf numFmtId="0" fontId="19" fillId="7" borderId="15">
      <alignment vertical="center"/>
    </xf>
    <xf numFmtId="0" fontId="20" fillId="7" borderId="14">
      <alignment vertical="center"/>
    </xf>
    <xf numFmtId="0" fontId="21" fillId="8" borderId="16">
      <alignment vertical="center"/>
    </xf>
    <xf numFmtId="0" fontId="22" fillId="0" borderId="17">
      <alignment vertical="center"/>
    </xf>
    <xf numFmtId="0" fontId="3" fillId="0" borderId="18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0" fillId="13" borderId="0">
      <alignment vertical="center"/>
    </xf>
    <xf numFmtId="0" fontId="0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0" fillId="17" borderId="0">
      <alignment vertical="center"/>
    </xf>
    <xf numFmtId="0" fontId="0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0" fillId="21" borderId="0">
      <alignment vertical="center"/>
    </xf>
    <xf numFmtId="0" fontId="0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0" fillId="25" borderId="0">
      <alignment vertical="center"/>
    </xf>
    <xf numFmtId="0" fontId="0" fillId="26" borderId="0">
      <alignment vertical="center"/>
    </xf>
    <xf numFmtId="0" fontId="26" fillId="2" borderId="0">
      <alignment vertical="center"/>
    </xf>
    <xf numFmtId="0" fontId="26" fillId="27" borderId="0">
      <alignment vertical="center"/>
    </xf>
    <xf numFmtId="0" fontId="0" fillId="4" borderId="0">
      <alignment vertical="center"/>
    </xf>
    <xf numFmtId="0" fontId="0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26" fillId="33" borderId="0">
      <alignment vertical="center"/>
    </xf>
  </cellStyleXfs>
  <cellXfs count="41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0" borderId="9" xfId="0" applyFont="1" applyBorder="1" applyAlignment="1"/>
    <xf numFmtId="0" fontId="6" fillId="0" borderId="10" xfId="0" applyFont="1" applyBorder="1" applyAlignment="1"/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6" fillId="0" borderId="2" xfId="0" applyFont="1" applyBorder="1" applyAlignment="1"/>
    <xf numFmtId="0" fontId="4" fillId="2" borderId="6" xfId="0" applyFont="1" applyFill="1" applyBorder="1" applyAlignment="1">
      <alignment horizontal="left" vertical="center"/>
    </xf>
    <xf numFmtId="0" fontId="6" fillId="0" borderId="6" xfId="0" applyFont="1" applyBorder="1" applyAlignment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43"/>
  <sheetViews>
    <sheetView tabSelected="1" zoomScale="85" zoomScaleNormal="85" workbookViewId="0">
      <pane xSplit="5" ySplit="4" topLeftCell="M96" activePane="bottomRight" state="frozen"/>
      <selection/>
      <selection pane="topRight"/>
      <selection pane="bottomLeft"/>
      <selection pane="bottomRight" activeCell="R647" sqref="R647"/>
    </sheetView>
  </sheetViews>
  <sheetFormatPr defaultColWidth="9" defaultRowHeight="13.2"/>
  <cols>
    <col min="1" max="1" width="9" style="17" customWidth="1"/>
    <col min="2" max="2" width="9.66666666666667" style="17" customWidth="1"/>
    <col min="3" max="3" width="22.6296296296296" style="3" customWidth="1"/>
    <col min="4" max="4" width="22.7222222222222" style="3" customWidth="1"/>
    <col min="5" max="5" width="14.6296296296296" style="3" customWidth="1"/>
    <col min="6" max="6" width="11" style="3" customWidth="1"/>
    <col min="7" max="10" width="5.09259259259259" style="3" customWidth="1"/>
    <col min="11" max="18" width="16.0925925925926" style="3" customWidth="1"/>
    <col min="19" max="19" width="21.7222222222222" style="17" customWidth="1"/>
    <col min="20" max="20" width="9.5462962962963" style="18" customWidth="1"/>
    <col min="21" max="21" width="10" style="17" customWidth="1"/>
    <col min="22" max="27" width="9" style="17" customWidth="1"/>
    <col min="28" max="16384" width="9" style="17"/>
  </cols>
  <sheetData>
    <row r="1" spans="1:27">
      <c r="A1" s="17" t="s">
        <v>0</v>
      </c>
      <c r="B1" s="24" t="s">
        <v>1</v>
      </c>
      <c r="C1" s="24" t="s">
        <v>2</v>
      </c>
      <c r="D1" s="24"/>
      <c r="E1" s="24" t="s">
        <v>3</v>
      </c>
      <c r="F1" s="24" t="s">
        <v>4</v>
      </c>
      <c r="G1" s="24"/>
      <c r="H1" s="24"/>
      <c r="I1" s="24"/>
      <c r="J1" s="24"/>
      <c r="K1" s="24" t="s">
        <v>5</v>
      </c>
      <c r="L1" s="24" t="s">
        <v>6</v>
      </c>
      <c r="M1" s="24" t="s">
        <v>7</v>
      </c>
      <c r="N1" s="24" t="s">
        <v>8</v>
      </c>
      <c r="O1" s="24" t="s">
        <v>9</v>
      </c>
      <c r="P1" s="24" t="s">
        <v>10</v>
      </c>
      <c r="Q1" s="24" t="s">
        <v>11</v>
      </c>
      <c r="R1" s="24" t="s">
        <v>12</v>
      </c>
      <c r="S1" s="25"/>
      <c r="T1" s="26" t="s">
        <v>13</v>
      </c>
      <c r="U1" s="27"/>
      <c r="V1" s="27"/>
      <c r="W1" s="27"/>
      <c r="X1" s="27"/>
      <c r="Y1" s="27"/>
      <c r="Z1" s="27"/>
      <c r="AA1" s="28"/>
    </row>
    <row r="2" spans="1:27">
      <c r="A2" s="17" t="s">
        <v>14</v>
      </c>
      <c r="B2" s="20" t="s">
        <v>15</v>
      </c>
      <c r="C2" s="20" t="s">
        <v>16</v>
      </c>
      <c r="D2" s="20" t="s">
        <v>17</v>
      </c>
      <c r="E2" s="20" t="s">
        <v>16</v>
      </c>
      <c r="F2" s="20" t="s">
        <v>15</v>
      </c>
      <c r="G2" s="20"/>
      <c r="H2" s="20"/>
      <c r="I2" s="20"/>
      <c r="J2" s="20"/>
      <c r="K2" s="20" t="s">
        <v>15</v>
      </c>
      <c r="L2" s="20" t="s">
        <v>15</v>
      </c>
      <c r="M2" s="20" t="s">
        <v>15</v>
      </c>
      <c r="N2" s="20" t="s">
        <v>18</v>
      </c>
      <c r="O2" s="20" t="s">
        <v>18</v>
      </c>
      <c r="P2" s="20" t="s">
        <v>18</v>
      </c>
      <c r="Q2" s="20" t="s">
        <v>18</v>
      </c>
      <c r="R2" s="20" t="s">
        <v>15</v>
      </c>
      <c r="S2" s="29"/>
      <c r="T2" s="30" t="s">
        <v>19</v>
      </c>
      <c r="U2" s="31"/>
      <c r="V2" s="31"/>
      <c r="W2" s="31"/>
      <c r="X2" s="31"/>
      <c r="Y2" s="31"/>
      <c r="Z2" s="31"/>
      <c r="AA2" s="31"/>
    </row>
    <row r="3" spans="1:27">
      <c r="A3" s="17" t="s">
        <v>20</v>
      </c>
      <c r="B3" s="20"/>
      <c r="C3" s="20" t="s">
        <v>21</v>
      </c>
      <c r="D3" s="20" t="s">
        <v>22</v>
      </c>
      <c r="E3" s="20" t="s">
        <v>21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 t="s">
        <v>21</v>
      </c>
      <c r="S3" s="29"/>
      <c r="T3" s="32" t="s">
        <v>23</v>
      </c>
      <c r="U3" s="33"/>
      <c r="V3" s="33"/>
      <c r="W3" s="33"/>
      <c r="X3" s="33"/>
      <c r="Y3" s="33"/>
      <c r="Z3" s="33"/>
      <c r="AA3" s="33"/>
    </row>
    <row r="4" spans="1:27">
      <c r="A4" s="17" t="s">
        <v>24</v>
      </c>
      <c r="B4" s="24" t="s">
        <v>25</v>
      </c>
      <c r="C4" s="24" t="s">
        <v>26</v>
      </c>
      <c r="D4" s="24" t="s">
        <v>27</v>
      </c>
      <c r="E4" s="24" t="s">
        <v>28</v>
      </c>
      <c r="F4" s="24" t="s">
        <v>29</v>
      </c>
      <c r="G4" s="24" t="s">
        <v>30</v>
      </c>
      <c r="H4" s="24" t="s">
        <v>31</v>
      </c>
      <c r="I4" s="24" t="s">
        <v>32</v>
      </c>
      <c r="J4" s="24" t="s">
        <v>33</v>
      </c>
      <c r="K4" s="24" t="s">
        <v>34</v>
      </c>
      <c r="L4" s="24" t="s">
        <v>35</v>
      </c>
      <c r="M4" s="24" t="s">
        <v>36</v>
      </c>
      <c r="N4" s="24" t="s">
        <v>37</v>
      </c>
      <c r="O4" s="24" t="s">
        <v>38</v>
      </c>
      <c r="P4" s="24" t="s">
        <v>39</v>
      </c>
      <c r="Q4" s="24" t="s">
        <v>40</v>
      </c>
      <c r="R4" s="24" t="s">
        <v>41</v>
      </c>
      <c r="S4" s="25" t="s">
        <v>42</v>
      </c>
      <c r="T4" s="26" t="s">
        <v>43</v>
      </c>
      <c r="U4" s="25" t="s">
        <v>44</v>
      </c>
      <c r="V4" s="25" t="s">
        <v>45</v>
      </c>
      <c r="W4" s="25" t="s">
        <v>46</v>
      </c>
      <c r="X4" s="25" t="s">
        <v>47</v>
      </c>
      <c r="Y4" s="25" t="s">
        <v>48</v>
      </c>
      <c r="Z4" s="25" t="s">
        <v>49</v>
      </c>
      <c r="AA4" s="25" t="s">
        <v>50</v>
      </c>
    </row>
    <row r="5" ht="15" spans="1:27">
      <c r="A5" s="34"/>
      <c r="B5" s="17">
        <f t="shared" ref="B5:B68" si="0">70000000+F5*10000+H5*1000+I5*100+J5</f>
        <v>70015101</v>
      </c>
      <c r="C5" s="3" t="s">
        <v>51</v>
      </c>
      <c r="E5" s="3" t="str">
        <f>F5&amp;(VLOOKUP(G5,编号表!$E$1:$G$8,2,0))&amp;H5&amp;"_"&amp;I5&amp;"_"&amp;J5</f>
        <v>1N5_1_1</v>
      </c>
      <c r="F5" s="3">
        <v>1</v>
      </c>
      <c r="G5" s="3" t="s">
        <v>52</v>
      </c>
      <c r="H5" s="3">
        <v>5</v>
      </c>
      <c r="I5" s="3">
        <v>1</v>
      </c>
      <c r="J5" s="3">
        <f>COUNTIFS($F$5:F5,F5,$I$5:I5,I5)</f>
        <v>1</v>
      </c>
    </row>
    <row r="6" ht="15" spans="1:27">
      <c r="A6" s="34"/>
      <c r="B6" s="17">
        <f t="shared" si="0"/>
        <v>70015102</v>
      </c>
      <c r="C6" s="3" t="s">
        <v>53</v>
      </c>
      <c r="E6" s="3" t="str">
        <f>F6&amp;(VLOOKUP(G6,编号表!$E$1:$G$8,2,0))&amp;H6&amp;"_"&amp;I6&amp;"_"&amp;J6</f>
        <v>1N5_1_2</v>
      </c>
      <c r="F6" s="3">
        <v>1</v>
      </c>
      <c r="G6" s="3" t="s">
        <v>52</v>
      </c>
      <c r="H6" s="3">
        <v>5</v>
      </c>
      <c r="I6" s="3">
        <v>1</v>
      </c>
      <c r="J6" s="3">
        <f>COUNTIFS($F$5:F6,F6,$I$5:I6,I6)</f>
        <v>2</v>
      </c>
    </row>
    <row r="7" ht="15" spans="1:27">
      <c r="A7" s="34"/>
      <c r="B7" s="17">
        <f t="shared" si="0"/>
        <v>70015103</v>
      </c>
      <c r="C7" s="3" t="s">
        <v>54</v>
      </c>
      <c r="E7" s="3" t="str">
        <f>F7&amp;(VLOOKUP(G7,编号表!$E$1:$G$8,2,0))&amp;H7&amp;"_"&amp;I7&amp;"_"&amp;J7</f>
        <v>1N5_1_3</v>
      </c>
      <c r="F7" s="3">
        <v>1</v>
      </c>
      <c r="G7" s="3" t="s">
        <v>52</v>
      </c>
      <c r="H7" s="3">
        <v>5</v>
      </c>
      <c r="I7" s="3">
        <v>1</v>
      </c>
      <c r="J7" s="3">
        <f>COUNTIFS($F$5:F7,F7,$I$5:I7,I7)</f>
        <v>3</v>
      </c>
    </row>
    <row r="8" ht="15" spans="1:27">
      <c r="A8" s="34"/>
      <c r="B8" s="17">
        <f t="shared" si="0"/>
        <v>70015104</v>
      </c>
      <c r="C8" s="3" t="s">
        <v>55</v>
      </c>
      <c r="E8" s="3" t="str">
        <f>F8&amp;(VLOOKUP(G8,编号表!$E$1:$G$8,2,0))&amp;H8&amp;"_"&amp;I8&amp;"_"&amp;J8</f>
        <v>1N5_1_4</v>
      </c>
      <c r="F8" s="3">
        <v>1</v>
      </c>
      <c r="G8" s="3" t="s">
        <v>52</v>
      </c>
      <c r="H8" s="3">
        <v>5</v>
      </c>
      <c r="I8" s="3">
        <v>1</v>
      </c>
      <c r="J8" s="3">
        <f>COUNTIFS($F$5:F8,F8,$I$5:I8,I8)</f>
        <v>4</v>
      </c>
    </row>
    <row r="9" ht="15" spans="1:27">
      <c r="A9" s="34"/>
      <c r="B9" s="17">
        <f t="shared" si="0"/>
        <v>70015105</v>
      </c>
      <c r="C9" s="3" t="s">
        <v>56</v>
      </c>
      <c r="E9" s="3" t="str">
        <f>F9&amp;(VLOOKUP(G9,编号表!$E$1:$G$8,2,0))&amp;H9&amp;"_"&amp;I9&amp;"_"&amp;J9</f>
        <v>1N5_1_5</v>
      </c>
      <c r="F9" s="3">
        <v>1</v>
      </c>
      <c r="G9" s="3" t="s">
        <v>52</v>
      </c>
      <c r="H9" s="3">
        <v>5</v>
      </c>
      <c r="I9" s="3">
        <v>1</v>
      </c>
      <c r="J9" s="3">
        <f>COUNTIFS($F$5:F9,F9,$I$5:I9,I9)</f>
        <v>5</v>
      </c>
    </row>
    <row r="10" ht="15" spans="1:27">
      <c r="A10" s="34"/>
      <c r="B10" s="17">
        <f t="shared" si="0"/>
        <v>70015106</v>
      </c>
      <c r="C10" s="3" t="s">
        <v>57</v>
      </c>
      <c r="E10" s="3" t="str">
        <f>F10&amp;(VLOOKUP(G10,编号表!$E$1:$G$8,2,0))&amp;H10&amp;"_"&amp;I10&amp;"_"&amp;J10</f>
        <v>1N5_1_6</v>
      </c>
      <c r="F10" s="3">
        <v>1</v>
      </c>
      <c r="G10" s="3" t="s">
        <v>52</v>
      </c>
      <c r="H10" s="3">
        <v>5</v>
      </c>
      <c r="I10" s="3">
        <v>1</v>
      </c>
      <c r="J10" s="3">
        <f>COUNTIFS($F$5:F10,F10,$I$5:I10,I10)</f>
        <v>6</v>
      </c>
    </row>
    <row r="11" ht="15" spans="1:27">
      <c r="A11" s="34"/>
      <c r="B11" s="17">
        <f t="shared" si="0"/>
        <v>70015107</v>
      </c>
      <c r="C11" s="3" t="s">
        <v>58</v>
      </c>
      <c r="E11" s="3" t="str">
        <f>F11&amp;(VLOOKUP(G11,编号表!$E$1:$G$8,2,0))&amp;H11&amp;"_"&amp;I11&amp;"_"&amp;J11</f>
        <v>1N5_1_7</v>
      </c>
      <c r="F11" s="3">
        <v>1</v>
      </c>
      <c r="G11" s="3" t="s">
        <v>52</v>
      </c>
      <c r="H11" s="3">
        <v>5</v>
      </c>
      <c r="I11" s="3">
        <v>1</v>
      </c>
      <c r="J11" s="3">
        <f>COUNTIFS($F$5:F11,F11,$I$5:I11,I11)</f>
        <v>7</v>
      </c>
    </row>
    <row r="12" ht="15" spans="1:27">
      <c r="A12" s="34"/>
      <c r="B12" s="17">
        <f t="shared" si="0"/>
        <v>70015108</v>
      </c>
      <c r="C12" s="3" t="s">
        <v>59</v>
      </c>
      <c r="E12" s="3" t="str">
        <f>F12&amp;(VLOOKUP(G12,编号表!$E$1:$G$8,2,0))&amp;H12&amp;"_"&amp;I12&amp;"_"&amp;J12</f>
        <v>1N5_1_8</v>
      </c>
      <c r="F12" s="3">
        <v>1</v>
      </c>
      <c r="G12" s="3" t="s">
        <v>52</v>
      </c>
      <c r="H12" s="3">
        <v>5</v>
      </c>
      <c r="I12" s="3">
        <v>1</v>
      </c>
      <c r="J12" s="3">
        <f>COUNTIFS($F$5:F12,F12,$I$5:I12,I12)</f>
        <v>8</v>
      </c>
    </row>
    <row r="13" ht="15" spans="1:27">
      <c r="A13" s="34"/>
      <c r="B13" s="17">
        <f t="shared" si="0"/>
        <v>70015109</v>
      </c>
      <c r="C13" s="3" t="s">
        <v>60</v>
      </c>
      <c r="E13" s="3" t="str">
        <f>F13&amp;(VLOOKUP(G13,编号表!$E$1:$G$8,2,0))&amp;H13&amp;"_"&amp;I13&amp;"_"&amp;J13</f>
        <v>1N5_1_9</v>
      </c>
      <c r="F13" s="3">
        <v>1</v>
      </c>
      <c r="G13" s="3" t="s">
        <v>52</v>
      </c>
      <c r="H13" s="3">
        <v>5</v>
      </c>
      <c r="I13" s="3">
        <v>1</v>
      </c>
      <c r="J13" s="3">
        <f>COUNTIFS($F$5:F13,F13,$I$5:I13,I13)</f>
        <v>9</v>
      </c>
    </row>
    <row r="14" ht="15" spans="1:27">
      <c r="A14" s="34"/>
      <c r="B14" s="17">
        <f t="shared" si="0"/>
        <v>70015110</v>
      </c>
      <c r="C14" s="3" t="s">
        <v>61</v>
      </c>
      <c r="E14" s="3" t="str">
        <f>F14&amp;(VLOOKUP(G14,编号表!$E$1:$G$8,2,0))&amp;H14&amp;"_"&amp;I14&amp;"_"&amp;J14</f>
        <v>1N5_1_10</v>
      </c>
      <c r="F14" s="3">
        <v>1</v>
      </c>
      <c r="G14" s="3" t="s">
        <v>52</v>
      </c>
      <c r="H14" s="3">
        <v>5</v>
      </c>
      <c r="I14" s="3">
        <v>1</v>
      </c>
      <c r="J14" s="3">
        <f>COUNTIFS($F$5:F14,F14,$I$5:I14,I14)</f>
        <v>10</v>
      </c>
    </row>
    <row r="15" ht="15" spans="1:27">
      <c r="A15" s="34"/>
      <c r="B15" s="17">
        <f t="shared" si="0"/>
        <v>70015111</v>
      </c>
      <c r="C15" s="3" t="s">
        <v>62</v>
      </c>
      <c r="E15" s="3" t="str">
        <f>F15&amp;(VLOOKUP(G15,编号表!$E$1:$G$8,2,0))&amp;H15&amp;"_"&amp;I15&amp;"_"&amp;J15</f>
        <v>1N5_1_11</v>
      </c>
      <c r="F15" s="3">
        <v>1</v>
      </c>
      <c r="G15" s="3" t="s">
        <v>52</v>
      </c>
      <c r="H15" s="3">
        <v>5</v>
      </c>
      <c r="I15" s="3">
        <v>1</v>
      </c>
      <c r="J15" s="3">
        <f>COUNTIFS($F$5:F15,F15,$I$5:I15,I15)</f>
        <v>11</v>
      </c>
    </row>
    <row r="16" ht="15" spans="1:27">
      <c r="A16" s="34"/>
      <c r="B16" s="17">
        <f t="shared" si="0"/>
        <v>70015112</v>
      </c>
      <c r="C16" s="3" t="s">
        <v>63</v>
      </c>
      <c r="E16" s="3" t="str">
        <f>F16&amp;(VLOOKUP(G16,编号表!$E$1:$G$8,2,0))&amp;H16&amp;"_"&amp;I16&amp;"_"&amp;J16</f>
        <v>1N5_1_12</v>
      </c>
      <c r="F16" s="3">
        <v>1</v>
      </c>
      <c r="G16" s="3" t="s">
        <v>52</v>
      </c>
      <c r="H16" s="3">
        <v>5</v>
      </c>
      <c r="I16" s="3">
        <v>1</v>
      </c>
      <c r="J16" s="3">
        <f>COUNTIFS($F$5:F16,F16,$I$5:I16,I16)</f>
        <v>12</v>
      </c>
    </row>
    <row r="17" ht="15" spans="1:10">
      <c r="A17" s="34"/>
      <c r="B17" s="17">
        <f t="shared" si="0"/>
        <v>70015201</v>
      </c>
      <c r="C17" s="3" t="s">
        <v>64</v>
      </c>
      <c r="E17" s="3" t="str">
        <f>F17&amp;(VLOOKUP(G17,编号表!$E$1:$G$8,2,0))&amp;H17&amp;"_"&amp;I17&amp;"_"&amp;J17</f>
        <v>1N5_2_1</v>
      </c>
      <c r="F17" s="3">
        <v>1</v>
      </c>
      <c r="G17" s="3" t="s">
        <v>52</v>
      </c>
      <c r="H17" s="3">
        <v>5</v>
      </c>
      <c r="I17" s="3">
        <v>2</v>
      </c>
      <c r="J17" s="3">
        <v>1</v>
      </c>
    </row>
    <row r="18" ht="15" spans="1:10">
      <c r="A18" s="34"/>
      <c r="B18" s="17">
        <f t="shared" si="0"/>
        <v>70015202</v>
      </c>
      <c r="C18" s="3" t="s">
        <v>65</v>
      </c>
      <c r="E18" s="3" t="str">
        <f>F18&amp;(VLOOKUP(G18,编号表!$E$1:$G$8,2,0))&amp;H18&amp;"_"&amp;I18&amp;"_"&amp;J18</f>
        <v>1N5_2_2</v>
      </c>
      <c r="F18" s="3">
        <v>1</v>
      </c>
      <c r="G18" s="3" t="s">
        <v>52</v>
      </c>
      <c r="H18" s="3">
        <v>5</v>
      </c>
      <c r="I18" s="3">
        <v>2</v>
      </c>
      <c r="J18" s="3">
        <v>2</v>
      </c>
    </row>
    <row r="19" ht="15" spans="1:10">
      <c r="A19" s="34"/>
      <c r="B19" s="17">
        <f t="shared" si="0"/>
        <v>70015203</v>
      </c>
      <c r="C19" s="3" t="s">
        <v>66</v>
      </c>
      <c r="E19" s="3" t="str">
        <f>F19&amp;(VLOOKUP(G19,编号表!$E$1:$G$8,2,0))&amp;H19&amp;"_"&amp;I19&amp;"_"&amp;J19</f>
        <v>1N5_2_3</v>
      </c>
      <c r="F19" s="3">
        <v>1</v>
      </c>
      <c r="G19" s="3" t="s">
        <v>52</v>
      </c>
      <c r="H19" s="3">
        <v>5</v>
      </c>
      <c r="I19" s="3">
        <v>2</v>
      </c>
      <c r="J19" s="3">
        <f>COUNTIFS($F$5:F19,F19,$I$5:I19,I19)</f>
        <v>3</v>
      </c>
    </row>
    <row r="20" ht="15" spans="1:10">
      <c r="A20" s="34"/>
      <c r="B20" s="17">
        <f t="shared" si="0"/>
        <v>70015204</v>
      </c>
      <c r="C20" s="3" t="s">
        <v>67</v>
      </c>
      <c r="E20" s="3" t="str">
        <f>F20&amp;(VLOOKUP(G20,编号表!$E$1:$G$8,2,0))&amp;H20&amp;"_"&amp;I20&amp;"_"&amp;J20</f>
        <v>1N5_2_4</v>
      </c>
      <c r="F20" s="3">
        <v>1</v>
      </c>
      <c r="G20" s="3" t="s">
        <v>52</v>
      </c>
      <c r="H20" s="3">
        <v>5</v>
      </c>
      <c r="I20" s="3">
        <v>2</v>
      </c>
      <c r="J20" s="3">
        <f>COUNTIFS($F$5:F20,F20,$I$5:I20,I20)</f>
        <v>4</v>
      </c>
    </row>
    <row r="21" ht="15" spans="1:10">
      <c r="A21" s="34"/>
      <c r="B21" s="17">
        <f t="shared" si="0"/>
        <v>70015205</v>
      </c>
      <c r="C21" s="3" t="s">
        <v>68</v>
      </c>
      <c r="E21" s="3" t="str">
        <f>F21&amp;(VLOOKUP(G21,编号表!$E$1:$G$8,2,0))&amp;H21&amp;"_"&amp;I21&amp;"_"&amp;J21</f>
        <v>1N5_2_5</v>
      </c>
      <c r="F21" s="3">
        <v>1</v>
      </c>
      <c r="G21" s="3" t="s">
        <v>52</v>
      </c>
      <c r="H21" s="3">
        <v>5</v>
      </c>
      <c r="I21" s="3">
        <v>2</v>
      </c>
      <c r="J21" s="3">
        <f>COUNTIFS($F$5:F21,F21,$I$5:I21,I21)</f>
        <v>5</v>
      </c>
    </row>
    <row r="22" ht="15" spans="1:10">
      <c r="A22" s="34"/>
      <c r="B22" s="17">
        <f t="shared" si="0"/>
        <v>70015206</v>
      </c>
      <c r="C22" s="3" t="s">
        <v>69</v>
      </c>
      <c r="E22" s="3" t="str">
        <f>F22&amp;(VLOOKUP(G22,编号表!$E$1:$G$8,2,0))&amp;H22&amp;"_"&amp;I22&amp;"_"&amp;J22</f>
        <v>1N5_2_6</v>
      </c>
      <c r="F22" s="3">
        <v>1</v>
      </c>
      <c r="G22" s="3" t="s">
        <v>52</v>
      </c>
      <c r="H22" s="3">
        <v>5</v>
      </c>
      <c r="I22" s="3">
        <v>2</v>
      </c>
      <c r="J22" s="3">
        <f>COUNTIFS($F$5:F22,F22,$I$5:I22,I22)</f>
        <v>6</v>
      </c>
    </row>
    <row r="23" ht="15" spans="1:10">
      <c r="A23" s="34"/>
      <c r="B23" s="17">
        <f t="shared" si="0"/>
        <v>70015207</v>
      </c>
      <c r="C23" s="3" t="s">
        <v>70</v>
      </c>
      <c r="E23" s="3" t="str">
        <f>F23&amp;(VLOOKUP(G23,编号表!$E$1:$G$8,2,0))&amp;H23&amp;"_"&amp;I23&amp;"_"&amp;J23</f>
        <v>1N5_2_7</v>
      </c>
      <c r="F23" s="3">
        <v>1</v>
      </c>
      <c r="G23" s="3" t="s">
        <v>52</v>
      </c>
      <c r="H23" s="3">
        <v>5</v>
      </c>
      <c r="I23" s="3">
        <v>2</v>
      </c>
      <c r="J23" s="3">
        <f>COUNTIFS($F$5:F23,F23,$I$5:I23,I23)</f>
        <v>7</v>
      </c>
    </row>
    <row r="24" ht="15" spans="1:10">
      <c r="A24" s="34"/>
      <c r="B24" s="17">
        <f t="shared" si="0"/>
        <v>70015208</v>
      </c>
      <c r="C24" s="3" t="s">
        <v>71</v>
      </c>
      <c r="E24" s="3" t="str">
        <f>F24&amp;(VLOOKUP(G24,编号表!$E$1:$G$8,2,0))&amp;H24&amp;"_"&amp;I24&amp;"_"&amp;J24</f>
        <v>1N5_2_8</v>
      </c>
      <c r="F24" s="3">
        <v>1</v>
      </c>
      <c r="G24" s="3" t="s">
        <v>52</v>
      </c>
      <c r="H24" s="3">
        <v>5</v>
      </c>
      <c r="I24" s="3">
        <v>2</v>
      </c>
      <c r="J24" s="3">
        <f>COUNTIFS($F$5:F24,F24,$I$5:I24,I24)</f>
        <v>8</v>
      </c>
      <c r="R24" s="3">
        <v>70031001</v>
      </c>
    </row>
    <row r="25" ht="15" spans="1:10">
      <c r="A25" s="34"/>
      <c r="B25" s="17">
        <f t="shared" si="0"/>
        <v>70015209</v>
      </c>
      <c r="C25" s="3" t="s">
        <v>72</v>
      </c>
      <c r="E25" s="3" t="str">
        <f>F25&amp;(VLOOKUP(G25,编号表!$E$1:$G$8,2,0))&amp;H25&amp;"_"&amp;I25&amp;"_"&amp;J25</f>
        <v>1N5_2_9</v>
      </c>
      <c r="F25" s="3">
        <v>1</v>
      </c>
      <c r="G25" s="3" t="s">
        <v>52</v>
      </c>
      <c r="H25" s="3">
        <v>5</v>
      </c>
      <c r="I25" s="3">
        <v>2</v>
      </c>
      <c r="J25" s="3">
        <f>COUNTIFS($F$5:F25,F25,$I$5:I25,I25)</f>
        <v>9</v>
      </c>
      <c r="R25" s="3">
        <v>70111001</v>
      </c>
    </row>
    <row r="26" ht="15" spans="1:10">
      <c r="A26" s="34"/>
      <c r="B26" s="17">
        <f t="shared" si="0"/>
        <v>70015210</v>
      </c>
      <c r="C26" s="3" t="s">
        <v>73</v>
      </c>
      <c r="E26" s="3" t="str">
        <f>F26&amp;(VLOOKUP(G26,编号表!$E$1:$G$8,2,0))&amp;H26&amp;"_"&amp;I26&amp;"_"&amp;J26</f>
        <v>1N5_2_10</v>
      </c>
      <c r="F26" s="3">
        <v>1</v>
      </c>
      <c r="G26" s="3" t="s">
        <v>52</v>
      </c>
      <c r="H26" s="3">
        <v>5</v>
      </c>
      <c r="I26" s="3">
        <v>2</v>
      </c>
      <c r="J26" s="3">
        <f>COUNTIFS($F$5:F26,F26,$I$5:I26,I26)</f>
        <v>10</v>
      </c>
      <c r="R26" s="3">
        <v>70201001</v>
      </c>
    </row>
    <row r="27" ht="15" spans="1:10">
      <c r="A27" s="34"/>
      <c r="B27" s="17">
        <f t="shared" si="0"/>
        <v>70015211</v>
      </c>
      <c r="C27" s="3" t="s">
        <v>74</v>
      </c>
      <c r="E27" s="3" t="str">
        <f>F27&amp;(VLOOKUP(G27,编号表!$E$1:$G$8,2,0))&amp;H27&amp;"_"&amp;I27&amp;"_"&amp;J27</f>
        <v>1N5_2_11</v>
      </c>
      <c r="F27" s="3">
        <v>1</v>
      </c>
      <c r="G27" s="3" t="s">
        <v>52</v>
      </c>
      <c r="H27" s="3">
        <v>5</v>
      </c>
      <c r="I27" s="3">
        <v>2</v>
      </c>
      <c r="J27" s="3">
        <f>COUNTIFS($F$5:F27,F27,$I$5:I27,I27)</f>
        <v>11</v>
      </c>
      <c r="R27" s="3">
        <v>70291001</v>
      </c>
    </row>
    <row r="28" ht="15" spans="1:10">
      <c r="A28" s="34"/>
      <c r="B28" s="17">
        <f t="shared" si="0"/>
        <v>70015212</v>
      </c>
      <c r="C28" s="3" t="s">
        <v>75</v>
      </c>
      <c r="E28" s="3" t="str">
        <f>F28&amp;(VLOOKUP(G28,编号表!$E$1:$G$8,2,0))&amp;H28&amp;"_"&amp;I28&amp;"_"&amp;J28</f>
        <v>1N5_2_12</v>
      </c>
      <c r="F28" s="3">
        <v>1</v>
      </c>
      <c r="G28" s="3" t="s">
        <v>52</v>
      </c>
      <c r="H28" s="3">
        <v>5</v>
      </c>
      <c r="I28" s="3">
        <v>2</v>
      </c>
      <c r="J28" s="3">
        <f>COUNTIFS($F$5:F28,F28,$I$5:I28,I28)</f>
        <v>12</v>
      </c>
      <c r="R28" s="3">
        <v>70381001</v>
      </c>
    </row>
    <row r="29" ht="15" spans="1:10">
      <c r="A29" s="34"/>
      <c r="B29" s="17">
        <f t="shared" si="0"/>
        <v>70015213</v>
      </c>
      <c r="C29" s="3" t="s">
        <v>76</v>
      </c>
      <c r="E29" s="3" t="str">
        <f>F29&amp;(VLOOKUP(G29,编号表!$E$1:$G$8,2,0))&amp;H29&amp;"_"&amp;I29&amp;"_"&amp;J29</f>
        <v>1N5_2_13</v>
      </c>
      <c r="F29" s="3">
        <v>1</v>
      </c>
      <c r="G29" s="3" t="s">
        <v>52</v>
      </c>
      <c r="H29" s="3">
        <v>5</v>
      </c>
      <c r="I29" s="3">
        <v>2</v>
      </c>
      <c r="J29" s="3">
        <f>COUNTIFS($F$5:F29,F29,$I$5:I29,I29)</f>
        <v>13</v>
      </c>
      <c r="R29" s="3">
        <v>70471001</v>
      </c>
    </row>
    <row r="30" ht="15" spans="1:10">
      <c r="A30" s="34"/>
      <c r="B30" s="17">
        <f t="shared" si="0"/>
        <v>70015301</v>
      </c>
      <c r="C30" s="3" t="s">
        <v>77</v>
      </c>
      <c r="E30" s="3" t="str">
        <f>F30&amp;(VLOOKUP(G30,编号表!$E$1:$G$8,2,0))&amp;H30&amp;"_"&amp;I30&amp;"_"&amp;J30</f>
        <v>1N5_3_1</v>
      </c>
      <c r="F30" s="3">
        <v>1</v>
      </c>
      <c r="G30" s="3" t="s">
        <v>52</v>
      </c>
      <c r="H30" s="3">
        <v>5</v>
      </c>
      <c r="I30" s="3">
        <v>3</v>
      </c>
      <c r="J30" s="3">
        <v>1</v>
      </c>
    </row>
    <row r="31" ht="15" spans="1:10">
      <c r="A31" s="34"/>
      <c r="B31" s="17">
        <f t="shared" si="0"/>
        <v>70015302</v>
      </c>
      <c r="C31" s="3" t="s">
        <v>78</v>
      </c>
      <c r="E31" s="3" t="str">
        <f>F31&amp;(VLOOKUP(G31,编号表!$E$1:$G$8,2,0))&amp;H31&amp;"_"&amp;I31&amp;"_"&amp;J31</f>
        <v>1N5_3_2</v>
      </c>
      <c r="F31" s="3">
        <v>1</v>
      </c>
      <c r="G31" s="3" t="s">
        <v>52</v>
      </c>
      <c r="H31" s="3">
        <v>5</v>
      </c>
      <c r="I31" s="3">
        <v>3</v>
      </c>
      <c r="J31" s="3">
        <v>2</v>
      </c>
    </row>
    <row r="32" ht="15" spans="1:10">
      <c r="A32" s="34"/>
      <c r="B32" s="17">
        <f t="shared" si="0"/>
        <v>70015303</v>
      </c>
      <c r="C32" s="3" t="s">
        <v>79</v>
      </c>
      <c r="E32" s="3" t="str">
        <f>F32&amp;(VLOOKUP(G32,编号表!$E$1:$G$8,2,0))&amp;H32&amp;"_"&amp;I32&amp;"_"&amp;J32</f>
        <v>1N5_3_3</v>
      </c>
      <c r="F32" s="3">
        <v>1</v>
      </c>
      <c r="G32" s="3" t="s">
        <v>52</v>
      </c>
      <c r="H32" s="3">
        <v>5</v>
      </c>
      <c r="I32" s="3">
        <v>3</v>
      </c>
      <c r="J32" s="3">
        <v>3</v>
      </c>
    </row>
    <row r="33" ht="15" spans="1:10">
      <c r="A33" s="34"/>
      <c r="B33" s="17">
        <f t="shared" si="0"/>
        <v>70015304</v>
      </c>
      <c r="C33" s="3" t="s">
        <v>80</v>
      </c>
      <c r="E33" s="3" t="str">
        <f>F33&amp;(VLOOKUP(G33,编号表!$E$1:$G$8,2,0))&amp;H33&amp;"_"&amp;I33&amp;"_"&amp;J33</f>
        <v>1N5_3_4</v>
      </c>
      <c r="F33" s="3">
        <v>1</v>
      </c>
      <c r="G33" s="3" t="s">
        <v>52</v>
      </c>
      <c r="H33" s="3">
        <v>5</v>
      </c>
      <c r="I33" s="3">
        <v>3</v>
      </c>
      <c r="J33" s="3">
        <v>4</v>
      </c>
    </row>
    <row r="34" ht="15" spans="1:10">
      <c r="A34" s="34"/>
      <c r="B34" s="17">
        <f t="shared" si="0"/>
        <v>70015401</v>
      </c>
      <c r="C34" s="3" t="s">
        <v>81</v>
      </c>
      <c r="E34" s="3" t="str">
        <f>F34&amp;(VLOOKUP(G34,编号表!$E$1:$G$8,2,0))&amp;H34&amp;"_"&amp;I34&amp;"_"&amp;J34</f>
        <v>1N5_4_1</v>
      </c>
      <c r="F34" s="3">
        <v>1</v>
      </c>
      <c r="G34" s="3" t="s">
        <v>52</v>
      </c>
      <c r="H34" s="3">
        <v>5</v>
      </c>
      <c r="I34" s="3">
        <v>4</v>
      </c>
      <c r="J34" s="3">
        <v>1</v>
      </c>
    </row>
    <row r="35" ht="15" spans="1:10">
      <c r="A35" s="34"/>
      <c r="B35" s="17">
        <f t="shared" si="0"/>
        <v>70015402</v>
      </c>
      <c r="C35" s="3" t="s">
        <v>82</v>
      </c>
      <c r="E35" s="3" t="str">
        <f>F35&amp;(VLOOKUP(G35,编号表!$E$1:$G$8,2,0))&amp;H35&amp;"_"&amp;I35&amp;"_"&amp;J35</f>
        <v>1N5_4_2</v>
      </c>
      <c r="F35" s="3">
        <v>1</v>
      </c>
      <c r="G35" s="3" t="s">
        <v>52</v>
      </c>
      <c r="H35" s="3">
        <v>5</v>
      </c>
      <c r="I35" s="3">
        <v>4</v>
      </c>
      <c r="J35" s="3">
        <v>2</v>
      </c>
    </row>
    <row r="36" ht="15" spans="1:10">
      <c r="A36" s="34"/>
      <c r="B36" s="17">
        <f t="shared" si="0"/>
        <v>70015403</v>
      </c>
      <c r="C36" s="3" t="s">
        <v>83</v>
      </c>
      <c r="E36" s="3" t="str">
        <f>F36&amp;(VLOOKUP(G36,编号表!$E$1:$G$8,2,0))&amp;H36&amp;"_"&amp;I36&amp;"_"&amp;J36</f>
        <v>1N5_4_3</v>
      </c>
      <c r="F36" s="3">
        <v>1</v>
      </c>
      <c r="G36" s="3" t="s">
        <v>52</v>
      </c>
      <c r="H36" s="3">
        <v>5</v>
      </c>
      <c r="I36" s="3">
        <v>4</v>
      </c>
      <c r="J36" s="3">
        <v>3</v>
      </c>
    </row>
    <row r="37" ht="15" spans="1:10">
      <c r="A37" s="34"/>
      <c r="B37" s="17">
        <f t="shared" si="0"/>
        <v>70015404</v>
      </c>
      <c r="C37" s="3" t="s">
        <v>84</v>
      </c>
      <c r="E37" s="3" t="str">
        <f>F37&amp;(VLOOKUP(G37,编号表!$E$1:$G$8,2,0))&amp;H37&amp;"_"&amp;I37&amp;"_"&amp;J37</f>
        <v>1N5_4_4</v>
      </c>
      <c r="F37" s="3">
        <v>1</v>
      </c>
      <c r="G37" s="3" t="s">
        <v>52</v>
      </c>
      <c r="H37" s="3">
        <v>5</v>
      </c>
      <c r="I37" s="3">
        <v>4</v>
      </c>
      <c r="J37" s="3">
        <v>4</v>
      </c>
    </row>
    <row r="38" ht="15" spans="1:10">
      <c r="A38" s="34"/>
      <c r="B38" s="17">
        <f t="shared" si="0"/>
        <v>70015405</v>
      </c>
      <c r="C38" s="3" t="s">
        <v>85</v>
      </c>
      <c r="E38" s="3" t="str">
        <f>F38&amp;(VLOOKUP(G38,编号表!$E$1:$G$8,2,0))&amp;H38&amp;"_"&amp;I38&amp;"_"&amp;J38</f>
        <v>1N5_4_5</v>
      </c>
      <c r="F38" s="3">
        <v>1</v>
      </c>
      <c r="G38" s="3" t="s">
        <v>52</v>
      </c>
      <c r="H38" s="3">
        <v>5</v>
      </c>
      <c r="I38" s="3">
        <v>4</v>
      </c>
      <c r="J38" s="3">
        <v>5</v>
      </c>
    </row>
    <row r="39" ht="15" spans="1:10">
      <c r="A39" s="34"/>
      <c r="B39" s="17">
        <f t="shared" si="0"/>
        <v>70015406</v>
      </c>
      <c r="C39" s="3" t="s">
        <v>86</v>
      </c>
      <c r="E39" s="3" t="str">
        <f>F39&amp;(VLOOKUP(G39,编号表!$E$1:$G$8,2,0))&amp;H39&amp;"_"&amp;I39&amp;"_"&amp;J39</f>
        <v>1N5_4_6</v>
      </c>
      <c r="F39" s="3">
        <v>1</v>
      </c>
      <c r="G39" s="3" t="s">
        <v>52</v>
      </c>
      <c r="H39" s="3">
        <v>5</v>
      </c>
      <c r="I39" s="3">
        <v>4</v>
      </c>
      <c r="J39" s="3">
        <v>6</v>
      </c>
    </row>
    <row r="40" ht="15" spans="1:10">
      <c r="A40" s="34"/>
      <c r="B40" s="17">
        <f t="shared" si="0"/>
        <v>70015407</v>
      </c>
      <c r="C40" s="3" t="s">
        <v>87</v>
      </c>
      <c r="E40" s="3" t="str">
        <f>F40&amp;(VLOOKUP(G40,编号表!$E$1:$G$8,2,0))&amp;H40&amp;"_"&amp;I40&amp;"_"&amp;J40</f>
        <v>1N5_4_7</v>
      </c>
      <c r="F40" s="3">
        <v>1</v>
      </c>
      <c r="G40" s="3" t="s">
        <v>52</v>
      </c>
      <c r="H40" s="3">
        <v>5</v>
      </c>
      <c r="I40" s="3">
        <v>4</v>
      </c>
      <c r="J40" s="3">
        <v>7</v>
      </c>
    </row>
    <row r="41" ht="15" spans="1:10">
      <c r="A41" s="34"/>
      <c r="B41" s="17">
        <f t="shared" si="0"/>
        <v>70015408</v>
      </c>
      <c r="C41" s="3" t="s">
        <v>88</v>
      </c>
      <c r="E41" s="3" t="str">
        <f>F41&amp;(VLOOKUP(G41,编号表!$E$1:$G$8,2,0))&amp;H41&amp;"_"&amp;I41&amp;"_"&amp;J41</f>
        <v>1N5_4_8</v>
      </c>
      <c r="F41" s="3">
        <v>1</v>
      </c>
      <c r="G41" s="3" t="s">
        <v>52</v>
      </c>
      <c r="H41" s="3">
        <v>5</v>
      </c>
      <c r="I41" s="3">
        <v>4</v>
      </c>
      <c r="J41" s="3">
        <v>8</v>
      </c>
    </row>
    <row r="42" ht="15" spans="1:10">
      <c r="A42" s="34"/>
      <c r="B42" s="17">
        <f t="shared" si="0"/>
        <v>70015501</v>
      </c>
      <c r="C42" s="3" t="s">
        <v>89</v>
      </c>
      <c r="E42" s="3" t="str">
        <f>F42&amp;(VLOOKUP(G42,编号表!$E$1:$G$8,2,0))&amp;H42&amp;"_"&amp;I42&amp;"_"&amp;J42</f>
        <v>1N5_5_1</v>
      </c>
      <c r="F42" s="3">
        <v>1</v>
      </c>
      <c r="G42" s="3" t="s">
        <v>52</v>
      </c>
      <c r="H42" s="3">
        <v>5</v>
      </c>
      <c r="I42" s="3">
        <v>5</v>
      </c>
      <c r="J42" s="3">
        <v>1</v>
      </c>
    </row>
    <row r="43" ht="15" spans="1:10">
      <c r="A43" s="34"/>
      <c r="B43" s="17">
        <f t="shared" si="0"/>
        <v>70015502</v>
      </c>
      <c r="C43" s="3" t="s">
        <v>90</v>
      </c>
      <c r="E43" s="3" t="str">
        <f>F43&amp;(VLOOKUP(G43,编号表!$E$1:$G$8,2,0))&amp;H43&amp;"_"&amp;I43&amp;"_"&amp;J43</f>
        <v>1N5_5_2</v>
      </c>
      <c r="F43" s="3">
        <v>1</v>
      </c>
      <c r="G43" s="3" t="s">
        <v>52</v>
      </c>
      <c r="H43" s="3">
        <v>5</v>
      </c>
      <c r="I43" s="3">
        <v>5</v>
      </c>
      <c r="J43" s="3">
        <v>2</v>
      </c>
    </row>
    <row r="44" ht="15" spans="1:10">
      <c r="A44" s="34"/>
      <c r="B44" s="17">
        <f t="shared" si="0"/>
        <v>70015503</v>
      </c>
      <c r="C44" s="3" t="s">
        <v>91</v>
      </c>
      <c r="E44" s="3" t="str">
        <f>F44&amp;(VLOOKUP(G44,编号表!$E$1:$G$8,2,0))&amp;H44&amp;"_"&amp;I44&amp;"_"&amp;J44</f>
        <v>1N5_5_3</v>
      </c>
      <c r="F44" s="3">
        <v>1</v>
      </c>
      <c r="G44" s="3" t="s">
        <v>52</v>
      </c>
      <c r="H44" s="3">
        <v>5</v>
      </c>
      <c r="I44" s="3">
        <v>5</v>
      </c>
      <c r="J44" s="3">
        <v>3</v>
      </c>
    </row>
    <row r="45" ht="15" spans="1:10">
      <c r="A45" s="34"/>
      <c r="B45" s="17">
        <f t="shared" si="0"/>
        <v>70015504</v>
      </c>
      <c r="C45" s="3" t="s">
        <v>92</v>
      </c>
      <c r="E45" s="3" t="str">
        <f>F45&amp;(VLOOKUP(G45,编号表!$E$1:$G$8,2,0))&amp;H45&amp;"_"&amp;I45&amp;"_"&amp;J45</f>
        <v>1N5_5_4</v>
      </c>
      <c r="F45" s="3">
        <v>1</v>
      </c>
      <c r="G45" s="3" t="s">
        <v>52</v>
      </c>
      <c r="H45" s="3">
        <v>5</v>
      </c>
      <c r="I45" s="3">
        <v>5</v>
      </c>
      <c r="J45" s="3">
        <v>4</v>
      </c>
    </row>
    <row r="46" ht="15" spans="1:10">
      <c r="A46" s="34"/>
      <c r="B46" s="17">
        <f t="shared" si="0"/>
        <v>70015505</v>
      </c>
      <c r="C46" s="3" t="s">
        <v>93</v>
      </c>
      <c r="E46" s="3" t="str">
        <f>F46&amp;(VLOOKUP(G46,编号表!$E$1:$G$8,2,0))&amp;H46&amp;"_"&amp;I46&amp;"_"&amp;J46</f>
        <v>1N5_5_5</v>
      </c>
      <c r="F46" s="3">
        <v>1</v>
      </c>
      <c r="G46" s="3" t="s">
        <v>52</v>
      </c>
      <c r="H46" s="3">
        <v>5</v>
      </c>
      <c r="I46" s="3">
        <v>5</v>
      </c>
      <c r="J46" s="3">
        <v>5</v>
      </c>
    </row>
    <row r="47" ht="15" spans="1:10">
      <c r="A47" s="34"/>
      <c r="B47" s="17">
        <f t="shared" si="0"/>
        <v>70015506</v>
      </c>
      <c r="C47" s="3" t="s">
        <v>94</v>
      </c>
      <c r="E47" s="3" t="str">
        <f>F47&amp;(VLOOKUP(G47,编号表!$E$1:$G$8,2,0))&amp;H47&amp;"_"&amp;I47&amp;"_"&amp;J47</f>
        <v>1N5_5_6</v>
      </c>
      <c r="F47" s="3">
        <v>1</v>
      </c>
      <c r="G47" s="3" t="s">
        <v>52</v>
      </c>
      <c r="H47" s="3">
        <v>5</v>
      </c>
      <c r="I47" s="3">
        <v>5</v>
      </c>
      <c r="J47" s="3">
        <v>6</v>
      </c>
    </row>
    <row r="48" ht="13" customHeight="1" spans="1:10">
      <c r="A48" s="34"/>
      <c r="B48" s="17">
        <f t="shared" si="0"/>
        <v>70015601</v>
      </c>
      <c r="C48" s="3" t="s">
        <v>95</v>
      </c>
      <c r="E48" s="3" t="str">
        <f>F48&amp;(VLOOKUP(G48,编号表!$E$1:$G$8,2,0))&amp;H48&amp;"_"&amp;I48&amp;"_"&amp;J48</f>
        <v>1N5_6_1</v>
      </c>
      <c r="F48" s="3">
        <v>1</v>
      </c>
      <c r="G48" s="3" t="s">
        <v>52</v>
      </c>
      <c r="H48" s="3">
        <v>5</v>
      </c>
      <c r="I48" s="3">
        <v>6</v>
      </c>
      <c r="J48" s="3">
        <v>1</v>
      </c>
    </row>
    <row r="49" ht="13" customHeight="1" spans="1:10">
      <c r="A49" s="34"/>
      <c r="B49" s="17">
        <f t="shared" si="0"/>
        <v>70015602</v>
      </c>
      <c r="C49" s="3" t="s">
        <v>96</v>
      </c>
      <c r="E49" s="3" t="str">
        <f>F49&amp;(VLOOKUP(G49,编号表!$E$1:$G$8,2,0))&amp;H49&amp;"_"&amp;I49&amp;"_"&amp;J49</f>
        <v>1N5_6_2</v>
      </c>
      <c r="F49" s="3">
        <v>1</v>
      </c>
      <c r="G49" s="3" t="s">
        <v>52</v>
      </c>
      <c r="H49" s="3">
        <v>5</v>
      </c>
      <c r="I49" s="3">
        <v>6</v>
      </c>
      <c r="J49" s="3">
        <v>2</v>
      </c>
    </row>
    <row r="50" ht="13" customHeight="1" spans="1:10">
      <c r="A50" s="34"/>
      <c r="B50" s="17">
        <f t="shared" si="0"/>
        <v>70015603</v>
      </c>
      <c r="C50" s="3" t="s">
        <v>97</v>
      </c>
      <c r="E50" s="3" t="str">
        <f>F50&amp;(VLOOKUP(G50,编号表!$E$1:$G$8,2,0))&amp;H50&amp;"_"&amp;I50&amp;"_"&amp;J50</f>
        <v>1N5_6_3</v>
      </c>
      <c r="F50" s="3">
        <v>1</v>
      </c>
      <c r="G50" s="3" t="s">
        <v>52</v>
      </c>
      <c r="H50" s="3">
        <v>5</v>
      </c>
      <c r="I50" s="3">
        <v>6</v>
      </c>
      <c r="J50" s="3">
        <v>3</v>
      </c>
    </row>
    <row r="51" ht="13" customHeight="1" spans="1:10">
      <c r="A51" s="34"/>
      <c r="B51" s="17">
        <f t="shared" si="0"/>
        <v>70015604</v>
      </c>
      <c r="C51" s="3" t="s">
        <v>98</v>
      </c>
      <c r="E51" s="3" t="str">
        <f>F51&amp;(VLOOKUP(G51,编号表!$E$1:$G$8,2,0))&amp;H51&amp;"_"&amp;I51&amp;"_"&amp;J51</f>
        <v>1N5_6_4</v>
      </c>
      <c r="F51" s="3">
        <v>1</v>
      </c>
      <c r="G51" s="3" t="s">
        <v>52</v>
      </c>
      <c r="H51" s="3">
        <v>5</v>
      </c>
      <c r="I51" s="3">
        <v>6</v>
      </c>
      <c r="J51" s="3">
        <v>4</v>
      </c>
    </row>
    <row r="52" ht="12" customHeight="1" spans="1:10">
      <c r="A52" s="34"/>
      <c r="B52" s="17">
        <f t="shared" si="0"/>
        <v>70015605</v>
      </c>
      <c r="C52" s="3" t="s">
        <v>99</v>
      </c>
      <c r="E52" s="3" t="str">
        <f>F52&amp;(VLOOKUP(G52,编号表!$E$1:$G$8,2,0))&amp;H52&amp;"_"&amp;I52&amp;"_"&amp;J52</f>
        <v>1N5_6_5</v>
      </c>
      <c r="F52" s="3">
        <v>1</v>
      </c>
      <c r="G52" s="3" t="s">
        <v>52</v>
      </c>
      <c r="H52" s="3">
        <v>5</v>
      </c>
      <c r="I52" s="3">
        <v>6</v>
      </c>
      <c r="J52" s="3">
        <v>5</v>
      </c>
    </row>
    <row r="53" ht="12" customHeight="1" spans="1:10">
      <c r="A53" s="34"/>
      <c r="B53" s="17">
        <f t="shared" si="0"/>
        <v>70015606</v>
      </c>
      <c r="C53" s="3" t="s">
        <v>100</v>
      </c>
      <c r="E53" s="3" t="str">
        <f>F53&amp;(VLOOKUP(G53,编号表!$E$1:$G$8,2,0))&amp;H53&amp;"_"&amp;I53&amp;"_"&amp;J53</f>
        <v>1N5_6_6</v>
      </c>
      <c r="F53" s="3">
        <v>1</v>
      </c>
      <c r="G53" s="3" t="s">
        <v>52</v>
      </c>
      <c r="H53" s="3">
        <v>5</v>
      </c>
      <c r="I53" s="3">
        <v>6</v>
      </c>
      <c r="J53" s="3">
        <v>6</v>
      </c>
    </row>
    <row r="54" ht="12" customHeight="1" spans="1:10">
      <c r="A54" s="34" t="s">
        <v>101</v>
      </c>
      <c r="B54" s="17">
        <f t="shared" si="0"/>
        <v>70015701</v>
      </c>
      <c r="C54" s="3" t="s">
        <v>102</v>
      </c>
      <c r="E54" s="3" t="str">
        <f>F54&amp;(VLOOKUP(G54,编号表!$E$1:$G$8,2,0))&amp;H54&amp;"_"&amp;I54&amp;"_"&amp;J54</f>
        <v>1N5_7_1</v>
      </c>
      <c r="F54" s="3">
        <v>1</v>
      </c>
      <c r="G54" s="3" t="s">
        <v>52</v>
      </c>
      <c r="H54" s="3">
        <v>5</v>
      </c>
      <c r="I54" s="3">
        <v>7</v>
      </c>
      <c r="J54" s="3">
        <v>1</v>
      </c>
    </row>
    <row r="55" ht="12" customHeight="1" spans="1:10">
      <c r="A55" s="34" t="s">
        <v>101</v>
      </c>
      <c r="B55" s="17">
        <f t="shared" si="0"/>
        <v>70015702</v>
      </c>
      <c r="C55" s="3" t="s">
        <v>103</v>
      </c>
      <c r="E55" s="3" t="str">
        <f>F55&amp;(VLOOKUP(G55,编号表!$E$1:$G$8,2,0))&amp;H55&amp;"_"&amp;I55&amp;"_"&amp;J55</f>
        <v>1N5_7_2</v>
      </c>
      <c r="F55" s="3">
        <v>1</v>
      </c>
      <c r="G55" s="3" t="s">
        <v>52</v>
      </c>
      <c r="H55" s="3">
        <v>5</v>
      </c>
      <c r="I55" s="3">
        <v>7</v>
      </c>
      <c r="J55" s="3">
        <v>2</v>
      </c>
    </row>
    <row r="56" ht="12" customHeight="1" spans="1:10">
      <c r="A56" s="34" t="s">
        <v>101</v>
      </c>
      <c r="B56" s="17">
        <f t="shared" si="0"/>
        <v>70015703</v>
      </c>
      <c r="C56" s="3" t="s">
        <v>104</v>
      </c>
      <c r="E56" s="3" t="str">
        <f>F56&amp;(VLOOKUP(G56,编号表!$E$1:$G$8,2,0))&amp;H56&amp;"_"&amp;I56&amp;"_"&amp;J56</f>
        <v>1N5_7_3</v>
      </c>
      <c r="F56" s="3">
        <v>1</v>
      </c>
      <c r="G56" s="3" t="s">
        <v>52</v>
      </c>
      <c r="H56" s="3">
        <v>5</v>
      </c>
      <c r="I56" s="3">
        <v>7</v>
      </c>
      <c r="J56" s="3">
        <v>3</v>
      </c>
    </row>
    <row r="57" ht="12" customHeight="1" spans="1:10">
      <c r="A57" s="34" t="s">
        <v>101</v>
      </c>
      <c r="B57" s="17">
        <f t="shared" si="0"/>
        <v>70015704</v>
      </c>
      <c r="C57" s="3" t="s">
        <v>105</v>
      </c>
      <c r="E57" s="3" t="str">
        <f>F57&amp;(VLOOKUP(G57,编号表!$E$1:$G$8,2,0))&amp;H57&amp;"_"&amp;I57&amp;"_"&amp;J57</f>
        <v>1N5_7_4</v>
      </c>
      <c r="F57" s="3">
        <v>1</v>
      </c>
      <c r="G57" s="3" t="s">
        <v>52</v>
      </c>
      <c r="H57" s="3">
        <v>5</v>
      </c>
      <c r="I57" s="3">
        <v>7</v>
      </c>
      <c r="J57" s="3">
        <v>4</v>
      </c>
    </row>
    <row r="58" ht="12" customHeight="1" spans="1:10">
      <c r="A58" s="34" t="s">
        <v>101</v>
      </c>
      <c r="B58" s="17">
        <f t="shared" si="0"/>
        <v>70015705</v>
      </c>
      <c r="C58" s="3" t="s">
        <v>106</v>
      </c>
      <c r="E58" s="3" t="str">
        <f>F58&amp;(VLOOKUP(G58,编号表!$E$1:$G$8,2,0))&amp;H58&amp;"_"&amp;I58&amp;"_"&amp;J58</f>
        <v>1N5_7_5</v>
      </c>
      <c r="F58" s="3">
        <v>1</v>
      </c>
      <c r="G58" s="3" t="s">
        <v>52</v>
      </c>
      <c r="H58" s="3">
        <v>5</v>
      </c>
      <c r="I58" s="3">
        <v>7</v>
      </c>
      <c r="J58" s="3">
        <v>5</v>
      </c>
    </row>
    <row r="59" ht="12" customHeight="1" spans="1:10">
      <c r="A59" s="34" t="s">
        <v>101</v>
      </c>
      <c r="B59" s="17">
        <f t="shared" si="0"/>
        <v>70015706</v>
      </c>
      <c r="C59" s="3" t="s">
        <v>107</v>
      </c>
      <c r="E59" s="3" t="str">
        <f>F59&amp;(VLOOKUP(G59,编号表!$E$1:$G$8,2,0))&amp;H59&amp;"_"&amp;I59&amp;"_"&amp;J59</f>
        <v>1N5_7_6</v>
      </c>
      <c r="F59" s="3">
        <v>1</v>
      </c>
      <c r="G59" s="3" t="s">
        <v>52</v>
      </c>
      <c r="H59" s="3">
        <v>5</v>
      </c>
      <c r="I59" s="3">
        <v>7</v>
      </c>
      <c r="J59" s="3">
        <v>6</v>
      </c>
    </row>
    <row r="60" ht="12" customHeight="1" spans="1:10">
      <c r="A60" s="34" t="s">
        <v>101</v>
      </c>
      <c r="B60" s="17">
        <f t="shared" si="0"/>
        <v>70015707</v>
      </c>
      <c r="C60" s="3" t="s">
        <v>108</v>
      </c>
      <c r="E60" s="3" t="str">
        <f>F60&amp;(VLOOKUP(G60,编号表!$E$1:$G$8,2,0))&amp;H60&amp;"_"&amp;I60&amp;"_"&amp;J60</f>
        <v>1N5_7_7</v>
      </c>
      <c r="F60" s="3">
        <v>1</v>
      </c>
      <c r="G60" s="3" t="s">
        <v>52</v>
      </c>
      <c r="H60" s="3">
        <v>5</v>
      </c>
      <c r="I60" s="3">
        <v>7</v>
      </c>
      <c r="J60" s="3">
        <v>7</v>
      </c>
    </row>
    <row r="61" ht="12" customHeight="1" spans="1:10">
      <c r="A61" s="34" t="s">
        <v>101</v>
      </c>
      <c r="B61" s="17">
        <f t="shared" si="0"/>
        <v>70015708</v>
      </c>
      <c r="C61" s="3" t="s">
        <v>109</v>
      </c>
      <c r="E61" s="3" t="str">
        <f>F61&amp;(VLOOKUP(G61,编号表!$E$1:$G$8,2,0))&amp;H61&amp;"_"&amp;I61&amp;"_"&amp;J61</f>
        <v>1N5_7_8</v>
      </c>
      <c r="F61" s="3">
        <v>1</v>
      </c>
      <c r="G61" s="3" t="s">
        <v>52</v>
      </c>
      <c r="H61" s="3">
        <v>5</v>
      </c>
      <c r="I61" s="3">
        <v>7</v>
      </c>
      <c r="J61" s="3">
        <v>8</v>
      </c>
    </row>
    <row r="62" ht="12" customHeight="1" spans="1:10">
      <c r="A62" s="34" t="s">
        <v>101</v>
      </c>
      <c r="B62" s="17">
        <f t="shared" si="0"/>
        <v>70015709</v>
      </c>
      <c r="C62" s="3" t="s">
        <v>110</v>
      </c>
      <c r="E62" s="3" t="str">
        <f>F62&amp;(VLOOKUP(G62,编号表!$E$1:$G$8,2,0))&amp;H62&amp;"_"&amp;I62&amp;"_"&amp;J62</f>
        <v>1N5_7_9</v>
      </c>
      <c r="F62" s="3">
        <v>1</v>
      </c>
      <c r="G62" s="3" t="s">
        <v>52</v>
      </c>
      <c r="H62" s="3">
        <v>5</v>
      </c>
      <c r="I62" s="3">
        <v>7</v>
      </c>
      <c r="J62" s="3">
        <v>9</v>
      </c>
    </row>
    <row r="63" ht="12" customHeight="1" spans="1:10">
      <c r="A63" s="34" t="s">
        <v>101</v>
      </c>
      <c r="B63" s="17">
        <f t="shared" si="0"/>
        <v>70015710</v>
      </c>
      <c r="C63" s="3" t="s">
        <v>111</v>
      </c>
      <c r="E63" s="3" t="str">
        <f>F63&amp;(VLOOKUP(G63,编号表!$E$1:$G$8,2,0))&amp;H63&amp;"_"&amp;I63&amp;"_"&amp;J63</f>
        <v>1N5_7_10</v>
      </c>
      <c r="F63" s="3">
        <v>1</v>
      </c>
      <c r="G63" s="3" t="s">
        <v>52</v>
      </c>
      <c r="H63" s="3">
        <v>5</v>
      </c>
      <c r="I63" s="3">
        <v>7</v>
      </c>
      <c r="J63" s="3">
        <v>10</v>
      </c>
    </row>
    <row r="64" ht="12" customHeight="1" spans="1:10">
      <c r="A64" s="34" t="s">
        <v>101</v>
      </c>
      <c r="B64" s="17">
        <f t="shared" si="0"/>
        <v>70015711</v>
      </c>
      <c r="C64" s="3" t="s">
        <v>112</v>
      </c>
      <c r="E64" s="3" t="str">
        <f>F64&amp;(VLOOKUP(G64,编号表!$E$1:$G$8,2,0))&amp;H64&amp;"_"&amp;I64&amp;"_"&amp;J64</f>
        <v>1N5_7_11</v>
      </c>
      <c r="F64" s="3">
        <v>1</v>
      </c>
      <c r="G64" s="3" t="s">
        <v>52</v>
      </c>
      <c r="H64" s="3">
        <v>5</v>
      </c>
      <c r="I64" s="3">
        <v>7</v>
      </c>
      <c r="J64" s="3">
        <v>11</v>
      </c>
    </row>
    <row r="65" ht="12" customHeight="1" spans="1:10">
      <c r="A65" s="34" t="s">
        <v>101</v>
      </c>
      <c r="B65" s="17">
        <f t="shared" si="0"/>
        <v>70015712</v>
      </c>
      <c r="C65" s="3" t="s">
        <v>113</v>
      </c>
      <c r="E65" s="3" t="str">
        <f>F65&amp;(VLOOKUP(G65,编号表!$E$1:$G$8,2,0))&amp;H65&amp;"_"&amp;I65&amp;"_"&amp;J65</f>
        <v>1N5_7_12</v>
      </c>
      <c r="F65" s="3">
        <v>1</v>
      </c>
      <c r="G65" s="3" t="s">
        <v>52</v>
      </c>
      <c r="H65" s="3">
        <v>5</v>
      </c>
      <c r="I65" s="3">
        <v>7</v>
      </c>
      <c r="J65" s="3">
        <v>12</v>
      </c>
    </row>
    <row r="66" ht="12" customHeight="1" spans="1:10">
      <c r="A66" s="34" t="s">
        <v>101</v>
      </c>
      <c r="B66" s="17">
        <f t="shared" si="0"/>
        <v>70015713</v>
      </c>
      <c r="C66" s="3" t="s">
        <v>114</v>
      </c>
      <c r="E66" s="3" t="str">
        <f>F66&amp;(VLOOKUP(G66,编号表!$E$1:$G$8,2,0))&amp;H66&amp;"_"&amp;I66&amp;"_"&amp;J66</f>
        <v>1N5_7_13</v>
      </c>
      <c r="F66" s="3">
        <v>1</v>
      </c>
      <c r="G66" s="3" t="s">
        <v>52</v>
      </c>
      <c r="H66" s="3">
        <v>5</v>
      </c>
      <c r="I66" s="3">
        <v>7</v>
      </c>
      <c r="J66" s="3">
        <v>13</v>
      </c>
    </row>
    <row r="67" ht="12" customHeight="1" spans="1:10">
      <c r="A67" s="34" t="s">
        <v>101</v>
      </c>
      <c r="B67" s="17">
        <f t="shared" si="0"/>
        <v>70015714</v>
      </c>
      <c r="C67" s="3" t="s">
        <v>115</v>
      </c>
      <c r="E67" s="3" t="str">
        <f>F67&amp;(VLOOKUP(G67,编号表!$E$1:$G$8,2,0))&amp;H67&amp;"_"&amp;I67&amp;"_"&amp;J67</f>
        <v>1N5_7_14</v>
      </c>
      <c r="F67" s="3">
        <v>1</v>
      </c>
      <c r="G67" s="3" t="s">
        <v>52</v>
      </c>
      <c r="H67" s="3">
        <v>5</v>
      </c>
      <c r="I67" s="3">
        <v>7</v>
      </c>
      <c r="J67" s="3">
        <v>14</v>
      </c>
    </row>
    <row r="68" ht="11" customHeight="1" spans="1:10">
      <c r="A68" s="34" t="s">
        <v>101</v>
      </c>
      <c r="B68" s="17">
        <f t="shared" si="0"/>
        <v>70015801</v>
      </c>
      <c r="C68" s="3" t="s">
        <v>116</v>
      </c>
      <c r="E68" s="3" t="str">
        <f>F68&amp;(VLOOKUP(G68,编号表!$E$1:$G$8,2,0))&amp;H68&amp;"_"&amp;I68&amp;"_"&amp;J68</f>
        <v>1N5_8_1</v>
      </c>
      <c r="F68" s="3">
        <v>1</v>
      </c>
      <c r="G68" s="3" t="s">
        <v>52</v>
      </c>
      <c r="H68" s="3">
        <v>5</v>
      </c>
      <c r="I68" s="3">
        <v>8</v>
      </c>
      <c r="J68" s="3">
        <v>1</v>
      </c>
    </row>
    <row r="69" ht="11" customHeight="1" spans="1:10">
      <c r="A69" s="34" t="s">
        <v>101</v>
      </c>
      <c r="B69" s="17">
        <f t="shared" ref="B69:B132" si="1">70000000+F69*10000+H69*1000+I69*100+J69</f>
        <v>70015802</v>
      </c>
      <c r="C69" s="3" t="s">
        <v>117</v>
      </c>
      <c r="E69" s="3" t="str">
        <f>F69&amp;(VLOOKUP(G69,编号表!$E$1:$G$8,2,0))&amp;H69&amp;"_"&amp;I69&amp;"_"&amp;J69</f>
        <v>1N5_8_2</v>
      </c>
      <c r="F69" s="3">
        <v>1</v>
      </c>
      <c r="G69" s="3" t="s">
        <v>52</v>
      </c>
      <c r="H69" s="3">
        <v>5</v>
      </c>
      <c r="I69" s="3">
        <v>8</v>
      </c>
      <c r="J69" s="3">
        <v>2</v>
      </c>
    </row>
    <row r="70" ht="11" customHeight="1" spans="1:10">
      <c r="A70" s="34" t="s">
        <v>101</v>
      </c>
      <c r="B70" s="17">
        <f t="shared" si="1"/>
        <v>70015803</v>
      </c>
      <c r="C70" s="3" t="s">
        <v>118</v>
      </c>
      <c r="E70" s="3" t="str">
        <f>F70&amp;(VLOOKUP(G70,编号表!$E$1:$G$8,2,0))&amp;H70&amp;"_"&amp;I70&amp;"_"&amp;J70</f>
        <v>1N5_8_3</v>
      </c>
      <c r="F70" s="3">
        <v>1</v>
      </c>
      <c r="G70" s="3" t="s">
        <v>52</v>
      </c>
      <c r="H70" s="3">
        <v>5</v>
      </c>
      <c r="I70" s="3">
        <v>8</v>
      </c>
      <c r="J70" s="3">
        <v>3</v>
      </c>
    </row>
    <row r="71" ht="11" customHeight="1" spans="1:10">
      <c r="A71" s="34" t="s">
        <v>101</v>
      </c>
      <c r="B71" s="17">
        <f t="shared" si="1"/>
        <v>70015804</v>
      </c>
      <c r="C71" s="3" t="s">
        <v>119</v>
      </c>
      <c r="E71" s="3" t="str">
        <f>F71&amp;(VLOOKUP(G71,编号表!$E$1:$G$8,2,0))&amp;H71&amp;"_"&amp;I71&amp;"_"&amp;J71</f>
        <v>1N5_8_4</v>
      </c>
      <c r="F71" s="3">
        <v>1</v>
      </c>
      <c r="G71" s="3" t="s">
        <v>52</v>
      </c>
      <c r="H71" s="3">
        <v>5</v>
      </c>
      <c r="I71" s="3">
        <v>8</v>
      </c>
      <c r="J71" s="3">
        <v>4</v>
      </c>
    </row>
    <row r="72" ht="11" customHeight="1" spans="1:10">
      <c r="A72" s="34" t="s">
        <v>101</v>
      </c>
      <c r="B72" s="17">
        <f t="shared" si="1"/>
        <v>70015805</v>
      </c>
      <c r="C72" s="3" t="s">
        <v>120</v>
      </c>
      <c r="E72" s="3" t="str">
        <f>F72&amp;(VLOOKUP(G72,编号表!$E$1:$G$8,2,0))&amp;H72&amp;"_"&amp;I72&amp;"_"&amp;J72</f>
        <v>1N5_8_5</v>
      </c>
      <c r="F72" s="3">
        <v>1</v>
      </c>
      <c r="G72" s="3" t="s">
        <v>52</v>
      </c>
      <c r="H72" s="3">
        <v>5</v>
      </c>
      <c r="I72" s="3">
        <v>8</v>
      </c>
      <c r="J72" s="3">
        <v>5</v>
      </c>
    </row>
    <row r="73" ht="11" customHeight="1" spans="1:10">
      <c r="A73" s="34" t="s">
        <v>101</v>
      </c>
      <c r="B73" s="17">
        <f t="shared" si="1"/>
        <v>70015806</v>
      </c>
      <c r="C73" s="3" t="s">
        <v>121</v>
      </c>
      <c r="E73" s="3" t="str">
        <f>F73&amp;(VLOOKUP(G73,编号表!$E$1:$G$8,2,0))&amp;H73&amp;"_"&amp;I73&amp;"_"&amp;J73</f>
        <v>1N5_8_6</v>
      </c>
      <c r="F73" s="3">
        <v>1</v>
      </c>
      <c r="G73" s="3" t="s">
        <v>52</v>
      </c>
      <c r="H73" s="3">
        <v>5</v>
      </c>
      <c r="I73" s="3">
        <v>8</v>
      </c>
      <c r="J73" s="3">
        <v>6</v>
      </c>
    </row>
    <row r="74" ht="11" customHeight="1" spans="1:10">
      <c r="A74" s="34" t="s">
        <v>101</v>
      </c>
      <c r="B74" s="17">
        <f t="shared" si="1"/>
        <v>70015807</v>
      </c>
      <c r="C74" s="3" t="s">
        <v>122</v>
      </c>
      <c r="E74" s="3" t="str">
        <f>F74&amp;(VLOOKUP(G74,编号表!$E$1:$G$8,2,0))&amp;H74&amp;"_"&amp;I74&amp;"_"&amp;J74</f>
        <v>1N5_8_7</v>
      </c>
      <c r="F74" s="3">
        <v>1</v>
      </c>
      <c r="G74" s="3" t="s">
        <v>52</v>
      </c>
      <c r="H74" s="3">
        <v>5</v>
      </c>
      <c r="I74" s="3">
        <v>8</v>
      </c>
      <c r="J74" s="3">
        <v>7</v>
      </c>
    </row>
    <row r="75" ht="11" customHeight="1" spans="1:10">
      <c r="A75" s="34" t="s">
        <v>101</v>
      </c>
      <c r="B75" s="17">
        <f t="shared" si="1"/>
        <v>70015808</v>
      </c>
      <c r="C75" s="3" t="s">
        <v>123</v>
      </c>
      <c r="E75" s="3" t="str">
        <f>F75&amp;(VLOOKUP(G75,编号表!$E$1:$G$8,2,0))&amp;H75&amp;"_"&amp;I75&amp;"_"&amp;J75</f>
        <v>1N5_8_8</v>
      </c>
      <c r="F75" s="3">
        <v>1</v>
      </c>
      <c r="G75" s="3" t="s">
        <v>52</v>
      </c>
      <c r="H75" s="3">
        <v>5</v>
      </c>
      <c r="I75" s="3">
        <v>8</v>
      </c>
      <c r="J75" s="3">
        <v>8</v>
      </c>
    </row>
    <row r="76" ht="11" customHeight="1" spans="1:10">
      <c r="A76" s="34" t="s">
        <v>101</v>
      </c>
      <c r="B76" s="17">
        <f t="shared" si="1"/>
        <v>70015901</v>
      </c>
      <c r="C76" s="3" t="s">
        <v>124</v>
      </c>
      <c r="E76" s="3" t="str">
        <f>F76&amp;(VLOOKUP(G76,编号表!$E$1:$G$8,2,0))&amp;H76&amp;"_"&amp;I76&amp;"_"&amp;J76</f>
        <v>1N5_9_1</v>
      </c>
      <c r="F76" s="3">
        <v>1</v>
      </c>
      <c r="G76" s="3" t="s">
        <v>52</v>
      </c>
      <c r="H76" s="3">
        <v>5</v>
      </c>
      <c r="I76" s="3">
        <v>9</v>
      </c>
      <c r="J76" s="3">
        <v>1</v>
      </c>
    </row>
    <row r="77" ht="11" customHeight="1" spans="1:10">
      <c r="A77" s="34" t="s">
        <v>101</v>
      </c>
      <c r="B77" s="17">
        <f t="shared" si="1"/>
        <v>70015902</v>
      </c>
      <c r="C77" s="3" t="s">
        <v>125</v>
      </c>
      <c r="E77" s="3" t="str">
        <f>F77&amp;(VLOOKUP(G77,编号表!$E$1:$G$8,2,0))&amp;H77&amp;"_"&amp;I77&amp;"_"&amp;J77</f>
        <v>1N5_9_2</v>
      </c>
      <c r="F77" s="3">
        <v>1</v>
      </c>
      <c r="G77" s="3" t="s">
        <v>52</v>
      </c>
      <c r="H77" s="3">
        <v>5</v>
      </c>
      <c r="I77" s="3">
        <v>9</v>
      </c>
      <c r="J77" s="3">
        <v>2</v>
      </c>
    </row>
    <row r="78" ht="11" customHeight="1" spans="1:10">
      <c r="A78" s="34" t="s">
        <v>101</v>
      </c>
      <c r="B78" s="17">
        <f t="shared" si="1"/>
        <v>70015903</v>
      </c>
      <c r="C78" s="3" t="s">
        <v>126</v>
      </c>
      <c r="E78" s="3" t="str">
        <f>F78&amp;(VLOOKUP(G78,编号表!$E$1:$G$8,2,0))&amp;H78&amp;"_"&amp;I78&amp;"_"&amp;J78</f>
        <v>1N5_9_3</v>
      </c>
      <c r="F78" s="3">
        <v>1</v>
      </c>
      <c r="G78" s="3" t="s">
        <v>52</v>
      </c>
      <c r="H78" s="3">
        <v>5</v>
      </c>
      <c r="I78" s="3">
        <v>9</v>
      </c>
      <c r="J78" s="3">
        <v>3</v>
      </c>
    </row>
    <row r="79" ht="11" customHeight="1" spans="1:10">
      <c r="A79" s="34" t="s">
        <v>101</v>
      </c>
      <c r="B79" s="17">
        <f t="shared" si="1"/>
        <v>70015904</v>
      </c>
      <c r="C79" s="3" t="s">
        <v>127</v>
      </c>
      <c r="E79" s="3" t="str">
        <f>F79&amp;(VLOOKUP(G79,编号表!$E$1:$G$8,2,0))&amp;H79&amp;"_"&amp;I79&amp;"_"&amp;J79</f>
        <v>1N5_9_4</v>
      </c>
      <c r="F79" s="3">
        <v>1</v>
      </c>
      <c r="G79" s="3" t="s">
        <v>52</v>
      </c>
      <c r="H79" s="3">
        <v>5</v>
      </c>
      <c r="I79" s="3">
        <v>9</v>
      </c>
      <c r="J79" s="3">
        <v>4</v>
      </c>
    </row>
    <row r="80" ht="11" customHeight="1" spans="1:10">
      <c r="A80" s="34" t="s">
        <v>101</v>
      </c>
      <c r="B80" s="17">
        <f t="shared" si="1"/>
        <v>70015905</v>
      </c>
      <c r="C80" s="3" t="s">
        <v>128</v>
      </c>
      <c r="E80" s="3" t="str">
        <f>F80&amp;(VLOOKUP(G80,编号表!$E$1:$G$8,2,0))&amp;H80&amp;"_"&amp;I80&amp;"_"&amp;J80</f>
        <v>1N5_9_5</v>
      </c>
      <c r="F80" s="3">
        <v>1</v>
      </c>
      <c r="G80" s="3" t="s">
        <v>52</v>
      </c>
      <c r="H80" s="3">
        <v>5</v>
      </c>
      <c r="I80" s="3">
        <v>9</v>
      </c>
      <c r="J80" s="3">
        <v>5</v>
      </c>
    </row>
    <row r="81" ht="11" customHeight="1" spans="1:20">
      <c r="A81" s="34" t="s">
        <v>101</v>
      </c>
      <c r="B81" s="17">
        <f t="shared" si="1"/>
        <v>70015906</v>
      </c>
      <c r="C81" s="3" t="s">
        <v>129</v>
      </c>
      <c r="E81" s="3" t="str">
        <f>F81&amp;(VLOOKUP(G81,编号表!$E$1:$G$8,2,0))&amp;H81&amp;"_"&amp;I81&amp;"_"&amp;J81</f>
        <v>1N5_9_6</v>
      </c>
      <c r="F81" s="3">
        <v>1</v>
      </c>
      <c r="G81" s="3" t="s">
        <v>52</v>
      </c>
      <c r="H81" s="3">
        <v>5</v>
      </c>
      <c r="I81" s="3">
        <v>9</v>
      </c>
      <c r="J81" s="3">
        <v>6</v>
      </c>
    </row>
    <row r="82" ht="11" customHeight="1" spans="1:20">
      <c r="A82" s="34" t="s">
        <v>101</v>
      </c>
      <c r="B82" s="17">
        <f t="shared" si="1"/>
        <v>70015907</v>
      </c>
      <c r="C82" s="3" t="s">
        <v>130</v>
      </c>
      <c r="E82" s="3" t="str">
        <f>F82&amp;(VLOOKUP(G82,编号表!$E$1:$G$8,2,0))&amp;H82&amp;"_"&amp;I82&amp;"_"&amp;J82</f>
        <v>1N5_9_7</v>
      </c>
      <c r="F82" s="3">
        <v>1</v>
      </c>
      <c r="G82" s="3" t="s">
        <v>52</v>
      </c>
      <c r="H82" s="3">
        <v>5</v>
      </c>
      <c r="I82" s="3">
        <v>9</v>
      </c>
      <c r="J82" s="3">
        <v>7</v>
      </c>
    </row>
    <row r="83" ht="11" customHeight="1" spans="1:20">
      <c r="A83" s="34" t="s">
        <v>101</v>
      </c>
      <c r="B83" s="17">
        <f t="shared" si="1"/>
        <v>70015908</v>
      </c>
      <c r="C83" s="3" t="s">
        <v>131</v>
      </c>
      <c r="E83" s="3" t="str">
        <f>F83&amp;(VLOOKUP(G83,编号表!$E$1:$G$8,2,0))&amp;H83&amp;"_"&amp;I83&amp;"_"&amp;J83</f>
        <v>1N5_9_8</v>
      </c>
      <c r="F83" s="3">
        <v>1</v>
      </c>
      <c r="G83" s="3" t="s">
        <v>52</v>
      </c>
      <c r="H83" s="3">
        <v>5</v>
      </c>
      <c r="I83" s="3">
        <v>9</v>
      </c>
      <c r="J83" s="3">
        <v>8</v>
      </c>
    </row>
    <row r="84" ht="11" customHeight="1" spans="1:20">
      <c r="A84" s="34" t="s">
        <v>101</v>
      </c>
      <c r="B84" s="17">
        <f t="shared" si="1"/>
        <v>70015909</v>
      </c>
      <c r="C84" s="3" t="s">
        <v>132</v>
      </c>
      <c r="E84" s="3" t="str">
        <f>F84&amp;(VLOOKUP(G84,编号表!$E$1:$G$8,2,0))&amp;H84&amp;"_"&amp;I84&amp;"_"&amp;J84</f>
        <v>1N5_9_9</v>
      </c>
      <c r="F84" s="3">
        <v>1</v>
      </c>
      <c r="G84" s="3" t="s">
        <v>52</v>
      </c>
      <c r="H84" s="3">
        <v>5</v>
      </c>
      <c r="I84" s="3">
        <v>9</v>
      </c>
      <c r="J84" s="3">
        <v>9</v>
      </c>
    </row>
    <row r="85" ht="11" customHeight="1" spans="1:20">
      <c r="A85" s="34" t="s">
        <v>101</v>
      </c>
      <c r="B85" s="17">
        <f t="shared" si="1"/>
        <v>70015910</v>
      </c>
      <c r="C85" s="3" t="s">
        <v>133</v>
      </c>
      <c r="E85" s="3" t="str">
        <f>F85&amp;(VLOOKUP(G85,编号表!$E$1:$G$8,2,0))&amp;H85&amp;"_"&amp;I85&amp;"_"&amp;J85</f>
        <v>1N5_9_10</v>
      </c>
      <c r="F85" s="3">
        <v>1</v>
      </c>
      <c r="G85" s="3" t="s">
        <v>52</v>
      </c>
      <c r="H85" s="3">
        <v>5</v>
      </c>
      <c r="I85" s="3">
        <v>9</v>
      </c>
      <c r="J85" s="3">
        <v>10</v>
      </c>
    </row>
    <row r="86" ht="15" spans="1:20">
      <c r="A86" s="34" t="s">
        <v>101</v>
      </c>
      <c r="B86" s="17">
        <f t="shared" si="1"/>
        <v>70015911</v>
      </c>
      <c r="C86" s="3" t="s">
        <v>134</v>
      </c>
      <c r="E86" s="3" t="str">
        <f>F86&amp;(VLOOKUP(G86,编号表!$E$1:$G$8,2,0))&amp;H86&amp;"_"&amp;I86&amp;"_"&amp;J86</f>
        <v>1N5_9_11</v>
      </c>
      <c r="F86" s="3">
        <v>1</v>
      </c>
      <c r="G86" s="3" t="s">
        <v>52</v>
      </c>
      <c r="H86" s="3">
        <v>5</v>
      </c>
      <c r="I86" s="3">
        <v>9</v>
      </c>
      <c r="J86" s="3">
        <v>11</v>
      </c>
    </row>
    <row r="87" ht="15" spans="1:20">
      <c r="A87" s="34" t="s">
        <v>101</v>
      </c>
      <c r="B87" s="17">
        <f t="shared" si="1"/>
        <v>70015912</v>
      </c>
      <c r="C87" s="3" t="s">
        <v>135</v>
      </c>
      <c r="E87" s="3" t="str">
        <f>F87&amp;(VLOOKUP(G87,编号表!$E$1:$G$8,2,0))&amp;H87&amp;"_"&amp;I87&amp;"_"&amp;J87</f>
        <v>1N5_9_12</v>
      </c>
      <c r="F87" s="3">
        <v>1</v>
      </c>
      <c r="G87" s="3" t="s">
        <v>52</v>
      </c>
      <c r="H87" s="3">
        <v>5</v>
      </c>
      <c r="I87" s="3">
        <v>9</v>
      </c>
      <c r="J87" s="3">
        <v>12</v>
      </c>
    </row>
    <row r="88" ht="15" spans="1:20">
      <c r="A88" s="34" t="s">
        <v>101</v>
      </c>
      <c r="B88" s="17">
        <f t="shared" si="1"/>
        <v>70015913</v>
      </c>
      <c r="C88" s="3" t="s">
        <v>136</v>
      </c>
      <c r="E88" s="3" t="str">
        <f>F88&amp;(VLOOKUP(G88,编号表!$E$1:$G$8,2,0))&amp;H88&amp;"_"&amp;I88&amp;"_"&amp;J88</f>
        <v>1N5_9_13</v>
      </c>
      <c r="F88" s="3">
        <v>1</v>
      </c>
      <c r="G88" s="3" t="s">
        <v>52</v>
      </c>
      <c r="H88" s="3">
        <v>5</v>
      </c>
      <c r="I88" s="3">
        <v>9</v>
      </c>
      <c r="J88" s="3">
        <v>13</v>
      </c>
    </row>
    <row r="89" ht="15" spans="1:20">
      <c r="A89" s="34" t="s">
        <v>101</v>
      </c>
      <c r="B89" s="17">
        <f t="shared" si="1"/>
        <v>70015914</v>
      </c>
      <c r="C89" s="3" t="s">
        <v>137</v>
      </c>
      <c r="E89" s="3" t="str">
        <f>F89&amp;(VLOOKUP(G89,编号表!$E$1:$G$8,2,0))&amp;H89&amp;"_"&amp;I89&amp;"_"&amp;J89</f>
        <v>1N5_9_14</v>
      </c>
      <c r="F89" s="3">
        <v>1</v>
      </c>
      <c r="G89" s="3" t="s">
        <v>52</v>
      </c>
      <c r="H89" s="3">
        <v>5</v>
      </c>
      <c r="I89" s="3">
        <v>9</v>
      </c>
      <c r="J89" s="3">
        <v>14</v>
      </c>
    </row>
    <row r="90" ht="11" customHeight="1" spans="1:20">
      <c r="A90" s="34" t="s">
        <v>101</v>
      </c>
      <c r="B90" s="17">
        <f t="shared" si="1"/>
        <v>70016001</v>
      </c>
      <c r="C90" s="3" t="s">
        <v>138</v>
      </c>
      <c r="E90" s="3" t="str">
        <f>F90&amp;(VLOOKUP(G90,编号表!$E$1:$G$8,2,0))&amp;H90&amp;"_"&amp;I90&amp;"_"&amp;J90</f>
        <v>1N5_10_1</v>
      </c>
      <c r="F90" s="3">
        <v>1</v>
      </c>
      <c r="G90" s="3" t="s">
        <v>52</v>
      </c>
      <c r="H90" s="3">
        <v>5</v>
      </c>
      <c r="I90" s="3">
        <v>10</v>
      </c>
      <c r="J90" s="3">
        <v>1</v>
      </c>
    </row>
    <row r="91" ht="11" customHeight="1" spans="1:20">
      <c r="A91" s="34" t="s">
        <v>101</v>
      </c>
      <c r="B91" s="17">
        <f t="shared" si="1"/>
        <v>70016002</v>
      </c>
      <c r="C91" s="3" t="s">
        <v>139</v>
      </c>
      <c r="E91" s="3" t="str">
        <f>F91&amp;(VLOOKUP(G91,编号表!$E$1:$G$8,2,0))&amp;H91&amp;"_"&amp;I91&amp;"_"&amp;J91</f>
        <v>1N5_10_2</v>
      </c>
      <c r="F91" s="3">
        <v>1</v>
      </c>
      <c r="G91" s="3" t="s">
        <v>52</v>
      </c>
      <c r="H91" s="3">
        <v>5</v>
      </c>
      <c r="I91" s="3">
        <v>10</v>
      </c>
      <c r="J91" s="3">
        <v>2</v>
      </c>
    </row>
    <row r="92" ht="11" customHeight="1" spans="1:20">
      <c r="A92" s="34" t="s">
        <v>101</v>
      </c>
      <c r="B92" s="17">
        <f t="shared" si="1"/>
        <v>70016003</v>
      </c>
      <c r="C92" s="3" t="s">
        <v>140</v>
      </c>
      <c r="E92" s="3" t="str">
        <f>F92&amp;(VLOOKUP(G92,编号表!$E$1:$G$8,2,0))&amp;H92&amp;"_"&amp;I92&amp;"_"&amp;J92</f>
        <v>1N5_10_3</v>
      </c>
      <c r="F92" s="3">
        <v>1</v>
      </c>
      <c r="G92" s="3" t="s">
        <v>52</v>
      </c>
      <c r="H92" s="3">
        <v>5</v>
      </c>
      <c r="I92" s="3">
        <v>10</v>
      </c>
      <c r="J92" s="3">
        <v>3</v>
      </c>
    </row>
    <row r="93" ht="11" customHeight="1" spans="1:20">
      <c r="A93" s="34" t="s">
        <v>101</v>
      </c>
      <c r="B93" s="17">
        <f t="shared" si="1"/>
        <v>70016004</v>
      </c>
      <c r="C93" s="3" t="s">
        <v>141</v>
      </c>
      <c r="E93" s="3" t="str">
        <f>F93&amp;(VLOOKUP(G93,编号表!$E$1:$G$8,2,0))&amp;H93&amp;"_"&amp;I93&amp;"_"&amp;J93</f>
        <v>1N5_10_4</v>
      </c>
      <c r="F93" s="3">
        <v>1</v>
      </c>
      <c r="G93" s="3" t="s">
        <v>52</v>
      </c>
      <c r="H93" s="3">
        <v>5</v>
      </c>
      <c r="I93" s="3">
        <v>10</v>
      </c>
      <c r="J93" s="3">
        <v>4</v>
      </c>
    </row>
    <row r="94" ht="11" customHeight="1" spans="1:20">
      <c r="A94" s="34" t="s">
        <v>101</v>
      </c>
      <c r="B94" s="17">
        <f t="shared" si="1"/>
        <v>70016005</v>
      </c>
      <c r="C94" s="3" t="s">
        <v>142</v>
      </c>
      <c r="E94" s="3" t="str">
        <f>F94&amp;(VLOOKUP(G94,编号表!$E$1:$G$8,2,0))&amp;H94&amp;"_"&amp;I94&amp;"_"&amp;J94</f>
        <v>1N5_10_5</v>
      </c>
      <c r="F94" s="3">
        <v>1</v>
      </c>
      <c r="G94" s="3" t="s">
        <v>52</v>
      </c>
      <c r="H94" s="3">
        <v>5</v>
      </c>
      <c r="I94" s="3">
        <v>10</v>
      </c>
      <c r="J94" s="3">
        <v>5</v>
      </c>
    </row>
    <row r="95" ht="11" customHeight="1" spans="1:20">
      <c r="A95" s="34" t="s">
        <v>101</v>
      </c>
      <c r="B95" s="17">
        <f t="shared" si="1"/>
        <v>70016101</v>
      </c>
      <c r="C95" s="3" t="s">
        <v>143</v>
      </c>
      <c r="E95" s="3" t="str">
        <f>F95&amp;(VLOOKUP(G95,编号表!$E$1:$G$8,2,0))&amp;H95&amp;"_"&amp;I95&amp;"_"&amp;J95</f>
        <v>1N5_11_1</v>
      </c>
      <c r="F95" s="3">
        <v>1</v>
      </c>
      <c r="G95" s="3" t="s">
        <v>52</v>
      </c>
      <c r="H95" s="3">
        <v>5</v>
      </c>
      <c r="I95" s="3">
        <v>11</v>
      </c>
      <c r="J95" s="3">
        <v>1</v>
      </c>
      <c r="T95" s="18">
        <v>1001203</v>
      </c>
    </row>
    <row r="96" ht="11" customHeight="1" spans="1:20">
      <c r="A96" s="34" t="s">
        <v>101</v>
      </c>
      <c r="B96" s="17">
        <f t="shared" si="1"/>
        <v>70016102</v>
      </c>
      <c r="C96" s="3" t="s">
        <v>144</v>
      </c>
      <c r="E96" s="3" t="str">
        <f>F96&amp;(VLOOKUP(G96,编号表!$E$1:$G$8,2,0))&amp;H96&amp;"_"&amp;I96&amp;"_"&amp;J96</f>
        <v>1N5_11_2</v>
      </c>
      <c r="F96" s="3">
        <v>1</v>
      </c>
      <c r="G96" s="3" t="s">
        <v>52</v>
      </c>
      <c r="H96" s="3">
        <v>5</v>
      </c>
      <c r="I96" s="3">
        <v>11</v>
      </c>
      <c r="J96" s="3">
        <v>2</v>
      </c>
      <c r="T96" s="18">
        <v>1001303</v>
      </c>
    </row>
    <row r="97" ht="11" customHeight="1" spans="1:20">
      <c r="A97" s="34" t="s">
        <v>101</v>
      </c>
      <c r="B97" s="17">
        <f t="shared" si="1"/>
        <v>70016103</v>
      </c>
      <c r="C97" s="3" t="s">
        <v>145</v>
      </c>
      <c r="E97" s="3" t="str">
        <f>F97&amp;(VLOOKUP(G97,编号表!$E$1:$G$8,2,0))&amp;H97&amp;"_"&amp;I97&amp;"_"&amp;J97</f>
        <v>1N5_11_3</v>
      </c>
      <c r="F97" s="3">
        <v>1</v>
      </c>
      <c r="G97" s="3" t="s">
        <v>52</v>
      </c>
      <c r="H97" s="3">
        <v>5</v>
      </c>
      <c r="I97" s="3">
        <v>11</v>
      </c>
      <c r="J97" s="3">
        <v>3</v>
      </c>
      <c r="T97" s="18">
        <v>1001403</v>
      </c>
    </row>
    <row r="98" ht="11" customHeight="1" spans="1:20">
      <c r="A98" s="34" t="s">
        <v>101</v>
      </c>
      <c r="B98" s="17">
        <f t="shared" si="1"/>
        <v>70016104</v>
      </c>
      <c r="C98" s="3" t="s">
        <v>146</v>
      </c>
      <c r="E98" s="3" t="str">
        <f>F98&amp;(VLOOKUP(G98,编号表!$E$1:$G$8,2,0))&amp;H98&amp;"_"&amp;I98&amp;"_"&amp;J98</f>
        <v>1N5_11_4</v>
      </c>
      <c r="F98" s="3">
        <v>1</v>
      </c>
      <c r="G98" s="3" t="s">
        <v>52</v>
      </c>
      <c r="H98" s="3">
        <v>5</v>
      </c>
      <c r="I98" s="3">
        <v>11</v>
      </c>
      <c r="J98" s="3">
        <v>4</v>
      </c>
      <c r="T98" s="18">
        <v>1001503</v>
      </c>
    </row>
    <row r="99" ht="11" customHeight="1" spans="1:20">
      <c r="A99" s="34" t="s">
        <v>101</v>
      </c>
      <c r="B99" s="17">
        <f t="shared" si="1"/>
        <v>70016105</v>
      </c>
      <c r="C99" s="3" t="s">
        <v>147</v>
      </c>
      <c r="E99" s="3" t="str">
        <f>F99&amp;(VLOOKUP(G99,编号表!$E$1:$G$8,2,0))&amp;H99&amp;"_"&amp;I99&amp;"_"&amp;J99</f>
        <v>1N5_11_5</v>
      </c>
      <c r="F99" s="3">
        <v>1</v>
      </c>
      <c r="G99" s="3" t="s">
        <v>52</v>
      </c>
      <c r="H99" s="3">
        <v>5</v>
      </c>
      <c r="I99" s="3">
        <v>11</v>
      </c>
      <c r="J99" s="3">
        <v>5</v>
      </c>
      <c r="T99" s="18">
        <v>1001603</v>
      </c>
    </row>
    <row r="100" ht="11" customHeight="1" spans="1:20">
      <c r="A100" s="34" t="s">
        <v>101</v>
      </c>
      <c r="B100" s="17">
        <f t="shared" si="1"/>
        <v>70016106</v>
      </c>
      <c r="C100" s="3" t="s">
        <v>148</v>
      </c>
      <c r="E100" s="3" t="str">
        <f>F100&amp;(VLOOKUP(G100,编号表!$E$1:$G$8,2,0))&amp;H100&amp;"_"&amp;I100&amp;"_"&amp;J100</f>
        <v>1N5_11_6</v>
      </c>
      <c r="F100" s="3">
        <v>1</v>
      </c>
      <c r="G100" s="3" t="s">
        <v>52</v>
      </c>
      <c r="H100" s="3">
        <v>5</v>
      </c>
      <c r="I100" s="3">
        <v>11</v>
      </c>
      <c r="J100" s="3">
        <v>6</v>
      </c>
      <c r="T100" s="18">
        <v>1001703</v>
      </c>
    </row>
    <row r="101" ht="11" customHeight="1" spans="1:20">
      <c r="A101" s="34" t="s">
        <v>101</v>
      </c>
      <c r="B101" s="17">
        <f t="shared" si="1"/>
        <v>70016201</v>
      </c>
      <c r="C101" s="3" t="s">
        <v>149</v>
      </c>
      <c r="E101" s="3" t="str">
        <f>F101&amp;(VLOOKUP(G101,编号表!$E$1:$G$8,2,0))&amp;H101&amp;"_"&amp;I101&amp;"_"&amp;J101</f>
        <v>1N5_12_1</v>
      </c>
      <c r="F101" s="3">
        <v>1</v>
      </c>
      <c r="G101" s="3" t="s">
        <v>52</v>
      </c>
      <c r="H101" s="3">
        <v>5</v>
      </c>
      <c r="I101" s="3">
        <v>12</v>
      </c>
      <c r="J101" s="3">
        <v>1</v>
      </c>
    </row>
    <row r="102" ht="11" customHeight="1" spans="1:20">
      <c r="A102" s="34" t="s">
        <v>101</v>
      </c>
      <c r="B102" s="17">
        <f t="shared" si="1"/>
        <v>70016202</v>
      </c>
      <c r="C102" s="3" t="s">
        <v>150</v>
      </c>
      <c r="E102" s="3" t="str">
        <f>F102&amp;(VLOOKUP(G102,编号表!$E$1:$G$8,2,0))&amp;H102&amp;"_"&amp;I102&amp;"_"&amp;J102</f>
        <v>1N5_12_2</v>
      </c>
      <c r="F102" s="3">
        <v>1</v>
      </c>
      <c r="G102" s="3" t="s">
        <v>52</v>
      </c>
      <c r="H102" s="3">
        <v>5</v>
      </c>
      <c r="I102" s="3">
        <v>12</v>
      </c>
      <c r="J102" s="3">
        <v>2</v>
      </c>
    </row>
    <row r="103" ht="11" customHeight="1" spans="1:20">
      <c r="A103" s="34" t="s">
        <v>101</v>
      </c>
      <c r="B103" s="17">
        <f t="shared" si="1"/>
        <v>70016203</v>
      </c>
      <c r="C103" s="3" t="s">
        <v>151</v>
      </c>
      <c r="E103" s="3" t="str">
        <f>F103&amp;(VLOOKUP(G103,编号表!$E$1:$G$8,2,0))&amp;H103&amp;"_"&amp;I103&amp;"_"&amp;J103</f>
        <v>1N5_12_3</v>
      </c>
      <c r="F103" s="3">
        <v>1</v>
      </c>
      <c r="G103" s="3" t="s">
        <v>52</v>
      </c>
      <c r="H103" s="3">
        <v>5</v>
      </c>
      <c r="I103" s="3">
        <v>12</v>
      </c>
      <c r="J103" s="3">
        <v>3</v>
      </c>
    </row>
    <row r="104" ht="11" customHeight="1" spans="1:20">
      <c r="A104" s="34" t="s">
        <v>101</v>
      </c>
      <c r="B104" s="17">
        <f t="shared" si="1"/>
        <v>70016204</v>
      </c>
      <c r="C104" s="3" t="s">
        <v>152</v>
      </c>
      <c r="E104" s="3" t="str">
        <f>F104&amp;(VLOOKUP(G104,编号表!$E$1:$G$8,2,0))&amp;H104&amp;"_"&amp;I104&amp;"_"&amp;J104</f>
        <v>1N5_12_4</v>
      </c>
      <c r="F104" s="3">
        <v>1</v>
      </c>
      <c r="G104" s="3" t="s">
        <v>52</v>
      </c>
      <c r="H104" s="3">
        <v>5</v>
      </c>
      <c r="I104" s="3">
        <v>12</v>
      </c>
      <c r="J104" s="3">
        <v>4</v>
      </c>
    </row>
    <row r="105" ht="11" customHeight="1" spans="1:20">
      <c r="A105" s="34" t="s">
        <v>101</v>
      </c>
      <c r="B105" s="17">
        <f t="shared" si="1"/>
        <v>70016205</v>
      </c>
      <c r="C105" s="3" t="s">
        <v>153</v>
      </c>
      <c r="E105" s="3" t="str">
        <f>F105&amp;(VLOOKUP(G105,编号表!$E$1:$G$8,2,0))&amp;H105&amp;"_"&amp;I105&amp;"_"&amp;J105</f>
        <v>1N5_12_5</v>
      </c>
      <c r="F105" s="3">
        <v>1</v>
      </c>
      <c r="G105" s="3" t="s">
        <v>52</v>
      </c>
      <c r="H105" s="3">
        <v>5</v>
      </c>
      <c r="I105" s="3">
        <v>12</v>
      </c>
      <c r="J105" s="3">
        <v>5</v>
      </c>
    </row>
    <row r="106" ht="11" customHeight="1" spans="1:20">
      <c r="A106" s="34" t="s">
        <v>101</v>
      </c>
      <c r="B106" s="17">
        <f t="shared" si="1"/>
        <v>70016206</v>
      </c>
      <c r="C106" s="3" t="s">
        <v>154</v>
      </c>
      <c r="E106" s="3" t="str">
        <f>F106&amp;(VLOOKUP(G106,编号表!$E$1:$G$8,2,0))&amp;H106&amp;"_"&amp;I106&amp;"_"&amp;J106</f>
        <v>1N5_12_6</v>
      </c>
      <c r="F106" s="3">
        <v>1</v>
      </c>
      <c r="G106" s="3" t="s">
        <v>52</v>
      </c>
      <c r="H106" s="3">
        <v>5</v>
      </c>
      <c r="I106" s="3">
        <v>12</v>
      </c>
      <c r="J106" s="3">
        <v>6</v>
      </c>
    </row>
    <row r="107" ht="11" customHeight="1" spans="1:20">
      <c r="A107" s="34" t="s">
        <v>101</v>
      </c>
      <c r="B107" s="17">
        <f t="shared" si="1"/>
        <v>70016207</v>
      </c>
      <c r="C107" s="3" t="s">
        <v>155</v>
      </c>
      <c r="E107" s="3" t="str">
        <f>F107&amp;(VLOOKUP(G107,编号表!$E$1:$G$8,2,0))&amp;H107&amp;"_"&amp;I107&amp;"_"&amp;J107</f>
        <v>1N5_12_7</v>
      </c>
      <c r="F107" s="3">
        <v>1</v>
      </c>
      <c r="G107" s="3" t="s">
        <v>52</v>
      </c>
      <c r="H107" s="3">
        <v>5</v>
      </c>
      <c r="I107" s="3">
        <v>12</v>
      </c>
      <c r="J107" s="3">
        <v>7</v>
      </c>
    </row>
    <row r="108" ht="11" customHeight="1" spans="1:20">
      <c r="A108" s="34" t="s">
        <v>101</v>
      </c>
      <c r="B108" s="17">
        <f t="shared" si="1"/>
        <v>70016208</v>
      </c>
      <c r="C108" s="3" t="s">
        <v>156</v>
      </c>
      <c r="E108" s="3" t="str">
        <f>F108&amp;(VLOOKUP(G108,编号表!$E$1:$G$8,2,0))&amp;H108&amp;"_"&amp;I108&amp;"_"&amp;J108</f>
        <v>1N5_12_8</v>
      </c>
      <c r="F108" s="3">
        <v>1</v>
      </c>
      <c r="G108" s="3" t="s">
        <v>52</v>
      </c>
      <c r="H108" s="3">
        <v>5</v>
      </c>
      <c r="I108" s="3">
        <v>12</v>
      </c>
      <c r="J108" s="3">
        <v>8</v>
      </c>
    </row>
    <row r="109" ht="11" customHeight="1" spans="1:20">
      <c r="A109" s="34" t="s">
        <v>101</v>
      </c>
      <c r="B109" s="17">
        <f t="shared" si="1"/>
        <v>70016209</v>
      </c>
      <c r="C109" s="3" t="s">
        <v>157</v>
      </c>
      <c r="E109" s="3" t="str">
        <f>F109&amp;(VLOOKUP(G109,编号表!$E$1:$G$8,2,0))&amp;H109&amp;"_"&amp;I109&amp;"_"&amp;J109</f>
        <v>1N5_12_9</v>
      </c>
      <c r="F109" s="3">
        <v>1</v>
      </c>
      <c r="G109" s="3" t="s">
        <v>52</v>
      </c>
      <c r="H109" s="3">
        <v>5</v>
      </c>
      <c r="I109" s="3">
        <v>12</v>
      </c>
      <c r="J109" s="3">
        <v>9</v>
      </c>
    </row>
    <row r="110" ht="11" customHeight="1" spans="1:20">
      <c r="A110" s="34" t="s">
        <v>101</v>
      </c>
      <c r="B110" s="17">
        <f t="shared" si="1"/>
        <v>70016210</v>
      </c>
      <c r="C110" s="3" t="s">
        <v>158</v>
      </c>
      <c r="E110" s="3" t="str">
        <f>F110&amp;(VLOOKUP(G110,编号表!$E$1:$G$8,2,0))&amp;H110&amp;"_"&amp;I110&amp;"_"&amp;J110</f>
        <v>1N5_12_10</v>
      </c>
      <c r="F110" s="3">
        <v>1</v>
      </c>
      <c r="G110" s="3" t="s">
        <v>52</v>
      </c>
      <c r="H110" s="3">
        <v>5</v>
      </c>
      <c r="I110" s="3">
        <v>12</v>
      </c>
      <c r="J110" s="3">
        <v>10</v>
      </c>
    </row>
    <row r="111" ht="11" customHeight="1" spans="1:20">
      <c r="A111" s="34" t="s">
        <v>101</v>
      </c>
      <c r="B111" s="17">
        <f t="shared" si="1"/>
        <v>70016301</v>
      </c>
      <c r="C111" s="3" t="s">
        <v>159</v>
      </c>
      <c r="E111" s="3" t="str">
        <f>F111&amp;(VLOOKUP(G111,编号表!$E$1:$G$8,2,0))&amp;H111&amp;"_"&amp;I111&amp;"_"&amp;J111</f>
        <v>1N5_13_1</v>
      </c>
      <c r="F111" s="3">
        <v>1</v>
      </c>
      <c r="G111" s="3" t="s">
        <v>52</v>
      </c>
      <c r="H111" s="3">
        <v>5</v>
      </c>
      <c r="I111" s="3">
        <v>13</v>
      </c>
      <c r="J111" s="3">
        <v>1</v>
      </c>
      <c r="T111" s="18">
        <v>1001403</v>
      </c>
    </row>
    <row r="112" ht="11" customHeight="1" spans="1:20">
      <c r="A112" s="34" t="s">
        <v>101</v>
      </c>
      <c r="B112" s="17">
        <f t="shared" si="1"/>
        <v>70016302</v>
      </c>
      <c r="C112" s="3" t="s">
        <v>160</v>
      </c>
      <c r="E112" s="3" t="str">
        <f>F112&amp;(VLOOKUP(G112,编号表!$E$1:$G$8,2,0))&amp;H112&amp;"_"&amp;I112&amp;"_"&amp;J112</f>
        <v>1N5_13_2</v>
      </c>
      <c r="F112" s="3">
        <v>1</v>
      </c>
      <c r="G112" s="3" t="s">
        <v>52</v>
      </c>
      <c r="H112" s="3">
        <v>5</v>
      </c>
      <c r="I112" s="3">
        <v>13</v>
      </c>
      <c r="J112" s="3">
        <v>2</v>
      </c>
      <c r="T112" s="18">
        <v>1001503</v>
      </c>
    </row>
    <row r="113" ht="11" customHeight="1" spans="1:20">
      <c r="A113" s="34" t="s">
        <v>101</v>
      </c>
      <c r="B113" s="17">
        <f t="shared" si="1"/>
        <v>70016303</v>
      </c>
      <c r="C113" s="3" t="s">
        <v>161</v>
      </c>
      <c r="E113" s="3" t="str">
        <f>F113&amp;(VLOOKUP(G113,编号表!$E$1:$G$8,2,0))&amp;H113&amp;"_"&amp;I113&amp;"_"&amp;J113</f>
        <v>1N5_13_3</v>
      </c>
      <c r="F113" s="3">
        <v>1</v>
      </c>
      <c r="G113" s="3" t="s">
        <v>52</v>
      </c>
      <c r="H113" s="3">
        <v>5</v>
      </c>
      <c r="I113" s="3">
        <v>13</v>
      </c>
      <c r="J113" s="3">
        <v>3</v>
      </c>
      <c r="T113" s="18">
        <v>1001603</v>
      </c>
    </row>
    <row r="114" ht="11" customHeight="1" spans="1:20">
      <c r="A114" s="34" t="s">
        <v>101</v>
      </c>
      <c r="B114" s="17">
        <f t="shared" si="1"/>
        <v>70016304</v>
      </c>
      <c r="C114" s="3" t="s">
        <v>162</v>
      </c>
      <c r="E114" s="3" t="str">
        <f>F114&amp;(VLOOKUP(G114,编号表!$E$1:$G$8,2,0))&amp;H114&amp;"_"&amp;I114&amp;"_"&amp;J114</f>
        <v>1N5_13_4</v>
      </c>
      <c r="F114" s="3">
        <v>1</v>
      </c>
      <c r="G114" s="3" t="s">
        <v>52</v>
      </c>
      <c r="H114" s="3">
        <v>5</v>
      </c>
      <c r="I114" s="3">
        <v>13</v>
      </c>
      <c r="J114" s="3">
        <v>4</v>
      </c>
      <c r="T114" s="18">
        <v>1001603</v>
      </c>
    </row>
    <row r="115" ht="11" customHeight="1" spans="1:20">
      <c r="A115" s="34" t="s">
        <v>101</v>
      </c>
      <c r="B115" s="17">
        <f t="shared" si="1"/>
        <v>70016305</v>
      </c>
      <c r="C115" s="3" t="s">
        <v>163</v>
      </c>
      <c r="E115" s="3" t="str">
        <f>F115&amp;(VLOOKUP(G115,编号表!$E$1:$G$8,2,0))&amp;H115&amp;"_"&amp;I115&amp;"_"&amp;J115</f>
        <v>1N5_13_5</v>
      </c>
      <c r="F115" s="3">
        <v>1</v>
      </c>
      <c r="G115" s="3" t="s">
        <v>52</v>
      </c>
      <c r="H115" s="3">
        <v>5</v>
      </c>
      <c r="I115" s="3">
        <v>13</v>
      </c>
      <c r="J115" s="3">
        <v>5</v>
      </c>
      <c r="T115" s="18">
        <v>1001703</v>
      </c>
    </row>
    <row r="116" ht="11" customHeight="1" spans="1:20">
      <c r="A116" s="34" t="s">
        <v>101</v>
      </c>
      <c r="B116" s="17">
        <f t="shared" si="1"/>
        <v>70016306</v>
      </c>
      <c r="C116" s="3" t="s">
        <v>164</v>
      </c>
      <c r="E116" s="3" t="str">
        <f>F116&amp;(VLOOKUP(G116,编号表!$E$1:$G$8,2,0))&amp;H116&amp;"_"&amp;I116&amp;"_"&amp;J116</f>
        <v>1N5_13_6</v>
      </c>
      <c r="F116" s="3">
        <v>1</v>
      </c>
      <c r="G116" s="3" t="s">
        <v>52</v>
      </c>
      <c r="H116" s="3">
        <v>5</v>
      </c>
      <c r="I116" s="3">
        <v>13</v>
      </c>
      <c r="J116" s="3">
        <v>6</v>
      </c>
      <c r="T116" s="18">
        <v>1001803</v>
      </c>
    </row>
    <row r="117" ht="11" customHeight="1" spans="1:20">
      <c r="A117" s="34" t="s">
        <v>101</v>
      </c>
      <c r="B117" s="17">
        <f t="shared" si="1"/>
        <v>70016307</v>
      </c>
      <c r="C117" s="3" t="s">
        <v>165</v>
      </c>
      <c r="E117" s="3" t="str">
        <f>F117&amp;(VLOOKUP(G117,编号表!$E$1:$G$8,2,0))&amp;H117&amp;"_"&amp;I117&amp;"_"&amp;J117</f>
        <v>1N5_13_7</v>
      </c>
      <c r="F117" s="3">
        <v>1</v>
      </c>
      <c r="G117" s="3" t="s">
        <v>52</v>
      </c>
      <c r="H117" s="3">
        <v>5</v>
      </c>
      <c r="I117" s="3">
        <v>13</v>
      </c>
      <c r="J117" s="3">
        <v>7</v>
      </c>
      <c r="T117" s="18">
        <v>1001903</v>
      </c>
    </row>
    <row r="118" ht="15" spans="1:20">
      <c r="A118" s="34"/>
      <c r="B118" s="17">
        <f t="shared" si="1"/>
        <v>70011001</v>
      </c>
      <c r="C118" s="35" t="s">
        <v>166</v>
      </c>
      <c r="E118" s="3" t="str">
        <f>F118&amp;(VLOOKUP(G118,编号表!$E$1:$G$8,2,0))&amp;H118&amp;"_"&amp;I118&amp;"_"&amp;J118</f>
        <v>1J1_0_1</v>
      </c>
      <c r="F118" s="3">
        <v>1</v>
      </c>
      <c r="G118" s="3" t="s">
        <v>167</v>
      </c>
      <c r="H118" s="3">
        <v>1</v>
      </c>
      <c r="I118" s="3">
        <v>0</v>
      </c>
      <c r="J118" s="3">
        <v>1</v>
      </c>
      <c r="K118" s="3">
        <v>1</v>
      </c>
    </row>
    <row r="119" ht="15" spans="1:20">
      <c r="A119" s="34"/>
      <c r="B119" s="17">
        <f t="shared" si="1"/>
        <v>70015001</v>
      </c>
      <c r="C119" s="36" t="s">
        <v>168</v>
      </c>
      <c r="E119" s="3" t="str">
        <f>F119&amp;(VLOOKUP(G119,编号表!$E$1:$G$8,2,0))&amp;H119&amp;"_"&amp;I119&amp;"_"&amp;J119</f>
        <v>1T5_0_1</v>
      </c>
      <c r="F119" s="3">
        <v>1</v>
      </c>
      <c r="G119" s="3" t="s">
        <v>169</v>
      </c>
      <c r="H119" s="3">
        <v>5</v>
      </c>
      <c r="I119" s="3">
        <v>0</v>
      </c>
      <c r="J119" s="3">
        <v>1</v>
      </c>
      <c r="L119" s="3">
        <v>1</v>
      </c>
    </row>
    <row r="120" ht="15" spans="1:20">
      <c r="A120" s="34"/>
      <c r="B120" s="17">
        <f t="shared" si="1"/>
        <v>70012001</v>
      </c>
      <c r="C120" s="36" t="s">
        <v>170</v>
      </c>
      <c r="E120" s="3" t="str">
        <f>F120&amp;(VLOOKUP(G120,编号表!$E$1:$G$8,2,0))&amp;H120&amp;"_"&amp;I120&amp;"_"&amp;J120</f>
        <v>1D2_0_1</v>
      </c>
      <c r="F120" s="3">
        <v>1</v>
      </c>
      <c r="G120" s="3" t="s">
        <v>171</v>
      </c>
      <c r="H120" s="3">
        <v>2</v>
      </c>
      <c r="I120" s="3">
        <v>0</v>
      </c>
      <c r="J120" s="3">
        <v>1</v>
      </c>
      <c r="M120" s="3">
        <v>1</v>
      </c>
    </row>
    <row r="121" ht="15" spans="1:20">
      <c r="A121" s="34"/>
      <c r="B121" s="17">
        <f t="shared" si="1"/>
        <v>70025101</v>
      </c>
      <c r="C121" s="3" t="s">
        <v>172</v>
      </c>
      <c r="E121" s="3" t="str">
        <f>F121&amp;(VLOOKUP(G121,编号表!$E$1:$G$8,2,0))&amp;H121&amp;"_"&amp;I121&amp;"_"&amp;J121</f>
        <v>2N5_1_1</v>
      </c>
      <c r="F121" s="3">
        <v>2</v>
      </c>
      <c r="G121" s="3" t="s">
        <v>52</v>
      </c>
      <c r="H121" s="3">
        <v>5</v>
      </c>
      <c r="I121" s="3">
        <v>1</v>
      </c>
      <c r="J121" s="3">
        <f>COUNTIFS($F$5:F121,F121,$I$5:I121,I121)</f>
        <v>1</v>
      </c>
      <c r="T121" s="18">
        <v>1002303</v>
      </c>
    </row>
    <row r="122" ht="15" spans="1:20">
      <c r="A122" s="34"/>
      <c r="B122" s="17">
        <f t="shared" si="1"/>
        <v>70025102</v>
      </c>
      <c r="C122" s="3" t="s">
        <v>173</v>
      </c>
      <c r="E122" s="3" t="str">
        <f>F122&amp;(VLOOKUP(G122,编号表!$E$1:$G$8,2,0))&amp;H122&amp;"_"&amp;I122&amp;"_"&amp;J122</f>
        <v>2N5_1_2</v>
      </c>
      <c r="F122" s="3">
        <v>2</v>
      </c>
      <c r="G122" s="3" t="s">
        <v>52</v>
      </c>
      <c r="H122" s="3">
        <v>5</v>
      </c>
      <c r="I122" s="3">
        <v>1</v>
      </c>
      <c r="J122" s="3">
        <v>2</v>
      </c>
      <c r="T122" s="18">
        <v>1002403</v>
      </c>
    </row>
    <row r="123" ht="15" spans="1:20">
      <c r="A123" s="34"/>
      <c r="B123" s="17">
        <f t="shared" si="1"/>
        <v>70025103</v>
      </c>
      <c r="C123" s="3" t="s">
        <v>174</v>
      </c>
      <c r="E123" s="3" t="str">
        <f>F123&amp;(VLOOKUP(G123,编号表!$E$1:$G$8,2,0))&amp;H123&amp;"_"&amp;I123&amp;"_"&amp;J123</f>
        <v>2N5_1_3</v>
      </c>
      <c r="F123" s="3">
        <v>2</v>
      </c>
      <c r="G123" s="3" t="s">
        <v>52</v>
      </c>
      <c r="H123" s="3">
        <v>5</v>
      </c>
      <c r="I123" s="3">
        <v>1</v>
      </c>
      <c r="J123" s="3">
        <v>3</v>
      </c>
      <c r="T123" s="18">
        <v>1002503</v>
      </c>
    </row>
    <row r="124" ht="15" spans="1:20">
      <c r="A124" s="34"/>
      <c r="B124" s="17">
        <f t="shared" si="1"/>
        <v>70025201</v>
      </c>
      <c r="C124" s="3" t="s">
        <v>175</v>
      </c>
      <c r="E124" s="3" t="str">
        <f>F124&amp;(VLOOKUP(G124,编号表!$E$1:$G$8,2,0))&amp;H124&amp;"_"&amp;I124&amp;"_"&amp;J124</f>
        <v>2N5_2_1</v>
      </c>
      <c r="F124" s="3">
        <v>2</v>
      </c>
      <c r="G124" s="3" t="s">
        <v>52</v>
      </c>
      <c r="H124" s="3">
        <v>5</v>
      </c>
      <c r="I124" s="3">
        <v>2</v>
      </c>
      <c r="J124" s="3">
        <v>1</v>
      </c>
      <c r="T124" s="18">
        <v>1002603</v>
      </c>
    </row>
    <row r="125" ht="15" spans="1:20">
      <c r="A125" s="34"/>
      <c r="B125" s="17">
        <f t="shared" si="1"/>
        <v>70025202</v>
      </c>
      <c r="C125" s="3" t="s">
        <v>176</v>
      </c>
      <c r="E125" s="3" t="str">
        <f>F125&amp;(VLOOKUP(G125,编号表!$E$1:$G$8,2,0))&amp;H125&amp;"_"&amp;I125&amp;"_"&amp;J125</f>
        <v>2N5_2_2</v>
      </c>
      <c r="F125" s="3">
        <v>2</v>
      </c>
      <c r="G125" s="3" t="s">
        <v>52</v>
      </c>
      <c r="H125" s="3">
        <v>5</v>
      </c>
      <c r="I125" s="3">
        <v>2</v>
      </c>
      <c r="J125" s="3">
        <v>2</v>
      </c>
      <c r="T125" s="18">
        <v>1002303</v>
      </c>
    </row>
    <row r="126" ht="15" spans="1:20">
      <c r="A126" s="34"/>
      <c r="B126" s="17">
        <f t="shared" si="1"/>
        <v>70025203</v>
      </c>
      <c r="C126" s="3" t="s">
        <v>177</v>
      </c>
      <c r="E126" s="3" t="str">
        <f>F126&amp;(VLOOKUP(G126,编号表!$E$1:$G$8,2,0))&amp;H126&amp;"_"&amp;I126&amp;"_"&amp;J126</f>
        <v>2N5_2_3</v>
      </c>
      <c r="F126" s="3">
        <v>2</v>
      </c>
      <c r="G126" s="3" t="s">
        <v>52</v>
      </c>
      <c r="H126" s="3">
        <v>5</v>
      </c>
      <c r="I126" s="3">
        <v>2</v>
      </c>
      <c r="J126" s="3">
        <f>COUNTIFS($F$5:F126,F126,$I$5:I126,I126)</f>
        <v>3</v>
      </c>
      <c r="S126" s="17" t="s">
        <v>178</v>
      </c>
      <c r="T126" s="18">
        <v>1002103</v>
      </c>
    </row>
    <row r="127" ht="15" spans="1:20">
      <c r="A127" s="34"/>
      <c r="B127" s="17">
        <f t="shared" si="1"/>
        <v>70025001</v>
      </c>
      <c r="C127" s="35" t="s">
        <v>179</v>
      </c>
      <c r="E127" s="3" t="str">
        <f>F127&amp;(VLOOKUP(G127,编号表!$E$1:$G$8,2,0))&amp;H127&amp;"_"&amp;I127&amp;"_"&amp;J127</f>
        <v>2J5_0_1</v>
      </c>
      <c r="F127" s="3">
        <v>2</v>
      </c>
      <c r="G127" s="3" t="s">
        <v>167</v>
      </c>
      <c r="H127" s="3">
        <v>5</v>
      </c>
      <c r="I127" s="3">
        <v>0</v>
      </c>
      <c r="J127" s="3">
        <f>COUNTIFS($F$5:F127,F127,$I$5:I127,I127)</f>
        <v>1</v>
      </c>
      <c r="K127" s="3">
        <v>1</v>
      </c>
    </row>
    <row r="128" ht="15" spans="1:20">
      <c r="A128" s="34"/>
      <c r="B128" s="17">
        <f t="shared" si="1"/>
        <v>70021001</v>
      </c>
      <c r="C128" s="36" t="s">
        <v>180</v>
      </c>
      <c r="E128" s="3" t="str">
        <f>F128&amp;(VLOOKUP(G128,编号表!$E$1:$G$8,2,0))&amp;H128&amp;"_"&amp;I128&amp;"_"&amp;J128</f>
        <v>2T1_0_1</v>
      </c>
      <c r="F128" s="3">
        <v>2</v>
      </c>
      <c r="G128" s="3" t="s">
        <v>169</v>
      </c>
      <c r="H128" s="3">
        <v>1</v>
      </c>
      <c r="I128" s="3">
        <v>0</v>
      </c>
      <c r="J128" s="3">
        <v>1</v>
      </c>
      <c r="L128" s="3">
        <v>1</v>
      </c>
      <c r="R128" s="3">
        <v>70031002</v>
      </c>
    </row>
    <row r="129" ht="15" spans="1:20">
      <c r="A129" s="34"/>
      <c r="B129" s="17">
        <f t="shared" si="1"/>
        <v>70021002</v>
      </c>
      <c r="C129" s="36" t="s">
        <v>180</v>
      </c>
      <c r="E129" s="3" t="str">
        <f>F129&amp;(VLOOKUP(G129,编号表!$E$1:$G$8,2,0))&amp;H129&amp;"_"&amp;I129&amp;"_"&amp;J129</f>
        <v>2T1_0_2</v>
      </c>
      <c r="F129" s="3">
        <v>2</v>
      </c>
      <c r="G129" s="3" t="s">
        <v>169</v>
      </c>
      <c r="H129" s="3">
        <v>1</v>
      </c>
      <c r="I129" s="3">
        <v>0</v>
      </c>
      <c r="J129" s="3">
        <v>2</v>
      </c>
      <c r="R129" s="3">
        <v>70041002</v>
      </c>
    </row>
    <row r="130" ht="15" spans="1:20">
      <c r="A130" s="34"/>
      <c r="B130" s="17">
        <f t="shared" si="1"/>
        <v>70022001</v>
      </c>
      <c r="C130" s="36" t="s">
        <v>181</v>
      </c>
      <c r="E130" s="3" t="str">
        <f>F130&amp;(VLOOKUP(G130,编号表!$E$1:$G$8,2,0))&amp;H130&amp;"_"&amp;I130&amp;"_"&amp;J130</f>
        <v>2D2_0_1</v>
      </c>
      <c r="F130" s="3">
        <v>2</v>
      </c>
      <c r="G130" s="3" t="s">
        <v>171</v>
      </c>
      <c r="H130" s="3">
        <v>2</v>
      </c>
      <c r="I130" s="3">
        <v>0</v>
      </c>
      <c r="J130" s="3">
        <v>1</v>
      </c>
      <c r="M130" s="3">
        <v>1</v>
      </c>
    </row>
    <row r="131" ht="15" spans="1:20">
      <c r="A131" s="34"/>
      <c r="B131" s="17">
        <f t="shared" si="1"/>
        <v>70035001</v>
      </c>
      <c r="C131" s="35" t="s">
        <v>182</v>
      </c>
      <c r="E131" s="3" t="str">
        <f>F131&amp;(VLOOKUP(G131,编号表!$E$1:$G$8,2,0))&amp;H131&amp;"_"&amp;I131&amp;"_"&amp;J131</f>
        <v>3J5_0_1</v>
      </c>
      <c r="F131" s="3">
        <v>3</v>
      </c>
      <c r="G131" s="3" t="s">
        <v>167</v>
      </c>
      <c r="H131" s="3">
        <v>5</v>
      </c>
      <c r="I131" s="3">
        <v>0</v>
      </c>
      <c r="J131" s="3">
        <f>COUNTIFS($F$5:F131,F131,$I$5:I131,I131)</f>
        <v>1</v>
      </c>
      <c r="K131" s="3">
        <v>1</v>
      </c>
    </row>
    <row r="132" ht="15" spans="1:20">
      <c r="A132" s="34"/>
      <c r="B132" s="17">
        <f t="shared" si="1"/>
        <v>70031001</v>
      </c>
      <c r="C132" s="36" t="s">
        <v>183</v>
      </c>
      <c r="E132" s="3" t="str">
        <f>F132&amp;(VLOOKUP(G132,编号表!$E$1:$G$8,2,0))&amp;H132&amp;"_"&amp;I132&amp;"_"&amp;J132</f>
        <v>3T1_0_1</v>
      </c>
      <c r="F132" s="3">
        <v>3</v>
      </c>
      <c r="G132" s="3" t="s">
        <v>169</v>
      </c>
      <c r="H132" s="3">
        <v>1</v>
      </c>
      <c r="I132" s="3">
        <v>0</v>
      </c>
      <c r="J132" s="3">
        <v>1</v>
      </c>
      <c r="L132" s="3">
        <v>1</v>
      </c>
      <c r="R132" s="3">
        <v>70016204</v>
      </c>
    </row>
    <row r="133" ht="15" spans="1:20">
      <c r="A133" s="34"/>
      <c r="B133" s="17">
        <f t="shared" ref="B133:B196" si="2">70000000+F133*10000+H133*1000+I133*100+J133</f>
        <v>70031002</v>
      </c>
      <c r="C133" s="36" t="s">
        <v>183</v>
      </c>
      <c r="E133" s="3" t="str">
        <f>F133&amp;(VLOOKUP(G133,编号表!$E$1:$G$8,2,0))&amp;H133&amp;"_"&amp;I133&amp;"_"&amp;J133</f>
        <v>3T1_0_2</v>
      </c>
      <c r="F133" s="3">
        <v>3</v>
      </c>
      <c r="G133" s="3" t="s">
        <v>169</v>
      </c>
      <c r="H133" s="3">
        <v>1</v>
      </c>
      <c r="I133" s="3">
        <v>0</v>
      </c>
      <c r="J133" s="3">
        <v>2</v>
      </c>
      <c r="L133" s="3">
        <v>1</v>
      </c>
      <c r="R133" s="3">
        <v>70021001</v>
      </c>
    </row>
    <row r="134" ht="15" spans="1:20">
      <c r="A134" s="34"/>
      <c r="B134" s="17">
        <f t="shared" si="2"/>
        <v>70032001</v>
      </c>
      <c r="C134" s="36" t="s">
        <v>184</v>
      </c>
      <c r="E134" s="3" t="str">
        <f>F134&amp;(VLOOKUP(G134,编号表!$E$1:$G$8,2,0))&amp;H134&amp;"_"&amp;I134&amp;"_"&amp;J134</f>
        <v>3D2_0_1</v>
      </c>
      <c r="F134" s="3">
        <v>3</v>
      </c>
      <c r="G134" s="3" t="s">
        <v>171</v>
      </c>
      <c r="H134" s="3">
        <v>2</v>
      </c>
      <c r="I134" s="3">
        <v>0</v>
      </c>
      <c r="J134" s="3">
        <v>1</v>
      </c>
      <c r="M134" s="3">
        <v>1</v>
      </c>
    </row>
    <row r="135" ht="15" spans="1:20">
      <c r="A135" s="34"/>
      <c r="B135" s="17">
        <f t="shared" si="2"/>
        <v>70045101</v>
      </c>
      <c r="C135" s="37" t="s">
        <v>185</v>
      </c>
      <c r="E135" s="3" t="str">
        <f>F135&amp;(VLOOKUP(G135,编号表!$E$1:$G$8,2,0))&amp;H135&amp;"_"&amp;I135&amp;"_"&amp;J135</f>
        <v>4N5_1_1</v>
      </c>
      <c r="F135" s="3">
        <v>4</v>
      </c>
      <c r="G135" s="3" t="s">
        <v>52</v>
      </c>
      <c r="H135" s="3">
        <v>5</v>
      </c>
      <c r="I135" s="3">
        <v>1</v>
      </c>
      <c r="J135" s="3">
        <f>COUNTIFS($F$5:F135,F135,$I$5:I135,I135)</f>
        <v>1</v>
      </c>
      <c r="S135" s="17" t="s">
        <v>178</v>
      </c>
      <c r="T135" s="18">
        <v>1004103</v>
      </c>
    </row>
    <row r="136" ht="15" spans="1:20">
      <c r="A136" s="34"/>
      <c r="B136" s="17">
        <f t="shared" si="2"/>
        <v>70045102</v>
      </c>
      <c r="C136" s="37" t="s">
        <v>186</v>
      </c>
      <c r="E136" s="3" t="str">
        <f>F136&amp;(VLOOKUP(G136,编号表!$E$1:$G$8,2,0))&amp;H136&amp;"_"&amp;I136&amp;"_"&amp;J136</f>
        <v>4N5_1_2</v>
      </c>
      <c r="F136" s="3">
        <v>4</v>
      </c>
      <c r="G136" s="3" t="s">
        <v>52</v>
      </c>
      <c r="H136" s="3">
        <v>5</v>
      </c>
      <c r="I136" s="3">
        <v>1</v>
      </c>
      <c r="J136" s="3">
        <f>COUNTIFS($F$5:F136,F136,$I$5:I136,I136)</f>
        <v>2</v>
      </c>
      <c r="T136" s="18">
        <v>1004304</v>
      </c>
    </row>
    <row r="137" ht="15" spans="1:20">
      <c r="A137" s="34"/>
      <c r="B137" s="17">
        <f t="shared" si="2"/>
        <v>70045103</v>
      </c>
      <c r="C137" s="37" t="s">
        <v>187</v>
      </c>
      <c r="E137" s="3" t="str">
        <f>F137&amp;(VLOOKUP(G137,编号表!$E$1:$G$8,2,0))&amp;H137&amp;"_"&amp;I137&amp;"_"&amp;J137</f>
        <v>4N5_1_3</v>
      </c>
      <c r="F137" s="3">
        <v>4</v>
      </c>
      <c r="G137" s="3" t="s">
        <v>52</v>
      </c>
      <c r="H137" s="3">
        <v>5</v>
      </c>
      <c r="I137" s="3">
        <v>1</v>
      </c>
      <c r="J137" s="3">
        <f>COUNTIFS($F$5:F137,F137,$I$5:I137,I137)</f>
        <v>3</v>
      </c>
      <c r="T137" s="18">
        <v>1004403</v>
      </c>
    </row>
    <row r="138" ht="15" spans="1:20">
      <c r="A138" s="34"/>
      <c r="B138" s="17">
        <f t="shared" si="2"/>
        <v>70045104</v>
      </c>
      <c r="C138" s="37" t="s">
        <v>188</v>
      </c>
      <c r="E138" s="3" t="str">
        <f>F138&amp;(VLOOKUP(G138,编号表!$E$1:$G$8,2,0))&amp;H138&amp;"_"&amp;I138&amp;"_"&amp;J138</f>
        <v>4N5_1_4</v>
      </c>
      <c r="F138" s="3">
        <v>4</v>
      </c>
      <c r="G138" s="3" t="s">
        <v>52</v>
      </c>
      <c r="H138" s="3">
        <v>5</v>
      </c>
      <c r="I138" s="3">
        <v>1</v>
      </c>
      <c r="J138" s="3">
        <f>COUNTIFS($F$5:F138,F138,$I$5:I138,I138)</f>
        <v>4</v>
      </c>
      <c r="T138" s="18">
        <v>1004503</v>
      </c>
    </row>
    <row r="139" ht="15" spans="1:20">
      <c r="A139" s="34"/>
      <c r="B139" s="17">
        <f t="shared" si="2"/>
        <v>70045105</v>
      </c>
      <c r="C139" s="37" t="s">
        <v>189</v>
      </c>
      <c r="E139" s="3" t="str">
        <f>F139&amp;(VLOOKUP(G139,编号表!$E$1:$G$8,2,0))&amp;H139&amp;"_"&amp;I139&amp;"_"&amp;J139</f>
        <v>4N5_1_5</v>
      </c>
      <c r="F139" s="3">
        <v>4</v>
      </c>
      <c r="G139" s="3" t="s">
        <v>52</v>
      </c>
      <c r="H139" s="3">
        <v>5</v>
      </c>
      <c r="I139" s="3">
        <v>1</v>
      </c>
      <c r="J139" s="3">
        <f>COUNTIFS($F$5:F139,F139,$I$5:I139,I139)</f>
        <v>5</v>
      </c>
      <c r="T139" s="18">
        <v>1004603</v>
      </c>
    </row>
    <row r="140" ht="15" spans="1:20">
      <c r="A140" s="34"/>
      <c r="B140" s="17">
        <f t="shared" si="2"/>
        <v>70045106</v>
      </c>
      <c r="C140" s="37" t="s">
        <v>190</v>
      </c>
      <c r="E140" s="3" t="str">
        <f>F140&amp;(VLOOKUP(G140,编号表!$E$1:$G$8,2,0))&amp;H140&amp;"_"&amp;I140&amp;"_"&amp;J140</f>
        <v>4N5_1_6</v>
      </c>
      <c r="F140" s="3">
        <v>4</v>
      </c>
      <c r="G140" s="3" t="s">
        <v>52</v>
      </c>
      <c r="H140" s="3">
        <v>5</v>
      </c>
      <c r="I140" s="3">
        <v>1</v>
      </c>
      <c r="J140" s="3">
        <f>COUNTIFS($F$5:F140,F140,$I$5:I140,I140)</f>
        <v>6</v>
      </c>
      <c r="S140" s="17" t="s">
        <v>178</v>
      </c>
      <c r="T140" s="18">
        <v>1004103</v>
      </c>
    </row>
    <row r="141" ht="15" spans="1:20">
      <c r="A141" s="34"/>
      <c r="B141" s="17">
        <f t="shared" si="2"/>
        <v>70045201</v>
      </c>
      <c r="C141" s="37" t="s">
        <v>191</v>
      </c>
      <c r="E141" s="3" t="str">
        <f>F141&amp;(VLOOKUP(G141,编号表!$E$1:$G$8,2,0))&amp;H141&amp;"_"&amp;I141&amp;"_"&amp;J141</f>
        <v>4N5_2_1</v>
      </c>
      <c r="F141" s="3">
        <v>4</v>
      </c>
      <c r="G141" s="3" t="s">
        <v>52</v>
      </c>
      <c r="H141" s="3">
        <v>5</v>
      </c>
      <c r="I141" s="3">
        <v>2</v>
      </c>
      <c r="J141" s="3">
        <f>COUNTIFS($F$5:F141,F141,$I$5:I141,I141)</f>
        <v>1</v>
      </c>
      <c r="T141" s="18">
        <v>1004704</v>
      </c>
    </row>
    <row r="142" ht="15" spans="1:20">
      <c r="A142" s="34"/>
      <c r="B142" s="17">
        <f t="shared" si="2"/>
        <v>70045202</v>
      </c>
      <c r="C142" s="37" t="s">
        <v>192</v>
      </c>
      <c r="E142" s="3" t="str">
        <f>F142&amp;(VLOOKUP(G142,编号表!$E$1:$G$8,2,0))&amp;H142&amp;"_"&amp;I142&amp;"_"&amp;J142</f>
        <v>4N5_2_2</v>
      </c>
      <c r="F142" s="3">
        <v>4</v>
      </c>
      <c r="G142" s="3" t="s">
        <v>52</v>
      </c>
      <c r="H142" s="3">
        <v>5</v>
      </c>
      <c r="I142" s="3">
        <v>2</v>
      </c>
      <c r="J142" s="3">
        <f>COUNTIFS($F$5:F142,F142,$I$5:I142,I142)</f>
        <v>2</v>
      </c>
      <c r="T142" s="18">
        <v>1004304</v>
      </c>
    </row>
    <row r="143" ht="15" spans="1:20">
      <c r="A143" s="34"/>
      <c r="B143" s="17">
        <f t="shared" si="2"/>
        <v>70045203</v>
      </c>
      <c r="C143" s="37" t="s">
        <v>193</v>
      </c>
      <c r="E143" s="3" t="str">
        <f>F143&amp;(VLOOKUP(G143,编号表!$E$1:$G$8,2,0))&amp;H143&amp;"_"&amp;I143&amp;"_"&amp;J143</f>
        <v>4N5_2_3</v>
      </c>
      <c r="F143" s="3">
        <v>4</v>
      </c>
      <c r="G143" s="3" t="s">
        <v>52</v>
      </c>
      <c r="H143" s="3">
        <v>5</v>
      </c>
      <c r="I143" s="3">
        <v>2</v>
      </c>
      <c r="J143" s="3">
        <f>COUNTIFS($F$5:F143,F143,$I$5:I143,I143)</f>
        <v>3</v>
      </c>
      <c r="S143" s="17" t="s">
        <v>178</v>
      </c>
      <c r="T143" s="18">
        <v>1004103</v>
      </c>
    </row>
    <row r="144" ht="15" spans="1:20">
      <c r="A144" s="34"/>
      <c r="B144" s="17">
        <f t="shared" si="2"/>
        <v>70045204</v>
      </c>
      <c r="C144" s="37" t="s">
        <v>194</v>
      </c>
      <c r="E144" s="3" t="str">
        <f>F144&amp;(VLOOKUP(G144,编号表!$E$1:$G$8,2,0))&amp;H144&amp;"_"&amp;I144&amp;"_"&amp;J144</f>
        <v>4N5_2_4</v>
      </c>
      <c r="F144" s="3">
        <v>4</v>
      </c>
      <c r="G144" s="3" t="s">
        <v>52</v>
      </c>
      <c r="H144" s="3">
        <v>5</v>
      </c>
      <c r="I144" s="3">
        <v>2</v>
      </c>
      <c r="J144" s="3">
        <f>COUNTIFS($F$5:F144,F144,$I$5:I144,I144)</f>
        <v>4</v>
      </c>
      <c r="T144" s="18">
        <v>1004304</v>
      </c>
    </row>
    <row r="145" ht="15" spans="1:20">
      <c r="A145" s="34"/>
      <c r="B145" s="17">
        <f t="shared" si="2"/>
        <v>70045205</v>
      </c>
      <c r="C145" s="37" t="s">
        <v>195</v>
      </c>
      <c r="E145" s="3" t="str">
        <f>F145&amp;(VLOOKUP(G145,编号表!$E$1:$G$8,2,0))&amp;H145&amp;"_"&amp;I145&amp;"_"&amp;J145</f>
        <v>4N5_2_5</v>
      </c>
      <c r="F145" s="3">
        <v>4</v>
      </c>
      <c r="G145" s="3" t="s">
        <v>52</v>
      </c>
      <c r="H145" s="3">
        <v>5</v>
      </c>
      <c r="I145" s="3">
        <v>2</v>
      </c>
      <c r="J145" s="3">
        <f>COUNTIFS($F$5:F145,F145,$I$5:I145,I145)</f>
        <v>5</v>
      </c>
      <c r="T145" s="18">
        <v>1004403</v>
      </c>
    </row>
    <row r="146" ht="15" spans="1:20">
      <c r="A146" s="34"/>
      <c r="B146" s="17">
        <f t="shared" si="2"/>
        <v>70045301</v>
      </c>
      <c r="C146" s="37" t="s">
        <v>196</v>
      </c>
      <c r="E146" s="3" t="str">
        <f>F146&amp;(VLOOKUP(G146,编号表!$E$1:$G$8,2,0))&amp;H146&amp;"_"&amp;I146&amp;"_"&amp;J146</f>
        <v>4N5_3_1</v>
      </c>
      <c r="F146" s="3">
        <v>4</v>
      </c>
      <c r="G146" s="3" t="s">
        <v>52</v>
      </c>
      <c r="H146" s="3">
        <v>5</v>
      </c>
      <c r="I146" s="3">
        <v>3</v>
      </c>
      <c r="J146" s="3">
        <f>COUNTIFS($F$5:F146,F146,$I$5:I146,I146)</f>
        <v>1</v>
      </c>
      <c r="T146" s="18">
        <v>1004503</v>
      </c>
    </row>
    <row r="147" ht="15" spans="1:20">
      <c r="A147" s="34"/>
      <c r="B147" s="17">
        <f t="shared" si="2"/>
        <v>70045302</v>
      </c>
      <c r="C147" s="37" t="s">
        <v>197</v>
      </c>
      <c r="E147" s="3" t="str">
        <f>F147&amp;(VLOOKUP(G147,编号表!$E$1:$G$8,2,0))&amp;H147&amp;"_"&amp;I147&amp;"_"&amp;J147</f>
        <v>4N5_3_2</v>
      </c>
      <c r="F147" s="3">
        <v>4</v>
      </c>
      <c r="G147" s="3" t="s">
        <v>52</v>
      </c>
      <c r="H147" s="3">
        <v>5</v>
      </c>
      <c r="I147" s="3">
        <v>3</v>
      </c>
      <c r="J147" s="3">
        <f>COUNTIFS($F$5:F147,F147,$I$5:I147,I147)</f>
        <v>2</v>
      </c>
      <c r="T147" s="18">
        <v>1004603</v>
      </c>
    </row>
    <row r="148" ht="15" spans="1:20">
      <c r="A148" s="34"/>
      <c r="B148" s="17">
        <f t="shared" si="2"/>
        <v>70045303</v>
      </c>
      <c r="C148" s="37" t="s">
        <v>198</v>
      </c>
      <c r="E148" s="3" t="str">
        <f>F148&amp;(VLOOKUP(G148,编号表!$E$1:$G$8,2,0))&amp;H148&amp;"_"&amp;I148&amp;"_"&amp;J148</f>
        <v>4N5_3_3</v>
      </c>
      <c r="F148" s="3">
        <v>4</v>
      </c>
      <c r="G148" s="3" t="s">
        <v>52</v>
      </c>
      <c r="H148" s="3">
        <v>5</v>
      </c>
      <c r="I148" s="3">
        <v>3</v>
      </c>
      <c r="J148" s="3">
        <f>COUNTIFS($F$5:F148,F148,$I$5:I148,I148)</f>
        <v>3</v>
      </c>
      <c r="T148" s="18">
        <v>1004704</v>
      </c>
    </row>
    <row r="149" ht="15" spans="1:20">
      <c r="A149" s="34"/>
      <c r="B149" s="17">
        <f t="shared" si="2"/>
        <v>70045304</v>
      </c>
      <c r="C149" s="37" t="s">
        <v>199</v>
      </c>
      <c r="E149" s="3" t="str">
        <f>F149&amp;(VLOOKUP(G149,编号表!$E$1:$G$8,2,0))&amp;H149&amp;"_"&amp;I149&amp;"_"&amp;J149</f>
        <v>4N5_3_4</v>
      </c>
      <c r="F149" s="3">
        <v>4</v>
      </c>
      <c r="G149" s="3" t="s">
        <v>52</v>
      </c>
      <c r="H149" s="3">
        <v>5</v>
      </c>
      <c r="I149" s="3">
        <v>3</v>
      </c>
      <c r="J149" s="3">
        <f>COUNTIFS($F$5:F149,F149,$I$5:I149,I149)</f>
        <v>4</v>
      </c>
      <c r="T149" s="18">
        <v>1004304</v>
      </c>
    </row>
    <row r="150" ht="15" spans="1:20">
      <c r="A150" s="34"/>
      <c r="B150" s="17">
        <f t="shared" si="2"/>
        <v>70045305</v>
      </c>
      <c r="C150" s="37" t="s">
        <v>200</v>
      </c>
      <c r="E150" s="3" t="str">
        <f>F150&amp;(VLOOKUP(G150,编号表!$E$1:$G$8,2,0))&amp;H150&amp;"_"&amp;I150&amp;"_"&amp;J150</f>
        <v>4N5_3_5</v>
      </c>
      <c r="F150" s="3">
        <v>4</v>
      </c>
      <c r="G150" s="3" t="s">
        <v>52</v>
      </c>
      <c r="H150" s="3">
        <v>5</v>
      </c>
      <c r="I150" s="3">
        <v>3</v>
      </c>
      <c r="J150" s="3">
        <f>COUNTIFS($F$5:F150,F150,$I$5:I150,I150)</f>
        <v>5</v>
      </c>
      <c r="T150" s="18">
        <v>1004103</v>
      </c>
    </row>
    <row r="151" ht="15" spans="1:20">
      <c r="A151" s="34"/>
      <c r="B151" s="17">
        <f t="shared" si="2"/>
        <v>70045401</v>
      </c>
      <c r="C151" s="37" t="s">
        <v>201</v>
      </c>
      <c r="E151" s="3" t="str">
        <f>F151&amp;(VLOOKUP(G151,编号表!$E$1:$G$8,2,0))&amp;H151&amp;"_"&amp;I151&amp;"_"&amp;J151</f>
        <v>4N5_4_1</v>
      </c>
      <c r="F151" s="3">
        <v>4</v>
      </c>
      <c r="G151" s="3" t="s">
        <v>52</v>
      </c>
      <c r="H151" s="3">
        <v>5</v>
      </c>
      <c r="I151" s="3">
        <v>4</v>
      </c>
      <c r="J151" s="3">
        <f>COUNTIFS($F$5:F151,F151,$I$5:I151,I151)</f>
        <v>1</v>
      </c>
      <c r="T151" s="18">
        <v>1004304</v>
      </c>
    </row>
    <row r="152" ht="15" spans="1:20">
      <c r="A152" s="34"/>
      <c r="B152" s="17">
        <f t="shared" si="2"/>
        <v>70045402</v>
      </c>
      <c r="C152" s="37" t="s">
        <v>202</v>
      </c>
      <c r="E152" s="3" t="str">
        <f>F152&amp;(VLOOKUP(G152,编号表!$E$1:$G$8,2,0))&amp;H152&amp;"_"&amp;I152&amp;"_"&amp;J152</f>
        <v>4N5_4_2</v>
      </c>
      <c r="F152" s="3">
        <v>4</v>
      </c>
      <c r="G152" s="3" t="s">
        <v>52</v>
      </c>
      <c r="H152" s="3">
        <v>5</v>
      </c>
      <c r="I152" s="3">
        <v>4</v>
      </c>
      <c r="J152" s="3">
        <f>COUNTIFS($F$5:F152,F152,$I$5:I152,I152)</f>
        <v>2</v>
      </c>
      <c r="T152" s="18">
        <v>1004403</v>
      </c>
    </row>
    <row r="153" ht="15" spans="1:20">
      <c r="A153" s="34"/>
      <c r="B153" s="17">
        <f t="shared" si="2"/>
        <v>70045001</v>
      </c>
      <c r="C153" s="35" t="s">
        <v>203</v>
      </c>
      <c r="E153" s="3" t="str">
        <f>F153&amp;(VLOOKUP(G153,编号表!$E$1:$G$8,2,0))&amp;H153&amp;"_"&amp;I153&amp;"_"&amp;J153</f>
        <v>4J5_0_1</v>
      </c>
      <c r="F153" s="3">
        <v>4</v>
      </c>
      <c r="G153" s="3" t="s">
        <v>167</v>
      </c>
      <c r="H153" s="3">
        <v>5</v>
      </c>
      <c r="I153" s="3">
        <v>0</v>
      </c>
      <c r="J153" s="3">
        <v>1</v>
      </c>
      <c r="K153" s="3">
        <v>1</v>
      </c>
    </row>
    <row r="154" ht="15" spans="1:20">
      <c r="A154" s="34"/>
      <c r="B154" s="17">
        <f t="shared" si="2"/>
        <v>70041001</v>
      </c>
      <c r="C154" s="36" t="s">
        <v>204</v>
      </c>
      <c r="E154" s="3" t="str">
        <f>F154&amp;(VLOOKUP(G154,编号表!$E$1:$G$8,2,0))&amp;H154&amp;"_"&amp;I154&amp;"_"&amp;J154</f>
        <v>4T1_0_1</v>
      </c>
      <c r="F154" s="3">
        <v>4</v>
      </c>
      <c r="G154" s="3" t="s">
        <v>169</v>
      </c>
      <c r="H154" s="3">
        <v>1</v>
      </c>
      <c r="I154" s="3">
        <v>0</v>
      </c>
      <c r="J154" s="3">
        <v>1</v>
      </c>
      <c r="L154" s="3">
        <v>1</v>
      </c>
      <c r="R154" s="3">
        <v>70051001</v>
      </c>
    </row>
    <row r="155" ht="15" spans="1:20">
      <c r="A155" s="34"/>
      <c r="B155" s="17">
        <f t="shared" si="2"/>
        <v>70041002</v>
      </c>
      <c r="C155" s="36" t="s">
        <v>204</v>
      </c>
      <c r="E155" s="3" t="str">
        <f>F155&amp;(VLOOKUP(G155,编号表!$E$1:$G$8,2,0))&amp;H155&amp;"_"&amp;I155&amp;"_"&amp;J155</f>
        <v>4T1_0_2</v>
      </c>
      <c r="F155" s="3">
        <v>4</v>
      </c>
      <c r="G155" s="3" t="s">
        <v>169</v>
      </c>
      <c r="H155" s="3">
        <v>1</v>
      </c>
      <c r="I155" s="3">
        <v>0</v>
      </c>
      <c r="J155" s="3">
        <v>2</v>
      </c>
      <c r="L155" s="3">
        <v>1</v>
      </c>
      <c r="R155" s="3">
        <v>70021002</v>
      </c>
    </row>
    <row r="156" ht="15" spans="1:20">
      <c r="A156" s="34"/>
      <c r="B156" s="17">
        <f t="shared" si="2"/>
        <v>70042001</v>
      </c>
      <c r="C156" s="36" t="s">
        <v>205</v>
      </c>
      <c r="E156" s="3" t="str">
        <f>F156&amp;(VLOOKUP(G156,编号表!$E$1:$G$8,2,0))&amp;H156&amp;"_"&amp;I156&amp;"_"&amp;J156</f>
        <v>4D2_0_1</v>
      </c>
      <c r="F156" s="3">
        <v>4</v>
      </c>
      <c r="G156" s="3" t="s">
        <v>171</v>
      </c>
      <c r="H156" s="3">
        <v>2</v>
      </c>
      <c r="I156" s="3">
        <v>0</v>
      </c>
      <c r="J156" s="3">
        <v>1</v>
      </c>
      <c r="M156" s="3">
        <v>1</v>
      </c>
    </row>
    <row r="157" ht="15" spans="1:20">
      <c r="A157" s="34"/>
      <c r="B157" s="17">
        <f t="shared" si="2"/>
        <v>70055101</v>
      </c>
      <c r="C157" s="37" t="s">
        <v>206</v>
      </c>
      <c r="E157" s="3" t="str">
        <f>F157&amp;(VLOOKUP(G157,编号表!$E$1:$G$8,2,0))&amp;H157&amp;"_"&amp;I157&amp;"_"&amp;J157</f>
        <v>5N5_1_1</v>
      </c>
      <c r="F157" s="3">
        <v>5</v>
      </c>
      <c r="G157" s="3" t="s">
        <v>52</v>
      </c>
      <c r="H157" s="3">
        <v>5</v>
      </c>
      <c r="I157" s="3">
        <v>1</v>
      </c>
      <c r="J157" s="3">
        <v>1</v>
      </c>
      <c r="T157" s="18">
        <v>1005303</v>
      </c>
    </row>
    <row r="158" ht="15" spans="1:20">
      <c r="A158" s="34"/>
      <c r="B158" s="17">
        <f t="shared" si="2"/>
        <v>70055102</v>
      </c>
      <c r="C158" s="37" t="s">
        <v>207</v>
      </c>
      <c r="E158" s="3" t="str">
        <f>F158&amp;(VLOOKUP(G158,编号表!$E$1:$G$8,2,0))&amp;H158&amp;"_"&amp;I158&amp;"_"&amp;J158</f>
        <v>5N5_1_2</v>
      </c>
      <c r="F158" s="3">
        <v>5</v>
      </c>
      <c r="G158" s="3" t="s">
        <v>52</v>
      </c>
      <c r="H158" s="3">
        <v>5</v>
      </c>
      <c r="I158" s="3">
        <v>1</v>
      </c>
      <c r="J158" s="3">
        <v>2</v>
      </c>
      <c r="T158" s="18">
        <v>1005403</v>
      </c>
    </row>
    <row r="159" ht="15" spans="1:20">
      <c r="A159" s="34"/>
      <c r="B159" s="17">
        <f t="shared" si="2"/>
        <v>70055103</v>
      </c>
      <c r="C159" s="37" t="s">
        <v>208</v>
      </c>
      <c r="E159" s="3" t="str">
        <f>F159&amp;(VLOOKUP(G159,编号表!$E$1:$G$8,2,0))&amp;H159&amp;"_"&amp;I159&amp;"_"&amp;J159</f>
        <v>5N5_1_3</v>
      </c>
      <c r="F159" s="3">
        <v>5</v>
      </c>
      <c r="G159" s="3" t="s">
        <v>52</v>
      </c>
      <c r="H159" s="3">
        <v>5</v>
      </c>
      <c r="I159" s="3">
        <v>1</v>
      </c>
      <c r="J159" s="3">
        <v>3</v>
      </c>
      <c r="T159" s="18">
        <v>1005503</v>
      </c>
    </row>
    <row r="160" ht="15" spans="1:20">
      <c r="A160" s="34"/>
      <c r="B160" s="17">
        <f t="shared" si="2"/>
        <v>70055201</v>
      </c>
      <c r="C160" s="37" t="s">
        <v>209</v>
      </c>
      <c r="E160" s="3" t="str">
        <f>F160&amp;(VLOOKUP(G160,编号表!$E$1:$G$8,2,0))&amp;H160&amp;"_"&amp;I160&amp;"_"&amp;J160</f>
        <v>5N5_2_1</v>
      </c>
      <c r="F160" s="3">
        <v>5</v>
      </c>
      <c r="G160" s="3" t="s">
        <v>52</v>
      </c>
      <c r="H160" s="3">
        <v>5</v>
      </c>
      <c r="I160" s="3">
        <v>2</v>
      </c>
      <c r="J160" s="3">
        <v>1</v>
      </c>
    </row>
    <row r="161" ht="15" spans="1:20">
      <c r="A161" s="34"/>
      <c r="B161" s="17">
        <f t="shared" si="2"/>
        <v>70055202</v>
      </c>
      <c r="C161" s="37" t="s">
        <v>210</v>
      </c>
      <c r="E161" s="3" t="str">
        <f>F161&amp;(VLOOKUP(G161,编号表!$E$1:$G$8,2,0))&amp;H161&amp;"_"&amp;I161&amp;"_"&amp;J161</f>
        <v>5N5_2_2</v>
      </c>
      <c r="F161" s="3">
        <v>5</v>
      </c>
      <c r="G161" s="3" t="s">
        <v>52</v>
      </c>
      <c r="H161" s="3">
        <v>5</v>
      </c>
      <c r="I161" s="3">
        <v>2</v>
      </c>
      <c r="J161" s="3">
        <f>COUNTIFS($F$5:F161,F161,$I$5:I161,I161)</f>
        <v>2</v>
      </c>
      <c r="S161" s="17" t="s">
        <v>178</v>
      </c>
      <c r="T161" s="18">
        <v>1005103</v>
      </c>
    </row>
    <row r="162" ht="15" spans="1:20">
      <c r="A162" s="34"/>
      <c r="B162" s="17">
        <f t="shared" si="2"/>
        <v>70055203</v>
      </c>
      <c r="C162" s="37" t="s">
        <v>211</v>
      </c>
      <c r="E162" s="3" t="str">
        <f>F162&amp;(VLOOKUP(G162,编号表!$E$1:$G$8,2,0))&amp;H162&amp;"_"&amp;I162&amp;"_"&amp;J162</f>
        <v>5N5_2_3</v>
      </c>
      <c r="F162" s="3">
        <v>5</v>
      </c>
      <c r="G162" s="3" t="s">
        <v>52</v>
      </c>
      <c r="H162" s="3">
        <v>5</v>
      </c>
      <c r="I162" s="3">
        <v>2</v>
      </c>
      <c r="J162" s="3">
        <f>COUNTIFS($F$5:F162,F162,$I$5:I162,I162)</f>
        <v>3</v>
      </c>
      <c r="T162" s="18">
        <v>1005303</v>
      </c>
    </row>
    <row r="163" ht="15" spans="1:20">
      <c r="A163" s="34"/>
      <c r="B163" s="17">
        <f t="shared" si="2"/>
        <v>70055204</v>
      </c>
      <c r="C163" s="37" t="s">
        <v>212</v>
      </c>
      <c r="E163" s="3" t="str">
        <f>F163&amp;(VLOOKUP(G163,编号表!$E$1:$G$8,2,0))&amp;H163&amp;"_"&amp;I163&amp;"_"&amp;J163</f>
        <v>5N5_2_4</v>
      </c>
      <c r="F163" s="3">
        <v>5</v>
      </c>
      <c r="G163" s="3" t="s">
        <v>52</v>
      </c>
      <c r="H163" s="3">
        <v>5</v>
      </c>
      <c r="I163" s="3">
        <v>2</v>
      </c>
      <c r="J163" s="3">
        <f>COUNTIFS($F$5:F163,F163,$I$5:I163,I163)</f>
        <v>4</v>
      </c>
      <c r="T163" s="18">
        <v>1005403</v>
      </c>
    </row>
    <row r="164" ht="15" spans="1:20">
      <c r="A164" s="34"/>
      <c r="B164" s="17">
        <f t="shared" si="2"/>
        <v>70055205</v>
      </c>
      <c r="C164" s="37" t="s">
        <v>213</v>
      </c>
      <c r="E164" s="3" t="str">
        <f>F164&amp;(VLOOKUP(G164,编号表!$E$1:$G$8,2,0))&amp;H164&amp;"_"&amp;I164&amp;"_"&amp;J164</f>
        <v>5N5_2_5</v>
      </c>
      <c r="F164" s="3">
        <v>5</v>
      </c>
      <c r="G164" s="3" t="s">
        <v>52</v>
      </c>
      <c r="H164" s="3">
        <v>5</v>
      </c>
      <c r="I164" s="3">
        <v>2</v>
      </c>
      <c r="J164" s="3">
        <f>COUNTIFS($F$5:F164,F164,$I$5:I164,I164)</f>
        <v>5</v>
      </c>
      <c r="T164" s="18">
        <v>1005503</v>
      </c>
    </row>
    <row r="165" ht="15" spans="1:20">
      <c r="A165" s="34"/>
      <c r="B165" s="17">
        <f t="shared" si="2"/>
        <v>70055206</v>
      </c>
      <c r="C165" s="37" t="s">
        <v>214</v>
      </c>
      <c r="E165" s="3" t="str">
        <f>F165&amp;(VLOOKUP(G165,编号表!$E$1:$G$8,2,0))&amp;H165&amp;"_"&amp;I165&amp;"_"&amp;J165</f>
        <v>5N5_2_6</v>
      </c>
      <c r="F165" s="3">
        <v>5</v>
      </c>
      <c r="G165" s="3" t="s">
        <v>52</v>
      </c>
      <c r="H165" s="3">
        <v>5</v>
      </c>
      <c r="I165" s="3">
        <v>2</v>
      </c>
      <c r="J165" s="3">
        <f>COUNTIFS($F$5:F165,F165,$I$5:I165,I165)</f>
        <v>6</v>
      </c>
      <c r="T165" s="18">
        <v>1005604</v>
      </c>
    </row>
    <row r="166" ht="14.4" customHeight="1" spans="1:20">
      <c r="A166" s="34"/>
      <c r="B166" s="17">
        <f t="shared" si="2"/>
        <v>70055301</v>
      </c>
      <c r="C166" s="37" t="s">
        <v>215</v>
      </c>
      <c r="E166" s="3" t="str">
        <f>F166&amp;(VLOOKUP(G166,编号表!$E$1:$G$8,2,0))&amp;H166&amp;"_"&amp;I166&amp;"_"&amp;J166</f>
        <v>5N5_3_1</v>
      </c>
      <c r="F166" s="3">
        <v>5</v>
      </c>
      <c r="G166" s="3" t="s">
        <v>52</v>
      </c>
      <c r="H166" s="3">
        <v>5</v>
      </c>
      <c r="I166" s="3">
        <v>3</v>
      </c>
      <c r="J166" s="3">
        <f>COUNTIFS($F$5:F166,F166,$I$5:I166,I166)</f>
        <v>1</v>
      </c>
      <c r="T166" s="38">
        <v>1005303</v>
      </c>
    </row>
    <row r="167" ht="15" spans="1:20">
      <c r="A167" s="34"/>
      <c r="B167" s="17">
        <f t="shared" si="2"/>
        <v>70055302</v>
      </c>
      <c r="C167" s="37" t="s">
        <v>216</v>
      </c>
      <c r="E167" s="3" t="str">
        <f>F167&amp;(VLOOKUP(G167,编号表!$E$1:$G$8,2,0))&amp;H167&amp;"_"&amp;I167&amp;"_"&amp;J167</f>
        <v>5N5_3_2</v>
      </c>
      <c r="F167" s="3">
        <v>5</v>
      </c>
      <c r="G167" s="3" t="s">
        <v>52</v>
      </c>
      <c r="H167" s="3">
        <v>5</v>
      </c>
      <c r="I167" s="3">
        <v>3</v>
      </c>
      <c r="J167" s="3">
        <f>COUNTIFS($F$5:F167,F167,$I$5:I167,I167)</f>
        <v>2</v>
      </c>
      <c r="S167" s="17" t="s">
        <v>178</v>
      </c>
      <c r="T167" s="18">
        <v>1005103</v>
      </c>
    </row>
    <row r="168" ht="15" spans="1:20">
      <c r="A168" s="34"/>
      <c r="B168" s="17">
        <f t="shared" si="2"/>
        <v>70055303</v>
      </c>
      <c r="C168" s="37" t="s">
        <v>217</v>
      </c>
      <c r="E168" s="3" t="str">
        <f>F168&amp;(VLOOKUP(G168,编号表!$E$1:$G$8,2,0))&amp;H168&amp;"_"&amp;I168&amp;"_"&amp;J168</f>
        <v>5N5_3_3</v>
      </c>
      <c r="F168" s="3">
        <v>5</v>
      </c>
      <c r="G168" s="3" t="s">
        <v>52</v>
      </c>
      <c r="H168" s="3">
        <v>5</v>
      </c>
      <c r="I168" s="3">
        <v>3</v>
      </c>
      <c r="J168" s="3">
        <f>COUNTIFS($F$5:F168,F168,$I$5:I168,I168)</f>
        <v>3</v>
      </c>
      <c r="T168" s="18">
        <v>1005303</v>
      </c>
    </row>
    <row r="169" ht="15" spans="1:20">
      <c r="A169" s="34"/>
      <c r="B169" s="17">
        <f t="shared" si="2"/>
        <v>70055304</v>
      </c>
      <c r="C169" s="37" t="s">
        <v>218</v>
      </c>
      <c r="E169" s="3" t="str">
        <f>F169&amp;(VLOOKUP(G169,编号表!$E$1:$G$8,2,0))&amp;H169&amp;"_"&amp;I169&amp;"_"&amp;J169</f>
        <v>5N5_3_4</v>
      </c>
      <c r="F169" s="3">
        <v>5</v>
      </c>
      <c r="G169" s="3" t="s">
        <v>52</v>
      </c>
      <c r="H169" s="3">
        <v>5</v>
      </c>
      <c r="I169" s="3">
        <v>3</v>
      </c>
      <c r="J169" s="3">
        <f>COUNTIFS($F$5:F169,F169,$I$5:I169,I169)</f>
        <v>4</v>
      </c>
      <c r="T169" s="18">
        <v>1005403</v>
      </c>
    </row>
    <row r="170" ht="15" spans="1:20">
      <c r="A170" s="34"/>
      <c r="B170" s="17">
        <f t="shared" si="2"/>
        <v>70055305</v>
      </c>
      <c r="C170" s="37" t="s">
        <v>219</v>
      </c>
      <c r="E170" s="3" t="str">
        <f>F170&amp;(VLOOKUP(G170,编号表!$E$1:$G$8,2,0))&amp;H170&amp;"_"&amp;I170&amp;"_"&amp;J170</f>
        <v>5N5_3_5</v>
      </c>
      <c r="F170" s="3">
        <v>5</v>
      </c>
      <c r="G170" s="3" t="s">
        <v>52</v>
      </c>
      <c r="H170" s="3">
        <v>5</v>
      </c>
      <c r="I170" s="3">
        <v>3</v>
      </c>
      <c r="J170" s="3">
        <f>COUNTIFS($F$5:F170,F170,$I$5:I170,I170)</f>
        <v>5</v>
      </c>
      <c r="S170" s="17" t="s">
        <v>178</v>
      </c>
      <c r="T170" s="18">
        <v>1005103</v>
      </c>
    </row>
    <row r="171" ht="15" spans="1:20">
      <c r="A171" s="34"/>
      <c r="B171" s="17">
        <f t="shared" si="2"/>
        <v>70055306</v>
      </c>
      <c r="C171" s="37" t="s">
        <v>220</v>
      </c>
      <c r="E171" s="3" t="str">
        <f>F171&amp;(VLOOKUP(G171,编号表!$E$1:$G$8,2,0))&amp;H171&amp;"_"&amp;I171&amp;"_"&amp;J171</f>
        <v>5N5_3_6</v>
      </c>
      <c r="F171" s="3">
        <v>5</v>
      </c>
      <c r="G171" s="3" t="s">
        <v>52</v>
      </c>
      <c r="H171" s="3">
        <v>5</v>
      </c>
      <c r="I171" s="3">
        <v>3</v>
      </c>
      <c r="J171" s="3">
        <f>COUNTIFS($F$5:F171,F171,$I$5:I171,I171)</f>
        <v>6</v>
      </c>
      <c r="T171" s="18">
        <v>1005503</v>
      </c>
    </row>
    <row r="172" ht="15" spans="1:20">
      <c r="A172" s="34"/>
      <c r="B172" s="17">
        <f t="shared" si="2"/>
        <v>70055307</v>
      </c>
      <c r="C172" s="37" t="s">
        <v>221</v>
      </c>
      <c r="E172" s="3" t="str">
        <f>F172&amp;(VLOOKUP(G172,编号表!$E$1:$G$8,2,0))&amp;H172&amp;"_"&amp;I172&amp;"_"&amp;J172</f>
        <v>5N5_3_7</v>
      </c>
      <c r="F172" s="3">
        <v>5</v>
      </c>
      <c r="G172" s="3" t="s">
        <v>52</v>
      </c>
      <c r="H172" s="3">
        <v>5</v>
      </c>
      <c r="I172" s="3">
        <v>3</v>
      </c>
      <c r="J172" s="3">
        <f>COUNTIFS($F$5:F172,F172,$I$5:I172,I172)</f>
        <v>7</v>
      </c>
      <c r="S172" s="17" t="s">
        <v>178</v>
      </c>
      <c r="T172" s="18">
        <v>1005103</v>
      </c>
    </row>
    <row r="173" ht="15" spans="1:20">
      <c r="A173" s="34"/>
      <c r="B173" s="17">
        <f t="shared" si="2"/>
        <v>70055308</v>
      </c>
      <c r="C173" s="37" t="s">
        <v>222</v>
      </c>
      <c r="E173" s="3" t="str">
        <f>F173&amp;(VLOOKUP(G173,编号表!$E$1:$G$8,2,0))&amp;H173&amp;"_"&amp;I173&amp;"_"&amp;J173</f>
        <v>5N5_3_8</v>
      </c>
      <c r="F173" s="3">
        <v>5</v>
      </c>
      <c r="G173" s="3" t="s">
        <v>52</v>
      </c>
      <c r="H173" s="3">
        <v>5</v>
      </c>
      <c r="I173" s="3">
        <v>3</v>
      </c>
      <c r="J173" s="3">
        <f>COUNTIFS($F$5:F173,F173,$I$5:I173,I173)</f>
        <v>8</v>
      </c>
      <c r="T173" s="18">
        <v>1005303</v>
      </c>
    </row>
    <row r="174" ht="15" spans="1:20">
      <c r="A174" s="34"/>
      <c r="B174" s="17">
        <f t="shared" si="2"/>
        <v>70055309</v>
      </c>
      <c r="C174" s="37" t="s">
        <v>223</v>
      </c>
      <c r="E174" s="3" t="str">
        <f>F174&amp;(VLOOKUP(G174,编号表!$E$1:$G$8,2,0))&amp;H174&amp;"_"&amp;I174&amp;"_"&amp;J174</f>
        <v>5N5_3_9</v>
      </c>
      <c r="F174" s="3">
        <v>5</v>
      </c>
      <c r="G174" s="3" t="s">
        <v>52</v>
      </c>
      <c r="H174" s="3">
        <v>5</v>
      </c>
      <c r="I174" s="3">
        <v>3</v>
      </c>
      <c r="J174" s="3">
        <f>COUNTIFS($F$5:F174,F174,$I$5:I174,I174)</f>
        <v>9</v>
      </c>
      <c r="T174" s="18">
        <v>1005403</v>
      </c>
    </row>
    <row r="175" ht="15" spans="1:20">
      <c r="A175" s="34"/>
      <c r="B175" s="17">
        <f t="shared" si="2"/>
        <v>70055310</v>
      </c>
      <c r="C175" s="37" t="s">
        <v>224</v>
      </c>
      <c r="E175" s="3" t="str">
        <f>F175&amp;(VLOOKUP(G175,编号表!$E$1:$G$8,2,0))&amp;H175&amp;"_"&amp;I175&amp;"_"&amp;J175</f>
        <v>5N5_3_10</v>
      </c>
      <c r="F175" s="3">
        <v>5</v>
      </c>
      <c r="G175" s="3" t="s">
        <v>52</v>
      </c>
      <c r="H175" s="3">
        <v>5</v>
      </c>
      <c r="I175" s="3">
        <v>3</v>
      </c>
      <c r="J175" s="3">
        <f>COUNTIFS($F$5:F175,F175,$I$5:I175,I175)</f>
        <v>10</v>
      </c>
      <c r="T175" s="18">
        <v>1005503</v>
      </c>
    </row>
    <row r="176" ht="15" spans="1:20">
      <c r="A176" s="34"/>
      <c r="B176" s="17">
        <f t="shared" si="2"/>
        <v>70055401</v>
      </c>
      <c r="C176" s="37" t="s">
        <v>225</v>
      </c>
      <c r="E176" s="3" t="str">
        <f>F176&amp;(VLOOKUP(G176,编号表!$E$1:$G$8,2,0))&amp;H176&amp;"_"&amp;I176&amp;"_"&amp;J176</f>
        <v>5N5_4_1</v>
      </c>
      <c r="F176" s="3">
        <v>5</v>
      </c>
      <c r="G176" s="3" t="s">
        <v>52</v>
      </c>
      <c r="H176" s="3">
        <v>5</v>
      </c>
      <c r="I176" s="3">
        <v>4</v>
      </c>
      <c r="J176" s="3">
        <f>COUNTIFS($F$5:F176,F176,$I$5:I176,I176)</f>
        <v>1</v>
      </c>
      <c r="T176" s="18">
        <v>1005604</v>
      </c>
    </row>
    <row r="177" ht="14.4" customHeight="1" spans="1:20">
      <c r="A177" s="34"/>
      <c r="B177" s="17">
        <f t="shared" si="2"/>
        <v>70055402</v>
      </c>
      <c r="C177" s="37" t="s">
        <v>226</v>
      </c>
      <c r="E177" s="3" t="str">
        <f>F177&amp;(VLOOKUP(G177,编号表!$E$1:$G$8,2,0))&amp;H177&amp;"_"&amp;I177&amp;"_"&amp;J177</f>
        <v>5N5_4_2</v>
      </c>
      <c r="F177" s="3">
        <v>5</v>
      </c>
      <c r="G177" s="3" t="s">
        <v>52</v>
      </c>
      <c r="H177" s="3">
        <v>5</v>
      </c>
      <c r="I177" s="3">
        <v>4</v>
      </c>
      <c r="J177" s="3">
        <f>COUNTIFS($F$5:F177,F177,$I$5:I177,I177)</f>
        <v>2</v>
      </c>
      <c r="T177" s="38">
        <v>1005604</v>
      </c>
    </row>
    <row r="178" ht="15" spans="1:20">
      <c r="A178" s="34"/>
      <c r="B178" s="17">
        <f t="shared" si="2"/>
        <v>70055403</v>
      </c>
      <c r="C178" s="37" t="s">
        <v>227</v>
      </c>
      <c r="E178" s="3" t="str">
        <f>F178&amp;(VLOOKUP(G178,编号表!$E$1:$G$8,2,0))&amp;H178&amp;"_"&amp;I178&amp;"_"&amp;J178</f>
        <v>5N5_4_3</v>
      </c>
      <c r="F178" s="3">
        <v>5</v>
      </c>
      <c r="G178" s="3" t="s">
        <v>52</v>
      </c>
      <c r="H178" s="3">
        <v>5</v>
      </c>
      <c r="I178" s="3">
        <v>4</v>
      </c>
      <c r="J178" s="3">
        <f>COUNTIFS($F$5:F178,F178,$I$5:I178,I178)</f>
        <v>3</v>
      </c>
      <c r="T178" s="18">
        <v>1005303</v>
      </c>
    </row>
    <row r="179" ht="15" spans="1:20">
      <c r="A179" s="34"/>
      <c r="B179" s="17">
        <f t="shared" si="2"/>
        <v>70055404</v>
      </c>
      <c r="C179" s="37" t="s">
        <v>228</v>
      </c>
      <c r="E179" s="3" t="str">
        <f>F179&amp;(VLOOKUP(G179,编号表!$E$1:$G$8,2,0))&amp;H179&amp;"_"&amp;I179&amp;"_"&amp;J179</f>
        <v>5N5_4_4</v>
      </c>
      <c r="F179" s="3">
        <v>5</v>
      </c>
      <c r="G179" s="3" t="s">
        <v>52</v>
      </c>
      <c r="H179" s="3">
        <v>5</v>
      </c>
      <c r="I179" s="3">
        <v>4</v>
      </c>
      <c r="J179" s="3">
        <f>COUNTIFS($F$5:F179,F179,$I$5:I179,I179)</f>
        <v>4</v>
      </c>
      <c r="T179" s="18">
        <v>1005403</v>
      </c>
    </row>
    <row r="180" ht="15" spans="1:20">
      <c r="A180" s="34"/>
      <c r="B180" s="17">
        <f t="shared" si="2"/>
        <v>70055405</v>
      </c>
      <c r="C180" s="37" t="s">
        <v>229</v>
      </c>
      <c r="E180" s="3" t="str">
        <f>F180&amp;(VLOOKUP(G180,编号表!$E$1:$G$8,2,0))&amp;H180&amp;"_"&amp;I180&amp;"_"&amp;J180</f>
        <v>5N5_4_5</v>
      </c>
      <c r="F180" s="3">
        <v>5</v>
      </c>
      <c r="G180" s="3" t="s">
        <v>52</v>
      </c>
      <c r="H180" s="3">
        <v>5</v>
      </c>
      <c r="I180" s="3">
        <v>4</v>
      </c>
      <c r="J180" s="3">
        <f>COUNTIFS($F$5:F180,F180,$I$5:I180,I180)</f>
        <v>5</v>
      </c>
      <c r="T180" s="18">
        <v>1005503</v>
      </c>
    </row>
    <row r="181" ht="15" spans="1:20">
      <c r="A181" s="34"/>
      <c r="B181" s="17">
        <f t="shared" si="2"/>
        <v>70055501</v>
      </c>
      <c r="C181" s="37" t="s">
        <v>230</v>
      </c>
      <c r="E181" s="3" t="str">
        <f>F181&amp;(VLOOKUP(G181,编号表!$E$1:$G$8,2,0))&amp;H181&amp;"_"&amp;I181&amp;"_"&amp;J181</f>
        <v>5N5_5_1</v>
      </c>
      <c r="F181" s="3">
        <v>5</v>
      </c>
      <c r="G181" s="3" t="s">
        <v>52</v>
      </c>
      <c r="H181" s="3">
        <v>5</v>
      </c>
      <c r="I181" s="3">
        <v>5</v>
      </c>
      <c r="J181" s="3">
        <f>COUNTIFS($F$5:F181,F181,$I$5:I181,I181)</f>
        <v>1</v>
      </c>
      <c r="T181" s="18">
        <v>1005604</v>
      </c>
    </row>
    <row r="182" ht="14.4" customHeight="1" spans="1:20">
      <c r="A182" s="34"/>
      <c r="B182" s="17">
        <f t="shared" si="2"/>
        <v>70055502</v>
      </c>
      <c r="C182" s="37" t="s">
        <v>231</v>
      </c>
      <c r="E182" s="3" t="str">
        <f>F182&amp;(VLOOKUP(G182,编号表!$E$1:$G$8,2,0))&amp;H182&amp;"_"&amp;I182&amp;"_"&amp;J182</f>
        <v>5N5_5_2</v>
      </c>
      <c r="F182" s="3">
        <v>5</v>
      </c>
      <c r="G182" s="3" t="s">
        <v>52</v>
      </c>
      <c r="H182" s="3">
        <v>5</v>
      </c>
      <c r="I182" s="3">
        <v>5</v>
      </c>
      <c r="J182" s="3">
        <f>COUNTIFS($F$5:F182,F182,$I$5:I182,I182)</f>
        <v>2</v>
      </c>
      <c r="T182" s="38">
        <v>1005403</v>
      </c>
    </row>
    <row r="183" ht="15" spans="1:20">
      <c r="A183" s="34"/>
      <c r="B183" s="17">
        <f t="shared" si="2"/>
        <v>70055503</v>
      </c>
      <c r="C183" s="37" t="s">
        <v>232</v>
      </c>
      <c r="E183" s="3" t="str">
        <f>F183&amp;(VLOOKUP(G183,编号表!$E$1:$G$8,2,0))&amp;H183&amp;"_"&amp;I183&amp;"_"&amp;J183</f>
        <v>5N5_5_3</v>
      </c>
      <c r="F183" s="3">
        <v>5</v>
      </c>
      <c r="G183" s="3" t="s">
        <v>52</v>
      </c>
      <c r="H183" s="3">
        <v>5</v>
      </c>
      <c r="I183" s="3">
        <v>5</v>
      </c>
      <c r="J183" s="3">
        <f>COUNTIFS($F$5:F183,F183,$I$5:I183,I183)</f>
        <v>3</v>
      </c>
      <c r="T183" s="18">
        <v>1005303</v>
      </c>
    </row>
    <row r="184" ht="15" spans="1:20">
      <c r="A184" s="34"/>
      <c r="B184" s="17">
        <f t="shared" si="2"/>
        <v>70055001</v>
      </c>
      <c r="C184" s="39" t="s">
        <v>233</v>
      </c>
      <c r="E184" s="3" t="str">
        <f>F184&amp;(VLOOKUP(G184,编号表!$E$1:$G$8,2,0))&amp;H184&amp;"_"&amp;I184&amp;"_"&amp;J184</f>
        <v>5J5_0_1</v>
      </c>
      <c r="F184" s="3">
        <v>5</v>
      </c>
      <c r="G184" s="3" t="s">
        <v>167</v>
      </c>
      <c r="H184" s="3">
        <v>5</v>
      </c>
      <c r="I184" s="3">
        <v>0</v>
      </c>
      <c r="J184" s="3">
        <f>COUNTIFS($F$5:F184,F184,$I$5:I184,I184)</f>
        <v>1</v>
      </c>
      <c r="K184" s="3">
        <v>1</v>
      </c>
    </row>
    <row r="185" ht="15" spans="1:20">
      <c r="A185" s="34"/>
      <c r="B185" s="17">
        <f t="shared" si="2"/>
        <v>70051001</v>
      </c>
      <c r="C185" s="36" t="s">
        <v>234</v>
      </c>
      <c r="E185" s="3" t="str">
        <f>F185&amp;(VLOOKUP(G185,编号表!$E$1:$G$8,2,0))&amp;H185&amp;"_"&amp;I185&amp;"_"&amp;J185</f>
        <v>5T1_0_1</v>
      </c>
      <c r="F185" s="3">
        <v>5</v>
      </c>
      <c r="G185" s="3" t="s">
        <v>169</v>
      </c>
      <c r="H185" s="3">
        <v>1</v>
      </c>
      <c r="I185" s="3">
        <v>0</v>
      </c>
      <c r="J185" s="3">
        <v>1</v>
      </c>
      <c r="L185" s="3">
        <v>1</v>
      </c>
      <c r="R185" s="3">
        <v>70041001</v>
      </c>
    </row>
    <row r="186" ht="15" spans="1:20">
      <c r="A186" s="34"/>
      <c r="B186" s="17">
        <f t="shared" si="2"/>
        <v>70051002</v>
      </c>
      <c r="C186" s="36" t="s">
        <v>234</v>
      </c>
      <c r="E186" s="3" t="str">
        <f>F186&amp;(VLOOKUP(G186,编号表!$E$1:$G$8,2,0))&amp;H186&amp;"_"&amp;I186&amp;"_"&amp;J186</f>
        <v>5T1_0_2</v>
      </c>
      <c r="F186" s="3">
        <v>5</v>
      </c>
      <c r="G186" s="3" t="s">
        <v>169</v>
      </c>
      <c r="H186" s="3">
        <v>1</v>
      </c>
      <c r="I186" s="3">
        <v>0</v>
      </c>
      <c r="J186" s="3">
        <v>2</v>
      </c>
      <c r="L186" s="3">
        <v>1</v>
      </c>
      <c r="R186" s="3">
        <v>70061002</v>
      </c>
    </row>
    <row r="187" ht="15" spans="1:20">
      <c r="A187" s="34"/>
      <c r="B187" s="17">
        <f t="shared" si="2"/>
        <v>70052001</v>
      </c>
      <c r="C187" s="36" t="s">
        <v>235</v>
      </c>
      <c r="E187" s="3" t="str">
        <f>F187&amp;(VLOOKUP(G187,编号表!$E$1:$G$8,2,0))&amp;H187&amp;"_"&amp;I187&amp;"_"&amp;J187</f>
        <v>5D2_0_1</v>
      </c>
      <c r="F187" s="3">
        <v>5</v>
      </c>
      <c r="G187" s="3" t="s">
        <v>171</v>
      </c>
      <c r="H187" s="3">
        <v>2</v>
      </c>
      <c r="I187" s="3">
        <v>0</v>
      </c>
      <c r="J187" s="3">
        <v>1</v>
      </c>
      <c r="M187" s="3">
        <v>1</v>
      </c>
    </row>
    <row r="188" ht="15" spans="1:20">
      <c r="A188" s="34"/>
      <c r="B188" s="17">
        <f t="shared" si="2"/>
        <v>70065101</v>
      </c>
      <c r="C188" s="37" t="s">
        <v>236</v>
      </c>
      <c r="E188" s="3" t="str">
        <f>F188&amp;(VLOOKUP(G188,编号表!$E$1:$G$8,2,0))&amp;H188&amp;"_"&amp;I188&amp;"_"&amp;J188</f>
        <v>6N5_1_1</v>
      </c>
      <c r="F188" s="3">
        <v>6</v>
      </c>
      <c r="G188" s="3" t="s">
        <v>52</v>
      </c>
      <c r="H188" s="3">
        <v>5</v>
      </c>
      <c r="I188" s="3">
        <v>1</v>
      </c>
      <c r="J188" s="3">
        <v>1</v>
      </c>
      <c r="S188" s="17" t="s">
        <v>178</v>
      </c>
      <c r="T188" s="18">
        <v>1006102</v>
      </c>
    </row>
    <row r="189" ht="15" spans="1:20">
      <c r="A189" s="34"/>
      <c r="B189" s="17">
        <f t="shared" si="2"/>
        <v>70065102</v>
      </c>
      <c r="C189" s="37" t="s">
        <v>237</v>
      </c>
      <c r="E189" s="3" t="str">
        <f>F189&amp;(VLOOKUP(G189,编号表!$E$1:$G$8,2,0))&amp;H189&amp;"_"&amp;I189&amp;"_"&amp;J189</f>
        <v>6N5_1_2</v>
      </c>
      <c r="F189" s="3">
        <v>6</v>
      </c>
      <c r="G189" s="3" t="s">
        <v>52</v>
      </c>
      <c r="H189" s="3">
        <v>5</v>
      </c>
      <c r="I189" s="3">
        <v>1</v>
      </c>
      <c r="J189" s="3">
        <v>2</v>
      </c>
      <c r="T189" s="18">
        <v>1006303</v>
      </c>
    </row>
    <row r="190" ht="15" spans="1:20">
      <c r="A190" s="34"/>
      <c r="B190" s="17">
        <f t="shared" si="2"/>
        <v>70065103</v>
      </c>
      <c r="C190" s="37" t="s">
        <v>238</v>
      </c>
      <c r="E190" s="3" t="str">
        <f>F190&amp;(VLOOKUP(G190,编号表!$E$1:$G$8,2,0))&amp;H190&amp;"_"&amp;I190&amp;"_"&amp;J190</f>
        <v>6N5_1_3</v>
      </c>
      <c r="F190" s="3">
        <v>6</v>
      </c>
      <c r="G190" s="3" t="s">
        <v>52</v>
      </c>
      <c r="H190" s="3">
        <v>5</v>
      </c>
      <c r="I190" s="3">
        <v>1</v>
      </c>
      <c r="J190" s="3">
        <v>3</v>
      </c>
      <c r="T190" s="18">
        <v>1006403</v>
      </c>
    </row>
    <row r="191" ht="15" spans="1:20">
      <c r="A191" s="34"/>
      <c r="B191" s="17">
        <f t="shared" si="2"/>
        <v>70065104</v>
      </c>
      <c r="C191" s="37" t="s">
        <v>239</v>
      </c>
      <c r="E191" s="3" t="str">
        <f>F191&amp;(VLOOKUP(G191,编号表!$E$1:$G$8,2,0))&amp;H191&amp;"_"&amp;I191&amp;"_"&amp;J191</f>
        <v>6N5_1_4</v>
      </c>
      <c r="F191" s="3">
        <v>6</v>
      </c>
      <c r="G191" s="3" t="s">
        <v>52</v>
      </c>
      <c r="H191" s="3">
        <v>5</v>
      </c>
      <c r="I191" s="3">
        <v>1</v>
      </c>
      <c r="J191" s="3">
        <v>4</v>
      </c>
      <c r="T191" s="18">
        <v>1006503</v>
      </c>
    </row>
    <row r="192" ht="15" spans="1:20">
      <c r="A192" s="34"/>
      <c r="B192" s="17">
        <f t="shared" si="2"/>
        <v>70065105</v>
      </c>
      <c r="C192" s="37" t="s">
        <v>240</v>
      </c>
      <c r="E192" s="3" t="str">
        <f>F192&amp;(VLOOKUP(G192,编号表!$E$1:$G$8,2,0))&amp;H192&amp;"_"&amp;I192&amp;"_"&amp;J192</f>
        <v>6N5_1_5</v>
      </c>
      <c r="F192" s="3">
        <v>6</v>
      </c>
      <c r="G192" s="3" t="s">
        <v>52</v>
      </c>
      <c r="H192" s="3">
        <v>5</v>
      </c>
      <c r="I192" s="3">
        <v>1</v>
      </c>
      <c r="J192" s="3">
        <v>5</v>
      </c>
      <c r="T192" s="18">
        <v>1006602</v>
      </c>
    </row>
    <row r="193" ht="15" spans="1:20">
      <c r="A193" s="34"/>
      <c r="B193" s="17">
        <f t="shared" si="2"/>
        <v>70065201</v>
      </c>
      <c r="C193" s="37" t="s">
        <v>241</v>
      </c>
      <c r="E193" s="3" t="str">
        <f>F193&amp;(VLOOKUP(G193,编号表!$E$1:$G$8,2,0))&amp;H193&amp;"_"&amp;I193&amp;"_"&amp;J193</f>
        <v>6N5_2_1</v>
      </c>
      <c r="F193" s="3">
        <v>6</v>
      </c>
      <c r="G193" s="3" t="s">
        <v>52</v>
      </c>
      <c r="H193" s="3">
        <v>5</v>
      </c>
      <c r="I193" s="3">
        <v>2</v>
      </c>
      <c r="J193" s="3">
        <v>1</v>
      </c>
      <c r="T193" s="18">
        <v>1006303</v>
      </c>
    </row>
    <row r="194" ht="15" spans="1:20">
      <c r="A194" s="34"/>
      <c r="B194" s="17">
        <f t="shared" si="2"/>
        <v>70065202</v>
      </c>
      <c r="C194" s="37" t="s">
        <v>242</v>
      </c>
      <c r="E194" s="3" t="str">
        <f>F194&amp;(VLOOKUP(G194,编号表!$E$1:$G$8,2,0))&amp;H194&amp;"_"&amp;I194&amp;"_"&amp;J194</f>
        <v>6N5_2_2</v>
      </c>
      <c r="F194" s="3">
        <v>6</v>
      </c>
      <c r="G194" s="3" t="s">
        <v>52</v>
      </c>
      <c r="H194" s="3">
        <v>5</v>
      </c>
      <c r="I194" s="3">
        <v>2</v>
      </c>
      <c r="J194" s="3">
        <v>2</v>
      </c>
      <c r="T194" s="18">
        <v>1006403</v>
      </c>
    </row>
    <row r="195" ht="15" spans="1:20">
      <c r="A195" s="34"/>
      <c r="B195" s="17">
        <f t="shared" si="2"/>
        <v>70065203</v>
      </c>
      <c r="C195" s="37" t="s">
        <v>243</v>
      </c>
      <c r="E195" s="3" t="str">
        <f>F195&amp;(VLOOKUP(G195,编号表!$E$1:$G$8,2,0))&amp;H195&amp;"_"&amp;I195&amp;"_"&amp;J195</f>
        <v>6N5_2_3</v>
      </c>
      <c r="F195" s="3">
        <v>6</v>
      </c>
      <c r="G195" s="3" t="s">
        <v>52</v>
      </c>
      <c r="H195" s="3">
        <v>5</v>
      </c>
      <c r="I195" s="3">
        <v>2</v>
      </c>
      <c r="J195" s="3">
        <v>3</v>
      </c>
      <c r="T195" s="18">
        <v>1006503</v>
      </c>
    </row>
    <row r="196" ht="15" spans="1:20">
      <c r="A196" s="34"/>
      <c r="B196" s="17">
        <f t="shared" si="2"/>
        <v>70065204</v>
      </c>
      <c r="C196" s="37" t="s">
        <v>244</v>
      </c>
      <c r="E196" s="3" t="str">
        <f>F196&amp;(VLOOKUP(G196,编号表!$E$1:$G$8,2,0))&amp;H196&amp;"_"&amp;I196&amp;"_"&amp;J196</f>
        <v>6N5_2_4</v>
      </c>
      <c r="F196" s="3">
        <v>6</v>
      </c>
      <c r="G196" s="3" t="s">
        <v>52</v>
      </c>
      <c r="H196" s="3">
        <v>5</v>
      </c>
      <c r="I196" s="3">
        <v>2</v>
      </c>
      <c r="J196" s="3">
        <v>4</v>
      </c>
      <c r="T196" s="18">
        <v>1006602</v>
      </c>
    </row>
    <row r="197" ht="15" spans="1:20">
      <c r="A197" s="34"/>
      <c r="B197" s="17">
        <f t="shared" ref="B197:B260" si="3">70000000+F197*10000+H197*1000+I197*100+J197</f>
        <v>70065205</v>
      </c>
      <c r="C197" s="37" t="s">
        <v>245</v>
      </c>
      <c r="E197" s="3" t="str">
        <f>F197&amp;(VLOOKUP(G197,编号表!$E$1:$G$8,2,0))&amp;H197&amp;"_"&amp;I197&amp;"_"&amp;J197</f>
        <v>6N5_2_5</v>
      </c>
      <c r="F197" s="3">
        <v>6</v>
      </c>
      <c r="G197" s="3" t="s">
        <v>52</v>
      </c>
      <c r="H197" s="3">
        <v>5</v>
      </c>
      <c r="I197" s="3">
        <v>2</v>
      </c>
      <c r="J197" s="3">
        <v>5</v>
      </c>
      <c r="T197" s="18">
        <v>1006303</v>
      </c>
    </row>
    <row r="198" ht="15" spans="1:20">
      <c r="A198" s="34"/>
      <c r="B198" s="17">
        <f t="shared" si="3"/>
        <v>70065206</v>
      </c>
      <c r="C198" s="37" t="s">
        <v>246</v>
      </c>
      <c r="E198" s="3" t="str">
        <f>F198&amp;(VLOOKUP(G198,编号表!$E$1:$G$8,2,0))&amp;H198&amp;"_"&amp;I198&amp;"_"&amp;J198</f>
        <v>6N5_2_6</v>
      </c>
      <c r="F198" s="3">
        <v>6</v>
      </c>
      <c r="G198" s="3" t="s">
        <v>52</v>
      </c>
      <c r="H198" s="3">
        <v>5</v>
      </c>
      <c r="I198" s="3">
        <v>2</v>
      </c>
      <c r="J198" s="3">
        <v>6</v>
      </c>
      <c r="T198" s="18">
        <v>1006403</v>
      </c>
    </row>
    <row r="199" ht="15" spans="1:20">
      <c r="A199" s="34"/>
      <c r="B199" s="17">
        <f t="shared" si="3"/>
        <v>70065207</v>
      </c>
      <c r="C199" s="37" t="s">
        <v>247</v>
      </c>
      <c r="E199" s="3" t="str">
        <f>F199&amp;(VLOOKUP(G199,编号表!$E$1:$G$8,2,0))&amp;H199&amp;"_"&amp;I199&amp;"_"&amp;J199</f>
        <v>6N5_2_7</v>
      </c>
      <c r="F199" s="3">
        <v>6</v>
      </c>
      <c r="G199" s="3" t="s">
        <v>52</v>
      </c>
      <c r="H199" s="3">
        <v>5</v>
      </c>
      <c r="I199" s="3">
        <v>2</v>
      </c>
      <c r="J199" s="3">
        <v>7</v>
      </c>
      <c r="T199" s="18">
        <v>1006503</v>
      </c>
    </row>
    <row r="200" ht="15" spans="1:20">
      <c r="A200" s="34"/>
      <c r="B200" s="17">
        <f t="shared" si="3"/>
        <v>70065208</v>
      </c>
      <c r="C200" s="37" t="s">
        <v>248</v>
      </c>
      <c r="E200" s="3" t="str">
        <f>F200&amp;(VLOOKUP(G200,编号表!$E$1:$G$8,2,0))&amp;H200&amp;"_"&amp;I200&amp;"_"&amp;J200</f>
        <v>6N5_2_8</v>
      </c>
      <c r="F200" s="3">
        <v>6</v>
      </c>
      <c r="G200" s="3" t="s">
        <v>52</v>
      </c>
      <c r="H200" s="3">
        <v>5</v>
      </c>
      <c r="I200" s="3">
        <v>2</v>
      </c>
      <c r="J200" s="3">
        <v>8</v>
      </c>
      <c r="S200" s="17" t="s">
        <v>178</v>
      </c>
      <c r="T200" s="18">
        <v>1006102</v>
      </c>
    </row>
    <row r="201" ht="15" spans="1:20">
      <c r="A201" s="34"/>
      <c r="B201" s="17">
        <f t="shared" si="3"/>
        <v>70065209</v>
      </c>
      <c r="C201" s="37" t="s">
        <v>249</v>
      </c>
      <c r="E201" s="3" t="str">
        <f>F201&amp;(VLOOKUP(G201,编号表!$E$1:$G$8,2,0))&amp;H201&amp;"_"&amp;I201&amp;"_"&amp;J201</f>
        <v>6N5_2_9</v>
      </c>
      <c r="F201" s="3">
        <v>6</v>
      </c>
      <c r="G201" s="3" t="s">
        <v>52</v>
      </c>
      <c r="H201" s="3">
        <v>5</v>
      </c>
      <c r="I201" s="3">
        <v>2</v>
      </c>
      <c r="J201" s="3">
        <v>9</v>
      </c>
      <c r="S201" s="17" t="s">
        <v>250</v>
      </c>
      <c r="T201" s="18">
        <v>1006001</v>
      </c>
    </row>
    <row r="202" ht="15" spans="1:20">
      <c r="A202" s="34"/>
      <c r="B202" s="17">
        <f t="shared" si="3"/>
        <v>70065210</v>
      </c>
      <c r="C202" s="37" t="s">
        <v>251</v>
      </c>
      <c r="E202" s="3" t="str">
        <f>F202&amp;(VLOOKUP(G202,编号表!$E$1:$G$8,2,0))&amp;H202&amp;"_"&amp;I202&amp;"_"&amp;J202</f>
        <v>6N5_2_10</v>
      </c>
      <c r="F202" s="3">
        <v>6</v>
      </c>
      <c r="G202" s="3" t="s">
        <v>52</v>
      </c>
      <c r="H202" s="3">
        <v>5</v>
      </c>
      <c r="I202" s="3">
        <v>2</v>
      </c>
      <c r="J202" s="3">
        <v>10</v>
      </c>
      <c r="T202" s="18">
        <v>1006602</v>
      </c>
    </row>
    <row r="203" ht="15" spans="1:20">
      <c r="A203" s="34"/>
      <c r="B203" s="17">
        <f t="shared" si="3"/>
        <v>70065211</v>
      </c>
      <c r="C203" s="37" t="s">
        <v>252</v>
      </c>
      <c r="E203" s="3" t="str">
        <f>F203&amp;(VLOOKUP(G203,编号表!$E$1:$G$8,2,0))&amp;H203&amp;"_"&amp;I203&amp;"_"&amp;J203</f>
        <v>6N5_2_11</v>
      </c>
      <c r="F203" s="3">
        <v>6</v>
      </c>
      <c r="G203" s="3" t="s">
        <v>52</v>
      </c>
      <c r="H203" s="3">
        <v>5</v>
      </c>
      <c r="I203" s="3">
        <v>2</v>
      </c>
      <c r="J203" s="3">
        <v>11</v>
      </c>
      <c r="S203" s="17" t="s">
        <v>178</v>
      </c>
      <c r="T203" s="18">
        <v>1006102</v>
      </c>
    </row>
    <row r="204" ht="15" spans="1:20">
      <c r="A204" s="34"/>
      <c r="B204" s="17">
        <f t="shared" si="3"/>
        <v>70065212</v>
      </c>
      <c r="C204" s="37" t="s">
        <v>253</v>
      </c>
      <c r="E204" s="3" t="str">
        <f>F204&amp;(VLOOKUP(G204,编号表!$E$1:$G$8,2,0))&amp;H204&amp;"_"&amp;I204&amp;"_"&amp;J204</f>
        <v>6N5_2_12</v>
      </c>
      <c r="F204" s="3">
        <v>6</v>
      </c>
      <c r="G204" s="3" t="s">
        <v>52</v>
      </c>
      <c r="H204" s="3">
        <v>5</v>
      </c>
      <c r="I204" s="3">
        <v>2</v>
      </c>
      <c r="J204" s="3">
        <v>12</v>
      </c>
      <c r="T204" s="18">
        <v>1006303</v>
      </c>
    </row>
    <row r="205" ht="15" spans="1:20">
      <c r="A205" s="34"/>
      <c r="B205" s="17">
        <f t="shared" si="3"/>
        <v>70065301</v>
      </c>
      <c r="C205" s="37" t="s">
        <v>254</v>
      </c>
      <c r="E205" s="3" t="str">
        <f>F205&amp;(VLOOKUP(G205,编号表!$E$1:$G$8,2,0))&amp;H205&amp;"_"&amp;I205&amp;"_"&amp;J205</f>
        <v>6N5_3_1</v>
      </c>
      <c r="F205" s="3">
        <v>6</v>
      </c>
      <c r="G205" s="3" t="s">
        <v>52</v>
      </c>
      <c r="H205" s="3">
        <v>5</v>
      </c>
      <c r="I205" s="3">
        <v>3</v>
      </c>
      <c r="J205" s="3">
        <v>1</v>
      </c>
      <c r="T205" s="18">
        <v>1006403</v>
      </c>
    </row>
    <row r="206" ht="15" spans="1:20">
      <c r="A206" s="34"/>
      <c r="B206" s="17">
        <f t="shared" si="3"/>
        <v>70065302</v>
      </c>
      <c r="C206" s="37" t="s">
        <v>255</v>
      </c>
      <c r="E206" s="3" t="str">
        <f>F206&amp;(VLOOKUP(G206,编号表!$E$1:$G$8,2,0))&amp;H206&amp;"_"&amp;I206&amp;"_"&amp;J206</f>
        <v>6N5_3_2</v>
      </c>
      <c r="F206" s="3">
        <v>6</v>
      </c>
      <c r="G206" s="3" t="s">
        <v>52</v>
      </c>
      <c r="H206" s="3">
        <v>5</v>
      </c>
      <c r="I206" s="3">
        <v>3</v>
      </c>
      <c r="J206" s="3">
        <v>2</v>
      </c>
      <c r="T206" s="18">
        <v>1006503</v>
      </c>
    </row>
    <row r="207" ht="15" spans="1:20">
      <c r="A207" s="34"/>
      <c r="B207" s="17">
        <f t="shared" si="3"/>
        <v>70065303</v>
      </c>
      <c r="C207" s="37" t="s">
        <v>256</v>
      </c>
      <c r="E207" s="3" t="str">
        <f>F207&amp;(VLOOKUP(G207,编号表!$E$1:$G$8,2,0))&amp;H207&amp;"_"&amp;I207&amp;"_"&amp;J207</f>
        <v>6N5_3_3</v>
      </c>
      <c r="F207" s="3">
        <v>6</v>
      </c>
      <c r="G207" s="3" t="s">
        <v>52</v>
      </c>
      <c r="H207" s="3">
        <v>5</v>
      </c>
      <c r="I207" s="3">
        <v>3</v>
      </c>
      <c r="J207" s="3">
        <v>3</v>
      </c>
      <c r="T207" s="18">
        <v>1006602</v>
      </c>
    </row>
    <row r="208" ht="15" spans="1:20">
      <c r="A208" s="34"/>
      <c r="B208" s="17">
        <f t="shared" si="3"/>
        <v>70065304</v>
      </c>
      <c r="C208" s="37" t="s">
        <v>257</v>
      </c>
      <c r="E208" s="3" t="str">
        <f>F208&amp;(VLOOKUP(G208,编号表!$E$1:$G$8,2,0))&amp;H208&amp;"_"&amp;I208&amp;"_"&amp;J208</f>
        <v>6N5_3_4</v>
      </c>
      <c r="F208" s="3">
        <v>6</v>
      </c>
      <c r="G208" s="3" t="s">
        <v>52</v>
      </c>
      <c r="H208" s="3">
        <v>5</v>
      </c>
      <c r="I208" s="3">
        <v>3</v>
      </c>
      <c r="J208" s="3">
        <v>4</v>
      </c>
      <c r="T208" s="18">
        <v>1006303</v>
      </c>
    </row>
    <row r="209" ht="15" spans="1:20">
      <c r="A209" s="34"/>
      <c r="B209" s="17">
        <f t="shared" si="3"/>
        <v>70065305</v>
      </c>
      <c r="C209" s="37" t="s">
        <v>258</v>
      </c>
      <c r="E209" s="3" t="str">
        <f>F209&amp;(VLOOKUP(G209,编号表!$E$1:$G$8,2,0))&amp;H209&amp;"_"&amp;I209&amp;"_"&amp;J209</f>
        <v>6N5_3_5</v>
      </c>
      <c r="F209" s="3">
        <v>6</v>
      </c>
      <c r="G209" s="3" t="s">
        <v>52</v>
      </c>
      <c r="H209" s="3">
        <v>5</v>
      </c>
      <c r="I209" s="3">
        <v>3</v>
      </c>
      <c r="J209" s="3">
        <v>5</v>
      </c>
      <c r="T209" s="18">
        <v>1006403</v>
      </c>
    </row>
    <row r="210" ht="15" spans="1:20">
      <c r="A210" s="34"/>
      <c r="B210" s="17">
        <f t="shared" si="3"/>
        <v>70065306</v>
      </c>
      <c r="C210" s="37" t="s">
        <v>259</v>
      </c>
      <c r="E210" s="3" t="str">
        <f>F210&amp;(VLOOKUP(G210,编号表!$E$1:$G$8,2,0))&amp;H210&amp;"_"&amp;I210&amp;"_"&amp;J210</f>
        <v>6N5_3_6</v>
      </c>
      <c r="F210" s="3">
        <v>6</v>
      </c>
      <c r="G210" s="3" t="s">
        <v>52</v>
      </c>
      <c r="H210" s="3">
        <v>5</v>
      </c>
      <c r="I210" s="3">
        <v>3</v>
      </c>
      <c r="J210" s="3">
        <v>6</v>
      </c>
      <c r="T210" s="18">
        <v>1006503</v>
      </c>
    </row>
    <row r="211" ht="15" spans="1:20">
      <c r="A211" s="34"/>
      <c r="B211" s="17">
        <f t="shared" si="3"/>
        <v>70065401</v>
      </c>
      <c r="C211" s="37" t="s">
        <v>260</v>
      </c>
      <c r="E211" s="3" t="str">
        <f>F211&amp;(VLOOKUP(G211,编号表!$E$1:$G$8,2,0))&amp;H211&amp;"_"&amp;I211&amp;"_"&amp;J211</f>
        <v>6N5_4_1</v>
      </c>
      <c r="F211" s="3">
        <v>6</v>
      </c>
      <c r="G211" s="3" t="s">
        <v>52</v>
      </c>
      <c r="H211" s="3">
        <v>5</v>
      </c>
      <c r="I211" s="3">
        <v>4</v>
      </c>
      <c r="J211" s="3">
        <v>1</v>
      </c>
      <c r="S211" s="17" t="s">
        <v>178</v>
      </c>
      <c r="T211" s="18">
        <v>1006102</v>
      </c>
    </row>
    <row r="212" ht="15" spans="1:20">
      <c r="A212" s="34"/>
      <c r="B212" s="17">
        <f t="shared" si="3"/>
        <v>70065402</v>
      </c>
      <c r="C212" s="37" t="s">
        <v>261</v>
      </c>
      <c r="E212" s="3" t="str">
        <f>F212&amp;(VLOOKUP(G212,编号表!$E$1:$G$8,2,0))&amp;H212&amp;"_"&amp;I212&amp;"_"&amp;J212</f>
        <v>6N5_4_2</v>
      </c>
      <c r="F212" s="3">
        <v>6</v>
      </c>
      <c r="G212" s="3" t="s">
        <v>52</v>
      </c>
      <c r="H212" s="3">
        <v>5</v>
      </c>
      <c r="I212" s="3">
        <v>4</v>
      </c>
      <c r="J212" s="3">
        <v>2</v>
      </c>
      <c r="T212" s="18">
        <v>1006303</v>
      </c>
    </row>
    <row r="213" ht="15" spans="1:20">
      <c r="A213" s="34"/>
      <c r="B213" s="17">
        <f t="shared" si="3"/>
        <v>70065403</v>
      </c>
      <c r="C213" s="37" t="s">
        <v>262</v>
      </c>
      <c r="E213" s="3" t="str">
        <f>F213&amp;(VLOOKUP(G213,编号表!$E$1:$G$8,2,0))&amp;H213&amp;"_"&amp;I213&amp;"_"&amp;J213</f>
        <v>6N5_4_3</v>
      </c>
      <c r="F213" s="3">
        <v>6</v>
      </c>
      <c r="G213" s="3" t="s">
        <v>52</v>
      </c>
      <c r="H213" s="3">
        <v>5</v>
      </c>
      <c r="I213" s="3">
        <v>4</v>
      </c>
      <c r="J213" s="3">
        <v>3</v>
      </c>
      <c r="T213" s="18">
        <v>1006403</v>
      </c>
    </row>
    <row r="214" ht="15" spans="1:20">
      <c r="A214" s="34"/>
      <c r="B214" s="17">
        <f t="shared" si="3"/>
        <v>70065404</v>
      </c>
      <c r="C214" s="37" t="s">
        <v>263</v>
      </c>
      <c r="E214" s="3" t="str">
        <f>F214&amp;(VLOOKUP(G214,编号表!$E$1:$G$8,2,0))&amp;H214&amp;"_"&amp;I214&amp;"_"&amp;J214</f>
        <v>6N5_4_4</v>
      </c>
      <c r="F214" s="3">
        <v>6</v>
      </c>
      <c r="G214" s="3" t="s">
        <v>52</v>
      </c>
      <c r="H214" s="3">
        <v>5</v>
      </c>
      <c r="I214" s="3">
        <v>4</v>
      </c>
      <c r="J214" s="3">
        <v>4</v>
      </c>
      <c r="T214" s="18">
        <v>1006503</v>
      </c>
    </row>
    <row r="215" ht="15" spans="1:20">
      <c r="A215" s="34"/>
      <c r="B215" s="17">
        <f t="shared" si="3"/>
        <v>70065001</v>
      </c>
      <c r="C215" s="39" t="s">
        <v>264</v>
      </c>
      <c r="E215" s="3" t="str">
        <f>F215&amp;(VLOOKUP(G215,编号表!$E$1:$G$8,2,0))&amp;H215&amp;"_"&amp;I215&amp;"_"&amp;J215</f>
        <v>6J5_0_1</v>
      </c>
      <c r="F215" s="3">
        <v>6</v>
      </c>
      <c r="G215" s="3" t="s">
        <v>167</v>
      </c>
      <c r="H215" s="3">
        <v>5</v>
      </c>
      <c r="I215" s="3">
        <v>0</v>
      </c>
      <c r="J215" s="3">
        <v>1</v>
      </c>
      <c r="K215" s="3">
        <v>1</v>
      </c>
    </row>
    <row r="216" ht="15" spans="1:20">
      <c r="A216" s="34"/>
      <c r="B216" s="17">
        <f t="shared" si="3"/>
        <v>70061001</v>
      </c>
      <c r="C216" s="36" t="s">
        <v>265</v>
      </c>
      <c r="E216" s="3" t="str">
        <f>F216&amp;(VLOOKUP(G216,编号表!$E$1:$G$8,2,0))&amp;H216&amp;"_"&amp;I216&amp;"_"&amp;J216</f>
        <v>6T1_0_1</v>
      </c>
      <c r="F216" s="3">
        <v>6</v>
      </c>
      <c r="G216" s="3" t="s">
        <v>169</v>
      </c>
      <c r="H216" s="3">
        <v>1</v>
      </c>
      <c r="I216" s="3">
        <v>0</v>
      </c>
      <c r="J216" s="3">
        <v>1</v>
      </c>
      <c r="L216" s="3">
        <v>1</v>
      </c>
      <c r="R216" s="3">
        <v>70071002</v>
      </c>
    </row>
    <row r="217" ht="15" spans="1:20">
      <c r="A217" s="34"/>
      <c r="B217" s="17">
        <f t="shared" si="3"/>
        <v>70061002</v>
      </c>
      <c r="C217" s="36" t="s">
        <v>265</v>
      </c>
      <c r="E217" s="3" t="str">
        <f>F217&amp;(VLOOKUP(G217,编号表!$E$1:$G$8,2,0))&amp;H217&amp;"_"&amp;I217&amp;"_"&amp;J217</f>
        <v>6T1_0_2</v>
      </c>
      <c r="F217" s="3">
        <v>6</v>
      </c>
      <c r="G217" s="3" t="s">
        <v>169</v>
      </c>
      <c r="H217" s="3">
        <v>1</v>
      </c>
      <c r="I217" s="3">
        <v>0</v>
      </c>
      <c r="J217" s="3">
        <v>2</v>
      </c>
      <c r="L217" s="3">
        <v>1</v>
      </c>
      <c r="R217" s="3">
        <v>70051002</v>
      </c>
    </row>
    <row r="218" ht="15" spans="1:20">
      <c r="A218" s="34"/>
      <c r="B218" s="17">
        <f t="shared" si="3"/>
        <v>70062001</v>
      </c>
      <c r="C218" s="36" t="s">
        <v>266</v>
      </c>
      <c r="E218" s="3" t="str">
        <f>F218&amp;(VLOOKUP(G218,编号表!$E$1:$G$8,2,0))&amp;H218&amp;"_"&amp;I218&amp;"_"&amp;J218</f>
        <v>6D2_0_1</v>
      </c>
      <c r="F218" s="3">
        <v>6</v>
      </c>
      <c r="G218" s="3" t="s">
        <v>171</v>
      </c>
      <c r="H218" s="3">
        <v>2</v>
      </c>
      <c r="I218" s="3">
        <v>0</v>
      </c>
      <c r="J218" s="3">
        <v>1</v>
      </c>
      <c r="M218" s="3">
        <v>1</v>
      </c>
    </row>
    <row r="219" ht="15" spans="1:20">
      <c r="A219" s="34"/>
      <c r="B219" s="17">
        <f t="shared" si="3"/>
        <v>70075101</v>
      </c>
      <c r="C219" s="37" t="s">
        <v>267</v>
      </c>
      <c r="E219" s="3" t="str">
        <f>F219&amp;(VLOOKUP(G219,编号表!$E$1:$G$8,2,0))&amp;H219&amp;"_"&amp;I219&amp;"_"&amp;J219</f>
        <v>7C5_1_1</v>
      </c>
      <c r="F219" s="3">
        <v>7</v>
      </c>
      <c r="G219" s="3" t="s">
        <v>268</v>
      </c>
      <c r="H219" s="3">
        <v>5</v>
      </c>
      <c r="I219" s="3">
        <v>1</v>
      </c>
      <c r="J219" s="3">
        <v>1</v>
      </c>
    </row>
    <row r="220" ht="15" spans="1:20">
      <c r="A220" s="34"/>
      <c r="B220" s="17">
        <f t="shared" si="3"/>
        <v>70075102</v>
      </c>
      <c r="C220" s="37" t="s">
        <v>269</v>
      </c>
      <c r="E220" s="3" t="str">
        <f>F220&amp;(VLOOKUP(G220,编号表!$E$1:$G$8,2,0))&amp;H220&amp;"_"&amp;I220&amp;"_"&amp;J220</f>
        <v>7C5_1_2</v>
      </c>
      <c r="F220" s="3">
        <v>7</v>
      </c>
      <c r="G220" s="3" t="s">
        <v>268</v>
      </c>
      <c r="H220" s="3">
        <v>5</v>
      </c>
      <c r="I220" s="3">
        <v>1</v>
      </c>
      <c r="J220" s="3">
        <v>2</v>
      </c>
    </row>
    <row r="221" ht="15" spans="1:20">
      <c r="A221" s="34"/>
      <c r="B221" s="17">
        <f t="shared" si="3"/>
        <v>70075103</v>
      </c>
      <c r="C221" s="37" t="s">
        <v>270</v>
      </c>
      <c r="E221" s="3" t="str">
        <f>F221&amp;(VLOOKUP(G221,编号表!$E$1:$G$8,2,0))&amp;H221&amp;"_"&amp;I221&amp;"_"&amp;J221</f>
        <v>7C5_1_3</v>
      </c>
      <c r="F221" s="3">
        <v>7</v>
      </c>
      <c r="G221" s="3" t="s">
        <v>268</v>
      </c>
      <c r="H221" s="3">
        <v>5</v>
      </c>
      <c r="I221" s="3">
        <v>1</v>
      </c>
      <c r="J221" s="3">
        <v>3</v>
      </c>
      <c r="T221" s="18">
        <v>1007404</v>
      </c>
    </row>
    <row r="222" ht="15" spans="1:20">
      <c r="A222" s="34"/>
      <c r="B222" s="17">
        <f t="shared" si="3"/>
        <v>70075104</v>
      </c>
      <c r="C222" s="37" t="s">
        <v>271</v>
      </c>
      <c r="E222" s="3" t="str">
        <f>F222&amp;(VLOOKUP(G222,编号表!$E$1:$G$8,2,0))&amp;H222&amp;"_"&amp;I222&amp;"_"&amp;J222</f>
        <v>7C5_1_4</v>
      </c>
      <c r="F222" s="3">
        <v>7</v>
      </c>
      <c r="G222" s="3" t="s">
        <v>268</v>
      </c>
      <c r="H222" s="3">
        <v>5</v>
      </c>
      <c r="I222" s="3">
        <v>1</v>
      </c>
      <c r="J222" s="3">
        <v>4</v>
      </c>
    </row>
    <row r="223" ht="15" spans="1:20">
      <c r="A223" s="34"/>
      <c r="B223" s="17">
        <f t="shared" si="3"/>
        <v>70075105</v>
      </c>
      <c r="C223" s="37" t="s">
        <v>272</v>
      </c>
      <c r="E223" s="3" t="str">
        <f>F223&amp;(VLOOKUP(G223,编号表!$E$1:$G$8,2,0))&amp;H223&amp;"_"&amp;I223&amp;"_"&amp;J223</f>
        <v>7C5_1_5</v>
      </c>
      <c r="F223" s="3">
        <v>7</v>
      </c>
      <c r="G223" s="3" t="s">
        <v>268</v>
      </c>
      <c r="H223" s="3">
        <v>5</v>
      </c>
      <c r="I223" s="3">
        <v>1</v>
      </c>
      <c r="J223" s="3">
        <v>5</v>
      </c>
      <c r="T223" s="18">
        <v>1007404</v>
      </c>
    </row>
    <row r="224" ht="15" spans="1:20">
      <c r="A224" s="34"/>
      <c r="B224" s="17">
        <f t="shared" si="3"/>
        <v>70075201</v>
      </c>
      <c r="C224" s="37" t="s">
        <v>273</v>
      </c>
      <c r="E224" s="3" t="str">
        <f>F224&amp;(VLOOKUP(G224,编号表!$E$1:$G$8,2,0))&amp;H224&amp;"_"&amp;I224&amp;"_"&amp;J224</f>
        <v>7C5_2_1</v>
      </c>
      <c r="F224" s="3">
        <v>7</v>
      </c>
      <c r="G224" s="3" t="s">
        <v>268</v>
      </c>
      <c r="H224" s="3">
        <v>5</v>
      </c>
      <c r="I224" s="3">
        <v>2</v>
      </c>
      <c r="J224" s="3">
        <v>1</v>
      </c>
    </row>
    <row r="225" ht="15" spans="1:20">
      <c r="A225" s="34"/>
      <c r="B225" s="17">
        <f t="shared" si="3"/>
        <v>70075202</v>
      </c>
      <c r="C225" s="37" t="s">
        <v>274</v>
      </c>
      <c r="E225" s="3" t="str">
        <f>F225&amp;(VLOOKUP(G225,编号表!$E$1:$G$8,2,0))&amp;H225&amp;"_"&amp;I225&amp;"_"&amp;J225</f>
        <v>7C5_2_2</v>
      </c>
      <c r="F225" s="3">
        <v>7</v>
      </c>
      <c r="G225" s="3" t="s">
        <v>268</v>
      </c>
      <c r="H225" s="3">
        <v>5</v>
      </c>
      <c r="I225" s="3">
        <v>2</v>
      </c>
      <c r="J225" s="3">
        <v>2</v>
      </c>
      <c r="T225" s="18">
        <v>1007304</v>
      </c>
    </row>
    <row r="226" ht="15" spans="1:20">
      <c r="A226" s="34"/>
      <c r="B226" s="17">
        <f t="shared" si="3"/>
        <v>70075203</v>
      </c>
      <c r="C226" s="37" t="s">
        <v>275</v>
      </c>
      <c r="E226" s="3" t="str">
        <f>F226&amp;(VLOOKUP(G226,编号表!$E$1:$G$8,2,0))&amp;H226&amp;"_"&amp;I226&amp;"_"&amp;J226</f>
        <v>7C5_2_3</v>
      </c>
      <c r="F226" s="3">
        <v>7</v>
      </c>
      <c r="G226" s="3" t="s">
        <v>268</v>
      </c>
      <c r="H226" s="3">
        <v>5</v>
      </c>
      <c r="I226" s="3">
        <v>2</v>
      </c>
      <c r="J226" s="3">
        <v>3</v>
      </c>
    </row>
    <row r="227" ht="15" spans="1:20">
      <c r="A227" s="34"/>
      <c r="B227" s="17">
        <f t="shared" si="3"/>
        <v>70075204</v>
      </c>
      <c r="C227" s="37" t="s">
        <v>276</v>
      </c>
      <c r="E227" s="3" t="str">
        <f>F227&amp;(VLOOKUP(G227,编号表!$E$1:$G$8,2,0))&amp;H227&amp;"_"&amp;I227&amp;"_"&amp;J227</f>
        <v>7C5_2_4</v>
      </c>
      <c r="F227" s="3">
        <v>7</v>
      </c>
      <c r="G227" s="3" t="s">
        <v>268</v>
      </c>
      <c r="H227" s="3">
        <v>5</v>
      </c>
      <c r="I227" s="3">
        <v>2</v>
      </c>
      <c r="J227" s="3">
        <v>4</v>
      </c>
    </row>
    <row r="228" ht="15" spans="1:20">
      <c r="A228" s="34"/>
      <c r="B228" s="17">
        <f t="shared" si="3"/>
        <v>70075205</v>
      </c>
      <c r="C228" s="37" t="s">
        <v>277</v>
      </c>
      <c r="E228" s="3" t="str">
        <f>F228&amp;(VLOOKUP(G228,编号表!$E$1:$G$8,2,0))&amp;H228&amp;"_"&amp;I228&amp;"_"&amp;J228</f>
        <v>7C5_2_5</v>
      </c>
      <c r="F228" s="3">
        <v>7</v>
      </c>
      <c r="G228" s="3" t="s">
        <v>268</v>
      </c>
      <c r="H228" s="3">
        <v>5</v>
      </c>
      <c r="I228" s="3">
        <v>2</v>
      </c>
      <c r="J228" s="3">
        <v>5</v>
      </c>
      <c r="T228" s="18">
        <v>1007504</v>
      </c>
    </row>
    <row r="229" ht="15" spans="1:20">
      <c r="A229" s="34"/>
      <c r="B229" s="17">
        <f t="shared" si="3"/>
        <v>70075206</v>
      </c>
      <c r="C229" s="37" t="s">
        <v>278</v>
      </c>
      <c r="E229" s="3" t="str">
        <f>F229&amp;(VLOOKUP(G229,编号表!$E$1:$G$8,2,0))&amp;H229&amp;"_"&amp;I229&amp;"_"&amp;J229</f>
        <v>7C5_2_6</v>
      </c>
      <c r="F229" s="3">
        <v>7</v>
      </c>
      <c r="G229" s="3" t="s">
        <v>268</v>
      </c>
      <c r="H229" s="3">
        <v>5</v>
      </c>
      <c r="I229" s="3">
        <v>2</v>
      </c>
      <c r="J229" s="3">
        <v>6</v>
      </c>
    </row>
    <row r="230" ht="15" spans="1:20">
      <c r="A230" s="34"/>
      <c r="B230" s="17">
        <f t="shared" si="3"/>
        <v>70075207</v>
      </c>
      <c r="C230" s="37" t="s">
        <v>279</v>
      </c>
      <c r="E230" s="3" t="str">
        <f>F230&amp;(VLOOKUP(G230,编号表!$E$1:$G$8,2,0))&amp;H230&amp;"_"&amp;I230&amp;"_"&amp;J230</f>
        <v>7C5_2_7</v>
      </c>
      <c r="F230" s="3">
        <v>7</v>
      </c>
      <c r="G230" s="3" t="s">
        <v>268</v>
      </c>
      <c r="H230" s="3">
        <v>5</v>
      </c>
      <c r="I230" s="3">
        <v>2</v>
      </c>
      <c r="J230" s="3">
        <v>7</v>
      </c>
    </row>
    <row r="231" ht="15" spans="1:20">
      <c r="A231" s="34"/>
      <c r="B231" s="17">
        <f t="shared" si="3"/>
        <v>70075001</v>
      </c>
      <c r="C231" s="39" t="s">
        <v>280</v>
      </c>
      <c r="E231" s="3" t="str">
        <f>F231&amp;(VLOOKUP(G231,编号表!$E$1:$G$8,2,0))&amp;H231&amp;"_"&amp;I231&amp;"_"&amp;J231</f>
        <v>7J5_0_1</v>
      </c>
      <c r="F231" s="3">
        <v>7</v>
      </c>
      <c r="G231" s="3" t="s">
        <v>167</v>
      </c>
      <c r="H231" s="3">
        <v>5</v>
      </c>
      <c r="I231" s="3">
        <v>0</v>
      </c>
      <c r="J231" s="3">
        <v>1</v>
      </c>
      <c r="K231" s="3">
        <v>1</v>
      </c>
    </row>
    <row r="232" ht="15" spans="1:20">
      <c r="A232" s="34"/>
      <c r="B232" s="17">
        <f t="shared" si="3"/>
        <v>70071001</v>
      </c>
      <c r="C232" s="36" t="s">
        <v>281</v>
      </c>
      <c r="E232" s="3" t="str">
        <f>F232&amp;(VLOOKUP(G232,编号表!$E$1:$G$8,2,0))&amp;H232&amp;"_"&amp;I232&amp;"_"&amp;J232</f>
        <v>7T1_0_1</v>
      </c>
      <c r="F232" s="3">
        <v>7</v>
      </c>
      <c r="G232" s="3" t="s">
        <v>169</v>
      </c>
      <c r="H232" s="3">
        <v>1</v>
      </c>
      <c r="I232" s="3">
        <v>0</v>
      </c>
      <c r="J232" s="3">
        <v>1</v>
      </c>
      <c r="L232" s="3">
        <v>1</v>
      </c>
      <c r="R232" s="3">
        <v>70081001</v>
      </c>
    </row>
    <row r="233" ht="15" spans="1:20">
      <c r="A233" s="34"/>
      <c r="B233" s="17">
        <f t="shared" si="3"/>
        <v>70071002</v>
      </c>
      <c r="C233" s="36" t="s">
        <v>281</v>
      </c>
      <c r="E233" s="3" t="str">
        <f>F233&amp;(VLOOKUP(G233,编号表!$E$1:$G$8,2,0))&amp;H233&amp;"_"&amp;I233&amp;"_"&amp;J233</f>
        <v>7T1_0_2</v>
      </c>
      <c r="F233" s="3">
        <v>7</v>
      </c>
      <c r="G233" s="3" t="s">
        <v>169</v>
      </c>
      <c r="H233" s="3">
        <v>1</v>
      </c>
      <c r="I233" s="3">
        <v>0</v>
      </c>
      <c r="J233" s="3">
        <v>2</v>
      </c>
      <c r="L233" s="3">
        <v>1</v>
      </c>
      <c r="R233" s="3">
        <v>70061001</v>
      </c>
    </row>
    <row r="234" ht="15" spans="1:20">
      <c r="A234" s="34"/>
      <c r="B234" s="17">
        <f t="shared" si="3"/>
        <v>70072001</v>
      </c>
      <c r="C234" s="36" t="s">
        <v>282</v>
      </c>
      <c r="E234" s="3" t="str">
        <f>F234&amp;(VLOOKUP(G234,编号表!$E$1:$G$8,2,0))&amp;H234&amp;"_"&amp;I234&amp;"_"&amp;J234</f>
        <v>7D2_0_1</v>
      </c>
      <c r="F234" s="3">
        <v>7</v>
      </c>
      <c r="G234" s="3" t="s">
        <v>171</v>
      </c>
      <c r="H234" s="3">
        <v>2</v>
      </c>
      <c r="I234" s="3">
        <v>0</v>
      </c>
      <c r="J234" s="3">
        <v>1</v>
      </c>
      <c r="M234" s="3">
        <v>1</v>
      </c>
    </row>
    <row r="235" ht="15" spans="1:20">
      <c r="A235" s="34"/>
      <c r="B235" s="17">
        <f t="shared" si="3"/>
        <v>70085101</v>
      </c>
      <c r="C235" s="37" t="s">
        <v>283</v>
      </c>
      <c r="E235" s="3" t="str">
        <f>F235&amp;(VLOOKUP(G235,编号表!$E$1:$G$8,2,0))&amp;H235&amp;"_"&amp;I235&amp;"_"&amp;J235</f>
        <v>8C5_1_1</v>
      </c>
      <c r="F235" s="3">
        <v>8</v>
      </c>
      <c r="G235" s="3" t="s">
        <v>268</v>
      </c>
      <c r="H235" s="3">
        <v>5</v>
      </c>
      <c r="I235" s="3">
        <v>1</v>
      </c>
      <c r="J235" s="3">
        <v>1</v>
      </c>
    </row>
    <row r="236" ht="15" spans="1:20">
      <c r="A236" s="34"/>
      <c r="B236" s="17">
        <f t="shared" si="3"/>
        <v>70085102</v>
      </c>
      <c r="C236" s="37" t="s">
        <v>284</v>
      </c>
      <c r="E236" s="3" t="str">
        <f>F236&amp;(VLOOKUP(G236,编号表!$E$1:$G$8,2,0))&amp;H236&amp;"_"&amp;I236&amp;"_"&amp;J236</f>
        <v>8C5_1_2</v>
      </c>
      <c r="F236" s="3">
        <v>8</v>
      </c>
      <c r="G236" s="3" t="s">
        <v>268</v>
      </c>
      <c r="H236" s="3">
        <v>5</v>
      </c>
      <c r="I236" s="3">
        <v>1</v>
      </c>
      <c r="J236" s="3">
        <v>2</v>
      </c>
      <c r="T236" s="18">
        <v>1008404</v>
      </c>
    </row>
    <row r="237" ht="15" spans="1:20">
      <c r="A237" s="34"/>
      <c r="B237" s="17">
        <f t="shared" si="3"/>
        <v>70085103</v>
      </c>
      <c r="C237" s="37" t="s">
        <v>285</v>
      </c>
      <c r="E237" s="3" t="str">
        <f>F237&amp;(VLOOKUP(G237,编号表!$E$1:$G$8,2,0))&amp;H237&amp;"_"&amp;I237&amp;"_"&amp;J237</f>
        <v>8C5_1_3</v>
      </c>
      <c r="F237" s="3">
        <v>8</v>
      </c>
      <c r="G237" s="3" t="s">
        <v>268</v>
      </c>
      <c r="H237" s="3">
        <v>5</v>
      </c>
      <c r="I237" s="3">
        <v>1</v>
      </c>
      <c r="J237" s="3">
        <v>3</v>
      </c>
    </row>
    <row r="238" ht="15" spans="1:20">
      <c r="A238" s="34"/>
      <c r="B238" s="17">
        <f t="shared" si="3"/>
        <v>70085104</v>
      </c>
      <c r="C238" s="37" t="s">
        <v>286</v>
      </c>
      <c r="E238" s="3" t="str">
        <f>F238&amp;(VLOOKUP(G238,编号表!$E$1:$G$8,2,0))&amp;H238&amp;"_"&amp;I238&amp;"_"&amp;J238</f>
        <v>8C5_1_4</v>
      </c>
      <c r="F238" s="3">
        <v>8</v>
      </c>
      <c r="G238" s="3" t="s">
        <v>268</v>
      </c>
      <c r="H238" s="3">
        <v>5</v>
      </c>
      <c r="I238" s="3">
        <v>1</v>
      </c>
      <c r="J238" s="3">
        <v>4</v>
      </c>
      <c r="T238" s="18">
        <v>1008404</v>
      </c>
    </row>
    <row r="239" ht="15" spans="1:20">
      <c r="A239" s="34"/>
      <c r="B239" s="17">
        <f t="shared" si="3"/>
        <v>70085105</v>
      </c>
      <c r="C239" s="37" t="s">
        <v>287</v>
      </c>
      <c r="E239" s="3" t="str">
        <f>F239&amp;(VLOOKUP(G239,编号表!$E$1:$G$8,2,0))&amp;H239&amp;"_"&amp;I239&amp;"_"&amp;J239</f>
        <v>8C5_1_5</v>
      </c>
      <c r="F239" s="3">
        <v>8</v>
      </c>
      <c r="G239" s="3" t="s">
        <v>268</v>
      </c>
      <c r="H239" s="3">
        <v>5</v>
      </c>
      <c r="I239" s="3">
        <v>1</v>
      </c>
      <c r="J239" s="3">
        <v>5</v>
      </c>
    </row>
    <row r="240" ht="15" spans="1:20">
      <c r="A240" s="34"/>
      <c r="B240" s="17">
        <f t="shared" si="3"/>
        <v>70085201</v>
      </c>
      <c r="C240" s="37" t="s">
        <v>288</v>
      </c>
      <c r="E240" s="3" t="str">
        <f>F240&amp;(VLOOKUP(G240,编号表!$E$1:$G$8,2,0))&amp;H240&amp;"_"&amp;I240&amp;"_"&amp;J240</f>
        <v>8C5_2_1</v>
      </c>
      <c r="F240" s="3">
        <v>8</v>
      </c>
      <c r="G240" s="3" t="s">
        <v>268</v>
      </c>
      <c r="H240" s="3">
        <v>5</v>
      </c>
      <c r="I240" s="3">
        <v>2</v>
      </c>
      <c r="J240" s="3">
        <v>1</v>
      </c>
      <c r="T240" s="18">
        <v>1008304</v>
      </c>
    </row>
    <row r="241" ht="15" spans="1:20">
      <c r="A241" s="34"/>
      <c r="B241" s="17">
        <f t="shared" si="3"/>
        <v>70085202</v>
      </c>
      <c r="C241" s="37" t="s">
        <v>289</v>
      </c>
      <c r="E241" s="3" t="str">
        <f>F241&amp;(VLOOKUP(G241,编号表!$E$1:$G$8,2,0))&amp;H241&amp;"_"&amp;I241&amp;"_"&amp;J241</f>
        <v>8C5_2_2</v>
      </c>
      <c r="F241" s="3">
        <v>8</v>
      </c>
      <c r="G241" s="3" t="s">
        <v>268</v>
      </c>
      <c r="H241" s="3">
        <v>5</v>
      </c>
      <c r="I241" s="3">
        <v>2</v>
      </c>
      <c r="J241" s="3">
        <v>2</v>
      </c>
    </row>
    <row r="242" ht="15" spans="1:20">
      <c r="A242" s="34"/>
      <c r="B242" s="17">
        <f t="shared" si="3"/>
        <v>70085203</v>
      </c>
      <c r="C242" s="37" t="s">
        <v>290</v>
      </c>
      <c r="E242" s="3" t="str">
        <f>F242&amp;(VLOOKUP(G242,编号表!$E$1:$G$8,2,0))&amp;H242&amp;"_"&amp;I242&amp;"_"&amp;J242</f>
        <v>8C5_2_3</v>
      </c>
      <c r="F242" s="3">
        <v>8</v>
      </c>
      <c r="G242" s="3" t="s">
        <v>268</v>
      </c>
      <c r="H242" s="3">
        <v>5</v>
      </c>
      <c r="I242" s="3">
        <v>2</v>
      </c>
      <c r="J242" s="3">
        <v>3</v>
      </c>
    </row>
    <row r="243" ht="15" spans="1:20">
      <c r="A243" s="34"/>
      <c r="B243" s="17">
        <f t="shared" si="3"/>
        <v>70085204</v>
      </c>
      <c r="C243" s="37" t="s">
        <v>291</v>
      </c>
      <c r="E243" s="3" t="str">
        <f>F243&amp;(VLOOKUP(G243,编号表!$E$1:$G$8,2,0))&amp;H243&amp;"_"&amp;I243&amp;"_"&amp;J243</f>
        <v>8C5_2_4</v>
      </c>
      <c r="F243" s="3">
        <v>8</v>
      </c>
      <c r="G243" s="3" t="s">
        <v>268</v>
      </c>
      <c r="H243" s="3">
        <v>5</v>
      </c>
      <c r="I243" s="3">
        <v>2</v>
      </c>
      <c r="J243" s="3">
        <v>4</v>
      </c>
      <c r="T243" s="18">
        <v>1008504</v>
      </c>
    </row>
    <row r="244" ht="15" spans="1:20">
      <c r="A244" s="34"/>
      <c r="B244" s="17">
        <f t="shared" si="3"/>
        <v>70085205</v>
      </c>
      <c r="C244" s="37" t="s">
        <v>292</v>
      </c>
      <c r="E244" s="3" t="str">
        <f>F244&amp;(VLOOKUP(G244,编号表!$E$1:$G$8,2,0))&amp;H244&amp;"_"&amp;I244&amp;"_"&amp;J244</f>
        <v>8C5_2_5</v>
      </c>
      <c r="F244" s="3">
        <v>8</v>
      </c>
      <c r="G244" s="3" t="s">
        <v>268</v>
      </c>
      <c r="H244" s="3">
        <v>5</v>
      </c>
      <c r="I244" s="3">
        <v>2</v>
      </c>
      <c r="J244" s="3">
        <v>5</v>
      </c>
    </row>
    <row r="245" ht="15" spans="1:20">
      <c r="A245" s="34"/>
      <c r="B245" s="17">
        <f t="shared" si="3"/>
        <v>70085206</v>
      </c>
      <c r="C245" s="37" t="s">
        <v>293</v>
      </c>
      <c r="E245" s="3" t="str">
        <f>F245&amp;(VLOOKUP(G245,编号表!$E$1:$G$8,2,0))&amp;H245&amp;"_"&amp;I245&amp;"_"&amp;J245</f>
        <v>8C5_2_6</v>
      </c>
      <c r="F245" s="3">
        <v>8</v>
      </c>
      <c r="G245" s="3" t="s">
        <v>268</v>
      </c>
      <c r="H245" s="3">
        <v>5</v>
      </c>
      <c r="I245" s="3">
        <v>2</v>
      </c>
      <c r="J245" s="3">
        <v>6</v>
      </c>
    </row>
    <row r="246" ht="15" spans="1:20">
      <c r="A246" s="34"/>
      <c r="B246" s="17">
        <f t="shared" si="3"/>
        <v>70085001</v>
      </c>
      <c r="C246" s="39" t="s">
        <v>294</v>
      </c>
      <c r="E246" s="3" t="str">
        <f>F246&amp;(VLOOKUP(G246,编号表!$E$1:$G$8,2,0))&amp;H246&amp;"_"&amp;I246&amp;"_"&amp;J246</f>
        <v>8J5_0_1</v>
      </c>
      <c r="F246" s="3">
        <v>8</v>
      </c>
      <c r="G246" s="3" t="s">
        <v>167</v>
      </c>
      <c r="H246" s="3">
        <v>5</v>
      </c>
      <c r="I246" s="3">
        <v>0</v>
      </c>
      <c r="J246" s="3">
        <v>1</v>
      </c>
      <c r="K246" s="3">
        <v>1</v>
      </c>
    </row>
    <row r="247" ht="15" spans="1:20">
      <c r="A247" s="34"/>
      <c r="B247" s="17">
        <f t="shared" si="3"/>
        <v>70081001</v>
      </c>
      <c r="C247" s="36" t="s">
        <v>295</v>
      </c>
      <c r="E247" s="3" t="str">
        <f>F247&amp;(VLOOKUP(G247,编号表!$E$1:$G$8,2,0))&amp;H247&amp;"_"&amp;I247&amp;"_"&amp;J247</f>
        <v>8T1_0_1</v>
      </c>
      <c r="F247" s="3">
        <v>8</v>
      </c>
      <c r="G247" s="3" t="s">
        <v>169</v>
      </c>
      <c r="H247" s="3">
        <v>1</v>
      </c>
      <c r="I247" s="3">
        <v>0</v>
      </c>
      <c r="J247" s="3">
        <v>1</v>
      </c>
      <c r="L247" s="3">
        <v>1</v>
      </c>
      <c r="R247" s="3">
        <v>70071001</v>
      </c>
    </row>
    <row r="248" ht="15" spans="1:20">
      <c r="A248" s="34"/>
      <c r="B248" s="17">
        <f t="shared" si="3"/>
        <v>70081002</v>
      </c>
      <c r="C248" s="36" t="s">
        <v>295</v>
      </c>
      <c r="E248" s="3" t="str">
        <f>F248&amp;(VLOOKUP(G248,编号表!$E$1:$G$8,2,0))&amp;H248&amp;"_"&amp;I248&amp;"_"&amp;J248</f>
        <v>8T1_0_2</v>
      </c>
      <c r="F248" s="3">
        <v>8</v>
      </c>
      <c r="G248" s="3" t="s">
        <v>169</v>
      </c>
      <c r="H248" s="3">
        <v>1</v>
      </c>
      <c r="I248" s="3">
        <v>0</v>
      </c>
      <c r="J248" s="3">
        <v>2</v>
      </c>
      <c r="L248" s="3">
        <v>1</v>
      </c>
      <c r="R248" s="3">
        <v>70091001</v>
      </c>
    </row>
    <row r="249" ht="15" spans="1:20">
      <c r="A249" s="34"/>
      <c r="B249" s="17">
        <f t="shared" si="3"/>
        <v>70082001</v>
      </c>
      <c r="C249" s="36" t="s">
        <v>296</v>
      </c>
      <c r="E249" s="3" t="str">
        <f>F249&amp;(VLOOKUP(G249,编号表!$E$1:$G$8,2,0))&amp;H249&amp;"_"&amp;I249&amp;"_"&amp;J249</f>
        <v>8D2_0_1</v>
      </c>
      <c r="F249" s="3">
        <v>8</v>
      </c>
      <c r="G249" s="3" t="s">
        <v>171</v>
      </c>
      <c r="H249" s="3">
        <v>2</v>
      </c>
      <c r="I249" s="3">
        <v>0</v>
      </c>
      <c r="J249" s="3">
        <v>1</v>
      </c>
      <c r="M249" s="3">
        <v>1</v>
      </c>
    </row>
    <row r="250" ht="15" spans="1:20">
      <c r="A250" s="34"/>
      <c r="B250" s="17">
        <f t="shared" si="3"/>
        <v>70095101</v>
      </c>
      <c r="C250" s="37" t="s">
        <v>297</v>
      </c>
      <c r="E250" s="3" t="str">
        <f>F250&amp;(VLOOKUP(G250,编号表!$E$1:$G$8,2,0))&amp;H250&amp;"_"&amp;I250&amp;"_"&amp;J250</f>
        <v>9N5_1_1</v>
      </c>
      <c r="F250" s="3">
        <v>9</v>
      </c>
      <c r="G250" s="3" t="s">
        <v>52</v>
      </c>
      <c r="H250" s="3">
        <v>5</v>
      </c>
      <c r="I250" s="3">
        <v>1</v>
      </c>
      <c r="J250" s="3">
        <v>1</v>
      </c>
      <c r="T250" s="18">
        <v>1009303</v>
      </c>
    </row>
    <row r="251" ht="15" spans="1:20">
      <c r="A251" s="34"/>
      <c r="B251" s="17">
        <f t="shared" si="3"/>
        <v>70095102</v>
      </c>
      <c r="C251" s="37" t="s">
        <v>298</v>
      </c>
      <c r="E251" s="3" t="str">
        <f>F251&amp;(VLOOKUP(G251,编号表!$E$1:$G$8,2,0))&amp;H251&amp;"_"&amp;I251&amp;"_"&amp;J251</f>
        <v>9N5_1_2</v>
      </c>
      <c r="F251" s="3">
        <v>9</v>
      </c>
      <c r="G251" s="3" t="s">
        <v>52</v>
      </c>
      <c r="H251" s="3">
        <v>5</v>
      </c>
      <c r="I251" s="3">
        <v>1</v>
      </c>
      <c r="J251" s="3">
        <v>2</v>
      </c>
      <c r="T251" s="18">
        <v>1009403</v>
      </c>
    </row>
    <row r="252" ht="15" spans="1:20">
      <c r="A252" s="34"/>
      <c r="B252" s="17">
        <f t="shared" si="3"/>
        <v>70095103</v>
      </c>
      <c r="C252" s="37" t="s">
        <v>299</v>
      </c>
      <c r="E252" s="3" t="str">
        <f>F252&amp;(VLOOKUP(G252,编号表!$E$1:$G$8,2,0))&amp;H252&amp;"_"&amp;I252&amp;"_"&amp;J252</f>
        <v>9N5_1_3</v>
      </c>
      <c r="F252" s="3">
        <v>9</v>
      </c>
      <c r="G252" s="3" t="s">
        <v>52</v>
      </c>
      <c r="H252" s="3">
        <v>5</v>
      </c>
      <c r="I252" s="3">
        <v>1</v>
      </c>
      <c r="J252" s="3">
        <v>3</v>
      </c>
      <c r="T252" s="18">
        <v>1009503</v>
      </c>
    </row>
    <row r="253" ht="15" spans="1:20">
      <c r="A253" s="34"/>
      <c r="B253" s="17">
        <f t="shared" si="3"/>
        <v>70095104</v>
      </c>
      <c r="C253" s="37" t="s">
        <v>300</v>
      </c>
      <c r="E253" s="3" t="str">
        <f>F253&amp;(VLOOKUP(G253,编号表!$E$1:$G$8,2,0))&amp;H253&amp;"_"&amp;I253&amp;"_"&amp;J253</f>
        <v>9N5_1_4</v>
      </c>
      <c r="F253" s="3">
        <v>9</v>
      </c>
      <c r="G253" s="3" t="s">
        <v>52</v>
      </c>
      <c r="H253" s="3">
        <v>5</v>
      </c>
      <c r="I253" s="3">
        <v>1</v>
      </c>
      <c r="J253" s="3">
        <v>4</v>
      </c>
      <c r="T253" s="18">
        <v>1009303</v>
      </c>
    </row>
    <row r="254" ht="15" spans="1:20">
      <c r="A254" s="34"/>
      <c r="B254" s="17">
        <f t="shared" si="3"/>
        <v>70095201</v>
      </c>
      <c r="C254" s="37" t="s">
        <v>301</v>
      </c>
      <c r="E254" s="3" t="str">
        <f>F254&amp;(VLOOKUP(G254,编号表!$E$1:$G$8,2,0))&amp;H254&amp;"_"&amp;I254&amp;"_"&amp;J254</f>
        <v>9N5_2_1</v>
      </c>
      <c r="F254" s="3">
        <v>9</v>
      </c>
      <c r="G254" s="3" t="s">
        <v>52</v>
      </c>
      <c r="H254" s="3">
        <v>5</v>
      </c>
      <c r="I254" s="3">
        <v>2</v>
      </c>
      <c r="J254" s="3">
        <v>1</v>
      </c>
      <c r="T254" s="18">
        <v>1009403</v>
      </c>
    </row>
    <row r="255" ht="15" spans="1:20">
      <c r="A255" s="34"/>
      <c r="B255" s="17">
        <f t="shared" si="3"/>
        <v>70095202</v>
      </c>
      <c r="C255" s="37" t="s">
        <v>302</v>
      </c>
      <c r="E255" s="3" t="str">
        <f>F255&amp;(VLOOKUP(G255,编号表!$E$1:$G$8,2,0))&amp;H255&amp;"_"&amp;I255&amp;"_"&amp;J255</f>
        <v>9N5_2_2</v>
      </c>
      <c r="F255" s="3">
        <v>9</v>
      </c>
      <c r="G255" s="3" t="s">
        <v>52</v>
      </c>
      <c r="H255" s="3">
        <v>5</v>
      </c>
      <c r="I255" s="3">
        <v>2</v>
      </c>
      <c r="J255" s="3">
        <v>2</v>
      </c>
      <c r="T255" s="18">
        <v>1009503</v>
      </c>
    </row>
    <row r="256" ht="15" spans="1:20">
      <c r="A256" s="34"/>
      <c r="B256" s="17">
        <f t="shared" si="3"/>
        <v>70095203</v>
      </c>
      <c r="C256" s="37" t="s">
        <v>303</v>
      </c>
      <c r="E256" s="3" t="str">
        <f>F256&amp;(VLOOKUP(G256,编号表!$E$1:$G$8,2,0))&amp;H256&amp;"_"&amp;I256&amp;"_"&amp;J256</f>
        <v>9N5_2_3</v>
      </c>
      <c r="F256" s="3">
        <v>9</v>
      </c>
      <c r="G256" s="3" t="s">
        <v>52</v>
      </c>
      <c r="H256" s="3">
        <v>5</v>
      </c>
      <c r="I256" s="3">
        <v>2</v>
      </c>
      <c r="J256" s="3">
        <v>3</v>
      </c>
      <c r="S256" s="17" t="s">
        <v>178</v>
      </c>
      <c r="T256" s="18">
        <v>1009103</v>
      </c>
    </row>
    <row r="257" ht="15" spans="1:20">
      <c r="A257" s="34"/>
      <c r="B257" s="17">
        <f t="shared" si="3"/>
        <v>70095204</v>
      </c>
      <c r="C257" s="37" t="s">
        <v>304</v>
      </c>
      <c r="E257" s="3" t="str">
        <f>F257&amp;(VLOOKUP(G257,编号表!$E$1:$G$8,2,0))&amp;H257&amp;"_"&amp;I257&amp;"_"&amp;J257</f>
        <v>9N5_2_4</v>
      </c>
      <c r="F257" s="3">
        <v>9</v>
      </c>
      <c r="G257" s="3" t="s">
        <v>52</v>
      </c>
      <c r="H257" s="3">
        <v>5</v>
      </c>
      <c r="I257" s="3">
        <v>2</v>
      </c>
      <c r="J257" s="3">
        <v>4</v>
      </c>
      <c r="S257" s="17" t="s">
        <v>250</v>
      </c>
      <c r="T257" s="18">
        <v>1009001</v>
      </c>
    </row>
    <row r="258" ht="15" spans="1:20">
      <c r="A258" s="34"/>
      <c r="B258" s="17">
        <f t="shared" si="3"/>
        <v>70095301</v>
      </c>
      <c r="C258" s="37" t="s">
        <v>305</v>
      </c>
      <c r="E258" s="3" t="str">
        <f>F258&amp;(VLOOKUP(G258,编号表!$E$1:$G$8,2,0))&amp;H258&amp;"_"&amp;I258&amp;"_"&amp;J258</f>
        <v>9N5_3_1</v>
      </c>
      <c r="F258" s="3">
        <v>9</v>
      </c>
      <c r="G258" s="3" t="s">
        <v>52</v>
      </c>
      <c r="H258" s="3">
        <v>5</v>
      </c>
      <c r="I258" s="3">
        <v>3</v>
      </c>
      <c r="J258" s="3">
        <v>1</v>
      </c>
      <c r="T258" s="18">
        <v>1009303</v>
      </c>
    </row>
    <row r="259" ht="15" spans="1:20">
      <c r="A259" s="34"/>
      <c r="B259" s="17">
        <f t="shared" si="3"/>
        <v>70095302</v>
      </c>
      <c r="C259" s="37" t="s">
        <v>306</v>
      </c>
      <c r="E259" s="3" t="str">
        <f>F259&amp;(VLOOKUP(G259,编号表!$E$1:$G$8,2,0))&amp;H259&amp;"_"&amp;I259&amp;"_"&amp;J259</f>
        <v>9N5_3_2</v>
      </c>
      <c r="F259" s="3">
        <v>9</v>
      </c>
      <c r="G259" s="3" t="s">
        <v>52</v>
      </c>
      <c r="H259" s="3">
        <v>5</v>
      </c>
      <c r="I259" s="3">
        <v>3</v>
      </c>
      <c r="J259" s="3">
        <v>2</v>
      </c>
      <c r="T259" s="18">
        <v>1009403</v>
      </c>
    </row>
    <row r="260" ht="15" spans="1:20">
      <c r="A260" s="34"/>
      <c r="B260" s="17">
        <f t="shared" si="3"/>
        <v>70095303</v>
      </c>
      <c r="C260" s="37" t="s">
        <v>307</v>
      </c>
      <c r="E260" s="3" t="str">
        <f>F260&amp;(VLOOKUP(G260,编号表!$E$1:$G$8,2,0))&amp;H260&amp;"_"&amp;I260&amp;"_"&amp;J260</f>
        <v>9N5_3_3</v>
      </c>
      <c r="F260" s="3">
        <v>9</v>
      </c>
      <c r="G260" s="3" t="s">
        <v>52</v>
      </c>
      <c r="H260" s="3">
        <v>5</v>
      </c>
      <c r="I260" s="3">
        <v>3</v>
      </c>
      <c r="J260" s="3">
        <v>3</v>
      </c>
      <c r="T260" s="18">
        <v>1009503</v>
      </c>
    </row>
    <row r="261" ht="15" spans="1:20">
      <c r="A261" s="34"/>
      <c r="B261" s="17">
        <f t="shared" ref="B261:B324" si="4">70000000+F261*10000+H261*1000+I261*100+J261</f>
        <v>70095304</v>
      </c>
      <c r="C261" s="37" t="s">
        <v>308</v>
      </c>
      <c r="E261" s="3" t="str">
        <f>F261&amp;(VLOOKUP(G261,编号表!$E$1:$G$8,2,0))&amp;H261&amp;"_"&amp;I261&amp;"_"&amp;J261</f>
        <v>9N5_3_4</v>
      </c>
      <c r="F261" s="3">
        <v>9</v>
      </c>
      <c r="G261" s="3" t="s">
        <v>52</v>
      </c>
      <c r="H261" s="3">
        <v>5</v>
      </c>
      <c r="I261" s="3">
        <v>3</v>
      </c>
      <c r="J261" s="3">
        <v>4</v>
      </c>
      <c r="S261" s="17" t="s">
        <v>178</v>
      </c>
      <c r="T261" s="18">
        <v>1009103</v>
      </c>
    </row>
    <row r="262" ht="15" spans="1:20">
      <c r="A262" s="34"/>
      <c r="B262" s="17">
        <f t="shared" si="4"/>
        <v>70095001</v>
      </c>
      <c r="C262" s="39" t="s">
        <v>309</v>
      </c>
      <c r="E262" s="3" t="str">
        <f>F262&amp;(VLOOKUP(G262,编号表!$E$1:$G$8,2,0))&amp;H262&amp;"_"&amp;I262&amp;"_"&amp;J262</f>
        <v>9J5_0_1</v>
      </c>
      <c r="F262" s="3">
        <v>9</v>
      </c>
      <c r="G262" s="3" t="s">
        <v>167</v>
      </c>
      <c r="H262" s="3">
        <v>5</v>
      </c>
      <c r="I262" s="3">
        <v>0</v>
      </c>
      <c r="J262" s="3">
        <v>1</v>
      </c>
      <c r="K262" s="3">
        <v>1</v>
      </c>
    </row>
    <row r="263" ht="15" spans="1:20">
      <c r="A263" s="34"/>
      <c r="B263" s="17">
        <f t="shared" si="4"/>
        <v>70091001</v>
      </c>
      <c r="C263" s="36" t="s">
        <v>310</v>
      </c>
      <c r="E263" s="3" t="str">
        <f>F263&amp;(VLOOKUP(G263,编号表!$E$1:$G$8,2,0))&amp;H263&amp;"_"&amp;I263&amp;"_"&amp;J263</f>
        <v>9T1_0_1</v>
      </c>
      <c r="F263" s="3">
        <v>9</v>
      </c>
      <c r="G263" s="3" t="s">
        <v>169</v>
      </c>
      <c r="H263" s="3">
        <v>1</v>
      </c>
      <c r="I263" s="3">
        <v>0</v>
      </c>
      <c r="J263" s="3">
        <v>1</v>
      </c>
      <c r="L263" s="3">
        <v>1</v>
      </c>
      <c r="R263" s="3">
        <v>70081002</v>
      </c>
    </row>
    <row r="264" ht="15" spans="1:20">
      <c r="A264" s="34"/>
      <c r="B264" s="17">
        <f t="shared" si="4"/>
        <v>70091002</v>
      </c>
      <c r="C264" s="36" t="s">
        <v>310</v>
      </c>
      <c r="E264" s="3" t="str">
        <f>F264&amp;(VLOOKUP(G264,编号表!$E$1:$G$8,2,0))&amp;H264&amp;"_"&amp;I264&amp;"_"&amp;J264</f>
        <v>9T1_0_2</v>
      </c>
      <c r="F264" s="3">
        <v>9</v>
      </c>
      <c r="G264" s="3" t="s">
        <v>169</v>
      </c>
      <c r="H264" s="3">
        <v>1</v>
      </c>
      <c r="I264" s="3">
        <v>0</v>
      </c>
      <c r="J264" s="3">
        <v>2</v>
      </c>
      <c r="L264" s="3">
        <v>1</v>
      </c>
      <c r="R264" s="3">
        <v>70101001</v>
      </c>
    </row>
    <row r="265" ht="15" spans="1:20">
      <c r="A265" s="34"/>
      <c r="B265" s="17">
        <f t="shared" si="4"/>
        <v>70092001</v>
      </c>
      <c r="C265" s="36" t="s">
        <v>311</v>
      </c>
      <c r="E265" s="3" t="str">
        <f>F265&amp;(VLOOKUP(G265,编号表!$E$1:$G$8,2,0))&amp;H265&amp;"_"&amp;I265&amp;"_"&amp;J265</f>
        <v>9D2_0_1</v>
      </c>
      <c r="F265" s="3">
        <v>9</v>
      </c>
      <c r="G265" s="3" t="s">
        <v>171</v>
      </c>
      <c r="H265" s="3">
        <v>2</v>
      </c>
      <c r="I265" s="3">
        <v>0</v>
      </c>
      <c r="J265" s="3">
        <v>1</v>
      </c>
      <c r="M265" s="3">
        <v>1</v>
      </c>
    </row>
    <row r="266" ht="15" spans="1:20">
      <c r="A266" s="34"/>
      <c r="B266" s="17">
        <f t="shared" si="4"/>
        <v>70105101</v>
      </c>
      <c r="C266" s="37" t="s">
        <v>312</v>
      </c>
      <c r="E266" s="3" t="str">
        <f>F266&amp;(VLOOKUP(G266,编号表!$E$1:$G$8,2,0))&amp;H266&amp;"_"&amp;I266&amp;"_"&amp;J266</f>
        <v>10N5_1_1</v>
      </c>
      <c r="F266" s="3">
        <v>10</v>
      </c>
      <c r="G266" s="3" t="s">
        <v>52</v>
      </c>
      <c r="H266" s="3">
        <v>5</v>
      </c>
      <c r="I266" s="3">
        <v>1</v>
      </c>
      <c r="J266" s="3">
        <v>1</v>
      </c>
      <c r="T266" s="18">
        <v>1010303</v>
      </c>
    </row>
    <row r="267" ht="15" spans="1:20">
      <c r="A267" s="34"/>
      <c r="B267" s="17">
        <f t="shared" si="4"/>
        <v>70105102</v>
      </c>
      <c r="C267" s="37" t="s">
        <v>313</v>
      </c>
      <c r="E267" s="3" t="str">
        <f>F267&amp;(VLOOKUP(G267,编号表!$E$1:$G$8,2,0))&amp;H267&amp;"_"&amp;I267&amp;"_"&amp;J267</f>
        <v>10N5_1_2</v>
      </c>
      <c r="F267" s="3">
        <v>10</v>
      </c>
      <c r="G267" s="3" t="s">
        <v>52</v>
      </c>
      <c r="H267" s="3">
        <v>5</v>
      </c>
      <c r="I267" s="3">
        <v>1</v>
      </c>
      <c r="J267" s="3">
        <v>2</v>
      </c>
      <c r="T267" s="18">
        <v>1010403</v>
      </c>
    </row>
    <row r="268" ht="15" spans="1:20">
      <c r="A268" s="34"/>
      <c r="B268" s="17">
        <f t="shared" si="4"/>
        <v>70105103</v>
      </c>
      <c r="C268" s="37" t="s">
        <v>314</v>
      </c>
      <c r="E268" s="3" t="str">
        <f>F268&amp;(VLOOKUP(G268,编号表!$E$1:$G$8,2,0))&amp;H268&amp;"_"&amp;I268&amp;"_"&amp;J268</f>
        <v>10N5_1_3</v>
      </c>
      <c r="F268" s="3">
        <v>10</v>
      </c>
      <c r="G268" s="3" t="s">
        <v>52</v>
      </c>
      <c r="H268" s="3">
        <v>5</v>
      </c>
      <c r="I268" s="3">
        <v>1</v>
      </c>
      <c r="J268" s="3">
        <v>3</v>
      </c>
      <c r="T268" s="18">
        <v>1010503</v>
      </c>
    </row>
    <row r="269" ht="15" spans="1:20">
      <c r="A269" s="34"/>
      <c r="B269" s="17">
        <f t="shared" si="4"/>
        <v>70105104</v>
      </c>
      <c r="C269" s="37" t="s">
        <v>315</v>
      </c>
      <c r="E269" s="3" t="str">
        <f>F269&amp;(VLOOKUP(G269,编号表!$E$1:$G$8,2,0))&amp;H269&amp;"_"&amp;I269&amp;"_"&amp;J269</f>
        <v>10N5_1_4</v>
      </c>
      <c r="F269" s="3">
        <v>10</v>
      </c>
      <c r="G269" s="3" t="s">
        <v>52</v>
      </c>
      <c r="H269" s="3">
        <v>5</v>
      </c>
      <c r="I269" s="3">
        <v>1</v>
      </c>
      <c r="J269" s="3">
        <v>4</v>
      </c>
      <c r="T269" s="18">
        <v>1010603</v>
      </c>
    </row>
    <row r="270" ht="15" spans="1:20">
      <c r="A270" s="34"/>
      <c r="B270" s="17">
        <f t="shared" si="4"/>
        <v>70105201</v>
      </c>
      <c r="C270" s="37" t="s">
        <v>316</v>
      </c>
      <c r="E270" s="3" t="str">
        <f>F270&amp;(VLOOKUP(G270,编号表!$E$1:$G$8,2,0))&amp;H270&amp;"_"&amp;I270&amp;"_"&amp;J270</f>
        <v>10N5_2_1</v>
      </c>
      <c r="F270" s="3">
        <v>10</v>
      </c>
      <c r="G270" s="3" t="s">
        <v>52</v>
      </c>
      <c r="H270" s="3">
        <v>5</v>
      </c>
      <c r="I270" s="3">
        <v>2</v>
      </c>
      <c r="J270" s="3">
        <v>1</v>
      </c>
      <c r="T270" s="18">
        <v>1010303</v>
      </c>
    </row>
    <row r="271" ht="15" spans="1:20">
      <c r="A271" s="34"/>
      <c r="B271" s="17">
        <f t="shared" si="4"/>
        <v>70105202</v>
      </c>
      <c r="C271" s="37" t="s">
        <v>317</v>
      </c>
      <c r="E271" s="3" t="str">
        <f>F271&amp;(VLOOKUP(G271,编号表!$E$1:$G$8,2,0))&amp;H271&amp;"_"&amp;I271&amp;"_"&amp;J271</f>
        <v>10N5_2_2</v>
      </c>
      <c r="F271" s="3">
        <v>10</v>
      </c>
      <c r="G271" s="3" t="s">
        <v>52</v>
      </c>
      <c r="H271" s="3">
        <v>5</v>
      </c>
      <c r="I271" s="3">
        <v>2</v>
      </c>
      <c r="J271" s="3">
        <v>2</v>
      </c>
      <c r="S271" s="17" t="s">
        <v>178</v>
      </c>
      <c r="T271" s="18">
        <v>1010103</v>
      </c>
    </row>
    <row r="272" ht="15" spans="1:20">
      <c r="A272" s="34"/>
      <c r="B272" s="17">
        <f t="shared" si="4"/>
        <v>70105203</v>
      </c>
      <c r="C272" s="37" t="s">
        <v>318</v>
      </c>
      <c r="E272" s="3" t="str">
        <f>F272&amp;(VLOOKUP(G272,编号表!$E$1:$G$8,2,0))&amp;H272&amp;"_"&amp;I272&amp;"_"&amp;J272</f>
        <v>10N5_2_3</v>
      </c>
      <c r="F272" s="3">
        <v>10</v>
      </c>
      <c r="G272" s="3" t="s">
        <v>52</v>
      </c>
      <c r="H272" s="3">
        <v>5</v>
      </c>
      <c r="I272" s="3">
        <v>2</v>
      </c>
      <c r="J272" s="3">
        <v>3</v>
      </c>
      <c r="T272" s="18">
        <v>1010303</v>
      </c>
    </row>
    <row r="273" ht="15" spans="1:20">
      <c r="A273" s="34"/>
      <c r="B273" s="17">
        <f t="shared" si="4"/>
        <v>70105301</v>
      </c>
      <c r="C273" s="37" t="s">
        <v>319</v>
      </c>
      <c r="E273" s="3" t="str">
        <f>F273&amp;(VLOOKUP(G273,编号表!$E$1:$G$8,2,0))&amp;H273&amp;"_"&amp;I273&amp;"_"&amp;J273</f>
        <v>10N5_3_1</v>
      </c>
      <c r="F273" s="3">
        <v>10</v>
      </c>
      <c r="G273" s="3" t="s">
        <v>52</v>
      </c>
      <c r="H273" s="3">
        <v>5</v>
      </c>
      <c r="I273" s="3">
        <v>3</v>
      </c>
      <c r="J273" s="3">
        <v>1</v>
      </c>
      <c r="T273" s="18">
        <v>1010403</v>
      </c>
    </row>
    <row r="274" ht="15" spans="1:20">
      <c r="A274" s="34"/>
      <c r="B274" s="17">
        <f t="shared" si="4"/>
        <v>70105302</v>
      </c>
      <c r="C274" s="37" t="s">
        <v>320</v>
      </c>
      <c r="E274" s="3" t="str">
        <f>F274&amp;(VLOOKUP(G274,编号表!$E$1:$G$8,2,0))&amp;H274&amp;"_"&amp;I274&amp;"_"&amp;J274</f>
        <v>10N5_3_2</v>
      </c>
      <c r="F274" s="3">
        <v>10</v>
      </c>
      <c r="G274" s="3" t="s">
        <v>52</v>
      </c>
      <c r="H274" s="3">
        <v>5</v>
      </c>
      <c r="I274" s="3">
        <v>3</v>
      </c>
      <c r="J274" s="3">
        <v>2</v>
      </c>
      <c r="T274" s="18">
        <v>1010503</v>
      </c>
    </row>
    <row r="275" ht="15" spans="1:20">
      <c r="A275" s="34"/>
      <c r="B275" s="17">
        <f t="shared" si="4"/>
        <v>70105303</v>
      </c>
      <c r="C275" s="37" t="s">
        <v>321</v>
      </c>
      <c r="E275" s="3" t="str">
        <f>F275&amp;(VLOOKUP(G275,编号表!$E$1:$G$8,2,0))&amp;H275&amp;"_"&amp;I275&amp;"_"&amp;J275</f>
        <v>10N5_3_3</v>
      </c>
      <c r="F275" s="3">
        <v>10</v>
      </c>
      <c r="G275" s="3" t="s">
        <v>52</v>
      </c>
      <c r="H275" s="3">
        <v>5</v>
      </c>
      <c r="I275" s="3">
        <v>3</v>
      </c>
      <c r="J275" s="3">
        <v>3</v>
      </c>
      <c r="T275" s="18">
        <v>1010603</v>
      </c>
    </row>
    <row r="276" ht="15" spans="1:20">
      <c r="A276" s="34"/>
      <c r="B276" s="17">
        <f t="shared" si="4"/>
        <v>70105304</v>
      </c>
      <c r="C276" s="37" t="s">
        <v>322</v>
      </c>
      <c r="E276" s="3" t="str">
        <f>F276&amp;(VLOOKUP(G276,编号表!$E$1:$G$8,2,0))&amp;H276&amp;"_"&amp;I276&amp;"_"&amp;J276</f>
        <v>10N5_3_4</v>
      </c>
      <c r="F276" s="3">
        <v>10</v>
      </c>
      <c r="G276" s="3" t="s">
        <v>52</v>
      </c>
      <c r="H276" s="3">
        <v>5</v>
      </c>
      <c r="I276" s="3">
        <v>3</v>
      </c>
      <c r="J276" s="3">
        <v>4</v>
      </c>
      <c r="S276" s="17" t="s">
        <v>178</v>
      </c>
      <c r="T276" s="18">
        <v>1010103</v>
      </c>
    </row>
    <row r="277" ht="15" spans="1:20">
      <c r="A277" s="34"/>
      <c r="B277" s="17">
        <f t="shared" si="4"/>
        <v>70105001</v>
      </c>
      <c r="C277" s="39" t="s">
        <v>323</v>
      </c>
      <c r="E277" s="3" t="str">
        <f>F277&amp;(VLOOKUP(G277,编号表!$E$1:$G$8,2,0))&amp;H277&amp;"_"&amp;I277&amp;"_"&amp;J277</f>
        <v>10J5_0_1</v>
      </c>
      <c r="F277" s="3">
        <v>10</v>
      </c>
      <c r="G277" s="3" t="s">
        <v>167</v>
      </c>
      <c r="H277" s="3">
        <v>5</v>
      </c>
      <c r="I277" s="3">
        <v>0</v>
      </c>
      <c r="J277" s="3">
        <v>1</v>
      </c>
      <c r="K277" s="3">
        <v>1</v>
      </c>
    </row>
    <row r="278" ht="15" spans="1:20">
      <c r="A278" s="34"/>
      <c r="B278" s="17">
        <f t="shared" si="4"/>
        <v>70101001</v>
      </c>
      <c r="C278" s="36" t="s">
        <v>324</v>
      </c>
      <c r="E278" s="3" t="str">
        <f>F278&amp;(VLOOKUP(G278,编号表!$E$1:$G$8,2,0))&amp;H278&amp;"_"&amp;I278&amp;"_"&amp;J278</f>
        <v>10T1_0_1</v>
      </c>
      <c r="F278" s="3">
        <v>10</v>
      </c>
      <c r="G278" s="3" t="s">
        <v>169</v>
      </c>
      <c r="H278" s="3">
        <v>1</v>
      </c>
      <c r="I278" s="3">
        <v>0</v>
      </c>
      <c r="J278" s="3">
        <v>1</v>
      </c>
      <c r="L278" s="3">
        <v>1</v>
      </c>
      <c r="R278" s="3">
        <v>70091002</v>
      </c>
    </row>
    <row r="279" ht="15" spans="1:20">
      <c r="A279" s="34"/>
      <c r="B279" s="17">
        <f t="shared" si="4"/>
        <v>70101002</v>
      </c>
      <c r="C279" s="36" t="s">
        <v>324</v>
      </c>
      <c r="E279" s="3" t="str">
        <f>F279&amp;(VLOOKUP(G279,编号表!$E$1:$G$8,2,0))&amp;H279&amp;"_"&amp;I279&amp;"_"&amp;J279</f>
        <v>10T1_0_2</v>
      </c>
      <c r="F279" s="3">
        <v>10</v>
      </c>
      <c r="G279" s="3" t="s">
        <v>169</v>
      </c>
      <c r="H279" s="3">
        <v>1</v>
      </c>
      <c r="I279" s="3">
        <v>0</v>
      </c>
      <c r="J279" s="3">
        <v>2</v>
      </c>
      <c r="L279" s="3">
        <v>1</v>
      </c>
      <c r="R279" s="3">
        <v>70016204</v>
      </c>
    </row>
    <row r="280" ht="15" spans="1:20">
      <c r="A280" s="34"/>
      <c r="B280" s="17">
        <f t="shared" si="4"/>
        <v>70102001</v>
      </c>
      <c r="C280" s="36" t="s">
        <v>325</v>
      </c>
      <c r="E280" s="3" t="str">
        <f>F280&amp;(VLOOKUP(G280,编号表!$E$1:$G$8,2,0))&amp;H280&amp;"_"&amp;I280&amp;"_"&amp;J280</f>
        <v>10D2_0_1</v>
      </c>
      <c r="F280" s="3">
        <v>10</v>
      </c>
      <c r="G280" s="3" t="s">
        <v>171</v>
      </c>
      <c r="H280" s="3">
        <v>2</v>
      </c>
      <c r="I280" s="3">
        <v>0</v>
      </c>
      <c r="J280" s="3">
        <v>1</v>
      </c>
      <c r="M280" s="3">
        <v>1</v>
      </c>
    </row>
    <row r="281" ht="15" spans="1:20">
      <c r="A281" s="34"/>
      <c r="B281" s="17">
        <f t="shared" si="4"/>
        <v>70115001</v>
      </c>
      <c r="C281" s="39" t="s">
        <v>326</v>
      </c>
      <c r="E281" s="3" t="str">
        <f>F281&amp;(VLOOKUP(G281,编号表!$E$1:$G$8,2,0))&amp;H281&amp;"_"&amp;I281&amp;"_"&amp;J281</f>
        <v>11J5_0_1</v>
      </c>
      <c r="F281" s="3">
        <v>11</v>
      </c>
      <c r="G281" s="3" t="s">
        <v>167</v>
      </c>
      <c r="H281" s="3">
        <v>5</v>
      </c>
      <c r="I281" s="3">
        <v>0</v>
      </c>
      <c r="J281" s="3">
        <v>1</v>
      </c>
      <c r="K281" s="3">
        <v>1</v>
      </c>
    </row>
    <row r="282" ht="15" spans="1:20">
      <c r="A282" s="34"/>
      <c r="B282" s="17">
        <f t="shared" si="4"/>
        <v>70111001</v>
      </c>
      <c r="C282" s="36" t="s">
        <v>327</v>
      </c>
      <c r="E282" s="3" t="str">
        <f>F282&amp;(VLOOKUP(G282,编号表!$E$1:$G$8,2,0))&amp;H282&amp;"_"&amp;I282&amp;"_"&amp;J282</f>
        <v>11T1_0_1</v>
      </c>
      <c r="F282" s="3">
        <v>11</v>
      </c>
      <c r="G282" s="3" t="s">
        <v>169</v>
      </c>
      <c r="H282" s="3">
        <v>1</v>
      </c>
      <c r="I282" s="3">
        <v>0</v>
      </c>
      <c r="J282" s="3">
        <v>1</v>
      </c>
      <c r="L282" s="3">
        <v>1</v>
      </c>
      <c r="R282" s="3">
        <v>70016204</v>
      </c>
    </row>
    <row r="283" ht="15" spans="1:20">
      <c r="A283" s="34"/>
      <c r="B283" s="17">
        <f t="shared" si="4"/>
        <v>70111002</v>
      </c>
      <c r="C283" s="36" t="s">
        <v>327</v>
      </c>
      <c r="E283" s="3" t="str">
        <f>F283&amp;(VLOOKUP(G283,编号表!$E$1:$G$8,2,0))&amp;H283&amp;"_"&amp;I283&amp;"_"&amp;J283</f>
        <v>11T1_0_2</v>
      </c>
      <c r="F283" s="3">
        <v>11</v>
      </c>
      <c r="G283" s="3" t="s">
        <v>169</v>
      </c>
      <c r="H283" s="3">
        <v>1</v>
      </c>
      <c r="I283" s="3">
        <v>0</v>
      </c>
      <c r="J283" s="3">
        <v>2</v>
      </c>
      <c r="L283" s="3">
        <v>1</v>
      </c>
      <c r="R283" s="3">
        <v>70121001</v>
      </c>
    </row>
    <row r="284" ht="15" spans="1:20">
      <c r="A284" s="34"/>
      <c r="B284" s="17">
        <f t="shared" si="4"/>
        <v>70112001</v>
      </c>
      <c r="C284" s="36" t="s">
        <v>328</v>
      </c>
      <c r="E284" s="3" t="str">
        <f>F284&amp;(VLOOKUP(G284,编号表!$E$1:$G$8,2,0))&amp;H284&amp;"_"&amp;I284&amp;"_"&amp;J284</f>
        <v>11D2_0_1</v>
      </c>
      <c r="F284" s="3">
        <v>11</v>
      </c>
      <c r="G284" s="3" t="s">
        <v>171</v>
      </c>
      <c r="H284" s="3">
        <v>2</v>
      </c>
      <c r="I284" s="3">
        <v>0</v>
      </c>
      <c r="J284" s="3">
        <v>1</v>
      </c>
      <c r="M284" s="3">
        <v>1</v>
      </c>
    </row>
    <row r="285" ht="15" spans="1:20">
      <c r="A285" s="34"/>
      <c r="B285" s="17">
        <f t="shared" si="4"/>
        <v>70125101</v>
      </c>
      <c r="C285" s="37" t="s">
        <v>329</v>
      </c>
      <c r="E285" s="3" t="str">
        <f>F285&amp;(VLOOKUP(G285,编号表!$E$1:$G$8,2,0))&amp;H285&amp;"_"&amp;I285&amp;"_"&amp;J285</f>
        <v>12N5_1_1</v>
      </c>
      <c r="F285" s="3">
        <v>12</v>
      </c>
      <c r="G285" s="3" t="s">
        <v>52</v>
      </c>
      <c r="H285" s="3">
        <v>5</v>
      </c>
      <c r="I285" s="3">
        <v>1</v>
      </c>
      <c r="J285" s="3">
        <v>1</v>
      </c>
      <c r="T285" s="18">
        <v>1011303</v>
      </c>
    </row>
    <row r="286" ht="15" spans="1:20">
      <c r="A286" s="34"/>
      <c r="B286" s="17">
        <f t="shared" si="4"/>
        <v>70125102</v>
      </c>
      <c r="C286" s="37" t="s">
        <v>330</v>
      </c>
      <c r="E286" s="3" t="str">
        <f>F286&amp;(VLOOKUP(G286,编号表!$E$1:$G$8,2,0))&amp;H286&amp;"_"&amp;I286&amp;"_"&amp;J286</f>
        <v>12N5_1_2</v>
      </c>
      <c r="F286" s="3">
        <v>12</v>
      </c>
      <c r="G286" s="3" t="s">
        <v>52</v>
      </c>
      <c r="H286" s="3">
        <v>5</v>
      </c>
      <c r="I286" s="3">
        <v>1</v>
      </c>
      <c r="J286" s="3">
        <v>2</v>
      </c>
      <c r="T286" s="18">
        <v>1011003</v>
      </c>
    </row>
    <row r="287" ht="15" spans="1:20">
      <c r="A287" s="34"/>
      <c r="B287" s="17">
        <f t="shared" si="4"/>
        <v>70125103</v>
      </c>
      <c r="C287" s="37" t="s">
        <v>331</v>
      </c>
      <c r="E287" s="3" t="str">
        <f>F287&amp;(VLOOKUP(G287,编号表!$E$1:$G$8,2,0))&amp;H287&amp;"_"&amp;I287&amp;"_"&amp;J287</f>
        <v>12N5_1_3</v>
      </c>
      <c r="F287" s="3">
        <v>12</v>
      </c>
      <c r="G287" s="3" t="s">
        <v>52</v>
      </c>
      <c r="H287" s="3">
        <v>5</v>
      </c>
      <c r="I287" s="3">
        <v>1</v>
      </c>
      <c r="J287" s="3">
        <v>3</v>
      </c>
      <c r="T287" s="18">
        <v>1011403</v>
      </c>
    </row>
    <row r="288" ht="15" spans="1:20">
      <c r="A288" s="34"/>
      <c r="B288" s="17">
        <f t="shared" si="4"/>
        <v>70125201</v>
      </c>
      <c r="C288" s="37" t="s">
        <v>332</v>
      </c>
      <c r="E288" s="3" t="str">
        <f>F288&amp;(VLOOKUP(G288,编号表!$E$1:$G$8,2,0))&amp;H288&amp;"_"&amp;I288&amp;"_"&amp;J288</f>
        <v>12N5_2_1</v>
      </c>
      <c r="F288" s="3">
        <v>12</v>
      </c>
      <c r="G288" s="3" t="s">
        <v>52</v>
      </c>
      <c r="H288" s="3">
        <v>5</v>
      </c>
      <c r="I288" s="3">
        <v>2</v>
      </c>
      <c r="J288" s="3">
        <v>1</v>
      </c>
      <c r="T288" s="18">
        <v>1011403</v>
      </c>
    </row>
    <row r="289" ht="15" spans="1:20">
      <c r="A289" s="34"/>
      <c r="B289" s="17">
        <f t="shared" si="4"/>
        <v>70125202</v>
      </c>
      <c r="C289" s="37" t="s">
        <v>333</v>
      </c>
      <c r="E289" s="3" t="str">
        <f>F289&amp;(VLOOKUP(G289,编号表!$E$1:$G$8,2,0))&amp;H289&amp;"_"&amp;I289&amp;"_"&amp;J289</f>
        <v>12N5_2_2</v>
      </c>
      <c r="F289" s="3">
        <v>12</v>
      </c>
      <c r="G289" s="3" t="s">
        <v>52</v>
      </c>
      <c r="H289" s="3">
        <v>5</v>
      </c>
      <c r="I289" s="3">
        <v>2</v>
      </c>
      <c r="J289" s="3">
        <v>2</v>
      </c>
      <c r="T289" s="18">
        <v>1011303</v>
      </c>
    </row>
    <row r="290" ht="15" spans="1:20">
      <c r="A290" s="34"/>
      <c r="B290" s="17">
        <f t="shared" si="4"/>
        <v>70125203</v>
      </c>
      <c r="C290" s="37" t="s">
        <v>334</v>
      </c>
      <c r="E290" s="3" t="str">
        <f>F290&amp;(VLOOKUP(G290,编号表!$E$1:$G$8,2,0))&amp;H290&amp;"_"&amp;I290&amp;"_"&amp;J290</f>
        <v>12N5_2_3</v>
      </c>
      <c r="F290" s="3">
        <v>12</v>
      </c>
      <c r="G290" s="3" t="s">
        <v>52</v>
      </c>
      <c r="H290" s="3">
        <v>5</v>
      </c>
      <c r="I290" s="3">
        <v>2</v>
      </c>
      <c r="J290" s="3">
        <v>3</v>
      </c>
      <c r="T290" s="18">
        <v>1011403</v>
      </c>
    </row>
    <row r="291" ht="15" spans="1:20">
      <c r="A291" s="34"/>
      <c r="B291" s="17">
        <f t="shared" si="4"/>
        <v>70125301</v>
      </c>
      <c r="C291" s="37" t="s">
        <v>335</v>
      </c>
      <c r="E291" s="3" t="str">
        <f>F291&amp;(VLOOKUP(G291,编号表!$E$1:$G$8,2,0))&amp;H291&amp;"_"&amp;I291&amp;"_"&amp;J291</f>
        <v>12N5_3_1</v>
      </c>
      <c r="F291" s="3">
        <v>12</v>
      </c>
      <c r="G291" s="3" t="s">
        <v>52</v>
      </c>
      <c r="H291" s="3">
        <v>5</v>
      </c>
      <c r="I291" s="3">
        <v>3</v>
      </c>
      <c r="J291" s="3">
        <v>1</v>
      </c>
      <c r="T291" s="18">
        <v>1011303</v>
      </c>
    </row>
    <row r="292" ht="15" spans="1:20">
      <c r="A292" s="34"/>
      <c r="B292" s="17">
        <f t="shared" si="4"/>
        <v>70125302</v>
      </c>
      <c r="C292" s="37" t="s">
        <v>336</v>
      </c>
      <c r="E292" s="3" t="str">
        <f>F292&amp;(VLOOKUP(G292,编号表!$E$1:$G$8,2,0))&amp;H292&amp;"_"&amp;I292&amp;"_"&amp;J292</f>
        <v>12N5_3_2</v>
      </c>
      <c r="F292" s="3">
        <v>12</v>
      </c>
      <c r="G292" s="3" t="s">
        <v>52</v>
      </c>
      <c r="H292" s="3">
        <v>5</v>
      </c>
      <c r="I292" s="3">
        <v>3</v>
      </c>
      <c r="J292" s="3">
        <v>2</v>
      </c>
      <c r="T292" s="18">
        <v>1011403</v>
      </c>
    </row>
    <row r="293" ht="15" spans="1:20">
      <c r="A293" s="34"/>
      <c r="B293" s="17">
        <f t="shared" si="4"/>
        <v>70125303</v>
      </c>
      <c r="C293" s="37" t="s">
        <v>337</v>
      </c>
      <c r="E293" s="3" t="str">
        <f>F293&amp;(VLOOKUP(G293,编号表!$E$1:$G$8,2,0))&amp;H293&amp;"_"&amp;I293&amp;"_"&amp;J293</f>
        <v>12N5_3_3</v>
      </c>
      <c r="F293" s="3">
        <v>12</v>
      </c>
      <c r="G293" s="3" t="s">
        <v>52</v>
      </c>
      <c r="H293" s="3">
        <v>5</v>
      </c>
      <c r="I293" s="3">
        <v>3</v>
      </c>
      <c r="J293" s="3">
        <v>3</v>
      </c>
      <c r="T293" s="18">
        <v>1011303</v>
      </c>
    </row>
    <row r="294" ht="15" spans="1:20">
      <c r="A294" s="34"/>
      <c r="B294" s="17">
        <f t="shared" si="4"/>
        <v>70125001</v>
      </c>
      <c r="C294" s="39" t="s">
        <v>338</v>
      </c>
      <c r="E294" s="3" t="str">
        <f>F294&amp;(VLOOKUP(G294,编号表!$E$1:$G$8,2,0))&amp;H294&amp;"_"&amp;I294&amp;"_"&amp;J294</f>
        <v>12J5_0_1</v>
      </c>
      <c r="F294" s="3">
        <v>12</v>
      </c>
      <c r="G294" s="3" t="s">
        <v>167</v>
      </c>
      <c r="H294" s="3">
        <v>5</v>
      </c>
      <c r="I294" s="3">
        <v>0</v>
      </c>
      <c r="J294" s="3">
        <v>1</v>
      </c>
      <c r="K294" s="3">
        <v>1</v>
      </c>
    </row>
    <row r="295" ht="15" spans="1:20">
      <c r="A295" s="34"/>
      <c r="B295" s="17">
        <f t="shared" si="4"/>
        <v>70121001</v>
      </c>
      <c r="C295" s="36" t="s">
        <v>339</v>
      </c>
      <c r="E295" s="3" t="str">
        <f>F295&amp;(VLOOKUP(G295,编号表!$E$1:$G$8,2,0))&amp;H295&amp;"_"&amp;I295&amp;"_"&amp;J295</f>
        <v>12T1_0_1</v>
      </c>
      <c r="F295" s="3">
        <v>12</v>
      </c>
      <c r="G295" s="3" t="s">
        <v>169</v>
      </c>
      <c r="H295" s="3">
        <v>1</v>
      </c>
      <c r="I295" s="3">
        <v>0</v>
      </c>
      <c r="J295" s="3">
        <v>1</v>
      </c>
      <c r="L295" s="3">
        <v>1</v>
      </c>
      <c r="R295" s="3">
        <v>70111002</v>
      </c>
    </row>
    <row r="296" ht="15" spans="1:20">
      <c r="A296" s="34"/>
      <c r="B296" s="17">
        <f t="shared" si="4"/>
        <v>70121002</v>
      </c>
      <c r="C296" s="36" t="s">
        <v>339</v>
      </c>
      <c r="E296" s="3" t="str">
        <f>F296&amp;(VLOOKUP(G296,编号表!$E$1:$G$8,2,0))&amp;H296&amp;"_"&amp;I296&amp;"_"&amp;J296</f>
        <v>12T1_0_2</v>
      </c>
      <c r="F296" s="3">
        <v>12</v>
      </c>
      <c r="G296" s="3" t="s">
        <v>169</v>
      </c>
      <c r="H296" s="3">
        <v>1</v>
      </c>
      <c r="I296" s="3">
        <v>0</v>
      </c>
      <c r="J296" s="3">
        <v>2</v>
      </c>
      <c r="L296" s="3">
        <v>1</v>
      </c>
      <c r="R296" s="3">
        <v>70131001</v>
      </c>
    </row>
    <row r="297" ht="15" spans="1:20">
      <c r="A297" s="34"/>
      <c r="B297" s="17">
        <f t="shared" si="4"/>
        <v>70122001</v>
      </c>
      <c r="C297" s="36" t="s">
        <v>340</v>
      </c>
      <c r="E297" s="3" t="str">
        <f>F297&amp;(VLOOKUP(G297,编号表!$E$1:$G$8,2,0))&amp;H297&amp;"_"&amp;I297&amp;"_"&amp;J297</f>
        <v>12D2_0_1</v>
      </c>
      <c r="F297" s="3">
        <v>12</v>
      </c>
      <c r="G297" s="3" t="s">
        <v>171</v>
      </c>
      <c r="H297" s="3">
        <v>2</v>
      </c>
      <c r="I297" s="3">
        <v>0</v>
      </c>
      <c r="J297" s="3">
        <v>1</v>
      </c>
      <c r="M297" s="3">
        <v>1</v>
      </c>
    </row>
    <row r="298" ht="15" spans="1:20">
      <c r="A298" s="34"/>
      <c r="B298" s="17">
        <f t="shared" si="4"/>
        <v>70135101</v>
      </c>
      <c r="C298" s="37" t="s">
        <v>341</v>
      </c>
      <c r="E298" s="3" t="str">
        <f>F298&amp;(VLOOKUP(G298,编号表!$E$1:$G$8,2,0))&amp;H298&amp;"_"&amp;I298&amp;"_"&amp;J298</f>
        <v>13N5_1_1</v>
      </c>
      <c r="F298" s="3">
        <v>13</v>
      </c>
      <c r="G298" s="3" t="s">
        <v>52</v>
      </c>
      <c r="H298" s="3">
        <v>5</v>
      </c>
      <c r="I298" s="3">
        <v>1</v>
      </c>
      <c r="J298" s="3">
        <v>1</v>
      </c>
      <c r="T298" s="18">
        <v>1012303</v>
      </c>
    </row>
    <row r="299" ht="15" spans="1:20">
      <c r="A299" s="34"/>
      <c r="B299" s="17">
        <f t="shared" si="4"/>
        <v>70135102</v>
      </c>
      <c r="C299" s="37" t="s">
        <v>342</v>
      </c>
      <c r="E299" s="3" t="str">
        <f>F299&amp;(VLOOKUP(G299,编号表!$E$1:$G$8,2,0))&amp;H299&amp;"_"&amp;I299&amp;"_"&amp;J299</f>
        <v>13N5_1_2</v>
      </c>
      <c r="F299" s="3">
        <v>13</v>
      </c>
      <c r="G299" s="3" t="s">
        <v>52</v>
      </c>
      <c r="H299" s="3">
        <v>5</v>
      </c>
      <c r="I299" s="3">
        <v>1</v>
      </c>
      <c r="J299" s="3">
        <v>2</v>
      </c>
      <c r="T299" s="18">
        <v>1012403</v>
      </c>
    </row>
    <row r="300" ht="15" spans="1:20">
      <c r="A300" s="34"/>
      <c r="B300" s="17">
        <f t="shared" si="4"/>
        <v>70135103</v>
      </c>
      <c r="C300" s="37" t="s">
        <v>343</v>
      </c>
      <c r="E300" s="3" t="str">
        <f>F300&amp;(VLOOKUP(G300,编号表!$E$1:$G$8,2,0))&amp;H300&amp;"_"&amp;I300&amp;"_"&amp;J300</f>
        <v>13N5_1_3</v>
      </c>
      <c r="F300" s="3">
        <v>13</v>
      </c>
      <c r="G300" s="3" t="s">
        <v>52</v>
      </c>
      <c r="H300" s="3">
        <v>5</v>
      </c>
      <c r="I300" s="3">
        <v>1</v>
      </c>
      <c r="J300" s="3">
        <v>3</v>
      </c>
      <c r="T300" s="18">
        <v>1012103</v>
      </c>
    </row>
    <row r="301" ht="15" spans="1:20">
      <c r="A301" s="34"/>
      <c r="B301" s="17">
        <f t="shared" si="4"/>
        <v>70135104</v>
      </c>
      <c r="C301" s="37" t="s">
        <v>344</v>
      </c>
      <c r="E301" s="3" t="str">
        <f>F301&amp;(VLOOKUP(G301,编号表!$E$1:$G$8,2,0))&amp;H301&amp;"_"&amp;I301&amp;"_"&amp;J301</f>
        <v>13N5_1_4</v>
      </c>
      <c r="F301" s="3">
        <v>13</v>
      </c>
      <c r="G301" s="3" t="s">
        <v>52</v>
      </c>
      <c r="H301" s="3">
        <v>5</v>
      </c>
      <c r="I301" s="3">
        <v>1</v>
      </c>
      <c r="J301" s="3">
        <v>4</v>
      </c>
      <c r="T301" s="18">
        <v>1012503</v>
      </c>
    </row>
    <row r="302" ht="15" spans="1:20">
      <c r="A302" s="34"/>
      <c r="B302" s="17">
        <f t="shared" si="4"/>
        <v>70135105</v>
      </c>
      <c r="C302" s="37" t="s">
        <v>345</v>
      </c>
      <c r="E302" s="3" t="str">
        <f>F302&amp;(VLOOKUP(G302,编号表!$E$1:$G$8,2,0))&amp;H302&amp;"_"&amp;I302&amp;"_"&amp;J302</f>
        <v>13N5_1_5</v>
      </c>
      <c r="F302" s="3">
        <v>13</v>
      </c>
      <c r="G302" s="3" t="s">
        <v>52</v>
      </c>
      <c r="H302" s="3">
        <v>5</v>
      </c>
      <c r="I302" s="3">
        <v>1</v>
      </c>
      <c r="J302" s="3">
        <v>5</v>
      </c>
      <c r="T302" s="18">
        <v>1012603</v>
      </c>
    </row>
    <row r="303" ht="15" spans="1:20">
      <c r="A303" s="34"/>
      <c r="B303" s="17">
        <f t="shared" si="4"/>
        <v>70135201</v>
      </c>
      <c r="C303" s="37" t="s">
        <v>346</v>
      </c>
      <c r="E303" s="3" t="str">
        <f>F303&amp;(VLOOKUP(G303,编号表!$E$1:$G$8,2,0))&amp;H303&amp;"_"&amp;I303&amp;"_"&amp;J303</f>
        <v>13N5_2_1</v>
      </c>
      <c r="F303" s="3">
        <v>13</v>
      </c>
      <c r="G303" s="3" t="s">
        <v>52</v>
      </c>
      <c r="H303" s="3">
        <v>5</v>
      </c>
      <c r="I303" s="3">
        <v>2</v>
      </c>
      <c r="J303" s="3">
        <v>1</v>
      </c>
      <c r="T303" s="18">
        <v>1012703</v>
      </c>
    </row>
    <row r="304" ht="15" spans="1:20">
      <c r="A304" s="34"/>
      <c r="B304" s="17">
        <f t="shared" si="4"/>
        <v>70135202</v>
      </c>
      <c r="C304" s="37" t="s">
        <v>347</v>
      </c>
      <c r="E304" s="3" t="str">
        <f>F304&amp;(VLOOKUP(G304,编号表!$E$1:$G$8,2,0))&amp;H304&amp;"_"&amp;I304&amp;"_"&amp;J304</f>
        <v>13N5_2_2</v>
      </c>
      <c r="F304" s="3">
        <v>13</v>
      </c>
      <c r="G304" s="3" t="s">
        <v>52</v>
      </c>
      <c r="H304" s="3">
        <v>5</v>
      </c>
      <c r="I304" s="3">
        <v>2</v>
      </c>
      <c r="J304" s="3">
        <v>2</v>
      </c>
      <c r="T304" s="18">
        <v>1012303</v>
      </c>
    </row>
    <row r="305" ht="15" spans="1:20">
      <c r="A305" s="34"/>
      <c r="B305" s="17">
        <f t="shared" si="4"/>
        <v>70135203</v>
      </c>
      <c r="C305" s="37" t="s">
        <v>348</v>
      </c>
      <c r="E305" s="3" t="str">
        <f>F305&amp;(VLOOKUP(G305,编号表!$E$1:$G$8,2,0))&amp;H305&amp;"_"&amp;I305&amp;"_"&amp;J305</f>
        <v>13N5_2_3</v>
      </c>
      <c r="F305" s="3">
        <v>13</v>
      </c>
      <c r="G305" s="3" t="s">
        <v>52</v>
      </c>
      <c r="H305" s="3">
        <v>5</v>
      </c>
      <c r="I305" s="3">
        <v>2</v>
      </c>
      <c r="J305" s="3">
        <v>3</v>
      </c>
      <c r="T305" s="18">
        <v>1012403</v>
      </c>
    </row>
    <row r="306" ht="15" spans="1:20">
      <c r="A306" s="34"/>
      <c r="B306" s="17">
        <f t="shared" si="4"/>
        <v>70135204</v>
      </c>
      <c r="C306" s="37" t="s">
        <v>349</v>
      </c>
      <c r="E306" s="3" t="str">
        <f>F306&amp;(VLOOKUP(G306,编号表!$E$1:$G$8,2,0))&amp;H306&amp;"_"&amp;I306&amp;"_"&amp;J306</f>
        <v>13N5_2_4</v>
      </c>
      <c r="F306" s="3">
        <v>13</v>
      </c>
      <c r="G306" s="3" t="s">
        <v>52</v>
      </c>
      <c r="H306" s="3">
        <v>5</v>
      </c>
      <c r="I306" s="3">
        <v>2</v>
      </c>
      <c r="J306" s="3">
        <v>4</v>
      </c>
      <c r="T306" s="18">
        <v>1012503</v>
      </c>
    </row>
    <row r="307" ht="13" customHeight="1" spans="1:20">
      <c r="A307" s="34"/>
      <c r="B307" s="17">
        <f t="shared" si="4"/>
        <v>70135205</v>
      </c>
      <c r="C307" s="37" t="s">
        <v>350</v>
      </c>
      <c r="E307" s="3" t="str">
        <f>F307&amp;(VLOOKUP(G307,编号表!$E$1:$G$8,2,0))&amp;H307&amp;"_"&amp;I307&amp;"_"&amp;J307</f>
        <v>13N5_2_5</v>
      </c>
      <c r="F307" s="3">
        <v>13</v>
      </c>
      <c r="G307" s="3" t="s">
        <v>52</v>
      </c>
      <c r="H307" s="3">
        <v>5</v>
      </c>
      <c r="I307" s="3">
        <v>2</v>
      </c>
      <c r="J307" s="3">
        <v>5</v>
      </c>
      <c r="T307" s="18">
        <v>1012103</v>
      </c>
    </row>
    <row r="308" ht="13" customHeight="1" spans="1:20">
      <c r="A308" s="34"/>
      <c r="B308" s="17">
        <f t="shared" si="4"/>
        <v>70135206</v>
      </c>
      <c r="C308" s="37" t="s">
        <v>351</v>
      </c>
      <c r="E308" s="3" t="str">
        <f>F308&amp;(VLOOKUP(G308,编号表!$E$1:$G$8,2,0))&amp;H308&amp;"_"&amp;I308&amp;"_"&amp;J308</f>
        <v>13N5_2_6</v>
      </c>
      <c r="F308" s="3">
        <v>13</v>
      </c>
      <c r="G308" s="3" t="s">
        <v>52</v>
      </c>
      <c r="H308" s="3">
        <v>5</v>
      </c>
      <c r="I308" s="3">
        <v>2</v>
      </c>
      <c r="J308" s="3">
        <v>6</v>
      </c>
      <c r="T308" s="18">
        <v>1012603</v>
      </c>
    </row>
    <row r="309" ht="13" customHeight="1" spans="1:20">
      <c r="A309" s="34"/>
      <c r="B309" s="17">
        <f t="shared" si="4"/>
        <v>70135301</v>
      </c>
      <c r="C309" s="37" t="s">
        <v>352</v>
      </c>
      <c r="E309" s="3" t="str">
        <f>F309&amp;(VLOOKUP(G309,编号表!$E$1:$G$8,2,0))&amp;H309&amp;"_"&amp;I309&amp;"_"&amp;J309</f>
        <v>13N5_3_1</v>
      </c>
      <c r="F309" s="3">
        <v>13</v>
      </c>
      <c r="G309" s="3" t="s">
        <v>52</v>
      </c>
      <c r="H309" s="3">
        <v>5</v>
      </c>
      <c r="I309" s="3">
        <v>3</v>
      </c>
      <c r="J309" s="3">
        <v>1</v>
      </c>
      <c r="T309" s="18">
        <v>1012703</v>
      </c>
    </row>
    <row r="310" ht="13" customHeight="1" spans="1:20">
      <c r="A310" s="34"/>
      <c r="B310" s="17">
        <f t="shared" si="4"/>
        <v>70135302</v>
      </c>
      <c r="C310" s="37" t="s">
        <v>353</v>
      </c>
      <c r="E310" s="3" t="str">
        <f>F310&amp;(VLOOKUP(G310,编号表!$E$1:$G$8,2,0))&amp;H310&amp;"_"&amp;I310&amp;"_"&amp;J310</f>
        <v>13N5_3_2</v>
      </c>
      <c r="F310" s="3">
        <v>13</v>
      </c>
      <c r="G310" s="3" t="s">
        <v>52</v>
      </c>
      <c r="H310" s="3">
        <v>5</v>
      </c>
      <c r="I310" s="3">
        <v>3</v>
      </c>
      <c r="J310" s="3">
        <v>2</v>
      </c>
      <c r="T310" s="18">
        <v>1012103</v>
      </c>
    </row>
    <row r="311" ht="13" customHeight="1" spans="1:20">
      <c r="A311" s="34"/>
      <c r="B311" s="17">
        <f t="shared" si="4"/>
        <v>70135303</v>
      </c>
      <c r="C311" s="37" t="s">
        <v>354</v>
      </c>
      <c r="E311" s="3" t="str">
        <f>F311&amp;(VLOOKUP(G311,编号表!$E$1:$G$8,2,0))&amp;H311&amp;"_"&amp;I311&amp;"_"&amp;J311</f>
        <v>13N5_3_3</v>
      </c>
      <c r="F311" s="3">
        <v>13</v>
      </c>
      <c r="G311" s="3" t="s">
        <v>52</v>
      </c>
      <c r="H311" s="3">
        <v>5</v>
      </c>
      <c r="I311" s="3">
        <v>3</v>
      </c>
      <c r="J311" s="3">
        <v>3</v>
      </c>
      <c r="T311" s="18">
        <v>1012303</v>
      </c>
    </row>
    <row r="312" ht="13" customHeight="1" spans="1:20">
      <c r="A312" s="34"/>
      <c r="B312" s="17">
        <f t="shared" si="4"/>
        <v>70135304</v>
      </c>
      <c r="C312" s="37" t="s">
        <v>355</v>
      </c>
      <c r="E312" s="3" t="str">
        <f>F312&amp;(VLOOKUP(G312,编号表!$E$1:$G$8,2,0))&amp;H312&amp;"_"&amp;I312&amp;"_"&amp;J312</f>
        <v>13N5_3_4</v>
      </c>
      <c r="F312" s="3">
        <v>13</v>
      </c>
      <c r="G312" s="3" t="s">
        <v>52</v>
      </c>
      <c r="H312" s="3">
        <v>5</v>
      </c>
      <c r="I312" s="3">
        <v>3</v>
      </c>
      <c r="J312" s="3">
        <v>4</v>
      </c>
      <c r="T312" s="18">
        <v>1012403</v>
      </c>
    </row>
    <row r="313" ht="13" customHeight="1" spans="1:20">
      <c r="A313" s="34"/>
      <c r="B313" s="17">
        <f t="shared" si="4"/>
        <v>70135305</v>
      </c>
      <c r="C313" s="37" t="s">
        <v>356</v>
      </c>
      <c r="E313" s="3" t="str">
        <f>F313&amp;(VLOOKUP(G313,编号表!$E$1:$G$8,2,0))&amp;H313&amp;"_"&amp;I313&amp;"_"&amp;J313</f>
        <v>13N5_3_5</v>
      </c>
      <c r="F313" s="3">
        <v>13</v>
      </c>
      <c r="G313" s="3" t="s">
        <v>52</v>
      </c>
      <c r="H313" s="3">
        <v>5</v>
      </c>
      <c r="I313" s="3">
        <v>3</v>
      </c>
      <c r="J313" s="3">
        <v>5</v>
      </c>
      <c r="T313" s="18">
        <v>1012503</v>
      </c>
    </row>
    <row r="314" ht="13" customHeight="1" spans="1:20">
      <c r="A314" s="34"/>
      <c r="B314" s="17">
        <f t="shared" si="4"/>
        <v>70135306</v>
      </c>
      <c r="C314" s="37" t="s">
        <v>357</v>
      </c>
      <c r="E314" s="3" t="str">
        <f>F314&amp;(VLOOKUP(G314,编号表!$E$1:$G$8,2,0))&amp;H314&amp;"_"&amp;I314&amp;"_"&amp;J314</f>
        <v>13N5_3_6</v>
      </c>
      <c r="F314" s="3">
        <v>13</v>
      </c>
      <c r="G314" s="3" t="s">
        <v>52</v>
      </c>
      <c r="H314" s="3">
        <v>5</v>
      </c>
      <c r="I314" s="3">
        <v>3</v>
      </c>
      <c r="J314" s="3">
        <v>6</v>
      </c>
      <c r="T314" s="18">
        <v>1012603</v>
      </c>
    </row>
    <row r="315" ht="13" customHeight="1" spans="1:20">
      <c r="A315" s="34"/>
      <c r="B315" s="17">
        <f t="shared" si="4"/>
        <v>70135401</v>
      </c>
      <c r="C315" s="37" t="s">
        <v>358</v>
      </c>
      <c r="E315" s="3" t="str">
        <f>F315&amp;(VLOOKUP(G315,编号表!$E$1:$G$8,2,0))&amp;H315&amp;"_"&amp;I315&amp;"_"&amp;J315</f>
        <v>13N5_4_1</v>
      </c>
      <c r="F315" s="3">
        <v>13</v>
      </c>
      <c r="G315" s="3" t="s">
        <v>52</v>
      </c>
      <c r="H315" s="3">
        <v>5</v>
      </c>
      <c r="I315" s="3">
        <v>4</v>
      </c>
      <c r="J315" s="3">
        <v>1</v>
      </c>
      <c r="T315" s="18">
        <v>1012703</v>
      </c>
    </row>
    <row r="316" ht="13" customHeight="1" spans="1:20">
      <c r="A316" s="34"/>
      <c r="B316" s="17">
        <f t="shared" si="4"/>
        <v>70135402</v>
      </c>
      <c r="C316" s="37" t="s">
        <v>359</v>
      </c>
      <c r="E316" s="3" t="str">
        <f>F316&amp;(VLOOKUP(G316,编号表!$E$1:$G$8,2,0))&amp;H316&amp;"_"&amp;I316&amp;"_"&amp;J316</f>
        <v>13N5_4_2</v>
      </c>
      <c r="F316" s="3">
        <v>13</v>
      </c>
      <c r="G316" s="3" t="s">
        <v>52</v>
      </c>
      <c r="H316" s="3">
        <v>5</v>
      </c>
      <c r="I316" s="3">
        <v>4</v>
      </c>
      <c r="J316" s="3">
        <v>2</v>
      </c>
      <c r="T316" s="18">
        <v>1012303</v>
      </c>
    </row>
    <row r="317" ht="13" customHeight="1" spans="1:20">
      <c r="A317" s="34"/>
      <c r="B317" s="17">
        <f t="shared" si="4"/>
        <v>70135403</v>
      </c>
      <c r="C317" s="37" t="s">
        <v>360</v>
      </c>
      <c r="E317" s="3" t="str">
        <f>F317&amp;(VLOOKUP(G317,编号表!$E$1:$G$8,2,0))&amp;H317&amp;"_"&amp;I317&amp;"_"&amp;J317</f>
        <v>13N5_4_3</v>
      </c>
      <c r="F317" s="3">
        <v>13</v>
      </c>
      <c r="G317" s="3" t="s">
        <v>52</v>
      </c>
      <c r="H317" s="3">
        <v>5</v>
      </c>
      <c r="I317" s="3">
        <v>4</v>
      </c>
      <c r="J317" s="3">
        <v>3</v>
      </c>
      <c r="T317" s="18">
        <v>1012403</v>
      </c>
    </row>
    <row r="318" ht="15" spans="1:20">
      <c r="A318" s="34"/>
      <c r="B318" s="17">
        <f t="shared" si="4"/>
        <v>70135001</v>
      </c>
      <c r="C318" s="39" t="s">
        <v>361</v>
      </c>
      <c r="E318" s="3" t="str">
        <f>F318&amp;(VLOOKUP(G318,编号表!$E$1:$G$8,2,0))&amp;H318&amp;"_"&amp;I318&amp;"_"&amp;J318</f>
        <v>13J5_0_1</v>
      </c>
      <c r="F318" s="3">
        <v>13</v>
      </c>
      <c r="G318" s="3" t="s">
        <v>167</v>
      </c>
      <c r="H318" s="3">
        <v>5</v>
      </c>
      <c r="I318" s="3">
        <v>0</v>
      </c>
      <c r="J318" s="3">
        <v>1</v>
      </c>
      <c r="K318" s="3">
        <v>1</v>
      </c>
    </row>
    <row r="319" ht="15" spans="1:20">
      <c r="A319" s="34"/>
      <c r="B319" s="17">
        <f t="shared" si="4"/>
        <v>70131001</v>
      </c>
      <c r="C319" s="36" t="s">
        <v>362</v>
      </c>
      <c r="E319" s="3" t="str">
        <f>F319&amp;(VLOOKUP(G319,编号表!$E$1:$G$8,2,0))&amp;H319&amp;"_"&amp;I319&amp;"_"&amp;J319</f>
        <v>13T1_0_1</v>
      </c>
      <c r="F319" s="3">
        <v>13</v>
      </c>
      <c r="G319" s="3" t="s">
        <v>169</v>
      </c>
      <c r="H319" s="3">
        <v>1</v>
      </c>
      <c r="I319" s="3">
        <v>0</v>
      </c>
      <c r="J319" s="3">
        <v>1</v>
      </c>
      <c r="L319" s="3">
        <v>1</v>
      </c>
      <c r="R319" s="3">
        <v>70121002</v>
      </c>
    </row>
    <row r="320" ht="15" spans="1:20">
      <c r="A320" s="34"/>
      <c r="B320" s="17">
        <f t="shared" si="4"/>
        <v>70131002</v>
      </c>
      <c r="C320" s="36" t="s">
        <v>362</v>
      </c>
      <c r="E320" s="3" t="str">
        <f>F320&amp;(VLOOKUP(G320,编号表!$E$1:$G$8,2,0))&amp;H320&amp;"_"&amp;I320&amp;"_"&amp;J320</f>
        <v>13T1_0_2</v>
      </c>
      <c r="F320" s="3">
        <v>13</v>
      </c>
      <c r="G320" s="3" t="s">
        <v>169</v>
      </c>
      <c r="H320" s="3">
        <v>1</v>
      </c>
      <c r="I320" s="3">
        <v>0</v>
      </c>
      <c r="J320" s="3">
        <v>2</v>
      </c>
      <c r="L320" s="3">
        <v>1</v>
      </c>
      <c r="R320" s="3">
        <v>70141001</v>
      </c>
    </row>
    <row r="321" ht="15" spans="1:20">
      <c r="A321" s="34"/>
      <c r="B321" s="17">
        <f t="shared" si="4"/>
        <v>70132001</v>
      </c>
      <c r="C321" s="36" t="s">
        <v>363</v>
      </c>
      <c r="E321" s="3" t="str">
        <f>F321&amp;(VLOOKUP(G321,编号表!$E$1:$G$8,2,0))&amp;H321&amp;"_"&amp;I321&amp;"_"&amp;J321</f>
        <v>13D2_0_1</v>
      </c>
      <c r="F321" s="3">
        <v>13</v>
      </c>
      <c r="G321" s="3" t="s">
        <v>171</v>
      </c>
      <c r="H321" s="3">
        <v>2</v>
      </c>
      <c r="I321" s="3">
        <v>0</v>
      </c>
      <c r="J321" s="3">
        <v>1</v>
      </c>
      <c r="M321" s="3">
        <v>1</v>
      </c>
    </row>
    <row r="322" ht="15" spans="1:20">
      <c r="A322" s="34"/>
      <c r="B322" s="17">
        <f t="shared" si="4"/>
        <v>70145101</v>
      </c>
      <c r="C322" s="37" t="s">
        <v>364</v>
      </c>
      <c r="E322" s="3" t="str">
        <f>F322&amp;(VLOOKUP(G322,编号表!$E$1:$G$8,2,0))&amp;H322&amp;"_"&amp;I322&amp;"_"&amp;J322</f>
        <v>14N5_1_1</v>
      </c>
      <c r="F322" s="3">
        <v>14</v>
      </c>
      <c r="G322" s="3" t="s">
        <v>52</v>
      </c>
      <c r="H322" s="3">
        <v>5</v>
      </c>
      <c r="I322" s="3">
        <v>1</v>
      </c>
      <c r="J322" s="3">
        <v>1</v>
      </c>
      <c r="T322" s="18">
        <v>1013303</v>
      </c>
    </row>
    <row r="323" ht="15" spans="1:20">
      <c r="A323" s="34"/>
      <c r="B323" s="17">
        <f t="shared" si="4"/>
        <v>70145102</v>
      </c>
      <c r="C323" s="37" t="s">
        <v>365</v>
      </c>
      <c r="E323" s="3" t="str">
        <f>F323&amp;(VLOOKUP(G323,编号表!$E$1:$G$8,2,0))&amp;H323&amp;"_"&amp;I323&amp;"_"&amp;J323</f>
        <v>14N5_1_2</v>
      </c>
      <c r="F323" s="3">
        <v>14</v>
      </c>
      <c r="G323" s="3" t="s">
        <v>52</v>
      </c>
      <c r="H323" s="3">
        <v>5</v>
      </c>
      <c r="I323" s="3">
        <v>1</v>
      </c>
      <c r="J323" s="3">
        <v>2</v>
      </c>
      <c r="T323" s="18">
        <v>1013103</v>
      </c>
    </row>
    <row r="324" ht="15" spans="1:20">
      <c r="A324" s="34"/>
      <c r="B324" s="17">
        <f t="shared" si="4"/>
        <v>70145103</v>
      </c>
      <c r="C324" s="37" t="s">
        <v>366</v>
      </c>
      <c r="E324" s="3" t="str">
        <f>F324&amp;(VLOOKUP(G324,编号表!$E$1:$G$8,2,0))&amp;H324&amp;"_"&amp;I324&amp;"_"&amp;J324</f>
        <v>14N5_1_3</v>
      </c>
      <c r="F324" s="3">
        <v>14</v>
      </c>
      <c r="G324" s="3" t="s">
        <v>52</v>
      </c>
      <c r="H324" s="3">
        <v>5</v>
      </c>
      <c r="I324" s="3">
        <v>1</v>
      </c>
      <c r="J324" s="3">
        <v>3</v>
      </c>
      <c r="T324" s="18">
        <v>1013403</v>
      </c>
    </row>
    <row r="325" ht="15" spans="1:20">
      <c r="A325" s="34"/>
      <c r="B325" s="17">
        <f t="shared" ref="B325:B388" si="5">70000000+F325*10000+H325*1000+I325*100+J325</f>
        <v>70145104</v>
      </c>
      <c r="C325" s="37" t="s">
        <v>367</v>
      </c>
      <c r="E325" s="3" t="str">
        <f>F325&amp;(VLOOKUP(G325,编号表!$E$1:$G$8,2,0))&amp;H325&amp;"_"&amp;I325&amp;"_"&amp;J325</f>
        <v>14N5_1_4</v>
      </c>
      <c r="F325" s="3">
        <v>14</v>
      </c>
      <c r="G325" s="3" t="s">
        <v>52</v>
      </c>
      <c r="H325" s="3">
        <v>5</v>
      </c>
      <c r="I325" s="3">
        <v>1</v>
      </c>
      <c r="J325" s="3">
        <v>4</v>
      </c>
      <c r="T325" s="18">
        <v>1013503</v>
      </c>
    </row>
    <row r="326" ht="15" spans="1:20">
      <c r="A326" s="34"/>
      <c r="B326" s="17">
        <f t="shared" si="5"/>
        <v>70145105</v>
      </c>
      <c r="C326" s="37" t="s">
        <v>368</v>
      </c>
      <c r="E326" s="3" t="str">
        <f>F326&amp;(VLOOKUP(G326,编号表!$E$1:$G$8,2,0))&amp;H326&amp;"_"&amp;I326&amp;"_"&amp;J326</f>
        <v>14N5_1_5</v>
      </c>
      <c r="F326" s="3">
        <v>14</v>
      </c>
      <c r="G326" s="3" t="s">
        <v>52</v>
      </c>
      <c r="H326" s="3">
        <v>5</v>
      </c>
      <c r="I326" s="3">
        <v>1</v>
      </c>
      <c r="J326" s="3">
        <v>5</v>
      </c>
      <c r="T326" s="18">
        <v>1013103</v>
      </c>
    </row>
    <row r="327" ht="15" spans="1:20">
      <c r="A327" s="34"/>
      <c r="B327" s="17">
        <f t="shared" si="5"/>
        <v>70145106</v>
      </c>
      <c r="C327" s="37" t="s">
        <v>369</v>
      </c>
      <c r="E327" s="3" t="str">
        <f>F327&amp;(VLOOKUP(G327,编号表!$E$1:$G$8,2,0))&amp;H327&amp;"_"&amp;I327&amp;"_"&amp;J327</f>
        <v>14N5_1_6</v>
      </c>
      <c r="F327" s="3">
        <v>14</v>
      </c>
      <c r="G327" s="3" t="s">
        <v>52</v>
      </c>
      <c r="H327" s="3">
        <v>5</v>
      </c>
      <c r="I327" s="3">
        <v>1</v>
      </c>
      <c r="J327" s="3">
        <v>6</v>
      </c>
      <c r="T327" s="18">
        <v>1013603</v>
      </c>
    </row>
    <row r="328" ht="15" spans="1:20">
      <c r="A328" s="34"/>
      <c r="B328" s="17">
        <f t="shared" si="5"/>
        <v>70145107</v>
      </c>
      <c r="C328" s="37" t="s">
        <v>370</v>
      </c>
      <c r="E328" s="3" t="str">
        <f>F328&amp;(VLOOKUP(G328,编号表!$E$1:$G$8,2,0))&amp;H328&amp;"_"&amp;I328&amp;"_"&amp;J328</f>
        <v>14N5_1_7</v>
      </c>
      <c r="F328" s="3">
        <v>14</v>
      </c>
      <c r="G328" s="3" t="s">
        <v>52</v>
      </c>
      <c r="H328" s="3">
        <v>5</v>
      </c>
      <c r="I328" s="3">
        <v>1</v>
      </c>
      <c r="J328" s="3">
        <v>7</v>
      </c>
      <c r="T328" s="18">
        <v>1013303</v>
      </c>
    </row>
    <row r="329" ht="15" spans="1:20">
      <c r="A329" s="34"/>
      <c r="B329" s="17">
        <f t="shared" si="5"/>
        <v>70145201</v>
      </c>
      <c r="C329" s="37" t="s">
        <v>371</v>
      </c>
      <c r="E329" s="3" t="str">
        <f>F329&amp;(VLOOKUP(G329,编号表!$E$1:$G$8,2,0))&amp;H329&amp;"_"&amp;I329&amp;"_"&amp;J329</f>
        <v>14N5_2_1</v>
      </c>
      <c r="F329" s="3">
        <v>14</v>
      </c>
      <c r="G329" s="3" t="s">
        <v>52</v>
      </c>
      <c r="H329" s="3">
        <v>5</v>
      </c>
      <c r="I329" s="3">
        <v>2</v>
      </c>
      <c r="J329" s="3">
        <v>1</v>
      </c>
      <c r="T329" s="18">
        <v>1013403</v>
      </c>
    </row>
    <row r="330" ht="15" spans="1:20">
      <c r="A330" s="34"/>
      <c r="B330" s="17">
        <f t="shared" si="5"/>
        <v>70145202</v>
      </c>
      <c r="C330" s="37" t="s">
        <v>372</v>
      </c>
      <c r="E330" s="3" t="str">
        <f>F330&amp;(VLOOKUP(G330,编号表!$E$1:$G$8,2,0))&amp;H330&amp;"_"&amp;I330&amp;"_"&amp;J330</f>
        <v>14N5_2_2</v>
      </c>
      <c r="F330" s="3">
        <v>14</v>
      </c>
      <c r="G330" s="3" t="s">
        <v>52</v>
      </c>
      <c r="H330" s="3">
        <v>5</v>
      </c>
      <c r="I330" s="3">
        <v>2</v>
      </c>
      <c r="J330" s="3">
        <v>2</v>
      </c>
      <c r="T330" s="18">
        <v>1013503</v>
      </c>
    </row>
    <row r="331" ht="15" spans="1:20">
      <c r="A331" s="34"/>
      <c r="B331" s="17">
        <f t="shared" si="5"/>
        <v>70145203</v>
      </c>
      <c r="C331" s="37" t="s">
        <v>373</v>
      </c>
      <c r="E331" s="3" t="str">
        <f>F331&amp;(VLOOKUP(G331,编号表!$E$1:$G$8,2,0))&amp;H331&amp;"_"&amp;I331&amp;"_"&amp;J331</f>
        <v>14N5_2_3</v>
      </c>
      <c r="F331" s="3">
        <v>14</v>
      </c>
      <c r="G331" s="3" t="s">
        <v>52</v>
      </c>
      <c r="H331" s="3">
        <v>5</v>
      </c>
      <c r="I331" s="3">
        <v>2</v>
      </c>
      <c r="J331" s="3">
        <v>3</v>
      </c>
      <c r="T331" s="18">
        <v>1013103</v>
      </c>
    </row>
    <row r="332" ht="15" spans="1:20">
      <c r="A332" s="34"/>
      <c r="B332" s="17">
        <f t="shared" si="5"/>
        <v>70145204</v>
      </c>
      <c r="C332" s="37" t="s">
        <v>374</v>
      </c>
      <c r="E332" s="3" t="str">
        <f>F332&amp;(VLOOKUP(G332,编号表!$E$1:$G$8,2,0))&amp;H332&amp;"_"&amp;I332&amp;"_"&amp;J332</f>
        <v>14N5_2_4</v>
      </c>
      <c r="F332" s="3">
        <v>14</v>
      </c>
      <c r="G332" s="3" t="s">
        <v>52</v>
      </c>
      <c r="H332" s="3">
        <v>5</v>
      </c>
      <c r="I332" s="3">
        <v>2</v>
      </c>
      <c r="J332" s="3">
        <v>4</v>
      </c>
      <c r="T332" s="18">
        <v>1013603</v>
      </c>
    </row>
    <row r="333" ht="15" spans="1:20">
      <c r="A333" s="34"/>
      <c r="B333" s="17">
        <f t="shared" si="5"/>
        <v>70145205</v>
      </c>
      <c r="C333" s="37" t="s">
        <v>375</v>
      </c>
      <c r="E333" s="3" t="str">
        <f>F333&amp;(VLOOKUP(G333,编号表!$E$1:$G$8,2,0))&amp;H333&amp;"_"&amp;I333&amp;"_"&amp;J333</f>
        <v>14N5_2_5</v>
      </c>
      <c r="F333" s="3">
        <v>14</v>
      </c>
      <c r="G333" s="3" t="s">
        <v>52</v>
      </c>
      <c r="H333" s="3">
        <v>5</v>
      </c>
      <c r="I333" s="3">
        <v>2</v>
      </c>
      <c r="J333" s="3">
        <v>5</v>
      </c>
      <c r="T333" s="18">
        <v>1013303</v>
      </c>
    </row>
    <row r="334" ht="15" spans="1:20">
      <c r="A334" s="34"/>
      <c r="B334" s="17">
        <f t="shared" si="5"/>
        <v>70145301</v>
      </c>
      <c r="C334" s="37" t="s">
        <v>376</v>
      </c>
      <c r="E334" s="3" t="str">
        <f>F334&amp;(VLOOKUP(G334,编号表!$E$1:$G$8,2,0))&amp;H334&amp;"_"&amp;I334&amp;"_"&amp;J334</f>
        <v>14N5_3_1</v>
      </c>
      <c r="F334" s="3">
        <v>14</v>
      </c>
      <c r="G334" s="3" t="s">
        <v>52</v>
      </c>
      <c r="H334" s="3">
        <v>5</v>
      </c>
      <c r="I334" s="3">
        <v>3</v>
      </c>
      <c r="J334" s="3">
        <v>1</v>
      </c>
      <c r="T334" s="18">
        <v>1013403</v>
      </c>
    </row>
    <row r="335" ht="15" spans="1:20">
      <c r="A335" s="34"/>
      <c r="B335" s="17">
        <f t="shared" si="5"/>
        <v>70145302</v>
      </c>
      <c r="C335" s="37" t="s">
        <v>377</v>
      </c>
      <c r="E335" s="3" t="str">
        <f>F335&amp;(VLOOKUP(G335,编号表!$E$1:$G$8,2,0))&amp;H335&amp;"_"&amp;I335&amp;"_"&amp;J335</f>
        <v>14N5_3_2</v>
      </c>
      <c r="F335" s="3">
        <v>14</v>
      </c>
      <c r="G335" s="3" t="s">
        <v>52</v>
      </c>
      <c r="H335" s="3">
        <v>5</v>
      </c>
      <c r="I335" s="3">
        <v>3</v>
      </c>
      <c r="J335" s="3">
        <v>2</v>
      </c>
      <c r="T335" s="18">
        <v>1013503</v>
      </c>
    </row>
    <row r="336" ht="15" spans="1:20">
      <c r="A336" s="34"/>
      <c r="B336" s="17">
        <f t="shared" si="5"/>
        <v>70145303</v>
      </c>
      <c r="C336" s="37" t="s">
        <v>378</v>
      </c>
      <c r="E336" s="3" t="str">
        <f>F336&amp;(VLOOKUP(G336,编号表!$E$1:$G$8,2,0))&amp;H336&amp;"_"&amp;I336&amp;"_"&amp;J336</f>
        <v>14N5_3_3</v>
      </c>
      <c r="F336" s="3">
        <v>14</v>
      </c>
      <c r="G336" s="3" t="s">
        <v>52</v>
      </c>
      <c r="H336" s="3">
        <v>5</v>
      </c>
      <c r="I336" s="3">
        <v>3</v>
      </c>
      <c r="J336" s="3">
        <v>3</v>
      </c>
      <c r="T336" s="18">
        <v>1013603</v>
      </c>
    </row>
    <row r="337" ht="15" spans="1:20">
      <c r="A337" s="34"/>
      <c r="B337" s="17">
        <f t="shared" si="5"/>
        <v>70145304</v>
      </c>
      <c r="C337" s="37" t="s">
        <v>379</v>
      </c>
      <c r="E337" s="3" t="str">
        <f>F337&amp;(VLOOKUP(G337,编号表!$E$1:$G$8,2,0))&amp;H337&amp;"_"&amp;I337&amp;"_"&amp;J337</f>
        <v>14N5_3_4</v>
      </c>
      <c r="F337" s="3">
        <v>14</v>
      </c>
      <c r="G337" s="3" t="s">
        <v>52</v>
      </c>
      <c r="H337" s="3">
        <v>5</v>
      </c>
      <c r="I337" s="3">
        <v>3</v>
      </c>
      <c r="J337" s="3">
        <v>4</v>
      </c>
      <c r="T337" s="18">
        <v>1013303</v>
      </c>
    </row>
    <row r="338" ht="15" spans="1:20">
      <c r="A338" s="34"/>
      <c r="B338" s="17">
        <f t="shared" si="5"/>
        <v>70145305</v>
      </c>
      <c r="C338" s="37" t="s">
        <v>380</v>
      </c>
      <c r="E338" s="3" t="str">
        <f>F338&amp;(VLOOKUP(G338,编号表!$E$1:$G$8,2,0))&amp;H338&amp;"_"&amp;I338&amp;"_"&amp;J338</f>
        <v>14N5_3_5</v>
      </c>
      <c r="F338" s="3">
        <v>14</v>
      </c>
      <c r="G338" s="3" t="s">
        <v>52</v>
      </c>
      <c r="H338" s="3">
        <v>5</v>
      </c>
      <c r="I338" s="3">
        <v>3</v>
      </c>
      <c r="J338" s="3">
        <v>5</v>
      </c>
      <c r="T338" s="18">
        <v>1013403</v>
      </c>
    </row>
    <row r="339" ht="15" spans="1:20">
      <c r="A339" s="34"/>
      <c r="B339" s="17">
        <f t="shared" si="5"/>
        <v>70145001</v>
      </c>
      <c r="C339" s="39" t="s">
        <v>381</v>
      </c>
      <c r="E339" s="3" t="str">
        <f>F339&amp;(VLOOKUP(G339,编号表!$E$1:$G$8,2,0))&amp;H339&amp;"_"&amp;I339&amp;"_"&amp;J339</f>
        <v>14J5_0_1</v>
      </c>
      <c r="F339" s="3">
        <v>14</v>
      </c>
      <c r="G339" s="3" t="s">
        <v>167</v>
      </c>
      <c r="H339" s="3">
        <v>5</v>
      </c>
      <c r="I339" s="3">
        <v>0</v>
      </c>
      <c r="J339" s="3">
        <v>1</v>
      </c>
      <c r="K339" s="3">
        <v>1</v>
      </c>
    </row>
    <row r="340" ht="15" spans="1:20">
      <c r="A340" s="34"/>
      <c r="B340" s="17">
        <f t="shared" si="5"/>
        <v>70141001</v>
      </c>
      <c r="C340" s="36" t="s">
        <v>382</v>
      </c>
      <c r="E340" s="3" t="str">
        <f>F340&amp;(VLOOKUP(G340,编号表!$E$1:$G$8,2,0))&amp;H340&amp;"_"&amp;I340&amp;"_"&amp;J340</f>
        <v>14T1_0_1</v>
      </c>
      <c r="F340" s="3">
        <v>14</v>
      </c>
      <c r="G340" s="3" t="s">
        <v>169</v>
      </c>
      <c r="H340" s="3">
        <v>1</v>
      </c>
      <c r="I340" s="3">
        <v>0</v>
      </c>
      <c r="J340" s="3">
        <v>1</v>
      </c>
      <c r="L340" s="3">
        <v>1</v>
      </c>
      <c r="R340" s="3">
        <v>70131002</v>
      </c>
    </row>
    <row r="341" ht="15" spans="1:20">
      <c r="A341" s="34"/>
      <c r="B341" s="17">
        <f t="shared" si="5"/>
        <v>70141002</v>
      </c>
      <c r="C341" s="36" t="s">
        <v>382</v>
      </c>
      <c r="E341" s="3" t="str">
        <f>F341&amp;(VLOOKUP(G341,编号表!$E$1:$G$8,2,0))&amp;H341&amp;"_"&amp;I341&amp;"_"&amp;J341</f>
        <v>14T1_0_2</v>
      </c>
      <c r="F341" s="3">
        <v>14</v>
      </c>
      <c r="G341" s="3" t="s">
        <v>169</v>
      </c>
      <c r="H341" s="3">
        <v>1</v>
      </c>
      <c r="I341" s="3">
        <v>0</v>
      </c>
      <c r="J341" s="3">
        <v>2</v>
      </c>
      <c r="L341" s="3">
        <v>1</v>
      </c>
      <c r="R341" s="3">
        <v>70151001</v>
      </c>
    </row>
    <row r="342" ht="15" spans="1:20">
      <c r="A342" s="34"/>
      <c r="B342" s="17">
        <f t="shared" si="5"/>
        <v>70142001</v>
      </c>
      <c r="C342" s="36" t="s">
        <v>383</v>
      </c>
      <c r="E342" s="3" t="str">
        <f>F342&amp;(VLOOKUP(G342,编号表!$E$1:$G$8,2,0))&amp;H342&amp;"_"&amp;I342&amp;"_"&amp;J342</f>
        <v>14D2_0_1</v>
      </c>
      <c r="F342" s="3">
        <v>14</v>
      </c>
      <c r="G342" s="3" t="s">
        <v>171</v>
      </c>
      <c r="H342" s="3">
        <v>2</v>
      </c>
      <c r="I342" s="3">
        <v>0</v>
      </c>
      <c r="J342" s="3">
        <v>1</v>
      </c>
      <c r="M342" s="3">
        <v>1</v>
      </c>
    </row>
    <row r="343" ht="15" spans="1:20">
      <c r="A343" s="34"/>
      <c r="B343" s="17">
        <f t="shared" si="5"/>
        <v>70155101</v>
      </c>
      <c r="C343" s="37" t="s">
        <v>384</v>
      </c>
      <c r="E343" s="3" t="str">
        <f>F343&amp;(VLOOKUP(G343,编号表!$E$1:$G$8,2,0))&amp;H343&amp;"_"&amp;I343&amp;"_"&amp;J343</f>
        <v>15N5_1_1</v>
      </c>
      <c r="F343" s="3">
        <v>15</v>
      </c>
      <c r="G343" s="3" t="s">
        <v>52</v>
      </c>
      <c r="H343" s="3">
        <v>5</v>
      </c>
      <c r="I343" s="3">
        <v>1</v>
      </c>
      <c r="J343" s="3">
        <v>1</v>
      </c>
      <c r="T343" s="18">
        <v>1014303</v>
      </c>
    </row>
    <row r="344" ht="15" spans="1:20">
      <c r="A344" s="34"/>
      <c r="B344" s="17">
        <f t="shared" si="5"/>
        <v>70155102</v>
      </c>
      <c r="C344" s="37" t="s">
        <v>385</v>
      </c>
      <c r="E344" s="3" t="str">
        <f>F344&amp;(VLOOKUP(G344,编号表!$E$1:$G$8,2,0))&amp;H344&amp;"_"&amp;I344&amp;"_"&amp;J344</f>
        <v>15N5_1_2</v>
      </c>
      <c r="F344" s="3">
        <v>15</v>
      </c>
      <c r="G344" s="3" t="s">
        <v>52</v>
      </c>
      <c r="H344" s="3">
        <v>5</v>
      </c>
      <c r="I344" s="3">
        <v>1</v>
      </c>
      <c r="J344" s="3">
        <v>2</v>
      </c>
      <c r="T344" s="18">
        <v>1014403</v>
      </c>
    </row>
    <row r="345" ht="15" spans="1:20">
      <c r="A345" s="34"/>
      <c r="B345" s="17">
        <f t="shared" si="5"/>
        <v>70155103</v>
      </c>
      <c r="C345" s="37" t="s">
        <v>386</v>
      </c>
      <c r="E345" s="3" t="str">
        <f>F345&amp;(VLOOKUP(G345,编号表!$E$1:$G$8,2,0))&amp;H345&amp;"_"&amp;I345&amp;"_"&amp;J345</f>
        <v>15N5_1_3</v>
      </c>
      <c r="F345" s="3">
        <v>15</v>
      </c>
      <c r="G345" s="3" t="s">
        <v>52</v>
      </c>
      <c r="H345" s="3">
        <v>5</v>
      </c>
      <c r="I345" s="3">
        <v>1</v>
      </c>
      <c r="J345" s="3">
        <v>3</v>
      </c>
      <c r="T345" s="18">
        <v>1014503</v>
      </c>
    </row>
    <row r="346" ht="15" spans="1:20">
      <c r="A346" s="34"/>
      <c r="B346" s="17">
        <f t="shared" si="5"/>
        <v>70155201</v>
      </c>
      <c r="C346" s="37" t="s">
        <v>387</v>
      </c>
      <c r="E346" s="3" t="str">
        <f>F346&amp;(VLOOKUP(G346,编号表!$E$1:$G$8,2,0))&amp;H346&amp;"_"&amp;I346&amp;"_"&amp;J346</f>
        <v>15N5_2_1</v>
      </c>
      <c r="F346" s="3">
        <v>15</v>
      </c>
      <c r="G346" s="3" t="s">
        <v>52</v>
      </c>
      <c r="H346" s="3">
        <v>5</v>
      </c>
      <c r="I346" s="3">
        <v>2</v>
      </c>
      <c r="J346" s="3">
        <v>1</v>
      </c>
      <c r="T346" s="18">
        <v>1014303</v>
      </c>
    </row>
    <row r="347" ht="15" spans="1:20">
      <c r="A347" s="34"/>
      <c r="B347" s="17">
        <f t="shared" si="5"/>
        <v>70155202</v>
      </c>
      <c r="C347" s="37" t="s">
        <v>388</v>
      </c>
      <c r="E347" s="3" t="str">
        <f>F347&amp;(VLOOKUP(G347,编号表!$E$1:$G$8,2,0))&amp;H347&amp;"_"&amp;I347&amp;"_"&amp;J347</f>
        <v>15N5_2_2</v>
      </c>
      <c r="F347" s="3">
        <v>15</v>
      </c>
      <c r="G347" s="3" t="s">
        <v>52</v>
      </c>
      <c r="H347" s="3">
        <v>5</v>
      </c>
      <c r="I347" s="3">
        <v>2</v>
      </c>
      <c r="J347" s="3">
        <v>2</v>
      </c>
      <c r="T347" s="18">
        <v>1014103</v>
      </c>
    </row>
    <row r="348" ht="15" spans="1:20">
      <c r="A348" s="34"/>
      <c r="B348" s="17">
        <f t="shared" si="5"/>
        <v>70155203</v>
      </c>
      <c r="C348" s="37" t="s">
        <v>389</v>
      </c>
      <c r="E348" s="3" t="str">
        <f>F348&amp;(VLOOKUP(G348,编号表!$E$1:$G$8,2,0))&amp;H348&amp;"_"&amp;I348&amp;"_"&amp;J348</f>
        <v>15N5_2_3</v>
      </c>
      <c r="F348" s="3">
        <v>15</v>
      </c>
      <c r="G348" s="3" t="s">
        <v>52</v>
      </c>
      <c r="H348" s="3">
        <v>5</v>
      </c>
      <c r="I348" s="3">
        <v>2</v>
      </c>
      <c r="J348" s="3">
        <v>3</v>
      </c>
      <c r="T348" s="18">
        <v>1014103</v>
      </c>
    </row>
    <row r="349" ht="15" spans="1:20">
      <c r="A349" s="34"/>
      <c r="B349" s="17">
        <f t="shared" si="5"/>
        <v>70155301</v>
      </c>
      <c r="C349" s="37" t="s">
        <v>390</v>
      </c>
      <c r="E349" s="3" t="str">
        <f>F349&amp;(VLOOKUP(G349,编号表!$E$1:$G$8,2,0))&amp;H349&amp;"_"&amp;I349&amp;"_"&amp;J349</f>
        <v>15N5_3_1</v>
      </c>
      <c r="F349" s="3">
        <v>15</v>
      </c>
      <c r="G349" s="3" t="s">
        <v>52</v>
      </c>
      <c r="H349" s="3">
        <v>5</v>
      </c>
      <c r="I349" s="3">
        <v>3</v>
      </c>
      <c r="J349" s="3">
        <v>1</v>
      </c>
      <c r="T349" s="18">
        <v>1014103</v>
      </c>
    </row>
    <row r="350" ht="15" spans="1:20">
      <c r="A350" s="34"/>
      <c r="B350" s="17">
        <f t="shared" si="5"/>
        <v>70155302</v>
      </c>
      <c r="C350" s="37" t="s">
        <v>391</v>
      </c>
      <c r="E350" s="3" t="str">
        <f>F350&amp;(VLOOKUP(G350,编号表!$E$1:$G$8,2,0))&amp;H350&amp;"_"&amp;I350&amp;"_"&amp;J350</f>
        <v>15N5_3_2</v>
      </c>
      <c r="F350" s="3">
        <v>15</v>
      </c>
      <c r="G350" s="3" t="s">
        <v>52</v>
      </c>
      <c r="H350" s="3">
        <v>5</v>
      </c>
      <c r="I350" s="3">
        <v>3</v>
      </c>
      <c r="J350" s="3">
        <v>2</v>
      </c>
      <c r="T350" s="18">
        <v>1014403</v>
      </c>
    </row>
    <row r="351" ht="15" spans="1:20">
      <c r="A351" s="34"/>
      <c r="B351" s="17">
        <f t="shared" si="5"/>
        <v>70155303</v>
      </c>
      <c r="C351" s="37" t="s">
        <v>392</v>
      </c>
      <c r="E351" s="3" t="str">
        <f>F351&amp;(VLOOKUP(G351,编号表!$E$1:$G$8,2,0))&amp;H351&amp;"_"&amp;I351&amp;"_"&amp;J351</f>
        <v>15N5_3_3</v>
      </c>
      <c r="F351" s="3">
        <v>15</v>
      </c>
      <c r="G351" s="3" t="s">
        <v>52</v>
      </c>
      <c r="H351" s="3">
        <v>5</v>
      </c>
      <c r="I351" s="3">
        <v>3</v>
      </c>
      <c r="J351" s="3">
        <v>3</v>
      </c>
      <c r="T351" s="18">
        <v>1014003</v>
      </c>
    </row>
    <row r="352" ht="15" spans="1:20">
      <c r="A352" s="34"/>
      <c r="B352" s="17">
        <f t="shared" si="5"/>
        <v>70155401</v>
      </c>
      <c r="C352" s="37" t="s">
        <v>393</v>
      </c>
      <c r="E352" s="3" t="str">
        <f>F352&amp;(VLOOKUP(G352,编号表!$E$1:$G$8,2,0))&amp;H352&amp;"_"&amp;I352&amp;"_"&amp;J352</f>
        <v>15N5_4_1</v>
      </c>
      <c r="F352" s="3">
        <v>15</v>
      </c>
      <c r="G352" s="3" t="s">
        <v>52</v>
      </c>
      <c r="H352" s="3">
        <v>5</v>
      </c>
      <c r="I352" s="3">
        <v>4</v>
      </c>
      <c r="J352" s="3">
        <v>1</v>
      </c>
      <c r="T352" s="18">
        <v>1014503</v>
      </c>
    </row>
    <row r="353" ht="15" spans="1:20">
      <c r="A353" s="34"/>
      <c r="B353" s="17">
        <f t="shared" si="5"/>
        <v>70155402</v>
      </c>
      <c r="C353" s="37" t="s">
        <v>394</v>
      </c>
      <c r="E353" s="3" t="str">
        <f>F353&amp;(VLOOKUP(G353,编号表!$E$1:$G$8,2,0))&amp;H353&amp;"_"&amp;I353&amp;"_"&amp;J353</f>
        <v>15N5_4_2</v>
      </c>
      <c r="F353" s="3">
        <v>15</v>
      </c>
      <c r="G353" s="3" t="s">
        <v>52</v>
      </c>
      <c r="H353" s="3">
        <v>5</v>
      </c>
      <c r="I353" s="3">
        <v>4</v>
      </c>
      <c r="J353" s="3">
        <v>2</v>
      </c>
      <c r="T353" s="18">
        <v>1014303</v>
      </c>
    </row>
    <row r="354" ht="15" spans="1:20">
      <c r="A354" s="34"/>
      <c r="B354" s="17">
        <f t="shared" si="5"/>
        <v>70155403</v>
      </c>
      <c r="C354" s="37" t="s">
        <v>395</v>
      </c>
      <c r="E354" s="3" t="str">
        <f>F354&amp;(VLOOKUP(G354,编号表!$E$1:$G$8,2,0))&amp;H354&amp;"_"&amp;I354&amp;"_"&amp;J354</f>
        <v>15N5_4_3</v>
      </c>
      <c r="F354" s="3">
        <v>15</v>
      </c>
      <c r="G354" s="3" t="s">
        <v>52</v>
      </c>
      <c r="H354" s="3">
        <v>5</v>
      </c>
      <c r="I354" s="3">
        <v>4</v>
      </c>
      <c r="J354" s="3">
        <v>3</v>
      </c>
      <c r="T354" s="18">
        <v>1014403</v>
      </c>
    </row>
    <row r="355" ht="15" spans="1:20">
      <c r="A355" s="34"/>
      <c r="B355" s="17">
        <f t="shared" si="5"/>
        <v>70155404</v>
      </c>
      <c r="C355" s="37" t="s">
        <v>396</v>
      </c>
      <c r="E355" s="3" t="str">
        <f>F355&amp;(VLOOKUP(G355,编号表!$E$1:$G$8,2,0))&amp;H355&amp;"_"&amp;I355&amp;"_"&amp;J355</f>
        <v>15N5_4_4</v>
      </c>
      <c r="F355" s="3">
        <v>15</v>
      </c>
      <c r="G355" s="3" t="s">
        <v>52</v>
      </c>
      <c r="H355" s="3">
        <v>5</v>
      </c>
      <c r="I355" s="3">
        <v>4</v>
      </c>
      <c r="J355" s="3">
        <v>4</v>
      </c>
      <c r="T355" s="18">
        <v>1014503</v>
      </c>
    </row>
    <row r="356" ht="15" spans="1:20">
      <c r="A356" s="34"/>
      <c r="B356" s="17">
        <f t="shared" si="5"/>
        <v>70155001</v>
      </c>
      <c r="C356" s="39" t="s">
        <v>397</v>
      </c>
      <c r="E356" s="3" t="str">
        <f>F356&amp;(VLOOKUP(G356,编号表!$E$1:$G$8,2,0))&amp;H356&amp;"_"&amp;I356&amp;"_"&amp;J356</f>
        <v>15J5_0_1</v>
      </c>
      <c r="F356" s="3">
        <v>15</v>
      </c>
      <c r="G356" s="3" t="s">
        <v>167</v>
      </c>
      <c r="H356" s="3">
        <v>5</v>
      </c>
      <c r="I356" s="3">
        <v>0</v>
      </c>
      <c r="J356" s="3">
        <v>1</v>
      </c>
      <c r="K356" s="3">
        <v>1</v>
      </c>
    </row>
    <row r="357" ht="15" spans="1:20">
      <c r="A357" s="34"/>
      <c r="B357" s="17">
        <f t="shared" si="5"/>
        <v>70151001</v>
      </c>
      <c r="C357" s="36" t="s">
        <v>398</v>
      </c>
      <c r="E357" s="3" t="str">
        <f>F357&amp;(VLOOKUP(G357,编号表!$E$1:$G$8,2,0))&amp;H357&amp;"_"&amp;I357&amp;"_"&amp;J357</f>
        <v>15T1_0_1</v>
      </c>
      <c r="F357" s="3">
        <v>15</v>
      </c>
      <c r="G357" s="3" t="s">
        <v>169</v>
      </c>
      <c r="H357" s="3">
        <v>1</v>
      </c>
      <c r="I357" s="3">
        <v>0</v>
      </c>
      <c r="J357" s="3">
        <v>1</v>
      </c>
      <c r="L357" s="3">
        <v>1</v>
      </c>
      <c r="R357" s="3">
        <v>70141002</v>
      </c>
    </row>
    <row r="358" ht="15" spans="1:20">
      <c r="A358" s="34"/>
      <c r="B358" s="17">
        <f t="shared" si="5"/>
        <v>70151002</v>
      </c>
      <c r="C358" s="36" t="s">
        <v>398</v>
      </c>
      <c r="E358" s="3" t="str">
        <f>F358&amp;(VLOOKUP(G358,编号表!$E$1:$G$8,2,0))&amp;H358&amp;"_"&amp;I358&amp;"_"&amp;J358</f>
        <v>15T1_0_2</v>
      </c>
      <c r="F358" s="3">
        <v>15</v>
      </c>
      <c r="G358" s="3" t="s">
        <v>169</v>
      </c>
      <c r="H358" s="3">
        <v>1</v>
      </c>
      <c r="I358" s="3">
        <v>0</v>
      </c>
      <c r="J358" s="3">
        <v>2</v>
      </c>
      <c r="L358" s="3">
        <v>1</v>
      </c>
      <c r="R358" s="3">
        <v>70161001</v>
      </c>
    </row>
    <row r="359" ht="15" spans="1:20">
      <c r="A359" s="34"/>
      <c r="B359" s="17">
        <f t="shared" si="5"/>
        <v>70152001</v>
      </c>
      <c r="C359" s="36" t="s">
        <v>399</v>
      </c>
      <c r="E359" s="3" t="str">
        <f>F359&amp;(VLOOKUP(G359,编号表!$E$1:$G$8,2,0))&amp;H359&amp;"_"&amp;I359&amp;"_"&amp;J359</f>
        <v>15D2_0_1</v>
      </c>
      <c r="F359" s="3">
        <v>15</v>
      </c>
      <c r="G359" s="3" t="s">
        <v>171</v>
      </c>
      <c r="H359" s="3">
        <v>2</v>
      </c>
      <c r="I359" s="3">
        <v>0</v>
      </c>
      <c r="J359" s="3">
        <v>1</v>
      </c>
      <c r="M359" s="3">
        <v>1</v>
      </c>
    </row>
    <row r="360" ht="15" spans="1:20">
      <c r="A360" s="34"/>
      <c r="B360" s="17">
        <f t="shared" si="5"/>
        <v>70165101</v>
      </c>
      <c r="C360" s="37" t="s">
        <v>400</v>
      </c>
      <c r="E360" s="3" t="str">
        <f>F360&amp;(VLOOKUP(G360,编号表!$E$1:$G$8,2,0))&amp;H360&amp;"_"&amp;I360&amp;"_"&amp;J360</f>
        <v>16C5_1_1</v>
      </c>
      <c r="F360" s="3">
        <v>16</v>
      </c>
      <c r="G360" s="3" t="s">
        <v>268</v>
      </c>
      <c r="H360" s="3">
        <v>5</v>
      </c>
      <c r="I360" s="3">
        <v>1</v>
      </c>
      <c r="J360" s="3">
        <v>1</v>
      </c>
    </row>
    <row r="361" ht="15" spans="1:20">
      <c r="A361" s="34"/>
      <c r="B361" s="17">
        <f t="shared" si="5"/>
        <v>70165201</v>
      </c>
      <c r="C361" s="37" t="s">
        <v>401</v>
      </c>
      <c r="E361" s="3" t="str">
        <f>F361&amp;(VLOOKUP(G361,编号表!$E$1:$G$8,2,0))&amp;H361&amp;"_"&amp;I361&amp;"_"&amp;J361</f>
        <v>16C5_2_1</v>
      </c>
      <c r="F361" s="3">
        <v>16</v>
      </c>
      <c r="G361" s="3" t="s">
        <v>268</v>
      </c>
      <c r="H361" s="3">
        <v>5</v>
      </c>
      <c r="I361" s="3">
        <v>2</v>
      </c>
      <c r="J361" s="3">
        <v>1</v>
      </c>
      <c r="T361" s="18">
        <v>1015303</v>
      </c>
    </row>
    <row r="362" ht="15" spans="1:20">
      <c r="A362" s="34"/>
      <c r="B362" s="17">
        <f t="shared" si="5"/>
        <v>70165202</v>
      </c>
      <c r="C362" s="37" t="s">
        <v>402</v>
      </c>
      <c r="E362" s="3" t="str">
        <f>F362&amp;(VLOOKUP(G362,编号表!$E$1:$G$8,2,0))&amp;H362&amp;"_"&amp;I362&amp;"_"&amp;J362</f>
        <v>16C5_2_2</v>
      </c>
      <c r="F362" s="3">
        <v>16</v>
      </c>
      <c r="G362" s="3" t="s">
        <v>268</v>
      </c>
      <c r="H362" s="3">
        <v>5</v>
      </c>
      <c r="I362" s="3">
        <v>2</v>
      </c>
      <c r="J362" s="3">
        <v>2</v>
      </c>
    </row>
    <row r="363" ht="15" spans="1:20">
      <c r="A363" s="34"/>
      <c r="B363" s="17">
        <f t="shared" si="5"/>
        <v>70165301</v>
      </c>
      <c r="C363" s="37" t="s">
        <v>403</v>
      </c>
      <c r="E363" s="3" t="str">
        <f>F363&amp;(VLOOKUP(G363,编号表!$E$1:$G$8,2,0))&amp;H363&amp;"_"&amp;I363&amp;"_"&amp;J363</f>
        <v>16C5_3_1</v>
      </c>
      <c r="F363" s="3">
        <v>16</v>
      </c>
      <c r="G363" s="3" t="s">
        <v>268</v>
      </c>
      <c r="H363" s="3">
        <v>5</v>
      </c>
      <c r="I363" s="3">
        <v>3</v>
      </c>
      <c r="J363" s="3">
        <v>1</v>
      </c>
    </row>
    <row r="364" ht="15" spans="1:20">
      <c r="A364" s="34"/>
      <c r="B364" s="17">
        <f t="shared" si="5"/>
        <v>70165302</v>
      </c>
      <c r="C364" s="37" t="s">
        <v>404</v>
      </c>
      <c r="E364" s="3" t="str">
        <f>F364&amp;(VLOOKUP(G364,编号表!$E$1:$G$8,2,0))&amp;H364&amp;"_"&amp;I364&amp;"_"&amp;J364</f>
        <v>16C5_3_2</v>
      </c>
      <c r="F364" s="3">
        <v>16</v>
      </c>
      <c r="G364" s="3" t="s">
        <v>268</v>
      </c>
      <c r="H364" s="3">
        <v>5</v>
      </c>
      <c r="I364" s="3">
        <v>3</v>
      </c>
      <c r="J364" s="3">
        <v>2</v>
      </c>
    </row>
    <row r="365" ht="15" spans="1:20">
      <c r="A365" s="34"/>
      <c r="B365" s="17">
        <f t="shared" si="5"/>
        <v>70165303</v>
      </c>
      <c r="C365" s="37" t="s">
        <v>405</v>
      </c>
      <c r="E365" s="3" t="str">
        <f>F365&amp;(VLOOKUP(G365,编号表!$E$1:$G$8,2,0))&amp;H365&amp;"_"&amp;I365&amp;"_"&amp;J365</f>
        <v>16C5_3_3</v>
      </c>
      <c r="F365" s="3">
        <v>16</v>
      </c>
      <c r="G365" s="3" t="s">
        <v>268</v>
      </c>
      <c r="H365" s="3">
        <v>5</v>
      </c>
      <c r="I365" s="3">
        <v>3</v>
      </c>
      <c r="J365" s="3">
        <v>3</v>
      </c>
    </row>
    <row r="366" ht="15" spans="1:20">
      <c r="A366" s="34"/>
      <c r="B366" s="17">
        <f t="shared" si="5"/>
        <v>70165304</v>
      </c>
      <c r="C366" s="37" t="s">
        <v>406</v>
      </c>
      <c r="E366" s="3" t="str">
        <f>F366&amp;(VLOOKUP(G366,编号表!$E$1:$G$8,2,0))&amp;H366&amp;"_"&amp;I366&amp;"_"&amp;J366</f>
        <v>16C5_3_4</v>
      </c>
      <c r="F366" s="3">
        <v>16</v>
      </c>
      <c r="G366" s="3" t="s">
        <v>268</v>
      </c>
      <c r="H366" s="3">
        <v>5</v>
      </c>
      <c r="I366" s="3">
        <v>3</v>
      </c>
      <c r="J366" s="3">
        <v>4</v>
      </c>
      <c r="T366" s="18">
        <v>1015503</v>
      </c>
    </row>
    <row r="367" ht="15" spans="1:20">
      <c r="A367" s="34"/>
      <c r="B367" s="17">
        <f t="shared" si="5"/>
        <v>70165401</v>
      </c>
      <c r="C367" s="37" t="s">
        <v>407</v>
      </c>
      <c r="E367" s="3" t="str">
        <f>F367&amp;(VLOOKUP(G367,编号表!$E$1:$G$8,2,0))&amp;H367&amp;"_"&amp;I367&amp;"_"&amp;J367</f>
        <v>16C5_4_1</v>
      </c>
      <c r="F367" s="3">
        <v>16</v>
      </c>
      <c r="G367" s="3" t="s">
        <v>268</v>
      </c>
      <c r="H367" s="3">
        <v>5</v>
      </c>
      <c r="I367" s="3">
        <v>4</v>
      </c>
      <c r="J367" s="3">
        <v>1</v>
      </c>
      <c r="T367" s="18">
        <v>1015403</v>
      </c>
    </row>
    <row r="368" ht="15" spans="1:20">
      <c r="A368" s="34"/>
      <c r="B368" s="17">
        <f t="shared" si="5"/>
        <v>70165402</v>
      </c>
      <c r="C368" s="37" t="s">
        <v>408</v>
      </c>
      <c r="E368" s="3" t="str">
        <f>F368&amp;(VLOOKUP(G368,编号表!$E$1:$G$8,2,0))&amp;H368&amp;"_"&amp;I368&amp;"_"&amp;J368</f>
        <v>16C5_4_2</v>
      </c>
      <c r="F368" s="3">
        <v>16</v>
      </c>
      <c r="G368" s="3" t="s">
        <v>268</v>
      </c>
      <c r="H368" s="3">
        <v>5</v>
      </c>
      <c r="I368" s="3">
        <v>4</v>
      </c>
      <c r="J368" s="3">
        <v>2</v>
      </c>
    </row>
    <row r="369" ht="15" spans="1:20">
      <c r="A369" s="34"/>
      <c r="B369" s="17">
        <f t="shared" si="5"/>
        <v>70165001</v>
      </c>
      <c r="C369" s="39" t="s">
        <v>409</v>
      </c>
      <c r="E369" s="3" t="str">
        <f>F369&amp;(VLOOKUP(G369,编号表!$E$1:$G$8,2,0))&amp;H369&amp;"_"&amp;I369&amp;"_"&amp;J369</f>
        <v>16J5_0_1</v>
      </c>
      <c r="F369" s="3">
        <v>16</v>
      </c>
      <c r="G369" s="3" t="s">
        <v>167</v>
      </c>
      <c r="H369" s="3">
        <v>5</v>
      </c>
      <c r="I369" s="3">
        <v>0</v>
      </c>
      <c r="J369" s="3">
        <v>1</v>
      </c>
      <c r="K369" s="3">
        <v>1</v>
      </c>
    </row>
    <row r="370" ht="15" spans="1:20">
      <c r="A370" s="34"/>
      <c r="B370" s="17">
        <f t="shared" si="5"/>
        <v>70161001</v>
      </c>
      <c r="C370" s="36" t="s">
        <v>410</v>
      </c>
      <c r="E370" s="3" t="str">
        <f>F370&amp;(VLOOKUP(G370,编号表!$E$1:$G$8,2,0))&amp;H370&amp;"_"&amp;I370&amp;"_"&amp;J370</f>
        <v>16T1_0_1</v>
      </c>
      <c r="F370" s="3">
        <v>16</v>
      </c>
      <c r="G370" s="3" t="s">
        <v>169</v>
      </c>
      <c r="H370" s="3">
        <v>1</v>
      </c>
      <c r="I370" s="3">
        <v>0</v>
      </c>
      <c r="J370" s="3">
        <v>1</v>
      </c>
      <c r="L370" s="3">
        <v>1</v>
      </c>
      <c r="R370" s="3">
        <v>70151002</v>
      </c>
    </row>
    <row r="371" ht="15" spans="1:20">
      <c r="A371" s="34"/>
      <c r="B371" s="17">
        <f t="shared" si="5"/>
        <v>70161002</v>
      </c>
      <c r="C371" s="36" t="s">
        <v>410</v>
      </c>
      <c r="E371" s="3" t="str">
        <f>F371&amp;(VLOOKUP(G371,编号表!$E$1:$G$8,2,0))&amp;H371&amp;"_"&amp;I371&amp;"_"&amp;J371</f>
        <v>16T1_0_2</v>
      </c>
      <c r="F371" s="3">
        <v>16</v>
      </c>
      <c r="G371" s="3" t="s">
        <v>169</v>
      </c>
      <c r="H371" s="3">
        <v>1</v>
      </c>
      <c r="I371" s="3">
        <v>0</v>
      </c>
      <c r="J371" s="3">
        <v>2</v>
      </c>
      <c r="L371" s="3">
        <v>1</v>
      </c>
      <c r="R371" s="3">
        <v>70171001</v>
      </c>
    </row>
    <row r="372" ht="15" spans="1:20">
      <c r="A372" s="34"/>
      <c r="B372" s="17">
        <f t="shared" si="5"/>
        <v>70162001</v>
      </c>
      <c r="C372" s="36" t="s">
        <v>411</v>
      </c>
      <c r="E372" s="3" t="str">
        <f>F372&amp;(VLOOKUP(G372,编号表!$E$1:$G$8,2,0))&amp;H372&amp;"_"&amp;I372&amp;"_"&amp;J372</f>
        <v>16D2_0_1</v>
      </c>
      <c r="F372" s="3">
        <v>16</v>
      </c>
      <c r="G372" s="3" t="s">
        <v>171</v>
      </c>
      <c r="H372" s="3">
        <v>2</v>
      </c>
      <c r="I372" s="3">
        <v>0</v>
      </c>
      <c r="J372" s="3">
        <v>1</v>
      </c>
      <c r="M372" s="3">
        <v>1</v>
      </c>
    </row>
    <row r="373" ht="15" spans="1:20">
      <c r="A373" s="34"/>
      <c r="B373" s="17">
        <f t="shared" si="5"/>
        <v>70175101</v>
      </c>
      <c r="C373" s="37" t="s">
        <v>412</v>
      </c>
      <c r="E373" s="3" t="str">
        <f>F373&amp;(VLOOKUP(G373,编号表!$E$1:$G$8,2,0))&amp;H373&amp;"_"&amp;I373&amp;"_"&amp;J373</f>
        <v>17C5_1_1</v>
      </c>
      <c r="F373" s="3">
        <v>17</v>
      </c>
      <c r="G373" s="3" t="s">
        <v>268</v>
      </c>
      <c r="H373" s="3">
        <v>5</v>
      </c>
      <c r="I373" s="3">
        <v>1</v>
      </c>
      <c r="J373" s="3">
        <v>1</v>
      </c>
    </row>
    <row r="374" ht="15" spans="1:20">
      <c r="A374" s="34"/>
      <c r="B374" s="17">
        <f t="shared" si="5"/>
        <v>70175102</v>
      </c>
      <c r="C374" s="37" t="s">
        <v>413</v>
      </c>
      <c r="E374" s="3" t="str">
        <f>F374&amp;(VLOOKUP(G374,编号表!$E$1:$G$8,2,0))&amp;H374&amp;"_"&amp;I374&amp;"_"&amp;J374</f>
        <v>17C5_1_2</v>
      </c>
      <c r="F374" s="3">
        <v>17</v>
      </c>
      <c r="G374" s="3" t="s">
        <v>268</v>
      </c>
      <c r="H374" s="3">
        <v>5</v>
      </c>
      <c r="I374" s="3">
        <v>1</v>
      </c>
      <c r="J374" s="3">
        <v>2</v>
      </c>
      <c r="T374" s="18">
        <v>1016403</v>
      </c>
    </row>
    <row r="375" ht="15" spans="1:20">
      <c r="A375" s="34"/>
      <c r="B375" s="17">
        <f t="shared" si="5"/>
        <v>70175103</v>
      </c>
      <c r="C375" s="37" t="s">
        <v>414</v>
      </c>
      <c r="E375" s="3" t="str">
        <f>F375&amp;(VLOOKUP(G375,编号表!$E$1:$G$8,2,0))&amp;H375&amp;"_"&amp;I375&amp;"_"&amp;J375</f>
        <v>17C5_1_3</v>
      </c>
      <c r="F375" s="3">
        <v>17</v>
      </c>
      <c r="G375" s="3" t="s">
        <v>268</v>
      </c>
      <c r="H375" s="3">
        <v>5</v>
      </c>
      <c r="I375" s="3">
        <v>1</v>
      </c>
      <c r="J375" s="3">
        <v>3</v>
      </c>
    </row>
    <row r="376" ht="15" spans="1:20">
      <c r="A376" s="34"/>
      <c r="B376" s="17">
        <f t="shared" si="5"/>
        <v>70175104</v>
      </c>
      <c r="C376" s="37" t="s">
        <v>415</v>
      </c>
      <c r="E376" s="3" t="str">
        <f>F376&amp;(VLOOKUP(G376,编号表!$E$1:$G$8,2,0))&amp;H376&amp;"_"&amp;I376&amp;"_"&amp;J376</f>
        <v>17C5_1_4</v>
      </c>
      <c r="F376" s="3">
        <v>17</v>
      </c>
      <c r="G376" s="3" t="s">
        <v>268</v>
      </c>
      <c r="H376" s="3">
        <v>5</v>
      </c>
      <c r="I376" s="3">
        <v>1</v>
      </c>
      <c r="J376" s="3">
        <v>4</v>
      </c>
    </row>
    <row r="377" ht="15" spans="1:20">
      <c r="A377" s="34"/>
      <c r="B377" s="17">
        <f t="shared" si="5"/>
        <v>70175105</v>
      </c>
      <c r="C377" s="37" t="s">
        <v>416</v>
      </c>
      <c r="E377" s="3" t="str">
        <f>F377&amp;(VLOOKUP(G377,编号表!$E$1:$G$8,2,0))&amp;H377&amp;"_"&amp;I377&amp;"_"&amp;J377</f>
        <v>17C5_1_5</v>
      </c>
      <c r="F377" s="3">
        <v>17</v>
      </c>
      <c r="G377" s="3" t="s">
        <v>268</v>
      </c>
      <c r="H377" s="3">
        <v>5</v>
      </c>
      <c r="I377" s="3">
        <v>1</v>
      </c>
      <c r="J377" s="3">
        <v>5</v>
      </c>
    </row>
    <row r="378" ht="15" spans="1:20">
      <c r="A378" s="34"/>
      <c r="B378" s="17">
        <f t="shared" si="5"/>
        <v>70175201</v>
      </c>
      <c r="C378" s="37" t="s">
        <v>417</v>
      </c>
      <c r="E378" s="3" t="str">
        <f>F378&amp;(VLOOKUP(G378,编号表!$E$1:$G$8,2,0))&amp;H378&amp;"_"&amp;I378&amp;"_"&amp;J378</f>
        <v>17C5_2_1</v>
      </c>
      <c r="F378" s="3">
        <v>17</v>
      </c>
      <c r="G378" s="3" t="s">
        <v>268</v>
      </c>
      <c r="H378" s="3">
        <v>5</v>
      </c>
      <c r="I378" s="3">
        <v>2</v>
      </c>
      <c r="J378" s="3">
        <v>1</v>
      </c>
    </row>
    <row r="379" ht="15" spans="1:20">
      <c r="A379" s="34"/>
      <c r="B379" s="17">
        <f t="shared" si="5"/>
        <v>70175202</v>
      </c>
      <c r="C379" s="37" t="s">
        <v>418</v>
      </c>
      <c r="E379" s="3" t="str">
        <f>F379&amp;(VLOOKUP(G379,编号表!$E$1:$G$8,2,0))&amp;H379&amp;"_"&amp;I379&amp;"_"&amp;J379</f>
        <v>17C5_2_2</v>
      </c>
      <c r="F379" s="3">
        <v>17</v>
      </c>
      <c r="G379" s="3" t="s">
        <v>268</v>
      </c>
      <c r="H379" s="3">
        <v>5</v>
      </c>
      <c r="I379" s="3">
        <v>2</v>
      </c>
      <c r="J379" s="3">
        <v>2</v>
      </c>
    </row>
    <row r="380" ht="15" spans="1:20">
      <c r="A380" s="34"/>
      <c r="B380" s="17">
        <f t="shared" si="5"/>
        <v>70175203</v>
      </c>
      <c r="C380" s="37" t="s">
        <v>419</v>
      </c>
      <c r="E380" s="3" t="str">
        <f>F380&amp;(VLOOKUP(G380,编号表!$E$1:$G$8,2,0))&amp;H380&amp;"_"&amp;I380&amp;"_"&amp;J380</f>
        <v>17C5_2_3</v>
      </c>
      <c r="F380" s="3">
        <v>17</v>
      </c>
      <c r="G380" s="3" t="s">
        <v>268</v>
      </c>
      <c r="H380" s="3">
        <v>5</v>
      </c>
      <c r="I380" s="3">
        <v>2</v>
      </c>
      <c r="J380" s="3">
        <v>3</v>
      </c>
      <c r="T380" s="18">
        <v>1016303</v>
      </c>
    </row>
    <row r="381" ht="15" spans="1:20">
      <c r="A381" s="34"/>
      <c r="B381" s="17">
        <f t="shared" si="5"/>
        <v>70175204</v>
      </c>
      <c r="C381" s="37" t="s">
        <v>420</v>
      </c>
      <c r="E381" s="3" t="str">
        <f>F381&amp;(VLOOKUP(G381,编号表!$E$1:$G$8,2,0))&amp;H381&amp;"_"&amp;I381&amp;"_"&amp;J381</f>
        <v>17C5_2_4</v>
      </c>
      <c r="F381" s="3">
        <v>17</v>
      </c>
      <c r="G381" s="3" t="s">
        <v>268</v>
      </c>
      <c r="H381" s="3">
        <v>5</v>
      </c>
      <c r="I381" s="3">
        <v>2</v>
      </c>
      <c r="J381" s="3">
        <v>4</v>
      </c>
    </row>
    <row r="382" ht="15" spans="1:20">
      <c r="A382" s="34"/>
      <c r="B382" s="17">
        <f t="shared" si="5"/>
        <v>70175001</v>
      </c>
      <c r="C382" s="39" t="s">
        <v>421</v>
      </c>
      <c r="E382" s="3" t="str">
        <f>F382&amp;(VLOOKUP(G382,编号表!$E$1:$G$8,2,0))&amp;H382&amp;"_"&amp;I382&amp;"_"&amp;J382</f>
        <v>17J5_0_1</v>
      </c>
      <c r="F382" s="3">
        <v>17</v>
      </c>
      <c r="G382" s="3" t="s">
        <v>167</v>
      </c>
      <c r="H382" s="3">
        <v>5</v>
      </c>
      <c r="I382" s="3">
        <v>0</v>
      </c>
      <c r="J382" s="3">
        <v>1</v>
      </c>
      <c r="K382" s="3">
        <v>1</v>
      </c>
    </row>
    <row r="383" ht="15" spans="1:20">
      <c r="A383" s="34"/>
      <c r="B383" s="17">
        <f t="shared" si="5"/>
        <v>70171001</v>
      </c>
      <c r="C383" s="36" t="s">
        <v>422</v>
      </c>
      <c r="E383" s="3" t="str">
        <f>F383&amp;(VLOOKUP(G383,编号表!$E$1:$G$8,2,0))&amp;H383&amp;"_"&amp;I383&amp;"_"&amp;J383</f>
        <v>17T1_0_1</v>
      </c>
      <c r="F383" s="3">
        <v>17</v>
      </c>
      <c r="G383" s="3" t="s">
        <v>169</v>
      </c>
      <c r="H383" s="3">
        <v>1</v>
      </c>
      <c r="I383" s="3">
        <v>0</v>
      </c>
      <c r="J383" s="3">
        <v>1</v>
      </c>
      <c r="L383" s="3">
        <v>1</v>
      </c>
      <c r="R383" s="3">
        <v>70161002</v>
      </c>
    </row>
    <row r="384" ht="15" spans="1:20">
      <c r="A384" s="34"/>
      <c r="B384" s="17">
        <f t="shared" si="5"/>
        <v>70171002</v>
      </c>
      <c r="C384" s="36" t="s">
        <v>422</v>
      </c>
      <c r="E384" s="3" t="str">
        <f>F384&amp;(VLOOKUP(G384,编号表!$E$1:$G$8,2,0))&amp;H384&amp;"_"&amp;I384&amp;"_"&amp;J384</f>
        <v>17T1_0_2</v>
      </c>
      <c r="F384" s="3">
        <v>17</v>
      </c>
      <c r="G384" s="3" t="s">
        <v>169</v>
      </c>
      <c r="H384" s="3">
        <v>1</v>
      </c>
      <c r="I384" s="3">
        <v>0</v>
      </c>
      <c r="J384" s="3">
        <v>2</v>
      </c>
      <c r="L384" s="3">
        <v>1</v>
      </c>
      <c r="R384" s="3">
        <v>70181001</v>
      </c>
    </row>
    <row r="385" ht="15" spans="1:20">
      <c r="A385" s="34"/>
      <c r="B385" s="17">
        <f t="shared" si="5"/>
        <v>70172001</v>
      </c>
      <c r="C385" s="36" t="s">
        <v>423</v>
      </c>
      <c r="E385" s="3" t="str">
        <f>F385&amp;(VLOOKUP(G385,编号表!$E$1:$G$8,2,0))&amp;H385&amp;"_"&amp;I385&amp;"_"&amp;J385</f>
        <v>17D2_0_1</v>
      </c>
      <c r="F385" s="3">
        <v>17</v>
      </c>
      <c r="G385" s="3" t="s">
        <v>171</v>
      </c>
      <c r="H385" s="3">
        <v>2</v>
      </c>
      <c r="I385" s="3">
        <v>0</v>
      </c>
      <c r="J385" s="3">
        <v>1</v>
      </c>
      <c r="M385" s="3">
        <v>1</v>
      </c>
    </row>
    <row r="386" ht="15" spans="1:20">
      <c r="A386" s="34"/>
      <c r="B386" s="17">
        <f t="shared" si="5"/>
        <v>70185101</v>
      </c>
      <c r="C386" s="37" t="s">
        <v>424</v>
      </c>
      <c r="E386" s="3" t="str">
        <f>F386&amp;(VLOOKUP(G386,编号表!$E$1:$G$8,2,0))&amp;H386&amp;"_"&amp;I386&amp;"_"&amp;J386</f>
        <v>18N5_1_1</v>
      </c>
      <c r="F386" s="3">
        <v>18</v>
      </c>
      <c r="G386" s="3" t="s">
        <v>52</v>
      </c>
      <c r="H386" s="3">
        <v>5</v>
      </c>
      <c r="I386" s="3">
        <v>1</v>
      </c>
      <c r="J386" s="3">
        <v>1</v>
      </c>
      <c r="T386" s="18">
        <v>1017303</v>
      </c>
    </row>
    <row r="387" ht="15" spans="1:20">
      <c r="A387" s="34"/>
      <c r="B387" s="17">
        <f t="shared" si="5"/>
        <v>70185102</v>
      </c>
      <c r="C387" s="37" t="s">
        <v>425</v>
      </c>
      <c r="E387" s="3" t="str">
        <f>F387&amp;(VLOOKUP(G387,编号表!$E$1:$G$8,2,0))&amp;H387&amp;"_"&amp;I387&amp;"_"&amp;J387</f>
        <v>18N5_1_2</v>
      </c>
      <c r="F387" s="3">
        <v>18</v>
      </c>
      <c r="G387" s="3" t="s">
        <v>52</v>
      </c>
      <c r="H387" s="3">
        <v>5</v>
      </c>
      <c r="I387" s="3">
        <v>1</v>
      </c>
      <c r="J387" s="3">
        <v>2</v>
      </c>
      <c r="T387" s="18">
        <v>1017503</v>
      </c>
    </row>
    <row r="388" ht="15" spans="1:20">
      <c r="A388" s="34"/>
      <c r="B388" s="17">
        <f t="shared" si="5"/>
        <v>70185103</v>
      </c>
      <c r="C388" s="37" t="s">
        <v>426</v>
      </c>
      <c r="E388" s="3" t="str">
        <f>F388&amp;(VLOOKUP(G388,编号表!$E$1:$G$8,2,0))&amp;H388&amp;"_"&amp;I388&amp;"_"&amp;J388</f>
        <v>18N5_1_3</v>
      </c>
      <c r="F388" s="3">
        <v>18</v>
      </c>
      <c r="G388" s="3" t="s">
        <v>52</v>
      </c>
      <c r="H388" s="3">
        <v>5</v>
      </c>
      <c r="I388" s="3">
        <v>1</v>
      </c>
      <c r="J388" s="3">
        <v>3</v>
      </c>
      <c r="T388" s="18">
        <v>1017001</v>
      </c>
    </row>
    <row r="389" ht="15" spans="1:20">
      <c r="A389" s="34"/>
      <c r="B389" s="17">
        <f t="shared" ref="B389:B452" si="6">70000000+F389*10000+H389*1000+I389*100+J389</f>
        <v>70185104</v>
      </c>
      <c r="C389" s="37" t="s">
        <v>427</v>
      </c>
      <c r="E389" s="3" t="str">
        <f>F389&amp;(VLOOKUP(G389,编号表!$E$1:$G$8,2,0))&amp;H389&amp;"_"&amp;I389&amp;"_"&amp;J389</f>
        <v>18N5_1_4</v>
      </c>
      <c r="F389" s="3">
        <v>18</v>
      </c>
      <c r="G389" s="3" t="s">
        <v>52</v>
      </c>
      <c r="H389" s="3">
        <v>5</v>
      </c>
      <c r="I389" s="3">
        <v>1</v>
      </c>
      <c r="J389" s="3">
        <v>4</v>
      </c>
      <c r="T389" s="18">
        <v>1017403</v>
      </c>
    </row>
    <row r="390" ht="15" spans="1:20">
      <c r="A390" s="34"/>
      <c r="B390" s="17">
        <f t="shared" si="6"/>
        <v>70185105</v>
      </c>
      <c r="C390" s="37" t="s">
        <v>428</v>
      </c>
      <c r="E390" s="3" t="str">
        <f>F390&amp;(VLOOKUP(G390,编号表!$E$1:$G$8,2,0))&amp;H390&amp;"_"&amp;I390&amp;"_"&amp;J390</f>
        <v>18N5_1_5</v>
      </c>
      <c r="F390" s="3">
        <v>18</v>
      </c>
      <c r="G390" s="3" t="s">
        <v>52</v>
      </c>
      <c r="H390" s="3">
        <v>5</v>
      </c>
      <c r="I390" s="3">
        <v>1</v>
      </c>
      <c r="J390" s="3">
        <v>5</v>
      </c>
      <c r="T390" s="18">
        <v>1017303</v>
      </c>
    </row>
    <row r="391" ht="15" spans="1:20">
      <c r="A391" s="34"/>
      <c r="B391" s="17">
        <f t="shared" si="6"/>
        <v>70185201</v>
      </c>
      <c r="C391" s="37" t="s">
        <v>429</v>
      </c>
      <c r="E391" s="3" t="str">
        <f>F391&amp;(VLOOKUP(G391,编号表!$E$1:$G$8,2,0))&amp;H391&amp;"_"&amp;I391&amp;"_"&amp;J391</f>
        <v>18N5_2_1</v>
      </c>
      <c r="F391" s="3">
        <v>18</v>
      </c>
      <c r="G391" s="3" t="s">
        <v>52</v>
      </c>
      <c r="H391" s="3">
        <v>5</v>
      </c>
      <c r="I391" s="3">
        <v>2</v>
      </c>
      <c r="J391" s="3">
        <v>1</v>
      </c>
      <c r="T391" s="18">
        <v>1017103</v>
      </c>
    </row>
    <row r="392" ht="15" spans="1:20">
      <c r="A392" s="34"/>
      <c r="B392" s="17">
        <f t="shared" si="6"/>
        <v>70185202</v>
      </c>
      <c r="C392" s="37" t="s">
        <v>430</v>
      </c>
      <c r="E392" s="3" t="str">
        <f>F392&amp;(VLOOKUP(G392,编号表!$E$1:$G$8,2,0))&amp;H392&amp;"_"&amp;I392&amp;"_"&amp;J392</f>
        <v>18N5_2_2</v>
      </c>
      <c r="F392" s="3">
        <v>18</v>
      </c>
      <c r="G392" s="3" t="s">
        <v>52</v>
      </c>
      <c r="H392" s="3">
        <v>5</v>
      </c>
      <c r="I392" s="3">
        <v>2</v>
      </c>
      <c r="J392" s="3">
        <v>2</v>
      </c>
      <c r="T392" s="18">
        <v>1017103</v>
      </c>
    </row>
    <row r="393" ht="15" spans="1:20">
      <c r="A393" s="34"/>
      <c r="B393" s="17">
        <f t="shared" si="6"/>
        <v>70185203</v>
      </c>
      <c r="C393" s="37" t="s">
        <v>431</v>
      </c>
      <c r="E393" s="3" t="str">
        <f>F393&amp;(VLOOKUP(G393,编号表!$E$1:$G$8,2,0))&amp;H393&amp;"_"&amp;I393&amp;"_"&amp;J393</f>
        <v>18N5_2_3</v>
      </c>
      <c r="F393" s="3">
        <v>18</v>
      </c>
      <c r="G393" s="3" t="s">
        <v>52</v>
      </c>
      <c r="H393" s="3">
        <v>5</v>
      </c>
      <c r="I393" s="3">
        <v>2</v>
      </c>
      <c r="J393" s="3">
        <v>3</v>
      </c>
      <c r="T393" s="18">
        <v>1017103</v>
      </c>
    </row>
    <row r="394" ht="15" spans="1:20">
      <c r="A394" s="34"/>
      <c r="B394" s="17">
        <f t="shared" si="6"/>
        <v>70185301</v>
      </c>
      <c r="C394" s="37" t="s">
        <v>432</v>
      </c>
      <c r="E394" s="3" t="str">
        <f>F394&amp;(VLOOKUP(G394,编号表!$E$1:$G$8,2,0))&amp;H394&amp;"_"&amp;I394&amp;"_"&amp;J394</f>
        <v>18N5_3_1</v>
      </c>
      <c r="F394" s="3">
        <v>18</v>
      </c>
      <c r="G394" s="3" t="s">
        <v>52</v>
      </c>
      <c r="H394" s="3">
        <v>5</v>
      </c>
      <c r="I394" s="3">
        <v>3</v>
      </c>
      <c r="J394" s="3">
        <v>1</v>
      </c>
      <c r="T394" s="18">
        <v>1017503</v>
      </c>
    </row>
    <row r="395" ht="15" spans="1:20">
      <c r="A395" s="34"/>
      <c r="B395" s="17">
        <f t="shared" si="6"/>
        <v>70185302</v>
      </c>
      <c r="C395" s="37" t="s">
        <v>433</v>
      </c>
      <c r="E395" s="3" t="str">
        <f>F395&amp;(VLOOKUP(G395,编号表!$E$1:$G$8,2,0))&amp;H395&amp;"_"&amp;I395&amp;"_"&amp;J395</f>
        <v>18N5_3_2</v>
      </c>
      <c r="F395" s="3">
        <v>18</v>
      </c>
      <c r="G395" s="3" t="s">
        <v>52</v>
      </c>
      <c r="H395" s="3">
        <v>5</v>
      </c>
      <c r="I395" s="3">
        <v>3</v>
      </c>
      <c r="J395" s="3">
        <v>2</v>
      </c>
      <c r="T395" s="18">
        <v>1017403</v>
      </c>
    </row>
    <row r="396" ht="15" spans="1:20">
      <c r="A396" s="34"/>
      <c r="B396" s="17">
        <f t="shared" si="6"/>
        <v>70185303</v>
      </c>
      <c r="C396" s="37" t="s">
        <v>434</v>
      </c>
      <c r="E396" s="3" t="str">
        <f>F396&amp;(VLOOKUP(G396,编号表!$E$1:$G$8,2,0))&amp;H396&amp;"_"&amp;I396&amp;"_"&amp;J396</f>
        <v>18N5_3_3</v>
      </c>
      <c r="F396" s="3">
        <v>18</v>
      </c>
      <c r="G396" s="3" t="s">
        <v>52</v>
      </c>
      <c r="H396" s="3">
        <v>5</v>
      </c>
      <c r="I396" s="3">
        <v>3</v>
      </c>
      <c r="J396" s="3">
        <v>3</v>
      </c>
      <c r="T396" s="18">
        <v>1017303</v>
      </c>
    </row>
    <row r="397" ht="15" spans="1:20">
      <c r="A397" s="34"/>
      <c r="B397" s="17">
        <f t="shared" si="6"/>
        <v>70185304</v>
      </c>
      <c r="C397" s="37" t="s">
        <v>435</v>
      </c>
      <c r="E397" s="3" t="str">
        <f>F397&amp;(VLOOKUP(G397,编号表!$E$1:$G$8,2,0))&amp;H397&amp;"_"&amp;I397&amp;"_"&amp;J397</f>
        <v>18N5_3_4</v>
      </c>
      <c r="F397" s="3">
        <v>18</v>
      </c>
      <c r="G397" s="3" t="s">
        <v>52</v>
      </c>
      <c r="H397" s="3">
        <v>5</v>
      </c>
      <c r="I397" s="3">
        <v>3</v>
      </c>
      <c r="J397" s="3">
        <v>4</v>
      </c>
      <c r="T397" s="18">
        <v>1017403</v>
      </c>
    </row>
    <row r="398" ht="15" spans="1:20">
      <c r="A398" s="34"/>
      <c r="B398" s="17">
        <f t="shared" si="6"/>
        <v>70185305</v>
      </c>
      <c r="C398" s="37" t="s">
        <v>436</v>
      </c>
      <c r="E398" s="3" t="str">
        <f>F398&amp;(VLOOKUP(G398,编号表!$E$1:$G$8,2,0))&amp;H398&amp;"_"&amp;I398&amp;"_"&amp;J398</f>
        <v>18N5_3_5</v>
      </c>
      <c r="F398" s="3">
        <v>18</v>
      </c>
      <c r="G398" s="3" t="s">
        <v>52</v>
      </c>
      <c r="H398" s="3">
        <v>5</v>
      </c>
      <c r="I398" s="3">
        <v>3</v>
      </c>
      <c r="J398" s="3">
        <v>5</v>
      </c>
      <c r="T398" s="18">
        <v>1017503</v>
      </c>
    </row>
    <row r="399" ht="15" spans="1:20">
      <c r="A399" s="34"/>
      <c r="B399" s="17">
        <f t="shared" si="6"/>
        <v>70185001</v>
      </c>
      <c r="C399" s="39" t="s">
        <v>437</v>
      </c>
      <c r="E399" s="3" t="str">
        <f>F399&amp;(VLOOKUP(G399,编号表!$E$1:$G$8,2,0))&amp;H399&amp;"_"&amp;I399&amp;"_"&amp;J399</f>
        <v>18J5_0_1</v>
      </c>
      <c r="F399" s="3">
        <v>18</v>
      </c>
      <c r="G399" s="3" t="s">
        <v>167</v>
      </c>
      <c r="H399" s="3">
        <v>5</v>
      </c>
      <c r="I399" s="3">
        <v>0</v>
      </c>
      <c r="J399" s="3">
        <v>1</v>
      </c>
      <c r="K399" s="3">
        <v>1</v>
      </c>
    </row>
    <row r="400" ht="15" spans="1:20">
      <c r="A400" s="34"/>
      <c r="B400" s="17">
        <f t="shared" si="6"/>
        <v>70181001</v>
      </c>
      <c r="C400" s="36" t="s">
        <v>438</v>
      </c>
      <c r="E400" s="3" t="str">
        <f>F400&amp;(VLOOKUP(G400,编号表!$E$1:$G$8,2,0))&amp;H400&amp;"_"&amp;I400&amp;"_"&amp;J400</f>
        <v>18T1_0_1</v>
      </c>
      <c r="F400" s="3">
        <v>18</v>
      </c>
      <c r="G400" s="3" t="s">
        <v>169</v>
      </c>
      <c r="H400" s="3">
        <v>1</v>
      </c>
      <c r="I400" s="3">
        <v>0</v>
      </c>
      <c r="J400" s="3">
        <v>1</v>
      </c>
      <c r="L400" s="3">
        <v>1</v>
      </c>
      <c r="R400" s="3">
        <v>70171002</v>
      </c>
    </row>
    <row r="401" ht="15" spans="1:20">
      <c r="A401" s="34"/>
      <c r="B401" s="17">
        <f t="shared" si="6"/>
        <v>70181002</v>
      </c>
      <c r="C401" s="36" t="s">
        <v>438</v>
      </c>
      <c r="E401" s="3" t="str">
        <f>F401&amp;(VLOOKUP(G401,编号表!$E$1:$G$8,2,0))&amp;H401&amp;"_"&amp;I401&amp;"_"&amp;J401</f>
        <v>18T1_0_2</v>
      </c>
      <c r="F401" s="3">
        <v>18</v>
      </c>
      <c r="G401" s="3" t="s">
        <v>169</v>
      </c>
      <c r="H401" s="3">
        <v>1</v>
      </c>
      <c r="I401" s="3">
        <v>0</v>
      </c>
      <c r="J401" s="3">
        <v>2</v>
      </c>
      <c r="L401" s="3">
        <v>1</v>
      </c>
      <c r="R401" s="3">
        <v>70191001</v>
      </c>
    </row>
    <row r="402" ht="15" spans="1:20">
      <c r="A402" s="34"/>
      <c r="B402" s="17">
        <f t="shared" si="6"/>
        <v>70182001</v>
      </c>
      <c r="C402" s="36" t="s">
        <v>439</v>
      </c>
      <c r="E402" s="3" t="str">
        <f>F402&amp;(VLOOKUP(G402,编号表!$E$1:$G$8,2,0))&amp;H402&amp;"_"&amp;I402&amp;"_"&amp;J402</f>
        <v>18D2_0_1</v>
      </c>
      <c r="F402" s="3">
        <v>18</v>
      </c>
      <c r="G402" s="3" t="s">
        <v>171</v>
      </c>
      <c r="H402" s="3">
        <v>2</v>
      </c>
      <c r="I402" s="3">
        <v>0</v>
      </c>
      <c r="J402" s="3">
        <v>1</v>
      </c>
      <c r="M402" s="3">
        <v>1</v>
      </c>
    </row>
    <row r="403" ht="15" spans="1:20">
      <c r="A403" s="34"/>
      <c r="B403" s="17">
        <f t="shared" si="6"/>
        <v>70195101</v>
      </c>
      <c r="C403" s="37" t="s">
        <v>440</v>
      </c>
      <c r="E403" s="3" t="str">
        <f>F403&amp;(VLOOKUP(G403,编号表!$E$1:$G$8,2,0))&amp;H403&amp;"_"&amp;I403&amp;"_"&amp;J403</f>
        <v>19N5_1_1</v>
      </c>
      <c r="F403" s="3">
        <v>19</v>
      </c>
      <c r="G403" s="3" t="s">
        <v>52</v>
      </c>
      <c r="H403" s="3">
        <v>5</v>
      </c>
      <c r="I403" s="3">
        <v>1</v>
      </c>
      <c r="J403" s="3">
        <v>1</v>
      </c>
      <c r="T403" s="18">
        <v>1018303</v>
      </c>
    </row>
    <row r="404" ht="15" spans="1:20">
      <c r="A404" s="34"/>
      <c r="B404" s="17">
        <f t="shared" si="6"/>
        <v>70195102</v>
      </c>
      <c r="C404" s="37" t="s">
        <v>441</v>
      </c>
      <c r="E404" s="3" t="str">
        <f>F404&amp;(VLOOKUP(G404,编号表!$E$1:$G$8,2,0))&amp;H404&amp;"_"&amp;I404&amp;"_"&amp;J404</f>
        <v>19N5_1_2</v>
      </c>
      <c r="F404" s="3">
        <v>19</v>
      </c>
      <c r="G404" s="3" t="s">
        <v>52</v>
      </c>
      <c r="H404" s="3">
        <v>5</v>
      </c>
      <c r="I404" s="3">
        <v>1</v>
      </c>
      <c r="J404" s="3">
        <v>2</v>
      </c>
      <c r="T404" s="18">
        <v>1018403</v>
      </c>
    </row>
    <row r="405" ht="15" spans="1:20">
      <c r="A405" s="34"/>
      <c r="B405" s="17">
        <f t="shared" si="6"/>
        <v>70195201</v>
      </c>
      <c r="C405" s="37" t="s">
        <v>442</v>
      </c>
      <c r="E405" s="3" t="str">
        <f>F405&amp;(VLOOKUP(G405,编号表!$E$1:$G$8,2,0))&amp;H405&amp;"_"&amp;I405&amp;"_"&amp;J405</f>
        <v>19N5_2_1</v>
      </c>
      <c r="F405" s="3">
        <v>19</v>
      </c>
      <c r="G405" s="3" t="s">
        <v>52</v>
      </c>
      <c r="H405" s="3">
        <v>5</v>
      </c>
      <c r="I405" s="3">
        <v>2</v>
      </c>
      <c r="J405" s="3">
        <v>1</v>
      </c>
      <c r="T405" s="18">
        <v>1018303</v>
      </c>
    </row>
    <row r="406" ht="15" spans="1:20">
      <c r="A406" s="34"/>
      <c r="B406" s="17">
        <f t="shared" si="6"/>
        <v>70195202</v>
      </c>
      <c r="C406" s="37" t="s">
        <v>443</v>
      </c>
      <c r="E406" s="3" t="str">
        <f>F406&amp;(VLOOKUP(G406,编号表!$E$1:$G$8,2,0))&amp;H406&amp;"_"&amp;I406&amp;"_"&amp;J406</f>
        <v>19N5_2_2</v>
      </c>
      <c r="F406" s="3">
        <v>19</v>
      </c>
      <c r="G406" s="3" t="s">
        <v>52</v>
      </c>
      <c r="H406" s="3">
        <v>5</v>
      </c>
      <c r="I406" s="3">
        <v>2</v>
      </c>
      <c r="J406" s="3">
        <v>2</v>
      </c>
      <c r="T406" s="18">
        <v>1018001</v>
      </c>
    </row>
    <row r="407" ht="15" spans="1:20">
      <c r="A407" s="34"/>
      <c r="B407" s="17">
        <f t="shared" si="6"/>
        <v>70195203</v>
      </c>
      <c r="C407" s="37" t="s">
        <v>444</v>
      </c>
      <c r="E407" s="3" t="str">
        <f>F407&amp;(VLOOKUP(G407,编号表!$E$1:$G$8,2,0))&amp;H407&amp;"_"&amp;I407&amp;"_"&amp;J407</f>
        <v>19N5_2_3</v>
      </c>
      <c r="F407" s="3">
        <v>19</v>
      </c>
      <c r="G407" s="3" t="s">
        <v>52</v>
      </c>
      <c r="H407" s="3">
        <v>5</v>
      </c>
      <c r="I407" s="3">
        <v>2</v>
      </c>
      <c r="J407" s="3">
        <v>3</v>
      </c>
      <c r="T407" s="18">
        <v>1018403</v>
      </c>
    </row>
    <row r="408" ht="15" spans="1:20">
      <c r="A408" s="34"/>
      <c r="B408" s="17">
        <f t="shared" si="6"/>
        <v>70195301</v>
      </c>
      <c r="C408" s="37" t="s">
        <v>445</v>
      </c>
      <c r="E408" s="3" t="str">
        <f>F408&amp;(VLOOKUP(G408,编号表!$E$1:$G$8,2,0))&amp;H408&amp;"_"&amp;I408&amp;"_"&amp;J408</f>
        <v>19N5_3_1</v>
      </c>
      <c r="F408" s="3">
        <v>19</v>
      </c>
      <c r="G408" s="3" t="s">
        <v>52</v>
      </c>
      <c r="H408" s="3">
        <v>5</v>
      </c>
      <c r="I408" s="3">
        <v>3</v>
      </c>
      <c r="J408" s="3">
        <v>1</v>
      </c>
      <c r="T408" s="18">
        <v>1018103</v>
      </c>
    </row>
    <row r="409" ht="15" spans="1:20">
      <c r="A409" s="34"/>
      <c r="B409" s="17">
        <f t="shared" si="6"/>
        <v>70195302</v>
      </c>
      <c r="C409" s="37" t="s">
        <v>446</v>
      </c>
      <c r="E409" s="3" t="str">
        <f>F409&amp;(VLOOKUP(G409,编号表!$E$1:$G$8,2,0))&amp;H409&amp;"_"&amp;I409&amp;"_"&amp;J409</f>
        <v>19N5_3_2</v>
      </c>
      <c r="F409" s="3">
        <v>19</v>
      </c>
      <c r="G409" s="3" t="s">
        <v>52</v>
      </c>
      <c r="H409" s="3">
        <v>5</v>
      </c>
      <c r="I409" s="3">
        <v>3</v>
      </c>
      <c r="J409" s="3">
        <v>2</v>
      </c>
      <c r="T409" s="18">
        <v>1018303</v>
      </c>
    </row>
    <row r="410" ht="15" spans="1:20">
      <c r="A410" s="34"/>
      <c r="B410" s="17">
        <f t="shared" si="6"/>
        <v>70195303</v>
      </c>
      <c r="C410" s="37" t="s">
        <v>447</v>
      </c>
      <c r="E410" s="3" t="str">
        <f>F410&amp;(VLOOKUP(G410,编号表!$E$1:$G$8,2,0))&amp;H410&amp;"_"&amp;I410&amp;"_"&amp;J410</f>
        <v>19N5_3_3</v>
      </c>
      <c r="F410" s="3">
        <v>19</v>
      </c>
      <c r="G410" s="3" t="s">
        <v>52</v>
      </c>
      <c r="H410" s="3">
        <v>5</v>
      </c>
      <c r="I410" s="3">
        <v>3</v>
      </c>
      <c r="J410" s="3">
        <v>3</v>
      </c>
      <c r="T410" s="18">
        <v>1018103</v>
      </c>
    </row>
    <row r="411" ht="15" spans="1:20">
      <c r="A411" s="34"/>
      <c r="B411" s="17">
        <f t="shared" si="6"/>
        <v>70195401</v>
      </c>
      <c r="C411" s="37" t="s">
        <v>448</v>
      </c>
      <c r="E411" s="3" t="str">
        <f>F411&amp;(VLOOKUP(G411,编号表!$E$1:$G$8,2,0))&amp;H411&amp;"_"&amp;I411&amp;"_"&amp;J411</f>
        <v>19N5_4_1</v>
      </c>
      <c r="F411" s="3">
        <v>19</v>
      </c>
      <c r="G411" s="3" t="s">
        <v>52</v>
      </c>
      <c r="H411" s="3">
        <v>5</v>
      </c>
      <c r="I411" s="3">
        <v>4</v>
      </c>
      <c r="J411" s="3">
        <v>1</v>
      </c>
      <c r="T411" s="18">
        <v>1018403</v>
      </c>
    </row>
    <row r="412" ht="15" spans="1:20">
      <c r="A412" s="34"/>
      <c r="B412" s="17">
        <f t="shared" si="6"/>
        <v>70195402</v>
      </c>
      <c r="C412" s="37" t="s">
        <v>449</v>
      </c>
      <c r="E412" s="3" t="str">
        <f>F412&amp;(VLOOKUP(G412,编号表!$E$1:$G$8,2,0))&amp;H412&amp;"_"&amp;I412&amp;"_"&amp;J412</f>
        <v>19N5_4_2</v>
      </c>
      <c r="F412" s="3">
        <v>19</v>
      </c>
      <c r="G412" s="3" t="s">
        <v>52</v>
      </c>
      <c r="H412" s="3">
        <v>5</v>
      </c>
      <c r="I412" s="3">
        <v>4</v>
      </c>
      <c r="J412" s="3">
        <v>2</v>
      </c>
      <c r="T412" s="18">
        <v>1018103</v>
      </c>
    </row>
    <row r="413" ht="15" spans="1:20">
      <c r="A413" s="34"/>
      <c r="B413" s="17">
        <f t="shared" si="6"/>
        <v>70195501</v>
      </c>
      <c r="C413" s="37" t="s">
        <v>450</v>
      </c>
      <c r="E413" s="3" t="str">
        <f>F413&amp;(VLOOKUP(G413,编号表!$E$1:$G$8,2,0))&amp;H413&amp;"_"&amp;I413&amp;"_"&amp;J413</f>
        <v>19N5_5_1</v>
      </c>
      <c r="F413" s="3">
        <v>19</v>
      </c>
      <c r="G413" s="3" t="s">
        <v>52</v>
      </c>
      <c r="H413" s="3">
        <v>5</v>
      </c>
      <c r="I413" s="3">
        <v>5</v>
      </c>
      <c r="J413" s="3">
        <v>1</v>
      </c>
      <c r="T413" s="18">
        <v>1018303</v>
      </c>
    </row>
    <row r="414" ht="15" spans="1:20">
      <c r="A414" s="34"/>
      <c r="B414" s="17">
        <f t="shared" si="6"/>
        <v>70195001</v>
      </c>
      <c r="C414" s="39" t="s">
        <v>451</v>
      </c>
      <c r="E414" s="3" t="str">
        <f>F414&amp;(VLOOKUP(G414,编号表!$E$1:$G$8,2,0))&amp;H414&amp;"_"&amp;I414&amp;"_"&amp;J414</f>
        <v>19J5_0_1</v>
      </c>
      <c r="F414" s="3">
        <v>19</v>
      </c>
      <c r="G414" s="3" t="s">
        <v>167</v>
      </c>
      <c r="H414" s="3">
        <v>5</v>
      </c>
      <c r="I414" s="3">
        <v>0</v>
      </c>
      <c r="J414" s="3">
        <v>1</v>
      </c>
      <c r="K414" s="3">
        <v>1</v>
      </c>
    </row>
    <row r="415" ht="15" spans="1:20">
      <c r="A415" s="34"/>
      <c r="B415" s="17">
        <f t="shared" si="6"/>
        <v>70191001</v>
      </c>
      <c r="C415" s="36" t="s">
        <v>452</v>
      </c>
      <c r="E415" s="3" t="str">
        <f>F415&amp;(VLOOKUP(G415,编号表!$E$1:$G$8,2,0))&amp;H415&amp;"_"&amp;I415&amp;"_"&amp;J415</f>
        <v>19T1_0_1</v>
      </c>
      <c r="F415" s="3">
        <v>19</v>
      </c>
      <c r="G415" s="3" t="s">
        <v>169</v>
      </c>
      <c r="H415" s="3">
        <v>1</v>
      </c>
      <c r="I415" s="3">
        <v>0</v>
      </c>
      <c r="J415" s="3">
        <v>1</v>
      </c>
      <c r="L415" s="3">
        <v>1</v>
      </c>
      <c r="R415" s="3">
        <v>70181002</v>
      </c>
    </row>
    <row r="416" ht="15" spans="1:20">
      <c r="A416" s="34"/>
      <c r="B416" s="17">
        <f t="shared" si="6"/>
        <v>70191002</v>
      </c>
      <c r="C416" s="36" t="s">
        <v>452</v>
      </c>
      <c r="E416" s="3" t="str">
        <f>F416&amp;(VLOOKUP(G416,编号表!$E$1:$G$8,2,0))&amp;H416&amp;"_"&amp;I416&amp;"_"&amp;J416</f>
        <v>19T1_0_2</v>
      </c>
      <c r="F416" s="3">
        <v>19</v>
      </c>
      <c r="G416" s="3" t="s">
        <v>169</v>
      </c>
      <c r="H416" s="3">
        <v>1</v>
      </c>
      <c r="I416" s="3">
        <v>0</v>
      </c>
      <c r="J416" s="3">
        <v>2</v>
      </c>
      <c r="L416" s="3">
        <v>1</v>
      </c>
      <c r="R416" s="3">
        <v>70016204</v>
      </c>
    </row>
    <row r="417" ht="15" spans="1:20">
      <c r="A417" s="34"/>
      <c r="B417" s="17">
        <f t="shared" si="6"/>
        <v>70192001</v>
      </c>
      <c r="C417" s="36" t="s">
        <v>453</v>
      </c>
      <c r="E417" s="3" t="str">
        <f>F417&amp;(VLOOKUP(G417,编号表!$E$1:$G$8,2,0))&amp;H417&amp;"_"&amp;I417&amp;"_"&amp;J417</f>
        <v>19D2_0_1</v>
      </c>
      <c r="F417" s="3">
        <v>19</v>
      </c>
      <c r="G417" s="3" t="s">
        <v>171</v>
      </c>
      <c r="H417" s="3">
        <v>2</v>
      </c>
      <c r="I417" s="3">
        <v>0</v>
      </c>
      <c r="J417" s="3">
        <v>1</v>
      </c>
      <c r="M417" s="3">
        <v>1</v>
      </c>
    </row>
    <row r="418" ht="15" spans="1:20">
      <c r="A418" s="34"/>
      <c r="B418" s="17">
        <f t="shared" si="6"/>
        <v>70205001</v>
      </c>
      <c r="C418" s="39" t="s">
        <v>454</v>
      </c>
      <c r="E418" s="3" t="str">
        <f>F418&amp;(VLOOKUP(G418,编号表!$E$1:$G$8,2,0))&amp;H418&amp;"_"&amp;I418&amp;"_"&amp;J418</f>
        <v>20J5_0_1</v>
      </c>
      <c r="F418" s="3">
        <v>20</v>
      </c>
      <c r="G418" s="3" t="s">
        <v>167</v>
      </c>
      <c r="H418" s="3">
        <v>5</v>
      </c>
      <c r="I418" s="3">
        <v>0</v>
      </c>
      <c r="J418" s="3">
        <v>1</v>
      </c>
      <c r="K418" s="3">
        <v>1</v>
      </c>
    </row>
    <row r="419" ht="15" spans="1:20">
      <c r="A419" s="34"/>
      <c r="B419" s="17">
        <f t="shared" si="6"/>
        <v>70201001</v>
      </c>
      <c r="C419" s="36" t="s">
        <v>455</v>
      </c>
      <c r="E419" s="3" t="str">
        <f>F419&amp;(VLOOKUP(G419,编号表!$E$1:$G$8,2,0))&amp;H419&amp;"_"&amp;I419&amp;"_"&amp;J419</f>
        <v>20T1_0_1</v>
      </c>
      <c r="F419" s="3">
        <v>20</v>
      </c>
      <c r="G419" s="3" t="s">
        <v>169</v>
      </c>
      <c r="H419" s="3">
        <v>1</v>
      </c>
      <c r="I419" s="3">
        <v>0</v>
      </c>
      <c r="J419" s="3">
        <v>1</v>
      </c>
      <c r="L419" s="3">
        <v>1</v>
      </c>
      <c r="R419" s="3">
        <v>70016204</v>
      </c>
    </row>
    <row r="420" ht="15" spans="1:20">
      <c r="A420" s="34"/>
      <c r="B420" s="17">
        <f t="shared" si="6"/>
        <v>70201002</v>
      </c>
      <c r="C420" s="36" t="s">
        <v>455</v>
      </c>
      <c r="E420" s="3" t="str">
        <f>F420&amp;(VLOOKUP(G420,编号表!$E$1:$G$8,2,0))&amp;H420&amp;"_"&amp;I420&amp;"_"&amp;J420</f>
        <v>20T1_0_2</v>
      </c>
      <c r="F420" s="3">
        <v>20</v>
      </c>
      <c r="G420" s="3" t="s">
        <v>169</v>
      </c>
      <c r="H420" s="3">
        <v>1</v>
      </c>
      <c r="I420" s="3">
        <v>0</v>
      </c>
      <c r="J420" s="3">
        <v>2</v>
      </c>
      <c r="L420" s="3">
        <v>1</v>
      </c>
      <c r="R420" s="3">
        <v>70211001</v>
      </c>
    </row>
    <row r="421" ht="15" spans="1:20">
      <c r="A421" s="34"/>
      <c r="B421" s="17">
        <f t="shared" si="6"/>
        <v>70202001</v>
      </c>
      <c r="C421" s="36" t="s">
        <v>456</v>
      </c>
      <c r="E421" s="3" t="str">
        <f>F421&amp;(VLOOKUP(G421,编号表!$E$1:$G$8,2,0))&amp;H421&amp;"_"&amp;I421&amp;"_"&amp;J421</f>
        <v>20D2_0_1</v>
      </c>
      <c r="F421" s="3">
        <v>20</v>
      </c>
      <c r="G421" s="3" t="s">
        <v>171</v>
      </c>
      <c r="H421" s="3">
        <v>2</v>
      </c>
      <c r="I421" s="3">
        <v>0</v>
      </c>
      <c r="J421" s="3">
        <v>1</v>
      </c>
      <c r="M421" s="3">
        <v>1</v>
      </c>
    </row>
    <row r="422" ht="15" spans="1:20">
      <c r="A422" s="34"/>
      <c r="B422" s="17">
        <f t="shared" si="6"/>
        <v>70215101</v>
      </c>
      <c r="C422" s="37" t="s">
        <v>457</v>
      </c>
      <c r="E422" s="3" t="str">
        <f>F422&amp;(VLOOKUP(G422,编号表!$E$1:$G$8,2,0))&amp;H422&amp;"_"&amp;I422&amp;"_"&amp;J422</f>
        <v>21N5_1_1</v>
      </c>
      <c r="F422" s="3">
        <v>21</v>
      </c>
      <c r="G422" s="3" t="s">
        <v>52</v>
      </c>
      <c r="H422" s="3">
        <v>5</v>
      </c>
      <c r="I422" s="3">
        <v>1</v>
      </c>
      <c r="J422" s="3">
        <v>1</v>
      </c>
      <c r="T422" s="18">
        <v>1026303</v>
      </c>
    </row>
    <row r="423" ht="15" spans="1:20">
      <c r="A423" s="34"/>
      <c r="B423" s="17">
        <f t="shared" si="6"/>
        <v>70215102</v>
      </c>
      <c r="C423" s="37" t="s">
        <v>458</v>
      </c>
      <c r="E423" s="3" t="str">
        <f>F423&amp;(VLOOKUP(G423,编号表!$E$1:$G$8,2,0))&amp;H423&amp;"_"&amp;I423&amp;"_"&amp;J423</f>
        <v>21N5_1_2</v>
      </c>
      <c r="F423" s="3">
        <v>21</v>
      </c>
      <c r="G423" s="3" t="s">
        <v>52</v>
      </c>
      <c r="H423" s="3">
        <v>5</v>
      </c>
      <c r="I423" s="3">
        <v>1</v>
      </c>
      <c r="J423" s="3">
        <v>2</v>
      </c>
      <c r="T423" s="18">
        <v>1026403</v>
      </c>
    </row>
    <row r="424" ht="15" spans="1:20">
      <c r="A424" s="34"/>
      <c r="B424" s="17">
        <f t="shared" si="6"/>
        <v>70215103</v>
      </c>
      <c r="C424" s="37" t="s">
        <v>459</v>
      </c>
      <c r="E424" s="3" t="str">
        <f>F424&amp;(VLOOKUP(G424,编号表!$E$1:$G$8,2,0))&amp;H424&amp;"_"&amp;I424&amp;"_"&amp;J424</f>
        <v>21N5_1_3</v>
      </c>
      <c r="F424" s="3">
        <v>21</v>
      </c>
      <c r="G424" s="3" t="s">
        <v>52</v>
      </c>
      <c r="H424" s="3">
        <v>5</v>
      </c>
      <c r="I424" s="3">
        <v>1</v>
      </c>
      <c r="J424" s="3">
        <v>3</v>
      </c>
      <c r="T424" s="18">
        <v>1026503</v>
      </c>
    </row>
    <row r="425" ht="15" spans="1:20">
      <c r="A425" s="34"/>
      <c r="B425" s="17">
        <f t="shared" si="6"/>
        <v>70215201</v>
      </c>
      <c r="C425" s="37" t="s">
        <v>460</v>
      </c>
      <c r="E425" s="3" t="str">
        <f>F425&amp;(VLOOKUP(G425,编号表!$E$1:$G$8,2,0))&amp;H425&amp;"_"&amp;I425&amp;"_"&amp;J425</f>
        <v>21N5_2_1</v>
      </c>
      <c r="F425" s="3">
        <v>21</v>
      </c>
      <c r="G425" s="3" t="s">
        <v>52</v>
      </c>
      <c r="H425" s="3">
        <v>5</v>
      </c>
      <c r="I425" s="3">
        <v>2</v>
      </c>
      <c r="J425" s="3">
        <v>1</v>
      </c>
      <c r="T425" s="18">
        <v>1026303</v>
      </c>
    </row>
    <row r="426" ht="15" spans="1:20">
      <c r="A426" s="34"/>
      <c r="B426" s="17">
        <f t="shared" si="6"/>
        <v>70215202</v>
      </c>
      <c r="C426" s="37" t="s">
        <v>461</v>
      </c>
      <c r="E426" s="3" t="str">
        <f>F426&amp;(VLOOKUP(G426,编号表!$E$1:$G$8,2,0))&amp;H426&amp;"_"&amp;I426&amp;"_"&amp;J426</f>
        <v>21N5_2_2</v>
      </c>
      <c r="F426" s="3">
        <v>21</v>
      </c>
      <c r="G426" s="3" t="s">
        <v>52</v>
      </c>
      <c r="H426" s="3">
        <v>5</v>
      </c>
      <c r="I426" s="3">
        <v>2</v>
      </c>
      <c r="J426" s="3">
        <v>2</v>
      </c>
      <c r="T426" s="18">
        <v>1026001</v>
      </c>
    </row>
    <row r="427" ht="15" spans="1:20">
      <c r="A427" s="34"/>
      <c r="B427" s="17">
        <f t="shared" si="6"/>
        <v>70215301</v>
      </c>
      <c r="C427" s="37" t="s">
        <v>462</v>
      </c>
      <c r="E427" s="3" t="str">
        <f>F427&amp;(VLOOKUP(G427,编号表!$E$1:$G$8,2,0))&amp;H427&amp;"_"&amp;I427&amp;"_"&amp;J427</f>
        <v>21N5_3_1</v>
      </c>
      <c r="F427" s="3">
        <v>21</v>
      </c>
      <c r="G427" s="3" t="s">
        <v>52</v>
      </c>
      <c r="H427" s="3">
        <v>5</v>
      </c>
      <c r="I427" s="3">
        <v>3</v>
      </c>
      <c r="J427" s="3">
        <v>1</v>
      </c>
      <c r="T427" s="18">
        <v>1026403</v>
      </c>
    </row>
    <row r="428" ht="15" spans="1:20">
      <c r="A428" s="34"/>
      <c r="B428" s="17">
        <f t="shared" si="6"/>
        <v>70215302</v>
      </c>
      <c r="C428" s="37" t="s">
        <v>463</v>
      </c>
      <c r="E428" s="3" t="str">
        <f>F428&amp;(VLOOKUP(G428,编号表!$E$1:$G$8,2,0))&amp;H428&amp;"_"&amp;I428&amp;"_"&amp;J428</f>
        <v>21N5_3_2</v>
      </c>
      <c r="F428" s="3">
        <v>21</v>
      </c>
      <c r="G428" s="3" t="s">
        <v>52</v>
      </c>
      <c r="H428" s="3">
        <v>5</v>
      </c>
      <c r="I428" s="3">
        <v>3</v>
      </c>
      <c r="J428" s="3">
        <v>2</v>
      </c>
      <c r="T428" s="18">
        <v>1026503</v>
      </c>
    </row>
    <row r="429" ht="15" spans="1:20">
      <c r="A429" s="34"/>
      <c r="B429" s="17">
        <f t="shared" si="6"/>
        <v>70215303</v>
      </c>
      <c r="C429" s="37" t="s">
        <v>464</v>
      </c>
      <c r="E429" s="3" t="str">
        <f>F429&amp;(VLOOKUP(G429,编号表!$E$1:$G$8,2,0))&amp;H429&amp;"_"&amp;I429&amp;"_"&amp;J429</f>
        <v>21N5_3_3</v>
      </c>
      <c r="F429" s="3">
        <v>21</v>
      </c>
      <c r="G429" s="3" t="s">
        <v>52</v>
      </c>
      <c r="H429" s="3">
        <v>5</v>
      </c>
      <c r="I429" s="3">
        <v>3</v>
      </c>
      <c r="J429" s="3">
        <v>3</v>
      </c>
      <c r="T429" s="18">
        <v>1026303</v>
      </c>
    </row>
    <row r="430" ht="15" spans="1:20">
      <c r="A430" s="34"/>
      <c r="B430" s="17">
        <f t="shared" si="6"/>
        <v>70215001</v>
      </c>
      <c r="C430" s="39" t="s">
        <v>465</v>
      </c>
      <c r="E430" s="3" t="str">
        <f>F430&amp;(VLOOKUP(G430,编号表!$E$1:$G$8,2,0))&amp;H430&amp;"_"&amp;I430&amp;"_"&amp;J430</f>
        <v>21J5_0_1</v>
      </c>
      <c r="F430" s="3">
        <v>21</v>
      </c>
      <c r="G430" s="3" t="s">
        <v>167</v>
      </c>
      <c r="H430" s="3">
        <v>5</v>
      </c>
      <c r="I430" s="3">
        <v>0</v>
      </c>
      <c r="J430" s="3">
        <v>1</v>
      </c>
      <c r="K430" s="3">
        <v>1</v>
      </c>
    </row>
    <row r="431" ht="15" spans="1:20">
      <c r="A431" s="34"/>
      <c r="B431" s="17">
        <f t="shared" si="6"/>
        <v>70211001</v>
      </c>
      <c r="C431" s="36" t="s">
        <v>466</v>
      </c>
      <c r="E431" s="3" t="str">
        <f>F431&amp;(VLOOKUP(G431,编号表!$E$1:$G$8,2,0))&amp;H431&amp;"_"&amp;I431&amp;"_"&amp;J431</f>
        <v>21T1_0_1</v>
      </c>
      <c r="F431" s="3">
        <v>21</v>
      </c>
      <c r="G431" s="3" t="s">
        <v>169</v>
      </c>
      <c r="H431" s="3">
        <v>1</v>
      </c>
      <c r="I431" s="3">
        <v>0</v>
      </c>
      <c r="J431" s="3">
        <v>1</v>
      </c>
      <c r="L431" s="3">
        <v>1</v>
      </c>
      <c r="R431" s="3">
        <v>70201001</v>
      </c>
    </row>
    <row r="432" ht="15" spans="1:20">
      <c r="A432" s="34"/>
      <c r="B432" s="17">
        <f t="shared" si="6"/>
        <v>70211002</v>
      </c>
      <c r="C432" s="36" t="s">
        <v>466</v>
      </c>
      <c r="E432" s="3" t="str">
        <f>F432&amp;(VLOOKUP(G432,编号表!$E$1:$G$8,2,0))&amp;H432&amp;"_"&amp;I432&amp;"_"&amp;J432</f>
        <v>21T1_0_2</v>
      </c>
      <c r="F432" s="3">
        <v>21</v>
      </c>
      <c r="G432" s="3" t="s">
        <v>169</v>
      </c>
      <c r="H432" s="3">
        <v>1</v>
      </c>
      <c r="I432" s="3">
        <v>0</v>
      </c>
      <c r="J432" s="3">
        <v>2</v>
      </c>
      <c r="L432" s="3">
        <v>1</v>
      </c>
      <c r="R432" s="3">
        <v>70221001</v>
      </c>
    </row>
    <row r="433" ht="15" spans="1:20">
      <c r="A433" s="34"/>
      <c r="B433" s="17">
        <f t="shared" si="6"/>
        <v>70212001</v>
      </c>
      <c r="C433" s="36" t="s">
        <v>467</v>
      </c>
      <c r="E433" s="3" t="str">
        <f>F433&amp;(VLOOKUP(G433,编号表!$E$1:$G$8,2,0))&amp;H433&amp;"_"&amp;I433&amp;"_"&amp;J433</f>
        <v>21D2_0_1</v>
      </c>
      <c r="F433" s="3">
        <v>21</v>
      </c>
      <c r="G433" s="3" t="s">
        <v>171</v>
      </c>
      <c r="H433" s="3">
        <v>2</v>
      </c>
      <c r="I433" s="3">
        <v>0</v>
      </c>
      <c r="J433" s="3">
        <v>1</v>
      </c>
      <c r="M433" s="3">
        <v>1</v>
      </c>
    </row>
    <row r="434" ht="15" spans="1:20">
      <c r="A434" s="34"/>
      <c r="B434" s="17">
        <f t="shared" si="6"/>
        <v>70225101</v>
      </c>
      <c r="C434" s="37" t="s">
        <v>468</v>
      </c>
      <c r="E434" s="3" t="str">
        <f>F434&amp;(VLOOKUP(G434,编号表!$E$1:$G$8,2,0))&amp;H434&amp;"_"&amp;I434&amp;"_"&amp;J434</f>
        <v>22N5_1_1</v>
      </c>
      <c r="F434" s="3">
        <v>22</v>
      </c>
      <c r="G434" s="3" t="s">
        <v>52</v>
      </c>
      <c r="H434" s="3">
        <v>5</v>
      </c>
      <c r="I434" s="3">
        <v>1</v>
      </c>
      <c r="J434" s="3">
        <v>1</v>
      </c>
      <c r="T434" s="18">
        <v>1019303</v>
      </c>
    </row>
    <row r="435" ht="15" spans="1:20">
      <c r="A435" s="34"/>
      <c r="B435" s="17">
        <f t="shared" si="6"/>
        <v>70225102</v>
      </c>
      <c r="C435" s="37" t="s">
        <v>469</v>
      </c>
      <c r="E435" s="3" t="str">
        <f>F435&amp;(VLOOKUP(G435,编号表!$E$1:$G$8,2,0))&amp;H435&amp;"_"&amp;I435&amp;"_"&amp;J435</f>
        <v>22N5_1_2</v>
      </c>
      <c r="F435" s="3">
        <v>22</v>
      </c>
      <c r="G435" s="3" t="s">
        <v>52</v>
      </c>
      <c r="H435" s="3">
        <v>5</v>
      </c>
      <c r="I435" s="3">
        <v>1</v>
      </c>
      <c r="J435" s="3">
        <v>2</v>
      </c>
      <c r="T435" s="18">
        <v>1019403</v>
      </c>
    </row>
    <row r="436" ht="15" spans="1:20">
      <c r="A436" s="34"/>
      <c r="B436" s="17">
        <f t="shared" si="6"/>
        <v>70225103</v>
      </c>
      <c r="C436" s="37" t="s">
        <v>470</v>
      </c>
      <c r="E436" s="3" t="str">
        <f>F436&amp;(VLOOKUP(G436,编号表!$E$1:$G$8,2,0))&amp;H436&amp;"_"&amp;I436&amp;"_"&amp;J436</f>
        <v>22N5_1_3</v>
      </c>
      <c r="F436" s="3">
        <v>22</v>
      </c>
      <c r="G436" s="3" t="s">
        <v>52</v>
      </c>
      <c r="H436" s="3">
        <v>5</v>
      </c>
      <c r="I436" s="3">
        <v>1</v>
      </c>
      <c r="J436" s="3">
        <v>3</v>
      </c>
      <c r="T436" s="18">
        <v>1019503</v>
      </c>
    </row>
    <row r="437" ht="15" spans="1:20">
      <c r="A437" s="34"/>
      <c r="B437" s="17">
        <f t="shared" si="6"/>
        <v>70225201</v>
      </c>
      <c r="C437" s="37" t="s">
        <v>471</v>
      </c>
      <c r="E437" s="3" t="str">
        <f>F437&amp;(VLOOKUP(G437,编号表!$E$1:$G$8,2,0))&amp;H437&amp;"_"&amp;I437&amp;"_"&amp;J437</f>
        <v>22N5_2_1</v>
      </c>
      <c r="F437" s="3">
        <v>22</v>
      </c>
      <c r="G437" s="3" t="s">
        <v>52</v>
      </c>
      <c r="H437" s="3">
        <v>5</v>
      </c>
      <c r="I437" s="3">
        <v>2</v>
      </c>
      <c r="J437" s="3">
        <v>1</v>
      </c>
      <c r="T437" s="18">
        <v>1019603</v>
      </c>
    </row>
    <row r="438" ht="15" spans="1:20">
      <c r="A438" s="34"/>
      <c r="B438" s="17">
        <f t="shared" si="6"/>
        <v>70225202</v>
      </c>
      <c r="C438" s="37" t="s">
        <v>472</v>
      </c>
      <c r="E438" s="3" t="str">
        <f>F438&amp;(VLOOKUP(G438,编号表!$E$1:$G$8,2,0))&amp;H438&amp;"_"&amp;I438&amp;"_"&amp;J438</f>
        <v>22N5_2_2</v>
      </c>
      <c r="F438" s="3">
        <v>22</v>
      </c>
      <c r="G438" s="3" t="s">
        <v>52</v>
      </c>
      <c r="H438" s="3">
        <v>5</v>
      </c>
      <c r="I438" s="3">
        <v>2</v>
      </c>
      <c r="J438" s="3">
        <v>2</v>
      </c>
      <c r="T438" s="18">
        <v>1019103</v>
      </c>
    </row>
    <row r="439" ht="15" spans="1:20">
      <c r="A439" s="34"/>
      <c r="B439" s="17">
        <f t="shared" si="6"/>
        <v>70225203</v>
      </c>
      <c r="C439" s="37" t="s">
        <v>473</v>
      </c>
      <c r="E439" s="3" t="str">
        <f>F439&amp;(VLOOKUP(G439,编号表!$E$1:$G$8,2,0))&amp;H439&amp;"_"&amp;I439&amp;"_"&amp;J439</f>
        <v>22N5_2_3</v>
      </c>
      <c r="F439" s="3">
        <v>22</v>
      </c>
      <c r="G439" s="3" t="s">
        <v>52</v>
      </c>
      <c r="H439" s="3">
        <v>5</v>
      </c>
      <c r="I439" s="3">
        <v>2</v>
      </c>
      <c r="J439" s="3">
        <v>3</v>
      </c>
      <c r="T439" s="18">
        <v>1019303</v>
      </c>
    </row>
    <row r="440" ht="15" spans="1:20">
      <c r="A440" s="34"/>
      <c r="B440" s="17">
        <f t="shared" si="6"/>
        <v>70225301</v>
      </c>
      <c r="C440" s="37" t="s">
        <v>474</v>
      </c>
      <c r="E440" s="3" t="str">
        <f>F440&amp;(VLOOKUP(G440,编号表!$E$1:$G$8,2,0))&amp;H440&amp;"_"&amp;I440&amp;"_"&amp;J440</f>
        <v>22N5_3_1</v>
      </c>
      <c r="F440" s="3">
        <v>22</v>
      </c>
      <c r="G440" s="3" t="s">
        <v>52</v>
      </c>
      <c r="H440" s="3">
        <v>5</v>
      </c>
      <c r="I440" s="3">
        <v>3</v>
      </c>
      <c r="J440" s="3">
        <v>1</v>
      </c>
      <c r="T440" s="18">
        <v>1019403</v>
      </c>
    </row>
    <row r="441" ht="15" spans="1:20">
      <c r="A441" s="34"/>
      <c r="B441" s="17">
        <f t="shared" si="6"/>
        <v>70225302</v>
      </c>
      <c r="C441" s="37" t="s">
        <v>475</v>
      </c>
      <c r="E441" s="3" t="str">
        <f>F441&amp;(VLOOKUP(G441,编号表!$E$1:$G$8,2,0))&amp;H441&amp;"_"&amp;I441&amp;"_"&amp;J441</f>
        <v>22N5_3_2</v>
      </c>
      <c r="F441" s="3">
        <v>22</v>
      </c>
      <c r="G441" s="3" t="s">
        <v>52</v>
      </c>
      <c r="H441" s="3">
        <v>5</v>
      </c>
      <c r="I441" s="3">
        <v>3</v>
      </c>
      <c r="J441" s="3">
        <v>2</v>
      </c>
      <c r="T441" s="18">
        <v>1019103</v>
      </c>
    </row>
    <row r="442" ht="15" spans="1:20">
      <c r="A442" s="34"/>
      <c r="B442" s="17">
        <f t="shared" si="6"/>
        <v>70225303</v>
      </c>
      <c r="C442" s="37" t="s">
        <v>476</v>
      </c>
      <c r="E442" s="3" t="str">
        <f>F442&amp;(VLOOKUP(G442,编号表!$E$1:$G$8,2,0))&amp;H442&amp;"_"&amp;I442&amp;"_"&amp;J442</f>
        <v>22N5_3_3</v>
      </c>
      <c r="F442" s="3">
        <v>22</v>
      </c>
      <c r="G442" s="3" t="s">
        <v>52</v>
      </c>
      <c r="H442" s="3">
        <v>5</v>
      </c>
      <c r="I442" s="3">
        <v>3</v>
      </c>
      <c r="J442" s="3">
        <v>3</v>
      </c>
      <c r="T442" s="18">
        <v>1019503</v>
      </c>
    </row>
    <row r="443" ht="15" spans="1:20">
      <c r="A443" s="34"/>
      <c r="B443" s="17">
        <f t="shared" si="6"/>
        <v>70225304</v>
      </c>
      <c r="C443" s="37" t="s">
        <v>477</v>
      </c>
      <c r="E443" s="3" t="str">
        <f>F443&amp;(VLOOKUP(G443,编号表!$E$1:$G$8,2,0))&amp;H443&amp;"_"&amp;I443&amp;"_"&amp;J443</f>
        <v>22N5_3_4</v>
      </c>
      <c r="F443" s="3">
        <v>22</v>
      </c>
      <c r="G443" s="3" t="s">
        <v>52</v>
      </c>
      <c r="H443" s="3">
        <v>5</v>
      </c>
      <c r="I443" s="3">
        <v>3</v>
      </c>
      <c r="J443" s="3">
        <v>4</v>
      </c>
      <c r="T443" s="18">
        <v>1019603</v>
      </c>
    </row>
    <row r="444" ht="15" spans="1:20">
      <c r="A444" s="34"/>
      <c r="B444" s="17">
        <f t="shared" si="6"/>
        <v>70225401</v>
      </c>
      <c r="C444" s="37" t="s">
        <v>477</v>
      </c>
      <c r="E444" s="3" t="str">
        <f>F444&amp;(VLOOKUP(G444,编号表!$E$1:$G$8,2,0))&amp;H444&amp;"_"&amp;I444&amp;"_"&amp;J444</f>
        <v>22N5_4_1</v>
      </c>
      <c r="F444" s="3">
        <v>22</v>
      </c>
      <c r="G444" s="3" t="s">
        <v>52</v>
      </c>
      <c r="H444" s="3">
        <v>5</v>
      </c>
      <c r="I444" s="3">
        <v>4</v>
      </c>
      <c r="J444" s="3">
        <v>1</v>
      </c>
      <c r="T444" s="18">
        <v>1019303</v>
      </c>
    </row>
    <row r="445" ht="15" spans="1:20">
      <c r="A445" s="34"/>
      <c r="B445" s="17">
        <f t="shared" si="6"/>
        <v>70225402</v>
      </c>
      <c r="C445" s="37" t="s">
        <v>477</v>
      </c>
      <c r="E445" s="3" t="str">
        <f>F445&amp;(VLOOKUP(G445,编号表!$E$1:$G$8,2,0))&amp;H445&amp;"_"&amp;I445&amp;"_"&amp;J445</f>
        <v>22N5_4_2</v>
      </c>
      <c r="F445" s="3">
        <v>22</v>
      </c>
      <c r="G445" s="3" t="s">
        <v>52</v>
      </c>
      <c r="H445" s="3">
        <v>5</v>
      </c>
      <c r="I445" s="3">
        <v>4</v>
      </c>
      <c r="J445" s="3">
        <v>2</v>
      </c>
      <c r="T445" s="18">
        <v>1019403</v>
      </c>
    </row>
    <row r="446" ht="15" spans="1:20">
      <c r="A446" s="34"/>
      <c r="B446" s="17">
        <f t="shared" si="6"/>
        <v>70225403</v>
      </c>
      <c r="C446" s="37" t="s">
        <v>477</v>
      </c>
      <c r="E446" s="3" t="str">
        <f>F446&amp;(VLOOKUP(G446,编号表!$E$1:$G$8,2,0))&amp;H446&amp;"_"&amp;I446&amp;"_"&amp;J446</f>
        <v>22N5_4_3</v>
      </c>
      <c r="F446" s="3">
        <v>22</v>
      </c>
      <c r="G446" s="3" t="s">
        <v>52</v>
      </c>
      <c r="H446" s="3">
        <v>5</v>
      </c>
      <c r="I446" s="3">
        <v>4</v>
      </c>
      <c r="J446" s="3">
        <v>3</v>
      </c>
      <c r="T446" s="18">
        <v>1019503</v>
      </c>
    </row>
    <row r="447" ht="15" spans="1:20">
      <c r="A447" s="34"/>
      <c r="B447" s="17">
        <f t="shared" si="6"/>
        <v>70225404</v>
      </c>
      <c r="C447" s="37" t="s">
        <v>477</v>
      </c>
      <c r="E447" s="3" t="str">
        <f>F447&amp;(VLOOKUP(G447,编号表!$E$1:$G$8,2,0))&amp;H447&amp;"_"&amp;I447&amp;"_"&amp;J447</f>
        <v>22N5_4_4</v>
      </c>
      <c r="F447" s="3">
        <v>22</v>
      </c>
      <c r="G447" s="3" t="s">
        <v>52</v>
      </c>
      <c r="H447" s="3">
        <v>5</v>
      </c>
      <c r="I447" s="3">
        <v>4</v>
      </c>
      <c r="J447" s="3">
        <v>4</v>
      </c>
      <c r="T447" s="18">
        <v>1019603</v>
      </c>
    </row>
    <row r="448" ht="15" spans="1:20">
      <c r="A448" s="34"/>
      <c r="B448" s="17">
        <f t="shared" si="6"/>
        <v>70225405</v>
      </c>
      <c r="C448" s="37" t="s">
        <v>477</v>
      </c>
      <c r="E448" s="3" t="str">
        <f>F448&amp;(VLOOKUP(G448,编号表!$E$1:$G$8,2,0))&amp;H448&amp;"_"&amp;I448&amp;"_"&amp;J448</f>
        <v>22N5_4_5</v>
      </c>
      <c r="F448" s="3">
        <v>22</v>
      </c>
      <c r="G448" s="3" t="s">
        <v>52</v>
      </c>
      <c r="H448" s="3">
        <v>5</v>
      </c>
      <c r="I448" s="3">
        <v>4</v>
      </c>
      <c r="J448" s="3">
        <v>5</v>
      </c>
      <c r="T448" s="18">
        <v>1019303</v>
      </c>
    </row>
    <row r="449" ht="15" spans="1:20">
      <c r="A449" s="34"/>
      <c r="B449" s="17">
        <f t="shared" si="6"/>
        <v>70225406</v>
      </c>
      <c r="C449" s="37" t="s">
        <v>477</v>
      </c>
      <c r="E449" s="3" t="str">
        <f>F449&amp;(VLOOKUP(G449,编号表!$E$1:$G$8,2,0))&amp;H449&amp;"_"&amp;I449&amp;"_"&amp;J449</f>
        <v>22N5_4_6</v>
      </c>
      <c r="F449" s="3">
        <v>22</v>
      </c>
      <c r="G449" s="3" t="s">
        <v>52</v>
      </c>
      <c r="H449" s="3">
        <v>5</v>
      </c>
      <c r="I449" s="3">
        <v>4</v>
      </c>
      <c r="J449" s="3">
        <v>6</v>
      </c>
      <c r="T449" s="18">
        <v>1019103</v>
      </c>
    </row>
    <row r="450" ht="15" spans="1:20">
      <c r="A450" s="34"/>
      <c r="B450" s="17">
        <f t="shared" si="6"/>
        <v>70225001</v>
      </c>
      <c r="C450" s="39" t="s">
        <v>478</v>
      </c>
      <c r="E450" s="3" t="str">
        <f>F450&amp;(VLOOKUP(G450,编号表!$E$1:$G$8,2,0))&amp;H450&amp;"_"&amp;I450&amp;"_"&amp;J450</f>
        <v>22J5_0_1</v>
      </c>
      <c r="F450" s="3">
        <v>22</v>
      </c>
      <c r="G450" s="3" t="s">
        <v>167</v>
      </c>
      <c r="H450" s="3">
        <v>5</v>
      </c>
      <c r="I450" s="3">
        <v>0</v>
      </c>
      <c r="J450" s="3">
        <v>1</v>
      </c>
      <c r="K450" s="3">
        <v>1</v>
      </c>
    </row>
    <row r="451" ht="15" spans="1:20">
      <c r="A451" s="34"/>
      <c r="B451" s="17">
        <f t="shared" si="6"/>
        <v>70221001</v>
      </c>
      <c r="C451" s="36" t="s">
        <v>479</v>
      </c>
      <c r="E451" s="3" t="str">
        <f>F451&amp;(VLOOKUP(G451,编号表!$E$1:$G$8,2,0))&amp;H451&amp;"_"&amp;I451&amp;"_"&amp;J451</f>
        <v>22T1_0_1</v>
      </c>
      <c r="F451" s="3">
        <v>22</v>
      </c>
      <c r="G451" s="3" t="s">
        <v>169</v>
      </c>
      <c r="H451" s="3">
        <v>1</v>
      </c>
      <c r="I451" s="3">
        <v>0</v>
      </c>
      <c r="J451" s="3">
        <v>1</v>
      </c>
      <c r="L451" s="3">
        <v>1</v>
      </c>
      <c r="R451" s="3">
        <v>70211002</v>
      </c>
    </row>
    <row r="452" ht="15" spans="1:20">
      <c r="A452" s="34"/>
      <c r="B452" s="17">
        <f t="shared" si="6"/>
        <v>70221002</v>
      </c>
      <c r="C452" s="36" t="s">
        <v>479</v>
      </c>
      <c r="E452" s="3" t="str">
        <f>F452&amp;(VLOOKUP(G452,编号表!$E$1:$G$8,2,0))&amp;H452&amp;"_"&amp;I452&amp;"_"&amp;J452</f>
        <v>22T1_0_2</v>
      </c>
      <c r="F452" s="3">
        <v>22</v>
      </c>
      <c r="G452" s="3" t="s">
        <v>169</v>
      </c>
      <c r="H452" s="3">
        <v>1</v>
      </c>
      <c r="I452" s="3">
        <v>0</v>
      </c>
      <c r="J452" s="3">
        <v>2</v>
      </c>
      <c r="L452" s="3">
        <v>1</v>
      </c>
      <c r="R452" s="3">
        <v>70231001</v>
      </c>
    </row>
    <row r="453" ht="15" spans="1:20">
      <c r="A453" s="34"/>
      <c r="B453" s="17">
        <f t="shared" ref="B453:B516" si="7">70000000+F453*10000+H453*1000+I453*100+J453</f>
        <v>70222001</v>
      </c>
      <c r="C453" s="36" t="s">
        <v>480</v>
      </c>
      <c r="E453" s="3" t="str">
        <f>F453&amp;(VLOOKUP(G453,编号表!$E$1:$G$8,2,0))&amp;H453&amp;"_"&amp;I453&amp;"_"&amp;J453</f>
        <v>22D2_0_1</v>
      </c>
      <c r="F453" s="3">
        <v>22</v>
      </c>
      <c r="G453" s="3" t="s">
        <v>171</v>
      </c>
      <c r="H453" s="3">
        <v>2</v>
      </c>
      <c r="I453" s="3">
        <v>0</v>
      </c>
      <c r="J453" s="3">
        <v>1</v>
      </c>
      <c r="M453" s="3">
        <v>1</v>
      </c>
    </row>
    <row r="454" ht="15" spans="1:20">
      <c r="A454" s="34"/>
      <c r="B454" s="17">
        <f t="shared" si="7"/>
        <v>70235101</v>
      </c>
      <c r="C454" s="37" t="s">
        <v>481</v>
      </c>
      <c r="E454" s="3" t="str">
        <f>F454&amp;(VLOOKUP(G454,编号表!$E$1:$G$8,2,0))&amp;H454&amp;"_"&amp;I454&amp;"_"&amp;J454</f>
        <v>23N5_1_1</v>
      </c>
      <c r="F454" s="3">
        <v>23</v>
      </c>
      <c r="G454" s="3" t="s">
        <v>52</v>
      </c>
      <c r="H454" s="3">
        <v>5</v>
      </c>
      <c r="I454" s="3">
        <v>1</v>
      </c>
      <c r="J454" s="3">
        <v>1</v>
      </c>
      <c r="T454" s="18">
        <v>1020303</v>
      </c>
    </row>
    <row r="455" ht="15" spans="1:20">
      <c r="A455" s="34"/>
      <c r="B455" s="17">
        <f t="shared" si="7"/>
        <v>70235102</v>
      </c>
      <c r="C455" s="37" t="s">
        <v>482</v>
      </c>
      <c r="E455" s="3" t="str">
        <f>F455&amp;(VLOOKUP(G455,编号表!$E$1:$G$8,2,0))&amp;H455&amp;"_"&amp;I455&amp;"_"&amp;J455</f>
        <v>23N5_1_2</v>
      </c>
      <c r="F455" s="3">
        <v>23</v>
      </c>
      <c r="G455" s="3" t="s">
        <v>52</v>
      </c>
      <c r="H455" s="3">
        <v>5</v>
      </c>
      <c r="I455" s="3">
        <v>1</v>
      </c>
      <c r="J455" s="3">
        <v>2</v>
      </c>
      <c r="T455" s="18">
        <v>1020403</v>
      </c>
    </row>
    <row r="456" ht="15" spans="1:20">
      <c r="A456" s="34"/>
      <c r="B456" s="17">
        <f t="shared" si="7"/>
        <v>70235103</v>
      </c>
      <c r="C456" s="37" t="s">
        <v>483</v>
      </c>
      <c r="E456" s="3" t="str">
        <f>F456&amp;(VLOOKUP(G456,编号表!$E$1:$G$8,2,0))&amp;H456&amp;"_"&amp;I456&amp;"_"&amp;J456</f>
        <v>23N5_1_3</v>
      </c>
      <c r="F456" s="3">
        <v>23</v>
      </c>
      <c r="G456" s="3" t="s">
        <v>52</v>
      </c>
      <c r="H456" s="3">
        <v>5</v>
      </c>
      <c r="I456" s="3">
        <v>1</v>
      </c>
      <c r="J456" s="3">
        <v>3</v>
      </c>
      <c r="T456" s="18">
        <v>1020503</v>
      </c>
    </row>
    <row r="457" ht="15" spans="1:20">
      <c r="A457" s="34"/>
      <c r="B457" s="17">
        <f t="shared" si="7"/>
        <v>70235104</v>
      </c>
      <c r="C457" s="37" t="s">
        <v>484</v>
      </c>
      <c r="E457" s="3" t="str">
        <f>F457&amp;(VLOOKUP(G457,编号表!$E$1:$G$8,2,0))&amp;H457&amp;"_"&amp;I457&amp;"_"&amp;J457</f>
        <v>23N5_1_4</v>
      </c>
      <c r="F457" s="3">
        <v>23</v>
      </c>
      <c r="G457" s="3" t="s">
        <v>52</v>
      </c>
      <c r="H457" s="3">
        <v>5</v>
      </c>
      <c r="I457" s="3">
        <v>1</v>
      </c>
      <c r="J457" s="3">
        <v>4</v>
      </c>
      <c r="T457" s="18">
        <v>1020303</v>
      </c>
    </row>
    <row r="458" ht="15" spans="1:20">
      <c r="A458" s="34"/>
      <c r="B458" s="17">
        <f t="shared" si="7"/>
        <v>70235201</v>
      </c>
      <c r="C458" s="37" t="s">
        <v>485</v>
      </c>
      <c r="E458" s="3" t="str">
        <f>F458&amp;(VLOOKUP(G458,编号表!$E$1:$G$8,2,0))&amp;H458&amp;"_"&amp;I458&amp;"_"&amp;J458</f>
        <v>23N5_2_1</v>
      </c>
      <c r="F458" s="3">
        <v>23</v>
      </c>
      <c r="G458" s="3" t="s">
        <v>52</v>
      </c>
      <c r="H458" s="3">
        <v>5</v>
      </c>
      <c r="I458" s="3">
        <v>2</v>
      </c>
      <c r="J458" s="3">
        <v>1</v>
      </c>
      <c r="T458" s="18">
        <v>1020403</v>
      </c>
    </row>
    <row r="459" ht="15" spans="1:20">
      <c r="A459" s="34"/>
      <c r="B459" s="17">
        <f t="shared" si="7"/>
        <v>70235202</v>
      </c>
      <c r="C459" s="37" t="s">
        <v>486</v>
      </c>
      <c r="E459" s="3" t="str">
        <f>F459&amp;(VLOOKUP(G459,编号表!$E$1:$G$8,2,0))&amp;H459&amp;"_"&amp;I459&amp;"_"&amp;J459</f>
        <v>23N5_2_2</v>
      </c>
      <c r="F459" s="3">
        <v>23</v>
      </c>
      <c r="G459" s="3" t="s">
        <v>52</v>
      </c>
      <c r="H459" s="3">
        <v>5</v>
      </c>
      <c r="I459" s="3">
        <v>2</v>
      </c>
      <c r="J459" s="3">
        <v>2</v>
      </c>
      <c r="T459" s="18">
        <v>1020103</v>
      </c>
    </row>
    <row r="460" ht="15" spans="1:20">
      <c r="A460" s="34"/>
      <c r="B460" s="17">
        <f t="shared" si="7"/>
        <v>70235203</v>
      </c>
      <c r="C460" s="37" t="s">
        <v>487</v>
      </c>
      <c r="E460" s="3" t="str">
        <f>F460&amp;(VLOOKUP(G460,编号表!$E$1:$G$8,2,0))&amp;H460&amp;"_"&amp;I460&amp;"_"&amp;J460</f>
        <v>23N5_2_3</v>
      </c>
      <c r="F460" s="3">
        <v>23</v>
      </c>
      <c r="G460" s="3" t="s">
        <v>52</v>
      </c>
      <c r="H460" s="3">
        <v>5</v>
      </c>
      <c r="I460" s="3">
        <v>2</v>
      </c>
      <c r="J460" s="3">
        <v>3</v>
      </c>
      <c r="T460" s="18">
        <v>1020503</v>
      </c>
    </row>
    <row r="461" ht="15" spans="1:20">
      <c r="A461" s="34"/>
      <c r="B461" s="17">
        <f t="shared" si="7"/>
        <v>70235204</v>
      </c>
      <c r="C461" s="37" t="s">
        <v>488</v>
      </c>
      <c r="E461" s="3" t="str">
        <f>F461&amp;(VLOOKUP(G461,编号表!$E$1:$G$8,2,0))&amp;H461&amp;"_"&amp;I461&amp;"_"&amp;J461</f>
        <v>23N5_2_4</v>
      </c>
      <c r="F461" s="3">
        <v>23</v>
      </c>
      <c r="G461" s="3" t="s">
        <v>52</v>
      </c>
      <c r="H461" s="3">
        <v>5</v>
      </c>
      <c r="I461" s="3">
        <v>2</v>
      </c>
      <c r="J461" s="3">
        <v>4</v>
      </c>
      <c r="T461" s="18">
        <v>1020303</v>
      </c>
    </row>
    <row r="462" ht="15" spans="1:20">
      <c r="A462" s="34"/>
      <c r="B462" s="17">
        <f t="shared" si="7"/>
        <v>70235205</v>
      </c>
      <c r="C462" s="37" t="s">
        <v>489</v>
      </c>
      <c r="E462" s="3" t="str">
        <f>F462&amp;(VLOOKUP(G462,编号表!$E$1:$G$8,2,0))&amp;H462&amp;"_"&amp;I462&amp;"_"&amp;J462</f>
        <v>23N5_2_5</v>
      </c>
      <c r="F462" s="3">
        <v>23</v>
      </c>
      <c r="G462" s="3" t="s">
        <v>52</v>
      </c>
      <c r="H462" s="3">
        <v>5</v>
      </c>
      <c r="I462" s="3">
        <v>2</v>
      </c>
      <c r="J462" s="3">
        <v>5</v>
      </c>
      <c r="T462" s="18">
        <v>1020403</v>
      </c>
    </row>
    <row r="463" ht="15" spans="1:20">
      <c r="A463" s="34"/>
      <c r="B463" s="17">
        <f t="shared" si="7"/>
        <v>70235301</v>
      </c>
      <c r="C463" s="37" t="s">
        <v>490</v>
      </c>
      <c r="E463" s="3" t="str">
        <f>F463&amp;(VLOOKUP(G463,编号表!$E$1:$G$8,2,0))&amp;H463&amp;"_"&amp;I463&amp;"_"&amp;J463</f>
        <v>23N5_3_1</v>
      </c>
      <c r="F463" s="3">
        <v>23</v>
      </c>
      <c r="G463" s="3" t="s">
        <v>52</v>
      </c>
      <c r="H463" s="3">
        <v>5</v>
      </c>
      <c r="I463" s="3">
        <v>3</v>
      </c>
      <c r="J463" s="3">
        <v>1</v>
      </c>
      <c r="T463" s="18">
        <v>1020503</v>
      </c>
    </row>
    <row r="464" ht="15" spans="1:20">
      <c r="A464" s="34"/>
      <c r="B464" s="17">
        <f t="shared" si="7"/>
        <v>70235302</v>
      </c>
      <c r="C464" s="37" t="s">
        <v>491</v>
      </c>
      <c r="E464" s="3" t="str">
        <f>F464&amp;(VLOOKUP(G464,编号表!$E$1:$G$8,2,0))&amp;H464&amp;"_"&amp;I464&amp;"_"&amp;J464</f>
        <v>23N5_3_2</v>
      </c>
      <c r="F464" s="3">
        <v>23</v>
      </c>
      <c r="G464" s="3" t="s">
        <v>52</v>
      </c>
      <c r="H464" s="3">
        <v>5</v>
      </c>
      <c r="I464" s="3">
        <v>3</v>
      </c>
      <c r="J464" s="3">
        <v>2</v>
      </c>
      <c r="T464" s="18">
        <v>1020303</v>
      </c>
    </row>
    <row r="465" ht="15" spans="1:20">
      <c r="A465" s="34"/>
      <c r="B465" s="17">
        <f t="shared" si="7"/>
        <v>70235303</v>
      </c>
      <c r="C465" s="37" t="s">
        <v>492</v>
      </c>
      <c r="E465" s="3" t="str">
        <f>F465&amp;(VLOOKUP(G465,编号表!$E$1:$G$8,2,0))&amp;H465&amp;"_"&amp;I465&amp;"_"&amp;J465</f>
        <v>23N5_3_3</v>
      </c>
      <c r="F465" s="3">
        <v>23</v>
      </c>
      <c r="G465" s="3" t="s">
        <v>52</v>
      </c>
      <c r="H465" s="3">
        <v>5</v>
      </c>
      <c r="I465" s="3">
        <v>3</v>
      </c>
      <c r="J465" s="3">
        <v>3</v>
      </c>
      <c r="T465" s="18">
        <v>1020303</v>
      </c>
    </row>
    <row r="466" ht="15" spans="1:20">
      <c r="A466" s="34"/>
      <c r="B466" s="17">
        <f t="shared" si="7"/>
        <v>70235401</v>
      </c>
      <c r="C466" s="37" t="s">
        <v>493</v>
      </c>
      <c r="E466" s="3" t="str">
        <f>F466&amp;(VLOOKUP(G466,编号表!$E$1:$G$8,2,0))&amp;H466&amp;"_"&amp;I466&amp;"_"&amp;J466</f>
        <v>23N5_4_1</v>
      </c>
      <c r="F466" s="3">
        <v>23</v>
      </c>
      <c r="G466" s="3" t="s">
        <v>52</v>
      </c>
      <c r="H466" s="3">
        <v>5</v>
      </c>
      <c r="I466" s="3">
        <v>4</v>
      </c>
      <c r="J466" s="3">
        <v>1</v>
      </c>
      <c r="T466" s="18">
        <v>1020403</v>
      </c>
    </row>
    <row r="467" ht="15" spans="1:20">
      <c r="A467" s="34"/>
      <c r="B467" s="17">
        <f t="shared" si="7"/>
        <v>70235402</v>
      </c>
      <c r="C467" s="37" t="s">
        <v>494</v>
      </c>
      <c r="E467" s="3" t="str">
        <f>F467&amp;(VLOOKUP(G467,编号表!$E$1:$G$8,2,0))&amp;H467&amp;"_"&amp;I467&amp;"_"&amp;J467</f>
        <v>23N5_4_2</v>
      </c>
      <c r="F467" s="3">
        <v>23</v>
      </c>
      <c r="G467" s="3" t="s">
        <v>52</v>
      </c>
      <c r="H467" s="3">
        <v>5</v>
      </c>
      <c r="I467" s="3">
        <v>4</v>
      </c>
      <c r="J467" s="3">
        <v>2</v>
      </c>
      <c r="T467" s="18">
        <v>1020503</v>
      </c>
    </row>
    <row r="468" ht="15" spans="1:20">
      <c r="A468" s="34"/>
      <c r="B468" s="17">
        <f t="shared" si="7"/>
        <v>70235403</v>
      </c>
      <c r="C468" s="37" t="s">
        <v>495</v>
      </c>
      <c r="E468" s="3" t="str">
        <f>F468&amp;(VLOOKUP(G468,编号表!$E$1:$G$8,2,0))&amp;H468&amp;"_"&amp;I468&amp;"_"&amp;J468</f>
        <v>23N5_4_3</v>
      </c>
      <c r="F468" s="3">
        <v>23</v>
      </c>
      <c r="G468" s="3" t="s">
        <v>52</v>
      </c>
      <c r="H468" s="3">
        <v>5</v>
      </c>
      <c r="I468" s="3">
        <v>4</v>
      </c>
      <c r="J468" s="3">
        <v>3</v>
      </c>
      <c r="T468" s="18">
        <v>1020103</v>
      </c>
    </row>
    <row r="469" ht="15" spans="1:20">
      <c r="A469" s="34"/>
      <c r="B469" s="17">
        <f t="shared" si="7"/>
        <v>70235001</v>
      </c>
      <c r="C469" s="39" t="s">
        <v>496</v>
      </c>
      <c r="E469" s="3" t="str">
        <f>F469&amp;(VLOOKUP(G469,编号表!$E$1:$G$8,2,0))&amp;H469&amp;"_"&amp;I469&amp;"_"&amp;J469</f>
        <v>23J5_0_1</v>
      </c>
      <c r="F469" s="3">
        <v>23</v>
      </c>
      <c r="G469" s="3" t="s">
        <v>167</v>
      </c>
      <c r="H469" s="3">
        <v>5</v>
      </c>
      <c r="I469" s="3">
        <v>0</v>
      </c>
      <c r="J469" s="3">
        <v>1</v>
      </c>
      <c r="K469" s="3">
        <v>1</v>
      </c>
    </row>
    <row r="470" ht="15" spans="1:20">
      <c r="A470" s="34"/>
      <c r="B470" s="17">
        <f t="shared" si="7"/>
        <v>70231001</v>
      </c>
      <c r="C470" s="36" t="s">
        <v>497</v>
      </c>
      <c r="E470" s="3" t="str">
        <f>F470&amp;(VLOOKUP(G470,编号表!$E$1:$G$8,2,0))&amp;H470&amp;"_"&amp;I470&amp;"_"&amp;J470</f>
        <v>23T1_0_1</v>
      </c>
      <c r="F470" s="3">
        <v>23</v>
      </c>
      <c r="G470" s="3" t="s">
        <v>169</v>
      </c>
      <c r="H470" s="3">
        <v>1</v>
      </c>
      <c r="I470" s="3">
        <v>0</v>
      </c>
      <c r="J470" s="3">
        <v>1</v>
      </c>
      <c r="L470" s="3">
        <v>1</v>
      </c>
      <c r="R470" s="3">
        <v>70221002</v>
      </c>
    </row>
    <row r="471" ht="15" spans="1:20">
      <c r="A471" s="34"/>
      <c r="B471" s="17">
        <f t="shared" si="7"/>
        <v>70231002</v>
      </c>
      <c r="C471" s="36" t="s">
        <v>497</v>
      </c>
      <c r="E471" s="3" t="str">
        <f>F471&amp;(VLOOKUP(G471,编号表!$E$1:$G$8,2,0))&amp;H471&amp;"_"&amp;I471&amp;"_"&amp;J471</f>
        <v>23T1_0_2</v>
      </c>
      <c r="F471" s="3">
        <v>23</v>
      </c>
      <c r="G471" s="3" t="s">
        <v>169</v>
      </c>
      <c r="H471" s="3">
        <v>1</v>
      </c>
      <c r="I471" s="3">
        <v>0</v>
      </c>
      <c r="J471" s="3">
        <v>2</v>
      </c>
      <c r="L471" s="3">
        <v>1</v>
      </c>
      <c r="R471" s="3">
        <v>70241001</v>
      </c>
    </row>
    <row r="472" ht="15" spans="1:20">
      <c r="A472" s="34"/>
      <c r="B472" s="17">
        <f t="shared" si="7"/>
        <v>70232001</v>
      </c>
      <c r="C472" s="36" t="s">
        <v>498</v>
      </c>
      <c r="E472" s="3" t="str">
        <f>F472&amp;(VLOOKUP(G472,编号表!$E$1:$G$8,2,0))&amp;H472&amp;"_"&amp;I472&amp;"_"&amp;J472</f>
        <v>23D2_0_1</v>
      </c>
      <c r="F472" s="3">
        <v>23</v>
      </c>
      <c r="G472" s="3" t="s">
        <v>171</v>
      </c>
      <c r="H472" s="3">
        <v>2</v>
      </c>
      <c r="I472" s="3">
        <v>0</v>
      </c>
      <c r="J472" s="3">
        <v>1</v>
      </c>
      <c r="M472" s="3">
        <v>1</v>
      </c>
    </row>
    <row r="473" ht="15" spans="1:20">
      <c r="A473" s="34"/>
      <c r="B473" s="17">
        <f t="shared" si="7"/>
        <v>70245101</v>
      </c>
      <c r="C473" s="37" t="s">
        <v>499</v>
      </c>
      <c r="E473" s="3" t="str">
        <f>F473&amp;(VLOOKUP(G473,编号表!$E$1:$G$8,2,0))&amp;H473&amp;"_"&amp;I473&amp;"_"&amp;J473</f>
        <v>24N5_1_1</v>
      </c>
      <c r="F473" s="3">
        <v>24</v>
      </c>
      <c r="G473" s="3" t="s">
        <v>52</v>
      </c>
      <c r="H473" s="3">
        <v>5</v>
      </c>
      <c r="I473" s="3">
        <v>1</v>
      </c>
      <c r="J473" s="3">
        <v>1</v>
      </c>
      <c r="T473" s="18">
        <v>1021303</v>
      </c>
    </row>
    <row r="474" ht="15" spans="1:20">
      <c r="A474" s="34"/>
      <c r="B474" s="17">
        <f t="shared" si="7"/>
        <v>70245102</v>
      </c>
      <c r="C474" s="37" t="s">
        <v>500</v>
      </c>
      <c r="E474" s="3" t="str">
        <f>F474&amp;(VLOOKUP(G474,编号表!$E$1:$G$8,2,0))&amp;H474&amp;"_"&amp;I474&amp;"_"&amp;J474</f>
        <v>24N5_1_2</v>
      </c>
      <c r="F474" s="3">
        <v>24</v>
      </c>
      <c r="G474" s="3" t="s">
        <v>52</v>
      </c>
      <c r="H474" s="3">
        <v>5</v>
      </c>
      <c r="I474" s="3">
        <v>1</v>
      </c>
      <c r="J474" s="3">
        <v>2</v>
      </c>
      <c r="T474" s="18">
        <v>1021403</v>
      </c>
    </row>
    <row r="475" ht="15" spans="1:20">
      <c r="A475" s="34"/>
      <c r="B475" s="17">
        <f t="shared" si="7"/>
        <v>70245103</v>
      </c>
      <c r="C475" s="37" t="s">
        <v>501</v>
      </c>
      <c r="E475" s="3" t="str">
        <f>F475&amp;(VLOOKUP(G475,编号表!$E$1:$G$8,2,0))&amp;H475&amp;"_"&amp;I475&amp;"_"&amp;J475</f>
        <v>24N5_1_3</v>
      </c>
      <c r="F475" s="3">
        <v>24</v>
      </c>
      <c r="G475" s="3" t="s">
        <v>52</v>
      </c>
      <c r="H475" s="3">
        <v>5</v>
      </c>
      <c r="I475" s="3">
        <v>1</v>
      </c>
      <c r="J475" s="3">
        <v>3</v>
      </c>
      <c r="T475" s="18">
        <v>1021303</v>
      </c>
    </row>
    <row r="476" ht="15" spans="1:20">
      <c r="A476" s="34"/>
      <c r="B476" s="17">
        <f t="shared" si="7"/>
        <v>70245201</v>
      </c>
      <c r="C476" s="37" t="s">
        <v>502</v>
      </c>
      <c r="E476" s="3" t="str">
        <f>F476&amp;(VLOOKUP(G476,编号表!$E$1:$G$8,2,0))&amp;H476&amp;"_"&amp;I476&amp;"_"&amp;J476</f>
        <v>24N5_2_1</v>
      </c>
      <c r="F476" s="3">
        <v>24</v>
      </c>
      <c r="G476" s="3" t="s">
        <v>52</v>
      </c>
      <c r="H476" s="3">
        <v>5</v>
      </c>
      <c r="I476" s="3">
        <v>2</v>
      </c>
      <c r="J476" s="3">
        <v>1</v>
      </c>
      <c r="T476" s="18">
        <v>1021403</v>
      </c>
    </row>
    <row r="477" ht="15" spans="1:20">
      <c r="A477" s="34"/>
      <c r="B477" s="17">
        <f t="shared" si="7"/>
        <v>70245202</v>
      </c>
      <c r="C477" s="37" t="s">
        <v>503</v>
      </c>
      <c r="E477" s="3" t="str">
        <f>F477&amp;(VLOOKUP(G477,编号表!$E$1:$G$8,2,0))&amp;H477&amp;"_"&amp;I477&amp;"_"&amp;J477</f>
        <v>24N5_2_2</v>
      </c>
      <c r="F477" s="3">
        <v>24</v>
      </c>
      <c r="G477" s="3" t="s">
        <v>52</v>
      </c>
      <c r="H477" s="3">
        <v>5</v>
      </c>
      <c r="I477" s="3">
        <v>2</v>
      </c>
      <c r="J477" s="3">
        <v>2</v>
      </c>
      <c r="T477" s="18">
        <v>1021303</v>
      </c>
    </row>
    <row r="478" ht="15" spans="1:20">
      <c r="A478" s="34"/>
      <c r="B478" s="17">
        <f t="shared" si="7"/>
        <v>70245203</v>
      </c>
      <c r="C478" s="37" t="s">
        <v>504</v>
      </c>
      <c r="E478" s="3" t="str">
        <f>F478&amp;(VLOOKUP(G478,编号表!$E$1:$G$8,2,0))&amp;H478&amp;"_"&amp;I478&amp;"_"&amp;J478</f>
        <v>24N5_2_3</v>
      </c>
      <c r="F478" s="3">
        <v>24</v>
      </c>
      <c r="G478" s="3" t="s">
        <v>52</v>
      </c>
      <c r="H478" s="3">
        <v>5</v>
      </c>
      <c r="I478" s="3">
        <v>2</v>
      </c>
      <c r="J478" s="3">
        <v>3</v>
      </c>
      <c r="T478" s="18">
        <v>1021403</v>
      </c>
    </row>
    <row r="479" ht="15" spans="1:20">
      <c r="A479" s="34"/>
      <c r="B479" s="17">
        <f t="shared" si="7"/>
        <v>70245204</v>
      </c>
      <c r="C479" s="37" t="s">
        <v>505</v>
      </c>
      <c r="E479" s="3" t="str">
        <f>F479&amp;(VLOOKUP(G479,编号表!$E$1:$G$8,2,0))&amp;H479&amp;"_"&amp;I479&amp;"_"&amp;J479</f>
        <v>24N5_2_4</v>
      </c>
      <c r="F479" s="3">
        <v>24</v>
      </c>
      <c r="G479" s="3" t="s">
        <v>52</v>
      </c>
      <c r="H479" s="3">
        <v>5</v>
      </c>
      <c r="I479" s="3">
        <v>2</v>
      </c>
      <c r="J479" s="3">
        <v>4</v>
      </c>
      <c r="T479" s="18">
        <v>1021103</v>
      </c>
    </row>
    <row r="480" ht="15" spans="1:20">
      <c r="A480" s="34"/>
      <c r="B480" s="17">
        <f t="shared" si="7"/>
        <v>70245301</v>
      </c>
      <c r="C480" s="37" t="s">
        <v>506</v>
      </c>
      <c r="E480" s="3" t="str">
        <f>F480&amp;(VLOOKUP(G480,编号表!$E$1:$G$8,2,0))&amp;H480&amp;"_"&amp;I480&amp;"_"&amp;J480</f>
        <v>24N5_3_1</v>
      </c>
      <c r="F480" s="3">
        <v>24</v>
      </c>
      <c r="G480" s="3" t="s">
        <v>52</v>
      </c>
      <c r="H480" s="3">
        <v>5</v>
      </c>
      <c r="I480" s="3">
        <v>3</v>
      </c>
      <c r="J480" s="3">
        <v>1</v>
      </c>
      <c r="T480" s="18">
        <v>1021103</v>
      </c>
    </row>
    <row r="481" ht="15" spans="1:20">
      <c r="A481" s="34"/>
      <c r="B481" s="17">
        <f t="shared" si="7"/>
        <v>70245302</v>
      </c>
      <c r="C481" s="37" t="s">
        <v>507</v>
      </c>
      <c r="E481" s="3" t="str">
        <f>F481&amp;(VLOOKUP(G481,编号表!$E$1:$G$8,2,0))&amp;H481&amp;"_"&amp;I481&amp;"_"&amp;J481</f>
        <v>24N5_3_2</v>
      </c>
      <c r="F481" s="3">
        <v>24</v>
      </c>
      <c r="G481" s="3" t="s">
        <v>52</v>
      </c>
      <c r="H481" s="3">
        <v>5</v>
      </c>
      <c r="I481" s="3">
        <v>3</v>
      </c>
      <c r="J481" s="3">
        <v>2</v>
      </c>
      <c r="T481" s="18">
        <v>1021001</v>
      </c>
    </row>
    <row r="482" ht="15" spans="1:20">
      <c r="A482" s="34"/>
      <c r="B482" s="17">
        <f t="shared" si="7"/>
        <v>70245401</v>
      </c>
      <c r="C482" s="37" t="s">
        <v>508</v>
      </c>
      <c r="E482" s="3" t="str">
        <f>F482&amp;(VLOOKUP(G482,编号表!$E$1:$G$8,2,0))&amp;H482&amp;"_"&amp;I482&amp;"_"&amp;J482</f>
        <v>24N5_4_1</v>
      </c>
      <c r="F482" s="3">
        <v>24</v>
      </c>
      <c r="G482" s="3" t="s">
        <v>52</v>
      </c>
      <c r="H482" s="3">
        <v>5</v>
      </c>
      <c r="I482" s="3">
        <v>4</v>
      </c>
      <c r="J482" s="3">
        <v>1</v>
      </c>
      <c r="T482" s="18">
        <v>1021303</v>
      </c>
    </row>
    <row r="483" ht="15" spans="1:20">
      <c r="A483" s="34"/>
      <c r="B483" s="17">
        <f t="shared" si="7"/>
        <v>70245402</v>
      </c>
      <c r="C483" s="37" t="s">
        <v>509</v>
      </c>
      <c r="E483" s="3" t="str">
        <f>F483&amp;(VLOOKUP(G483,编号表!$E$1:$G$8,2,0))&amp;H483&amp;"_"&amp;I483&amp;"_"&amp;J483</f>
        <v>24N5_4_2</v>
      </c>
      <c r="F483" s="3">
        <v>24</v>
      </c>
      <c r="G483" s="3" t="s">
        <v>52</v>
      </c>
      <c r="H483" s="3">
        <v>5</v>
      </c>
      <c r="I483" s="3">
        <v>4</v>
      </c>
      <c r="J483" s="3">
        <v>2</v>
      </c>
      <c r="T483" s="18">
        <v>1021403</v>
      </c>
    </row>
    <row r="484" ht="15" spans="1:20">
      <c r="A484" s="34"/>
      <c r="B484" s="17">
        <f t="shared" si="7"/>
        <v>70245403</v>
      </c>
      <c r="C484" s="37" t="s">
        <v>510</v>
      </c>
      <c r="E484" s="3" t="str">
        <f>F484&amp;(VLOOKUP(G484,编号表!$E$1:$G$8,2,0))&amp;H484&amp;"_"&amp;I484&amp;"_"&amp;J484</f>
        <v>24N5_4_3</v>
      </c>
      <c r="F484" s="3">
        <v>24</v>
      </c>
      <c r="G484" s="3" t="s">
        <v>52</v>
      </c>
      <c r="H484" s="3">
        <v>5</v>
      </c>
      <c r="I484" s="3">
        <v>4</v>
      </c>
      <c r="J484" s="3">
        <v>3</v>
      </c>
      <c r="T484" s="18">
        <v>1021303</v>
      </c>
    </row>
    <row r="485" ht="15" spans="1:20">
      <c r="A485" s="34"/>
      <c r="B485" s="17">
        <f t="shared" si="7"/>
        <v>70245001</v>
      </c>
      <c r="C485" s="39" t="s">
        <v>511</v>
      </c>
      <c r="E485" s="3" t="str">
        <f>F485&amp;(VLOOKUP(G485,编号表!$E$1:$G$8,2,0))&amp;H485&amp;"_"&amp;I485&amp;"_"&amp;J485</f>
        <v>24J5_0_1</v>
      </c>
      <c r="F485" s="3">
        <v>24</v>
      </c>
      <c r="G485" s="3" t="s">
        <v>167</v>
      </c>
      <c r="H485" s="3">
        <v>5</v>
      </c>
      <c r="I485" s="3">
        <v>0</v>
      </c>
      <c r="J485" s="3">
        <v>1</v>
      </c>
      <c r="K485" s="3">
        <v>1</v>
      </c>
    </row>
    <row r="486" ht="15" spans="1:20">
      <c r="A486" s="34"/>
      <c r="B486" s="17">
        <f t="shared" si="7"/>
        <v>70241001</v>
      </c>
      <c r="C486" s="36" t="s">
        <v>512</v>
      </c>
      <c r="E486" s="3" t="str">
        <f>F486&amp;(VLOOKUP(G486,编号表!$E$1:$G$8,2,0))&amp;H486&amp;"_"&amp;I486&amp;"_"&amp;J486</f>
        <v>24T1_0_1</v>
      </c>
      <c r="F486" s="3">
        <v>24</v>
      </c>
      <c r="G486" s="3" t="s">
        <v>169</v>
      </c>
      <c r="H486" s="3">
        <v>1</v>
      </c>
      <c r="I486" s="3">
        <v>0</v>
      </c>
      <c r="J486" s="3">
        <v>1</v>
      </c>
      <c r="L486" s="3">
        <v>1</v>
      </c>
      <c r="R486" s="3">
        <v>70231002</v>
      </c>
    </row>
    <row r="487" ht="15" spans="1:20">
      <c r="A487" s="34"/>
      <c r="B487" s="17">
        <f t="shared" si="7"/>
        <v>70241002</v>
      </c>
      <c r="C487" s="36" t="s">
        <v>512</v>
      </c>
      <c r="E487" s="3" t="str">
        <f>F487&amp;(VLOOKUP(G487,编号表!$E$1:$G$8,2,0))&amp;H487&amp;"_"&amp;I487&amp;"_"&amp;J487</f>
        <v>24T1_0_2</v>
      </c>
      <c r="F487" s="3">
        <v>24</v>
      </c>
      <c r="G487" s="3" t="s">
        <v>169</v>
      </c>
      <c r="H487" s="3">
        <v>1</v>
      </c>
      <c r="I487" s="3">
        <v>0</v>
      </c>
      <c r="J487" s="3">
        <v>2</v>
      </c>
      <c r="L487" s="3">
        <v>1</v>
      </c>
      <c r="R487" s="3">
        <v>70251001</v>
      </c>
    </row>
    <row r="488" ht="15" spans="1:20">
      <c r="A488" s="34"/>
      <c r="B488" s="17">
        <f t="shared" si="7"/>
        <v>70242001</v>
      </c>
      <c r="C488" s="36" t="s">
        <v>513</v>
      </c>
      <c r="E488" s="3" t="str">
        <f>F488&amp;(VLOOKUP(G488,编号表!$E$1:$G$8,2,0))&amp;H488&amp;"_"&amp;I488&amp;"_"&amp;J488</f>
        <v>24D2_0_1</v>
      </c>
      <c r="F488" s="3">
        <v>24</v>
      </c>
      <c r="G488" s="3" t="s">
        <v>171</v>
      </c>
      <c r="H488" s="3">
        <v>2</v>
      </c>
      <c r="I488" s="3">
        <v>0</v>
      </c>
      <c r="J488" s="3">
        <v>1</v>
      </c>
      <c r="M488" s="3">
        <v>1</v>
      </c>
    </row>
    <row r="489" ht="15" spans="1:20">
      <c r="A489" s="34"/>
      <c r="B489" s="17">
        <f t="shared" si="7"/>
        <v>70255101</v>
      </c>
      <c r="C489" s="37" t="s">
        <v>514</v>
      </c>
      <c r="E489" s="3" t="str">
        <f>F489&amp;(VLOOKUP(G489,编号表!$E$1:$G$8,2,0))&amp;H489&amp;"_"&amp;I489&amp;"_"&amp;J489</f>
        <v>25C5_1_1</v>
      </c>
      <c r="F489" s="3">
        <v>25</v>
      </c>
      <c r="G489" s="3" t="s">
        <v>268</v>
      </c>
      <c r="H489" s="3">
        <v>5</v>
      </c>
      <c r="I489" s="3">
        <v>1</v>
      </c>
      <c r="J489" s="3">
        <v>1</v>
      </c>
    </row>
    <row r="490" ht="15" spans="1:20">
      <c r="A490" s="34"/>
      <c r="B490" s="17">
        <f t="shared" si="7"/>
        <v>70255102</v>
      </c>
      <c r="C490" s="37" t="s">
        <v>515</v>
      </c>
      <c r="E490" s="3" t="str">
        <f>F490&amp;(VLOOKUP(G490,编号表!$E$1:$G$8,2,0))&amp;H490&amp;"_"&amp;I490&amp;"_"&amp;J490</f>
        <v>25C5_1_2</v>
      </c>
      <c r="F490" s="3">
        <v>25</v>
      </c>
      <c r="G490" s="3" t="s">
        <v>268</v>
      </c>
      <c r="H490" s="3">
        <v>5</v>
      </c>
      <c r="I490" s="3">
        <v>1</v>
      </c>
      <c r="J490" s="3">
        <v>2</v>
      </c>
      <c r="T490" s="18">
        <v>1022304</v>
      </c>
    </row>
    <row r="491" ht="15" spans="1:20">
      <c r="A491" s="34"/>
      <c r="B491" s="17">
        <f t="shared" si="7"/>
        <v>70255103</v>
      </c>
      <c r="C491" s="37" t="s">
        <v>516</v>
      </c>
      <c r="E491" s="3" t="str">
        <f>F491&amp;(VLOOKUP(G491,编号表!$E$1:$G$8,2,0))&amp;H491&amp;"_"&amp;I491&amp;"_"&amp;J491</f>
        <v>25C5_1_3</v>
      </c>
      <c r="F491" s="3">
        <v>25</v>
      </c>
      <c r="G491" s="3" t="s">
        <v>268</v>
      </c>
      <c r="H491" s="3">
        <v>5</v>
      </c>
      <c r="I491" s="3">
        <v>1</v>
      </c>
      <c r="J491" s="3">
        <v>3</v>
      </c>
    </row>
    <row r="492" ht="15" spans="1:20">
      <c r="A492" s="34"/>
      <c r="B492" s="17">
        <f t="shared" si="7"/>
        <v>70255201</v>
      </c>
      <c r="C492" s="37" t="s">
        <v>517</v>
      </c>
      <c r="E492" s="3" t="str">
        <f>F492&amp;(VLOOKUP(G492,编号表!$E$1:$G$8,2,0))&amp;H492&amp;"_"&amp;I492&amp;"_"&amp;J492</f>
        <v>25C5_2_1</v>
      </c>
      <c r="F492" s="3">
        <v>25</v>
      </c>
      <c r="G492" s="3" t="s">
        <v>268</v>
      </c>
      <c r="H492" s="3">
        <v>5</v>
      </c>
      <c r="I492" s="3">
        <v>2</v>
      </c>
      <c r="J492" s="3">
        <v>1</v>
      </c>
    </row>
    <row r="493" ht="15" spans="1:20">
      <c r="A493" s="34"/>
      <c r="B493" s="17">
        <f t="shared" si="7"/>
        <v>70255202</v>
      </c>
      <c r="C493" s="37" t="s">
        <v>518</v>
      </c>
      <c r="E493" s="3" t="str">
        <f>F493&amp;(VLOOKUP(G493,编号表!$E$1:$G$8,2,0))&amp;H493&amp;"_"&amp;I493&amp;"_"&amp;J493</f>
        <v>25C5_2_2</v>
      </c>
      <c r="F493" s="3">
        <v>25</v>
      </c>
      <c r="G493" s="3" t="s">
        <v>268</v>
      </c>
      <c r="H493" s="3">
        <v>5</v>
      </c>
      <c r="I493" s="3">
        <v>2</v>
      </c>
      <c r="J493" s="3">
        <v>2</v>
      </c>
      <c r="T493" s="18">
        <v>1022304</v>
      </c>
    </row>
    <row r="494" ht="15" spans="1:20">
      <c r="A494" s="34"/>
      <c r="B494" s="17">
        <f t="shared" si="7"/>
        <v>70255203</v>
      </c>
      <c r="C494" s="37" t="s">
        <v>519</v>
      </c>
      <c r="E494" s="3" t="str">
        <f>F494&amp;(VLOOKUP(G494,编号表!$E$1:$G$8,2,0))&amp;H494&amp;"_"&amp;I494&amp;"_"&amp;J494</f>
        <v>25C5_2_3</v>
      </c>
      <c r="F494" s="3">
        <v>25</v>
      </c>
      <c r="G494" s="3" t="s">
        <v>268</v>
      </c>
      <c r="H494" s="3">
        <v>5</v>
      </c>
      <c r="I494" s="3">
        <v>2</v>
      </c>
      <c r="J494" s="3">
        <v>3</v>
      </c>
    </row>
    <row r="495" ht="15" spans="1:20">
      <c r="A495" s="34"/>
      <c r="B495" s="17">
        <f t="shared" si="7"/>
        <v>70255204</v>
      </c>
      <c r="C495" s="37" t="s">
        <v>520</v>
      </c>
      <c r="E495" s="3" t="str">
        <f>F495&amp;(VLOOKUP(G495,编号表!$E$1:$G$8,2,0))&amp;H495&amp;"_"&amp;I495&amp;"_"&amp;J495</f>
        <v>25C5_2_4</v>
      </c>
      <c r="F495" s="3">
        <v>25</v>
      </c>
      <c r="G495" s="3" t="s">
        <v>268</v>
      </c>
      <c r="H495" s="3">
        <v>5</v>
      </c>
      <c r="I495" s="3">
        <v>2</v>
      </c>
      <c r="J495" s="3">
        <v>4</v>
      </c>
    </row>
    <row r="496" ht="15" spans="1:20">
      <c r="A496" s="34"/>
      <c r="B496" s="17">
        <f t="shared" si="7"/>
        <v>70255001</v>
      </c>
      <c r="C496" s="39" t="s">
        <v>521</v>
      </c>
      <c r="E496" s="3" t="str">
        <f>F496&amp;(VLOOKUP(G496,编号表!$E$1:$G$8,2,0))&amp;H496&amp;"_"&amp;I496&amp;"_"&amp;J496</f>
        <v>25J5_0_1</v>
      </c>
      <c r="F496" s="3">
        <v>25</v>
      </c>
      <c r="G496" s="3" t="s">
        <v>167</v>
      </c>
      <c r="H496" s="3">
        <v>5</v>
      </c>
      <c r="I496" s="3">
        <v>0</v>
      </c>
      <c r="J496" s="3">
        <v>1</v>
      </c>
      <c r="K496" s="3">
        <v>1</v>
      </c>
    </row>
    <row r="497" ht="15" spans="1:20">
      <c r="A497" s="34"/>
      <c r="B497" s="17">
        <f t="shared" si="7"/>
        <v>70251001</v>
      </c>
      <c r="C497" s="36" t="s">
        <v>522</v>
      </c>
      <c r="E497" s="3" t="str">
        <f>F497&amp;(VLOOKUP(G497,编号表!$E$1:$G$8,2,0))&amp;H497&amp;"_"&amp;I497&amp;"_"&amp;J497</f>
        <v>25T1_0_1</v>
      </c>
      <c r="F497" s="3">
        <v>25</v>
      </c>
      <c r="G497" s="3" t="s">
        <v>169</v>
      </c>
      <c r="H497" s="3">
        <v>1</v>
      </c>
      <c r="I497" s="3">
        <v>0</v>
      </c>
      <c r="J497" s="3">
        <v>1</v>
      </c>
      <c r="L497" s="3">
        <v>1</v>
      </c>
      <c r="R497" s="3">
        <v>70241002</v>
      </c>
    </row>
    <row r="498" ht="15" spans="1:20">
      <c r="A498" s="34"/>
      <c r="B498" s="17">
        <f t="shared" si="7"/>
        <v>70251002</v>
      </c>
      <c r="C498" s="36" t="s">
        <v>522</v>
      </c>
      <c r="E498" s="3" t="str">
        <f>F498&amp;(VLOOKUP(G498,编号表!$E$1:$G$8,2,0))&amp;H498&amp;"_"&amp;I498&amp;"_"&amp;J498</f>
        <v>25T1_0_2</v>
      </c>
      <c r="F498" s="3">
        <v>25</v>
      </c>
      <c r="G498" s="3" t="s">
        <v>169</v>
      </c>
      <c r="H498" s="3">
        <v>1</v>
      </c>
      <c r="I498" s="3">
        <v>0</v>
      </c>
      <c r="J498" s="3">
        <v>2</v>
      </c>
      <c r="L498" s="3">
        <v>1</v>
      </c>
      <c r="R498" s="3">
        <v>70261001</v>
      </c>
    </row>
    <row r="499" ht="15" spans="1:20">
      <c r="A499" s="34"/>
      <c r="B499" s="17">
        <f t="shared" si="7"/>
        <v>70252001</v>
      </c>
      <c r="C499" s="36" t="s">
        <v>523</v>
      </c>
      <c r="E499" s="3" t="str">
        <f>F499&amp;(VLOOKUP(G499,编号表!$E$1:$G$8,2,0))&amp;H499&amp;"_"&amp;I499&amp;"_"&amp;J499</f>
        <v>25D2_0_1</v>
      </c>
      <c r="F499" s="3">
        <v>25</v>
      </c>
      <c r="G499" s="3" t="s">
        <v>171</v>
      </c>
      <c r="H499" s="3">
        <v>2</v>
      </c>
      <c r="I499" s="3">
        <v>0</v>
      </c>
      <c r="J499" s="3">
        <v>1</v>
      </c>
      <c r="M499" s="3">
        <v>1</v>
      </c>
    </row>
    <row r="500" ht="15" spans="1:20">
      <c r="A500" s="34"/>
      <c r="B500" s="17">
        <f t="shared" si="7"/>
        <v>70265101</v>
      </c>
      <c r="C500" s="37" t="s">
        <v>524</v>
      </c>
      <c r="E500" s="3" t="str">
        <f>F500&amp;(VLOOKUP(G500,编号表!$E$1:$G$8,2,0))&amp;H500&amp;"_"&amp;I500&amp;"_"&amp;J500</f>
        <v>26C5_1_1</v>
      </c>
      <c r="F500" s="3">
        <v>26</v>
      </c>
      <c r="G500" s="3" t="s">
        <v>268</v>
      </c>
      <c r="H500" s="3">
        <v>5</v>
      </c>
      <c r="I500" s="3">
        <v>1</v>
      </c>
      <c r="J500" s="3">
        <v>1</v>
      </c>
    </row>
    <row r="501" ht="15" spans="1:20">
      <c r="A501" s="34"/>
      <c r="B501" s="17">
        <f t="shared" si="7"/>
        <v>70265102</v>
      </c>
      <c r="C501" s="37" t="s">
        <v>525</v>
      </c>
      <c r="E501" s="3" t="str">
        <f>F501&amp;(VLOOKUP(G501,编号表!$E$1:$G$8,2,0))&amp;H501&amp;"_"&amp;I501&amp;"_"&amp;J501</f>
        <v>26C5_1_2</v>
      </c>
      <c r="F501" s="3">
        <v>26</v>
      </c>
      <c r="G501" s="3" t="s">
        <v>268</v>
      </c>
      <c r="H501" s="3">
        <v>5</v>
      </c>
      <c r="I501" s="3">
        <v>1</v>
      </c>
      <c r="J501" s="3">
        <v>2</v>
      </c>
    </row>
    <row r="502" ht="15" spans="1:20">
      <c r="A502" s="34"/>
      <c r="B502" s="17">
        <f t="shared" si="7"/>
        <v>70265103</v>
      </c>
      <c r="C502" s="37" t="s">
        <v>526</v>
      </c>
      <c r="E502" s="3" t="str">
        <f>F502&amp;(VLOOKUP(G502,编号表!$E$1:$G$8,2,0))&amp;H502&amp;"_"&amp;I502&amp;"_"&amp;J502</f>
        <v>26C5_1_3</v>
      </c>
      <c r="F502" s="3">
        <v>26</v>
      </c>
      <c r="G502" s="3" t="s">
        <v>268</v>
      </c>
      <c r="H502" s="3">
        <v>5</v>
      </c>
      <c r="I502" s="3">
        <v>1</v>
      </c>
      <c r="J502" s="3">
        <v>3</v>
      </c>
      <c r="T502" s="18">
        <v>1023404</v>
      </c>
    </row>
    <row r="503" ht="15" spans="1:20">
      <c r="A503" s="34"/>
      <c r="B503" s="17">
        <f t="shared" si="7"/>
        <v>70265201</v>
      </c>
      <c r="C503" s="37" t="s">
        <v>527</v>
      </c>
      <c r="E503" s="3" t="str">
        <f>F503&amp;(VLOOKUP(G503,编号表!$E$1:$G$8,2,0))&amp;H503&amp;"_"&amp;I503&amp;"_"&amp;J503</f>
        <v>26C5_2_1</v>
      </c>
      <c r="F503" s="3">
        <v>26</v>
      </c>
      <c r="G503" s="3" t="s">
        <v>268</v>
      </c>
      <c r="H503" s="3">
        <v>5</v>
      </c>
      <c r="I503" s="3">
        <v>2</v>
      </c>
      <c r="J503" s="3">
        <v>1</v>
      </c>
    </row>
    <row r="504" ht="15" spans="1:20">
      <c r="A504" s="34"/>
      <c r="B504" s="17">
        <f t="shared" si="7"/>
        <v>70265202</v>
      </c>
      <c r="C504" s="37" t="s">
        <v>528</v>
      </c>
      <c r="E504" s="3" t="str">
        <f>F504&amp;(VLOOKUP(G504,编号表!$E$1:$G$8,2,0))&amp;H504&amp;"_"&amp;I504&amp;"_"&amp;J504</f>
        <v>26C5_2_2</v>
      </c>
      <c r="F504" s="3">
        <v>26</v>
      </c>
      <c r="G504" s="3" t="s">
        <v>268</v>
      </c>
      <c r="H504" s="3">
        <v>5</v>
      </c>
      <c r="I504" s="3">
        <v>2</v>
      </c>
      <c r="J504" s="3">
        <v>2</v>
      </c>
    </row>
    <row r="505" ht="15" spans="1:20">
      <c r="A505" s="34"/>
      <c r="B505" s="17">
        <f t="shared" si="7"/>
        <v>70265301</v>
      </c>
      <c r="C505" s="37" t="s">
        <v>529</v>
      </c>
      <c r="E505" s="3" t="str">
        <f>F505&amp;(VLOOKUP(G505,编号表!$E$1:$G$8,2,0))&amp;H505&amp;"_"&amp;I505&amp;"_"&amp;J505</f>
        <v>26C5_3_1</v>
      </c>
      <c r="F505" s="3">
        <v>26</v>
      </c>
      <c r="G505" s="3" t="s">
        <v>268</v>
      </c>
      <c r="H505" s="3">
        <v>5</v>
      </c>
      <c r="I505" s="3">
        <v>3</v>
      </c>
      <c r="J505" s="3">
        <v>1</v>
      </c>
      <c r="T505" s="18">
        <v>1023304</v>
      </c>
    </row>
    <row r="506" ht="15" spans="1:20">
      <c r="A506" s="34"/>
      <c r="B506" s="17">
        <f t="shared" si="7"/>
        <v>70265302</v>
      </c>
      <c r="C506" s="37" t="s">
        <v>530</v>
      </c>
      <c r="E506" s="3" t="str">
        <f>F506&amp;(VLOOKUP(G506,编号表!$E$1:$G$8,2,0))&amp;H506&amp;"_"&amp;I506&amp;"_"&amp;J506</f>
        <v>26C5_3_2</v>
      </c>
      <c r="F506" s="3">
        <v>26</v>
      </c>
      <c r="G506" s="3" t="s">
        <v>268</v>
      </c>
      <c r="H506" s="3">
        <v>5</v>
      </c>
      <c r="I506" s="3">
        <v>3</v>
      </c>
      <c r="J506" s="3">
        <v>2</v>
      </c>
    </row>
    <row r="507" ht="15" spans="1:20">
      <c r="A507" s="34"/>
      <c r="B507" s="17">
        <f t="shared" si="7"/>
        <v>70265001</v>
      </c>
      <c r="C507" s="39" t="s">
        <v>531</v>
      </c>
      <c r="E507" s="3" t="str">
        <f>F507&amp;(VLOOKUP(G507,编号表!$E$1:$G$8,2,0))&amp;H507&amp;"_"&amp;I507&amp;"_"&amp;J507</f>
        <v>26J5_0_1</v>
      </c>
      <c r="F507" s="3">
        <v>26</v>
      </c>
      <c r="G507" s="3" t="s">
        <v>167</v>
      </c>
      <c r="H507" s="3">
        <v>5</v>
      </c>
      <c r="I507" s="3">
        <v>0</v>
      </c>
      <c r="J507" s="3">
        <v>1</v>
      </c>
      <c r="K507" s="3">
        <v>1</v>
      </c>
    </row>
    <row r="508" ht="15" spans="1:20">
      <c r="A508" s="34"/>
      <c r="B508" s="17">
        <f t="shared" si="7"/>
        <v>70261001</v>
      </c>
      <c r="C508" s="36" t="s">
        <v>532</v>
      </c>
      <c r="E508" s="3" t="str">
        <f>F508&amp;(VLOOKUP(G508,编号表!$E$1:$G$8,2,0))&amp;H508&amp;"_"&amp;I508&amp;"_"&amp;J508</f>
        <v>26T1_0_1</v>
      </c>
      <c r="F508" s="3">
        <v>26</v>
      </c>
      <c r="G508" s="3" t="s">
        <v>169</v>
      </c>
      <c r="H508" s="3">
        <v>1</v>
      </c>
      <c r="I508" s="3">
        <v>0</v>
      </c>
      <c r="J508" s="3">
        <v>1</v>
      </c>
      <c r="L508" s="3">
        <v>1</v>
      </c>
      <c r="R508" s="3">
        <v>70251002</v>
      </c>
    </row>
    <row r="509" ht="15" spans="1:20">
      <c r="A509" s="34"/>
      <c r="B509" s="17">
        <f t="shared" si="7"/>
        <v>70261002</v>
      </c>
      <c r="C509" s="36" t="s">
        <v>532</v>
      </c>
      <c r="E509" s="3" t="str">
        <f>F509&amp;(VLOOKUP(G509,编号表!$E$1:$G$8,2,0))&amp;H509&amp;"_"&amp;I509&amp;"_"&amp;J509</f>
        <v>26T1_0_2</v>
      </c>
      <c r="F509" s="3">
        <v>26</v>
      </c>
      <c r="G509" s="3" t="s">
        <v>169</v>
      </c>
      <c r="H509" s="3">
        <v>1</v>
      </c>
      <c r="I509" s="3">
        <v>0</v>
      </c>
      <c r="J509" s="3">
        <v>2</v>
      </c>
      <c r="L509" s="3">
        <v>1</v>
      </c>
      <c r="R509" s="3">
        <v>70271001</v>
      </c>
    </row>
    <row r="510" ht="15" spans="1:20">
      <c r="A510" s="34"/>
      <c r="B510" s="17">
        <f t="shared" si="7"/>
        <v>70262001</v>
      </c>
      <c r="C510" s="36" t="s">
        <v>533</v>
      </c>
      <c r="E510" s="3" t="str">
        <f>F510&amp;(VLOOKUP(G510,编号表!$E$1:$G$8,2,0))&amp;H510&amp;"_"&amp;I510&amp;"_"&amp;J510</f>
        <v>26D2_0_1</v>
      </c>
      <c r="F510" s="3">
        <v>26</v>
      </c>
      <c r="G510" s="3" t="s">
        <v>171</v>
      </c>
      <c r="H510" s="3">
        <v>2</v>
      </c>
      <c r="I510" s="3">
        <v>0</v>
      </c>
      <c r="J510" s="3">
        <v>1</v>
      </c>
      <c r="M510" s="3">
        <v>1</v>
      </c>
    </row>
    <row r="511" ht="15" spans="1:20">
      <c r="A511" s="34"/>
      <c r="B511" s="17">
        <f t="shared" si="7"/>
        <v>70275101</v>
      </c>
      <c r="C511" s="37" t="s">
        <v>534</v>
      </c>
      <c r="E511" s="3" t="str">
        <f>F511&amp;(VLOOKUP(G511,编号表!$E$1:$G$8,2,0))&amp;H511&amp;"_"&amp;I511&amp;"_"&amp;J511</f>
        <v>27N5_1_1</v>
      </c>
      <c r="F511" s="3">
        <v>27</v>
      </c>
      <c r="G511" s="3" t="s">
        <v>52</v>
      </c>
      <c r="H511" s="3">
        <v>5</v>
      </c>
      <c r="I511" s="3">
        <v>1</v>
      </c>
      <c r="J511" s="3">
        <v>1</v>
      </c>
      <c r="T511" s="18">
        <v>1024303</v>
      </c>
    </row>
    <row r="512" ht="15" spans="1:20">
      <c r="A512" s="34"/>
      <c r="B512" s="17">
        <f t="shared" si="7"/>
        <v>70275102</v>
      </c>
      <c r="C512" s="37" t="s">
        <v>535</v>
      </c>
      <c r="E512" s="3" t="str">
        <f>F512&amp;(VLOOKUP(G512,编号表!$E$1:$G$8,2,0))&amp;H512&amp;"_"&amp;I512&amp;"_"&amp;J512</f>
        <v>27N5_1_2</v>
      </c>
      <c r="F512" s="3">
        <v>27</v>
      </c>
      <c r="G512" s="3" t="s">
        <v>52</v>
      </c>
      <c r="H512" s="3">
        <v>5</v>
      </c>
      <c r="I512" s="3">
        <v>1</v>
      </c>
      <c r="J512" s="3">
        <v>2</v>
      </c>
      <c r="T512" s="18">
        <v>1024103</v>
      </c>
    </row>
    <row r="513" ht="15" spans="1:20">
      <c r="A513" s="34"/>
      <c r="B513" s="17">
        <f t="shared" si="7"/>
        <v>70275103</v>
      </c>
      <c r="C513" s="37" t="s">
        <v>536</v>
      </c>
      <c r="E513" s="3" t="str">
        <f>F513&amp;(VLOOKUP(G513,编号表!$E$1:$G$8,2,0))&amp;H513&amp;"_"&amp;I513&amp;"_"&amp;J513</f>
        <v>27N5_1_3</v>
      </c>
      <c r="F513" s="3">
        <v>27</v>
      </c>
      <c r="G513" s="3" t="s">
        <v>52</v>
      </c>
      <c r="H513" s="3">
        <v>5</v>
      </c>
      <c r="I513" s="3">
        <v>1</v>
      </c>
      <c r="J513" s="3">
        <v>3</v>
      </c>
      <c r="T513" s="18">
        <v>1024403</v>
      </c>
    </row>
    <row r="514" ht="15" spans="1:20">
      <c r="A514" s="34"/>
      <c r="B514" s="17">
        <f t="shared" si="7"/>
        <v>70275104</v>
      </c>
      <c r="C514" s="37" t="s">
        <v>537</v>
      </c>
      <c r="E514" s="3" t="str">
        <f>F514&amp;(VLOOKUP(G514,编号表!$E$1:$G$8,2,0))&amp;H514&amp;"_"&amp;I514&amp;"_"&amp;J514</f>
        <v>27N5_1_4</v>
      </c>
      <c r="F514" s="3">
        <v>27</v>
      </c>
      <c r="G514" s="3" t="s">
        <v>52</v>
      </c>
      <c r="H514" s="3">
        <v>5</v>
      </c>
      <c r="I514" s="3">
        <v>1</v>
      </c>
      <c r="J514" s="3">
        <v>4</v>
      </c>
      <c r="T514" s="18">
        <v>1024103</v>
      </c>
    </row>
    <row r="515" ht="15" spans="1:20">
      <c r="A515" s="34"/>
      <c r="B515" s="17">
        <f t="shared" si="7"/>
        <v>70275105</v>
      </c>
      <c r="C515" s="37" t="s">
        <v>538</v>
      </c>
      <c r="E515" s="3" t="str">
        <f>F515&amp;(VLOOKUP(G515,编号表!$E$1:$G$8,2,0))&amp;H515&amp;"_"&amp;I515&amp;"_"&amp;J515</f>
        <v>27N5_1_5</v>
      </c>
      <c r="F515" s="3">
        <v>27</v>
      </c>
      <c r="G515" s="3" t="s">
        <v>52</v>
      </c>
      <c r="H515" s="3">
        <v>5</v>
      </c>
      <c r="I515" s="3">
        <v>1</v>
      </c>
      <c r="J515" s="3">
        <v>5</v>
      </c>
      <c r="T515" s="18">
        <v>1024503</v>
      </c>
    </row>
    <row r="516" ht="15" spans="1:20">
      <c r="A516" s="34"/>
      <c r="B516" s="17">
        <f t="shared" si="7"/>
        <v>70275201</v>
      </c>
      <c r="C516" s="37" t="s">
        <v>539</v>
      </c>
      <c r="E516" s="3" t="str">
        <f>F516&amp;(VLOOKUP(G516,编号表!$E$1:$G$8,2,0))&amp;H516&amp;"_"&amp;I516&amp;"_"&amp;J516</f>
        <v>27N5_2_1</v>
      </c>
      <c r="F516" s="3">
        <v>27</v>
      </c>
      <c r="G516" s="3" t="s">
        <v>52</v>
      </c>
      <c r="H516" s="3">
        <v>5</v>
      </c>
      <c r="I516" s="3">
        <v>2</v>
      </c>
      <c r="J516" s="3">
        <v>1</v>
      </c>
      <c r="T516" s="18">
        <v>1024303</v>
      </c>
    </row>
    <row r="517" ht="15" spans="1:20">
      <c r="A517" s="34"/>
      <c r="B517" s="17">
        <f t="shared" ref="B517:B580" si="8">70000000+F517*10000+H517*1000+I517*100+J517</f>
        <v>70275202</v>
      </c>
      <c r="C517" s="37" t="s">
        <v>540</v>
      </c>
      <c r="E517" s="3" t="str">
        <f>F517&amp;(VLOOKUP(G517,编号表!$E$1:$G$8,2,0))&amp;H517&amp;"_"&amp;I517&amp;"_"&amp;J517</f>
        <v>27N5_2_2</v>
      </c>
      <c r="F517" s="3">
        <v>27</v>
      </c>
      <c r="G517" s="3" t="s">
        <v>52</v>
      </c>
      <c r="H517" s="3">
        <v>5</v>
      </c>
      <c r="I517" s="3">
        <v>2</v>
      </c>
      <c r="J517" s="3">
        <v>2</v>
      </c>
      <c r="T517" s="18">
        <v>1024403</v>
      </c>
    </row>
    <row r="518" ht="15" spans="1:20">
      <c r="A518" s="34"/>
      <c r="B518" s="17">
        <f t="shared" si="8"/>
        <v>70275203</v>
      </c>
      <c r="C518" s="37" t="s">
        <v>541</v>
      </c>
      <c r="E518" s="3" t="str">
        <f>F518&amp;(VLOOKUP(G518,编号表!$E$1:$G$8,2,0))&amp;H518&amp;"_"&amp;I518&amp;"_"&amp;J518</f>
        <v>27N5_2_3</v>
      </c>
      <c r="F518" s="3">
        <v>27</v>
      </c>
      <c r="G518" s="3" t="s">
        <v>52</v>
      </c>
      <c r="H518" s="3">
        <v>5</v>
      </c>
      <c r="I518" s="3">
        <v>2</v>
      </c>
      <c r="J518" s="3">
        <v>3</v>
      </c>
      <c r="T518" s="18">
        <v>1024503</v>
      </c>
    </row>
    <row r="519" ht="15" spans="1:20">
      <c r="A519" s="34"/>
      <c r="B519" s="17">
        <f t="shared" si="8"/>
        <v>70275204</v>
      </c>
      <c r="C519" s="37" t="s">
        <v>542</v>
      </c>
      <c r="E519" s="3" t="str">
        <f>F519&amp;(VLOOKUP(G519,编号表!$E$1:$G$8,2,0))&amp;H519&amp;"_"&amp;I519&amp;"_"&amp;J519</f>
        <v>27N5_2_4</v>
      </c>
      <c r="F519" s="3">
        <v>27</v>
      </c>
      <c r="G519" s="3" t="s">
        <v>52</v>
      </c>
      <c r="H519" s="3">
        <v>5</v>
      </c>
      <c r="I519" s="3">
        <v>2</v>
      </c>
      <c r="J519" s="3">
        <v>4</v>
      </c>
      <c r="T519" s="18">
        <v>1024303</v>
      </c>
    </row>
    <row r="520" ht="15" spans="1:20">
      <c r="A520" s="34"/>
      <c r="B520" s="17">
        <f t="shared" si="8"/>
        <v>70275205</v>
      </c>
      <c r="C520" s="37" t="s">
        <v>543</v>
      </c>
      <c r="E520" s="3" t="str">
        <f>F520&amp;(VLOOKUP(G520,编号表!$E$1:$G$8,2,0))&amp;H520&amp;"_"&amp;I520&amp;"_"&amp;J520</f>
        <v>27N5_2_5</v>
      </c>
      <c r="F520" s="3">
        <v>27</v>
      </c>
      <c r="G520" s="3" t="s">
        <v>52</v>
      </c>
      <c r="H520" s="3">
        <v>5</v>
      </c>
      <c r="I520" s="3">
        <v>2</v>
      </c>
      <c r="J520" s="3">
        <v>5</v>
      </c>
      <c r="T520" s="18">
        <v>1024403</v>
      </c>
    </row>
    <row r="521" ht="15" spans="1:20">
      <c r="A521" s="34"/>
      <c r="B521" s="17">
        <f t="shared" si="8"/>
        <v>70275001</v>
      </c>
      <c r="C521" s="39" t="s">
        <v>544</v>
      </c>
      <c r="E521" s="3" t="str">
        <f>F521&amp;(VLOOKUP(G521,编号表!$E$1:$G$8,2,0))&amp;H521&amp;"_"&amp;I521&amp;"_"&amp;J521</f>
        <v>27J5_0_1</v>
      </c>
      <c r="F521" s="3">
        <v>27</v>
      </c>
      <c r="G521" s="3" t="s">
        <v>167</v>
      </c>
      <c r="H521" s="3">
        <v>5</v>
      </c>
      <c r="I521" s="3">
        <v>0</v>
      </c>
      <c r="J521" s="3">
        <v>1</v>
      </c>
      <c r="K521" s="3">
        <v>1</v>
      </c>
    </row>
    <row r="522" ht="15" spans="1:20">
      <c r="A522" s="34"/>
      <c r="B522" s="17">
        <f t="shared" si="8"/>
        <v>70271001</v>
      </c>
      <c r="C522" s="36" t="s">
        <v>545</v>
      </c>
      <c r="E522" s="3" t="str">
        <f>F522&amp;(VLOOKUP(G522,编号表!$E$1:$G$8,2,0))&amp;H522&amp;"_"&amp;I522&amp;"_"&amp;J522</f>
        <v>27T1_0_1</v>
      </c>
      <c r="F522" s="3">
        <v>27</v>
      </c>
      <c r="G522" s="3" t="s">
        <v>169</v>
      </c>
      <c r="H522" s="3">
        <v>1</v>
      </c>
      <c r="I522" s="3">
        <v>0</v>
      </c>
      <c r="J522" s="3">
        <v>1</v>
      </c>
      <c r="L522" s="3">
        <v>1</v>
      </c>
      <c r="R522" s="3">
        <v>70261002</v>
      </c>
    </row>
    <row r="523" ht="15" spans="1:20">
      <c r="A523" s="34"/>
      <c r="B523" s="17">
        <f t="shared" si="8"/>
        <v>70271002</v>
      </c>
      <c r="C523" s="36" t="s">
        <v>545</v>
      </c>
      <c r="E523" s="3" t="str">
        <f>F523&amp;(VLOOKUP(G523,编号表!$E$1:$G$8,2,0))&amp;H523&amp;"_"&amp;I523&amp;"_"&amp;J523</f>
        <v>27T1_0_2</v>
      </c>
      <c r="F523" s="3">
        <v>27</v>
      </c>
      <c r="G523" s="3" t="s">
        <v>169</v>
      </c>
      <c r="H523" s="3">
        <v>1</v>
      </c>
      <c r="I523" s="3">
        <v>0</v>
      </c>
      <c r="J523" s="3">
        <v>2</v>
      </c>
      <c r="L523" s="3">
        <v>1</v>
      </c>
      <c r="R523" s="3">
        <v>70281001</v>
      </c>
    </row>
    <row r="524" ht="15" spans="1:20">
      <c r="A524" s="34"/>
      <c r="B524" s="17">
        <f t="shared" si="8"/>
        <v>70272001</v>
      </c>
      <c r="C524" s="36" t="s">
        <v>546</v>
      </c>
      <c r="E524" s="3" t="str">
        <f>F524&amp;(VLOOKUP(G524,编号表!$E$1:$G$8,2,0))&amp;H524&amp;"_"&amp;I524&amp;"_"&amp;J524</f>
        <v>27D2_0_1</v>
      </c>
      <c r="F524" s="3">
        <v>27</v>
      </c>
      <c r="G524" s="3" t="s">
        <v>171</v>
      </c>
      <c r="H524" s="3">
        <v>2</v>
      </c>
      <c r="I524" s="3">
        <v>0</v>
      </c>
      <c r="J524" s="3">
        <v>1</v>
      </c>
      <c r="M524" s="3">
        <v>1</v>
      </c>
    </row>
    <row r="525" ht="15" spans="1:20">
      <c r="A525" s="34"/>
      <c r="B525" s="17">
        <f t="shared" si="8"/>
        <v>70285101</v>
      </c>
      <c r="C525" s="37" t="s">
        <v>547</v>
      </c>
      <c r="E525" s="3" t="str">
        <f>F525&amp;(VLOOKUP(G525,编号表!$E$1:$G$8,2,0))&amp;H525&amp;"_"&amp;I525&amp;"_"&amp;J525</f>
        <v>28N5_1_1</v>
      </c>
      <c r="F525" s="3">
        <v>28</v>
      </c>
      <c r="G525" s="3" t="s">
        <v>52</v>
      </c>
      <c r="H525" s="3">
        <v>5</v>
      </c>
      <c r="I525" s="3">
        <v>1</v>
      </c>
      <c r="J525" s="3">
        <v>1</v>
      </c>
      <c r="T525" s="18">
        <v>1025303</v>
      </c>
    </row>
    <row r="526" ht="15" spans="1:20">
      <c r="A526" s="34"/>
      <c r="B526" s="17">
        <f t="shared" si="8"/>
        <v>70285102</v>
      </c>
      <c r="C526" s="37" t="s">
        <v>548</v>
      </c>
      <c r="E526" s="3" t="str">
        <f>F526&amp;(VLOOKUP(G526,编号表!$E$1:$G$8,2,0))&amp;H526&amp;"_"&amp;I526&amp;"_"&amp;J526</f>
        <v>28N5_1_2</v>
      </c>
      <c r="F526" s="3">
        <v>28</v>
      </c>
      <c r="G526" s="3" t="s">
        <v>52</v>
      </c>
      <c r="H526" s="3">
        <v>5</v>
      </c>
      <c r="I526" s="3">
        <v>1</v>
      </c>
      <c r="J526" s="3">
        <v>2</v>
      </c>
      <c r="T526" s="18">
        <v>1025001</v>
      </c>
    </row>
    <row r="527" ht="15" spans="1:20">
      <c r="A527" s="34"/>
      <c r="B527" s="17">
        <f t="shared" si="8"/>
        <v>70285103</v>
      </c>
      <c r="C527" s="37" t="s">
        <v>549</v>
      </c>
      <c r="E527" s="3" t="str">
        <f>F527&amp;(VLOOKUP(G527,编号表!$E$1:$G$8,2,0))&amp;H527&amp;"_"&amp;I527&amp;"_"&amp;J527</f>
        <v>28N5_1_3</v>
      </c>
      <c r="F527" s="3">
        <v>28</v>
      </c>
      <c r="G527" s="3" t="s">
        <v>52</v>
      </c>
      <c r="H527" s="3">
        <v>5</v>
      </c>
      <c r="I527" s="3">
        <v>1</v>
      </c>
      <c r="J527" s="3">
        <v>3</v>
      </c>
      <c r="T527" s="18">
        <v>1025103</v>
      </c>
    </row>
    <row r="528" ht="15" spans="1:20">
      <c r="A528" s="34"/>
      <c r="B528" s="17">
        <f t="shared" si="8"/>
        <v>70285104</v>
      </c>
      <c r="C528" s="37" t="s">
        <v>550</v>
      </c>
      <c r="E528" s="3" t="str">
        <f>F528&amp;(VLOOKUP(G528,编号表!$E$1:$G$8,2,0))&amp;H528&amp;"_"&amp;I528&amp;"_"&amp;J528</f>
        <v>28N5_1_4</v>
      </c>
      <c r="F528" s="3">
        <v>28</v>
      </c>
      <c r="G528" s="3" t="s">
        <v>52</v>
      </c>
      <c r="H528" s="3">
        <v>5</v>
      </c>
      <c r="I528" s="3">
        <v>1</v>
      </c>
      <c r="J528" s="3">
        <v>4</v>
      </c>
      <c r="T528" s="18">
        <v>1025403</v>
      </c>
    </row>
    <row r="529" ht="15" spans="1:20">
      <c r="A529" s="34"/>
      <c r="B529" s="17">
        <f t="shared" si="8"/>
        <v>70285105</v>
      </c>
      <c r="C529" s="37" t="s">
        <v>550</v>
      </c>
      <c r="E529" s="3" t="str">
        <f>F529&amp;(VLOOKUP(G529,编号表!$E$1:$G$8,2,0))&amp;H529&amp;"_"&amp;I529&amp;"_"&amp;J529</f>
        <v>28N5_1_5</v>
      </c>
      <c r="F529" s="3">
        <v>28</v>
      </c>
      <c r="G529" s="3" t="s">
        <v>52</v>
      </c>
      <c r="H529" s="3">
        <v>5</v>
      </c>
      <c r="I529" s="3">
        <v>1</v>
      </c>
      <c r="J529" s="3">
        <v>5</v>
      </c>
      <c r="T529" s="18">
        <v>1025303</v>
      </c>
    </row>
    <row r="530" ht="15" spans="1:20">
      <c r="A530" s="34"/>
      <c r="B530" s="17">
        <f t="shared" si="8"/>
        <v>70285201</v>
      </c>
      <c r="C530" s="37" t="s">
        <v>551</v>
      </c>
      <c r="E530" s="3" t="str">
        <f>F530&amp;(VLOOKUP(G530,编号表!$E$1:$G$8,2,0))&amp;H530&amp;"_"&amp;I530&amp;"_"&amp;J530</f>
        <v>28N5_2_1</v>
      </c>
      <c r="F530" s="3">
        <v>28</v>
      </c>
      <c r="G530" s="3" t="s">
        <v>52</v>
      </c>
      <c r="H530" s="3">
        <v>5</v>
      </c>
      <c r="I530" s="3">
        <v>2</v>
      </c>
      <c r="J530" s="3">
        <v>1</v>
      </c>
      <c r="T530" s="18">
        <v>1025103</v>
      </c>
    </row>
    <row r="531" ht="15" spans="1:20">
      <c r="A531" s="34"/>
      <c r="B531" s="17">
        <f t="shared" si="8"/>
        <v>70285202</v>
      </c>
      <c r="C531" s="37" t="s">
        <v>552</v>
      </c>
      <c r="E531" s="3" t="str">
        <f>F531&amp;(VLOOKUP(G531,编号表!$E$1:$G$8,2,0))&amp;H531&amp;"_"&amp;I531&amp;"_"&amp;J531</f>
        <v>28N5_2_2</v>
      </c>
      <c r="F531" s="3">
        <v>28</v>
      </c>
      <c r="G531" s="3" t="s">
        <v>52</v>
      </c>
      <c r="H531" s="3">
        <v>5</v>
      </c>
      <c r="I531" s="3">
        <v>2</v>
      </c>
      <c r="J531" s="3">
        <v>2</v>
      </c>
      <c r="T531" s="18">
        <v>1025403</v>
      </c>
    </row>
    <row r="532" ht="15" spans="1:20">
      <c r="A532" s="34"/>
      <c r="B532" s="17">
        <f t="shared" si="8"/>
        <v>70285203</v>
      </c>
      <c r="C532" s="37" t="s">
        <v>553</v>
      </c>
      <c r="E532" s="3" t="str">
        <f>F532&amp;(VLOOKUP(G532,编号表!$E$1:$G$8,2,0))&amp;H532&amp;"_"&amp;I532&amp;"_"&amp;J532</f>
        <v>28N5_2_3</v>
      </c>
      <c r="F532" s="3">
        <v>28</v>
      </c>
      <c r="G532" s="3" t="s">
        <v>52</v>
      </c>
      <c r="H532" s="3">
        <v>5</v>
      </c>
      <c r="I532" s="3">
        <v>2</v>
      </c>
      <c r="J532" s="3">
        <v>3</v>
      </c>
      <c r="T532" s="18">
        <v>1025303</v>
      </c>
    </row>
    <row r="533" ht="15" spans="1:20">
      <c r="A533" s="34"/>
      <c r="B533" s="17">
        <f t="shared" si="8"/>
        <v>70285204</v>
      </c>
      <c r="C533" s="37" t="s">
        <v>554</v>
      </c>
      <c r="E533" s="3" t="str">
        <f>F533&amp;(VLOOKUP(G533,编号表!$E$1:$G$8,2,0))&amp;H533&amp;"_"&amp;I533&amp;"_"&amp;J533</f>
        <v>28N5_2_4</v>
      </c>
      <c r="F533" s="3">
        <v>28</v>
      </c>
      <c r="G533" s="3" t="s">
        <v>52</v>
      </c>
      <c r="H533" s="3">
        <v>5</v>
      </c>
      <c r="I533" s="3">
        <v>2</v>
      </c>
      <c r="J533" s="3">
        <v>4</v>
      </c>
      <c r="T533" s="18">
        <v>1025403</v>
      </c>
    </row>
    <row r="534" ht="15" spans="1:20">
      <c r="A534" s="34"/>
      <c r="B534" s="17">
        <f t="shared" si="8"/>
        <v>70285205</v>
      </c>
      <c r="C534" s="37" t="s">
        <v>554</v>
      </c>
      <c r="E534" s="3" t="str">
        <f>F534&amp;(VLOOKUP(G534,编号表!$E$1:$G$8,2,0))&amp;H534&amp;"_"&amp;I534&amp;"_"&amp;J534</f>
        <v>28N5_2_5</v>
      </c>
      <c r="F534" s="3">
        <v>28</v>
      </c>
      <c r="G534" s="3" t="s">
        <v>52</v>
      </c>
      <c r="H534" s="3">
        <v>5</v>
      </c>
      <c r="I534" s="3">
        <v>2</v>
      </c>
      <c r="J534" s="3">
        <v>5</v>
      </c>
      <c r="T534" s="18">
        <v>1025303</v>
      </c>
    </row>
    <row r="535" ht="15" spans="1:20">
      <c r="A535" s="34"/>
      <c r="B535" s="17">
        <f t="shared" si="8"/>
        <v>70285001</v>
      </c>
      <c r="C535" s="39" t="s">
        <v>555</v>
      </c>
      <c r="E535" s="3" t="str">
        <f>F535&amp;(VLOOKUP(G535,编号表!$E$1:$G$8,2,0))&amp;H535&amp;"_"&amp;I535&amp;"_"&amp;J535</f>
        <v>28J5_0_1</v>
      </c>
      <c r="F535" s="3">
        <v>28</v>
      </c>
      <c r="G535" s="3" t="s">
        <v>167</v>
      </c>
      <c r="H535" s="3">
        <v>5</v>
      </c>
      <c r="I535" s="3">
        <v>0</v>
      </c>
      <c r="J535" s="3">
        <v>1</v>
      </c>
      <c r="K535" s="3">
        <v>1</v>
      </c>
    </row>
    <row r="536" ht="15" spans="1:20">
      <c r="A536" s="34"/>
      <c r="B536" s="17">
        <f t="shared" si="8"/>
        <v>70281001</v>
      </c>
      <c r="C536" s="36" t="s">
        <v>556</v>
      </c>
      <c r="E536" s="3" t="str">
        <f>F536&amp;(VLOOKUP(G536,编号表!$E$1:$G$8,2,0))&amp;H536&amp;"_"&amp;I536&amp;"_"&amp;J536</f>
        <v>28T1_0_1</v>
      </c>
      <c r="F536" s="3">
        <v>28</v>
      </c>
      <c r="G536" s="3" t="s">
        <v>169</v>
      </c>
      <c r="H536" s="3">
        <v>1</v>
      </c>
      <c r="I536" s="3">
        <v>0</v>
      </c>
      <c r="J536" s="3">
        <v>1</v>
      </c>
      <c r="L536" s="3">
        <v>1</v>
      </c>
      <c r="R536" s="3">
        <v>70271002</v>
      </c>
    </row>
    <row r="537" ht="15" spans="1:20">
      <c r="A537" s="34"/>
      <c r="B537" s="17">
        <f t="shared" si="8"/>
        <v>70281002</v>
      </c>
      <c r="C537" s="36" t="s">
        <v>556</v>
      </c>
      <c r="E537" s="3" t="str">
        <f>F537&amp;(VLOOKUP(G537,编号表!$E$1:$G$8,2,0))&amp;H537&amp;"_"&amp;I537&amp;"_"&amp;J537</f>
        <v>28T1_0_2</v>
      </c>
      <c r="F537" s="3">
        <v>28</v>
      </c>
      <c r="G537" s="3" t="s">
        <v>169</v>
      </c>
      <c r="H537" s="3">
        <v>1</v>
      </c>
      <c r="I537" s="3">
        <v>0</v>
      </c>
      <c r="J537" s="3">
        <v>2</v>
      </c>
      <c r="L537" s="3">
        <v>1</v>
      </c>
      <c r="R537" s="3">
        <v>70016204</v>
      </c>
    </row>
    <row r="538" ht="15" spans="1:20">
      <c r="A538" s="34"/>
      <c r="B538" s="17">
        <f t="shared" si="8"/>
        <v>70282001</v>
      </c>
      <c r="C538" s="36" t="s">
        <v>557</v>
      </c>
      <c r="E538" s="3" t="str">
        <f>F538&amp;(VLOOKUP(G538,编号表!$E$1:$G$8,2,0))&amp;H538&amp;"_"&amp;I538&amp;"_"&amp;J538</f>
        <v>28D2_0_1</v>
      </c>
      <c r="F538" s="3">
        <v>28</v>
      </c>
      <c r="G538" s="3" t="s">
        <v>171</v>
      </c>
      <c r="H538" s="3">
        <v>2</v>
      </c>
      <c r="I538" s="3">
        <v>0</v>
      </c>
      <c r="J538" s="3">
        <v>1</v>
      </c>
      <c r="M538" s="3">
        <v>1</v>
      </c>
    </row>
    <row r="539" ht="15" spans="1:20">
      <c r="A539" s="34"/>
      <c r="B539" s="17">
        <f t="shared" si="8"/>
        <v>70295001</v>
      </c>
      <c r="C539" s="39" t="s">
        <v>558</v>
      </c>
      <c r="E539" s="3" t="str">
        <f>F539&amp;(VLOOKUP(G539,编号表!$E$1:$G$8,2,0))&amp;H539&amp;"_"&amp;I539&amp;"_"&amp;J539</f>
        <v>29J5_0_1</v>
      </c>
      <c r="F539" s="3">
        <v>29</v>
      </c>
      <c r="G539" s="3" t="s">
        <v>167</v>
      </c>
      <c r="H539" s="3">
        <v>5</v>
      </c>
      <c r="I539" s="3">
        <v>0</v>
      </c>
      <c r="J539" s="3">
        <v>1</v>
      </c>
      <c r="K539" s="3">
        <v>1</v>
      </c>
    </row>
    <row r="540" ht="15" spans="1:20">
      <c r="A540" s="34"/>
      <c r="B540" s="17">
        <f t="shared" si="8"/>
        <v>70291001</v>
      </c>
      <c r="C540" s="36" t="s">
        <v>559</v>
      </c>
      <c r="E540" s="3" t="str">
        <f>F540&amp;(VLOOKUP(G540,编号表!$E$1:$G$8,2,0))&amp;H540&amp;"_"&amp;I540&amp;"_"&amp;J540</f>
        <v>29T1_0_1</v>
      </c>
      <c r="F540" s="3">
        <v>29</v>
      </c>
      <c r="G540" s="3" t="s">
        <v>169</v>
      </c>
      <c r="H540" s="3">
        <v>1</v>
      </c>
      <c r="I540" s="3">
        <v>0</v>
      </c>
      <c r="J540" s="3">
        <v>1</v>
      </c>
      <c r="L540" s="3">
        <v>1</v>
      </c>
      <c r="R540" s="3">
        <v>70016204</v>
      </c>
    </row>
    <row r="541" ht="15" spans="1:20">
      <c r="A541" s="34"/>
      <c r="B541" s="17">
        <f t="shared" si="8"/>
        <v>70291002</v>
      </c>
      <c r="C541" s="36" t="s">
        <v>559</v>
      </c>
      <c r="E541" s="3" t="str">
        <f>F541&amp;(VLOOKUP(G541,编号表!$E$1:$G$8,2,0))&amp;H541&amp;"_"&amp;I541&amp;"_"&amp;J541</f>
        <v>29T1_0_2</v>
      </c>
      <c r="F541" s="3">
        <v>29</v>
      </c>
      <c r="G541" s="3" t="s">
        <v>169</v>
      </c>
      <c r="H541" s="3">
        <v>1</v>
      </c>
      <c r="I541" s="3">
        <v>0</v>
      </c>
      <c r="J541" s="3">
        <v>2</v>
      </c>
      <c r="L541" s="3">
        <v>1</v>
      </c>
      <c r="R541" s="3">
        <v>70301002</v>
      </c>
    </row>
    <row r="542" ht="15" spans="1:20">
      <c r="A542" s="34"/>
      <c r="B542" s="17">
        <f t="shared" si="8"/>
        <v>70292001</v>
      </c>
      <c r="C542" s="36" t="s">
        <v>560</v>
      </c>
      <c r="E542" s="3" t="str">
        <f>F542&amp;(VLOOKUP(G542,编号表!$E$1:$G$8,2,0))&amp;H542&amp;"_"&amp;I542&amp;"_"&amp;J542</f>
        <v>29D2_0_1</v>
      </c>
      <c r="F542" s="3">
        <v>29</v>
      </c>
      <c r="G542" s="3" t="s">
        <v>171</v>
      </c>
      <c r="H542" s="3">
        <v>2</v>
      </c>
      <c r="I542" s="3">
        <v>0</v>
      </c>
      <c r="J542" s="3">
        <v>1</v>
      </c>
      <c r="M542" s="3">
        <v>1</v>
      </c>
    </row>
    <row r="543" ht="15" spans="1:20">
      <c r="A543" s="34"/>
      <c r="B543" s="17">
        <f t="shared" si="8"/>
        <v>70305101</v>
      </c>
      <c r="C543" s="37" t="s">
        <v>561</v>
      </c>
      <c r="E543" s="3" t="str">
        <f>F543&amp;(VLOOKUP(G543,编号表!$E$1:$G$8,2,0))&amp;H543&amp;"_"&amp;I543&amp;"_"&amp;J543</f>
        <v>30N5_1_1</v>
      </c>
      <c r="F543" s="3">
        <v>30</v>
      </c>
      <c r="G543" s="3" t="s">
        <v>52</v>
      </c>
      <c r="H543" s="3">
        <v>5</v>
      </c>
      <c r="I543" s="3">
        <v>1</v>
      </c>
      <c r="J543" s="3">
        <v>1</v>
      </c>
      <c r="T543" s="18">
        <v>1042304</v>
      </c>
    </row>
    <row r="544" ht="15" spans="1:20">
      <c r="A544" s="34"/>
      <c r="B544" s="17">
        <f t="shared" si="8"/>
        <v>70305102</v>
      </c>
      <c r="C544" s="37" t="s">
        <v>562</v>
      </c>
      <c r="E544" s="3" t="str">
        <f>F544&amp;(VLOOKUP(G544,编号表!$E$1:$G$8,2,0))&amp;H544&amp;"_"&amp;I544&amp;"_"&amp;J544</f>
        <v>30N5_1_2</v>
      </c>
      <c r="F544" s="3">
        <v>30</v>
      </c>
      <c r="G544" s="3" t="s">
        <v>52</v>
      </c>
      <c r="H544" s="3">
        <v>5</v>
      </c>
      <c r="I544" s="3">
        <v>1</v>
      </c>
      <c r="J544" s="3">
        <v>2</v>
      </c>
      <c r="T544" s="18">
        <v>1042404</v>
      </c>
    </row>
    <row r="545" ht="15" spans="1:20">
      <c r="A545" s="34"/>
      <c r="B545" s="17">
        <f t="shared" si="8"/>
        <v>70305103</v>
      </c>
      <c r="C545" s="37" t="s">
        <v>563</v>
      </c>
      <c r="E545" s="3" t="str">
        <f>F545&amp;(VLOOKUP(G545,编号表!$E$1:$G$8,2,0))&amp;H545&amp;"_"&amp;I545&amp;"_"&amp;J545</f>
        <v>30N5_1_3</v>
      </c>
      <c r="F545" s="3">
        <v>30</v>
      </c>
      <c r="G545" s="3" t="s">
        <v>52</v>
      </c>
      <c r="H545" s="3">
        <v>5</v>
      </c>
      <c r="I545" s="3">
        <v>1</v>
      </c>
      <c r="J545" s="3">
        <v>3</v>
      </c>
      <c r="T545" s="18">
        <v>1042504</v>
      </c>
    </row>
    <row r="546" ht="15" spans="1:20">
      <c r="A546" s="34"/>
      <c r="B546" s="17">
        <f t="shared" si="8"/>
        <v>70305104</v>
      </c>
      <c r="C546" s="37" t="s">
        <v>564</v>
      </c>
      <c r="E546" s="3" t="str">
        <f>F546&amp;(VLOOKUP(G546,编号表!$E$1:$G$8,2,0))&amp;H546&amp;"_"&amp;I546&amp;"_"&amp;J546</f>
        <v>30N5_1_4</v>
      </c>
      <c r="F546" s="3">
        <v>30</v>
      </c>
      <c r="G546" s="3" t="s">
        <v>52</v>
      </c>
      <c r="H546" s="3">
        <v>5</v>
      </c>
      <c r="I546" s="3">
        <v>1</v>
      </c>
      <c r="J546" s="3">
        <v>4</v>
      </c>
      <c r="T546" s="18">
        <v>1042304</v>
      </c>
    </row>
    <row r="547" ht="15" spans="1:20">
      <c r="A547" s="34"/>
      <c r="B547" s="17">
        <f t="shared" si="8"/>
        <v>70305201</v>
      </c>
      <c r="C547" s="37" t="s">
        <v>565</v>
      </c>
      <c r="E547" s="3" t="str">
        <f>F547&amp;(VLOOKUP(G547,编号表!$E$1:$G$8,2,0))&amp;H547&amp;"_"&amp;I547&amp;"_"&amp;J547</f>
        <v>30N5_2_1</v>
      </c>
      <c r="F547" s="3">
        <v>30</v>
      </c>
      <c r="G547" s="3" t="s">
        <v>52</v>
      </c>
      <c r="H547" s="3">
        <v>5</v>
      </c>
      <c r="I547" s="3">
        <v>2</v>
      </c>
      <c r="J547" s="3">
        <v>1</v>
      </c>
      <c r="T547" s="18">
        <v>1042404</v>
      </c>
    </row>
    <row r="548" ht="15" spans="1:20">
      <c r="A548" s="34"/>
      <c r="B548" s="17">
        <f t="shared" si="8"/>
        <v>70305202</v>
      </c>
      <c r="C548" s="37" t="s">
        <v>566</v>
      </c>
      <c r="E548" s="3" t="str">
        <f>F548&amp;(VLOOKUP(G548,编号表!$E$1:$G$8,2,0))&amp;H548&amp;"_"&amp;I548&amp;"_"&amp;J548</f>
        <v>30N5_2_2</v>
      </c>
      <c r="F548" s="3">
        <v>30</v>
      </c>
      <c r="G548" s="3" t="s">
        <v>52</v>
      </c>
      <c r="H548" s="3">
        <v>5</v>
      </c>
      <c r="I548" s="3">
        <v>2</v>
      </c>
      <c r="J548" s="3">
        <v>2</v>
      </c>
      <c r="T548" s="18">
        <v>1042101</v>
      </c>
    </row>
    <row r="549" ht="15" spans="1:20">
      <c r="A549" s="34"/>
      <c r="B549" s="17">
        <f t="shared" si="8"/>
        <v>70305203</v>
      </c>
      <c r="C549" s="37" t="s">
        <v>567</v>
      </c>
      <c r="E549" s="3" t="str">
        <f>F549&amp;(VLOOKUP(G549,编号表!$E$1:$G$8,2,0))&amp;H549&amp;"_"&amp;I549&amp;"_"&amp;J549</f>
        <v>30N5_2_3</v>
      </c>
      <c r="F549" s="3">
        <v>30</v>
      </c>
      <c r="G549" s="3" t="s">
        <v>52</v>
      </c>
      <c r="H549" s="3">
        <v>5</v>
      </c>
      <c r="I549" s="3">
        <v>2</v>
      </c>
      <c r="J549" s="3">
        <v>3</v>
      </c>
      <c r="T549" s="18">
        <v>1042504</v>
      </c>
    </row>
    <row r="550" ht="15" spans="1:20">
      <c r="A550" s="34"/>
      <c r="B550" s="17">
        <f t="shared" si="8"/>
        <v>70305301</v>
      </c>
      <c r="C550" s="37" t="s">
        <v>568</v>
      </c>
      <c r="E550" s="3" t="str">
        <f>F550&amp;(VLOOKUP(G550,编号表!$E$1:$G$8,2,0))&amp;H550&amp;"_"&amp;I550&amp;"_"&amp;J550</f>
        <v>30N5_3_1</v>
      </c>
      <c r="F550" s="3">
        <v>30</v>
      </c>
      <c r="G550" s="3" t="s">
        <v>52</v>
      </c>
      <c r="H550" s="3">
        <v>5</v>
      </c>
      <c r="I550" s="3">
        <v>3</v>
      </c>
      <c r="J550" s="3">
        <v>1</v>
      </c>
      <c r="T550" s="18">
        <v>1042304</v>
      </c>
    </row>
    <row r="551" ht="15" spans="1:20">
      <c r="A551" s="34"/>
      <c r="B551" s="17">
        <f t="shared" si="8"/>
        <v>70305302</v>
      </c>
      <c r="C551" s="37" t="s">
        <v>569</v>
      </c>
      <c r="E551" s="3" t="str">
        <f>F551&amp;(VLOOKUP(G551,编号表!$E$1:$G$8,2,0))&amp;H551&amp;"_"&amp;I551&amp;"_"&amp;J551</f>
        <v>30N5_3_2</v>
      </c>
      <c r="F551" s="3">
        <v>30</v>
      </c>
      <c r="G551" s="3" t="s">
        <v>52</v>
      </c>
      <c r="H551" s="3">
        <v>5</v>
      </c>
      <c r="I551" s="3">
        <v>3</v>
      </c>
      <c r="J551" s="3">
        <v>2</v>
      </c>
      <c r="T551" s="18">
        <v>1042404</v>
      </c>
    </row>
    <row r="552" ht="15" spans="1:20">
      <c r="A552" s="34"/>
      <c r="B552" s="17">
        <f t="shared" si="8"/>
        <v>70305303</v>
      </c>
      <c r="C552" s="37" t="s">
        <v>570</v>
      </c>
      <c r="E552" s="3" t="str">
        <f>F552&amp;(VLOOKUP(G552,编号表!$E$1:$G$8,2,0))&amp;H552&amp;"_"&amp;I552&amp;"_"&amp;J552</f>
        <v>30N5_3_3</v>
      </c>
      <c r="F552" s="3">
        <v>30</v>
      </c>
      <c r="G552" s="3" t="s">
        <v>52</v>
      </c>
      <c r="H552" s="3">
        <v>5</v>
      </c>
      <c r="I552" s="3">
        <v>3</v>
      </c>
      <c r="J552" s="3">
        <v>3</v>
      </c>
      <c r="T552" s="18">
        <v>1042504</v>
      </c>
    </row>
    <row r="553" ht="15" spans="1:20">
      <c r="A553" s="34"/>
      <c r="B553" s="17">
        <f t="shared" si="8"/>
        <v>70305304</v>
      </c>
      <c r="C553" s="37" t="s">
        <v>571</v>
      </c>
      <c r="E553" s="3" t="str">
        <f>F553&amp;(VLOOKUP(G553,编号表!$E$1:$G$8,2,0))&amp;H553&amp;"_"&amp;I553&amp;"_"&amp;J553</f>
        <v>30N5_3_4</v>
      </c>
      <c r="F553" s="3">
        <v>30</v>
      </c>
      <c r="G553" s="3" t="s">
        <v>52</v>
      </c>
      <c r="H553" s="3">
        <v>5</v>
      </c>
      <c r="I553" s="3">
        <v>3</v>
      </c>
      <c r="J553" s="3">
        <v>4</v>
      </c>
      <c r="T553" s="18">
        <v>1042101</v>
      </c>
    </row>
    <row r="554" ht="15" spans="1:20">
      <c r="A554" s="34"/>
      <c r="B554" s="17">
        <f t="shared" si="8"/>
        <v>70305001</v>
      </c>
      <c r="C554" s="39" t="s">
        <v>572</v>
      </c>
      <c r="E554" s="3" t="str">
        <f>F554&amp;(VLOOKUP(G554,编号表!$E$1:$G$8,2,0))&amp;H554&amp;"_"&amp;I554&amp;"_"&amp;J554</f>
        <v>30J5_0_1</v>
      </c>
      <c r="F554" s="3">
        <v>30</v>
      </c>
      <c r="G554" s="3" t="s">
        <v>167</v>
      </c>
      <c r="H554" s="3">
        <v>5</v>
      </c>
      <c r="I554" s="3">
        <v>0</v>
      </c>
      <c r="J554" s="3">
        <v>1</v>
      </c>
      <c r="K554" s="3">
        <v>1</v>
      </c>
    </row>
    <row r="555" ht="15" spans="1:20">
      <c r="A555" s="34"/>
      <c r="B555" s="17">
        <f t="shared" si="8"/>
        <v>70301001</v>
      </c>
      <c r="C555" s="36" t="s">
        <v>573</v>
      </c>
      <c r="E555" s="3" t="str">
        <f>F555&amp;(VLOOKUP(G555,编号表!$E$1:$G$8,2,0))&amp;H555&amp;"_"&amp;I555&amp;"_"&amp;J555</f>
        <v>30T1_0_1</v>
      </c>
      <c r="F555" s="3">
        <v>30</v>
      </c>
      <c r="G555" s="3" t="s">
        <v>169</v>
      </c>
      <c r="H555" s="3">
        <v>1</v>
      </c>
      <c r="I555" s="3">
        <v>0</v>
      </c>
      <c r="J555" s="3">
        <v>1</v>
      </c>
      <c r="L555" s="3">
        <v>1</v>
      </c>
      <c r="R555" s="3">
        <v>70321001</v>
      </c>
    </row>
    <row r="556" ht="15" spans="1:20">
      <c r="A556" s="34"/>
      <c r="B556" s="17">
        <f t="shared" si="8"/>
        <v>70301002</v>
      </c>
      <c r="C556" s="36" t="s">
        <v>573</v>
      </c>
      <c r="E556" s="3" t="str">
        <f>F556&amp;(VLOOKUP(G556,编号表!$E$1:$G$8,2,0))&amp;H556&amp;"_"&amp;I556&amp;"_"&amp;J556</f>
        <v>30T1_0_2</v>
      </c>
      <c r="F556" s="3">
        <v>30</v>
      </c>
      <c r="G556" s="3" t="s">
        <v>169</v>
      </c>
      <c r="H556" s="3">
        <v>1</v>
      </c>
      <c r="I556" s="3">
        <v>0</v>
      </c>
      <c r="J556" s="3">
        <v>2</v>
      </c>
      <c r="L556" s="3">
        <v>1</v>
      </c>
      <c r="R556" s="3">
        <v>70291002</v>
      </c>
    </row>
    <row r="557" ht="15" spans="1:20">
      <c r="A557" s="34"/>
      <c r="B557" s="17">
        <f t="shared" si="8"/>
        <v>70302001</v>
      </c>
      <c r="C557" s="36" t="s">
        <v>574</v>
      </c>
      <c r="E557" s="3" t="str">
        <f>F557&amp;(VLOOKUP(G557,编号表!$E$1:$G$8,2,0))&amp;H557&amp;"_"&amp;I557&amp;"_"&amp;J557</f>
        <v>30D2_0_1</v>
      </c>
      <c r="F557" s="3">
        <v>30</v>
      </c>
      <c r="G557" s="3" t="s">
        <v>171</v>
      </c>
      <c r="H557" s="3">
        <v>2</v>
      </c>
      <c r="I557" s="3">
        <v>0</v>
      </c>
      <c r="J557" s="3">
        <v>1</v>
      </c>
      <c r="M557" s="3">
        <v>1</v>
      </c>
    </row>
    <row r="558" ht="12" customHeight="1" spans="1:20">
      <c r="A558" s="34"/>
      <c r="B558" s="17">
        <f t="shared" si="8"/>
        <v>70315101</v>
      </c>
      <c r="C558" s="37" t="s">
        <v>575</v>
      </c>
      <c r="E558" s="3" t="str">
        <f>F558&amp;(VLOOKUP(G558,编号表!$E$1:$G$8,2,0))&amp;H558&amp;"_"&amp;I558&amp;"_"&amp;J558</f>
        <v>31N5_1_1</v>
      </c>
      <c r="F558" s="3">
        <v>31</v>
      </c>
      <c r="G558" s="3" t="s">
        <v>52</v>
      </c>
      <c r="H558" s="3">
        <v>5</v>
      </c>
      <c r="I558" s="3">
        <v>1</v>
      </c>
      <c r="J558" s="3">
        <v>1</v>
      </c>
      <c r="T558" s="18">
        <v>1043304</v>
      </c>
    </row>
    <row r="559" ht="12" customHeight="1" spans="1:20">
      <c r="A559" s="34"/>
      <c r="B559" s="17">
        <f t="shared" si="8"/>
        <v>70315102</v>
      </c>
      <c r="C559" s="37" t="s">
        <v>576</v>
      </c>
      <c r="E559" s="3" t="str">
        <f>F559&amp;(VLOOKUP(G559,编号表!$E$1:$G$8,2,0))&amp;H559&amp;"_"&amp;I559&amp;"_"&amp;J559</f>
        <v>31N5_1_2</v>
      </c>
      <c r="F559" s="3">
        <v>31</v>
      </c>
      <c r="G559" s="3" t="s">
        <v>52</v>
      </c>
      <c r="H559" s="3">
        <v>5</v>
      </c>
      <c r="I559" s="3">
        <v>1</v>
      </c>
      <c r="J559" s="3">
        <v>2</v>
      </c>
      <c r="T559" s="18">
        <v>1043404</v>
      </c>
    </row>
    <row r="560" ht="12" customHeight="1" spans="1:20">
      <c r="A560" s="34"/>
      <c r="B560" s="17">
        <f t="shared" si="8"/>
        <v>70315103</v>
      </c>
      <c r="C560" s="37" t="s">
        <v>577</v>
      </c>
      <c r="E560" s="3" t="str">
        <f>F560&amp;(VLOOKUP(G560,编号表!$E$1:$G$8,2,0))&amp;H560&amp;"_"&amp;I560&amp;"_"&amp;J560</f>
        <v>31N5_1_3</v>
      </c>
      <c r="F560" s="3">
        <v>31</v>
      </c>
      <c r="G560" s="3" t="s">
        <v>52</v>
      </c>
      <c r="H560" s="3">
        <v>5</v>
      </c>
      <c r="I560" s="3">
        <v>1</v>
      </c>
      <c r="J560" s="3">
        <v>3</v>
      </c>
      <c r="T560" s="18">
        <v>1043304</v>
      </c>
    </row>
    <row r="561" ht="12" customHeight="1" spans="1:20">
      <c r="A561" s="34"/>
      <c r="B561" s="17">
        <f t="shared" si="8"/>
        <v>70315104</v>
      </c>
      <c r="C561" s="37" t="s">
        <v>578</v>
      </c>
      <c r="E561" s="3" t="str">
        <f>F561&amp;(VLOOKUP(G561,编号表!$E$1:$G$8,2,0))&amp;H561&amp;"_"&amp;I561&amp;"_"&amp;J561</f>
        <v>31N5_1_4</v>
      </c>
      <c r="F561" s="3">
        <v>31</v>
      </c>
      <c r="G561" s="3" t="s">
        <v>52</v>
      </c>
      <c r="H561" s="3">
        <v>5</v>
      </c>
      <c r="I561" s="3">
        <v>1</v>
      </c>
      <c r="J561" s="3">
        <v>4</v>
      </c>
      <c r="T561" s="18">
        <v>1043404</v>
      </c>
    </row>
    <row r="562" ht="12" customHeight="1" spans="1:20">
      <c r="A562" s="34"/>
      <c r="B562" s="17">
        <f t="shared" si="8"/>
        <v>70315201</v>
      </c>
      <c r="C562" s="37" t="s">
        <v>579</v>
      </c>
      <c r="E562" s="3" t="str">
        <f>F562&amp;(VLOOKUP(G562,编号表!$E$1:$G$8,2,0))&amp;H562&amp;"_"&amp;I562&amp;"_"&amp;J562</f>
        <v>31N5_2_1</v>
      </c>
      <c r="F562" s="3">
        <v>31</v>
      </c>
      <c r="G562" s="3" t="s">
        <v>52</v>
      </c>
      <c r="H562" s="3">
        <v>5</v>
      </c>
      <c r="I562" s="3">
        <v>2</v>
      </c>
      <c r="J562" s="3">
        <v>1</v>
      </c>
      <c r="T562" s="18">
        <v>1043304</v>
      </c>
    </row>
    <row r="563" ht="12" customHeight="1" spans="1:20">
      <c r="A563" s="34"/>
      <c r="B563" s="17">
        <f t="shared" si="8"/>
        <v>70315202</v>
      </c>
      <c r="C563" s="37" t="s">
        <v>580</v>
      </c>
      <c r="E563" s="3" t="str">
        <f>F563&amp;(VLOOKUP(G563,编号表!$E$1:$G$8,2,0))&amp;H563&amp;"_"&amp;I563&amp;"_"&amp;J563</f>
        <v>31N5_2_2</v>
      </c>
      <c r="F563" s="3">
        <v>31</v>
      </c>
      <c r="G563" s="3" t="s">
        <v>52</v>
      </c>
      <c r="H563" s="3">
        <v>5</v>
      </c>
      <c r="I563" s="3">
        <v>2</v>
      </c>
      <c r="J563" s="3">
        <v>2</v>
      </c>
      <c r="T563" s="18">
        <v>1043103</v>
      </c>
    </row>
    <row r="564" ht="12" customHeight="1" spans="1:20">
      <c r="A564" s="34"/>
      <c r="B564" s="17">
        <f t="shared" si="8"/>
        <v>70315203</v>
      </c>
      <c r="C564" s="37" t="s">
        <v>581</v>
      </c>
      <c r="E564" s="3" t="str">
        <f>F564&amp;(VLOOKUP(G564,编号表!$E$1:$G$8,2,0))&amp;H564&amp;"_"&amp;I564&amp;"_"&amp;J564</f>
        <v>31N5_2_3</v>
      </c>
      <c r="F564" s="3">
        <v>31</v>
      </c>
      <c r="G564" s="3" t="s">
        <v>52</v>
      </c>
      <c r="H564" s="3">
        <v>5</v>
      </c>
      <c r="I564" s="3">
        <v>2</v>
      </c>
      <c r="J564" s="3">
        <v>3</v>
      </c>
      <c r="T564" s="18">
        <v>1043103</v>
      </c>
    </row>
    <row r="565" ht="12" customHeight="1" spans="1:20">
      <c r="A565" s="34"/>
      <c r="B565" s="17">
        <f t="shared" si="8"/>
        <v>70315204</v>
      </c>
      <c r="C565" s="37" t="s">
        <v>582</v>
      </c>
      <c r="E565" s="3" t="str">
        <f>F565&amp;(VLOOKUP(G565,编号表!$E$1:$G$8,2,0))&amp;H565&amp;"_"&amp;I565&amp;"_"&amp;J565</f>
        <v>31N5_2_4</v>
      </c>
      <c r="F565" s="3">
        <v>31</v>
      </c>
      <c r="G565" s="3" t="s">
        <v>52</v>
      </c>
      <c r="H565" s="3">
        <v>5</v>
      </c>
      <c r="I565" s="3">
        <v>2</v>
      </c>
      <c r="J565" s="3">
        <v>4</v>
      </c>
      <c r="T565" s="18">
        <v>1043001</v>
      </c>
    </row>
    <row r="566" ht="12" customHeight="1" spans="1:20">
      <c r="A566" s="34"/>
      <c r="B566" s="17">
        <f t="shared" si="8"/>
        <v>70315205</v>
      </c>
      <c r="C566" s="37" t="s">
        <v>583</v>
      </c>
      <c r="E566" s="3" t="str">
        <f>F566&amp;(VLOOKUP(G566,编号表!$E$1:$G$8,2,0))&amp;H566&amp;"_"&amp;I566&amp;"_"&amp;J566</f>
        <v>31N5_2_5</v>
      </c>
      <c r="F566" s="3">
        <v>31</v>
      </c>
      <c r="G566" s="3" t="s">
        <v>52</v>
      </c>
      <c r="H566" s="3">
        <v>5</v>
      </c>
      <c r="I566" s="3">
        <v>2</v>
      </c>
      <c r="J566" s="3">
        <v>5</v>
      </c>
      <c r="T566" s="18">
        <v>1043404</v>
      </c>
    </row>
    <row r="567" ht="12" customHeight="1" spans="1:20">
      <c r="A567" s="34"/>
      <c r="B567" s="17">
        <f t="shared" si="8"/>
        <v>70315206</v>
      </c>
      <c r="C567" s="37" t="s">
        <v>584</v>
      </c>
      <c r="E567" s="3" t="str">
        <f>F567&amp;(VLOOKUP(G567,编号表!$E$1:$G$8,2,0))&amp;H567&amp;"_"&amp;I567&amp;"_"&amp;J567</f>
        <v>31N5_2_6</v>
      </c>
      <c r="F567" s="3">
        <v>31</v>
      </c>
      <c r="G567" s="3" t="s">
        <v>52</v>
      </c>
      <c r="H567" s="3">
        <v>5</v>
      </c>
      <c r="I567" s="3">
        <v>2</v>
      </c>
      <c r="J567" s="3">
        <v>6</v>
      </c>
      <c r="T567" s="18">
        <v>1043304</v>
      </c>
    </row>
    <row r="568" ht="15" spans="1:20">
      <c r="A568" s="34"/>
      <c r="B568" s="17">
        <f t="shared" si="8"/>
        <v>70315001</v>
      </c>
      <c r="C568" s="39" t="s">
        <v>585</v>
      </c>
      <c r="E568" s="3" t="str">
        <f>F568&amp;(VLOOKUP(G568,编号表!$E$1:$G$8,2,0))&amp;H568&amp;"_"&amp;I568&amp;"_"&amp;J568</f>
        <v>31J5_0_1</v>
      </c>
      <c r="F568" s="3">
        <v>31</v>
      </c>
      <c r="G568" s="3" t="s">
        <v>167</v>
      </c>
      <c r="H568" s="3">
        <v>5</v>
      </c>
      <c r="I568" s="3">
        <v>0</v>
      </c>
      <c r="J568" s="3">
        <v>1</v>
      </c>
      <c r="K568" s="3">
        <v>1</v>
      </c>
    </row>
    <row r="569" ht="15" spans="1:20">
      <c r="A569" s="34"/>
      <c r="B569" s="17">
        <f t="shared" si="8"/>
        <v>70311001</v>
      </c>
      <c r="C569" s="36" t="s">
        <v>586</v>
      </c>
      <c r="E569" s="3" t="str">
        <f>F569&amp;(VLOOKUP(G569,编号表!$E$1:$G$8,2,0))&amp;H569&amp;"_"&amp;I569&amp;"_"&amp;J569</f>
        <v>31T1_0_1</v>
      </c>
      <c r="F569" s="3">
        <v>31</v>
      </c>
      <c r="G569" s="3" t="s">
        <v>169</v>
      </c>
      <c r="H569" s="3">
        <v>1</v>
      </c>
      <c r="I569" s="3">
        <v>0</v>
      </c>
      <c r="J569" s="3">
        <v>1</v>
      </c>
      <c r="L569" s="3">
        <v>1</v>
      </c>
      <c r="R569" s="3">
        <v>70301002</v>
      </c>
    </row>
    <row r="570" ht="15" spans="1:20">
      <c r="A570" s="34"/>
      <c r="B570" s="17">
        <f t="shared" si="8"/>
        <v>70311002</v>
      </c>
      <c r="C570" s="36" t="s">
        <v>586</v>
      </c>
      <c r="E570" s="3" t="str">
        <f>F570&amp;(VLOOKUP(G570,编号表!$E$1:$G$8,2,0))&amp;H570&amp;"_"&amp;I570&amp;"_"&amp;J570</f>
        <v>31T1_0_2</v>
      </c>
      <c r="F570" s="3">
        <v>31</v>
      </c>
      <c r="G570" s="3" t="s">
        <v>169</v>
      </c>
      <c r="H570" s="3">
        <v>1</v>
      </c>
      <c r="I570" s="3">
        <v>0</v>
      </c>
      <c r="J570" s="3">
        <v>2</v>
      </c>
      <c r="L570" s="3">
        <v>1</v>
      </c>
      <c r="R570" s="3">
        <v>70321001</v>
      </c>
    </row>
    <row r="571" ht="15" spans="1:20">
      <c r="A571" s="34"/>
      <c r="B571" s="17">
        <f t="shared" si="8"/>
        <v>70312001</v>
      </c>
      <c r="C571" s="36" t="s">
        <v>587</v>
      </c>
      <c r="E571" s="3" t="str">
        <f>F571&amp;(VLOOKUP(G571,编号表!$E$1:$G$8,2,0))&amp;H571&amp;"_"&amp;I571&amp;"_"&amp;J571</f>
        <v>31D2_0_1</v>
      </c>
      <c r="F571" s="3">
        <v>31</v>
      </c>
      <c r="G571" s="3" t="s">
        <v>171</v>
      </c>
      <c r="H571" s="3">
        <v>2</v>
      </c>
      <c r="I571" s="3">
        <v>0</v>
      </c>
      <c r="J571" s="3">
        <v>1</v>
      </c>
      <c r="M571" s="3">
        <v>1</v>
      </c>
    </row>
    <row r="572" ht="12" customHeight="1" spans="1:20">
      <c r="A572" s="34"/>
      <c r="B572" s="17">
        <f t="shared" si="8"/>
        <v>70325101</v>
      </c>
      <c r="C572" s="37" t="s">
        <v>588</v>
      </c>
      <c r="E572" s="3" t="str">
        <f>F572&amp;(VLOOKUP(G572,编号表!$E$1:$G$8,2,0))&amp;H572&amp;"_"&amp;I572&amp;"_"&amp;J572</f>
        <v>32N5_1_1</v>
      </c>
      <c r="F572" s="3">
        <v>32</v>
      </c>
      <c r="G572" s="3" t="s">
        <v>52</v>
      </c>
      <c r="H572" s="3">
        <v>5</v>
      </c>
      <c r="I572" s="3">
        <v>1</v>
      </c>
      <c r="J572" s="3">
        <v>1</v>
      </c>
      <c r="T572" s="18">
        <v>1044304</v>
      </c>
    </row>
    <row r="573" ht="12" customHeight="1" spans="1:20">
      <c r="A573" s="34"/>
      <c r="B573" s="17">
        <f t="shared" si="8"/>
        <v>70325102</v>
      </c>
      <c r="C573" s="37" t="s">
        <v>589</v>
      </c>
      <c r="E573" s="3" t="str">
        <f>F573&amp;(VLOOKUP(G573,编号表!$E$1:$G$8,2,0))&amp;H573&amp;"_"&amp;I573&amp;"_"&amp;J573</f>
        <v>32N5_1_2</v>
      </c>
      <c r="F573" s="3">
        <v>32</v>
      </c>
      <c r="G573" s="3" t="s">
        <v>52</v>
      </c>
      <c r="H573" s="3">
        <v>5</v>
      </c>
      <c r="I573" s="3">
        <v>1</v>
      </c>
      <c r="J573" s="3">
        <v>2</v>
      </c>
      <c r="T573" s="18">
        <v>1044404</v>
      </c>
    </row>
    <row r="574" ht="12" customHeight="1" spans="1:20">
      <c r="A574" s="34"/>
      <c r="B574" s="17">
        <f t="shared" si="8"/>
        <v>70325103</v>
      </c>
      <c r="C574" s="37" t="s">
        <v>590</v>
      </c>
      <c r="E574" s="3" t="str">
        <f>F574&amp;(VLOOKUP(G574,编号表!$E$1:$G$8,2,0))&amp;H574&amp;"_"&amp;I574&amp;"_"&amp;J574</f>
        <v>32N5_1_3</v>
      </c>
      <c r="F574" s="3">
        <v>32</v>
      </c>
      <c r="G574" s="3" t="s">
        <v>52</v>
      </c>
      <c r="H574" s="3">
        <v>5</v>
      </c>
      <c r="I574" s="3">
        <v>1</v>
      </c>
      <c r="J574" s="3">
        <v>3</v>
      </c>
      <c r="T574" s="18">
        <v>1044304</v>
      </c>
    </row>
    <row r="575" ht="12" customHeight="1" spans="1:20">
      <c r="A575" s="34"/>
      <c r="B575" s="17">
        <f t="shared" si="8"/>
        <v>70325104</v>
      </c>
      <c r="C575" s="37" t="s">
        <v>591</v>
      </c>
      <c r="E575" s="3" t="str">
        <f>F575&amp;(VLOOKUP(G575,编号表!$E$1:$G$8,2,0))&amp;H575&amp;"_"&amp;I575&amp;"_"&amp;J575</f>
        <v>32N5_1_4</v>
      </c>
      <c r="F575" s="3">
        <v>32</v>
      </c>
      <c r="G575" s="3" t="s">
        <v>52</v>
      </c>
      <c r="H575" s="3">
        <v>5</v>
      </c>
      <c r="I575" s="3">
        <v>1</v>
      </c>
      <c r="J575" s="3">
        <v>4</v>
      </c>
      <c r="T575" s="18">
        <v>1044103</v>
      </c>
    </row>
    <row r="576" ht="12" customHeight="1" spans="1:20">
      <c r="A576" s="34"/>
      <c r="B576" s="17">
        <f t="shared" si="8"/>
        <v>70325201</v>
      </c>
      <c r="C576" s="37" t="s">
        <v>592</v>
      </c>
      <c r="E576" s="3" t="str">
        <f>F576&amp;(VLOOKUP(G576,编号表!$E$1:$G$8,2,0))&amp;H576&amp;"_"&amp;I576&amp;"_"&amp;J576</f>
        <v>32N5_2_1</v>
      </c>
      <c r="F576" s="3">
        <v>32</v>
      </c>
      <c r="G576" s="3" t="s">
        <v>52</v>
      </c>
      <c r="H576" s="3">
        <v>5</v>
      </c>
      <c r="I576" s="3">
        <v>2</v>
      </c>
      <c r="J576" s="3">
        <v>1</v>
      </c>
      <c r="T576" s="18">
        <v>1044404</v>
      </c>
    </row>
    <row r="577" ht="12" customHeight="1" spans="1:20">
      <c r="A577" s="34"/>
      <c r="B577" s="17">
        <f t="shared" si="8"/>
        <v>70325202</v>
      </c>
      <c r="C577" s="37" t="s">
        <v>593</v>
      </c>
      <c r="E577" s="3" t="str">
        <f>F577&amp;(VLOOKUP(G577,编号表!$E$1:$G$8,2,0))&amp;H577&amp;"_"&amp;I577&amp;"_"&amp;J577</f>
        <v>32N5_2_2</v>
      </c>
      <c r="F577" s="3">
        <v>32</v>
      </c>
      <c r="G577" s="3" t="s">
        <v>52</v>
      </c>
      <c r="H577" s="3">
        <v>5</v>
      </c>
      <c r="I577" s="3">
        <v>2</v>
      </c>
      <c r="J577" s="3">
        <v>2</v>
      </c>
      <c r="T577" s="18">
        <v>1044103</v>
      </c>
    </row>
    <row r="578" ht="12" customHeight="1" spans="1:20">
      <c r="A578" s="34"/>
      <c r="B578" s="17">
        <f t="shared" si="8"/>
        <v>70325203</v>
      </c>
      <c r="C578" s="37" t="s">
        <v>594</v>
      </c>
      <c r="E578" s="3" t="str">
        <f>F578&amp;(VLOOKUP(G578,编号表!$E$1:$G$8,2,0))&amp;H578&amp;"_"&amp;I578&amp;"_"&amp;J578</f>
        <v>32N5_2_3</v>
      </c>
      <c r="F578" s="3">
        <v>32</v>
      </c>
      <c r="G578" s="3" t="s">
        <v>52</v>
      </c>
      <c r="H578" s="3">
        <v>5</v>
      </c>
      <c r="I578" s="3">
        <v>2</v>
      </c>
      <c r="J578" s="3">
        <v>3</v>
      </c>
      <c r="T578" s="18">
        <v>1044304</v>
      </c>
    </row>
    <row r="579" ht="12" customHeight="1" spans="1:20">
      <c r="A579" s="34"/>
      <c r="B579" s="17">
        <f t="shared" si="8"/>
        <v>70325204</v>
      </c>
      <c r="C579" s="37" t="s">
        <v>595</v>
      </c>
      <c r="E579" s="3" t="str">
        <f>F579&amp;(VLOOKUP(G579,编号表!$E$1:$G$8,2,0))&amp;H579&amp;"_"&amp;I579&amp;"_"&amp;J579</f>
        <v>32N5_2_4</v>
      </c>
      <c r="F579" s="3">
        <v>32</v>
      </c>
      <c r="G579" s="3" t="s">
        <v>52</v>
      </c>
      <c r="H579" s="3">
        <v>5</v>
      </c>
      <c r="I579" s="3">
        <v>2</v>
      </c>
      <c r="J579" s="3">
        <v>4</v>
      </c>
      <c r="T579" s="18">
        <v>1044001</v>
      </c>
    </row>
    <row r="580" ht="12" customHeight="1" spans="1:20">
      <c r="A580" s="34"/>
      <c r="B580" s="17">
        <f t="shared" si="8"/>
        <v>70325301</v>
      </c>
      <c r="C580" s="37" t="s">
        <v>596</v>
      </c>
      <c r="E580" s="3" t="str">
        <f>F580&amp;(VLOOKUP(G580,编号表!$E$1:$G$8,2,0))&amp;H580&amp;"_"&amp;I580&amp;"_"&amp;J580</f>
        <v>32N5_3_1</v>
      </c>
      <c r="F580" s="3">
        <v>32</v>
      </c>
      <c r="G580" s="3" t="s">
        <v>52</v>
      </c>
      <c r="H580" s="3">
        <v>5</v>
      </c>
      <c r="I580" s="3">
        <v>3</v>
      </c>
      <c r="J580" s="3">
        <v>1</v>
      </c>
      <c r="T580" s="18">
        <v>1044404</v>
      </c>
    </row>
    <row r="581" ht="12" customHeight="1" spans="1:20">
      <c r="A581" s="34"/>
      <c r="B581" s="17">
        <f t="shared" ref="B581:B644" si="9">70000000+F581*10000+H581*1000+I581*100+J581</f>
        <v>70325302</v>
      </c>
      <c r="C581" s="37" t="s">
        <v>597</v>
      </c>
      <c r="E581" s="3" t="str">
        <f>F581&amp;(VLOOKUP(G581,编号表!$E$1:$G$8,2,0))&amp;H581&amp;"_"&amp;I581&amp;"_"&amp;J581</f>
        <v>32N5_3_2</v>
      </c>
      <c r="F581" s="3">
        <v>32</v>
      </c>
      <c r="G581" s="3" t="s">
        <v>52</v>
      </c>
      <c r="H581" s="3">
        <v>5</v>
      </c>
      <c r="I581" s="3">
        <v>3</v>
      </c>
      <c r="J581" s="3">
        <v>2</v>
      </c>
      <c r="T581" s="18">
        <v>1044304</v>
      </c>
    </row>
    <row r="582" ht="12" customHeight="1" spans="1:20">
      <c r="A582" s="34"/>
      <c r="B582" s="17">
        <f t="shared" si="9"/>
        <v>70325303</v>
      </c>
      <c r="C582" s="37" t="s">
        <v>597</v>
      </c>
      <c r="E582" s="3" t="str">
        <f>F582&amp;(VLOOKUP(G582,编号表!$E$1:$G$8,2,0))&amp;H582&amp;"_"&amp;I582&amp;"_"&amp;J582</f>
        <v>32N5_3_3</v>
      </c>
      <c r="F582" s="3">
        <v>32</v>
      </c>
      <c r="G582" s="3" t="s">
        <v>52</v>
      </c>
      <c r="H582" s="3">
        <v>5</v>
      </c>
      <c r="I582" s="3">
        <v>3</v>
      </c>
      <c r="J582" s="3">
        <v>3</v>
      </c>
      <c r="T582" s="18">
        <v>1044103</v>
      </c>
    </row>
    <row r="583" ht="12" customHeight="1" spans="1:20">
      <c r="A583" s="34"/>
      <c r="B583" s="17">
        <f t="shared" si="9"/>
        <v>70325304</v>
      </c>
      <c r="C583" s="37" t="s">
        <v>597</v>
      </c>
      <c r="E583" s="3" t="str">
        <f>F583&amp;(VLOOKUP(G583,编号表!$E$1:$G$8,2,0))&amp;H583&amp;"_"&amp;I583&amp;"_"&amp;J583</f>
        <v>32N5_3_4</v>
      </c>
      <c r="F583" s="3">
        <v>32</v>
      </c>
      <c r="G583" s="3" t="s">
        <v>52</v>
      </c>
      <c r="H583" s="3">
        <v>5</v>
      </c>
      <c r="I583" s="3">
        <v>3</v>
      </c>
      <c r="J583" s="3">
        <v>4</v>
      </c>
      <c r="T583" s="18">
        <v>1044404</v>
      </c>
    </row>
    <row r="584" ht="15" spans="1:20">
      <c r="A584" s="34"/>
      <c r="B584" s="17">
        <f t="shared" si="9"/>
        <v>70325001</v>
      </c>
      <c r="C584" s="39" t="s">
        <v>598</v>
      </c>
      <c r="E584" s="3" t="str">
        <f>F584&amp;(VLOOKUP(G584,编号表!$E$1:$G$8,2,0))&amp;H584&amp;"_"&amp;I584&amp;"_"&amp;J584</f>
        <v>32J5_0_1</v>
      </c>
      <c r="F584" s="3">
        <v>32</v>
      </c>
      <c r="G584" s="3" t="s">
        <v>167</v>
      </c>
      <c r="H584" s="3">
        <v>5</v>
      </c>
      <c r="I584" s="3">
        <v>0</v>
      </c>
      <c r="J584" s="3">
        <v>1</v>
      </c>
      <c r="K584" s="3">
        <v>1</v>
      </c>
    </row>
    <row r="585" ht="15" spans="1:20">
      <c r="A585" s="34"/>
      <c r="B585" s="17">
        <f t="shared" si="9"/>
        <v>70321001</v>
      </c>
      <c r="C585" s="36" t="s">
        <v>599</v>
      </c>
      <c r="E585" s="3" t="str">
        <f>F585&amp;(VLOOKUP(G585,编号表!$E$1:$G$8,2,0))&amp;H585&amp;"_"&amp;I585&amp;"_"&amp;J585</f>
        <v>32T1_0_1</v>
      </c>
      <c r="F585" s="3">
        <v>32</v>
      </c>
      <c r="G585" s="3" t="s">
        <v>169</v>
      </c>
      <c r="H585" s="3">
        <v>1</v>
      </c>
      <c r="I585" s="3">
        <v>0</v>
      </c>
      <c r="J585" s="3">
        <v>1</v>
      </c>
      <c r="L585" s="3">
        <v>1</v>
      </c>
      <c r="R585" s="3">
        <v>70311002</v>
      </c>
    </row>
    <row r="586" ht="15" spans="1:20">
      <c r="A586" s="34"/>
      <c r="B586" s="17">
        <f t="shared" si="9"/>
        <v>70321002</v>
      </c>
      <c r="C586" s="36" t="s">
        <v>599</v>
      </c>
      <c r="E586" s="3" t="str">
        <f>F586&amp;(VLOOKUP(G586,编号表!$E$1:$G$8,2,0))&amp;H586&amp;"_"&amp;I586&amp;"_"&amp;J586</f>
        <v>32T1_0_2</v>
      </c>
      <c r="F586" s="3">
        <v>32</v>
      </c>
      <c r="G586" s="3" t="s">
        <v>169</v>
      </c>
      <c r="H586" s="3">
        <v>1</v>
      </c>
      <c r="I586" s="3">
        <v>0</v>
      </c>
      <c r="J586" s="3">
        <v>2</v>
      </c>
      <c r="L586" s="3">
        <v>1</v>
      </c>
      <c r="R586" s="3">
        <v>70331001</v>
      </c>
    </row>
    <row r="587" ht="15" spans="1:20">
      <c r="A587" s="34"/>
      <c r="B587" s="17">
        <f t="shared" si="9"/>
        <v>70322001</v>
      </c>
      <c r="C587" s="36" t="s">
        <v>600</v>
      </c>
      <c r="E587" s="3" t="str">
        <f>F587&amp;(VLOOKUP(G587,编号表!$E$1:$G$8,2,0))&amp;H587&amp;"_"&amp;I587&amp;"_"&amp;J587</f>
        <v>32D2_0_1</v>
      </c>
      <c r="F587" s="3">
        <v>32</v>
      </c>
      <c r="G587" s="3" t="s">
        <v>171</v>
      </c>
      <c r="H587" s="3">
        <v>2</v>
      </c>
      <c r="I587" s="3">
        <v>0</v>
      </c>
      <c r="J587" s="3">
        <v>1</v>
      </c>
      <c r="M587" s="3">
        <v>1</v>
      </c>
    </row>
    <row r="588" ht="12" customHeight="1" spans="1:20">
      <c r="A588" s="34"/>
      <c r="B588" s="17">
        <f t="shared" si="9"/>
        <v>70335101</v>
      </c>
      <c r="C588" s="37" t="s">
        <v>601</v>
      </c>
      <c r="E588" s="3" t="str">
        <f>F588&amp;(VLOOKUP(G588,编号表!$E$1:$G$8,2,0))&amp;H588&amp;"_"&amp;I588&amp;"_"&amp;J588</f>
        <v>33C5_1_1</v>
      </c>
      <c r="F588" s="3">
        <v>33</v>
      </c>
      <c r="G588" s="3" t="s">
        <v>268</v>
      </c>
      <c r="H588" s="3">
        <v>5</v>
      </c>
      <c r="I588" s="3">
        <v>1</v>
      </c>
      <c r="J588" s="3">
        <v>1</v>
      </c>
    </row>
    <row r="589" ht="12" customHeight="1" spans="1:20">
      <c r="A589" s="34"/>
      <c r="B589" s="17">
        <f t="shared" si="9"/>
        <v>70335102</v>
      </c>
      <c r="C589" s="37" t="s">
        <v>602</v>
      </c>
      <c r="E589" s="3" t="str">
        <f>F589&amp;(VLOOKUP(G589,编号表!$E$1:$G$8,2,0))&amp;H589&amp;"_"&amp;I589&amp;"_"&amp;J589</f>
        <v>33C5_1_2</v>
      </c>
      <c r="F589" s="3">
        <v>33</v>
      </c>
      <c r="G589" s="3" t="s">
        <v>268</v>
      </c>
      <c r="H589" s="3">
        <v>5</v>
      </c>
      <c r="I589" s="3">
        <v>1</v>
      </c>
      <c r="J589" s="3">
        <v>2</v>
      </c>
      <c r="T589" s="18">
        <v>1045304</v>
      </c>
    </row>
    <row r="590" ht="12" customHeight="1" spans="1:20">
      <c r="A590" s="34"/>
      <c r="B590" s="17">
        <f t="shared" si="9"/>
        <v>70335103</v>
      </c>
      <c r="C590" s="37" t="s">
        <v>603</v>
      </c>
      <c r="E590" s="3" t="str">
        <f>F590&amp;(VLOOKUP(G590,编号表!$E$1:$G$8,2,0))&amp;H590&amp;"_"&amp;I590&amp;"_"&amp;J590</f>
        <v>33C5_1_3</v>
      </c>
      <c r="F590" s="3">
        <v>33</v>
      </c>
      <c r="G590" s="3" t="s">
        <v>268</v>
      </c>
      <c r="H590" s="3">
        <v>5</v>
      </c>
      <c r="I590" s="3">
        <v>1</v>
      </c>
      <c r="J590" s="3">
        <v>3</v>
      </c>
    </row>
    <row r="591" ht="12" customHeight="1" spans="1:20">
      <c r="A591" s="34"/>
      <c r="B591" s="17">
        <f t="shared" si="9"/>
        <v>70335201</v>
      </c>
      <c r="C591" s="37" t="s">
        <v>604</v>
      </c>
      <c r="E591" s="3" t="str">
        <f>F591&amp;(VLOOKUP(G591,编号表!$E$1:$G$8,2,0))&amp;H591&amp;"_"&amp;I591&amp;"_"&amp;J591</f>
        <v>33C5_2_1</v>
      </c>
      <c r="F591" s="3">
        <v>33</v>
      </c>
      <c r="G591" s="3" t="s">
        <v>268</v>
      </c>
      <c r="H591" s="3">
        <v>5</v>
      </c>
      <c r="I591" s="3">
        <v>2</v>
      </c>
      <c r="J591" s="3">
        <v>1</v>
      </c>
    </row>
    <row r="592" ht="12" customHeight="1" spans="1:20">
      <c r="A592" s="34"/>
      <c r="B592" s="17">
        <f t="shared" si="9"/>
        <v>70335202</v>
      </c>
      <c r="C592" s="37" t="s">
        <v>605</v>
      </c>
      <c r="E592" s="3" t="str">
        <f>F592&amp;(VLOOKUP(G592,编号表!$E$1:$G$8,2,0))&amp;H592&amp;"_"&amp;I592&amp;"_"&amp;J592</f>
        <v>33C5_2_2</v>
      </c>
      <c r="F592" s="3">
        <v>33</v>
      </c>
      <c r="G592" s="3" t="s">
        <v>268</v>
      </c>
      <c r="H592" s="3">
        <v>5</v>
      </c>
      <c r="I592" s="3">
        <v>2</v>
      </c>
      <c r="J592" s="3">
        <v>2</v>
      </c>
      <c r="T592" s="18">
        <v>1045304</v>
      </c>
    </row>
    <row r="593" ht="12" customHeight="1" spans="1:20">
      <c r="A593" s="34"/>
      <c r="B593" s="17">
        <f t="shared" si="9"/>
        <v>70335203</v>
      </c>
      <c r="C593" s="37" t="s">
        <v>606</v>
      </c>
      <c r="E593" s="3" t="str">
        <f>F593&amp;(VLOOKUP(G593,编号表!$E$1:$G$8,2,0))&amp;H593&amp;"_"&amp;I593&amp;"_"&amp;J593</f>
        <v>33C5_2_3</v>
      </c>
      <c r="F593" s="3">
        <v>33</v>
      </c>
      <c r="G593" s="3" t="s">
        <v>268</v>
      </c>
      <c r="H593" s="3">
        <v>5</v>
      </c>
      <c r="I593" s="3">
        <v>2</v>
      </c>
      <c r="J593" s="3">
        <v>3</v>
      </c>
    </row>
    <row r="594" ht="15" spans="1:20">
      <c r="A594" s="34"/>
      <c r="B594" s="17">
        <f t="shared" si="9"/>
        <v>70335001</v>
      </c>
      <c r="C594" s="39" t="s">
        <v>607</v>
      </c>
      <c r="E594" s="3" t="str">
        <f>F594&amp;(VLOOKUP(G594,编号表!$E$1:$G$8,2,0))&amp;H594&amp;"_"&amp;I594&amp;"_"&amp;J594</f>
        <v>33J5_0_1</v>
      </c>
      <c r="F594" s="3">
        <v>33</v>
      </c>
      <c r="G594" s="3" t="s">
        <v>167</v>
      </c>
      <c r="H594" s="3">
        <v>5</v>
      </c>
      <c r="I594" s="3">
        <v>0</v>
      </c>
      <c r="J594" s="3">
        <v>1</v>
      </c>
      <c r="K594" s="3">
        <v>1</v>
      </c>
    </row>
    <row r="595" ht="15" spans="1:20">
      <c r="A595" s="34"/>
      <c r="B595" s="17">
        <f t="shared" si="9"/>
        <v>70331001</v>
      </c>
      <c r="C595" s="36" t="s">
        <v>608</v>
      </c>
      <c r="E595" s="3" t="str">
        <f>F595&amp;(VLOOKUP(G595,编号表!$E$1:$G$8,2,0))&amp;H595&amp;"_"&amp;I595&amp;"_"&amp;J595</f>
        <v>33T1_0_1</v>
      </c>
      <c r="F595" s="3">
        <v>33</v>
      </c>
      <c r="G595" s="3" t="s">
        <v>169</v>
      </c>
      <c r="H595" s="3">
        <v>1</v>
      </c>
      <c r="I595" s="3">
        <v>0</v>
      </c>
      <c r="J595" s="3">
        <v>1</v>
      </c>
      <c r="L595" s="3">
        <v>1</v>
      </c>
      <c r="R595" s="3">
        <v>70321002</v>
      </c>
    </row>
    <row r="596" ht="15" spans="1:20">
      <c r="A596" s="34"/>
      <c r="B596" s="17">
        <f t="shared" si="9"/>
        <v>70331002</v>
      </c>
      <c r="C596" s="36" t="s">
        <v>608</v>
      </c>
      <c r="E596" s="3" t="str">
        <f>F596&amp;(VLOOKUP(G596,编号表!$E$1:$G$8,2,0))&amp;H596&amp;"_"&amp;I596&amp;"_"&amp;J596</f>
        <v>33T1_0_2</v>
      </c>
      <c r="F596" s="3">
        <v>33</v>
      </c>
      <c r="G596" s="3" t="s">
        <v>169</v>
      </c>
      <c r="H596" s="3">
        <v>1</v>
      </c>
      <c r="I596" s="3">
        <v>0</v>
      </c>
      <c r="J596" s="3">
        <v>2</v>
      </c>
      <c r="L596" s="3">
        <v>1</v>
      </c>
      <c r="R596" s="3">
        <v>70341001</v>
      </c>
    </row>
    <row r="597" ht="15" spans="1:20">
      <c r="A597" s="34"/>
      <c r="B597" s="17">
        <f t="shared" si="9"/>
        <v>70332001</v>
      </c>
      <c r="C597" s="36" t="s">
        <v>609</v>
      </c>
      <c r="E597" s="3" t="str">
        <f>F597&amp;(VLOOKUP(G597,编号表!$E$1:$G$8,2,0))&amp;H597&amp;"_"&amp;I597&amp;"_"&amp;J597</f>
        <v>33D2_0_1</v>
      </c>
      <c r="F597" s="3">
        <v>33</v>
      </c>
      <c r="G597" s="3" t="s">
        <v>171</v>
      </c>
      <c r="H597" s="3">
        <v>2</v>
      </c>
      <c r="I597" s="3">
        <v>0</v>
      </c>
      <c r="J597" s="3">
        <v>1</v>
      </c>
      <c r="M597" s="3">
        <v>1</v>
      </c>
    </row>
    <row r="598" ht="12" customHeight="1" spans="1:20">
      <c r="A598" s="34"/>
      <c r="B598" s="17">
        <f t="shared" si="9"/>
        <v>70345101</v>
      </c>
      <c r="C598" s="37" t="s">
        <v>610</v>
      </c>
      <c r="E598" s="3" t="str">
        <f>F598&amp;(VLOOKUP(G598,编号表!$E$1:$G$8,2,0))&amp;H598&amp;"_"&amp;I598&amp;"_"&amp;J598</f>
        <v>34C5_1_1</v>
      </c>
      <c r="F598" s="3">
        <v>34</v>
      </c>
      <c r="G598" s="3" t="s">
        <v>268</v>
      </c>
      <c r="H598" s="3">
        <v>5</v>
      </c>
      <c r="I598" s="3">
        <v>1</v>
      </c>
      <c r="J598" s="3">
        <v>1</v>
      </c>
      <c r="T598" s="18">
        <v>1046304</v>
      </c>
    </row>
    <row r="599" ht="12" customHeight="1" spans="1:20">
      <c r="A599" s="34"/>
      <c r="B599" s="17">
        <f t="shared" si="9"/>
        <v>70345102</v>
      </c>
      <c r="C599" s="37" t="s">
        <v>611</v>
      </c>
      <c r="E599" s="3" t="str">
        <f>F599&amp;(VLOOKUP(G599,编号表!$E$1:$G$8,2,0))&amp;H599&amp;"_"&amp;I599&amp;"_"&amp;J599</f>
        <v>34C5_1_2</v>
      </c>
      <c r="F599" s="3">
        <v>34</v>
      </c>
      <c r="G599" s="3" t="s">
        <v>268</v>
      </c>
      <c r="H599" s="3">
        <v>5</v>
      </c>
      <c r="I599" s="3">
        <v>1</v>
      </c>
      <c r="J599" s="3">
        <v>2</v>
      </c>
    </row>
    <row r="600" ht="12" customHeight="1" spans="1:20">
      <c r="A600" s="34"/>
      <c r="B600" s="17">
        <f t="shared" si="9"/>
        <v>70345103</v>
      </c>
      <c r="C600" s="37" t="s">
        <v>612</v>
      </c>
      <c r="E600" s="3" t="str">
        <f>F600&amp;(VLOOKUP(G600,编号表!$E$1:$G$8,2,0))&amp;H600&amp;"_"&amp;I600&amp;"_"&amp;J600</f>
        <v>34C5_1_3</v>
      </c>
      <c r="F600" s="3">
        <v>34</v>
      </c>
      <c r="G600" s="3" t="s">
        <v>268</v>
      </c>
      <c r="H600" s="3">
        <v>5</v>
      </c>
      <c r="I600" s="3">
        <v>1</v>
      </c>
      <c r="J600" s="3">
        <v>3</v>
      </c>
    </row>
    <row r="601" ht="12" customHeight="1" spans="1:20">
      <c r="A601" s="34"/>
      <c r="B601" s="17">
        <f t="shared" si="9"/>
        <v>70345104</v>
      </c>
      <c r="C601" s="37" t="s">
        <v>613</v>
      </c>
      <c r="E601" s="3" t="str">
        <f>F601&amp;(VLOOKUP(G601,编号表!$E$1:$G$8,2,0))&amp;H601&amp;"_"&amp;I601&amp;"_"&amp;J601</f>
        <v>34C5_1_4</v>
      </c>
      <c r="F601" s="3">
        <v>34</v>
      </c>
      <c r="G601" s="3" t="s">
        <v>268</v>
      </c>
      <c r="H601" s="3">
        <v>5</v>
      </c>
      <c r="I601" s="3">
        <v>1</v>
      </c>
      <c r="J601" s="3">
        <v>4</v>
      </c>
    </row>
    <row r="602" ht="12" customHeight="1" spans="1:20">
      <c r="A602" s="34"/>
      <c r="B602" s="17">
        <f t="shared" si="9"/>
        <v>70345201</v>
      </c>
      <c r="C602" s="37" t="s">
        <v>614</v>
      </c>
      <c r="E602" s="3" t="str">
        <f>F602&amp;(VLOOKUP(G602,编号表!$E$1:$G$8,2,0))&amp;H602&amp;"_"&amp;I602&amp;"_"&amp;J602</f>
        <v>34C5_2_1</v>
      </c>
      <c r="F602" s="3">
        <v>34</v>
      </c>
      <c r="G602" s="3" t="s">
        <v>268</v>
      </c>
      <c r="H602" s="3">
        <v>5</v>
      </c>
      <c r="I602" s="3">
        <v>2</v>
      </c>
      <c r="J602" s="3">
        <v>1</v>
      </c>
    </row>
    <row r="603" ht="12" customHeight="1" spans="1:20">
      <c r="A603" s="34"/>
      <c r="B603" s="17">
        <f t="shared" si="9"/>
        <v>70345202</v>
      </c>
      <c r="C603" s="37" t="s">
        <v>615</v>
      </c>
      <c r="E603" s="3" t="str">
        <f>F603&amp;(VLOOKUP(G603,编号表!$E$1:$G$8,2,0))&amp;H603&amp;"_"&amp;I603&amp;"_"&amp;J603</f>
        <v>34C5_2_2</v>
      </c>
      <c r="F603" s="3">
        <v>34</v>
      </c>
      <c r="G603" s="3" t="s">
        <v>268</v>
      </c>
      <c r="H603" s="3">
        <v>5</v>
      </c>
      <c r="I603" s="3">
        <v>2</v>
      </c>
      <c r="J603" s="3">
        <v>2</v>
      </c>
    </row>
    <row r="604" ht="12" customHeight="1" spans="1:20">
      <c r="A604" s="34"/>
      <c r="B604" s="17">
        <f t="shared" si="9"/>
        <v>70345203</v>
      </c>
      <c r="C604" s="37" t="s">
        <v>616</v>
      </c>
      <c r="E604" s="3" t="str">
        <f>F604&amp;(VLOOKUP(G604,编号表!$E$1:$G$8,2,0))&amp;H604&amp;"_"&amp;I604&amp;"_"&amp;J604</f>
        <v>34C5_2_3</v>
      </c>
      <c r="F604" s="3">
        <v>34</v>
      </c>
      <c r="G604" s="3" t="s">
        <v>268</v>
      </c>
      <c r="H604" s="3">
        <v>5</v>
      </c>
      <c r="I604" s="3">
        <v>2</v>
      </c>
      <c r="J604" s="3">
        <v>3</v>
      </c>
      <c r="T604" s="18">
        <v>1046304</v>
      </c>
    </row>
    <row r="605" ht="15" spans="1:20">
      <c r="A605" s="34"/>
      <c r="B605" s="17">
        <f t="shared" si="9"/>
        <v>70345001</v>
      </c>
      <c r="C605" s="39" t="s">
        <v>617</v>
      </c>
      <c r="E605" s="3" t="str">
        <f>F605&amp;(VLOOKUP(G605,编号表!$E$1:$G$8,2,0))&amp;H605&amp;"_"&amp;I605&amp;"_"&amp;J605</f>
        <v>34J5_0_1</v>
      </c>
      <c r="F605" s="3">
        <v>34</v>
      </c>
      <c r="G605" s="3" t="s">
        <v>167</v>
      </c>
      <c r="H605" s="3">
        <v>5</v>
      </c>
      <c r="I605" s="3">
        <v>0</v>
      </c>
      <c r="J605" s="3">
        <v>1</v>
      </c>
      <c r="K605" s="3">
        <v>1</v>
      </c>
    </row>
    <row r="606" ht="15" spans="1:20">
      <c r="A606" s="34"/>
      <c r="B606" s="17">
        <f t="shared" si="9"/>
        <v>70341001</v>
      </c>
      <c r="C606" s="36" t="s">
        <v>618</v>
      </c>
      <c r="E606" s="3" t="str">
        <f>F606&amp;(VLOOKUP(G606,编号表!$E$1:$G$8,2,0))&amp;H606&amp;"_"&amp;I606&amp;"_"&amp;J606</f>
        <v>34T1_0_1</v>
      </c>
      <c r="F606" s="3">
        <v>34</v>
      </c>
      <c r="G606" s="3" t="s">
        <v>169</v>
      </c>
      <c r="H606" s="3">
        <v>1</v>
      </c>
      <c r="I606" s="3">
        <v>0</v>
      </c>
      <c r="J606" s="3">
        <v>1</v>
      </c>
      <c r="L606" s="3">
        <v>1</v>
      </c>
      <c r="R606" s="3">
        <v>70331002</v>
      </c>
    </row>
    <row r="607" ht="15" spans="1:20">
      <c r="A607" s="34"/>
      <c r="B607" s="17">
        <f t="shared" si="9"/>
        <v>70341002</v>
      </c>
      <c r="C607" s="36" t="s">
        <v>618</v>
      </c>
      <c r="E607" s="3" t="str">
        <f>F607&amp;(VLOOKUP(G607,编号表!$E$1:$G$8,2,0))&amp;H607&amp;"_"&amp;I607&amp;"_"&amp;J607</f>
        <v>34T1_0_2</v>
      </c>
      <c r="F607" s="3">
        <v>34</v>
      </c>
      <c r="G607" s="3" t="s">
        <v>169</v>
      </c>
      <c r="H607" s="3">
        <v>1</v>
      </c>
      <c r="I607" s="3">
        <v>0</v>
      </c>
      <c r="J607" s="3">
        <v>2</v>
      </c>
      <c r="L607" s="3">
        <v>1</v>
      </c>
      <c r="R607" s="3">
        <v>70351001</v>
      </c>
    </row>
    <row r="608" ht="15" spans="1:20">
      <c r="A608" s="34"/>
      <c r="B608" s="17">
        <f t="shared" si="9"/>
        <v>70342001</v>
      </c>
      <c r="C608" s="36" t="s">
        <v>619</v>
      </c>
      <c r="E608" s="3" t="str">
        <f>F608&amp;(VLOOKUP(G608,编号表!$E$1:$G$8,2,0))&amp;H608&amp;"_"&amp;I608&amp;"_"&amp;J608</f>
        <v>34D2_0_1</v>
      </c>
      <c r="F608" s="3">
        <v>34</v>
      </c>
      <c r="G608" s="3" t="s">
        <v>171</v>
      </c>
      <c r="H608" s="3">
        <v>2</v>
      </c>
      <c r="I608" s="3">
        <v>0</v>
      </c>
      <c r="J608" s="3">
        <v>1</v>
      </c>
      <c r="M608" s="3">
        <v>1</v>
      </c>
    </row>
    <row r="609" ht="12" customHeight="1" spans="1:20">
      <c r="A609" s="34"/>
      <c r="B609" s="17">
        <f t="shared" si="9"/>
        <v>70355101</v>
      </c>
      <c r="C609" s="37" t="s">
        <v>620</v>
      </c>
      <c r="E609" s="3" t="str">
        <f>F609&amp;(VLOOKUP(G609,编号表!$E$1:$G$8,2,0))&amp;H609&amp;"_"&amp;I609&amp;"_"&amp;J609</f>
        <v>35N5_1_1</v>
      </c>
      <c r="F609" s="3">
        <v>35</v>
      </c>
      <c r="G609" s="3" t="s">
        <v>52</v>
      </c>
      <c r="H609" s="3">
        <v>5</v>
      </c>
      <c r="I609" s="3">
        <v>1</v>
      </c>
      <c r="J609" s="3">
        <v>1</v>
      </c>
      <c r="T609" s="18">
        <v>1047304</v>
      </c>
    </row>
    <row r="610" ht="12" customHeight="1" spans="1:20">
      <c r="A610" s="34"/>
      <c r="B610" s="17">
        <f t="shared" si="9"/>
        <v>70355102</v>
      </c>
      <c r="C610" s="37" t="s">
        <v>621</v>
      </c>
      <c r="E610" s="3" t="str">
        <f>F610&amp;(VLOOKUP(G610,编号表!$E$1:$G$8,2,0))&amp;H610&amp;"_"&amp;I610&amp;"_"&amp;J610</f>
        <v>35N5_1_2</v>
      </c>
      <c r="F610" s="3">
        <v>35</v>
      </c>
      <c r="G610" s="3" t="s">
        <v>52</v>
      </c>
      <c r="H610" s="3">
        <v>5</v>
      </c>
      <c r="I610" s="3">
        <v>1</v>
      </c>
      <c r="J610" s="3">
        <v>2</v>
      </c>
      <c r="T610" s="18">
        <v>1047404</v>
      </c>
    </row>
    <row r="611" ht="12" customHeight="1" spans="1:20">
      <c r="A611" s="34"/>
      <c r="B611" s="17">
        <f t="shared" si="9"/>
        <v>70355103</v>
      </c>
      <c r="C611" s="37" t="s">
        <v>622</v>
      </c>
      <c r="E611" s="3" t="str">
        <f>F611&amp;(VLOOKUP(G611,编号表!$E$1:$G$8,2,0))&amp;H611&amp;"_"&amp;I611&amp;"_"&amp;J611</f>
        <v>35N5_1_3</v>
      </c>
      <c r="F611" s="3">
        <v>35</v>
      </c>
      <c r="G611" s="3" t="s">
        <v>52</v>
      </c>
      <c r="H611" s="3">
        <v>5</v>
      </c>
      <c r="I611" s="3">
        <v>1</v>
      </c>
      <c r="J611" s="3">
        <v>3</v>
      </c>
      <c r="T611" s="18">
        <v>1047504</v>
      </c>
    </row>
    <row r="612" ht="12" customHeight="1" spans="1:20">
      <c r="A612" s="34"/>
      <c r="B612" s="17">
        <f t="shared" si="9"/>
        <v>70355201</v>
      </c>
      <c r="C612" s="37" t="s">
        <v>623</v>
      </c>
      <c r="E612" s="3" t="str">
        <f>F612&amp;(VLOOKUP(G612,编号表!$E$1:$G$8,2,0))&amp;H612&amp;"_"&amp;I612&amp;"_"&amp;J612</f>
        <v>35N5_2_1</v>
      </c>
      <c r="F612" s="3">
        <v>35</v>
      </c>
      <c r="G612" s="3" t="s">
        <v>52</v>
      </c>
      <c r="H612" s="3">
        <v>5</v>
      </c>
      <c r="I612" s="3">
        <v>2</v>
      </c>
      <c r="J612" s="3">
        <v>1</v>
      </c>
      <c r="T612" s="18">
        <v>1047304</v>
      </c>
    </row>
    <row r="613" ht="12" customHeight="1" spans="1:20">
      <c r="A613" s="34"/>
      <c r="B613" s="17">
        <f t="shared" si="9"/>
        <v>70355202</v>
      </c>
      <c r="C613" s="37" t="s">
        <v>624</v>
      </c>
      <c r="E613" s="3" t="str">
        <f>F613&amp;(VLOOKUP(G613,编号表!$E$1:$G$8,2,0))&amp;H613&amp;"_"&amp;I613&amp;"_"&amp;J613</f>
        <v>35N5_2_2</v>
      </c>
      <c r="F613" s="3">
        <v>35</v>
      </c>
      <c r="G613" s="3" t="s">
        <v>52</v>
      </c>
      <c r="H613" s="3">
        <v>5</v>
      </c>
      <c r="I613" s="3">
        <v>2</v>
      </c>
      <c r="J613" s="3">
        <v>2</v>
      </c>
      <c r="T613" s="18">
        <v>1047404</v>
      </c>
    </row>
    <row r="614" ht="12" customHeight="1" spans="1:20">
      <c r="A614" s="34"/>
      <c r="B614" s="17">
        <f t="shared" si="9"/>
        <v>70355203</v>
      </c>
      <c r="C614" s="37" t="s">
        <v>625</v>
      </c>
      <c r="E614" s="3" t="str">
        <f>F614&amp;(VLOOKUP(G614,编号表!$E$1:$G$8,2,0))&amp;H614&amp;"_"&amp;I614&amp;"_"&amp;J614</f>
        <v>35N5_2_3</v>
      </c>
      <c r="F614" s="3">
        <v>35</v>
      </c>
      <c r="G614" s="3" t="s">
        <v>52</v>
      </c>
      <c r="H614" s="3">
        <v>5</v>
      </c>
      <c r="I614" s="3">
        <v>2</v>
      </c>
      <c r="J614" s="3">
        <v>3</v>
      </c>
      <c r="T614" s="18">
        <v>1047504</v>
      </c>
    </row>
    <row r="615" ht="12" customHeight="1" spans="1:20">
      <c r="A615" s="34"/>
      <c r="B615" s="17">
        <f t="shared" si="9"/>
        <v>70355204</v>
      </c>
      <c r="C615" s="37" t="s">
        <v>626</v>
      </c>
      <c r="E615" s="3" t="str">
        <f>F615&amp;(VLOOKUP(G615,编号表!$E$1:$G$8,2,0))&amp;H615&amp;"_"&amp;I615&amp;"_"&amp;J615</f>
        <v>35N5_2_4</v>
      </c>
      <c r="F615" s="3">
        <v>35</v>
      </c>
      <c r="G615" s="3" t="s">
        <v>52</v>
      </c>
      <c r="H615" s="3">
        <v>5</v>
      </c>
      <c r="I615" s="3">
        <v>2</v>
      </c>
      <c r="J615" s="3">
        <v>4</v>
      </c>
      <c r="T615" s="18">
        <v>1047304</v>
      </c>
    </row>
    <row r="616" ht="12" customHeight="1" spans="1:20">
      <c r="A616" s="34"/>
      <c r="B616" s="17">
        <f t="shared" si="9"/>
        <v>70355301</v>
      </c>
      <c r="C616" s="37" t="s">
        <v>627</v>
      </c>
      <c r="E616" s="3" t="str">
        <f>F616&amp;(VLOOKUP(G616,编号表!$E$1:$G$8,2,0))&amp;H616&amp;"_"&amp;I616&amp;"_"&amp;J616</f>
        <v>35N5_3_1</v>
      </c>
      <c r="F616" s="3">
        <v>35</v>
      </c>
      <c r="G616" s="3" t="s">
        <v>52</v>
      </c>
      <c r="H616" s="3">
        <v>5</v>
      </c>
      <c r="I616" s="3">
        <v>3</v>
      </c>
      <c r="J616" s="3">
        <v>1</v>
      </c>
      <c r="T616" s="18">
        <v>1047404</v>
      </c>
    </row>
    <row r="617" ht="12" customHeight="1" spans="1:20">
      <c r="A617" s="34"/>
      <c r="B617" s="17">
        <f t="shared" si="9"/>
        <v>70355302</v>
      </c>
      <c r="C617" s="37" t="s">
        <v>628</v>
      </c>
      <c r="E617" s="3" t="str">
        <f>F617&amp;(VLOOKUP(G617,编号表!$E$1:$G$8,2,0))&amp;H617&amp;"_"&amp;I617&amp;"_"&amp;J617</f>
        <v>35N5_3_2</v>
      </c>
      <c r="F617" s="3">
        <v>35</v>
      </c>
      <c r="G617" s="3" t="s">
        <v>52</v>
      </c>
      <c r="H617" s="3">
        <v>5</v>
      </c>
      <c r="I617" s="3">
        <v>3</v>
      </c>
      <c r="J617" s="3">
        <v>2</v>
      </c>
      <c r="T617" s="18">
        <v>1047504</v>
      </c>
    </row>
    <row r="618" ht="12" customHeight="1" spans="1:20">
      <c r="A618" s="34"/>
      <c r="B618" s="17">
        <f t="shared" si="9"/>
        <v>70355303</v>
      </c>
      <c r="C618" s="37" t="s">
        <v>629</v>
      </c>
      <c r="E618" s="3" t="str">
        <f>F618&amp;(VLOOKUP(G618,编号表!$E$1:$G$8,2,0))&amp;H618&amp;"_"&amp;I618&amp;"_"&amp;J618</f>
        <v>35N5_3_3</v>
      </c>
      <c r="F618" s="3">
        <v>35</v>
      </c>
      <c r="G618" s="3" t="s">
        <v>52</v>
      </c>
      <c r="H618" s="3">
        <v>5</v>
      </c>
      <c r="I618" s="3">
        <v>3</v>
      </c>
      <c r="J618" s="3">
        <v>3</v>
      </c>
      <c r="T618" s="18">
        <v>1047304</v>
      </c>
    </row>
    <row r="619" ht="15" spans="1:20">
      <c r="A619" s="34"/>
      <c r="B619" s="17">
        <f t="shared" si="9"/>
        <v>70355001</v>
      </c>
      <c r="C619" s="39" t="s">
        <v>630</v>
      </c>
      <c r="E619" s="3" t="str">
        <f>F619&amp;(VLOOKUP(G619,编号表!$E$1:$G$8,2,0))&amp;H619&amp;"_"&amp;I619&amp;"_"&amp;J619</f>
        <v>35J5_0_1</v>
      </c>
      <c r="F619" s="3">
        <v>35</v>
      </c>
      <c r="G619" s="3" t="s">
        <v>167</v>
      </c>
      <c r="H619" s="3">
        <v>5</v>
      </c>
      <c r="I619" s="3">
        <v>0</v>
      </c>
      <c r="J619" s="3">
        <v>1</v>
      </c>
      <c r="K619" s="3">
        <v>1</v>
      </c>
    </row>
    <row r="620" ht="15" spans="1:20">
      <c r="A620" s="34"/>
      <c r="B620" s="17">
        <f t="shared" si="9"/>
        <v>70351001</v>
      </c>
      <c r="C620" s="36" t="s">
        <v>631</v>
      </c>
      <c r="E620" s="3" t="str">
        <f>F620&amp;(VLOOKUP(G620,编号表!$E$1:$G$8,2,0))&amp;H620&amp;"_"&amp;I620&amp;"_"&amp;J620</f>
        <v>35T1_0_1</v>
      </c>
      <c r="F620" s="3">
        <v>35</v>
      </c>
      <c r="G620" s="3" t="s">
        <v>169</v>
      </c>
      <c r="H620" s="3">
        <v>1</v>
      </c>
      <c r="I620" s="3">
        <v>0</v>
      </c>
      <c r="J620" s="3">
        <v>1</v>
      </c>
      <c r="L620" s="3">
        <v>1</v>
      </c>
      <c r="R620" s="3">
        <v>70341002</v>
      </c>
    </row>
    <row r="621" ht="15" spans="1:20">
      <c r="A621" s="34"/>
      <c r="B621" s="17">
        <f t="shared" si="9"/>
        <v>70351002</v>
      </c>
      <c r="C621" s="36" t="s">
        <v>631</v>
      </c>
      <c r="E621" s="3" t="str">
        <f>F621&amp;(VLOOKUP(G621,编号表!$E$1:$G$8,2,0))&amp;H621&amp;"_"&amp;I621&amp;"_"&amp;J621</f>
        <v>35T1_0_2</v>
      </c>
      <c r="F621" s="3">
        <v>35</v>
      </c>
      <c r="G621" s="3" t="s">
        <v>169</v>
      </c>
      <c r="H621" s="3">
        <v>1</v>
      </c>
      <c r="I621" s="3">
        <v>0</v>
      </c>
      <c r="J621" s="3">
        <v>2</v>
      </c>
      <c r="L621" s="3">
        <v>1</v>
      </c>
      <c r="R621" s="3">
        <v>70361001</v>
      </c>
    </row>
    <row r="622" ht="15" spans="1:20">
      <c r="A622" s="34"/>
      <c r="B622" s="17">
        <f t="shared" si="9"/>
        <v>70352001</v>
      </c>
      <c r="C622" s="36" t="s">
        <v>632</v>
      </c>
      <c r="E622" s="3" t="str">
        <f>F622&amp;(VLOOKUP(G622,编号表!$E$1:$G$8,2,0))&amp;H622&amp;"_"&amp;I622&amp;"_"&amp;J622</f>
        <v>35D2_0_1</v>
      </c>
      <c r="F622" s="3">
        <v>35</v>
      </c>
      <c r="G622" s="3" t="s">
        <v>171</v>
      </c>
      <c r="H622" s="3">
        <v>2</v>
      </c>
      <c r="I622" s="3">
        <v>0</v>
      </c>
      <c r="J622" s="3">
        <v>1</v>
      </c>
      <c r="M622" s="3">
        <v>1</v>
      </c>
    </row>
    <row r="623" ht="12" customHeight="1" spans="1:20">
      <c r="A623" s="34"/>
      <c r="B623" s="17">
        <f t="shared" si="9"/>
        <v>70365101</v>
      </c>
      <c r="C623" s="37" t="s">
        <v>633</v>
      </c>
      <c r="E623" s="3" t="str">
        <f>F623&amp;(VLOOKUP(G623,编号表!$E$1:$G$8,2,0))&amp;H623&amp;"_"&amp;I623&amp;"_"&amp;J623</f>
        <v>36N5_1_1</v>
      </c>
      <c r="F623" s="3">
        <v>36</v>
      </c>
      <c r="G623" s="3" t="s">
        <v>52</v>
      </c>
      <c r="H623" s="3">
        <v>5</v>
      </c>
      <c r="I623" s="3">
        <v>1</v>
      </c>
      <c r="J623" s="3">
        <v>1</v>
      </c>
      <c r="T623" s="18">
        <v>1048304</v>
      </c>
    </row>
    <row r="624" ht="12" customHeight="1" spans="1:20">
      <c r="A624" s="34"/>
      <c r="B624" s="17">
        <f t="shared" si="9"/>
        <v>70365102</v>
      </c>
      <c r="C624" s="37" t="s">
        <v>634</v>
      </c>
      <c r="E624" s="3" t="str">
        <f>F624&amp;(VLOOKUP(G624,编号表!$E$1:$G$8,2,0))&amp;H624&amp;"_"&amp;I624&amp;"_"&amp;J624</f>
        <v>36N5_1_2</v>
      </c>
      <c r="F624" s="3">
        <v>36</v>
      </c>
      <c r="G624" s="3" t="s">
        <v>52</v>
      </c>
      <c r="H624" s="3">
        <v>5</v>
      </c>
      <c r="I624" s="3">
        <v>1</v>
      </c>
      <c r="J624" s="3">
        <v>2</v>
      </c>
      <c r="T624" s="18">
        <v>1048001</v>
      </c>
    </row>
    <row r="625" ht="12" customHeight="1" spans="1:20">
      <c r="A625" s="34"/>
      <c r="B625" s="17">
        <f t="shared" si="9"/>
        <v>70365103</v>
      </c>
      <c r="C625" s="37" t="s">
        <v>635</v>
      </c>
      <c r="E625" s="3" t="str">
        <f>F625&amp;(VLOOKUP(G625,编号表!$E$1:$G$8,2,0))&amp;H625&amp;"_"&amp;I625&amp;"_"&amp;J625</f>
        <v>36N5_1_3</v>
      </c>
      <c r="F625" s="3">
        <v>36</v>
      </c>
      <c r="G625" s="3" t="s">
        <v>52</v>
      </c>
      <c r="H625" s="3">
        <v>5</v>
      </c>
      <c r="I625" s="3">
        <v>1</v>
      </c>
      <c r="J625" s="3">
        <v>3</v>
      </c>
      <c r="T625" s="18">
        <v>1048103</v>
      </c>
    </row>
    <row r="626" ht="12" customHeight="1" spans="1:20">
      <c r="A626" s="34"/>
      <c r="B626" s="17">
        <f t="shared" si="9"/>
        <v>70365202</v>
      </c>
      <c r="C626" s="37" t="s">
        <v>636</v>
      </c>
      <c r="E626" s="3" t="str">
        <f>F626&amp;(VLOOKUP(G626,编号表!$E$1:$G$8,2,0))&amp;H626&amp;"_"&amp;I626&amp;"_"&amp;J626</f>
        <v>36N5_2_2</v>
      </c>
      <c r="F626" s="3">
        <v>36</v>
      </c>
      <c r="G626" s="3" t="s">
        <v>52</v>
      </c>
      <c r="H626" s="3">
        <v>5</v>
      </c>
      <c r="I626" s="3">
        <v>2</v>
      </c>
      <c r="J626" s="3">
        <v>2</v>
      </c>
      <c r="T626" s="18">
        <v>1048103</v>
      </c>
    </row>
    <row r="627" ht="12" customHeight="1" spans="1:20">
      <c r="A627" s="34"/>
      <c r="B627" s="17">
        <f t="shared" si="9"/>
        <v>70365203</v>
      </c>
      <c r="C627" s="37" t="s">
        <v>637</v>
      </c>
      <c r="E627" s="3" t="str">
        <f>F627&amp;(VLOOKUP(G627,编号表!$E$1:$G$8,2,0))&amp;H627&amp;"_"&amp;I627&amp;"_"&amp;J627</f>
        <v>36N5_2_3</v>
      </c>
      <c r="F627" s="3">
        <v>36</v>
      </c>
      <c r="G627" s="3" t="s">
        <v>52</v>
      </c>
      <c r="H627" s="3">
        <v>5</v>
      </c>
      <c r="I627" s="3">
        <v>2</v>
      </c>
      <c r="J627" s="3">
        <v>3</v>
      </c>
      <c r="T627" s="18">
        <v>1048304</v>
      </c>
    </row>
    <row r="628" ht="12" customHeight="1" spans="1:20">
      <c r="A628" s="34"/>
      <c r="B628" s="17">
        <f t="shared" si="9"/>
        <v>70365204</v>
      </c>
      <c r="C628" s="37" t="s">
        <v>638</v>
      </c>
      <c r="E628" s="3" t="str">
        <f>F628&amp;(VLOOKUP(G628,编号表!$E$1:$G$8,2,0))&amp;H628&amp;"_"&amp;I628&amp;"_"&amp;J628</f>
        <v>36N5_2_4</v>
      </c>
      <c r="F628" s="3">
        <v>36</v>
      </c>
      <c r="G628" s="3" t="s">
        <v>52</v>
      </c>
      <c r="H628" s="3">
        <v>5</v>
      </c>
      <c r="I628" s="3">
        <v>2</v>
      </c>
      <c r="J628" s="3">
        <v>4</v>
      </c>
      <c r="T628" s="18">
        <v>1048103</v>
      </c>
    </row>
    <row r="629" ht="12" customHeight="1" spans="1:20">
      <c r="A629" s="34"/>
      <c r="B629" s="17">
        <f t="shared" si="9"/>
        <v>70365301</v>
      </c>
      <c r="C629" s="37" t="s">
        <v>639</v>
      </c>
      <c r="E629" s="3" t="str">
        <f>F629&amp;(VLOOKUP(G629,编号表!$E$1:$G$8,2,0))&amp;H629&amp;"_"&amp;I629&amp;"_"&amp;J629</f>
        <v>36N5_3_1</v>
      </c>
      <c r="F629" s="3">
        <v>36</v>
      </c>
      <c r="G629" s="3" t="s">
        <v>52</v>
      </c>
      <c r="H629" s="3">
        <v>5</v>
      </c>
      <c r="I629" s="3">
        <v>3</v>
      </c>
      <c r="J629" s="3">
        <v>1</v>
      </c>
      <c r="T629" s="18">
        <v>1048304</v>
      </c>
    </row>
    <row r="630" ht="12" customHeight="1" spans="1:20">
      <c r="A630" s="34"/>
      <c r="B630" s="17">
        <f t="shared" si="9"/>
        <v>70365302</v>
      </c>
      <c r="C630" s="37" t="s">
        <v>640</v>
      </c>
      <c r="E630" s="3" t="str">
        <f>F630&amp;(VLOOKUP(G630,编号表!$E$1:$G$8,2,0))&amp;H630&amp;"_"&amp;I630&amp;"_"&amp;J630</f>
        <v>36N5_3_2</v>
      </c>
      <c r="F630" s="3">
        <v>36</v>
      </c>
      <c r="G630" s="3" t="s">
        <v>52</v>
      </c>
      <c r="H630" s="3">
        <v>5</v>
      </c>
      <c r="I630" s="3">
        <v>3</v>
      </c>
      <c r="J630" s="3">
        <v>2</v>
      </c>
      <c r="T630" s="18">
        <v>1048103</v>
      </c>
    </row>
    <row r="631" ht="12" customHeight="1" spans="1:20">
      <c r="A631" s="34"/>
      <c r="B631" s="17">
        <f t="shared" si="9"/>
        <v>70365303</v>
      </c>
      <c r="C631" s="37" t="s">
        <v>641</v>
      </c>
      <c r="E631" s="3" t="str">
        <f>F631&amp;(VLOOKUP(G631,编号表!$E$1:$G$8,2,0))&amp;H631&amp;"_"&amp;I631&amp;"_"&amp;J631</f>
        <v>36N5_3_3</v>
      </c>
      <c r="F631" s="3">
        <v>36</v>
      </c>
      <c r="G631" s="3" t="s">
        <v>52</v>
      </c>
      <c r="H631" s="3">
        <v>5</v>
      </c>
      <c r="I631" s="3">
        <v>3</v>
      </c>
      <c r="J631" s="3">
        <v>3</v>
      </c>
      <c r="T631" s="18">
        <v>1048304</v>
      </c>
    </row>
    <row r="632" ht="15" spans="1:20">
      <c r="A632" s="34"/>
      <c r="B632" s="17">
        <f t="shared" si="9"/>
        <v>70365001</v>
      </c>
      <c r="C632" s="39" t="s">
        <v>642</v>
      </c>
      <c r="E632" s="3" t="str">
        <f>F632&amp;(VLOOKUP(G632,编号表!$E$1:$G$8,2,0))&amp;H632&amp;"_"&amp;I632&amp;"_"&amp;J632</f>
        <v>36J5_0_1</v>
      </c>
      <c r="F632" s="3">
        <v>36</v>
      </c>
      <c r="G632" s="3" t="s">
        <v>167</v>
      </c>
      <c r="H632" s="3">
        <v>5</v>
      </c>
      <c r="I632" s="3">
        <v>0</v>
      </c>
      <c r="J632" s="3">
        <v>1</v>
      </c>
      <c r="K632" s="3">
        <v>1</v>
      </c>
    </row>
    <row r="633" ht="15" spans="1:20">
      <c r="A633" s="34"/>
      <c r="B633" s="17">
        <f t="shared" si="9"/>
        <v>70361001</v>
      </c>
      <c r="C633" s="36" t="s">
        <v>643</v>
      </c>
      <c r="E633" s="3" t="str">
        <f>F633&amp;(VLOOKUP(G633,编号表!$E$1:$G$8,2,0))&amp;H633&amp;"_"&amp;I633&amp;"_"&amp;J633</f>
        <v>36T1_0_1</v>
      </c>
      <c r="F633" s="3">
        <v>36</v>
      </c>
      <c r="G633" s="3" t="s">
        <v>169</v>
      </c>
      <c r="H633" s="3">
        <v>1</v>
      </c>
      <c r="I633" s="3">
        <v>0</v>
      </c>
      <c r="J633" s="3">
        <v>1</v>
      </c>
      <c r="L633" s="3">
        <v>1</v>
      </c>
      <c r="R633" s="3">
        <v>70351002</v>
      </c>
    </row>
    <row r="634" ht="15" spans="1:20">
      <c r="A634" s="34"/>
      <c r="B634" s="17">
        <f t="shared" si="9"/>
        <v>70361002</v>
      </c>
      <c r="C634" s="36" t="s">
        <v>643</v>
      </c>
      <c r="E634" s="3" t="str">
        <f>F634&amp;(VLOOKUP(G634,编号表!$E$1:$G$8,2,0))&amp;H634&amp;"_"&amp;I634&amp;"_"&amp;J634</f>
        <v>36T1_0_2</v>
      </c>
      <c r="F634" s="3">
        <v>36</v>
      </c>
      <c r="G634" s="3" t="s">
        <v>169</v>
      </c>
      <c r="H634" s="3">
        <v>1</v>
      </c>
      <c r="I634" s="3">
        <v>0</v>
      </c>
      <c r="J634" s="3">
        <v>2</v>
      </c>
      <c r="L634" s="3">
        <v>1</v>
      </c>
      <c r="R634" s="3">
        <v>70371001</v>
      </c>
    </row>
    <row r="635" ht="15" spans="1:20">
      <c r="A635" s="34"/>
      <c r="B635" s="17">
        <f t="shared" si="9"/>
        <v>70362001</v>
      </c>
      <c r="C635" s="36" t="s">
        <v>644</v>
      </c>
      <c r="E635" s="3" t="str">
        <f>F635&amp;(VLOOKUP(G635,编号表!$E$1:$G$8,2,0))&amp;H635&amp;"_"&amp;I635&amp;"_"&amp;J635</f>
        <v>36D2_0_1</v>
      </c>
      <c r="F635" s="3">
        <v>36</v>
      </c>
      <c r="G635" s="3" t="s">
        <v>171</v>
      </c>
      <c r="H635" s="3">
        <v>2</v>
      </c>
      <c r="I635" s="3">
        <v>0</v>
      </c>
      <c r="J635" s="3">
        <v>1</v>
      </c>
      <c r="M635" s="3">
        <v>1</v>
      </c>
    </row>
    <row r="636" ht="12" customHeight="1" spans="1:20">
      <c r="A636" s="34"/>
      <c r="B636" s="17">
        <f t="shared" si="9"/>
        <v>70375101</v>
      </c>
      <c r="C636" s="37" t="s">
        <v>645</v>
      </c>
      <c r="E636" s="3" t="str">
        <f>F636&amp;(VLOOKUP(G636,编号表!$E$1:$G$8,2,0))&amp;H636&amp;"_"&amp;I636&amp;"_"&amp;J636</f>
        <v>37N5_1_1</v>
      </c>
      <c r="F636" s="3">
        <v>37</v>
      </c>
      <c r="G636" s="3" t="s">
        <v>52</v>
      </c>
      <c r="H636" s="3">
        <v>5</v>
      </c>
      <c r="I636" s="3">
        <v>1</v>
      </c>
      <c r="J636" s="3">
        <v>1</v>
      </c>
      <c r="T636" s="18">
        <v>1049304</v>
      </c>
    </row>
    <row r="637" ht="12" customHeight="1" spans="1:20">
      <c r="A637" s="34"/>
      <c r="B637" s="17">
        <f t="shared" si="9"/>
        <v>70375102</v>
      </c>
      <c r="C637" s="37" t="s">
        <v>646</v>
      </c>
      <c r="E637" s="3" t="str">
        <f>F637&amp;(VLOOKUP(G637,编号表!$E$1:$G$8,2,0))&amp;H637&amp;"_"&amp;I637&amp;"_"&amp;J637</f>
        <v>37N5_1_2</v>
      </c>
      <c r="F637" s="3">
        <v>37</v>
      </c>
      <c r="G637" s="3" t="s">
        <v>52</v>
      </c>
      <c r="H637" s="3">
        <v>5</v>
      </c>
      <c r="I637" s="3">
        <v>1</v>
      </c>
      <c r="J637" s="3">
        <v>2</v>
      </c>
      <c r="T637" s="18">
        <v>1049001</v>
      </c>
    </row>
    <row r="638" ht="12" customHeight="1" spans="1:20">
      <c r="A638" s="34"/>
      <c r="B638" s="17">
        <f t="shared" si="9"/>
        <v>70375103</v>
      </c>
      <c r="C638" s="37" t="s">
        <v>647</v>
      </c>
      <c r="E638" s="3" t="str">
        <f>F638&amp;(VLOOKUP(G638,编号表!$E$1:$G$8,2,0))&amp;H638&amp;"_"&amp;I638&amp;"_"&amp;J638</f>
        <v>37N5_1_3</v>
      </c>
      <c r="F638" s="3">
        <v>37</v>
      </c>
      <c r="G638" s="3" t="s">
        <v>52</v>
      </c>
      <c r="H638" s="3">
        <v>5</v>
      </c>
      <c r="I638" s="3">
        <v>1</v>
      </c>
      <c r="J638" s="3">
        <v>3</v>
      </c>
      <c r="T638" s="18">
        <v>1049404</v>
      </c>
    </row>
    <row r="639" ht="12" customHeight="1" spans="1:20">
      <c r="A639" s="34"/>
      <c r="B639" s="17">
        <f t="shared" si="9"/>
        <v>70375201</v>
      </c>
      <c r="C639" s="37" t="s">
        <v>648</v>
      </c>
      <c r="E639" s="3" t="str">
        <f>F639&amp;(VLOOKUP(G639,编号表!$E$1:$G$8,2,0))&amp;H639&amp;"_"&amp;I639&amp;"_"&amp;J639</f>
        <v>37N5_2_1</v>
      </c>
      <c r="F639" s="3">
        <v>37</v>
      </c>
      <c r="G639" s="3" t="s">
        <v>52</v>
      </c>
      <c r="H639" s="3">
        <v>5</v>
      </c>
      <c r="I639" s="3">
        <v>2</v>
      </c>
      <c r="J639" s="3">
        <v>1</v>
      </c>
      <c r="T639" s="18">
        <v>1049304</v>
      </c>
    </row>
    <row r="640" ht="12" customHeight="1" spans="1:20">
      <c r="A640" s="34"/>
      <c r="B640" s="17">
        <f t="shared" si="9"/>
        <v>70375202</v>
      </c>
      <c r="C640" s="37" t="s">
        <v>649</v>
      </c>
      <c r="E640" s="3" t="str">
        <f>F640&amp;(VLOOKUP(G640,编号表!$E$1:$G$8,2,0))&amp;H640&amp;"_"&amp;I640&amp;"_"&amp;J640</f>
        <v>37N5_2_2</v>
      </c>
      <c r="F640" s="3">
        <v>37</v>
      </c>
      <c r="G640" s="3" t="s">
        <v>52</v>
      </c>
      <c r="H640" s="3">
        <v>5</v>
      </c>
      <c r="I640" s="3">
        <v>2</v>
      </c>
      <c r="J640" s="3">
        <v>2</v>
      </c>
      <c r="T640" s="18">
        <v>1049404</v>
      </c>
    </row>
    <row r="641" ht="12" customHeight="1" spans="1:20">
      <c r="A641" s="34"/>
      <c r="B641" s="17">
        <f t="shared" si="9"/>
        <v>70375203</v>
      </c>
      <c r="C641" s="37" t="s">
        <v>650</v>
      </c>
      <c r="E641" s="3" t="str">
        <f>F641&amp;(VLOOKUP(G641,编号表!$E$1:$G$8,2,0))&amp;H641&amp;"_"&amp;I641&amp;"_"&amp;J641</f>
        <v>37N5_2_3</v>
      </c>
      <c r="F641" s="3">
        <v>37</v>
      </c>
      <c r="G641" s="3" t="s">
        <v>52</v>
      </c>
      <c r="H641" s="3">
        <v>5</v>
      </c>
      <c r="I641" s="3">
        <v>2</v>
      </c>
      <c r="J641" s="3">
        <v>3</v>
      </c>
      <c r="T641" s="18">
        <v>1049304</v>
      </c>
    </row>
    <row r="642" ht="15" spans="1:20">
      <c r="A642" s="34"/>
      <c r="B642" s="17">
        <f t="shared" si="9"/>
        <v>70375001</v>
      </c>
      <c r="C642" s="39" t="s">
        <v>651</v>
      </c>
      <c r="E642" s="3" t="str">
        <f>F642&amp;(VLOOKUP(G642,编号表!$E$1:$G$8,2,0))&amp;H642&amp;"_"&amp;I642&amp;"_"&amp;J642</f>
        <v>37J5_0_1</v>
      </c>
      <c r="F642" s="3">
        <v>37</v>
      </c>
      <c r="G642" s="3" t="s">
        <v>167</v>
      </c>
      <c r="H642" s="3">
        <v>5</v>
      </c>
      <c r="I642" s="3">
        <v>0</v>
      </c>
      <c r="J642" s="3">
        <v>1</v>
      </c>
      <c r="K642" s="3">
        <v>1</v>
      </c>
    </row>
    <row r="643" ht="15" spans="1:20">
      <c r="A643" s="34"/>
      <c r="B643" s="17">
        <f t="shared" si="9"/>
        <v>70371001</v>
      </c>
      <c r="C643" s="36" t="s">
        <v>652</v>
      </c>
      <c r="E643" s="3" t="str">
        <f>F643&amp;(VLOOKUP(G643,编号表!$E$1:$G$8,2,0))&amp;H643&amp;"_"&amp;I643&amp;"_"&amp;J643</f>
        <v>37T1_0_1</v>
      </c>
      <c r="F643" s="3">
        <v>37</v>
      </c>
      <c r="G643" s="3" t="s">
        <v>169</v>
      </c>
      <c r="H643" s="3">
        <v>1</v>
      </c>
      <c r="I643" s="3">
        <v>0</v>
      </c>
      <c r="J643" s="3">
        <v>1</v>
      </c>
      <c r="L643" s="3">
        <v>1</v>
      </c>
      <c r="R643" s="3">
        <v>70361002</v>
      </c>
    </row>
    <row r="644" ht="15" spans="1:20">
      <c r="A644" s="34"/>
      <c r="B644" s="17">
        <f t="shared" si="9"/>
        <v>70371002</v>
      </c>
      <c r="C644" s="36" t="s">
        <v>652</v>
      </c>
      <c r="E644" s="3" t="str">
        <f>F644&amp;(VLOOKUP(G644,编号表!$E$1:$G$8,2,0))&amp;H644&amp;"_"&amp;I644&amp;"_"&amp;J644</f>
        <v>37T1_0_2</v>
      </c>
      <c r="F644" s="3">
        <v>37</v>
      </c>
      <c r="G644" s="3" t="s">
        <v>169</v>
      </c>
      <c r="H644" s="3">
        <v>1</v>
      </c>
      <c r="I644" s="3">
        <v>0</v>
      </c>
      <c r="J644" s="3">
        <v>2</v>
      </c>
      <c r="L644" s="3">
        <v>1</v>
      </c>
      <c r="R644" s="3">
        <v>70381001</v>
      </c>
    </row>
    <row r="645" ht="15" spans="1:20">
      <c r="A645" s="34"/>
      <c r="B645" s="17">
        <f t="shared" ref="B645:B661" si="10">70000000+F645*10000+H645*1000+I645*100+J645</f>
        <v>70372001</v>
      </c>
      <c r="C645" s="36" t="s">
        <v>653</v>
      </c>
      <c r="E645" s="3" t="str">
        <f>F645&amp;(VLOOKUP(G645,编号表!$E$1:$G$8,2,0))&amp;H645&amp;"_"&amp;I645&amp;"_"&amp;J645</f>
        <v>37D2_0_1</v>
      </c>
      <c r="F645" s="3">
        <v>37</v>
      </c>
      <c r="G645" s="3" t="s">
        <v>171</v>
      </c>
      <c r="H645" s="3">
        <v>2</v>
      </c>
      <c r="I645" s="3">
        <v>0</v>
      </c>
      <c r="J645" s="3">
        <v>1</v>
      </c>
      <c r="M645" s="3">
        <v>1</v>
      </c>
    </row>
    <row r="646" ht="12" customHeight="1" spans="1:20">
      <c r="A646" s="34"/>
      <c r="B646" s="17">
        <f t="shared" si="10"/>
        <v>70385001</v>
      </c>
      <c r="C646" s="39" t="s">
        <v>654</v>
      </c>
      <c r="E646" s="3" t="str">
        <f>F646&amp;(VLOOKUP(G646,编号表!$E$1:$G$8,2,0))&amp;H646&amp;"_"&amp;I646&amp;"_"&amp;J646</f>
        <v>38J5_0_1</v>
      </c>
      <c r="F646" s="3">
        <v>38</v>
      </c>
      <c r="G646" s="3" t="s">
        <v>167</v>
      </c>
      <c r="H646" s="3">
        <v>5</v>
      </c>
      <c r="I646" s="3">
        <v>0</v>
      </c>
      <c r="J646" s="3">
        <v>1</v>
      </c>
      <c r="K646" s="3">
        <v>1</v>
      </c>
    </row>
    <row r="647" ht="15" spans="1:20">
      <c r="A647" s="34"/>
      <c r="B647" s="17">
        <f t="shared" si="10"/>
        <v>70381001</v>
      </c>
      <c r="C647" s="36" t="s">
        <v>655</v>
      </c>
      <c r="E647" s="3" t="str">
        <f>F647&amp;(VLOOKUP(G647,编号表!$E$1:$G$8,2,0))&amp;H647&amp;"_"&amp;I647&amp;"_"&amp;J647</f>
        <v>38T1_0_1</v>
      </c>
      <c r="F647" s="3">
        <v>38</v>
      </c>
      <c r="G647" s="3" t="s">
        <v>169</v>
      </c>
      <c r="H647" s="3">
        <v>1</v>
      </c>
      <c r="I647" s="3">
        <v>0</v>
      </c>
      <c r="J647" s="3">
        <v>1</v>
      </c>
      <c r="L647" s="3">
        <v>1</v>
      </c>
      <c r="R647" s="3">
        <v>70371002</v>
      </c>
    </row>
    <row r="648" ht="15" spans="1:20">
      <c r="A648" s="34"/>
      <c r="B648" s="17">
        <f t="shared" si="10"/>
        <v>70381002</v>
      </c>
      <c r="C648" s="36" t="s">
        <v>655</v>
      </c>
      <c r="E648" s="3" t="str">
        <f>F648&amp;(VLOOKUP(G648,编号表!$E$1:$G$8,2,0))&amp;H648&amp;"_"&amp;I648&amp;"_"&amp;J648</f>
        <v>38T1_0_2</v>
      </c>
      <c r="F648" s="3">
        <v>38</v>
      </c>
      <c r="G648" s="3" t="s">
        <v>169</v>
      </c>
      <c r="H648" s="3">
        <v>1</v>
      </c>
      <c r="I648" s="3">
        <v>0</v>
      </c>
      <c r="J648" s="3">
        <v>2</v>
      </c>
      <c r="L648" s="3">
        <v>1</v>
      </c>
      <c r="R648" s="3">
        <v>70391001</v>
      </c>
    </row>
    <row r="649" ht="15" spans="1:20">
      <c r="A649" s="34"/>
      <c r="B649" s="17">
        <f t="shared" si="10"/>
        <v>70382001</v>
      </c>
      <c r="C649" s="36" t="s">
        <v>656</v>
      </c>
      <c r="E649" s="3" t="str">
        <f>F649&amp;(VLOOKUP(G649,编号表!$E$1:$G$8,2,0))&amp;H649&amp;"_"&amp;I649&amp;"_"&amp;J649</f>
        <v>38D2_0_1</v>
      </c>
      <c r="F649" s="3">
        <v>38</v>
      </c>
      <c r="G649" s="3" t="s">
        <v>171</v>
      </c>
      <c r="H649" s="3">
        <v>2</v>
      </c>
      <c r="I649" s="3">
        <v>0</v>
      </c>
      <c r="J649" s="3">
        <v>1</v>
      </c>
      <c r="M649" s="3">
        <v>1</v>
      </c>
    </row>
    <row r="650" ht="12" customHeight="1" spans="1:20">
      <c r="A650" s="34"/>
      <c r="B650" s="17">
        <f t="shared" si="10"/>
        <v>70395101</v>
      </c>
      <c r="C650" s="37" t="s">
        <v>657</v>
      </c>
      <c r="E650" s="3" t="str">
        <f>F650&amp;(VLOOKUP(G650,编号表!$E$1:$G$8,2,0))&amp;H650&amp;"_"&amp;I650&amp;"_"&amp;J650</f>
        <v>39N5_1_1</v>
      </c>
      <c r="F650" s="3">
        <v>39</v>
      </c>
      <c r="G650" s="3" t="s">
        <v>52</v>
      </c>
      <c r="H650" s="3">
        <v>5</v>
      </c>
      <c r="I650" s="3">
        <v>1</v>
      </c>
      <c r="J650" s="3">
        <v>1</v>
      </c>
      <c r="T650" s="18">
        <v>1051304</v>
      </c>
    </row>
    <row r="651" ht="12" customHeight="1" spans="1:20">
      <c r="A651" s="34"/>
      <c r="B651" s="17">
        <f t="shared" si="10"/>
        <v>70395102</v>
      </c>
      <c r="C651" s="37" t="s">
        <v>658</v>
      </c>
      <c r="E651" s="3" t="str">
        <f>F651&amp;(VLOOKUP(G651,编号表!$E$1:$G$8,2,0))&amp;H651&amp;"_"&amp;I651&amp;"_"&amp;J651</f>
        <v>39N5_1_2</v>
      </c>
      <c r="F651" s="3">
        <v>39</v>
      </c>
      <c r="G651" s="3" t="s">
        <v>52</v>
      </c>
      <c r="H651" s="3">
        <v>5</v>
      </c>
      <c r="I651" s="3">
        <v>1</v>
      </c>
      <c r="J651" s="3">
        <v>2</v>
      </c>
      <c r="T651" s="18">
        <v>1051404</v>
      </c>
    </row>
    <row r="652" ht="12" customHeight="1" spans="1:20">
      <c r="A652" s="34"/>
      <c r="B652" s="17">
        <f t="shared" si="10"/>
        <v>70395103</v>
      </c>
      <c r="C652" s="37" t="s">
        <v>659</v>
      </c>
      <c r="E652" s="3" t="str">
        <f>F652&amp;(VLOOKUP(G652,编号表!$E$1:$G$8,2,0))&amp;H652&amp;"_"&amp;I652&amp;"_"&amp;J652</f>
        <v>39N5_1_3</v>
      </c>
      <c r="F652" s="3">
        <v>39</v>
      </c>
      <c r="G652" s="3" t="s">
        <v>52</v>
      </c>
      <c r="H652" s="3">
        <v>5</v>
      </c>
      <c r="I652" s="3">
        <v>1</v>
      </c>
      <c r="J652" s="3">
        <v>3</v>
      </c>
      <c r="T652" s="18">
        <v>1051304</v>
      </c>
    </row>
    <row r="653" ht="12" customHeight="1" spans="1:20">
      <c r="A653" s="34"/>
      <c r="B653" s="17">
        <f t="shared" si="10"/>
        <v>70395104</v>
      </c>
      <c r="C653" s="37" t="s">
        <v>660</v>
      </c>
      <c r="E653" s="3" t="str">
        <f>F653&amp;(VLOOKUP(G653,编号表!$E$1:$G$8,2,0))&amp;H653&amp;"_"&amp;I653&amp;"_"&amp;J653</f>
        <v>39N5_1_4</v>
      </c>
      <c r="F653" s="3">
        <v>39</v>
      </c>
      <c r="G653" s="3" t="s">
        <v>52</v>
      </c>
      <c r="H653" s="3">
        <v>5</v>
      </c>
      <c r="I653" s="3">
        <v>1</v>
      </c>
      <c r="J653" s="3">
        <v>4</v>
      </c>
      <c r="T653" s="18">
        <v>1051404</v>
      </c>
    </row>
    <row r="654" ht="12" customHeight="1" spans="1:20">
      <c r="A654" s="34"/>
      <c r="B654" s="17">
        <f t="shared" si="10"/>
        <v>70395105</v>
      </c>
      <c r="C654" s="37" t="s">
        <v>661</v>
      </c>
      <c r="E654" s="3" t="str">
        <f>F654&amp;(VLOOKUP(G654,编号表!$E$1:$G$8,2,0))&amp;H654&amp;"_"&amp;I654&amp;"_"&amp;J654</f>
        <v>39N5_1_5</v>
      </c>
      <c r="F654" s="3">
        <v>39</v>
      </c>
      <c r="G654" s="3" t="s">
        <v>52</v>
      </c>
      <c r="H654" s="3">
        <v>5</v>
      </c>
      <c r="I654" s="3">
        <v>1</v>
      </c>
      <c r="J654" s="3">
        <v>5</v>
      </c>
      <c r="T654" s="18">
        <v>1051304</v>
      </c>
    </row>
    <row r="655" ht="12" customHeight="1" spans="1:20">
      <c r="A655" s="34"/>
      <c r="B655" s="17">
        <f t="shared" si="10"/>
        <v>70395201</v>
      </c>
      <c r="C655" s="37" t="s">
        <v>662</v>
      </c>
      <c r="E655" s="3" t="str">
        <f>F655&amp;(VLOOKUP(G655,编号表!$E$1:$G$8,2,0))&amp;H655&amp;"_"&amp;I655&amp;"_"&amp;J655</f>
        <v>39N5_2_1</v>
      </c>
      <c r="F655" s="3">
        <v>39</v>
      </c>
      <c r="G655" s="3" t="s">
        <v>52</v>
      </c>
      <c r="H655" s="3">
        <v>5</v>
      </c>
      <c r="I655" s="3">
        <v>2</v>
      </c>
      <c r="J655" s="3">
        <v>1</v>
      </c>
      <c r="T655" s="18">
        <v>1051404</v>
      </c>
    </row>
    <row r="656" ht="12" customHeight="1" spans="1:20">
      <c r="A656" s="34"/>
      <c r="B656" s="17">
        <f t="shared" si="10"/>
        <v>70395202</v>
      </c>
      <c r="C656" s="37" t="s">
        <v>663</v>
      </c>
      <c r="E656" s="3" t="str">
        <f>F656&amp;(VLOOKUP(G656,编号表!$E$1:$G$8,2,0))&amp;H656&amp;"_"&amp;I656&amp;"_"&amp;J656</f>
        <v>39N5_2_2</v>
      </c>
      <c r="F656" s="3">
        <v>39</v>
      </c>
      <c r="G656" s="3" t="s">
        <v>52</v>
      </c>
      <c r="H656" s="3">
        <v>5</v>
      </c>
      <c r="I656" s="3">
        <v>2</v>
      </c>
      <c r="J656" s="3">
        <v>2</v>
      </c>
      <c r="T656" s="18">
        <v>1051304</v>
      </c>
    </row>
    <row r="657" ht="12" customHeight="1" spans="1:20">
      <c r="A657" s="34"/>
      <c r="B657" s="17">
        <f t="shared" si="10"/>
        <v>70395301</v>
      </c>
      <c r="C657" s="37" t="s">
        <v>664</v>
      </c>
      <c r="E657" s="3" t="str">
        <f>F657&amp;(VLOOKUP(G657,编号表!$E$1:$G$8,2,0))&amp;H657&amp;"_"&amp;I657&amp;"_"&amp;J657</f>
        <v>39N5_3_1</v>
      </c>
      <c r="F657" s="3">
        <v>39</v>
      </c>
      <c r="G657" s="3" t="s">
        <v>52</v>
      </c>
      <c r="H657" s="3">
        <v>5</v>
      </c>
      <c r="I657" s="3">
        <v>3</v>
      </c>
      <c r="J657" s="3">
        <v>1</v>
      </c>
      <c r="T657" s="18">
        <v>1051404</v>
      </c>
    </row>
    <row r="658" ht="12" customHeight="1" spans="1:20">
      <c r="A658" s="34"/>
      <c r="B658" s="17">
        <f t="shared" si="10"/>
        <v>70395302</v>
      </c>
      <c r="C658" s="37" t="s">
        <v>665</v>
      </c>
      <c r="E658" s="3" t="str">
        <f>F658&amp;(VLOOKUP(G658,编号表!$E$1:$G$8,2,0))&amp;H658&amp;"_"&amp;I658&amp;"_"&amp;J658</f>
        <v>39N5_3_2</v>
      </c>
      <c r="F658" s="3">
        <v>39</v>
      </c>
      <c r="G658" s="3" t="s">
        <v>52</v>
      </c>
      <c r="H658" s="3">
        <v>5</v>
      </c>
      <c r="I658" s="3">
        <v>3</v>
      </c>
      <c r="J658" s="3">
        <v>2</v>
      </c>
      <c r="T658" s="18">
        <v>1051304</v>
      </c>
    </row>
    <row r="659" ht="12" customHeight="1" spans="1:20">
      <c r="A659" s="34"/>
      <c r="B659" s="17">
        <f t="shared" si="10"/>
        <v>70395303</v>
      </c>
      <c r="C659" s="37" t="s">
        <v>666</v>
      </c>
      <c r="E659" s="3" t="str">
        <f>F659&amp;(VLOOKUP(G659,编号表!$E$1:$G$8,2,0))&amp;H659&amp;"_"&amp;I659&amp;"_"&amp;J659</f>
        <v>39N5_3_3</v>
      </c>
      <c r="F659" s="3">
        <v>39</v>
      </c>
      <c r="G659" s="3" t="s">
        <v>52</v>
      </c>
      <c r="H659" s="3">
        <v>5</v>
      </c>
      <c r="I659" s="3">
        <v>3</v>
      </c>
      <c r="J659" s="3">
        <v>3</v>
      </c>
      <c r="T659" s="18">
        <v>1051404</v>
      </c>
    </row>
    <row r="660" ht="12" customHeight="1" spans="1:20">
      <c r="A660" s="34"/>
      <c r="B660" s="17">
        <f t="shared" si="10"/>
        <v>70395401</v>
      </c>
      <c r="C660" s="37" t="s">
        <v>667</v>
      </c>
      <c r="E660" s="3" t="str">
        <f>F660&amp;(VLOOKUP(G660,编号表!$E$1:$G$8,2,0))&amp;H660&amp;"_"&amp;I660&amp;"_"&amp;J660</f>
        <v>39N5_4_1</v>
      </c>
      <c r="F660" s="3">
        <v>39</v>
      </c>
      <c r="G660" s="3" t="s">
        <v>52</v>
      </c>
      <c r="H660" s="3">
        <v>5</v>
      </c>
      <c r="I660" s="3">
        <v>4</v>
      </c>
      <c r="J660" s="3">
        <v>1</v>
      </c>
      <c r="T660" s="18">
        <v>1051304</v>
      </c>
    </row>
    <row r="661" ht="12" customHeight="1" spans="1:20">
      <c r="A661" s="34"/>
      <c r="B661" s="17">
        <f t="shared" si="10"/>
        <v>70395402</v>
      </c>
      <c r="C661" s="37" t="s">
        <v>668</v>
      </c>
      <c r="E661" s="3" t="str">
        <f>F661&amp;(VLOOKUP(G661,编号表!$E$1:$G$8,2,0))&amp;H661&amp;"_"&amp;I661&amp;"_"&amp;J661</f>
        <v>39N5_4_2</v>
      </c>
      <c r="F661" s="3">
        <v>39</v>
      </c>
      <c r="G661" s="3" t="s">
        <v>52</v>
      </c>
      <c r="H661" s="3">
        <v>5</v>
      </c>
      <c r="I661" s="3">
        <v>4</v>
      </c>
      <c r="J661" s="3">
        <v>2</v>
      </c>
      <c r="T661" s="18">
        <v>1051103</v>
      </c>
    </row>
    <row r="662" ht="15" spans="1:20">
      <c r="A662" s="34"/>
      <c r="B662" s="17">
        <f t="shared" ref="B662:B677" si="11">70000000+F662*10000+H662*1000+I662*100+J662</f>
        <v>70395001</v>
      </c>
      <c r="C662" s="39" t="s">
        <v>669</v>
      </c>
      <c r="E662" s="3" t="str">
        <f>F662&amp;(VLOOKUP(G662,编号表!$E$1:$G$8,2,0))&amp;H662&amp;"_"&amp;I662&amp;"_"&amp;J662</f>
        <v>39J5_0_1</v>
      </c>
      <c r="F662" s="3">
        <v>39</v>
      </c>
      <c r="G662" s="3" t="s">
        <v>167</v>
      </c>
      <c r="H662" s="3">
        <v>5</v>
      </c>
      <c r="I662" s="3">
        <v>0</v>
      </c>
      <c r="J662" s="3">
        <v>1</v>
      </c>
      <c r="K662" s="3">
        <v>1</v>
      </c>
    </row>
    <row r="663" ht="15" spans="1:20">
      <c r="A663" s="34"/>
      <c r="B663" s="17">
        <f t="shared" si="11"/>
        <v>70391001</v>
      </c>
      <c r="C663" s="36" t="s">
        <v>670</v>
      </c>
      <c r="E663" s="3" t="str">
        <f>F663&amp;(VLOOKUP(G663,编号表!$E$1:$G$8,2,0))&amp;H663&amp;"_"&amp;I663&amp;"_"&amp;J663</f>
        <v>39T1_0_1</v>
      </c>
      <c r="F663" s="3">
        <v>39</v>
      </c>
      <c r="G663" s="3" t="s">
        <v>169</v>
      </c>
      <c r="H663" s="3">
        <v>1</v>
      </c>
      <c r="I663" s="3">
        <v>0</v>
      </c>
      <c r="J663" s="3">
        <v>1</v>
      </c>
      <c r="L663" s="3">
        <v>1</v>
      </c>
      <c r="R663" s="3">
        <v>70381002</v>
      </c>
    </row>
    <row r="664" ht="15" spans="1:20">
      <c r="A664" s="34"/>
      <c r="B664" s="17">
        <f t="shared" si="11"/>
        <v>70391002</v>
      </c>
      <c r="C664" s="36" t="s">
        <v>670</v>
      </c>
      <c r="E664" s="3" t="str">
        <f>F664&amp;(VLOOKUP(G664,编号表!$E$1:$G$8,2,0))&amp;H664&amp;"_"&amp;I664&amp;"_"&amp;J664</f>
        <v>39T1_0_2</v>
      </c>
      <c r="F664" s="3">
        <v>39</v>
      </c>
      <c r="G664" s="3" t="s">
        <v>169</v>
      </c>
      <c r="H664" s="3">
        <v>1</v>
      </c>
      <c r="I664" s="3">
        <v>0</v>
      </c>
      <c r="J664" s="3">
        <v>2</v>
      </c>
      <c r="L664" s="3">
        <v>1</v>
      </c>
      <c r="R664" s="3">
        <v>70401001</v>
      </c>
    </row>
    <row r="665" ht="15" spans="1:20">
      <c r="A665" s="34"/>
      <c r="B665" s="17">
        <f t="shared" si="11"/>
        <v>70392001</v>
      </c>
      <c r="C665" s="36" t="s">
        <v>671</v>
      </c>
      <c r="E665" s="3" t="str">
        <f>F665&amp;(VLOOKUP(G665,编号表!$E$1:$G$8,2,0))&amp;H665&amp;"_"&amp;I665&amp;"_"&amp;J665</f>
        <v>39D2_0_1</v>
      </c>
      <c r="F665" s="3">
        <v>39</v>
      </c>
      <c r="G665" s="3" t="s">
        <v>171</v>
      </c>
      <c r="H665" s="3">
        <v>2</v>
      </c>
      <c r="I665" s="3">
        <v>0</v>
      </c>
      <c r="J665" s="3">
        <v>1</v>
      </c>
      <c r="M665" s="3">
        <v>1</v>
      </c>
    </row>
    <row r="666" ht="12" customHeight="1" spans="1:20">
      <c r="A666" s="34"/>
      <c r="B666" s="17">
        <f t="shared" si="11"/>
        <v>70405101</v>
      </c>
      <c r="C666" s="37" t="s">
        <v>672</v>
      </c>
      <c r="E666" s="3" t="str">
        <f>F666&amp;(VLOOKUP(G666,编号表!$E$1:$G$8,2,0))&amp;H666&amp;"_"&amp;I666&amp;"_"&amp;J666</f>
        <v>40N5_1_1</v>
      </c>
      <c r="F666" s="3">
        <v>40</v>
      </c>
      <c r="G666" s="3" t="s">
        <v>52</v>
      </c>
      <c r="H666" s="3">
        <v>5</v>
      </c>
      <c r="I666" s="3">
        <v>1</v>
      </c>
      <c r="J666" s="3">
        <v>1</v>
      </c>
      <c r="T666" s="18">
        <v>1052304</v>
      </c>
    </row>
    <row r="667" ht="12" customHeight="1" spans="1:20">
      <c r="A667" s="34"/>
      <c r="B667" s="17">
        <f t="shared" si="11"/>
        <v>70405102</v>
      </c>
      <c r="C667" s="37" t="s">
        <v>673</v>
      </c>
      <c r="E667" s="3" t="str">
        <f>F667&amp;(VLOOKUP(G667,编号表!$E$1:$G$8,2,0))&amp;H667&amp;"_"&amp;I667&amp;"_"&amp;J667</f>
        <v>40N5_1_2</v>
      </c>
      <c r="F667" s="3">
        <v>40</v>
      </c>
      <c r="G667" s="3" t="s">
        <v>52</v>
      </c>
      <c r="H667" s="3">
        <v>5</v>
      </c>
      <c r="I667" s="3">
        <v>1</v>
      </c>
      <c r="J667" s="3">
        <v>2</v>
      </c>
      <c r="T667" s="18">
        <v>1052304</v>
      </c>
    </row>
    <row r="668" ht="12" customHeight="1" spans="1:20">
      <c r="A668" s="34"/>
      <c r="B668" s="17">
        <f t="shared" si="11"/>
        <v>70405103</v>
      </c>
      <c r="C668" s="37" t="s">
        <v>674</v>
      </c>
      <c r="E668" s="3" t="str">
        <f>F668&amp;(VLOOKUP(G668,编号表!$E$1:$G$8,2,0))&amp;H668&amp;"_"&amp;I668&amp;"_"&amp;J668</f>
        <v>40N5_1_3</v>
      </c>
      <c r="F668" s="3">
        <v>40</v>
      </c>
      <c r="G668" s="3" t="s">
        <v>52</v>
      </c>
      <c r="H668" s="3">
        <v>5</v>
      </c>
      <c r="I668" s="3">
        <v>1</v>
      </c>
      <c r="J668" s="3">
        <v>3</v>
      </c>
      <c r="T668" s="18">
        <v>1052304</v>
      </c>
    </row>
    <row r="669" ht="12" customHeight="1" spans="1:20">
      <c r="A669" s="34"/>
      <c r="B669" s="17">
        <f t="shared" si="11"/>
        <v>70405104</v>
      </c>
      <c r="C669" s="37" t="s">
        <v>675</v>
      </c>
      <c r="E669" s="3" t="str">
        <f>F669&amp;(VLOOKUP(G669,编号表!$E$1:$G$8,2,0))&amp;H669&amp;"_"&amp;I669&amp;"_"&amp;J669</f>
        <v>40N5_1_4</v>
      </c>
      <c r="F669" s="3">
        <v>40</v>
      </c>
      <c r="G669" s="3" t="s">
        <v>52</v>
      </c>
      <c r="H669" s="3">
        <v>5</v>
      </c>
      <c r="I669" s="3">
        <v>1</v>
      </c>
      <c r="J669" s="3">
        <v>4</v>
      </c>
      <c r="T669" s="18">
        <v>1052304</v>
      </c>
    </row>
    <row r="670" ht="12" customHeight="1" spans="1:20">
      <c r="A670" s="34"/>
      <c r="B670" s="17">
        <f t="shared" si="11"/>
        <v>70405201</v>
      </c>
      <c r="C670" s="37" t="s">
        <v>676</v>
      </c>
      <c r="E670" s="3" t="str">
        <f>F670&amp;(VLOOKUP(G670,编号表!$E$1:$G$8,2,0))&amp;H670&amp;"_"&amp;I670&amp;"_"&amp;J670</f>
        <v>40N5_2_1</v>
      </c>
      <c r="F670" s="3">
        <v>40</v>
      </c>
      <c r="G670" s="3" t="s">
        <v>52</v>
      </c>
      <c r="H670" s="3">
        <v>5</v>
      </c>
      <c r="I670" s="3">
        <v>2</v>
      </c>
      <c r="J670" s="3">
        <v>1</v>
      </c>
      <c r="T670" s="18">
        <v>1052304</v>
      </c>
    </row>
    <row r="671" ht="12" customHeight="1" spans="1:20">
      <c r="A671" s="34"/>
      <c r="B671" s="17">
        <f t="shared" si="11"/>
        <v>70405202</v>
      </c>
      <c r="C671" s="37" t="s">
        <v>677</v>
      </c>
      <c r="E671" s="3" t="str">
        <f>F671&amp;(VLOOKUP(G671,编号表!$E$1:$G$8,2,0))&amp;H671&amp;"_"&amp;I671&amp;"_"&amp;J671</f>
        <v>40N5_2_2</v>
      </c>
      <c r="F671" s="3">
        <v>40</v>
      </c>
      <c r="G671" s="3" t="s">
        <v>52</v>
      </c>
      <c r="H671" s="3">
        <v>5</v>
      </c>
      <c r="I671" s="3">
        <v>2</v>
      </c>
      <c r="J671" s="3">
        <v>2</v>
      </c>
      <c r="T671" s="18">
        <v>1052304</v>
      </c>
    </row>
    <row r="672" ht="12" customHeight="1" spans="1:20">
      <c r="A672" s="34"/>
      <c r="B672" s="17">
        <f t="shared" si="11"/>
        <v>70405203</v>
      </c>
      <c r="C672" s="37" t="s">
        <v>678</v>
      </c>
      <c r="E672" s="3" t="str">
        <f>F672&amp;(VLOOKUP(G672,编号表!$E$1:$G$8,2,0))&amp;H672&amp;"_"&amp;I672&amp;"_"&amp;J672</f>
        <v>40N5_2_3</v>
      </c>
      <c r="F672" s="3">
        <v>40</v>
      </c>
      <c r="G672" s="3" t="s">
        <v>52</v>
      </c>
      <c r="H672" s="3">
        <v>5</v>
      </c>
      <c r="I672" s="3">
        <v>2</v>
      </c>
      <c r="J672" s="3">
        <v>3</v>
      </c>
      <c r="T672" s="18">
        <v>1052304</v>
      </c>
    </row>
    <row r="673" ht="12" customHeight="1" spans="1:20">
      <c r="A673" s="34"/>
      <c r="B673" s="17">
        <f t="shared" si="11"/>
        <v>70405204</v>
      </c>
      <c r="C673" s="37" t="s">
        <v>679</v>
      </c>
      <c r="E673" s="3" t="str">
        <f>F673&amp;(VLOOKUP(G673,编号表!$E$1:$G$8,2,0))&amp;H673&amp;"_"&amp;I673&amp;"_"&amp;J673</f>
        <v>40N5_2_4</v>
      </c>
      <c r="F673" s="3">
        <v>40</v>
      </c>
      <c r="G673" s="3" t="s">
        <v>52</v>
      </c>
      <c r="H673" s="3">
        <v>5</v>
      </c>
      <c r="I673" s="3">
        <v>2</v>
      </c>
      <c r="J673" s="3">
        <v>4</v>
      </c>
      <c r="T673" s="18">
        <v>1052304</v>
      </c>
    </row>
    <row r="674" ht="12" customHeight="1" spans="1:20">
      <c r="A674" s="34"/>
      <c r="B674" s="17">
        <f t="shared" si="11"/>
        <v>70405301</v>
      </c>
      <c r="C674" s="37" t="s">
        <v>680</v>
      </c>
      <c r="E674" s="3" t="str">
        <f>F674&amp;(VLOOKUP(G674,编号表!$E$1:$G$8,2,0))&amp;H674&amp;"_"&amp;I674&amp;"_"&amp;J674</f>
        <v>40N5_3_1</v>
      </c>
      <c r="F674" s="3">
        <v>40</v>
      </c>
      <c r="G674" s="3" t="s">
        <v>52</v>
      </c>
      <c r="H674" s="3">
        <v>5</v>
      </c>
      <c r="I674" s="3">
        <v>3</v>
      </c>
      <c r="J674" s="3">
        <v>1</v>
      </c>
      <c r="T674" s="18">
        <v>1052304</v>
      </c>
    </row>
    <row r="675" ht="12" customHeight="1" spans="1:20">
      <c r="A675" s="34"/>
      <c r="B675" s="17">
        <f t="shared" si="11"/>
        <v>70405302</v>
      </c>
      <c r="C675" s="37" t="s">
        <v>681</v>
      </c>
      <c r="E675" s="3" t="str">
        <f>F675&amp;(VLOOKUP(G675,编号表!$E$1:$G$8,2,0))&amp;H675&amp;"_"&amp;I675&amp;"_"&amp;J675</f>
        <v>40N5_3_2</v>
      </c>
      <c r="F675" s="3">
        <v>40</v>
      </c>
      <c r="G675" s="3" t="s">
        <v>52</v>
      </c>
      <c r="H675" s="3">
        <v>5</v>
      </c>
      <c r="I675" s="3">
        <v>3</v>
      </c>
      <c r="J675" s="3">
        <v>2</v>
      </c>
      <c r="T675" s="18">
        <v>1052304</v>
      </c>
    </row>
    <row r="676" ht="12" customHeight="1" spans="1:20">
      <c r="A676" s="34"/>
      <c r="B676" s="17">
        <f t="shared" si="11"/>
        <v>70405303</v>
      </c>
      <c r="C676" s="37" t="s">
        <v>682</v>
      </c>
      <c r="E676" s="3" t="str">
        <f>F676&amp;(VLOOKUP(G676,编号表!$E$1:$G$8,2,0))&amp;H676&amp;"_"&amp;I676&amp;"_"&amp;J676</f>
        <v>40N5_3_3</v>
      </c>
      <c r="F676" s="3">
        <v>40</v>
      </c>
      <c r="G676" s="3" t="s">
        <v>52</v>
      </c>
      <c r="H676" s="3">
        <v>5</v>
      </c>
      <c r="I676" s="3">
        <v>3</v>
      </c>
      <c r="J676" s="3">
        <v>3</v>
      </c>
      <c r="T676" s="18">
        <v>1052103</v>
      </c>
    </row>
    <row r="677" ht="12" customHeight="1" spans="1:20">
      <c r="A677" s="34"/>
      <c r="B677" s="17">
        <f t="shared" si="11"/>
        <v>70405304</v>
      </c>
      <c r="C677" s="37" t="s">
        <v>683</v>
      </c>
      <c r="E677" s="3" t="str">
        <f>F677&amp;(VLOOKUP(G677,编号表!$E$1:$G$8,2,0))&amp;H677&amp;"_"&amp;I677&amp;"_"&amp;J677</f>
        <v>40N5_3_4</v>
      </c>
      <c r="F677" s="3">
        <v>40</v>
      </c>
      <c r="G677" s="3" t="s">
        <v>52</v>
      </c>
      <c r="H677" s="3">
        <v>5</v>
      </c>
      <c r="I677" s="3">
        <v>3</v>
      </c>
      <c r="J677" s="3">
        <v>4</v>
      </c>
      <c r="T677" s="18">
        <v>1052001</v>
      </c>
    </row>
    <row r="678" ht="15" spans="1:20">
      <c r="A678" s="34"/>
      <c r="B678" s="17">
        <f t="shared" ref="B678:B692" si="12">70000000+F678*10000+H678*1000+I678*100+J678</f>
        <v>70405001</v>
      </c>
      <c r="C678" s="39" t="s">
        <v>684</v>
      </c>
      <c r="E678" s="3" t="str">
        <f>F678&amp;(VLOOKUP(G678,编号表!$E$1:$G$8,2,0))&amp;H678&amp;"_"&amp;I678&amp;"_"&amp;J678</f>
        <v>40J5_0_1</v>
      </c>
      <c r="F678" s="3">
        <v>40</v>
      </c>
      <c r="G678" s="3" t="s">
        <v>167</v>
      </c>
      <c r="H678" s="3">
        <v>5</v>
      </c>
      <c r="I678" s="3">
        <v>0</v>
      </c>
      <c r="J678" s="3">
        <v>1</v>
      </c>
      <c r="K678" s="3">
        <v>1</v>
      </c>
    </row>
    <row r="679" ht="15" spans="1:20">
      <c r="A679" s="34"/>
      <c r="B679" s="17">
        <f t="shared" si="12"/>
        <v>70401001</v>
      </c>
      <c r="C679" s="36" t="s">
        <v>685</v>
      </c>
      <c r="E679" s="3" t="str">
        <f>F679&amp;(VLOOKUP(G679,编号表!$E$1:$G$8,2,0))&amp;H679&amp;"_"&amp;I679&amp;"_"&amp;J679</f>
        <v>40T1_0_1</v>
      </c>
      <c r="F679" s="3">
        <v>40</v>
      </c>
      <c r="G679" s="3" t="s">
        <v>169</v>
      </c>
      <c r="H679" s="3">
        <v>1</v>
      </c>
      <c r="I679" s="3">
        <v>0</v>
      </c>
      <c r="J679" s="3">
        <v>1</v>
      </c>
      <c r="L679" s="3">
        <v>1</v>
      </c>
      <c r="R679" s="3">
        <v>70391002</v>
      </c>
    </row>
    <row r="680" ht="15" spans="1:20">
      <c r="A680" s="34"/>
      <c r="B680" s="17">
        <f t="shared" si="12"/>
        <v>70401002</v>
      </c>
      <c r="C680" s="36" t="s">
        <v>685</v>
      </c>
      <c r="E680" s="3" t="str">
        <f>F680&amp;(VLOOKUP(G680,编号表!$E$1:$G$8,2,0))&amp;H680&amp;"_"&amp;I680&amp;"_"&amp;J680</f>
        <v>40T1_0_2</v>
      </c>
      <c r="F680" s="3">
        <v>40</v>
      </c>
      <c r="G680" s="3" t="s">
        <v>169</v>
      </c>
      <c r="H680" s="3">
        <v>1</v>
      </c>
      <c r="I680" s="3">
        <v>0</v>
      </c>
      <c r="J680" s="3">
        <v>2</v>
      </c>
      <c r="L680" s="3">
        <v>1</v>
      </c>
      <c r="R680" s="3">
        <v>70411001</v>
      </c>
    </row>
    <row r="681" ht="15" spans="1:20">
      <c r="A681" s="34"/>
      <c r="B681" s="17">
        <f t="shared" si="12"/>
        <v>70402001</v>
      </c>
      <c r="C681" s="36" t="s">
        <v>686</v>
      </c>
      <c r="E681" s="3" t="str">
        <f>F681&amp;(VLOOKUP(G681,编号表!$E$1:$G$8,2,0))&amp;H681&amp;"_"&amp;I681&amp;"_"&amp;J681</f>
        <v>40D2_0_1</v>
      </c>
      <c r="F681" s="3">
        <v>40</v>
      </c>
      <c r="G681" s="3" t="s">
        <v>171</v>
      </c>
      <c r="H681" s="3">
        <v>2</v>
      </c>
      <c r="I681" s="3">
        <v>0</v>
      </c>
      <c r="J681" s="3">
        <v>1</v>
      </c>
      <c r="M681" s="3">
        <v>1</v>
      </c>
    </row>
    <row r="682" ht="12" customHeight="1" spans="1:20">
      <c r="A682" s="34"/>
      <c r="B682" s="17">
        <f t="shared" si="12"/>
        <v>70415101</v>
      </c>
      <c r="C682" s="37" t="s">
        <v>687</v>
      </c>
      <c r="E682" s="3" t="str">
        <f>F682&amp;(VLOOKUP(G682,编号表!$E$1:$G$8,2,0))&amp;H682&amp;"_"&amp;I682&amp;"_"&amp;J682</f>
        <v>41N5_1_1</v>
      </c>
      <c r="F682" s="3">
        <v>41</v>
      </c>
      <c r="G682" s="3" t="s">
        <v>52</v>
      </c>
      <c r="H682" s="3">
        <v>5</v>
      </c>
      <c r="I682" s="3">
        <v>1</v>
      </c>
      <c r="J682" s="3">
        <v>1</v>
      </c>
      <c r="T682" s="18">
        <v>1053304</v>
      </c>
    </row>
    <row r="683" ht="12" customHeight="1" spans="1:20">
      <c r="A683" s="34"/>
      <c r="B683" s="17">
        <f t="shared" si="12"/>
        <v>70415102</v>
      </c>
      <c r="C683" s="37" t="s">
        <v>688</v>
      </c>
      <c r="E683" s="3" t="str">
        <f>F683&amp;(VLOOKUP(G683,编号表!$E$1:$G$8,2,0))&amp;H683&amp;"_"&amp;I683&amp;"_"&amp;J683</f>
        <v>41N5_1_2</v>
      </c>
      <c r="F683" s="3">
        <v>41</v>
      </c>
      <c r="G683" s="3" t="s">
        <v>52</v>
      </c>
      <c r="H683" s="3">
        <v>5</v>
      </c>
      <c r="I683" s="3">
        <v>1</v>
      </c>
      <c r="J683" s="3">
        <v>2</v>
      </c>
      <c r="T683" s="18">
        <v>1053404</v>
      </c>
    </row>
    <row r="684" ht="12" customHeight="1" spans="1:20">
      <c r="A684" s="34"/>
      <c r="B684" s="17">
        <f t="shared" si="12"/>
        <v>70415103</v>
      </c>
      <c r="C684" s="37" t="s">
        <v>689</v>
      </c>
      <c r="E684" s="3" t="str">
        <f>F684&amp;(VLOOKUP(G684,编号表!$E$1:$G$8,2,0))&amp;H684&amp;"_"&amp;I684&amp;"_"&amp;J684</f>
        <v>41N5_1_3</v>
      </c>
      <c r="F684" s="3">
        <v>41</v>
      </c>
      <c r="G684" s="3" t="s">
        <v>52</v>
      </c>
      <c r="H684" s="3">
        <v>5</v>
      </c>
      <c r="I684" s="3">
        <v>1</v>
      </c>
      <c r="J684" s="3">
        <v>3</v>
      </c>
      <c r="T684" s="18">
        <v>1053304</v>
      </c>
    </row>
    <row r="685" ht="12" customHeight="1" spans="1:20">
      <c r="A685" s="34"/>
      <c r="B685" s="17">
        <f t="shared" si="12"/>
        <v>70415104</v>
      </c>
      <c r="C685" s="37" t="s">
        <v>690</v>
      </c>
      <c r="E685" s="3" t="str">
        <f>F685&amp;(VLOOKUP(G685,编号表!$E$1:$G$8,2,0))&amp;H685&amp;"_"&amp;I685&amp;"_"&amp;J685</f>
        <v>41N5_1_4</v>
      </c>
      <c r="F685" s="3">
        <v>41</v>
      </c>
      <c r="G685" s="3" t="s">
        <v>52</v>
      </c>
      <c r="H685" s="3">
        <v>5</v>
      </c>
      <c r="I685" s="3">
        <v>1</v>
      </c>
      <c r="J685" s="3">
        <v>4</v>
      </c>
      <c r="T685" s="18">
        <v>1053404</v>
      </c>
    </row>
    <row r="686" ht="12" customHeight="1" spans="1:20">
      <c r="A686" s="34"/>
      <c r="B686" s="17">
        <f t="shared" si="12"/>
        <v>70415201</v>
      </c>
      <c r="C686" s="37" t="s">
        <v>691</v>
      </c>
      <c r="E686" s="3" t="str">
        <f>F686&amp;(VLOOKUP(G686,编号表!$E$1:$G$8,2,0))&amp;H686&amp;"_"&amp;I686&amp;"_"&amp;J686</f>
        <v>41N5_2_1</v>
      </c>
      <c r="F686" s="3">
        <v>41</v>
      </c>
      <c r="G686" s="3" t="s">
        <v>52</v>
      </c>
      <c r="H686" s="3">
        <v>5</v>
      </c>
      <c r="I686" s="3">
        <v>2</v>
      </c>
      <c r="J686" s="3">
        <v>1</v>
      </c>
      <c r="T686" s="18">
        <v>1053304</v>
      </c>
    </row>
    <row r="687" ht="12" customHeight="1" spans="1:20">
      <c r="A687" s="34"/>
      <c r="B687" s="17">
        <f t="shared" si="12"/>
        <v>70415202</v>
      </c>
      <c r="C687" s="37" t="s">
        <v>692</v>
      </c>
      <c r="E687" s="3" t="str">
        <f>F687&amp;(VLOOKUP(G687,编号表!$E$1:$G$8,2,0))&amp;H687&amp;"_"&amp;I687&amp;"_"&amp;J687</f>
        <v>41N5_2_2</v>
      </c>
      <c r="F687" s="3">
        <v>41</v>
      </c>
      <c r="G687" s="3" t="s">
        <v>52</v>
      </c>
      <c r="H687" s="3">
        <v>5</v>
      </c>
      <c r="I687" s="3">
        <v>2</v>
      </c>
      <c r="J687" s="3">
        <v>2</v>
      </c>
      <c r="T687" s="18">
        <v>1053404</v>
      </c>
    </row>
    <row r="688" ht="12" customHeight="1" spans="1:20">
      <c r="A688" s="34"/>
      <c r="B688" s="17">
        <f t="shared" si="12"/>
        <v>70415203</v>
      </c>
      <c r="C688" s="37" t="s">
        <v>693</v>
      </c>
      <c r="E688" s="3" t="str">
        <f>F688&amp;(VLOOKUP(G688,编号表!$E$1:$G$8,2,0))&amp;H688&amp;"_"&amp;I688&amp;"_"&amp;J688</f>
        <v>41N5_2_3</v>
      </c>
      <c r="F688" s="3">
        <v>41</v>
      </c>
      <c r="G688" s="3" t="s">
        <v>52</v>
      </c>
      <c r="H688" s="3">
        <v>5</v>
      </c>
      <c r="I688" s="3">
        <v>2</v>
      </c>
      <c r="J688" s="3">
        <v>3</v>
      </c>
      <c r="T688" s="18">
        <v>1053304</v>
      </c>
    </row>
    <row r="689" ht="12" customHeight="1" spans="1:20">
      <c r="A689" s="34"/>
      <c r="B689" s="17">
        <f t="shared" si="12"/>
        <v>70415301</v>
      </c>
      <c r="C689" s="37" t="s">
        <v>694</v>
      </c>
      <c r="E689" s="3" t="str">
        <f>F689&amp;(VLOOKUP(G689,编号表!$E$1:$G$8,2,0))&amp;H689&amp;"_"&amp;I689&amp;"_"&amp;J689</f>
        <v>41N5_3_1</v>
      </c>
      <c r="F689" s="3">
        <v>41</v>
      </c>
      <c r="G689" s="3" t="s">
        <v>52</v>
      </c>
      <c r="H689" s="3">
        <v>5</v>
      </c>
      <c r="I689" s="3">
        <v>3</v>
      </c>
      <c r="J689" s="3">
        <v>1</v>
      </c>
      <c r="T689" s="18">
        <v>1053404</v>
      </c>
    </row>
    <row r="690" ht="12" customHeight="1" spans="1:20">
      <c r="A690" s="34"/>
      <c r="B690" s="17">
        <f t="shared" si="12"/>
        <v>70415302</v>
      </c>
      <c r="C690" s="37" t="s">
        <v>695</v>
      </c>
      <c r="E690" s="3" t="str">
        <f>F690&amp;(VLOOKUP(G690,编号表!$E$1:$G$8,2,0))&amp;H690&amp;"_"&amp;I690&amp;"_"&amp;J690</f>
        <v>41N5_3_2</v>
      </c>
      <c r="F690" s="3">
        <v>41</v>
      </c>
      <c r="G690" s="3" t="s">
        <v>52</v>
      </c>
      <c r="H690" s="3">
        <v>5</v>
      </c>
      <c r="I690" s="3">
        <v>3</v>
      </c>
      <c r="J690" s="3">
        <v>2</v>
      </c>
      <c r="T690" s="18">
        <v>1053304</v>
      </c>
    </row>
    <row r="691" ht="12" customHeight="1" spans="1:20">
      <c r="A691" s="34"/>
      <c r="B691" s="17">
        <f t="shared" si="12"/>
        <v>70415303</v>
      </c>
      <c r="C691" s="37" t="s">
        <v>696</v>
      </c>
      <c r="E691" s="3" t="str">
        <f>F691&amp;(VLOOKUP(G691,编号表!$E$1:$G$8,2,0))&amp;H691&amp;"_"&amp;I691&amp;"_"&amp;J691</f>
        <v>41N5_3_3</v>
      </c>
      <c r="F691" s="3">
        <v>41</v>
      </c>
      <c r="G691" s="3" t="s">
        <v>52</v>
      </c>
      <c r="H691" s="3">
        <v>5</v>
      </c>
      <c r="I691" s="3">
        <v>3</v>
      </c>
      <c r="J691" s="3">
        <v>3</v>
      </c>
      <c r="T691" s="18">
        <v>1053103</v>
      </c>
    </row>
    <row r="692" ht="12" customHeight="1" spans="1:20">
      <c r="A692" s="34"/>
      <c r="B692" s="17">
        <f t="shared" si="12"/>
        <v>70415304</v>
      </c>
      <c r="C692" s="37" t="s">
        <v>697</v>
      </c>
      <c r="E692" s="3" t="str">
        <f>F692&amp;(VLOOKUP(G692,编号表!$E$1:$G$8,2,0))&amp;H692&amp;"_"&amp;I692&amp;"_"&amp;J692</f>
        <v>41N5_3_4</v>
      </c>
      <c r="F692" s="3">
        <v>41</v>
      </c>
      <c r="G692" s="3" t="s">
        <v>52</v>
      </c>
      <c r="H692" s="3">
        <v>5</v>
      </c>
      <c r="I692" s="3">
        <v>3</v>
      </c>
      <c r="J692" s="3">
        <v>4</v>
      </c>
      <c r="T692" s="18">
        <v>1053001</v>
      </c>
    </row>
    <row r="693" ht="15" spans="1:20">
      <c r="A693" s="34"/>
      <c r="B693" s="17">
        <f t="shared" ref="B693:B707" si="13">70000000+F693*10000+H693*1000+I693*100+J693</f>
        <v>70415001</v>
      </c>
      <c r="C693" s="39" t="s">
        <v>698</v>
      </c>
      <c r="E693" s="3" t="str">
        <f>F693&amp;(VLOOKUP(G693,编号表!$E$1:$G$8,2,0))&amp;H693&amp;"_"&amp;I693&amp;"_"&amp;J693</f>
        <v>41J5_0_1</v>
      </c>
      <c r="F693" s="3">
        <v>41</v>
      </c>
      <c r="G693" s="3" t="s">
        <v>167</v>
      </c>
      <c r="H693" s="3">
        <v>5</v>
      </c>
      <c r="I693" s="3">
        <v>0</v>
      </c>
      <c r="J693" s="3">
        <v>1</v>
      </c>
      <c r="K693" s="3">
        <v>1</v>
      </c>
    </row>
    <row r="694" ht="15" spans="1:20">
      <c r="A694" s="34"/>
      <c r="B694" s="17">
        <f t="shared" si="13"/>
        <v>70411001</v>
      </c>
      <c r="C694" s="36" t="s">
        <v>699</v>
      </c>
      <c r="E694" s="3" t="str">
        <f>F694&amp;(VLOOKUP(G694,编号表!$E$1:$G$8,2,0))&amp;H694&amp;"_"&amp;I694&amp;"_"&amp;J694</f>
        <v>41T1_0_1</v>
      </c>
      <c r="F694" s="3">
        <v>41</v>
      </c>
      <c r="G694" s="3" t="s">
        <v>169</v>
      </c>
      <c r="H694" s="3">
        <v>1</v>
      </c>
      <c r="I694" s="3">
        <v>0</v>
      </c>
      <c r="J694" s="3">
        <v>1</v>
      </c>
      <c r="L694" s="3">
        <v>1</v>
      </c>
      <c r="R694" s="3">
        <v>70401002</v>
      </c>
    </row>
    <row r="695" ht="15" spans="1:20">
      <c r="A695" s="34"/>
      <c r="B695" s="17">
        <f t="shared" si="13"/>
        <v>70411002</v>
      </c>
      <c r="C695" s="36" t="s">
        <v>699</v>
      </c>
      <c r="E695" s="3" t="str">
        <f>F695&amp;(VLOOKUP(G695,编号表!$E$1:$G$8,2,0))&amp;H695&amp;"_"&amp;I695&amp;"_"&amp;J695</f>
        <v>41T1_0_2</v>
      </c>
      <c r="F695" s="3">
        <v>41</v>
      </c>
      <c r="G695" s="3" t="s">
        <v>169</v>
      </c>
      <c r="H695" s="3">
        <v>1</v>
      </c>
      <c r="I695" s="3">
        <v>0</v>
      </c>
      <c r="J695" s="3">
        <v>2</v>
      </c>
      <c r="L695" s="3">
        <v>1</v>
      </c>
      <c r="R695" s="3">
        <v>70421001</v>
      </c>
    </row>
    <row r="696" ht="15" spans="1:20">
      <c r="A696" s="34"/>
      <c r="B696" s="17">
        <f t="shared" si="13"/>
        <v>70412001</v>
      </c>
      <c r="C696" s="36" t="s">
        <v>700</v>
      </c>
      <c r="E696" s="3" t="str">
        <f>F696&amp;(VLOOKUP(G696,编号表!$E$1:$G$8,2,0))&amp;H696&amp;"_"&amp;I696&amp;"_"&amp;J696</f>
        <v>41D2_0_1</v>
      </c>
      <c r="F696" s="3">
        <v>41</v>
      </c>
      <c r="G696" s="3" t="s">
        <v>171</v>
      </c>
      <c r="H696" s="3">
        <v>2</v>
      </c>
      <c r="I696" s="3">
        <v>0</v>
      </c>
      <c r="J696" s="3">
        <v>1</v>
      </c>
      <c r="M696" s="3">
        <v>1</v>
      </c>
    </row>
    <row r="697" ht="12" customHeight="1" spans="1:20">
      <c r="A697" s="34"/>
      <c r="B697" s="17">
        <f t="shared" si="13"/>
        <v>70425101</v>
      </c>
      <c r="C697" s="37" t="s">
        <v>701</v>
      </c>
      <c r="E697" s="3" t="str">
        <f>F697&amp;(VLOOKUP(G697,编号表!$E$1:$G$8,2,0))&amp;H697&amp;"_"&amp;I697&amp;"_"&amp;J697</f>
        <v>42C5_1_1</v>
      </c>
      <c r="F697" s="3">
        <v>42</v>
      </c>
      <c r="G697" s="3" t="s">
        <v>268</v>
      </c>
      <c r="H697" s="3">
        <v>5</v>
      </c>
      <c r="I697" s="3">
        <v>1</v>
      </c>
      <c r="J697" s="3">
        <v>1</v>
      </c>
    </row>
    <row r="698" ht="12" customHeight="1" spans="1:20">
      <c r="A698" s="34"/>
      <c r="B698" s="17">
        <f t="shared" si="13"/>
        <v>70425102</v>
      </c>
      <c r="C698" s="37" t="s">
        <v>702</v>
      </c>
      <c r="E698" s="3" t="str">
        <f>F698&amp;(VLOOKUP(G698,编号表!$E$1:$G$8,2,0))&amp;H698&amp;"_"&amp;I698&amp;"_"&amp;J698</f>
        <v>42C5_1_2</v>
      </c>
      <c r="F698" s="3">
        <v>42</v>
      </c>
      <c r="G698" s="3" t="s">
        <v>268</v>
      </c>
      <c r="H698" s="3">
        <v>5</v>
      </c>
      <c r="I698" s="3">
        <v>1</v>
      </c>
      <c r="J698" s="3">
        <v>2</v>
      </c>
      <c r="T698" s="18">
        <v>1054304</v>
      </c>
    </row>
    <row r="699" ht="12" customHeight="1" spans="1:20">
      <c r="A699" s="34"/>
      <c r="B699" s="17">
        <f t="shared" si="13"/>
        <v>70425103</v>
      </c>
      <c r="C699" s="37" t="s">
        <v>703</v>
      </c>
      <c r="E699" s="3" t="str">
        <f>F699&amp;(VLOOKUP(G699,编号表!$E$1:$G$8,2,0))&amp;H699&amp;"_"&amp;I699&amp;"_"&amp;J699</f>
        <v>42C5_1_3</v>
      </c>
      <c r="F699" s="3">
        <v>42</v>
      </c>
      <c r="G699" s="3" t="s">
        <v>268</v>
      </c>
      <c r="H699" s="3">
        <v>5</v>
      </c>
      <c r="I699" s="3">
        <v>1</v>
      </c>
      <c r="J699" s="3">
        <v>3</v>
      </c>
    </row>
    <row r="700" ht="12" customHeight="1" spans="1:20">
      <c r="A700" s="34"/>
      <c r="B700" s="17">
        <f t="shared" si="13"/>
        <v>70425104</v>
      </c>
      <c r="C700" s="37" t="s">
        <v>704</v>
      </c>
      <c r="E700" s="3" t="str">
        <f>F700&amp;(VLOOKUP(G700,编号表!$E$1:$G$8,2,0))&amp;H700&amp;"_"&amp;I700&amp;"_"&amp;J700</f>
        <v>42C5_1_4</v>
      </c>
      <c r="F700" s="3">
        <v>42</v>
      </c>
      <c r="G700" s="3" t="s">
        <v>268</v>
      </c>
      <c r="H700" s="3">
        <v>5</v>
      </c>
      <c r="I700" s="3">
        <v>1</v>
      </c>
      <c r="J700" s="3">
        <v>4</v>
      </c>
    </row>
    <row r="701" ht="12" customHeight="1" spans="1:20">
      <c r="A701" s="34"/>
      <c r="B701" s="17">
        <f t="shared" si="13"/>
        <v>70425105</v>
      </c>
      <c r="C701" s="37" t="s">
        <v>705</v>
      </c>
      <c r="E701" s="3" t="str">
        <f>F701&amp;(VLOOKUP(G701,编号表!$E$1:$G$8,2,0))&amp;H701&amp;"_"&amp;I701&amp;"_"&amp;J701</f>
        <v>42C5_1_5</v>
      </c>
      <c r="F701" s="3">
        <v>42</v>
      </c>
      <c r="G701" s="3" t="s">
        <v>268</v>
      </c>
      <c r="H701" s="3">
        <v>5</v>
      </c>
      <c r="I701" s="3">
        <v>1</v>
      </c>
      <c r="J701" s="3">
        <v>5</v>
      </c>
    </row>
    <row r="702" ht="12" customHeight="1" spans="1:20">
      <c r="A702" s="34"/>
      <c r="B702" s="17">
        <f t="shared" si="13"/>
        <v>70425201</v>
      </c>
      <c r="C702" s="37" t="s">
        <v>706</v>
      </c>
      <c r="E702" s="3" t="str">
        <f>F702&amp;(VLOOKUP(G702,编号表!$E$1:$G$8,2,0))&amp;H702&amp;"_"&amp;I702&amp;"_"&amp;J702</f>
        <v>42C5_2_1</v>
      </c>
      <c r="F702" s="3">
        <v>42</v>
      </c>
      <c r="G702" s="3" t="s">
        <v>268</v>
      </c>
      <c r="H702" s="3">
        <v>5</v>
      </c>
      <c r="I702" s="3">
        <v>2</v>
      </c>
      <c r="J702" s="3">
        <v>1</v>
      </c>
      <c r="T702" s="18">
        <v>1054304</v>
      </c>
    </row>
    <row r="703" ht="15" spans="1:20">
      <c r="A703" s="34"/>
      <c r="B703" s="17">
        <f t="shared" ref="B703:B712" si="14">70000000+F703*10000+H703*1000+I703*100+J703</f>
        <v>70425001</v>
      </c>
      <c r="C703" s="39" t="s">
        <v>707</v>
      </c>
      <c r="E703" s="3" t="str">
        <f>F703&amp;(VLOOKUP(G703,编号表!$E$1:$G$8,2,0))&amp;H703&amp;"_"&amp;I703&amp;"_"&amp;J703</f>
        <v>42J5_0_1</v>
      </c>
      <c r="F703" s="3">
        <v>42</v>
      </c>
      <c r="G703" s="3" t="s">
        <v>167</v>
      </c>
      <c r="H703" s="3">
        <v>5</v>
      </c>
      <c r="I703" s="3">
        <v>0</v>
      </c>
      <c r="J703" s="3">
        <v>1</v>
      </c>
      <c r="K703" s="3">
        <v>1</v>
      </c>
    </row>
    <row r="704" ht="15" spans="1:20">
      <c r="A704" s="34"/>
      <c r="B704" s="17">
        <f t="shared" si="14"/>
        <v>70421001</v>
      </c>
      <c r="C704" s="36" t="s">
        <v>708</v>
      </c>
      <c r="E704" s="3" t="str">
        <f>F704&amp;(VLOOKUP(G704,编号表!$E$1:$G$8,2,0))&amp;H704&amp;"_"&amp;I704&amp;"_"&amp;J704</f>
        <v>42T1_0_1</v>
      </c>
      <c r="F704" s="3">
        <v>42</v>
      </c>
      <c r="G704" s="3" t="s">
        <v>169</v>
      </c>
      <c r="H704" s="3">
        <v>1</v>
      </c>
      <c r="I704" s="3">
        <v>0</v>
      </c>
      <c r="J704" s="3">
        <v>1</v>
      </c>
      <c r="L704" s="3">
        <v>1</v>
      </c>
      <c r="R704" s="3">
        <v>70411002</v>
      </c>
    </row>
    <row r="705" ht="15" spans="1:20">
      <c r="A705" s="34"/>
      <c r="B705" s="17">
        <f t="shared" si="14"/>
        <v>70421002</v>
      </c>
      <c r="C705" s="36" t="s">
        <v>708</v>
      </c>
      <c r="E705" s="3" t="str">
        <f>F705&amp;(VLOOKUP(G705,编号表!$E$1:$G$8,2,0))&amp;H705&amp;"_"&amp;I705&amp;"_"&amp;J705</f>
        <v>42T1_0_2</v>
      </c>
      <c r="F705" s="3">
        <v>42</v>
      </c>
      <c r="G705" s="3" t="s">
        <v>169</v>
      </c>
      <c r="H705" s="3">
        <v>1</v>
      </c>
      <c r="I705" s="3">
        <v>0</v>
      </c>
      <c r="J705" s="3">
        <v>2</v>
      </c>
      <c r="L705" s="3">
        <v>1</v>
      </c>
      <c r="R705" s="3">
        <v>70431001</v>
      </c>
    </row>
    <row r="706" ht="15" spans="1:20">
      <c r="A706" s="34"/>
      <c r="B706" s="17">
        <f t="shared" si="14"/>
        <v>70422001</v>
      </c>
      <c r="C706" s="36" t="s">
        <v>709</v>
      </c>
      <c r="E706" s="3" t="str">
        <f>F706&amp;(VLOOKUP(G706,编号表!$E$1:$G$8,2,0))&amp;H706&amp;"_"&amp;I706&amp;"_"&amp;J706</f>
        <v>42D2_0_1</v>
      </c>
      <c r="F706" s="3">
        <v>42</v>
      </c>
      <c r="G706" s="3" t="s">
        <v>171</v>
      </c>
      <c r="H706" s="3">
        <v>2</v>
      </c>
      <c r="I706" s="3">
        <v>0</v>
      </c>
      <c r="J706" s="3">
        <v>1</v>
      </c>
      <c r="M706" s="3">
        <v>1</v>
      </c>
    </row>
    <row r="707" ht="12" customHeight="1" spans="1:20">
      <c r="A707" s="34"/>
      <c r="B707" s="17">
        <f t="shared" si="14"/>
        <v>70435101</v>
      </c>
      <c r="C707" s="37" t="s">
        <v>710</v>
      </c>
      <c r="E707" s="3" t="str">
        <f>F707&amp;(VLOOKUP(G707,编号表!$E$1:$G$8,2,0))&amp;H707&amp;"_"&amp;I707&amp;"_"&amp;J707</f>
        <v>43C5_1_1</v>
      </c>
      <c r="F707" s="3">
        <v>43</v>
      </c>
      <c r="G707" s="3" t="s">
        <v>268</v>
      </c>
      <c r="H707" s="3">
        <v>5</v>
      </c>
      <c r="I707" s="3">
        <v>1</v>
      </c>
      <c r="J707" s="3">
        <v>1</v>
      </c>
      <c r="T707" s="18">
        <v>1055304</v>
      </c>
    </row>
    <row r="708" ht="12" customHeight="1" spans="1:20">
      <c r="A708" s="34"/>
      <c r="B708" s="17">
        <f t="shared" si="14"/>
        <v>70435102</v>
      </c>
      <c r="C708" s="37" t="s">
        <v>711</v>
      </c>
      <c r="E708" s="3" t="str">
        <f>F708&amp;(VLOOKUP(G708,编号表!$E$1:$G$8,2,0))&amp;H708&amp;"_"&amp;I708&amp;"_"&amp;J708</f>
        <v>43C5_1_2</v>
      </c>
      <c r="F708" s="3">
        <v>43</v>
      </c>
      <c r="G708" s="3" t="s">
        <v>268</v>
      </c>
      <c r="H708" s="3">
        <v>5</v>
      </c>
      <c r="I708" s="3">
        <v>1</v>
      </c>
      <c r="J708" s="3">
        <v>2</v>
      </c>
    </row>
    <row r="709" ht="12" customHeight="1" spans="1:20">
      <c r="A709" s="34"/>
      <c r="B709" s="17">
        <f t="shared" si="14"/>
        <v>70435103</v>
      </c>
      <c r="C709" s="37" t="s">
        <v>712</v>
      </c>
      <c r="E709" s="3" t="str">
        <f>F709&amp;(VLOOKUP(G709,编号表!$E$1:$G$8,2,0))&amp;H709&amp;"_"&amp;I709&amp;"_"&amp;J709</f>
        <v>43C5_1_3</v>
      </c>
      <c r="F709" s="3">
        <v>43</v>
      </c>
      <c r="G709" s="3" t="s">
        <v>268</v>
      </c>
      <c r="H709" s="3">
        <v>5</v>
      </c>
      <c r="I709" s="3">
        <v>1</v>
      </c>
      <c r="J709" s="3">
        <v>3</v>
      </c>
    </row>
    <row r="710" ht="12" customHeight="1" spans="1:20">
      <c r="A710" s="34"/>
      <c r="B710" s="17">
        <f t="shared" si="14"/>
        <v>70435104</v>
      </c>
      <c r="C710" s="37" t="s">
        <v>713</v>
      </c>
      <c r="E710" s="3" t="str">
        <f>F710&amp;(VLOOKUP(G710,编号表!$E$1:$G$8,2,0))&amp;H710&amp;"_"&amp;I710&amp;"_"&amp;J710</f>
        <v>43C5_1_4</v>
      </c>
      <c r="F710" s="3">
        <v>43</v>
      </c>
      <c r="G710" s="3" t="s">
        <v>268</v>
      </c>
      <c r="H710" s="3">
        <v>5</v>
      </c>
      <c r="I710" s="3">
        <v>1</v>
      </c>
      <c r="J710" s="3">
        <v>4</v>
      </c>
    </row>
    <row r="711" ht="12" customHeight="1" spans="1:20">
      <c r="A711" s="34"/>
      <c r="B711" s="17">
        <f t="shared" si="14"/>
        <v>70435201</v>
      </c>
      <c r="C711" s="37" t="s">
        <v>714</v>
      </c>
      <c r="E711" s="3" t="str">
        <f>F711&amp;(VLOOKUP(G711,编号表!$E$1:$G$8,2,0))&amp;H711&amp;"_"&amp;I711&amp;"_"&amp;J711</f>
        <v>43C5_2_1</v>
      </c>
      <c r="F711" s="3">
        <v>43</v>
      </c>
      <c r="G711" s="3" t="s">
        <v>268</v>
      </c>
      <c r="H711" s="3">
        <v>5</v>
      </c>
      <c r="I711" s="3">
        <v>2</v>
      </c>
      <c r="J711" s="3">
        <v>1</v>
      </c>
      <c r="T711" s="18">
        <v>1055304</v>
      </c>
    </row>
    <row r="712" ht="12" customHeight="1" spans="1:20">
      <c r="A712" s="34"/>
      <c r="B712" s="17">
        <f t="shared" si="14"/>
        <v>70435202</v>
      </c>
      <c r="C712" s="37" t="s">
        <v>715</v>
      </c>
      <c r="E712" s="3" t="str">
        <f>F712&amp;(VLOOKUP(G712,编号表!$E$1:$G$8,2,0))&amp;H712&amp;"_"&amp;I712&amp;"_"&amp;J712</f>
        <v>43C5_2_2</v>
      </c>
      <c r="F712" s="3">
        <v>43</v>
      </c>
      <c r="G712" s="3" t="s">
        <v>268</v>
      </c>
      <c r="H712" s="3">
        <v>5</v>
      </c>
      <c r="I712" s="3">
        <v>2</v>
      </c>
      <c r="J712" s="3">
        <v>2</v>
      </c>
    </row>
    <row r="713" ht="15" spans="1:20">
      <c r="A713" s="34"/>
      <c r="B713" s="17">
        <f t="shared" ref="B713:B725" si="15">70000000+F713*10000+H713*1000+I713*100+J713</f>
        <v>70435001</v>
      </c>
      <c r="C713" s="39" t="s">
        <v>716</v>
      </c>
      <c r="E713" s="3" t="str">
        <f>F713&amp;(VLOOKUP(G713,编号表!$E$1:$G$8,2,0))&amp;H713&amp;"_"&amp;I713&amp;"_"&amp;J713</f>
        <v>43J5_0_1</v>
      </c>
      <c r="F713" s="3">
        <v>43</v>
      </c>
      <c r="G713" s="3" t="s">
        <v>167</v>
      </c>
      <c r="H713" s="3">
        <v>5</v>
      </c>
      <c r="I713" s="3">
        <v>0</v>
      </c>
      <c r="J713" s="3">
        <v>1</v>
      </c>
      <c r="K713" s="3">
        <v>1</v>
      </c>
    </row>
    <row r="714" ht="15" spans="1:20">
      <c r="A714" s="34"/>
      <c r="B714" s="17">
        <f t="shared" si="15"/>
        <v>70431001</v>
      </c>
      <c r="C714" s="36" t="s">
        <v>717</v>
      </c>
      <c r="E714" s="3" t="str">
        <f>F714&amp;(VLOOKUP(G714,编号表!$E$1:$G$8,2,0))&amp;H714&amp;"_"&amp;I714&amp;"_"&amp;J714</f>
        <v>43T1_0_1</v>
      </c>
      <c r="F714" s="3">
        <v>43</v>
      </c>
      <c r="G714" s="3" t="s">
        <v>169</v>
      </c>
      <c r="H714" s="3">
        <v>1</v>
      </c>
      <c r="I714" s="3">
        <v>0</v>
      </c>
      <c r="J714" s="3">
        <v>1</v>
      </c>
      <c r="L714" s="3">
        <v>1</v>
      </c>
      <c r="R714" s="3">
        <v>70421002</v>
      </c>
    </row>
    <row r="715" ht="15" spans="1:20">
      <c r="A715" s="34"/>
      <c r="B715" s="17">
        <f t="shared" si="15"/>
        <v>70431002</v>
      </c>
      <c r="C715" s="36" t="s">
        <v>717</v>
      </c>
      <c r="E715" s="3" t="str">
        <f>F715&amp;(VLOOKUP(G715,编号表!$E$1:$G$8,2,0))&amp;H715&amp;"_"&amp;I715&amp;"_"&amp;J715</f>
        <v>43T1_0_2</v>
      </c>
      <c r="F715" s="3">
        <v>43</v>
      </c>
      <c r="G715" s="3" t="s">
        <v>169</v>
      </c>
      <c r="H715" s="3">
        <v>1</v>
      </c>
      <c r="I715" s="3">
        <v>0</v>
      </c>
      <c r="J715" s="3">
        <v>2</v>
      </c>
      <c r="L715" s="3">
        <v>1</v>
      </c>
      <c r="R715" s="3">
        <v>70441001</v>
      </c>
    </row>
    <row r="716" ht="15" spans="1:20">
      <c r="A716" s="34"/>
      <c r="B716" s="17">
        <f t="shared" si="15"/>
        <v>70432001</v>
      </c>
      <c r="C716" s="36" t="s">
        <v>718</v>
      </c>
      <c r="E716" s="3" t="str">
        <f>F716&amp;(VLOOKUP(G716,编号表!$E$1:$G$8,2,0))&amp;H716&amp;"_"&amp;I716&amp;"_"&amp;J716</f>
        <v>43D2_0_1</v>
      </c>
      <c r="F716" s="3">
        <v>43</v>
      </c>
      <c r="G716" s="3" t="s">
        <v>171</v>
      </c>
      <c r="H716" s="3">
        <v>2</v>
      </c>
      <c r="I716" s="3">
        <v>0</v>
      </c>
      <c r="J716" s="3">
        <v>1</v>
      </c>
      <c r="M716" s="3">
        <v>1</v>
      </c>
    </row>
    <row r="717" ht="12" customHeight="1" spans="1:20">
      <c r="A717" s="34"/>
      <c r="B717" s="17">
        <f t="shared" si="15"/>
        <v>70445101</v>
      </c>
      <c r="C717" s="37" t="s">
        <v>719</v>
      </c>
      <c r="E717" s="3" t="str">
        <f>F717&amp;(VLOOKUP(G717,编号表!$E$1:$G$8,2,0))&amp;H717&amp;"_"&amp;I717&amp;"_"&amp;J717</f>
        <v>44N5_1_1</v>
      </c>
      <c r="F717" s="3">
        <v>44</v>
      </c>
      <c r="G717" s="3" t="s">
        <v>52</v>
      </c>
      <c r="H717" s="3">
        <v>5</v>
      </c>
      <c r="I717" s="3">
        <v>1</v>
      </c>
      <c r="J717" s="3">
        <v>1</v>
      </c>
      <c r="T717" s="18">
        <v>1056304</v>
      </c>
    </row>
    <row r="718" ht="12" customHeight="1" spans="1:20">
      <c r="A718" s="34"/>
      <c r="B718" s="17">
        <f t="shared" si="15"/>
        <v>70445102</v>
      </c>
      <c r="C718" s="37" t="s">
        <v>720</v>
      </c>
      <c r="E718" s="3" t="str">
        <f>F718&amp;(VLOOKUP(G718,编号表!$E$1:$G$8,2,0))&amp;H718&amp;"_"&amp;I718&amp;"_"&amp;J718</f>
        <v>44N5_1_2</v>
      </c>
      <c r="F718" s="3">
        <v>44</v>
      </c>
      <c r="G718" s="3" t="s">
        <v>52</v>
      </c>
      <c r="H718" s="3">
        <v>5</v>
      </c>
      <c r="I718" s="3">
        <v>1</v>
      </c>
      <c r="J718" s="3">
        <v>2</v>
      </c>
      <c r="T718" s="18">
        <v>1056404</v>
      </c>
    </row>
    <row r="719" ht="12" customHeight="1" spans="1:20">
      <c r="A719" s="34"/>
      <c r="B719" s="17">
        <f t="shared" si="15"/>
        <v>70445103</v>
      </c>
      <c r="C719" s="37" t="s">
        <v>721</v>
      </c>
      <c r="E719" s="3" t="str">
        <f>F719&amp;(VLOOKUP(G719,编号表!$E$1:$G$8,2,0))&amp;H719&amp;"_"&amp;I719&amp;"_"&amp;J719</f>
        <v>44N5_1_3</v>
      </c>
      <c r="F719" s="3">
        <v>44</v>
      </c>
      <c r="G719" s="3" t="s">
        <v>52</v>
      </c>
      <c r="H719" s="3">
        <v>5</v>
      </c>
      <c r="I719" s="3">
        <v>1</v>
      </c>
      <c r="J719" s="3">
        <v>3</v>
      </c>
      <c r="T719" s="18">
        <v>1056304</v>
      </c>
    </row>
    <row r="720" ht="12" customHeight="1" spans="1:20">
      <c r="A720" s="34"/>
      <c r="B720" s="17">
        <f t="shared" si="15"/>
        <v>70445104</v>
      </c>
      <c r="C720" s="37" t="s">
        <v>722</v>
      </c>
      <c r="E720" s="3" t="str">
        <f>F720&amp;(VLOOKUP(G720,编号表!$E$1:$G$8,2,0))&amp;H720&amp;"_"&amp;I720&amp;"_"&amp;J720</f>
        <v>44N5_1_4</v>
      </c>
      <c r="F720" s="3">
        <v>44</v>
      </c>
      <c r="G720" s="3" t="s">
        <v>52</v>
      </c>
      <c r="H720" s="3">
        <v>5</v>
      </c>
      <c r="I720" s="3">
        <v>1</v>
      </c>
      <c r="J720" s="3">
        <v>4</v>
      </c>
      <c r="T720" s="18">
        <v>1056404</v>
      </c>
    </row>
    <row r="721" ht="12" customHeight="1" spans="1:20">
      <c r="A721" s="34"/>
      <c r="B721" s="17">
        <f t="shared" si="15"/>
        <v>70445201</v>
      </c>
      <c r="C721" s="37" t="s">
        <v>723</v>
      </c>
      <c r="E721" s="3" t="str">
        <f>F721&amp;(VLOOKUP(G721,编号表!$E$1:$G$8,2,0))&amp;H721&amp;"_"&amp;I721&amp;"_"&amp;J721</f>
        <v>44N5_2_1</v>
      </c>
      <c r="F721" s="3">
        <v>44</v>
      </c>
      <c r="G721" s="3" t="s">
        <v>52</v>
      </c>
      <c r="H721" s="3">
        <v>5</v>
      </c>
      <c r="I721" s="3">
        <v>2</v>
      </c>
      <c r="J721" s="3">
        <v>1</v>
      </c>
      <c r="T721" s="18">
        <v>1056304</v>
      </c>
    </row>
    <row r="722" ht="12" customHeight="1" spans="1:20">
      <c r="A722" s="34"/>
      <c r="B722" s="17">
        <f t="shared" si="15"/>
        <v>70445202</v>
      </c>
      <c r="C722" s="37" t="s">
        <v>724</v>
      </c>
      <c r="E722" s="3" t="str">
        <f>F722&amp;(VLOOKUP(G722,编号表!$E$1:$G$8,2,0))&amp;H722&amp;"_"&amp;I722&amp;"_"&amp;J722</f>
        <v>44N5_2_2</v>
      </c>
      <c r="F722" s="3">
        <v>44</v>
      </c>
      <c r="G722" s="3" t="s">
        <v>52</v>
      </c>
      <c r="H722" s="3">
        <v>5</v>
      </c>
      <c r="I722" s="3">
        <v>2</v>
      </c>
      <c r="J722" s="3">
        <v>2</v>
      </c>
      <c r="T722" s="18">
        <v>1056404</v>
      </c>
    </row>
    <row r="723" ht="12" customHeight="1" spans="1:20">
      <c r="A723" s="34"/>
      <c r="B723" s="17">
        <f t="shared" si="15"/>
        <v>70445301</v>
      </c>
      <c r="C723" s="37" t="s">
        <v>725</v>
      </c>
      <c r="E723" s="3" t="str">
        <f>F723&amp;(VLOOKUP(G723,编号表!$E$1:$G$8,2,0))&amp;H723&amp;"_"&amp;I723&amp;"_"&amp;J723</f>
        <v>44N5_3_1</v>
      </c>
      <c r="F723" s="3">
        <v>44</v>
      </c>
      <c r="G723" s="3" t="s">
        <v>52</v>
      </c>
      <c r="H723" s="3">
        <v>5</v>
      </c>
      <c r="I723" s="3">
        <v>3</v>
      </c>
      <c r="J723" s="3">
        <v>1</v>
      </c>
      <c r="T723" s="18">
        <v>1056304</v>
      </c>
    </row>
    <row r="724" ht="12" customHeight="1" spans="1:20">
      <c r="A724" s="34"/>
      <c r="B724" s="17">
        <f t="shared" si="15"/>
        <v>70445302</v>
      </c>
      <c r="C724" s="37" t="s">
        <v>726</v>
      </c>
      <c r="E724" s="3" t="str">
        <f>F724&amp;(VLOOKUP(G724,编号表!$E$1:$G$8,2,0))&amp;H724&amp;"_"&amp;I724&amp;"_"&amp;J724</f>
        <v>44N5_3_2</v>
      </c>
      <c r="F724" s="3">
        <v>44</v>
      </c>
      <c r="G724" s="3" t="s">
        <v>52</v>
      </c>
      <c r="H724" s="3">
        <v>5</v>
      </c>
      <c r="I724" s="3">
        <v>3</v>
      </c>
      <c r="J724" s="3">
        <v>2</v>
      </c>
      <c r="T724" s="18">
        <v>1056103</v>
      </c>
    </row>
    <row r="725" ht="12" customHeight="1" spans="1:20">
      <c r="A725" s="34"/>
      <c r="B725" s="17">
        <f t="shared" si="15"/>
        <v>70445303</v>
      </c>
      <c r="C725" s="37" t="s">
        <v>727</v>
      </c>
      <c r="E725" s="3" t="str">
        <f>F725&amp;(VLOOKUP(G725,编号表!$E$1:$G$8,2,0))&amp;H725&amp;"_"&amp;I725&amp;"_"&amp;J725</f>
        <v>44N5_3_3</v>
      </c>
      <c r="F725" s="3">
        <v>44</v>
      </c>
      <c r="G725" s="3" t="s">
        <v>52</v>
      </c>
      <c r="H725" s="3">
        <v>5</v>
      </c>
      <c r="I725" s="3">
        <v>3</v>
      </c>
      <c r="J725" s="3">
        <v>3</v>
      </c>
      <c r="T725" s="18">
        <v>1056001</v>
      </c>
    </row>
    <row r="726" ht="15" spans="1:20">
      <c r="A726" s="34"/>
      <c r="B726" s="17">
        <f t="shared" ref="B726:B740" si="16">70000000+F726*10000+H726*1000+I726*100+J726</f>
        <v>70445001</v>
      </c>
      <c r="C726" s="39" t="s">
        <v>728</v>
      </c>
      <c r="E726" s="3" t="str">
        <f>F726&amp;(VLOOKUP(G726,编号表!$E$1:$G$8,2,0))&amp;H726&amp;"_"&amp;I726&amp;"_"&amp;J726</f>
        <v>44J5_0_1</v>
      </c>
      <c r="F726" s="3">
        <v>44</v>
      </c>
      <c r="G726" s="3" t="s">
        <v>167</v>
      </c>
      <c r="H726" s="3">
        <v>5</v>
      </c>
      <c r="I726" s="3">
        <v>0</v>
      </c>
      <c r="J726" s="3">
        <v>1</v>
      </c>
      <c r="K726" s="3">
        <v>1</v>
      </c>
    </row>
    <row r="727" ht="15" spans="1:20">
      <c r="A727" s="34"/>
      <c r="B727" s="17">
        <f t="shared" si="16"/>
        <v>70441001</v>
      </c>
      <c r="C727" s="36" t="s">
        <v>729</v>
      </c>
      <c r="E727" s="3" t="str">
        <f>F727&amp;(VLOOKUP(G727,编号表!$E$1:$G$8,2,0))&amp;H727&amp;"_"&amp;I727&amp;"_"&amp;J727</f>
        <v>44T1_0_1</v>
      </c>
      <c r="F727" s="3">
        <v>44</v>
      </c>
      <c r="G727" s="3" t="s">
        <v>169</v>
      </c>
      <c r="H727" s="3">
        <v>1</v>
      </c>
      <c r="I727" s="3">
        <v>0</v>
      </c>
      <c r="J727" s="3">
        <v>1</v>
      </c>
      <c r="L727" s="3">
        <v>1</v>
      </c>
      <c r="R727" s="3">
        <v>70431002</v>
      </c>
    </row>
    <row r="728" ht="15" spans="1:20">
      <c r="A728" s="34"/>
      <c r="B728" s="17">
        <f t="shared" si="16"/>
        <v>70441002</v>
      </c>
      <c r="C728" s="36" t="s">
        <v>729</v>
      </c>
      <c r="E728" s="3" t="str">
        <f>F728&amp;(VLOOKUP(G728,编号表!$E$1:$G$8,2,0))&amp;H728&amp;"_"&amp;I728&amp;"_"&amp;J728</f>
        <v>44T1_0_2</v>
      </c>
      <c r="F728" s="3">
        <v>44</v>
      </c>
      <c r="G728" s="3" t="s">
        <v>169</v>
      </c>
      <c r="H728" s="3">
        <v>1</v>
      </c>
      <c r="I728" s="3">
        <v>0</v>
      </c>
      <c r="J728" s="3">
        <v>2</v>
      </c>
      <c r="L728" s="3">
        <v>1</v>
      </c>
      <c r="R728" s="3">
        <v>70451001</v>
      </c>
    </row>
    <row r="729" ht="15" spans="1:20">
      <c r="A729" s="34"/>
      <c r="B729" s="17">
        <f t="shared" si="16"/>
        <v>70442001</v>
      </c>
      <c r="C729" s="36" t="s">
        <v>730</v>
      </c>
      <c r="E729" s="3" t="str">
        <f>F729&amp;(VLOOKUP(G729,编号表!$E$1:$G$8,2,0))&amp;H729&amp;"_"&amp;I729&amp;"_"&amp;J729</f>
        <v>44D2_0_1</v>
      </c>
      <c r="F729" s="3">
        <v>44</v>
      </c>
      <c r="G729" s="3" t="s">
        <v>171</v>
      </c>
      <c r="H729" s="3">
        <v>2</v>
      </c>
      <c r="I729" s="3">
        <v>0</v>
      </c>
      <c r="J729" s="3">
        <v>1</v>
      </c>
      <c r="M729" s="3">
        <v>1</v>
      </c>
    </row>
    <row r="730" ht="12" customHeight="1" spans="1:20">
      <c r="A730" s="34"/>
      <c r="B730" s="17">
        <f t="shared" si="16"/>
        <v>70455101</v>
      </c>
      <c r="C730" s="37" t="s">
        <v>731</v>
      </c>
      <c r="E730" s="3" t="str">
        <f>F730&amp;(VLOOKUP(G730,编号表!$E$1:$G$8,2,0))&amp;H730&amp;"_"&amp;I730&amp;"_"&amp;J730</f>
        <v>45N5_1_1</v>
      </c>
      <c r="F730" s="3">
        <v>45</v>
      </c>
      <c r="G730" s="3" t="s">
        <v>52</v>
      </c>
      <c r="H730" s="3">
        <v>5</v>
      </c>
      <c r="I730" s="3">
        <v>1</v>
      </c>
      <c r="J730" s="3">
        <v>1</v>
      </c>
      <c r="T730" s="18">
        <v>1057304</v>
      </c>
    </row>
    <row r="731" ht="12" customHeight="1" spans="1:20">
      <c r="A731" s="34"/>
      <c r="B731" s="17">
        <f t="shared" si="16"/>
        <v>70455102</v>
      </c>
      <c r="C731" s="37" t="s">
        <v>732</v>
      </c>
      <c r="E731" s="3" t="str">
        <f>F731&amp;(VLOOKUP(G731,编号表!$E$1:$G$8,2,0))&amp;H731&amp;"_"&amp;I731&amp;"_"&amp;J731</f>
        <v>45N5_1_2</v>
      </c>
      <c r="F731" s="3">
        <v>45</v>
      </c>
      <c r="G731" s="3" t="s">
        <v>52</v>
      </c>
      <c r="H731" s="3">
        <v>5</v>
      </c>
      <c r="I731" s="3">
        <v>1</v>
      </c>
      <c r="J731" s="3">
        <v>2</v>
      </c>
      <c r="T731" s="18">
        <v>1057404</v>
      </c>
    </row>
    <row r="732" ht="12" customHeight="1" spans="1:20">
      <c r="A732" s="34"/>
      <c r="B732" s="17">
        <f t="shared" si="16"/>
        <v>70455103</v>
      </c>
      <c r="C732" s="37" t="s">
        <v>733</v>
      </c>
      <c r="E732" s="3" t="str">
        <f>F732&amp;(VLOOKUP(G732,编号表!$E$1:$G$8,2,0))&amp;H732&amp;"_"&amp;I732&amp;"_"&amp;J732</f>
        <v>45N5_1_3</v>
      </c>
      <c r="F732" s="3">
        <v>45</v>
      </c>
      <c r="G732" s="3" t="s">
        <v>52</v>
      </c>
      <c r="H732" s="3">
        <v>5</v>
      </c>
      <c r="I732" s="3">
        <v>1</v>
      </c>
      <c r="J732" s="3">
        <v>3</v>
      </c>
      <c r="T732" s="18">
        <v>1057304</v>
      </c>
    </row>
    <row r="733" ht="12" customHeight="1" spans="1:20">
      <c r="A733" s="34"/>
      <c r="B733" s="17">
        <f t="shared" si="16"/>
        <v>70455104</v>
      </c>
      <c r="C733" s="37" t="s">
        <v>734</v>
      </c>
      <c r="E733" s="3" t="str">
        <f>F733&amp;(VLOOKUP(G733,编号表!$E$1:$G$8,2,0))&amp;H733&amp;"_"&amp;I733&amp;"_"&amp;J733</f>
        <v>45N5_1_4</v>
      </c>
      <c r="F733" s="3">
        <v>45</v>
      </c>
      <c r="G733" s="3" t="s">
        <v>52</v>
      </c>
      <c r="H733" s="3">
        <v>5</v>
      </c>
      <c r="I733" s="3">
        <v>1</v>
      </c>
      <c r="J733" s="3">
        <v>4</v>
      </c>
      <c r="T733" s="18">
        <v>1057404</v>
      </c>
    </row>
    <row r="734" ht="12" customHeight="1" spans="1:20">
      <c r="A734" s="34"/>
      <c r="B734" s="17">
        <f t="shared" si="16"/>
        <v>70455201</v>
      </c>
      <c r="C734" s="37" t="s">
        <v>735</v>
      </c>
      <c r="E734" s="3" t="str">
        <f>F734&amp;(VLOOKUP(G734,编号表!$E$1:$G$8,2,0))&amp;H734&amp;"_"&amp;I734&amp;"_"&amp;J734</f>
        <v>45N5_2_1</v>
      </c>
      <c r="F734" s="3">
        <v>45</v>
      </c>
      <c r="G734" s="3" t="s">
        <v>52</v>
      </c>
      <c r="H734" s="3">
        <v>5</v>
      </c>
      <c r="I734" s="3">
        <v>2</v>
      </c>
      <c r="J734" s="3">
        <v>1</v>
      </c>
      <c r="T734" s="18">
        <v>1057304</v>
      </c>
    </row>
    <row r="735" ht="12" customHeight="1" spans="1:20">
      <c r="A735" s="34"/>
      <c r="B735" s="17">
        <f t="shared" si="16"/>
        <v>70455202</v>
      </c>
      <c r="C735" s="37" t="s">
        <v>736</v>
      </c>
      <c r="E735" s="3" t="str">
        <f>F735&amp;(VLOOKUP(G735,编号表!$E$1:$G$8,2,0))&amp;H735&amp;"_"&amp;I735&amp;"_"&amp;J735</f>
        <v>45N5_2_2</v>
      </c>
      <c r="F735" s="3">
        <v>45</v>
      </c>
      <c r="G735" s="3" t="s">
        <v>52</v>
      </c>
      <c r="H735" s="3">
        <v>5</v>
      </c>
      <c r="I735" s="3">
        <v>2</v>
      </c>
      <c r="J735" s="3">
        <v>2</v>
      </c>
      <c r="T735" s="18">
        <v>1057404</v>
      </c>
    </row>
    <row r="736" ht="12" customHeight="1" spans="1:20">
      <c r="A736" s="34"/>
      <c r="B736" s="17">
        <f t="shared" si="16"/>
        <v>70455203</v>
      </c>
      <c r="C736" s="37" t="s">
        <v>737</v>
      </c>
      <c r="E736" s="3" t="str">
        <f>F736&amp;(VLOOKUP(G736,编号表!$E$1:$G$8,2,0))&amp;H736&amp;"_"&amp;I736&amp;"_"&amp;J736</f>
        <v>45N5_2_3</v>
      </c>
      <c r="F736" s="3">
        <v>45</v>
      </c>
      <c r="G736" s="3" t="s">
        <v>52</v>
      </c>
      <c r="H736" s="3">
        <v>5</v>
      </c>
      <c r="I736" s="3">
        <v>2</v>
      </c>
      <c r="J736" s="3">
        <v>3</v>
      </c>
      <c r="T736" s="18">
        <v>1057304</v>
      </c>
    </row>
    <row r="737" ht="12" customHeight="1" spans="1:20">
      <c r="A737" s="34"/>
      <c r="B737" s="17">
        <f t="shared" si="16"/>
        <v>70455204</v>
      </c>
      <c r="C737" s="37" t="s">
        <v>738</v>
      </c>
      <c r="E737" s="3" t="str">
        <f>F737&amp;(VLOOKUP(G737,编号表!$E$1:$G$8,2,0))&amp;H737&amp;"_"&amp;I737&amp;"_"&amp;J737</f>
        <v>45N5_2_4</v>
      </c>
      <c r="F737" s="3">
        <v>45</v>
      </c>
      <c r="G737" s="3" t="s">
        <v>52</v>
      </c>
      <c r="H737" s="3">
        <v>5</v>
      </c>
      <c r="I737" s="3">
        <v>2</v>
      </c>
      <c r="J737" s="3">
        <v>4</v>
      </c>
      <c r="T737" s="18">
        <v>1057404</v>
      </c>
    </row>
    <row r="738" ht="12" customHeight="1" spans="1:20">
      <c r="A738" s="34"/>
      <c r="B738" s="17">
        <f t="shared" si="16"/>
        <v>70455301</v>
      </c>
      <c r="C738" s="37" t="s">
        <v>739</v>
      </c>
      <c r="E738" s="3" t="str">
        <f>F738&amp;(VLOOKUP(G738,编号表!$E$1:$G$8,2,0))&amp;H738&amp;"_"&amp;I738&amp;"_"&amp;J738</f>
        <v>45N5_3_1</v>
      </c>
      <c r="F738" s="3">
        <v>45</v>
      </c>
      <c r="G738" s="3" t="s">
        <v>52</v>
      </c>
      <c r="H738" s="3">
        <v>5</v>
      </c>
      <c r="I738" s="3">
        <v>3</v>
      </c>
      <c r="J738" s="3">
        <v>1</v>
      </c>
      <c r="T738" s="18">
        <v>1057304</v>
      </c>
    </row>
    <row r="739" ht="12" customHeight="1" spans="1:20">
      <c r="A739" s="34"/>
      <c r="B739" s="17">
        <f t="shared" si="16"/>
        <v>70455302</v>
      </c>
      <c r="C739" s="37" t="s">
        <v>740</v>
      </c>
      <c r="E739" s="3" t="str">
        <f>F739&amp;(VLOOKUP(G739,编号表!$E$1:$G$8,2,0))&amp;H739&amp;"_"&amp;I739&amp;"_"&amp;J739</f>
        <v>45N5_3_2</v>
      </c>
      <c r="F739" s="3">
        <v>45</v>
      </c>
      <c r="G739" s="3" t="s">
        <v>52</v>
      </c>
      <c r="H739" s="3">
        <v>5</v>
      </c>
      <c r="I739" s="3">
        <v>3</v>
      </c>
      <c r="J739" s="3">
        <v>2</v>
      </c>
      <c r="T739" s="18">
        <v>1057103</v>
      </c>
    </row>
    <row r="740" ht="12" customHeight="1" spans="1:20">
      <c r="A740" s="34"/>
      <c r="B740" s="17">
        <f t="shared" si="16"/>
        <v>70455303</v>
      </c>
      <c r="C740" s="37" t="s">
        <v>741</v>
      </c>
      <c r="E740" s="3" t="str">
        <f>F740&amp;(VLOOKUP(G740,编号表!$E$1:$G$8,2,0))&amp;H740&amp;"_"&amp;I740&amp;"_"&amp;J740</f>
        <v>45N5_3_3</v>
      </c>
      <c r="F740" s="3">
        <v>45</v>
      </c>
      <c r="G740" s="3" t="s">
        <v>52</v>
      </c>
      <c r="H740" s="3">
        <v>5</v>
      </c>
      <c r="I740" s="3">
        <v>3</v>
      </c>
      <c r="J740" s="3">
        <v>3</v>
      </c>
      <c r="T740" s="18">
        <v>1057001</v>
      </c>
    </row>
    <row r="741" ht="15" spans="1:20">
      <c r="A741" s="34"/>
      <c r="B741" s="17">
        <f t="shared" ref="B741:B768" si="17">70000000+F741*10000+H741*1000+I741*100+J741</f>
        <v>70455001</v>
      </c>
      <c r="C741" s="39" t="s">
        <v>742</v>
      </c>
      <c r="E741" s="3" t="str">
        <f>F741&amp;(VLOOKUP(G741,编号表!$E$1:$G$8,2,0))&amp;H741&amp;"_"&amp;I741&amp;"_"&amp;J741</f>
        <v>45J5_0_1</v>
      </c>
      <c r="F741" s="3">
        <v>45</v>
      </c>
      <c r="G741" s="3" t="s">
        <v>167</v>
      </c>
      <c r="H741" s="3">
        <v>5</v>
      </c>
      <c r="I741" s="3">
        <v>0</v>
      </c>
      <c r="J741" s="3">
        <v>1</v>
      </c>
      <c r="K741" s="3">
        <v>1</v>
      </c>
    </row>
    <row r="742" ht="15" spans="1:20">
      <c r="A742" s="34"/>
      <c r="B742" s="17">
        <f t="shared" si="17"/>
        <v>70451001</v>
      </c>
      <c r="C742" s="36" t="s">
        <v>743</v>
      </c>
      <c r="E742" s="3" t="str">
        <f>F742&amp;(VLOOKUP(G742,编号表!$E$1:$G$8,2,0))&amp;H742&amp;"_"&amp;I742&amp;"_"&amp;J742</f>
        <v>45T1_0_1</v>
      </c>
      <c r="F742" s="3">
        <v>45</v>
      </c>
      <c r="G742" s="3" t="s">
        <v>169</v>
      </c>
      <c r="H742" s="3">
        <v>1</v>
      </c>
      <c r="I742" s="3">
        <v>0</v>
      </c>
      <c r="J742" s="3">
        <v>1</v>
      </c>
      <c r="L742" s="3">
        <v>1</v>
      </c>
      <c r="R742" s="3">
        <v>70441002</v>
      </c>
    </row>
    <row r="743" ht="15" spans="1:20">
      <c r="A743" s="34"/>
      <c r="B743" s="17">
        <f t="shared" si="17"/>
        <v>70451002</v>
      </c>
      <c r="C743" s="36" t="s">
        <v>743</v>
      </c>
      <c r="E743" s="3" t="str">
        <f>F743&amp;(VLOOKUP(G743,编号表!$E$1:$G$8,2,0))&amp;H743&amp;"_"&amp;I743&amp;"_"&amp;J743</f>
        <v>45T1_0_2</v>
      </c>
      <c r="F743" s="3">
        <v>45</v>
      </c>
      <c r="G743" s="3" t="s">
        <v>169</v>
      </c>
      <c r="H743" s="3">
        <v>1</v>
      </c>
      <c r="I743" s="3">
        <v>0</v>
      </c>
      <c r="J743" s="3">
        <v>2</v>
      </c>
      <c r="L743" s="3">
        <v>1</v>
      </c>
      <c r="R743" s="3">
        <v>70461001</v>
      </c>
    </row>
    <row r="744" ht="15" spans="1:20">
      <c r="A744" s="34"/>
      <c r="B744" s="17">
        <f t="shared" si="17"/>
        <v>70452001</v>
      </c>
      <c r="C744" s="36" t="s">
        <v>744</v>
      </c>
      <c r="E744" s="3" t="str">
        <f>F744&amp;(VLOOKUP(G744,编号表!$E$1:$G$8,2,0))&amp;H744&amp;"_"&amp;I744&amp;"_"&amp;J744</f>
        <v>45D2_0_1</v>
      </c>
      <c r="F744" s="3">
        <v>45</v>
      </c>
      <c r="G744" s="3" t="s">
        <v>171</v>
      </c>
      <c r="H744" s="3">
        <v>2</v>
      </c>
      <c r="I744" s="3">
        <v>0</v>
      </c>
      <c r="J744" s="3">
        <v>1</v>
      </c>
      <c r="M744" s="3">
        <v>1</v>
      </c>
    </row>
    <row r="745" s="17" customFormat="1" ht="15" spans="1:20">
      <c r="A745" s="34"/>
      <c r="B745" s="17">
        <f t="shared" si="17"/>
        <v>70465101</v>
      </c>
      <c r="C745" s="40" t="s">
        <v>745</v>
      </c>
      <c r="D745" s="3"/>
      <c r="E745" s="3" t="str">
        <f>F745&amp;(VLOOKUP(G745,编号表!$E$1:$G$8,2,0))&amp;H745&amp;"_"&amp;I745&amp;"_"&amp;J745</f>
        <v>46N5_1_1</v>
      </c>
      <c r="F745" s="3">
        <v>46</v>
      </c>
      <c r="G745" s="3" t="s">
        <v>52</v>
      </c>
      <c r="H745" s="3">
        <v>5</v>
      </c>
      <c r="I745" s="3">
        <v>1</v>
      </c>
      <c r="J745" s="3">
        <v>1</v>
      </c>
      <c r="K745" s="3"/>
      <c r="L745" s="3"/>
      <c r="M745" s="3"/>
      <c r="N745" s="3"/>
      <c r="O745" s="3"/>
      <c r="P745" s="3"/>
      <c r="Q745" s="3"/>
      <c r="R745" s="3"/>
      <c r="S745" s="17"/>
      <c r="T745" s="18">
        <v>1058304</v>
      </c>
    </row>
    <row r="746" s="17" customFormat="1" ht="15" spans="1:20">
      <c r="A746" s="34"/>
      <c r="B746" s="17">
        <f t="shared" si="17"/>
        <v>70465102</v>
      </c>
      <c r="C746" s="40" t="s">
        <v>746</v>
      </c>
      <c r="D746" s="3"/>
      <c r="E746" s="3" t="str">
        <f>F746&amp;(VLOOKUP(G746,编号表!$E$1:$G$8,2,0))&amp;H746&amp;"_"&amp;I746&amp;"_"&amp;J746</f>
        <v>46N5_1_2</v>
      </c>
      <c r="F746" s="3">
        <v>46</v>
      </c>
      <c r="G746" s="3" t="s">
        <v>52</v>
      </c>
      <c r="H746" s="3">
        <v>5</v>
      </c>
      <c r="I746" s="3">
        <v>1</v>
      </c>
      <c r="J746" s="3">
        <v>2</v>
      </c>
      <c r="K746" s="3"/>
      <c r="L746" s="3"/>
      <c r="M746" s="3"/>
      <c r="N746" s="3"/>
      <c r="O746" s="3"/>
      <c r="P746" s="3"/>
      <c r="Q746" s="3"/>
      <c r="R746" s="3"/>
      <c r="S746" s="17"/>
      <c r="T746" s="18">
        <v>1058304</v>
      </c>
    </row>
    <row r="747" s="17" customFormat="1" ht="15" spans="1:20">
      <c r="A747" s="34"/>
      <c r="B747" s="17">
        <f t="shared" si="17"/>
        <v>70465201</v>
      </c>
      <c r="C747" s="40" t="s">
        <v>747</v>
      </c>
      <c r="D747" s="3"/>
      <c r="E747" s="3" t="str">
        <f>F747&amp;(VLOOKUP(G747,编号表!$E$1:$G$8,2,0))&amp;H747&amp;"_"&amp;I747&amp;"_"&amp;J747</f>
        <v>46N5_2_1</v>
      </c>
      <c r="F747" s="3">
        <v>46</v>
      </c>
      <c r="G747" s="3" t="s">
        <v>52</v>
      </c>
      <c r="H747" s="3">
        <v>5</v>
      </c>
      <c r="I747" s="3">
        <v>2</v>
      </c>
      <c r="J747" s="3">
        <v>1</v>
      </c>
      <c r="K747" s="3"/>
      <c r="L747" s="3"/>
      <c r="M747" s="3"/>
      <c r="N747" s="3"/>
      <c r="O747" s="3"/>
      <c r="P747" s="3"/>
      <c r="Q747" s="3"/>
      <c r="R747" s="3"/>
      <c r="S747" s="17"/>
      <c r="T747" s="18">
        <v>1058304</v>
      </c>
    </row>
    <row r="748" s="17" customFormat="1" ht="15" spans="1:20">
      <c r="A748" s="34"/>
      <c r="B748" s="17">
        <f t="shared" si="17"/>
        <v>70465202</v>
      </c>
      <c r="C748" s="40" t="s">
        <v>748</v>
      </c>
      <c r="D748" s="3"/>
      <c r="E748" s="3" t="str">
        <f>F748&amp;(VLOOKUP(G748,编号表!$E$1:$G$8,2,0))&amp;H748&amp;"_"&amp;I748&amp;"_"&amp;J748</f>
        <v>46N5_2_2</v>
      </c>
      <c r="F748" s="3">
        <v>46</v>
      </c>
      <c r="G748" s="3" t="s">
        <v>52</v>
      </c>
      <c r="H748" s="3">
        <v>5</v>
      </c>
      <c r="I748" s="3">
        <v>2</v>
      </c>
      <c r="J748" s="3">
        <v>2</v>
      </c>
      <c r="K748" s="3"/>
      <c r="L748" s="3"/>
      <c r="M748" s="3"/>
      <c r="N748" s="3"/>
      <c r="O748" s="3"/>
      <c r="P748" s="3"/>
      <c r="Q748" s="3"/>
      <c r="R748" s="3"/>
      <c r="S748" s="17"/>
      <c r="T748" s="18">
        <v>1058102</v>
      </c>
    </row>
    <row r="749" s="17" customFormat="1" ht="15" spans="1:20">
      <c r="A749" s="34"/>
      <c r="B749" s="17">
        <f t="shared" si="17"/>
        <v>70465203</v>
      </c>
      <c r="C749" s="40" t="s">
        <v>749</v>
      </c>
      <c r="D749" s="3"/>
      <c r="E749" s="3" t="str">
        <f>F749&amp;(VLOOKUP(G749,编号表!$E$1:$G$8,2,0))&amp;H749&amp;"_"&amp;I749&amp;"_"&amp;J749</f>
        <v>46N5_2_3</v>
      </c>
      <c r="F749" s="3">
        <v>46</v>
      </c>
      <c r="G749" s="3" t="s">
        <v>52</v>
      </c>
      <c r="H749" s="3">
        <v>5</v>
      </c>
      <c r="I749" s="3">
        <v>2</v>
      </c>
      <c r="J749" s="3">
        <v>3</v>
      </c>
      <c r="K749" s="3"/>
      <c r="L749" s="3"/>
      <c r="M749" s="3"/>
      <c r="N749" s="3"/>
      <c r="O749" s="3"/>
      <c r="P749" s="3"/>
      <c r="Q749" s="3"/>
      <c r="R749" s="3"/>
      <c r="S749" s="17"/>
      <c r="T749" s="18">
        <v>1058001</v>
      </c>
    </row>
    <row r="750" ht="15" spans="1:20">
      <c r="A750" s="34"/>
      <c r="B750" s="17">
        <f t="shared" si="17"/>
        <v>70465001</v>
      </c>
      <c r="C750" s="39" t="s">
        <v>750</v>
      </c>
      <c r="E750" s="3" t="str">
        <f>F750&amp;(VLOOKUP(G750,编号表!$E$1:$G$8,2,0))&amp;H750&amp;"_"&amp;I750&amp;"_"&amp;J750</f>
        <v>46J5_0_1</v>
      </c>
      <c r="F750" s="3">
        <v>46</v>
      </c>
      <c r="G750" s="3" t="s">
        <v>167</v>
      </c>
      <c r="H750" s="3">
        <v>5</v>
      </c>
      <c r="I750" s="3">
        <v>0</v>
      </c>
      <c r="J750" s="3">
        <v>1</v>
      </c>
      <c r="K750" s="3">
        <v>1</v>
      </c>
    </row>
    <row r="751" ht="15" spans="1:20">
      <c r="A751" s="34"/>
      <c r="B751" s="17">
        <f t="shared" si="17"/>
        <v>70461001</v>
      </c>
      <c r="C751" s="36" t="s">
        <v>751</v>
      </c>
      <c r="E751" s="3" t="str">
        <f>F751&amp;(VLOOKUP(G751,编号表!$E$1:$G$8,2,0))&amp;H751&amp;"_"&amp;I751&amp;"_"&amp;J751</f>
        <v>46T1_0_1</v>
      </c>
      <c r="F751" s="3">
        <v>46</v>
      </c>
      <c r="G751" s="3" t="s">
        <v>169</v>
      </c>
      <c r="H751" s="3">
        <v>1</v>
      </c>
      <c r="I751" s="3">
        <v>0</v>
      </c>
      <c r="J751" s="3">
        <v>1</v>
      </c>
      <c r="L751" s="3">
        <v>1</v>
      </c>
      <c r="R751" s="3">
        <v>70451002</v>
      </c>
    </row>
    <row r="752" ht="15" spans="1:20">
      <c r="A752" s="34"/>
      <c r="B752" s="17">
        <f t="shared" si="17"/>
        <v>70461002</v>
      </c>
      <c r="C752" s="36" t="s">
        <v>751</v>
      </c>
      <c r="E752" s="3" t="str">
        <f>F752&amp;(VLOOKUP(G752,编号表!$E$1:$G$8,2,0))&amp;H752&amp;"_"&amp;I752&amp;"_"&amp;J752</f>
        <v>46T1_0_2</v>
      </c>
      <c r="F752" s="3">
        <v>46</v>
      </c>
      <c r="G752" s="3" t="s">
        <v>169</v>
      </c>
      <c r="H752" s="3">
        <v>1</v>
      </c>
      <c r="I752" s="3">
        <v>0</v>
      </c>
      <c r="J752" s="3">
        <v>2</v>
      </c>
      <c r="L752" s="3">
        <v>1</v>
      </c>
      <c r="R752" s="3">
        <v>70016204</v>
      </c>
    </row>
    <row r="753" ht="15" spans="1:20">
      <c r="A753" s="34"/>
      <c r="B753" s="17">
        <f t="shared" si="17"/>
        <v>70462001</v>
      </c>
      <c r="C753" s="36" t="s">
        <v>752</v>
      </c>
      <c r="E753" s="3" t="str">
        <f>F753&amp;(VLOOKUP(G753,编号表!$E$1:$G$8,2,0))&amp;H753&amp;"_"&amp;I753&amp;"_"&amp;J753</f>
        <v>46D2_0_1</v>
      </c>
      <c r="F753" s="3">
        <v>46</v>
      </c>
      <c r="G753" s="3" t="s">
        <v>171</v>
      </c>
      <c r="H753" s="3">
        <v>2</v>
      </c>
      <c r="I753" s="3">
        <v>0</v>
      </c>
      <c r="J753" s="3">
        <v>1</v>
      </c>
      <c r="M753" s="3">
        <v>1</v>
      </c>
    </row>
    <row r="754" ht="15" spans="1:20">
      <c r="A754" s="34"/>
      <c r="B754" s="17">
        <f t="shared" si="17"/>
        <v>70475001</v>
      </c>
      <c r="C754" s="39" t="s">
        <v>753</v>
      </c>
      <c r="E754" s="3" t="str">
        <f>F754&amp;(VLOOKUP(G754,编号表!$E$1:$G$8,2,0))&amp;H754&amp;"_"&amp;I754&amp;"_"&amp;J754</f>
        <v>47J5_0_1</v>
      </c>
      <c r="F754" s="3">
        <v>47</v>
      </c>
      <c r="G754" s="3" t="s">
        <v>167</v>
      </c>
      <c r="H754" s="3">
        <v>5</v>
      </c>
      <c r="I754" s="3">
        <v>0</v>
      </c>
      <c r="J754" s="3">
        <v>1</v>
      </c>
      <c r="K754" s="3">
        <v>1</v>
      </c>
    </row>
    <row r="755" ht="15" spans="1:20">
      <c r="A755" s="34"/>
      <c r="B755" s="17">
        <f t="shared" si="17"/>
        <v>70471001</v>
      </c>
      <c r="C755" s="36" t="s">
        <v>754</v>
      </c>
      <c r="E755" s="3" t="str">
        <f>F755&amp;(VLOOKUP(G755,编号表!$E$1:$G$8,2,0))&amp;H755&amp;"_"&amp;I755&amp;"_"&amp;J755</f>
        <v>47T1_0_1</v>
      </c>
      <c r="F755" s="3">
        <v>47</v>
      </c>
      <c r="G755" s="3" t="s">
        <v>169</v>
      </c>
      <c r="H755" s="3">
        <v>1</v>
      </c>
      <c r="I755" s="3">
        <v>0</v>
      </c>
      <c r="J755" s="3">
        <v>1</v>
      </c>
      <c r="L755" s="3">
        <v>1</v>
      </c>
      <c r="R755" s="3">
        <v>70016204</v>
      </c>
    </row>
    <row r="756" ht="15" spans="1:20">
      <c r="A756" s="34"/>
      <c r="B756" s="17">
        <f t="shared" si="17"/>
        <v>70471002</v>
      </c>
      <c r="C756" s="36" t="s">
        <v>754</v>
      </c>
      <c r="E756" s="3" t="str">
        <f>F756&amp;(VLOOKUP(G756,编号表!$E$1:$G$8,2,0))&amp;H756&amp;"_"&amp;I756&amp;"_"&amp;J756</f>
        <v>47T1_0_2</v>
      </c>
      <c r="F756" s="3">
        <v>47</v>
      </c>
      <c r="G756" s="3" t="s">
        <v>169</v>
      </c>
      <c r="H756" s="3">
        <v>1</v>
      </c>
      <c r="I756" s="3">
        <v>0</v>
      </c>
      <c r="J756" s="3">
        <v>2</v>
      </c>
      <c r="L756" s="3">
        <v>1</v>
      </c>
      <c r="R756" s="3">
        <v>70481001</v>
      </c>
    </row>
    <row r="757" ht="15" spans="1:20">
      <c r="A757" s="34"/>
      <c r="B757" s="17">
        <f t="shared" si="17"/>
        <v>70472001</v>
      </c>
      <c r="C757" s="36" t="s">
        <v>755</v>
      </c>
      <c r="E757" s="3" t="str">
        <f>F757&amp;(VLOOKUP(G757,编号表!$E$1:$G$8,2,0))&amp;H757&amp;"_"&amp;I757&amp;"_"&amp;J757</f>
        <v>47D2_0_1</v>
      </c>
      <c r="F757" s="3">
        <v>47</v>
      </c>
      <c r="G757" s="3" t="s">
        <v>171</v>
      </c>
      <c r="H757" s="3">
        <v>2</v>
      </c>
      <c r="I757" s="3">
        <v>0</v>
      </c>
      <c r="J757" s="3">
        <v>1</v>
      </c>
      <c r="M757" s="3">
        <v>1</v>
      </c>
    </row>
    <row r="758" s="17" customFormat="1" ht="15" spans="1:20">
      <c r="A758" s="34"/>
      <c r="B758" s="17">
        <f t="shared" si="17"/>
        <v>70485101</v>
      </c>
      <c r="C758" s="40" t="s">
        <v>756</v>
      </c>
      <c r="D758" s="3"/>
      <c r="E758" s="3" t="str">
        <f>F758&amp;(VLOOKUP(G758,编号表!$E$1:$G$8,2,0))&amp;H758&amp;"_"&amp;I758&amp;"_"&amp;J758</f>
        <v>48N5_1_1</v>
      </c>
      <c r="F758" s="3">
        <v>48</v>
      </c>
      <c r="G758" s="3" t="s">
        <v>52</v>
      </c>
      <c r="H758" s="3">
        <v>5</v>
      </c>
      <c r="I758" s="3">
        <v>1</v>
      </c>
      <c r="J758" s="3">
        <v>1</v>
      </c>
      <c r="K758" s="3"/>
      <c r="L758" s="3"/>
      <c r="M758" s="3"/>
      <c r="N758" s="3"/>
      <c r="O758" s="3"/>
      <c r="P758" s="3"/>
      <c r="Q758" s="3"/>
      <c r="R758" s="3"/>
      <c r="T758" s="18">
        <v>1064304</v>
      </c>
    </row>
    <row r="759" s="17" customFormat="1" ht="15" spans="1:20">
      <c r="A759" s="34"/>
      <c r="B759" s="17">
        <f t="shared" si="17"/>
        <v>70485102</v>
      </c>
      <c r="C759" s="40" t="s">
        <v>757</v>
      </c>
      <c r="D759" s="3"/>
      <c r="E759" s="3" t="str">
        <f>F759&amp;(VLOOKUP(G759,编号表!$E$1:$G$8,2,0))&amp;H759&amp;"_"&amp;I759&amp;"_"&amp;J759</f>
        <v>48N5_1_2</v>
      </c>
      <c r="F759" s="3">
        <v>48</v>
      </c>
      <c r="G759" s="3" t="s">
        <v>52</v>
      </c>
      <c r="H759" s="3">
        <v>5</v>
      </c>
      <c r="I759" s="3">
        <v>1</v>
      </c>
      <c r="J759" s="3">
        <v>2</v>
      </c>
      <c r="K759" s="3"/>
      <c r="L759" s="3"/>
      <c r="M759" s="3"/>
      <c r="N759" s="3"/>
      <c r="O759" s="3"/>
      <c r="P759" s="3"/>
      <c r="Q759" s="3"/>
      <c r="R759" s="3"/>
      <c r="T759" s="18">
        <v>1064103</v>
      </c>
    </row>
    <row r="760" s="17" customFormat="1" ht="15" spans="1:20">
      <c r="A760" s="34"/>
      <c r="B760" s="17">
        <f t="shared" si="17"/>
        <v>70485103</v>
      </c>
      <c r="C760" s="40" t="s">
        <v>758</v>
      </c>
      <c r="D760" s="3"/>
      <c r="E760" s="3" t="str">
        <f>F760&amp;(VLOOKUP(G760,编号表!$E$1:$G$8,2,0))&amp;H760&amp;"_"&amp;I760&amp;"_"&amp;J760</f>
        <v>48N5_1_3</v>
      </c>
      <c r="F760" s="3">
        <v>48</v>
      </c>
      <c r="G760" s="3" t="s">
        <v>52</v>
      </c>
      <c r="H760" s="3">
        <v>5</v>
      </c>
      <c r="I760" s="3">
        <v>1</v>
      </c>
      <c r="J760" s="3">
        <v>3</v>
      </c>
      <c r="K760" s="3"/>
      <c r="L760" s="3"/>
      <c r="M760" s="3"/>
      <c r="N760" s="3"/>
      <c r="O760" s="3"/>
      <c r="P760" s="3"/>
      <c r="Q760" s="3"/>
      <c r="R760" s="3"/>
      <c r="T760" s="18">
        <v>1064604</v>
      </c>
    </row>
    <row r="761" s="17" customFormat="1" ht="15" spans="1:20">
      <c r="A761" s="34"/>
      <c r="B761" s="17">
        <f t="shared" si="17"/>
        <v>70485201</v>
      </c>
      <c r="C761" s="40" t="s">
        <v>759</v>
      </c>
      <c r="D761" s="3"/>
      <c r="E761" s="3" t="str">
        <f>F761&amp;(VLOOKUP(G761,编号表!$E$1:$G$8,2,0))&amp;H761&amp;"_"&amp;I761&amp;"_"&amp;J761</f>
        <v>48N5_2_1</v>
      </c>
      <c r="F761" s="3">
        <v>48</v>
      </c>
      <c r="G761" s="3" t="s">
        <v>52</v>
      </c>
      <c r="H761" s="3">
        <v>5</v>
      </c>
      <c r="I761" s="3">
        <v>2</v>
      </c>
      <c r="J761" s="3">
        <v>1</v>
      </c>
      <c r="K761" s="3"/>
      <c r="L761" s="3"/>
      <c r="M761" s="3"/>
      <c r="N761" s="3"/>
      <c r="O761" s="3"/>
      <c r="P761" s="3"/>
      <c r="Q761" s="3"/>
      <c r="R761" s="3"/>
      <c r="T761" s="18">
        <v>1064304</v>
      </c>
    </row>
    <row r="762" s="17" customFormat="1" ht="15" spans="1:20">
      <c r="A762" s="34"/>
      <c r="B762" s="17">
        <f t="shared" si="17"/>
        <v>70485202</v>
      </c>
      <c r="C762" s="40" t="s">
        <v>760</v>
      </c>
      <c r="D762" s="3"/>
      <c r="E762" s="3" t="str">
        <f>F762&amp;(VLOOKUP(G762,编号表!$E$1:$G$8,2,0))&amp;H762&amp;"_"&amp;I762&amp;"_"&amp;J762</f>
        <v>48N5_2_2</v>
      </c>
      <c r="F762" s="3">
        <v>48</v>
      </c>
      <c r="G762" s="3" t="s">
        <v>52</v>
      </c>
      <c r="H762" s="3">
        <v>5</v>
      </c>
      <c r="I762" s="3">
        <v>2</v>
      </c>
      <c r="J762" s="3">
        <v>2</v>
      </c>
      <c r="K762" s="3"/>
      <c r="L762" s="3"/>
      <c r="M762" s="3"/>
      <c r="N762" s="3"/>
      <c r="O762" s="3"/>
      <c r="P762" s="3"/>
      <c r="Q762" s="3"/>
      <c r="R762" s="3"/>
      <c r="T762" s="18">
        <v>1064504</v>
      </c>
    </row>
    <row r="763" s="17" customFormat="1" ht="15" spans="1:20">
      <c r="A763" s="34"/>
      <c r="B763" s="17">
        <f t="shared" si="17"/>
        <v>70485203</v>
      </c>
      <c r="C763" s="40" t="s">
        <v>761</v>
      </c>
      <c r="D763" s="3"/>
      <c r="E763" s="3" t="str">
        <f>F763&amp;(VLOOKUP(G763,编号表!$E$1:$G$8,2,0))&amp;H763&amp;"_"&amp;I763&amp;"_"&amp;J763</f>
        <v>48N5_2_3</v>
      </c>
      <c r="F763" s="3">
        <v>48</v>
      </c>
      <c r="G763" s="3" t="s">
        <v>52</v>
      </c>
      <c r="H763" s="3">
        <v>5</v>
      </c>
      <c r="I763" s="3">
        <v>2</v>
      </c>
      <c r="J763" s="3">
        <v>3</v>
      </c>
      <c r="K763" s="3"/>
      <c r="L763" s="3"/>
      <c r="M763" s="3"/>
      <c r="N763" s="3"/>
      <c r="O763" s="3"/>
      <c r="P763" s="3"/>
      <c r="Q763" s="3"/>
      <c r="R763" s="3"/>
      <c r="T763" s="18">
        <v>1064604</v>
      </c>
    </row>
    <row r="764" s="17" customFormat="1" ht="15" spans="1:20">
      <c r="A764" s="34"/>
      <c r="B764" s="17">
        <f t="shared" si="17"/>
        <v>70485301</v>
      </c>
      <c r="C764" s="40" t="s">
        <v>762</v>
      </c>
      <c r="D764" s="3"/>
      <c r="E764" s="3" t="str">
        <f>F764&amp;(VLOOKUP(G764,编号表!$E$1:$G$8,2,0))&amp;H764&amp;"_"&amp;I764&amp;"_"&amp;J764</f>
        <v>48N5_3_1</v>
      </c>
      <c r="F764" s="3">
        <v>48</v>
      </c>
      <c r="G764" s="3" t="s">
        <v>52</v>
      </c>
      <c r="H764" s="3">
        <v>5</v>
      </c>
      <c r="I764" s="3">
        <v>3</v>
      </c>
      <c r="J764" s="3">
        <v>1</v>
      </c>
      <c r="K764" s="3"/>
      <c r="L764" s="3"/>
      <c r="M764" s="3"/>
      <c r="N764" s="3"/>
      <c r="O764" s="3"/>
      <c r="P764" s="3"/>
      <c r="Q764" s="3"/>
      <c r="R764" s="3"/>
      <c r="T764" s="18">
        <v>1064304</v>
      </c>
    </row>
    <row r="765" s="17" customFormat="1" ht="15" spans="1:20">
      <c r="A765" s="34"/>
      <c r="B765" s="17">
        <f t="shared" si="17"/>
        <v>70485302</v>
      </c>
      <c r="C765" s="40" t="s">
        <v>763</v>
      </c>
      <c r="D765" s="3"/>
      <c r="E765" s="3" t="str">
        <f>F765&amp;(VLOOKUP(G765,编号表!$E$1:$G$8,2,0))&amp;H765&amp;"_"&amp;I765&amp;"_"&amp;J765</f>
        <v>48N5_3_2</v>
      </c>
      <c r="F765" s="3">
        <v>48</v>
      </c>
      <c r="G765" s="3" t="s">
        <v>52</v>
      </c>
      <c r="H765" s="3">
        <v>5</v>
      </c>
      <c r="I765" s="3">
        <v>3</v>
      </c>
      <c r="J765" s="3">
        <v>2</v>
      </c>
      <c r="K765" s="3"/>
      <c r="L765" s="3"/>
      <c r="M765" s="3"/>
      <c r="N765" s="3"/>
      <c r="O765" s="3"/>
      <c r="P765" s="3"/>
      <c r="Q765" s="3"/>
      <c r="R765" s="3"/>
      <c r="T765" s="18">
        <v>1064103</v>
      </c>
    </row>
    <row r="766" s="17" customFormat="1" ht="15" spans="1:20">
      <c r="A766" s="34"/>
      <c r="B766" s="17">
        <f t="shared" si="17"/>
        <v>70485401</v>
      </c>
      <c r="C766" s="40" t="s">
        <v>764</v>
      </c>
      <c r="D766" s="3"/>
      <c r="E766" s="3" t="str">
        <f>F766&amp;(VLOOKUP(G766,编号表!$E$1:$G$8,2,0))&amp;H766&amp;"_"&amp;I766&amp;"_"&amp;J766</f>
        <v>48N5_4_1</v>
      </c>
      <c r="F766" s="3">
        <v>48</v>
      </c>
      <c r="G766" s="3" t="s">
        <v>52</v>
      </c>
      <c r="H766" s="3">
        <v>5</v>
      </c>
      <c r="I766" s="3">
        <v>4</v>
      </c>
      <c r="J766" s="3">
        <v>1</v>
      </c>
      <c r="K766" s="3"/>
      <c r="L766" s="3"/>
      <c r="M766" s="3"/>
      <c r="N766" s="3"/>
      <c r="O766" s="3"/>
      <c r="P766" s="3"/>
      <c r="Q766" s="3"/>
      <c r="R766" s="3"/>
      <c r="T766" s="18">
        <v>1064604</v>
      </c>
    </row>
    <row r="767" s="17" customFormat="1" ht="15" spans="1:20">
      <c r="A767" s="34"/>
      <c r="B767" s="17">
        <f t="shared" si="17"/>
        <v>70485402</v>
      </c>
      <c r="C767" s="40" t="s">
        <v>765</v>
      </c>
      <c r="D767" s="3"/>
      <c r="E767" s="3" t="str">
        <f>F767&amp;(VLOOKUP(G767,编号表!$E$1:$G$8,2,0))&amp;H767&amp;"_"&amp;I767&amp;"_"&amp;J767</f>
        <v>48N5_4_2</v>
      </c>
      <c r="F767" s="3">
        <v>48</v>
      </c>
      <c r="G767" s="3" t="s">
        <v>52</v>
      </c>
      <c r="H767" s="3">
        <v>5</v>
      </c>
      <c r="I767" s="3">
        <v>4</v>
      </c>
      <c r="J767" s="3">
        <v>2</v>
      </c>
      <c r="K767" s="3"/>
      <c r="L767" s="3"/>
      <c r="M767" s="3"/>
      <c r="N767" s="3"/>
      <c r="O767" s="3"/>
      <c r="P767" s="3"/>
      <c r="Q767" s="3"/>
      <c r="R767" s="3"/>
      <c r="T767" s="18">
        <v>1064103</v>
      </c>
    </row>
    <row r="768" s="17" customFormat="1" ht="15" spans="1:20">
      <c r="A768" s="34"/>
      <c r="B768" s="17">
        <f t="shared" si="17"/>
        <v>70485403</v>
      </c>
      <c r="C768" s="40" t="s">
        <v>766</v>
      </c>
      <c r="D768" s="3"/>
      <c r="E768" s="3" t="str">
        <f>F768&amp;(VLOOKUP(G768,编号表!$E$1:$G$8,2,0))&amp;H768&amp;"_"&amp;I768&amp;"_"&amp;J768</f>
        <v>48N5_4_3</v>
      </c>
      <c r="F768" s="3">
        <v>48</v>
      </c>
      <c r="G768" s="3" t="s">
        <v>52</v>
      </c>
      <c r="H768" s="3">
        <v>5</v>
      </c>
      <c r="I768" s="3">
        <v>4</v>
      </c>
      <c r="J768" s="3">
        <v>3</v>
      </c>
      <c r="K768" s="3"/>
      <c r="L768" s="3"/>
      <c r="M768" s="3"/>
      <c r="N768" s="3"/>
      <c r="O768" s="3"/>
      <c r="P768" s="3"/>
      <c r="Q768" s="3"/>
      <c r="R768" s="3"/>
      <c r="T768" s="18">
        <v>1064001</v>
      </c>
    </row>
    <row r="769" ht="15" spans="1:20">
      <c r="A769" s="34"/>
      <c r="B769" s="17">
        <f t="shared" ref="B769:B783" si="18">70000000+F769*10000+H769*1000+I769*100+J769</f>
        <v>70485001</v>
      </c>
      <c r="C769" s="39" t="s">
        <v>767</v>
      </c>
      <c r="E769" s="3" t="str">
        <f>F769&amp;(VLOOKUP(G769,编号表!$E$1:$G$8,2,0))&amp;H769&amp;"_"&amp;I769&amp;"_"&amp;J769</f>
        <v>48J5_0_1</v>
      </c>
      <c r="F769" s="3">
        <v>48</v>
      </c>
      <c r="G769" s="3" t="s">
        <v>167</v>
      </c>
      <c r="H769" s="3">
        <v>5</v>
      </c>
      <c r="I769" s="3">
        <v>0</v>
      </c>
      <c r="J769" s="3">
        <v>1</v>
      </c>
      <c r="K769" s="3">
        <v>1</v>
      </c>
    </row>
    <row r="770" ht="15" spans="1:20">
      <c r="A770" s="34"/>
      <c r="B770" s="17">
        <f t="shared" si="18"/>
        <v>70481001</v>
      </c>
      <c r="C770" s="36" t="s">
        <v>768</v>
      </c>
      <c r="E770" s="3" t="str">
        <f>F770&amp;(VLOOKUP(G770,编号表!$E$1:$G$8,2,0))&amp;H770&amp;"_"&amp;I770&amp;"_"&amp;J770</f>
        <v>48T1_0_1</v>
      </c>
      <c r="F770" s="3">
        <v>48</v>
      </c>
      <c r="G770" s="3" t="s">
        <v>169</v>
      </c>
      <c r="H770" s="3">
        <v>1</v>
      </c>
      <c r="I770" s="3">
        <v>0</v>
      </c>
      <c r="J770" s="3">
        <v>1</v>
      </c>
      <c r="L770" s="3">
        <v>1</v>
      </c>
      <c r="R770" s="3">
        <v>70471002</v>
      </c>
    </row>
    <row r="771" ht="15" spans="1:20">
      <c r="A771" s="34"/>
      <c r="B771" s="17">
        <f t="shared" si="18"/>
        <v>70481002</v>
      </c>
      <c r="C771" s="36" t="s">
        <v>768</v>
      </c>
      <c r="E771" s="3" t="str">
        <f>F771&amp;(VLOOKUP(G771,编号表!$E$1:$G$8,2,0))&amp;H771&amp;"_"&amp;I771&amp;"_"&amp;J771</f>
        <v>48T1_0_2</v>
      </c>
      <c r="F771" s="3">
        <v>48</v>
      </c>
      <c r="G771" s="3" t="s">
        <v>169</v>
      </c>
      <c r="H771" s="3">
        <v>1</v>
      </c>
      <c r="I771" s="3">
        <v>0</v>
      </c>
      <c r="J771" s="3">
        <v>2</v>
      </c>
      <c r="L771" s="3">
        <v>1</v>
      </c>
      <c r="R771" s="3">
        <v>70491001</v>
      </c>
    </row>
    <row r="772" ht="15" spans="1:20">
      <c r="A772" s="34"/>
      <c r="B772" s="17">
        <f t="shared" si="18"/>
        <v>70482001</v>
      </c>
      <c r="C772" s="36" t="s">
        <v>769</v>
      </c>
      <c r="E772" s="3" t="str">
        <f>F772&amp;(VLOOKUP(G772,编号表!$E$1:$G$8,2,0))&amp;H772&amp;"_"&amp;I772&amp;"_"&amp;J772</f>
        <v>48D2_0_1</v>
      </c>
      <c r="F772" s="3">
        <v>48</v>
      </c>
      <c r="G772" s="3" t="s">
        <v>171</v>
      </c>
      <c r="H772" s="3">
        <v>2</v>
      </c>
      <c r="I772" s="3">
        <v>0</v>
      </c>
      <c r="J772" s="3">
        <v>1</v>
      </c>
      <c r="M772" s="3">
        <v>1</v>
      </c>
    </row>
    <row r="773" s="17" customFormat="1" ht="15" spans="1:20">
      <c r="A773" s="34"/>
      <c r="B773" s="17">
        <f t="shared" si="18"/>
        <v>70495101</v>
      </c>
      <c r="C773" s="40" t="s">
        <v>770</v>
      </c>
      <c r="D773" s="3"/>
      <c r="E773" s="3" t="str">
        <f>F773&amp;(VLOOKUP(G773,编号表!$E$1:$G$8,2,0))&amp;H773&amp;"_"&amp;I773&amp;"_"&amp;J773</f>
        <v>49N5_1_1</v>
      </c>
      <c r="F773" s="3">
        <v>49</v>
      </c>
      <c r="G773" s="3" t="s">
        <v>52</v>
      </c>
      <c r="H773" s="3">
        <v>5</v>
      </c>
      <c r="I773" s="3">
        <v>1</v>
      </c>
      <c r="J773" s="3">
        <v>1</v>
      </c>
      <c r="K773" s="3"/>
      <c r="L773" s="3"/>
      <c r="M773" s="3"/>
      <c r="N773" s="3"/>
      <c r="O773" s="3"/>
      <c r="P773" s="3"/>
      <c r="Q773" s="3"/>
      <c r="R773" s="3"/>
      <c r="T773" s="18">
        <v>1065303</v>
      </c>
    </row>
    <row r="774" s="17" customFormat="1" ht="15" spans="1:20">
      <c r="A774" s="34"/>
      <c r="B774" s="17">
        <f t="shared" si="18"/>
        <v>70495102</v>
      </c>
      <c r="C774" s="40" t="s">
        <v>771</v>
      </c>
      <c r="D774" s="3"/>
      <c r="E774" s="3" t="str">
        <f>F774&amp;(VLOOKUP(G774,编号表!$E$1:$G$8,2,0))&amp;H774&amp;"_"&amp;I774&amp;"_"&amp;J774</f>
        <v>49N5_1_2</v>
      </c>
      <c r="F774" s="3">
        <v>49</v>
      </c>
      <c r="G774" s="3" t="s">
        <v>52</v>
      </c>
      <c r="H774" s="3">
        <v>5</v>
      </c>
      <c r="I774" s="3">
        <v>1</v>
      </c>
      <c r="J774" s="3">
        <v>2</v>
      </c>
      <c r="K774" s="3"/>
      <c r="L774" s="3"/>
      <c r="M774" s="3"/>
      <c r="N774" s="3"/>
      <c r="O774" s="3"/>
      <c r="P774" s="3"/>
      <c r="Q774" s="3"/>
      <c r="R774" s="3"/>
      <c r="T774" s="18">
        <v>1065404</v>
      </c>
    </row>
    <row r="775" s="17" customFormat="1" ht="15" spans="1:20">
      <c r="A775" s="34"/>
      <c r="B775" s="17">
        <f t="shared" si="18"/>
        <v>70495103</v>
      </c>
      <c r="C775" s="40" t="s">
        <v>772</v>
      </c>
      <c r="D775" s="3"/>
      <c r="E775" s="3" t="str">
        <f>F775&amp;(VLOOKUP(G775,编号表!$E$1:$G$8,2,0))&amp;H775&amp;"_"&amp;I775&amp;"_"&amp;J775</f>
        <v>49N5_1_3</v>
      </c>
      <c r="F775" s="3">
        <v>49</v>
      </c>
      <c r="G775" s="3" t="s">
        <v>52</v>
      </c>
      <c r="H775" s="3">
        <v>5</v>
      </c>
      <c r="I775" s="3">
        <v>1</v>
      </c>
      <c r="J775" s="3">
        <v>3</v>
      </c>
      <c r="K775" s="3"/>
      <c r="L775" s="3"/>
      <c r="M775" s="3"/>
      <c r="N775" s="3"/>
      <c r="O775" s="3"/>
      <c r="P775" s="3"/>
      <c r="Q775" s="3"/>
      <c r="R775" s="3"/>
      <c r="T775" s="18">
        <v>1065504</v>
      </c>
    </row>
    <row r="776" s="17" customFormat="1" ht="15" spans="1:20">
      <c r="A776" s="34"/>
      <c r="B776" s="17">
        <f t="shared" si="18"/>
        <v>70495104</v>
      </c>
      <c r="C776" s="40" t="s">
        <v>773</v>
      </c>
      <c r="D776" s="3"/>
      <c r="E776" s="3" t="str">
        <f>F776&amp;(VLOOKUP(G776,编号表!$E$1:$G$8,2,0))&amp;H776&amp;"_"&amp;I776&amp;"_"&amp;J776</f>
        <v>49N5_1_4</v>
      </c>
      <c r="F776" s="3">
        <v>49</v>
      </c>
      <c r="G776" s="3" t="s">
        <v>52</v>
      </c>
      <c r="H776" s="3">
        <v>5</v>
      </c>
      <c r="I776" s="3">
        <v>1</v>
      </c>
      <c r="J776" s="3">
        <v>4</v>
      </c>
      <c r="K776" s="3"/>
      <c r="L776" s="3"/>
      <c r="M776" s="3"/>
      <c r="N776" s="3"/>
      <c r="O776" s="3"/>
      <c r="P776" s="3"/>
      <c r="Q776" s="3"/>
      <c r="R776" s="3"/>
      <c r="T776" s="18">
        <v>1065604</v>
      </c>
    </row>
    <row r="777" s="17" customFormat="1" ht="15" spans="1:20">
      <c r="A777" s="34"/>
      <c r="B777" s="17">
        <f t="shared" si="18"/>
        <v>70495201</v>
      </c>
      <c r="C777" s="40" t="s">
        <v>774</v>
      </c>
      <c r="D777" s="3"/>
      <c r="E777" s="3" t="str">
        <f>F777&amp;(VLOOKUP(G777,编号表!$E$1:$G$8,2,0))&amp;H777&amp;"_"&amp;I777&amp;"_"&amp;J777</f>
        <v>49N5_2_1</v>
      </c>
      <c r="F777" s="3">
        <v>49</v>
      </c>
      <c r="G777" s="3" t="s">
        <v>52</v>
      </c>
      <c r="H777" s="3">
        <v>5</v>
      </c>
      <c r="I777" s="3">
        <v>2</v>
      </c>
      <c r="J777" s="3">
        <v>1</v>
      </c>
      <c r="K777" s="3"/>
      <c r="L777" s="3"/>
      <c r="M777" s="3"/>
      <c r="N777" s="3"/>
      <c r="O777" s="3"/>
      <c r="P777" s="3"/>
      <c r="Q777" s="3"/>
      <c r="R777" s="3"/>
      <c r="T777" s="18">
        <v>1065303</v>
      </c>
    </row>
    <row r="778" s="17" customFormat="1" ht="15" spans="1:20">
      <c r="A778" s="34"/>
      <c r="B778" s="17">
        <f t="shared" si="18"/>
        <v>70495202</v>
      </c>
      <c r="C778" s="40" t="s">
        <v>775</v>
      </c>
      <c r="D778" s="3"/>
      <c r="E778" s="3" t="str">
        <f>F778&amp;(VLOOKUP(G778,编号表!$E$1:$G$8,2,0))&amp;H778&amp;"_"&amp;I778&amp;"_"&amp;J778</f>
        <v>49N5_2_2</v>
      </c>
      <c r="F778" s="3">
        <v>49</v>
      </c>
      <c r="G778" s="3" t="s">
        <v>52</v>
      </c>
      <c r="H778" s="3">
        <v>5</v>
      </c>
      <c r="I778" s="3">
        <v>2</v>
      </c>
      <c r="J778" s="3">
        <v>2</v>
      </c>
      <c r="K778" s="3"/>
      <c r="L778" s="3"/>
      <c r="M778" s="3"/>
      <c r="N778" s="3"/>
      <c r="O778" s="3"/>
      <c r="P778" s="3"/>
      <c r="Q778" s="3"/>
      <c r="R778" s="3"/>
      <c r="T778" s="18">
        <v>1065103</v>
      </c>
    </row>
    <row r="779" s="17" customFormat="1" ht="15" spans="1:20">
      <c r="A779" s="34"/>
      <c r="B779" s="17">
        <f t="shared" si="18"/>
        <v>70495203</v>
      </c>
      <c r="C779" s="40" t="s">
        <v>776</v>
      </c>
      <c r="D779" s="3"/>
      <c r="E779" s="3" t="str">
        <f>F779&amp;(VLOOKUP(G779,编号表!$E$1:$G$8,2,0))&amp;H779&amp;"_"&amp;I779&amp;"_"&amp;J779</f>
        <v>49N5_2_3</v>
      </c>
      <c r="F779" s="3">
        <v>49</v>
      </c>
      <c r="G779" s="3" t="s">
        <v>52</v>
      </c>
      <c r="H779" s="3">
        <v>5</v>
      </c>
      <c r="I779" s="3">
        <v>2</v>
      </c>
      <c r="J779" s="3">
        <v>3</v>
      </c>
      <c r="K779" s="3"/>
      <c r="L779" s="3"/>
      <c r="M779" s="3"/>
      <c r="N779" s="3"/>
      <c r="O779" s="3"/>
      <c r="P779" s="3"/>
      <c r="Q779" s="3"/>
      <c r="R779" s="3"/>
      <c r="T779" s="18">
        <v>1065103</v>
      </c>
    </row>
    <row r="780" s="17" customFormat="1" ht="15" spans="1:20">
      <c r="A780" s="34"/>
      <c r="B780" s="17">
        <f t="shared" si="18"/>
        <v>70495301</v>
      </c>
      <c r="C780" s="40" t="s">
        <v>777</v>
      </c>
      <c r="D780" s="3"/>
      <c r="E780" s="3" t="str">
        <f>F780&amp;(VLOOKUP(G780,编号表!$E$1:$G$8,2,0))&amp;H780&amp;"_"&amp;I780&amp;"_"&amp;J780</f>
        <v>49N5_3_1</v>
      </c>
      <c r="F780" s="3">
        <v>49</v>
      </c>
      <c r="G780" s="3" t="s">
        <v>52</v>
      </c>
      <c r="H780" s="3">
        <v>5</v>
      </c>
      <c r="I780" s="3">
        <v>3</v>
      </c>
      <c r="J780" s="3">
        <v>1</v>
      </c>
      <c r="K780" s="3"/>
      <c r="L780" s="3"/>
      <c r="M780" s="3"/>
      <c r="N780" s="3"/>
      <c r="O780" s="3"/>
      <c r="P780" s="3"/>
      <c r="Q780" s="3"/>
      <c r="R780" s="3"/>
      <c r="T780" s="18">
        <v>1065604</v>
      </c>
    </row>
    <row r="781" s="17" customFormat="1" ht="15" spans="1:20">
      <c r="A781" s="34"/>
      <c r="B781" s="17">
        <f t="shared" si="18"/>
        <v>70495302</v>
      </c>
      <c r="C781" s="40" t="s">
        <v>778</v>
      </c>
      <c r="D781" s="3"/>
      <c r="E781" s="3" t="str">
        <f>F781&amp;(VLOOKUP(G781,编号表!$E$1:$G$8,2,0))&amp;H781&amp;"_"&amp;I781&amp;"_"&amp;J781</f>
        <v>49N5_3_2</v>
      </c>
      <c r="F781" s="3">
        <v>49</v>
      </c>
      <c r="G781" s="3" t="s">
        <v>52</v>
      </c>
      <c r="H781" s="3">
        <v>5</v>
      </c>
      <c r="I781" s="3">
        <v>3</v>
      </c>
      <c r="J781" s="3">
        <v>2</v>
      </c>
      <c r="K781" s="3"/>
      <c r="L781" s="3"/>
      <c r="M781" s="3"/>
      <c r="N781" s="3"/>
      <c r="O781" s="3"/>
      <c r="P781" s="3"/>
      <c r="Q781" s="3"/>
      <c r="R781" s="3"/>
      <c r="T781" s="18">
        <v>1065303</v>
      </c>
    </row>
    <row r="782" s="17" customFormat="1" ht="15" spans="1:20">
      <c r="A782" s="34"/>
      <c r="B782" s="17">
        <f t="shared" si="18"/>
        <v>70495303</v>
      </c>
      <c r="C782" s="40" t="s">
        <v>779</v>
      </c>
      <c r="D782" s="3"/>
      <c r="E782" s="3" t="str">
        <f>F782&amp;(VLOOKUP(G782,编号表!$E$1:$G$8,2,0))&amp;H782&amp;"_"&amp;I782&amp;"_"&amp;J782</f>
        <v>49N5_3_3</v>
      </c>
      <c r="F782" s="3">
        <v>49</v>
      </c>
      <c r="G782" s="3" t="s">
        <v>52</v>
      </c>
      <c r="H782" s="3">
        <v>5</v>
      </c>
      <c r="I782" s="3">
        <v>3</v>
      </c>
      <c r="J782" s="3">
        <v>3</v>
      </c>
      <c r="K782" s="3"/>
      <c r="L782" s="3"/>
      <c r="M782" s="3"/>
      <c r="N782" s="3"/>
      <c r="O782" s="3"/>
      <c r="P782" s="3"/>
      <c r="Q782" s="3"/>
      <c r="R782" s="3"/>
      <c r="T782" s="18">
        <v>1065404</v>
      </c>
    </row>
    <row r="783" s="17" customFormat="1" ht="15" spans="1:20">
      <c r="A783" s="34"/>
      <c r="B783" s="17">
        <f t="shared" si="18"/>
        <v>70495304</v>
      </c>
      <c r="C783" s="40" t="s">
        <v>780</v>
      </c>
      <c r="D783" s="3"/>
      <c r="E783" s="3" t="str">
        <f>F783&amp;(VLOOKUP(G783,编号表!$E$1:$G$8,2,0))&amp;H783&amp;"_"&amp;I783&amp;"_"&amp;J783</f>
        <v>49N5_3_4</v>
      </c>
      <c r="F783" s="3">
        <v>49</v>
      </c>
      <c r="G783" s="3" t="s">
        <v>52</v>
      </c>
      <c r="H783" s="3">
        <v>5</v>
      </c>
      <c r="I783" s="3">
        <v>3</v>
      </c>
      <c r="J783" s="3">
        <v>4</v>
      </c>
      <c r="K783" s="3"/>
      <c r="L783" s="3"/>
      <c r="M783" s="3"/>
      <c r="N783" s="3"/>
      <c r="O783" s="3"/>
      <c r="P783" s="3"/>
      <c r="Q783" s="3"/>
      <c r="R783" s="3"/>
      <c r="T783" s="18">
        <v>1065103</v>
      </c>
    </row>
    <row r="784" ht="15" spans="1:20">
      <c r="A784" s="34"/>
      <c r="B784" s="17">
        <f t="shared" ref="B784:B798" si="19">70000000+F784*10000+H784*1000+I784*100+J784</f>
        <v>70495001</v>
      </c>
      <c r="C784" s="39" t="s">
        <v>781</v>
      </c>
      <c r="E784" s="3" t="str">
        <f>F784&amp;(VLOOKUP(G784,编号表!$E$1:$G$8,2,0))&amp;H784&amp;"_"&amp;I784&amp;"_"&amp;J784</f>
        <v>49J5_0_1</v>
      </c>
      <c r="F784" s="3">
        <v>49</v>
      </c>
      <c r="G784" s="3" t="s">
        <v>167</v>
      </c>
      <c r="H784" s="3">
        <v>5</v>
      </c>
      <c r="I784" s="3">
        <v>0</v>
      </c>
      <c r="J784" s="3">
        <v>1</v>
      </c>
      <c r="K784" s="3">
        <v>1</v>
      </c>
    </row>
    <row r="785" ht="15" spans="1:20">
      <c r="A785" s="34"/>
      <c r="B785" s="17">
        <f t="shared" si="19"/>
        <v>70491001</v>
      </c>
      <c r="C785" s="36" t="s">
        <v>782</v>
      </c>
      <c r="E785" s="3" t="str">
        <f>F785&amp;(VLOOKUP(G785,编号表!$E$1:$G$8,2,0))&amp;H785&amp;"_"&amp;I785&amp;"_"&amp;J785</f>
        <v>49T1_0_1</v>
      </c>
      <c r="F785" s="3">
        <v>49</v>
      </c>
      <c r="G785" s="3" t="s">
        <v>169</v>
      </c>
      <c r="H785" s="3">
        <v>1</v>
      </c>
      <c r="I785" s="3">
        <v>0</v>
      </c>
      <c r="J785" s="3">
        <v>1</v>
      </c>
      <c r="L785" s="3">
        <v>1</v>
      </c>
      <c r="R785" s="3">
        <v>70481002</v>
      </c>
    </row>
    <row r="786" ht="15" spans="1:20">
      <c r="A786" s="34"/>
      <c r="B786" s="17">
        <f t="shared" si="19"/>
        <v>70491002</v>
      </c>
      <c r="C786" s="36" t="s">
        <v>782</v>
      </c>
      <c r="E786" s="3" t="str">
        <f>F786&amp;(VLOOKUP(G786,编号表!$E$1:$G$8,2,0))&amp;H786&amp;"_"&amp;I786&amp;"_"&amp;J786</f>
        <v>49T1_0_2</v>
      </c>
      <c r="F786" s="3">
        <v>49</v>
      </c>
      <c r="G786" s="3" t="s">
        <v>169</v>
      </c>
      <c r="H786" s="3">
        <v>1</v>
      </c>
      <c r="I786" s="3">
        <v>0</v>
      </c>
      <c r="J786" s="3">
        <v>2</v>
      </c>
      <c r="L786" s="3">
        <v>1</v>
      </c>
      <c r="R786" s="3">
        <v>70501001</v>
      </c>
    </row>
    <row r="787" ht="15" spans="1:20">
      <c r="A787" s="34"/>
      <c r="B787" s="17">
        <f t="shared" si="19"/>
        <v>70492001</v>
      </c>
      <c r="C787" s="36" t="s">
        <v>783</v>
      </c>
      <c r="E787" s="3" t="str">
        <f>F787&amp;(VLOOKUP(G787,编号表!$E$1:$G$8,2,0))&amp;H787&amp;"_"&amp;I787&amp;"_"&amp;J787</f>
        <v>49D2_0_1</v>
      </c>
      <c r="F787" s="3">
        <v>49</v>
      </c>
      <c r="G787" s="3" t="s">
        <v>171</v>
      </c>
      <c r="H787" s="3">
        <v>2</v>
      </c>
      <c r="I787" s="3">
        <v>0</v>
      </c>
      <c r="J787" s="3">
        <v>1</v>
      </c>
      <c r="M787" s="3">
        <v>1</v>
      </c>
    </row>
    <row r="788" s="17" customFormat="1" ht="15" spans="1:20">
      <c r="A788" s="34"/>
      <c r="B788" s="17">
        <f t="shared" si="19"/>
        <v>70505101</v>
      </c>
      <c r="C788" s="40" t="s">
        <v>784</v>
      </c>
      <c r="D788" s="3"/>
      <c r="E788" s="3" t="str">
        <f>F788&amp;(VLOOKUP(G788,编号表!$E$1:$G$8,2,0))&amp;H788&amp;"_"&amp;I788&amp;"_"&amp;J788</f>
        <v>50N5_1_1</v>
      </c>
      <c r="F788" s="3">
        <v>50</v>
      </c>
      <c r="G788" s="3" t="s">
        <v>52</v>
      </c>
      <c r="H788" s="3">
        <v>5</v>
      </c>
      <c r="I788" s="3">
        <v>1</v>
      </c>
      <c r="J788" s="3">
        <v>1</v>
      </c>
      <c r="K788" s="3"/>
      <c r="L788" s="3"/>
      <c r="M788" s="3"/>
      <c r="N788" s="3"/>
      <c r="O788" s="3"/>
      <c r="P788" s="3"/>
      <c r="Q788" s="3"/>
      <c r="R788" s="3"/>
      <c r="T788" s="18">
        <v>1061404</v>
      </c>
    </row>
    <row r="789" s="17" customFormat="1" ht="15" spans="1:20">
      <c r="A789" s="34"/>
      <c r="B789" s="17">
        <f t="shared" si="19"/>
        <v>70505102</v>
      </c>
      <c r="C789" s="40" t="s">
        <v>785</v>
      </c>
      <c r="D789" s="3"/>
      <c r="E789" s="3" t="str">
        <f>F789&amp;(VLOOKUP(G789,编号表!$E$1:$G$8,2,0))&amp;H789&amp;"_"&amp;I789&amp;"_"&amp;J789</f>
        <v>50N5_1_2</v>
      </c>
      <c r="F789" s="3">
        <v>50</v>
      </c>
      <c r="G789" s="3" t="s">
        <v>52</v>
      </c>
      <c r="H789" s="3">
        <v>5</v>
      </c>
      <c r="I789" s="3">
        <v>1</v>
      </c>
      <c r="J789" s="3">
        <v>2</v>
      </c>
      <c r="K789" s="3"/>
      <c r="L789" s="3"/>
      <c r="M789" s="3"/>
      <c r="N789" s="3"/>
      <c r="O789" s="3"/>
      <c r="P789" s="3"/>
      <c r="Q789" s="3"/>
      <c r="R789" s="3"/>
      <c r="T789" s="18">
        <v>1061504</v>
      </c>
    </row>
    <row r="790" s="17" customFormat="1" ht="15" spans="1:20">
      <c r="A790" s="34"/>
      <c r="B790" s="17">
        <f t="shared" si="19"/>
        <v>70505201</v>
      </c>
      <c r="C790" s="40" t="s">
        <v>786</v>
      </c>
      <c r="D790" s="3"/>
      <c r="E790" s="3" t="str">
        <f>F790&amp;(VLOOKUP(G790,编号表!$E$1:$G$8,2,0))&amp;H790&amp;"_"&amp;I790&amp;"_"&amp;J790</f>
        <v>50N5_2_1</v>
      </c>
      <c r="F790" s="3">
        <v>50</v>
      </c>
      <c r="G790" s="3" t="s">
        <v>52</v>
      </c>
      <c r="H790" s="3">
        <v>5</v>
      </c>
      <c r="I790" s="3">
        <v>2</v>
      </c>
      <c r="J790" s="3">
        <v>1</v>
      </c>
      <c r="K790" s="3"/>
      <c r="L790" s="3"/>
      <c r="M790" s="3"/>
      <c r="N790" s="3"/>
      <c r="O790" s="3"/>
      <c r="P790" s="3"/>
      <c r="Q790" s="3"/>
      <c r="R790" s="3"/>
      <c r="T790" s="18">
        <v>1061103</v>
      </c>
    </row>
    <row r="791" s="17" customFormat="1" ht="15" spans="1:20">
      <c r="A791" s="34"/>
      <c r="B791" s="17">
        <f t="shared" si="19"/>
        <v>70505202</v>
      </c>
      <c r="C791" s="40" t="s">
        <v>787</v>
      </c>
      <c r="D791" s="3"/>
      <c r="E791" s="3" t="str">
        <f>F791&amp;(VLOOKUP(G791,编号表!$E$1:$G$8,2,0))&amp;H791&amp;"_"&amp;I791&amp;"_"&amp;J791</f>
        <v>50N5_2_2</v>
      </c>
      <c r="F791" s="3">
        <v>50</v>
      </c>
      <c r="G791" s="3" t="s">
        <v>52</v>
      </c>
      <c r="H791" s="3">
        <v>5</v>
      </c>
      <c r="I791" s="3">
        <v>2</v>
      </c>
      <c r="J791" s="3">
        <v>2</v>
      </c>
      <c r="K791" s="3"/>
      <c r="L791" s="3"/>
      <c r="M791" s="3"/>
      <c r="N791" s="3"/>
      <c r="O791" s="3"/>
      <c r="P791" s="3"/>
      <c r="Q791" s="3"/>
      <c r="R791" s="3"/>
      <c r="T791" s="18">
        <v>1061001</v>
      </c>
    </row>
    <row r="792" s="17" customFormat="1" ht="15" spans="1:20">
      <c r="A792" s="34"/>
      <c r="B792" s="17">
        <f t="shared" si="19"/>
        <v>70505203</v>
      </c>
      <c r="C792" s="40" t="s">
        <v>788</v>
      </c>
      <c r="D792" s="3"/>
      <c r="E792" s="3" t="str">
        <f>F792&amp;(VLOOKUP(G792,编号表!$E$1:$G$8,2,0))&amp;H792&amp;"_"&amp;I792&amp;"_"&amp;J792</f>
        <v>50N5_2_3</v>
      </c>
      <c r="F792" s="3">
        <v>50</v>
      </c>
      <c r="G792" s="3" t="s">
        <v>52</v>
      </c>
      <c r="H792" s="3">
        <v>5</v>
      </c>
      <c r="I792" s="3">
        <v>2</v>
      </c>
      <c r="J792" s="3">
        <v>3</v>
      </c>
      <c r="K792" s="3"/>
      <c r="L792" s="3"/>
      <c r="M792" s="3"/>
      <c r="N792" s="3"/>
      <c r="O792" s="3"/>
      <c r="P792" s="3"/>
      <c r="Q792" s="3"/>
      <c r="R792" s="3"/>
      <c r="T792" s="18">
        <v>1061404</v>
      </c>
    </row>
    <row r="793" s="17" customFormat="1" ht="15" spans="1:20">
      <c r="A793" s="34"/>
      <c r="B793" s="17">
        <f t="shared" si="19"/>
        <v>70505301</v>
      </c>
      <c r="C793" s="40" t="s">
        <v>789</v>
      </c>
      <c r="D793" s="3"/>
      <c r="E793" s="3" t="str">
        <f>F793&amp;(VLOOKUP(G793,编号表!$E$1:$G$8,2,0))&amp;H793&amp;"_"&amp;I793&amp;"_"&amp;J793</f>
        <v>50N5_3_1</v>
      </c>
      <c r="F793" s="3">
        <v>50</v>
      </c>
      <c r="G793" s="3" t="s">
        <v>52</v>
      </c>
      <c r="H793" s="3">
        <v>5</v>
      </c>
      <c r="I793" s="3">
        <v>3</v>
      </c>
      <c r="J793" s="3">
        <v>1</v>
      </c>
      <c r="K793" s="3"/>
      <c r="L793" s="3"/>
      <c r="M793" s="3"/>
      <c r="N793" s="3"/>
      <c r="O793" s="3"/>
      <c r="P793" s="3"/>
      <c r="Q793" s="3"/>
      <c r="R793" s="3"/>
      <c r="T793" s="18">
        <v>1061103</v>
      </c>
    </row>
    <row r="794" s="17" customFormat="1" ht="15" spans="1:20">
      <c r="A794" s="34"/>
      <c r="B794" s="17">
        <f t="shared" si="19"/>
        <v>70505302</v>
      </c>
      <c r="C794" s="40" t="s">
        <v>790</v>
      </c>
      <c r="D794" s="3"/>
      <c r="E794" s="3" t="str">
        <f>F794&amp;(VLOOKUP(G794,编号表!$E$1:$G$8,2,0))&amp;H794&amp;"_"&amp;I794&amp;"_"&amp;J794</f>
        <v>50N5_3_2</v>
      </c>
      <c r="F794" s="3">
        <v>50</v>
      </c>
      <c r="G794" s="3" t="s">
        <v>52</v>
      </c>
      <c r="H794" s="3">
        <v>5</v>
      </c>
      <c r="I794" s="3">
        <v>3</v>
      </c>
      <c r="J794" s="3">
        <v>2</v>
      </c>
      <c r="K794" s="3"/>
      <c r="L794" s="3"/>
      <c r="M794" s="3"/>
      <c r="N794" s="3"/>
      <c r="O794" s="3"/>
      <c r="P794" s="3"/>
      <c r="Q794" s="3"/>
      <c r="R794" s="3"/>
      <c r="T794" s="18">
        <v>1061404</v>
      </c>
    </row>
    <row r="795" s="17" customFormat="1" ht="15" spans="1:20">
      <c r="A795" s="34"/>
      <c r="B795" s="17">
        <f t="shared" si="19"/>
        <v>70505303</v>
      </c>
      <c r="C795" s="40" t="s">
        <v>791</v>
      </c>
      <c r="D795" s="3"/>
      <c r="E795" s="3" t="str">
        <f>F795&amp;(VLOOKUP(G795,编号表!$E$1:$G$8,2,0))&amp;H795&amp;"_"&amp;I795&amp;"_"&amp;J795</f>
        <v>50N5_3_3</v>
      </c>
      <c r="F795" s="3">
        <v>50</v>
      </c>
      <c r="G795" s="3" t="s">
        <v>52</v>
      </c>
      <c r="H795" s="3">
        <v>5</v>
      </c>
      <c r="I795" s="3">
        <v>3</v>
      </c>
      <c r="J795" s="3">
        <v>3</v>
      </c>
      <c r="K795" s="3"/>
      <c r="L795" s="3"/>
      <c r="M795" s="3"/>
      <c r="N795" s="3"/>
      <c r="O795" s="3"/>
      <c r="P795" s="3"/>
      <c r="Q795" s="3"/>
      <c r="R795" s="3"/>
      <c r="T795" s="18">
        <v>1061103</v>
      </c>
    </row>
    <row r="796" s="17" customFormat="1" ht="15" spans="1:20">
      <c r="A796" s="34"/>
      <c r="B796" s="17">
        <f t="shared" si="19"/>
        <v>70505304</v>
      </c>
      <c r="C796" s="40" t="s">
        <v>792</v>
      </c>
      <c r="D796" s="3"/>
      <c r="E796" s="3" t="str">
        <f>F796&amp;(VLOOKUP(G796,编号表!$E$1:$G$8,2,0))&amp;H796&amp;"_"&amp;I796&amp;"_"&amp;J796</f>
        <v>50N5_3_4</v>
      </c>
      <c r="F796" s="3">
        <v>50</v>
      </c>
      <c r="G796" s="3" t="s">
        <v>52</v>
      </c>
      <c r="H796" s="3">
        <v>5</v>
      </c>
      <c r="I796" s="3">
        <v>3</v>
      </c>
      <c r="J796" s="3">
        <v>4</v>
      </c>
      <c r="K796" s="3"/>
      <c r="L796" s="3"/>
      <c r="M796" s="3"/>
      <c r="N796" s="3"/>
      <c r="O796" s="3"/>
      <c r="P796" s="3"/>
      <c r="Q796" s="3"/>
      <c r="R796" s="3"/>
      <c r="T796" s="18">
        <v>1061504</v>
      </c>
    </row>
    <row r="797" ht="15" spans="1:20">
      <c r="A797" s="34"/>
      <c r="B797" s="17">
        <f t="shared" ref="B797:B809" si="20">70000000+F797*10000+H797*1000+I797*100+J797</f>
        <v>70505001</v>
      </c>
      <c r="C797" s="39" t="s">
        <v>793</v>
      </c>
      <c r="E797" s="3" t="str">
        <f>F797&amp;(VLOOKUP(G797,编号表!$E$1:$G$8,2,0))&amp;H797&amp;"_"&amp;I797&amp;"_"&amp;J797</f>
        <v>50J5_0_1</v>
      </c>
      <c r="F797" s="3">
        <v>50</v>
      </c>
      <c r="G797" s="3" t="s">
        <v>167</v>
      </c>
      <c r="H797" s="3">
        <v>5</v>
      </c>
      <c r="I797" s="3">
        <v>0</v>
      </c>
      <c r="J797" s="3">
        <v>1</v>
      </c>
      <c r="K797" s="3">
        <v>1</v>
      </c>
    </row>
    <row r="798" ht="15" spans="1:20">
      <c r="A798" s="34"/>
      <c r="B798" s="17">
        <f t="shared" si="20"/>
        <v>70501001</v>
      </c>
      <c r="C798" s="36" t="s">
        <v>794</v>
      </c>
      <c r="E798" s="3" t="str">
        <f>F798&amp;(VLOOKUP(G798,编号表!$E$1:$G$8,2,0))&amp;H798&amp;"_"&amp;I798&amp;"_"&amp;J798</f>
        <v>50T1_0_1</v>
      </c>
      <c r="F798" s="3">
        <v>50</v>
      </c>
      <c r="G798" s="3" t="s">
        <v>169</v>
      </c>
      <c r="H798" s="3">
        <v>1</v>
      </c>
      <c r="I798" s="3">
        <v>0</v>
      </c>
      <c r="J798" s="3">
        <v>1</v>
      </c>
      <c r="L798" s="3">
        <v>1</v>
      </c>
      <c r="R798" s="3">
        <v>70491002</v>
      </c>
    </row>
    <row r="799" ht="15" spans="1:20">
      <c r="A799" s="34"/>
      <c r="B799" s="17">
        <f t="shared" si="20"/>
        <v>70501002</v>
      </c>
      <c r="C799" s="36" t="s">
        <v>794</v>
      </c>
      <c r="E799" s="3" t="str">
        <f>F799&amp;(VLOOKUP(G799,编号表!$E$1:$G$8,2,0))&amp;H799&amp;"_"&amp;I799&amp;"_"&amp;J799</f>
        <v>50T1_0_2</v>
      </c>
      <c r="F799" s="3">
        <v>50</v>
      </c>
      <c r="G799" s="3" t="s">
        <v>169</v>
      </c>
      <c r="H799" s="3">
        <v>1</v>
      </c>
      <c r="I799" s="3">
        <v>0</v>
      </c>
      <c r="J799" s="3">
        <v>2</v>
      </c>
      <c r="L799" s="3">
        <v>1</v>
      </c>
      <c r="R799" s="3">
        <v>70511001</v>
      </c>
    </row>
    <row r="800" ht="15" spans="1:20">
      <c r="A800" s="34"/>
      <c r="B800" s="17">
        <f t="shared" si="20"/>
        <v>70502001</v>
      </c>
      <c r="C800" s="36" t="s">
        <v>795</v>
      </c>
      <c r="E800" s="3" t="str">
        <f>F800&amp;(VLOOKUP(G800,编号表!$E$1:$G$8,2,0))&amp;H800&amp;"_"&amp;I800&amp;"_"&amp;J800</f>
        <v>50D2_0_1</v>
      </c>
      <c r="F800" s="3">
        <v>50</v>
      </c>
      <c r="G800" s="3" t="s">
        <v>171</v>
      </c>
      <c r="H800" s="3">
        <v>2</v>
      </c>
      <c r="I800" s="3">
        <v>0</v>
      </c>
      <c r="J800" s="3">
        <v>1</v>
      </c>
      <c r="M800" s="3">
        <v>1</v>
      </c>
    </row>
    <row r="801" s="17" customFormat="1" ht="15" spans="1:20">
      <c r="A801" s="34"/>
      <c r="B801" s="17">
        <f t="shared" si="20"/>
        <v>70515101</v>
      </c>
      <c r="C801" s="40" t="s">
        <v>796</v>
      </c>
      <c r="D801" s="3"/>
      <c r="E801" s="3" t="str">
        <f>F801&amp;(VLOOKUP(G801,编号表!$E$1:$G$8,2,0))&amp;H801&amp;"_"&amp;I801&amp;"_"&amp;J801</f>
        <v>51N5_1_1</v>
      </c>
      <c r="F801" s="3">
        <v>51</v>
      </c>
      <c r="G801" s="3" t="s">
        <v>52</v>
      </c>
      <c r="H801" s="3">
        <v>5</v>
      </c>
      <c r="I801" s="3">
        <v>1</v>
      </c>
      <c r="J801" s="3">
        <v>1</v>
      </c>
      <c r="K801" s="3"/>
      <c r="L801" s="3"/>
      <c r="M801" s="3"/>
      <c r="N801" s="3"/>
      <c r="O801" s="3"/>
      <c r="P801" s="3"/>
      <c r="Q801" s="3"/>
      <c r="R801" s="3"/>
      <c r="T801" s="18">
        <v>1062304</v>
      </c>
    </row>
    <row r="802" s="17" customFormat="1" ht="15" spans="1:20">
      <c r="A802" s="34"/>
      <c r="B802" s="17">
        <f t="shared" si="20"/>
        <v>70515102</v>
      </c>
      <c r="C802" s="40" t="s">
        <v>797</v>
      </c>
      <c r="D802" s="3"/>
      <c r="E802" s="3" t="str">
        <f>F802&amp;(VLOOKUP(G802,编号表!$E$1:$G$8,2,0))&amp;H802&amp;"_"&amp;I802&amp;"_"&amp;J802</f>
        <v>51N5_1_2</v>
      </c>
      <c r="F802" s="3">
        <v>51</v>
      </c>
      <c r="G802" s="3" t="s">
        <v>52</v>
      </c>
      <c r="H802" s="3">
        <v>5</v>
      </c>
      <c r="I802" s="3">
        <v>1</v>
      </c>
      <c r="J802" s="3">
        <v>2</v>
      </c>
      <c r="K802" s="3"/>
      <c r="L802" s="3"/>
      <c r="M802" s="3"/>
      <c r="N802" s="3"/>
      <c r="O802" s="3"/>
      <c r="P802" s="3"/>
      <c r="Q802" s="3"/>
      <c r="R802" s="3"/>
      <c r="T802" s="18">
        <v>1062404</v>
      </c>
    </row>
    <row r="803" s="17" customFormat="1" ht="15" spans="1:20">
      <c r="A803" s="34"/>
      <c r="B803" s="17">
        <f t="shared" si="20"/>
        <v>70515103</v>
      </c>
      <c r="C803" s="40" t="s">
        <v>798</v>
      </c>
      <c r="D803" s="3"/>
      <c r="E803" s="3" t="str">
        <f>F803&amp;(VLOOKUP(G803,编号表!$E$1:$G$8,2,0))&amp;H803&amp;"_"&amp;I803&amp;"_"&amp;J803</f>
        <v>51N5_1_3</v>
      </c>
      <c r="F803" s="3">
        <v>51</v>
      </c>
      <c r="G803" s="3" t="s">
        <v>52</v>
      </c>
      <c r="H803" s="3">
        <v>5</v>
      </c>
      <c r="I803" s="3">
        <v>1</v>
      </c>
      <c r="J803" s="3">
        <v>3</v>
      </c>
      <c r="K803" s="3"/>
      <c r="L803" s="3"/>
      <c r="M803" s="3"/>
      <c r="N803" s="3"/>
      <c r="O803" s="3"/>
      <c r="P803" s="3"/>
      <c r="Q803" s="3"/>
      <c r="R803" s="3"/>
      <c r="T803" s="18">
        <v>1062504</v>
      </c>
    </row>
    <row r="804" s="17" customFormat="1" ht="15" spans="1:20">
      <c r="A804" s="34"/>
      <c r="B804" s="17">
        <f t="shared" si="20"/>
        <v>70515104</v>
      </c>
      <c r="C804" s="40" t="s">
        <v>799</v>
      </c>
      <c r="D804" s="3"/>
      <c r="E804" s="3" t="str">
        <f>F804&amp;(VLOOKUP(G804,编号表!$E$1:$G$8,2,0))&amp;H804&amp;"_"&amp;I804&amp;"_"&amp;J804</f>
        <v>51N5_1_4</v>
      </c>
      <c r="F804" s="3">
        <v>51</v>
      </c>
      <c r="G804" s="3" t="s">
        <v>52</v>
      </c>
      <c r="H804" s="3">
        <v>5</v>
      </c>
      <c r="I804" s="3">
        <v>1</v>
      </c>
      <c r="J804" s="3">
        <v>4</v>
      </c>
      <c r="K804" s="3"/>
      <c r="L804" s="3"/>
      <c r="M804" s="3"/>
      <c r="N804" s="3"/>
      <c r="O804" s="3"/>
      <c r="P804" s="3"/>
      <c r="Q804" s="3"/>
      <c r="R804" s="3"/>
      <c r="T804" s="18">
        <v>1062604</v>
      </c>
    </row>
    <row r="805" s="17" customFormat="1" ht="15" spans="1:20">
      <c r="A805" s="34"/>
      <c r="B805" s="17">
        <f t="shared" si="20"/>
        <v>70515201</v>
      </c>
      <c r="C805" s="40" t="s">
        <v>800</v>
      </c>
      <c r="D805" s="3"/>
      <c r="E805" s="3" t="str">
        <f>F805&amp;(VLOOKUP(G805,编号表!$E$1:$G$8,2,0))&amp;H805&amp;"_"&amp;I805&amp;"_"&amp;J805</f>
        <v>51N5_2_1</v>
      </c>
      <c r="F805" s="3">
        <v>51</v>
      </c>
      <c r="G805" s="3" t="s">
        <v>52</v>
      </c>
      <c r="H805" s="3">
        <v>5</v>
      </c>
      <c r="I805" s="3">
        <v>2</v>
      </c>
      <c r="J805" s="3">
        <v>1</v>
      </c>
      <c r="K805" s="3"/>
      <c r="L805" s="3"/>
      <c r="M805" s="3"/>
      <c r="N805" s="3"/>
      <c r="O805" s="3"/>
      <c r="P805" s="3"/>
      <c r="Q805" s="3"/>
      <c r="R805" s="3"/>
      <c r="T805" s="18">
        <v>1062304</v>
      </c>
    </row>
    <row r="806" s="17" customFormat="1" ht="15" spans="1:20">
      <c r="A806" s="34"/>
      <c r="B806" s="17">
        <f t="shared" si="20"/>
        <v>70515202</v>
      </c>
      <c r="C806" s="40" t="s">
        <v>801</v>
      </c>
      <c r="D806" s="3"/>
      <c r="E806" s="3" t="str">
        <f>F806&amp;(VLOOKUP(G806,编号表!$E$1:$G$8,2,0))&amp;H806&amp;"_"&amp;I806&amp;"_"&amp;J806</f>
        <v>51N5_2_2</v>
      </c>
      <c r="F806" s="3">
        <v>51</v>
      </c>
      <c r="G806" s="3" t="s">
        <v>52</v>
      </c>
      <c r="H806" s="3">
        <v>5</v>
      </c>
      <c r="I806" s="3">
        <v>2</v>
      </c>
      <c r="J806" s="3">
        <v>2</v>
      </c>
      <c r="K806" s="3"/>
      <c r="L806" s="3"/>
      <c r="M806" s="3"/>
      <c r="N806" s="3"/>
      <c r="O806" s="3"/>
      <c r="P806" s="3"/>
      <c r="Q806" s="3"/>
      <c r="R806" s="3"/>
      <c r="T806" s="18">
        <v>1062404</v>
      </c>
    </row>
    <row r="807" s="17" customFormat="1" ht="15" spans="1:20">
      <c r="A807" s="34"/>
      <c r="B807" s="17">
        <f t="shared" si="20"/>
        <v>70515203</v>
      </c>
      <c r="C807" s="40" t="s">
        <v>802</v>
      </c>
      <c r="D807" s="3"/>
      <c r="E807" s="3" t="str">
        <f>F807&amp;(VLOOKUP(G807,编号表!$E$1:$G$8,2,0))&amp;H807&amp;"_"&amp;I807&amp;"_"&amp;J807</f>
        <v>51N5_2_3</v>
      </c>
      <c r="F807" s="3">
        <v>51</v>
      </c>
      <c r="G807" s="3" t="s">
        <v>52</v>
      </c>
      <c r="H807" s="3">
        <v>5</v>
      </c>
      <c r="I807" s="3">
        <v>2</v>
      </c>
      <c r="J807" s="3">
        <v>3</v>
      </c>
      <c r="K807" s="3"/>
      <c r="L807" s="3"/>
      <c r="M807" s="3"/>
      <c r="N807" s="3"/>
      <c r="O807" s="3"/>
      <c r="P807" s="3"/>
      <c r="Q807" s="3"/>
      <c r="R807" s="3"/>
      <c r="T807" s="18">
        <v>1062101</v>
      </c>
    </row>
    <row r="808" ht="15" spans="1:20">
      <c r="A808" s="34"/>
      <c r="B808" s="17">
        <f t="shared" ref="B808:B818" si="21">70000000+F808*10000+H808*1000+I808*100+J808</f>
        <v>70515001</v>
      </c>
      <c r="C808" s="39" t="s">
        <v>803</v>
      </c>
      <c r="E808" s="3" t="str">
        <f>F808&amp;(VLOOKUP(G808,编号表!$E$1:$G$8,2,0))&amp;H808&amp;"_"&amp;I808&amp;"_"&amp;J808</f>
        <v>51J5_0_1</v>
      </c>
      <c r="F808" s="3">
        <v>51</v>
      </c>
      <c r="G808" s="3" t="s">
        <v>167</v>
      </c>
      <c r="H808" s="3">
        <v>5</v>
      </c>
      <c r="I808" s="3">
        <v>0</v>
      </c>
      <c r="J808" s="3">
        <v>1</v>
      </c>
      <c r="K808" s="3">
        <v>1</v>
      </c>
    </row>
    <row r="809" ht="15" spans="1:20">
      <c r="A809" s="34"/>
      <c r="B809" s="17">
        <f t="shared" si="21"/>
        <v>70511001</v>
      </c>
      <c r="C809" s="36" t="s">
        <v>804</v>
      </c>
      <c r="E809" s="3" t="str">
        <f>F809&amp;(VLOOKUP(G809,编号表!$E$1:$G$8,2,0))&amp;H809&amp;"_"&amp;I809&amp;"_"&amp;J809</f>
        <v>51T1_0_1</v>
      </c>
      <c r="F809" s="3">
        <v>51</v>
      </c>
      <c r="G809" s="3" t="s">
        <v>169</v>
      </c>
      <c r="H809" s="3">
        <v>1</v>
      </c>
      <c r="I809" s="3">
        <v>0</v>
      </c>
      <c r="J809" s="3">
        <v>1</v>
      </c>
      <c r="L809" s="3">
        <v>1</v>
      </c>
      <c r="R809" s="3">
        <v>70501002</v>
      </c>
    </row>
    <row r="810" ht="15" spans="1:20">
      <c r="A810" s="34"/>
      <c r="B810" s="17">
        <f t="shared" si="21"/>
        <v>70511002</v>
      </c>
      <c r="C810" s="36" t="s">
        <v>804</v>
      </c>
      <c r="E810" s="3" t="str">
        <f>F810&amp;(VLOOKUP(G810,编号表!$E$1:$G$8,2,0))&amp;H810&amp;"_"&amp;I810&amp;"_"&amp;J810</f>
        <v>51T1_0_2</v>
      </c>
      <c r="F810" s="3">
        <v>51</v>
      </c>
      <c r="G810" s="3" t="s">
        <v>169</v>
      </c>
      <c r="H810" s="3">
        <v>1</v>
      </c>
      <c r="I810" s="3">
        <v>0</v>
      </c>
      <c r="J810" s="3">
        <v>2</v>
      </c>
      <c r="L810" s="3">
        <v>1</v>
      </c>
      <c r="R810" s="3">
        <v>70521001</v>
      </c>
    </row>
    <row r="811" ht="15" spans="1:20">
      <c r="A811" s="34"/>
      <c r="B811" s="17">
        <f t="shared" si="21"/>
        <v>70512001</v>
      </c>
      <c r="C811" s="36" t="s">
        <v>805</v>
      </c>
      <c r="E811" s="3" t="str">
        <f>F811&amp;(VLOOKUP(G811,编号表!$E$1:$G$8,2,0))&amp;H811&amp;"_"&amp;I811&amp;"_"&amp;J811</f>
        <v>51D2_0_1</v>
      </c>
      <c r="F811" s="3">
        <v>51</v>
      </c>
      <c r="G811" s="3" t="s">
        <v>171</v>
      </c>
      <c r="H811" s="3">
        <v>2</v>
      </c>
      <c r="I811" s="3">
        <v>0</v>
      </c>
      <c r="J811" s="3">
        <v>1</v>
      </c>
      <c r="M811" s="3">
        <v>1</v>
      </c>
    </row>
    <row r="812" s="17" customFormat="1" ht="15" spans="1:20">
      <c r="A812" s="34"/>
      <c r="B812" s="17">
        <f t="shared" si="21"/>
        <v>70525101</v>
      </c>
      <c r="C812" s="40" t="s">
        <v>806</v>
      </c>
      <c r="D812" s="3"/>
      <c r="E812" s="3" t="str">
        <f>F812&amp;(VLOOKUP(G812,编号表!$E$1:$G$8,2,0))&amp;H812&amp;"_"&amp;I812&amp;"_"&amp;J812</f>
        <v>52N5_1_1</v>
      </c>
      <c r="F812" s="3">
        <v>52</v>
      </c>
      <c r="G812" s="3" t="s">
        <v>52</v>
      </c>
      <c r="H812" s="3">
        <v>5</v>
      </c>
      <c r="I812" s="3">
        <v>1</v>
      </c>
      <c r="J812" s="3">
        <v>1</v>
      </c>
      <c r="K812" s="3"/>
      <c r="L812" s="3"/>
      <c r="M812" s="3"/>
      <c r="N812" s="3"/>
      <c r="O812" s="3"/>
      <c r="P812" s="3"/>
      <c r="Q812" s="3"/>
      <c r="R812" s="3"/>
      <c r="T812" s="18">
        <v>1059304</v>
      </c>
    </row>
    <row r="813" s="17" customFormat="1" ht="15" spans="1:20">
      <c r="A813" s="34"/>
      <c r="B813" s="17">
        <f t="shared" si="21"/>
        <v>70525102</v>
      </c>
      <c r="C813" s="40" t="s">
        <v>807</v>
      </c>
      <c r="D813" s="3"/>
      <c r="E813" s="3" t="str">
        <f>F813&amp;(VLOOKUP(G813,编号表!$E$1:$G$8,2,0))&amp;H813&amp;"_"&amp;I813&amp;"_"&amp;J813</f>
        <v>52N5_1_2</v>
      </c>
      <c r="F813" s="3">
        <v>52</v>
      </c>
      <c r="G813" s="3" t="s">
        <v>52</v>
      </c>
      <c r="H813" s="3">
        <v>5</v>
      </c>
      <c r="I813" s="3">
        <v>1</v>
      </c>
      <c r="J813" s="3">
        <v>2</v>
      </c>
      <c r="K813" s="3"/>
      <c r="L813" s="3"/>
      <c r="M813" s="3"/>
      <c r="N813" s="3"/>
      <c r="O813" s="3"/>
      <c r="P813" s="3"/>
      <c r="Q813" s="3"/>
      <c r="R813" s="3"/>
      <c r="T813" s="18">
        <v>1059404</v>
      </c>
    </row>
    <row r="814" s="17" customFormat="1" ht="15" spans="1:20">
      <c r="A814" s="34"/>
      <c r="B814" s="17">
        <f t="shared" si="21"/>
        <v>70525103</v>
      </c>
      <c r="C814" s="40" t="s">
        <v>808</v>
      </c>
      <c r="D814" s="3"/>
      <c r="E814" s="3" t="str">
        <f>F814&amp;(VLOOKUP(G814,编号表!$E$1:$G$8,2,0))&amp;H814&amp;"_"&amp;I814&amp;"_"&amp;J814</f>
        <v>52N5_1_3</v>
      </c>
      <c r="F814" s="3">
        <v>52</v>
      </c>
      <c r="G814" s="3" t="s">
        <v>52</v>
      </c>
      <c r="H814" s="3">
        <v>5</v>
      </c>
      <c r="I814" s="3">
        <v>1</v>
      </c>
      <c r="J814" s="3">
        <v>3</v>
      </c>
      <c r="K814" s="3"/>
      <c r="L814" s="3"/>
      <c r="M814" s="3"/>
      <c r="N814" s="3"/>
      <c r="O814" s="3"/>
      <c r="P814" s="3"/>
      <c r="Q814" s="3"/>
      <c r="R814" s="3"/>
      <c r="T814" s="18">
        <v>1059503</v>
      </c>
    </row>
    <row r="815" s="17" customFormat="1" ht="15" spans="1:20">
      <c r="A815" s="34"/>
      <c r="B815" s="17">
        <f t="shared" si="21"/>
        <v>70525201</v>
      </c>
      <c r="C815" s="40" t="s">
        <v>809</v>
      </c>
      <c r="D815" s="3"/>
      <c r="E815" s="3" t="str">
        <f>F815&amp;(VLOOKUP(G815,编号表!$E$1:$G$8,2,0))&amp;H815&amp;"_"&amp;I815&amp;"_"&amp;J815</f>
        <v>52N5_2_1</v>
      </c>
      <c r="F815" s="3">
        <v>52</v>
      </c>
      <c r="G815" s="3" t="s">
        <v>52</v>
      </c>
      <c r="H815" s="3">
        <v>5</v>
      </c>
      <c r="I815" s="3">
        <v>2</v>
      </c>
      <c r="J815" s="3">
        <v>1</v>
      </c>
      <c r="K815" s="3"/>
      <c r="L815" s="3"/>
      <c r="M815" s="3"/>
      <c r="N815" s="3"/>
      <c r="O815" s="3"/>
      <c r="P815" s="3"/>
      <c r="Q815" s="3"/>
      <c r="R815" s="3"/>
      <c r="T815" s="18">
        <v>1059604</v>
      </c>
    </row>
    <row r="816" s="17" customFormat="1" ht="15" spans="1:20">
      <c r="A816" s="34"/>
      <c r="B816" s="17">
        <f t="shared" si="21"/>
        <v>70525202</v>
      </c>
      <c r="C816" s="40" t="s">
        <v>810</v>
      </c>
      <c r="D816" s="3"/>
      <c r="E816" s="3" t="str">
        <f>F816&amp;(VLOOKUP(G816,编号表!$E$1:$G$8,2,0))&amp;H816&amp;"_"&amp;I816&amp;"_"&amp;J816</f>
        <v>52N5_2_2</v>
      </c>
      <c r="F816" s="3">
        <v>52</v>
      </c>
      <c r="G816" s="3" t="s">
        <v>52</v>
      </c>
      <c r="H816" s="3">
        <v>5</v>
      </c>
      <c r="I816" s="3">
        <v>2</v>
      </c>
      <c r="J816" s="3">
        <v>2</v>
      </c>
      <c r="K816" s="3"/>
      <c r="L816" s="3"/>
      <c r="M816" s="3"/>
      <c r="N816" s="3"/>
      <c r="O816" s="3"/>
      <c r="P816" s="3"/>
      <c r="Q816" s="3"/>
      <c r="R816" s="3"/>
      <c r="T816" s="18">
        <v>1059304</v>
      </c>
    </row>
    <row r="817" s="17" customFormat="1" ht="15" spans="1:20">
      <c r="A817" s="34"/>
      <c r="B817" s="17">
        <f t="shared" si="21"/>
        <v>70525203</v>
      </c>
      <c r="C817" s="40" t="s">
        <v>811</v>
      </c>
      <c r="D817" s="3"/>
      <c r="E817" s="3" t="str">
        <f>F817&amp;(VLOOKUP(G817,编号表!$E$1:$G$8,2,0))&amp;H817&amp;"_"&amp;I817&amp;"_"&amp;J817</f>
        <v>52N5_2_3</v>
      </c>
      <c r="F817" s="3">
        <v>52</v>
      </c>
      <c r="G817" s="3" t="s">
        <v>52</v>
      </c>
      <c r="H817" s="3">
        <v>5</v>
      </c>
      <c r="I817" s="3">
        <v>2</v>
      </c>
      <c r="J817" s="3">
        <v>3</v>
      </c>
      <c r="K817" s="3"/>
      <c r="L817" s="3"/>
      <c r="M817" s="3"/>
      <c r="N817" s="3"/>
      <c r="O817" s="3"/>
      <c r="P817" s="3"/>
      <c r="Q817" s="3"/>
      <c r="R817" s="3"/>
      <c r="T817" s="18">
        <v>1059103</v>
      </c>
    </row>
    <row r="818" ht="15" spans="1:20">
      <c r="A818" s="34"/>
      <c r="B818" s="17">
        <f t="shared" ref="B818:B828" si="22">70000000+F818*10000+H818*1000+I818*100+J818</f>
        <v>70525001</v>
      </c>
      <c r="C818" s="39" t="s">
        <v>812</v>
      </c>
      <c r="E818" s="3" t="str">
        <f>F818&amp;(VLOOKUP(G818,编号表!$E$1:$G$8,2,0))&amp;H818&amp;"_"&amp;I818&amp;"_"&amp;J818</f>
        <v>52J5_0_1</v>
      </c>
      <c r="F818" s="3">
        <v>52</v>
      </c>
      <c r="G818" s="3" t="s">
        <v>167</v>
      </c>
      <c r="H818" s="3">
        <v>5</v>
      </c>
      <c r="I818" s="3">
        <v>0</v>
      </c>
      <c r="J818" s="3">
        <v>1</v>
      </c>
      <c r="K818" s="3">
        <v>1</v>
      </c>
    </row>
    <row r="819" ht="15" spans="1:20">
      <c r="A819" s="34"/>
      <c r="B819" s="17">
        <f t="shared" si="22"/>
        <v>70521001</v>
      </c>
      <c r="C819" s="36" t="s">
        <v>813</v>
      </c>
      <c r="E819" s="3" t="str">
        <f>F819&amp;(VLOOKUP(G819,编号表!$E$1:$G$8,2,0))&amp;H819&amp;"_"&amp;I819&amp;"_"&amp;J819</f>
        <v>52T1_0_1</v>
      </c>
      <c r="F819" s="3">
        <v>52</v>
      </c>
      <c r="G819" s="3" t="s">
        <v>169</v>
      </c>
      <c r="H819" s="3">
        <v>1</v>
      </c>
      <c r="I819" s="3">
        <v>0</v>
      </c>
      <c r="J819" s="3">
        <v>1</v>
      </c>
      <c r="L819" s="3">
        <v>1</v>
      </c>
      <c r="R819" s="3">
        <v>70511002</v>
      </c>
    </row>
    <row r="820" ht="15" spans="1:20">
      <c r="A820" s="34"/>
      <c r="B820" s="17">
        <f t="shared" si="22"/>
        <v>70521002</v>
      </c>
      <c r="C820" s="36" t="s">
        <v>813</v>
      </c>
      <c r="E820" s="3" t="str">
        <f>F820&amp;(VLOOKUP(G820,编号表!$E$1:$G$8,2,0))&amp;H820&amp;"_"&amp;I820&amp;"_"&amp;J820</f>
        <v>52T1_0_2</v>
      </c>
      <c r="F820" s="3">
        <v>52</v>
      </c>
      <c r="G820" s="3" t="s">
        <v>169</v>
      </c>
      <c r="H820" s="3">
        <v>1</v>
      </c>
      <c r="I820" s="3">
        <v>0</v>
      </c>
      <c r="J820" s="3">
        <v>2</v>
      </c>
      <c r="L820" s="3">
        <v>1</v>
      </c>
      <c r="R820" s="3">
        <v>70531001</v>
      </c>
    </row>
    <row r="821" ht="15" spans="1:20">
      <c r="A821" s="34"/>
      <c r="B821" s="17">
        <f t="shared" si="22"/>
        <v>70522001</v>
      </c>
      <c r="C821" s="36" t="s">
        <v>814</v>
      </c>
      <c r="E821" s="3" t="str">
        <f>F821&amp;(VLOOKUP(G821,编号表!$E$1:$G$8,2,0))&amp;H821&amp;"_"&amp;I821&amp;"_"&amp;J821</f>
        <v>52D2_0_1</v>
      </c>
      <c r="F821" s="3">
        <v>52</v>
      </c>
      <c r="G821" s="3" t="s">
        <v>171</v>
      </c>
      <c r="H821" s="3">
        <v>2</v>
      </c>
      <c r="I821" s="3">
        <v>0</v>
      </c>
      <c r="J821" s="3">
        <v>1</v>
      </c>
      <c r="M821" s="3">
        <v>1</v>
      </c>
    </row>
    <row r="822" s="17" customFormat="1" ht="15" spans="1:20">
      <c r="A822" s="34"/>
      <c r="B822" s="17">
        <f t="shared" si="22"/>
        <v>70535101</v>
      </c>
      <c r="C822" s="40" t="s">
        <v>815</v>
      </c>
      <c r="D822" s="3"/>
      <c r="E822" s="3" t="str">
        <f>F822&amp;(VLOOKUP(G822,编号表!$E$1:$G$8,2,0))&amp;H822&amp;"_"&amp;I822&amp;"_"&amp;J822</f>
        <v>53C5_1_1</v>
      </c>
      <c r="F822" s="3">
        <v>53</v>
      </c>
      <c r="G822" s="3" t="s">
        <v>268</v>
      </c>
      <c r="H822" s="3">
        <v>5</v>
      </c>
      <c r="I822" s="3">
        <v>1</v>
      </c>
      <c r="J822" s="3">
        <v>1</v>
      </c>
      <c r="K822" s="3"/>
      <c r="L822" s="3"/>
      <c r="M822" s="3"/>
      <c r="N822" s="3"/>
      <c r="O822" s="3"/>
      <c r="P822" s="3"/>
      <c r="Q822" s="3"/>
      <c r="R822" s="3"/>
      <c r="T822" s="18">
        <v>1060304</v>
      </c>
    </row>
    <row r="823" s="17" customFormat="1" ht="15" spans="1:20">
      <c r="A823" s="34"/>
      <c r="B823" s="17">
        <f t="shared" si="22"/>
        <v>70535102</v>
      </c>
      <c r="C823" s="40" t="s">
        <v>816</v>
      </c>
      <c r="D823" s="3"/>
      <c r="E823" s="3" t="str">
        <f>F823&amp;(VLOOKUP(G823,编号表!$E$1:$G$8,2,0))&amp;H823&amp;"_"&amp;I823&amp;"_"&amp;J823</f>
        <v>53C5_1_2</v>
      </c>
      <c r="F823" s="3">
        <v>53</v>
      </c>
      <c r="G823" s="3" t="s">
        <v>268</v>
      </c>
      <c r="H823" s="3">
        <v>5</v>
      </c>
      <c r="I823" s="3">
        <v>1</v>
      </c>
      <c r="J823" s="3">
        <v>2</v>
      </c>
      <c r="K823" s="3"/>
      <c r="L823" s="3"/>
      <c r="M823" s="3"/>
      <c r="N823" s="3"/>
      <c r="O823" s="3"/>
      <c r="P823" s="3"/>
      <c r="Q823" s="3"/>
      <c r="R823" s="3"/>
      <c r="T823" s="18">
        <v>1060404</v>
      </c>
    </row>
    <row r="824" s="17" customFormat="1" ht="15" spans="1:20">
      <c r="A824" s="34"/>
      <c r="B824" s="17">
        <f t="shared" si="22"/>
        <v>70535103</v>
      </c>
      <c r="C824" s="40" t="s">
        <v>817</v>
      </c>
      <c r="D824" s="3"/>
      <c r="E824" s="3" t="str">
        <f>F824&amp;(VLOOKUP(G824,编号表!$E$1:$G$8,2,0))&amp;H824&amp;"_"&amp;I824&amp;"_"&amp;J824</f>
        <v>53C5_1_3</v>
      </c>
      <c r="F824" s="3">
        <v>53</v>
      </c>
      <c r="G824" s="3" t="s">
        <v>268</v>
      </c>
      <c r="H824" s="3">
        <v>5</v>
      </c>
      <c r="I824" s="3">
        <v>1</v>
      </c>
      <c r="J824" s="3">
        <v>3</v>
      </c>
      <c r="K824" s="3"/>
      <c r="L824" s="3"/>
      <c r="M824" s="3"/>
      <c r="N824" s="3"/>
      <c r="O824" s="3"/>
      <c r="P824" s="3"/>
      <c r="Q824" s="3"/>
      <c r="R824" s="3"/>
      <c r="T824" s="18">
        <v>1060504</v>
      </c>
    </row>
    <row r="825" s="17" customFormat="1" ht="15" spans="1:20">
      <c r="A825" s="34"/>
      <c r="B825" s="17">
        <f t="shared" si="22"/>
        <v>70535201</v>
      </c>
      <c r="C825" s="40" t="s">
        <v>818</v>
      </c>
      <c r="D825" s="3"/>
      <c r="E825" s="3" t="str">
        <f>F825&amp;(VLOOKUP(G825,编号表!$E$1:$G$8,2,0))&amp;H825&amp;"_"&amp;I825&amp;"_"&amp;J825</f>
        <v>53C5_2_1</v>
      </c>
      <c r="F825" s="3">
        <v>53</v>
      </c>
      <c r="G825" s="3" t="s">
        <v>268</v>
      </c>
      <c r="H825" s="3">
        <v>5</v>
      </c>
      <c r="I825" s="3">
        <v>2</v>
      </c>
      <c r="J825" s="3">
        <v>1</v>
      </c>
      <c r="K825" s="3"/>
      <c r="L825" s="3"/>
      <c r="M825" s="3"/>
      <c r="N825" s="3"/>
      <c r="O825" s="3"/>
      <c r="P825" s="3"/>
      <c r="Q825" s="3"/>
      <c r="R825" s="3"/>
      <c r="T825" s="18">
        <v>1060304</v>
      </c>
    </row>
    <row r="826" s="17" customFormat="1" ht="15" spans="1:20">
      <c r="A826" s="34"/>
      <c r="B826" s="17">
        <f t="shared" si="22"/>
        <v>70535202</v>
      </c>
      <c r="C826" s="40" t="s">
        <v>819</v>
      </c>
      <c r="D826" s="3"/>
      <c r="E826" s="3" t="str">
        <f>F826&amp;(VLOOKUP(G826,编号表!$E$1:$G$8,2,0))&amp;H826&amp;"_"&amp;I826&amp;"_"&amp;J826</f>
        <v>53C5_2_2</v>
      </c>
      <c r="F826" s="3">
        <v>53</v>
      </c>
      <c r="G826" s="3" t="s">
        <v>268</v>
      </c>
      <c r="H826" s="3">
        <v>5</v>
      </c>
      <c r="I826" s="3">
        <v>2</v>
      </c>
      <c r="J826" s="3">
        <v>2</v>
      </c>
      <c r="K826" s="3"/>
      <c r="L826" s="3"/>
      <c r="M826" s="3"/>
      <c r="N826" s="3"/>
      <c r="O826" s="3"/>
      <c r="P826" s="3"/>
      <c r="Q826" s="3"/>
      <c r="R826" s="3"/>
      <c r="T826" s="18">
        <v>1060404</v>
      </c>
    </row>
    <row r="827" s="17" customFormat="1" ht="15" spans="1:20">
      <c r="A827" s="34"/>
      <c r="B827" s="17">
        <f t="shared" si="22"/>
        <v>70535203</v>
      </c>
      <c r="C827" s="40" t="s">
        <v>820</v>
      </c>
      <c r="D827" s="3"/>
      <c r="E827" s="3" t="str">
        <f>F827&amp;(VLOOKUP(G827,编号表!$E$1:$G$8,2,0))&amp;H827&amp;"_"&amp;I827&amp;"_"&amp;J827</f>
        <v>53C5_2_3</v>
      </c>
      <c r="F827" s="3">
        <v>53</v>
      </c>
      <c r="G827" s="3" t="s">
        <v>268</v>
      </c>
      <c r="H827" s="3">
        <v>5</v>
      </c>
      <c r="I827" s="3">
        <v>2</v>
      </c>
      <c r="J827" s="3">
        <v>3</v>
      </c>
      <c r="K827" s="3"/>
      <c r="L827" s="3"/>
      <c r="M827" s="3"/>
      <c r="N827" s="3"/>
      <c r="O827" s="3"/>
      <c r="P827" s="3"/>
      <c r="Q827" s="3"/>
      <c r="R827" s="3"/>
      <c r="T827" s="18">
        <v>1060504</v>
      </c>
    </row>
    <row r="828" s="17" customFormat="1" ht="15" spans="1:20">
      <c r="A828" s="34"/>
      <c r="B828" s="17">
        <f t="shared" si="22"/>
        <v>70535204</v>
      </c>
      <c r="C828" s="40" t="s">
        <v>821</v>
      </c>
      <c r="D828" s="3"/>
      <c r="E828" s="3" t="str">
        <f>F828&amp;(VLOOKUP(G828,编号表!$E$1:$G$8,2,0))&amp;H828&amp;"_"&amp;I828&amp;"_"&amp;J828</f>
        <v>53C5_2_4</v>
      </c>
      <c r="F828" s="3">
        <v>53</v>
      </c>
      <c r="G828" s="3" t="s">
        <v>268</v>
      </c>
      <c r="H828" s="3">
        <v>5</v>
      </c>
      <c r="I828" s="3">
        <v>2</v>
      </c>
      <c r="J828" s="3">
        <v>4</v>
      </c>
      <c r="K828" s="3"/>
      <c r="L828" s="3"/>
      <c r="M828" s="3"/>
      <c r="N828" s="3"/>
      <c r="O828" s="3"/>
      <c r="P828" s="3"/>
      <c r="Q828" s="3"/>
      <c r="R828" s="3"/>
      <c r="T828" s="18">
        <v>1060103</v>
      </c>
    </row>
    <row r="829" ht="15" spans="1:20">
      <c r="A829" s="34"/>
      <c r="B829" s="17">
        <f t="shared" ref="B829:B843" si="23">70000000+F829*10000+H829*1000+I829*100+J829</f>
        <v>70535001</v>
      </c>
      <c r="C829" s="39" t="s">
        <v>822</v>
      </c>
      <c r="E829" s="3" t="str">
        <f>F829&amp;(VLOOKUP(G829,编号表!$E$1:$G$8,2,0))&amp;H829&amp;"_"&amp;I829&amp;"_"&amp;J829</f>
        <v>53J5_0_1</v>
      </c>
      <c r="F829" s="3">
        <v>53</v>
      </c>
      <c r="G829" s="3" t="s">
        <v>167</v>
      </c>
      <c r="H829" s="3">
        <v>5</v>
      </c>
      <c r="I829" s="3">
        <v>0</v>
      </c>
      <c r="J829" s="3">
        <v>1</v>
      </c>
      <c r="K829" s="3">
        <v>1</v>
      </c>
    </row>
    <row r="830" ht="15" spans="1:20">
      <c r="A830" s="34"/>
      <c r="B830" s="17">
        <f t="shared" si="23"/>
        <v>70531001</v>
      </c>
      <c r="C830" s="36" t="s">
        <v>823</v>
      </c>
      <c r="E830" s="3" t="str">
        <f>F830&amp;(VLOOKUP(G830,编号表!$E$1:$G$8,2,0))&amp;H830&amp;"_"&amp;I830&amp;"_"&amp;J830</f>
        <v>53T1_0_1</v>
      </c>
      <c r="F830" s="3">
        <v>53</v>
      </c>
      <c r="G830" s="3" t="s">
        <v>169</v>
      </c>
      <c r="H830" s="3">
        <v>1</v>
      </c>
      <c r="I830" s="3">
        <v>0</v>
      </c>
      <c r="J830" s="3">
        <v>1</v>
      </c>
      <c r="L830" s="3">
        <v>1</v>
      </c>
      <c r="R830" s="3">
        <v>70521002</v>
      </c>
    </row>
    <row r="831" ht="15" spans="1:20">
      <c r="A831" s="34"/>
      <c r="B831" s="17">
        <f t="shared" si="23"/>
        <v>70531002</v>
      </c>
      <c r="C831" s="36" t="s">
        <v>823</v>
      </c>
      <c r="E831" s="3" t="str">
        <f>F831&amp;(VLOOKUP(G831,编号表!$E$1:$G$8,2,0))&amp;H831&amp;"_"&amp;I831&amp;"_"&amp;J831</f>
        <v>53T1_0_2</v>
      </c>
      <c r="F831" s="3">
        <v>53</v>
      </c>
      <c r="G831" s="3" t="s">
        <v>169</v>
      </c>
      <c r="H831" s="3">
        <v>1</v>
      </c>
      <c r="I831" s="3">
        <v>0</v>
      </c>
      <c r="J831" s="3">
        <v>2</v>
      </c>
      <c r="L831" s="3">
        <v>1</v>
      </c>
      <c r="R831" s="3">
        <v>70541001</v>
      </c>
    </row>
    <row r="832" ht="15" spans="1:20">
      <c r="A832" s="34"/>
      <c r="B832" s="17">
        <f t="shared" si="23"/>
        <v>70532001</v>
      </c>
      <c r="C832" s="36" t="s">
        <v>824</v>
      </c>
      <c r="E832" s="3" t="str">
        <f>F832&amp;(VLOOKUP(G832,编号表!$E$1:$G$8,2,0))&amp;H832&amp;"_"&amp;I832&amp;"_"&amp;J832</f>
        <v>53D2_0_1</v>
      </c>
      <c r="F832" s="3">
        <v>53</v>
      </c>
      <c r="G832" s="3" t="s">
        <v>171</v>
      </c>
      <c r="H832" s="3">
        <v>2</v>
      </c>
      <c r="I832" s="3">
        <v>0</v>
      </c>
      <c r="J832" s="3">
        <v>1</v>
      </c>
      <c r="M832" s="3">
        <v>1</v>
      </c>
    </row>
    <row r="833" s="17" customFormat="1" ht="15" spans="1:20">
      <c r="A833" s="34"/>
      <c r="B833" s="17">
        <f t="shared" si="23"/>
        <v>70545101</v>
      </c>
      <c r="C833" s="40" t="s">
        <v>825</v>
      </c>
      <c r="D833" s="3"/>
      <c r="E833" s="3" t="str">
        <f>F833&amp;(VLOOKUP(G833,编号表!$E$1:$G$8,2,0))&amp;H833&amp;"_"&amp;I833&amp;"_"&amp;J833</f>
        <v>54C5_1_1</v>
      </c>
      <c r="F833" s="3">
        <v>54</v>
      </c>
      <c r="G833" s="3" t="s">
        <v>268</v>
      </c>
      <c r="H833" s="3">
        <v>5</v>
      </c>
      <c r="I833" s="3">
        <v>1</v>
      </c>
      <c r="J833" s="3">
        <v>1</v>
      </c>
      <c r="K833" s="3"/>
      <c r="L833" s="3"/>
      <c r="M833" s="3"/>
      <c r="N833" s="3"/>
      <c r="O833" s="3"/>
      <c r="P833" s="3"/>
      <c r="Q833" s="3"/>
      <c r="R833" s="3"/>
      <c r="T833" s="18">
        <v>1063304</v>
      </c>
    </row>
    <row r="834" s="17" customFormat="1" ht="15" spans="1:20">
      <c r="A834" s="34"/>
      <c r="B834" s="17">
        <f t="shared" si="23"/>
        <v>70545102</v>
      </c>
      <c r="C834" s="40" t="s">
        <v>826</v>
      </c>
      <c r="D834" s="3"/>
      <c r="E834" s="3" t="str">
        <f>F834&amp;(VLOOKUP(G834,编号表!$E$1:$G$8,2,0))&amp;H834&amp;"_"&amp;I834&amp;"_"&amp;J834</f>
        <v>54C5_1_2</v>
      </c>
      <c r="F834" s="3">
        <v>54</v>
      </c>
      <c r="G834" s="3" t="s">
        <v>268</v>
      </c>
      <c r="H834" s="3">
        <v>5</v>
      </c>
      <c r="I834" s="3">
        <v>1</v>
      </c>
      <c r="J834" s="3">
        <v>2</v>
      </c>
      <c r="K834" s="3"/>
      <c r="L834" s="3"/>
      <c r="M834" s="3"/>
      <c r="N834" s="3"/>
      <c r="O834" s="3"/>
      <c r="P834" s="3"/>
      <c r="Q834" s="3"/>
      <c r="R834" s="3"/>
      <c r="T834" s="18">
        <v>1063404</v>
      </c>
    </row>
    <row r="835" s="17" customFormat="1" ht="15" spans="1:20">
      <c r="A835" s="34"/>
      <c r="B835" s="17">
        <f t="shared" si="23"/>
        <v>70545103</v>
      </c>
      <c r="C835" s="40" t="s">
        <v>827</v>
      </c>
      <c r="D835" s="3"/>
      <c r="E835" s="3" t="str">
        <f>F835&amp;(VLOOKUP(G835,编号表!$E$1:$G$8,2,0))&amp;H835&amp;"_"&amp;I835&amp;"_"&amp;J835</f>
        <v>54C5_1_3</v>
      </c>
      <c r="F835" s="3">
        <v>54</v>
      </c>
      <c r="G835" s="3" t="s">
        <v>268</v>
      </c>
      <c r="H835" s="3">
        <v>5</v>
      </c>
      <c r="I835" s="3">
        <v>1</v>
      </c>
      <c r="J835" s="3">
        <v>3</v>
      </c>
      <c r="K835" s="3"/>
      <c r="L835" s="3"/>
      <c r="M835" s="3"/>
      <c r="N835" s="3"/>
      <c r="O835" s="3"/>
      <c r="P835" s="3"/>
      <c r="Q835" s="3"/>
      <c r="R835" s="3"/>
      <c r="T835" s="18">
        <v>1063504</v>
      </c>
    </row>
    <row r="836" s="17" customFormat="1" ht="15" spans="1:20">
      <c r="A836" s="34"/>
      <c r="B836" s="17">
        <f t="shared" si="23"/>
        <v>70545201</v>
      </c>
      <c r="C836" s="40" t="s">
        <v>828</v>
      </c>
      <c r="D836" s="3"/>
      <c r="E836" s="3" t="str">
        <f>F836&amp;(VLOOKUP(G836,编号表!$E$1:$G$8,2,0))&amp;H836&amp;"_"&amp;I836&amp;"_"&amp;J836</f>
        <v>54C5_2_1</v>
      </c>
      <c r="F836" s="3">
        <v>54</v>
      </c>
      <c r="G836" s="3" t="s">
        <v>268</v>
      </c>
      <c r="H836" s="3">
        <v>5</v>
      </c>
      <c r="I836" s="3">
        <v>2</v>
      </c>
      <c r="J836" s="3">
        <v>1</v>
      </c>
      <c r="K836" s="3"/>
      <c r="L836" s="3"/>
      <c r="M836" s="3"/>
      <c r="N836" s="3"/>
      <c r="O836" s="3"/>
      <c r="P836" s="3"/>
      <c r="Q836" s="3"/>
      <c r="R836" s="3"/>
      <c r="T836" s="18">
        <v>1063304</v>
      </c>
    </row>
    <row r="837" s="17" customFormat="1" ht="15" spans="1:20">
      <c r="A837" s="34"/>
      <c r="B837" s="17">
        <f t="shared" si="23"/>
        <v>70545202</v>
      </c>
      <c r="C837" s="40" t="s">
        <v>829</v>
      </c>
      <c r="D837" s="3"/>
      <c r="E837" s="3" t="str">
        <f>F837&amp;(VLOOKUP(G837,编号表!$E$1:$G$8,2,0))&amp;H837&amp;"_"&amp;I837&amp;"_"&amp;J837</f>
        <v>54C5_2_2</v>
      </c>
      <c r="F837" s="3">
        <v>54</v>
      </c>
      <c r="G837" s="3" t="s">
        <v>268</v>
      </c>
      <c r="H837" s="3">
        <v>5</v>
      </c>
      <c r="I837" s="3">
        <v>2</v>
      </c>
      <c r="J837" s="3">
        <v>2</v>
      </c>
      <c r="K837" s="3"/>
      <c r="L837" s="3"/>
      <c r="M837" s="3"/>
      <c r="N837" s="3"/>
      <c r="O837" s="3"/>
      <c r="P837" s="3"/>
      <c r="Q837" s="3"/>
      <c r="R837" s="3"/>
      <c r="T837" s="18">
        <v>1063404</v>
      </c>
    </row>
    <row r="838" s="17" customFormat="1" ht="15" spans="1:20">
      <c r="A838" s="34"/>
      <c r="B838" s="17">
        <f t="shared" si="23"/>
        <v>70545203</v>
      </c>
      <c r="C838" s="40" t="s">
        <v>830</v>
      </c>
      <c r="D838" s="3"/>
      <c r="E838" s="3" t="str">
        <f>F838&amp;(VLOOKUP(G838,编号表!$E$1:$G$8,2,0))&amp;H838&amp;"_"&amp;I838&amp;"_"&amp;J838</f>
        <v>54C5_2_3</v>
      </c>
      <c r="F838" s="3">
        <v>54</v>
      </c>
      <c r="G838" s="3" t="s">
        <v>268</v>
      </c>
      <c r="H838" s="3">
        <v>5</v>
      </c>
      <c r="I838" s="3">
        <v>2</v>
      </c>
      <c r="J838" s="3">
        <v>3</v>
      </c>
      <c r="K838" s="3"/>
      <c r="L838" s="3"/>
      <c r="M838" s="3"/>
      <c r="N838" s="3"/>
      <c r="O838" s="3"/>
      <c r="P838" s="3"/>
      <c r="Q838" s="3"/>
      <c r="R838" s="3"/>
      <c r="T838" s="18">
        <v>1063504</v>
      </c>
    </row>
    <row r="839" s="17" customFormat="1" ht="15" spans="1:20">
      <c r="A839" s="34"/>
      <c r="B839" s="17">
        <f t="shared" si="23"/>
        <v>70545204</v>
      </c>
      <c r="C839" s="40" t="s">
        <v>831</v>
      </c>
      <c r="D839" s="3"/>
      <c r="E839" s="3" t="str">
        <f>F839&amp;(VLOOKUP(G839,编号表!$E$1:$G$8,2,0))&amp;H839&amp;"_"&amp;I839&amp;"_"&amp;J839</f>
        <v>54C5_2_4</v>
      </c>
      <c r="F839" s="3">
        <v>54</v>
      </c>
      <c r="G839" s="3" t="s">
        <v>268</v>
      </c>
      <c r="H839" s="3">
        <v>5</v>
      </c>
      <c r="I839" s="3">
        <v>2</v>
      </c>
      <c r="J839" s="3">
        <v>4</v>
      </c>
      <c r="K839" s="3"/>
      <c r="L839" s="3"/>
      <c r="M839" s="3"/>
      <c r="N839" s="3"/>
      <c r="O839" s="3"/>
      <c r="P839" s="3"/>
      <c r="Q839" s="3"/>
      <c r="R839" s="3"/>
      <c r="T839" s="18">
        <v>1063103</v>
      </c>
    </row>
    <row r="840" ht="15" spans="1:20">
      <c r="A840" s="34"/>
      <c r="B840" s="17">
        <f t="shared" si="23"/>
        <v>70545001</v>
      </c>
      <c r="C840" s="39" t="s">
        <v>832</v>
      </c>
      <c r="E840" s="3" t="str">
        <f>F840&amp;(VLOOKUP(G840,编号表!$E$1:$G$8,2,0))&amp;H840&amp;"_"&amp;I840&amp;"_"&amp;J840</f>
        <v>54J5_0_1</v>
      </c>
      <c r="F840" s="3">
        <v>54</v>
      </c>
      <c r="G840" s="3" t="s">
        <v>167</v>
      </c>
      <c r="H840" s="3">
        <v>5</v>
      </c>
      <c r="I840" s="3">
        <v>0</v>
      </c>
      <c r="J840" s="3">
        <v>1</v>
      </c>
      <c r="K840" s="3">
        <v>1</v>
      </c>
    </row>
    <row r="841" ht="15" spans="1:20">
      <c r="A841" s="34"/>
      <c r="B841" s="17">
        <f t="shared" si="23"/>
        <v>70541001</v>
      </c>
      <c r="C841" s="36" t="s">
        <v>833</v>
      </c>
      <c r="E841" s="3" t="str">
        <f>F841&amp;(VLOOKUP(G841,编号表!$E$1:$G$8,2,0))&amp;H841&amp;"_"&amp;I841&amp;"_"&amp;J841</f>
        <v>54T1_0_1</v>
      </c>
      <c r="F841" s="3">
        <v>54</v>
      </c>
      <c r="G841" s="3" t="s">
        <v>169</v>
      </c>
      <c r="H841" s="3">
        <v>1</v>
      </c>
      <c r="I841" s="3">
        <v>0</v>
      </c>
      <c r="J841" s="3">
        <v>1</v>
      </c>
      <c r="L841" s="3">
        <v>1</v>
      </c>
      <c r="R841" s="3">
        <v>70531002</v>
      </c>
    </row>
    <row r="842" ht="15" spans="1:20">
      <c r="A842" s="34"/>
      <c r="B842" s="17">
        <f t="shared" si="23"/>
        <v>70541002</v>
      </c>
      <c r="C842" s="36" t="s">
        <v>833</v>
      </c>
      <c r="E842" s="3" t="str">
        <f>F842&amp;(VLOOKUP(G842,编号表!$E$1:$G$8,2,0))&amp;H842&amp;"_"&amp;I842&amp;"_"&amp;J842</f>
        <v>54T1_0_2</v>
      </c>
      <c r="F842" s="3">
        <v>54</v>
      </c>
      <c r="G842" s="3" t="s">
        <v>169</v>
      </c>
      <c r="H842" s="3">
        <v>1</v>
      </c>
      <c r="I842" s="3">
        <v>0</v>
      </c>
      <c r="J842" s="3">
        <v>2</v>
      </c>
      <c r="L842" s="3">
        <v>1</v>
      </c>
      <c r="R842" s="3">
        <v>70016204</v>
      </c>
    </row>
    <row r="843" ht="15" spans="1:20">
      <c r="A843" s="34"/>
      <c r="B843" s="17">
        <f t="shared" si="23"/>
        <v>70542001</v>
      </c>
      <c r="C843" s="36" t="s">
        <v>834</v>
      </c>
      <c r="E843" s="3" t="str">
        <f>F843&amp;(VLOOKUP(G843,编号表!$E$1:$G$8,2,0))&amp;H843&amp;"_"&amp;I843&amp;"_"&amp;J843</f>
        <v>54D2_0_1</v>
      </c>
      <c r="F843" s="3">
        <v>54</v>
      </c>
      <c r="G843" s="3" t="s">
        <v>171</v>
      </c>
      <c r="H843" s="3">
        <v>2</v>
      </c>
      <c r="I843" s="3">
        <v>0</v>
      </c>
      <c r="J843" s="3">
        <v>1</v>
      </c>
      <c r="M843" s="3">
        <v>1</v>
      </c>
    </row>
  </sheetData>
  <mergeCells count="3">
    <mergeCell ref="T1:AA1"/>
    <mergeCell ref="T2:AA2"/>
    <mergeCell ref="T3:AA3"/>
  </mergeCells>
  <conditionalFormatting sqref="D9:E9">
    <cfRule type="duplicateValues" dxfId="0" priority="995"/>
  </conditionalFormatting>
  <conditionalFormatting sqref="D10:E10">
    <cfRule type="duplicateValues" dxfId="0" priority="994"/>
  </conditionalFormatting>
  <conditionalFormatting sqref="D11:E11">
    <cfRule type="duplicateValues" dxfId="0" priority="993"/>
  </conditionalFormatting>
  <conditionalFormatting sqref="D12:E12">
    <cfRule type="duplicateValues" dxfId="0" priority="992"/>
  </conditionalFormatting>
  <conditionalFormatting sqref="D13:E13">
    <cfRule type="duplicateValues" dxfId="0" priority="991"/>
  </conditionalFormatting>
  <conditionalFormatting sqref="D14:E14">
    <cfRule type="duplicateValues" dxfId="0" priority="990"/>
  </conditionalFormatting>
  <conditionalFormatting sqref="D15:E15">
    <cfRule type="duplicateValues" dxfId="0" priority="989"/>
  </conditionalFormatting>
  <conditionalFormatting sqref="D16:E16">
    <cfRule type="duplicateValues" dxfId="0" priority="988"/>
  </conditionalFormatting>
  <conditionalFormatting sqref="D19:E19">
    <cfRule type="duplicateValues" dxfId="0" priority="983"/>
  </conditionalFormatting>
  <conditionalFormatting sqref="D20:E20">
    <cfRule type="duplicateValues" dxfId="0" priority="982"/>
  </conditionalFormatting>
  <conditionalFormatting sqref="D21:E21">
    <cfRule type="duplicateValues" dxfId="0" priority="981"/>
  </conditionalFormatting>
  <conditionalFormatting sqref="D22:E22">
    <cfRule type="duplicateValues" dxfId="0" priority="980"/>
  </conditionalFormatting>
  <conditionalFormatting sqref="D23:E23">
    <cfRule type="duplicateValues" dxfId="0" priority="979"/>
  </conditionalFormatting>
  <conditionalFormatting sqref="D24:E24">
    <cfRule type="duplicateValues" dxfId="0" priority="340"/>
  </conditionalFormatting>
  <conditionalFormatting sqref="D25:E25">
    <cfRule type="duplicateValues" dxfId="0" priority="977"/>
  </conditionalFormatting>
  <conditionalFormatting sqref="D26:E26">
    <cfRule type="duplicateValues" dxfId="0" priority="975"/>
  </conditionalFormatting>
  <conditionalFormatting sqref="D27:E27">
    <cfRule type="duplicateValues" dxfId="0" priority="974"/>
  </conditionalFormatting>
  <conditionalFormatting sqref="D28:E28">
    <cfRule type="duplicateValues" dxfId="0" priority="973"/>
  </conditionalFormatting>
  <conditionalFormatting sqref="D29:E29">
    <cfRule type="duplicateValues" dxfId="0" priority="638"/>
  </conditionalFormatting>
  <conditionalFormatting sqref="D30:E30">
    <cfRule type="duplicateValues" dxfId="0" priority="976"/>
  </conditionalFormatting>
  <conditionalFormatting sqref="D31:E31">
    <cfRule type="duplicateValues" dxfId="0" priority="972"/>
  </conditionalFormatting>
  <conditionalFormatting sqref="D32:E32">
    <cfRule type="duplicateValues" dxfId="0" priority="971"/>
  </conditionalFormatting>
  <conditionalFormatting sqref="D33:E33">
    <cfRule type="duplicateValues" dxfId="0" priority="970"/>
  </conditionalFormatting>
  <conditionalFormatting sqref="D34:E34">
    <cfRule type="duplicateValues" dxfId="0" priority="967"/>
  </conditionalFormatting>
  <conditionalFormatting sqref="D35:E35">
    <cfRule type="duplicateValues" dxfId="0" priority="966"/>
  </conditionalFormatting>
  <conditionalFormatting sqref="D36:E36">
    <cfRule type="duplicateValues" dxfId="0" priority="965"/>
  </conditionalFormatting>
  <conditionalFormatting sqref="D37:E37">
    <cfRule type="duplicateValues" dxfId="0" priority="964"/>
  </conditionalFormatting>
  <conditionalFormatting sqref="D38:E38">
    <cfRule type="duplicateValues" dxfId="0" priority="963"/>
  </conditionalFormatting>
  <conditionalFormatting sqref="D39:E39">
    <cfRule type="duplicateValues" dxfId="0" priority="962"/>
  </conditionalFormatting>
  <conditionalFormatting sqref="D40:E40">
    <cfRule type="duplicateValues" dxfId="0" priority="961"/>
  </conditionalFormatting>
  <conditionalFormatting sqref="D41:E41">
    <cfRule type="duplicateValues" dxfId="0" priority="637"/>
  </conditionalFormatting>
  <conditionalFormatting sqref="D42:E42">
    <cfRule type="duplicateValues" dxfId="0" priority="960"/>
  </conditionalFormatting>
  <conditionalFormatting sqref="D43:E43">
    <cfRule type="duplicateValues" dxfId="0" priority="959"/>
  </conditionalFormatting>
  <conditionalFormatting sqref="D44:E44">
    <cfRule type="duplicateValues" dxfId="0" priority="958"/>
  </conditionalFormatting>
  <conditionalFormatting sqref="D45:E45">
    <cfRule type="duplicateValues" dxfId="0" priority="957"/>
  </conditionalFormatting>
  <conditionalFormatting sqref="D46:E46">
    <cfRule type="duplicateValues" dxfId="0" priority="956"/>
  </conditionalFormatting>
  <conditionalFormatting sqref="D47:E47">
    <cfRule type="duplicateValues" dxfId="0" priority="955"/>
  </conditionalFormatting>
  <conditionalFormatting sqref="D48:E48">
    <cfRule type="duplicateValues" dxfId="0" priority="946"/>
  </conditionalFormatting>
  <conditionalFormatting sqref="D49:E49">
    <cfRule type="duplicateValues" dxfId="0" priority="945"/>
  </conditionalFormatting>
  <conditionalFormatting sqref="D50:E50">
    <cfRule type="duplicateValues" dxfId="0" priority="944"/>
  </conditionalFormatting>
  <conditionalFormatting sqref="D51:E51">
    <cfRule type="duplicateValues" dxfId="0" priority="943"/>
  </conditionalFormatting>
  <conditionalFormatting sqref="D52:E52">
    <cfRule type="duplicateValues" dxfId="0" priority="942"/>
  </conditionalFormatting>
  <conditionalFormatting sqref="D53:E53">
    <cfRule type="duplicateValues" dxfId="0" priority="941"/>
  </conditionalFormatting>
  <conditionalFormatting sqref="D54:E54">
    <cfRule type="duplicateValues" dxfId="0" priority="901"/>
  </conditionalFormatting>
  <conditionalFormatting sqref="D55:E55">
    <cfRule type="duplicateValues" dxfId="0" priority="900"/>
  </conditionalFormatting>
  <conditionalFormatting sqref="D56:E56">
    <cfRule type="duplicateValues" dxfId="0" priority="899"/>
  </conditionalFormatting>
  <conditionalFormatting sqref="D57:E57">
    <cfRule type="duplicateValues" dxfId="0" priority="898"/>
  </conditionalFormatting>
  <conditionalFormatting sqref="D58:E58">
    <cfRule type="duplicateValues" dxfId="0" priority="897"/>
  </conditionalFormatting>
  <conditionalFormatting sqref="D59:E59">
    <cfRule type="duplicateValues" dxfId="0" priority="896"/>
  </conditionalFormatting>
  <conditionalFormatting sqref="D60:E60">
    <cfRule type="duplicateValues" dxfId="0" priority="895"/>
  </conditionalFormatting>
  <conditionalFormatting sqref="D61:E61">
    <cfRule type="duplicateValues" dxfId="0" priority="894"/>
  </conditionalFormatting>
  <conditionalFormatting sqref="D62:E62">
    <cfRule type="duplicateValues" dxfId="0" priority="893"/>
  </conditionalFormatting>
  <conditionalFormatting sqref="D63:E63">
    <cfRule type="duplicateValues" dxfId="0" priority="636"/>
  </conditionalFormatting>
  <conditionalFormatting sqref="D64:E64">
    <cfRule type="duplicateValues" dxfId="0" priority="635"/>
  </conditionalFormatting>
  <conditionalFormatting sqref="D65:E65">
    <cfRule type="duplicateValues" dxfId="0" priority="634"/>
  </conditionalFormatting>
  <conditionalFormatting sqref="D66:E66">
    <cfRule type="duplicateValues" dxfId="0" priority="633"/>
  </conditionalFormatting>
  <conditionalFormatting sqref="D67:E67">
    <cfRule type="duplicateValues" dxfId="0" priority="632"/>
  </conditionalFormatting>
  <conditionalFormatting sqref="D68:E68">
    <cfRule type="duplicateValues" dxfId="0" priority="892"/>
  </conditionalFormatting>
  <conditionalFormatting sqref="D69:E69">
    <cfRule type="duplicateValues" dxfId="0" priority="891"/>
  </conditionalFormatting>
  <conditionalFormatting sqref="D70:E70">
    <cfRule type="duplicateValues" dxfId="0" priority="890"/>
  </conditionalFormatting>
  <conditionalFormatting sqref="D71:E71">
    <cfRule type="duplicateValues" dxfId="0" priority="889"/>
  </conditionalFormatting>
  <conditionalFormatting sqref="D72:E72">
    <cfRule type="duplicateValues" dxfId="0" priority="888"/>
  </conditionalFormatting>
  <conditionalFormatting sqref="D73:E73">
    <cfRule type="duplicateValues" dxfId="0" priority="887"/>
  </conditionalFormatting>
  <conditionalFormatting sqref="D74:E74">
    <cfRule type="duplicateValues" dxfId="0" priority="631"/>
  </conditionalFormatting>
  <conditionalFormatting sqref="D75:E75">
    <cfRule type="duplicateValues" dxfId="0" priority="630"/>
  </conditionalFormatting>
  <conditionalFormatting sqref="D76:E76">
    <cfRule type="duplicateValues" dxfId="0" priority="886"/>
  </conditionalFormatting>
  <conditionalFormatting sqref="D77:E77">
    <cfRule type="duplicateValues" dxfId="0" priority="885"/>
  </conditionalFormatting>
  <conditionalFormatting sqref="D78:E78">
    <cfRule type="duplicateValues" dxfId="0" priority="884"/>
  </conditionalFormatting>
  <conditionalFormatting sqref="D79:E79">
    <cfRule type="duplicateValues" dxfId="0" priority="883"/>
  </conditionalFormatting>
  <conditionalFormatting sqref="D80:E80">
    <cfRule type="duplicateValues" dxfId="0" priority="882"/>
  </conditionalFormatting>
  <conditionalFormatting sqref="D81:E81">
    <cfRule type="duplicateValues" dxfId="0" priority="881"/>
  </conditionalFormatting>
  <conditionalFormatting sqref="D82:E82">
    <cfRule type="duplicateValues" dxfId="0" priority="880"/>
  </conditionalFormatting>
  <conditionalFormatting sqref="D83:E83">
    <cfRule type="duplicateValues" dxfId="0" priority="879"/>
  </conditionalFormatting>
  <conditionalFormatting sqref="D84:E84">
    <cfRule type="duplicateValues" dxfId="0" priority="878"/>
  </conditionalFormatting>
  <conditionalFormatting sqref="D85:E85">
    <cfRule type="duplicateValues" dxfId="0" priority="877"/>
  </conditionalFormatting>
  <conditionalFormatting sqref="D86:E86">
    <cfRule type="duplicateValues" dxfId="0" priority="875"/>
  </conditionalFormatting>
  <conditionalFormatting sqref="D87:E87">
    <cfRule type="duplicateValues" dxfId="0" priority="628"/>
  </conditionalFormatting>
  <conditionalFormatting sqref="D88:E88">
    <cfRule type="duplicateValues" dxfId="0" priority="627"/>
  </conditionalFormatting>
  <conditionalFormatting sqref="D89:E89">
    <cfRule type="duplicateValues" dxfId="0" priority="629"/>
  </conditionalFormatting>
  <conditionalFormatting sqref="D90:E90">
    <cfRule type="duplicateValues" dxfId="0" priority="876"/>
  </conditionalFormatting>
  <conditionalFormatting sqref="D91:E91">
    <cfRule type="duplicateValues" dxfId="0" priority="874"/>
  </conditionalFormatting>
  <conditionalFormatting sqref="D92:E92">
    <cfRule type="duplicateValues" dxfId="0" priority="873"/>
  </conditionalFormatting>
  <conditionalFormatting sqref="D93:E93">
    <cfRule type="duplicateValues" dxfId="0" priority="872"/>
  </conditionalFormatting>
  <conditionalFormatting sqref="D94:E94">
    <cfRule type="duplicateValues" dxfId="0" priority="871"/>
  </conditionalFormatting>
  <conditionalFormatting sqref="D95:E95">
    <cfRule type="duplicateValues" dxfId="0" priority="866"/>
  </conditionalFormatting>
  <conditionalFormatting sqref="D96:E96">
    <cfRule type="duplicateValues" dxfId="0" priority="865"/>
  </conditionalFormatting>
  <conditionalFormatting sqref="D97:E97">
    <cfRule type="duplicateValues" dxfId="0" priority="864"/>
  </conditionalFormatting>
  <conditionalFormatting sqref="D98:E98">
    <cfRule type="duplicateValues" dxfId="0" priority="863"/>
  </conditionalFormatting>
  <conditionalFormatting sqref="D99:E99">
    <cfRule type="duplicateValues" dxfId="0" priority="862"/>
  </conditionalFormatting>
  <conditionalFormatting sqref="D100:E100">
    <cfRule type="duplicateValues" dxfId="0" priority="861"/>
  </conditionalFormatting>
  <conditionalFormatting sqref="D101:E101">
    <cfRule type="duplicateValues" dxfId="0" priority="848"/>
  </conditionalFormatting>
  <conditionalFormatting sqref="D102:E102">
    <cfRule type="duplicateValues" dxfId="0" priority="847"/>
  </conditionalFormatting>
  <conditionalFormatting sqref="D103:E103">
    <cfRule type="duplicateValues" dxfId="0" priority="846"/>
  </conditionalFormatting>
  <conditionalFormatting sqref="D104:E104">
    <cfRule type="duplicateValues" dxfId="0" priority="845"/>
  </conditionalFormatting>
  <conditionalFormatting sqref="D105:E105">
    <cfRule type="duplicateValues" dxfId="0" priority="844"/>
  </conditionalFormatting>
  <conditionalFormatting sqref="D106:E106">
    <cfRule type="duplicateValues" dxfId="0" priority="843"/>
  </conditionalFormatting>
  <conditionalFormatting sqref="D107:E107">
    <cfRule type="duplicateValues" dxfId="0" priority="842"/>
  </conditionalFormatting>
  <conditionalFormatting sqref="D108:E108">
    <cfRule type="duplicateValues" dxfId="0" priority="841"/>
  </conditionalFormatting>
  <conditionalFormatting sqref="D109:E109">
    <cfRule type="duplicateValues" dxfId="0" priority="840"/>
  </conditionalFormatting>
  <conditionalFormatting sqref="D110:E110">
    <cfRule type="duplicateValues" dxfId="0" priority="839"/>
  </conditionalFormatting>
  <conditionalFormatting sqref="D111:E111">
    <cfRule type="duplicateValues" dxfId="0" priority="736"/>
  </conditionalFormatting>
  <conditionalFormatting sqref="D112:E112">
    <cfRule type="duplicateValues" dxfId="0" priority="714"/>
  </conditionalFormatting>
  <conditionalFormatting sqref="D113:E113">
    <cfRule type="duplicateValues" dxfId="0" priority="713"/>
  </conditionalFormatting>
  <conditionalFormatting sqref="D114:E114">
    <cfRule type="duplicateValues" dxfId="0" priority="712"/>
  </conditionalFormatting>
  <conditionalFormatting sqref="D115:E115">
    <cfRule type="duplicateValues" dxfId="0" priority="711"/>
  </conditionalFormatting>
  <conditionalFormatting sqref="D116:E116">
    <cfRule type="duplicateValues" dxfId="0" priority="710"/>
  </conditionalFormatting>
  <conditionalFormatting sqref="D117:E117">
    <cfRule type="duplicateValues" dxfId="0" priority="709"/>
  </conditionalFormatting>
  <conditionalFormatting sqref="D118:E118">
    <cfRule type="duplicateValues" dxfId="0" priority="1003"/>
  </conditionalFormatting>
  <conditionalFormatting sqref="D119:E119">
    <cfRule type="duplicateValues" dxfId="0" priority="737"/>
  </conditionalFormatting>
  <conditionalFormatting sqref="D120:E120">
    <cfRule type="duplicateValues" dxfId="0" priority="339"/>
  </conditionalFormatting>
  <conditionalFormatting sqref="D128:E128">
    <cfRule type="duplicateValues" dxfId="0" priority="1002"/>
  </conditionalFormatting>
  <conditionalFormatting sqref="D129:E129">
    <cfRule type="duplicateValues" dxfId="0" priority="501"/>
  </conditionalFormatting>
  <conditionalFormatting sqref="D130:E130">
    <cfRule type="duplicateValues" dxfId="0" priority="337"/>
  </conditionalFormatting>
  <conditionalFormatting sqref="D132:E132">
    <cfRule type="duplicateValues" dxfId="0" priority="1001"/>
  </conditionalFormatting>
  <conditionalFormatting sqref="D133:E133">
    <cfRule type="duplicateValues" dxfId="0" priority="500"/>
  </conditionalFormatting>
  <conditionalFormatting sqref="D134:E134">
    <cfRule type="duplicateValues" dxfId="0" priority="338"/>
  </conditionalFormatting>
  <conditionalFormatting sqref="E153">
    <cfRule type="duplicateValues" dxfId="0" priority="999"/>
  </conditionalFormatting>
  <conditionalFormatting sqref="D154:E154">
    <cfRule type="duplicateValues" dxfId="0" priority="998"/>
  </conditionalFormatting>
  <conditionalFormatting sqref="D155:E155">
    <cfRule type="duplicateValues" dxfId="0" priority="611"/>
  </conditionalFormatting>
  <conditionalFormatting sqref="D156:E156">
    <cfRule type="duplicateValues" dxfId="0" priority="336"/>
  </conditionalFormatting>
  <conditionalFormatting sqref="D158">
    <cfRule type="duplicateValues" dxfId="0" priority="1031"/>
  </conditionalFormatting>
  <conditionalFormatting sqref="E170">
    <cfRule type="duplicateValues" dxfId="0" priority="609"/>
  </conditionalFormatting>
  <conditionalFormatting sqref="E171">
    <cfRule type="duplicateValues" dxfId="0" priority="608"/>
  </conditionalFormatting>
  <conditionalFormatting sqref="E172">
    <cfRule type="duplicateValues" dxfId="0" priority="607"/>
  </conditionalFormatting>
  <conditionalFormatting sqref="E173">
    <cfRule type="duplicateValues" dxfId="0" priority="606"/>
  </conditionalFormatting>
  <conditionalFormatting sqref="E174">
    <cfRule type="duplicateValues" dxfId="0" priority="605"/>
  </conditionalFormatting>
  <conditionalFormatting sqref="E175">
    <cfRule type="duplicateValues" dxfId="0" priority="604"/>
  </conditionalFormatting>
  <conditionalFormatting sqref="E176">
    <cfRule type="duplicateValues" dxfId="0" priority="603"/>
  </conditionalFormatting>
  <conditionalFormatting sqref="E177">
    <cfRule type="duplicateValues" dxfId="0" priority="602"/>
  </conditionalFormatting>
  <conditionalFormatting sqref="E178">
    <cfRule type="duplicateValues" dxfId="0" priority="601"/>
  </conditionalFormatting>
  <conditionalFormatting sqref="E179">
    <cfRule type="duplicateValues" dxfId="0" priority="600"/>
  </conditionalFormatting>
  <conditionalFormatting sqref="E183">
    <cfRule type="duplicateValues" dxfId="0" priority="599"/>
  </conditionalFormatting>
  <conditionalFormatting sqref="E186">
    <cfRule type="duplicateValues" dxfId="0" priority="610"/>
  </conditionalFormatting>
  <conditionalFormatting sqref="D187:E187">
    <cfRule type="duplicateValues" dxfId="0" priority="335"/>
  </conditionalFormatting>
  <conditionalFormatting sqref="E188">
    <cfRule type="duplicateValues" dxfId="0" priority="591"/>
  </conditionalFormatting>
  <conditionalFormatting sqref="E189">
    <cfRule type="duplicateValues" dxfId="0" priority="590"/>
  </conditionalFormatting>
  <conditionalFormatting sqref="E190">
    <cfRule type="duplicateValues" dxfId="0" priority="589"/>
  </conditionalFormatting>
  <conditionalFormatting sqref="E191">
    <cfRule type="duplicateValues" dxfId="0" priority="588"/>
  </conditionalFormatting>
  <conditionalFormatting sqref="E192">
    <cfRule type="duplicateValues" dxfId="0" priority="587"/>
  </conditionalFormatting>
  <conditionalFormatting sqref="E193">
    <cfRule type="duplicateValues" dxfId="0" priority="586"/>
  </conditionalFormatting>
  <conditionalFormatting sqref="E194">
    <cfRule type="duplicateValues" dxfId="0" priority="585"/>
  </conditionalFormatting>
  <conditionalFormatting sqref="E195">
    <cfRule type="duplicateValues" dxfId="0" priority="584"/>
  </conditionalFormatting>
  <conditionalFormatting sqref="E196">
    <cfRule type="duplicateValues" dxfId="0" priority="583"/>
  </conditionalFormatting>
  <conditionalFormatting sqref="E197">
    <cfRule type="duplicateValues" dxfId="0" priority="582"/>
  </conditionalFormatting>
  <conditionalFormatting sqref="E198">
    <cfRule type="duplicateValues" dxfId="0" priority="581"/>
  </conditionalFormatting>
  <conditionalFormatting sqref="E199">
    <cfRule type="duplicateValues" dxfId="0" priority="580"/>
  </conditionalFormatting>
  <conditionalFormatting sqref="E200">
    <cfRule type="duplicateValues" dxfId="0" priority="579"/>
  </conditionalFormatting>
  <conditionalFormatting sqref="E201">
    <cfRule type="duplicateValues" dxfId="0" priority="578"/>
  </conditionalFormatting>
  <conditionalFormatting sqref="E202">
    <cfRule type="duplicateValues" dxfId="0" priority="577"/>
  </conditionalFormatting>
  <conditionalFormatting sqref="E203">
    <cfRule type="duplicateValues" dxfId="0" priority="576"/>
  </conditionalFormatting>
  <conditionalFormatting sqref="E204">
    <cfRule type="duplicateValues" dxfId="0" priority="575"/>
  </conditionalFormatting>
  <conditionalFormatting sqref="E205">
    <cfRule type="duplicateValues" dxfId="0" priority="574"/>
  </conditionalFormatting>
  <conditionalFormatting sqref="E206">
    <cfRule type="duplicateValues" dxfId="0" priority="573"/>
  </conditionalFormatting>
  <conditionalFormatting sqref="E207">
    <cfRule type="duplicateValues" dxfId="0" priority="572"/>
  </conditionalFormatting>
  <conditionalFormatting sqref="E208">
    <cfRule type="duplicateValues" dxfId="0" priority="571"/>
  </conditionalFormatting>
  <conditionalFormatting sqref="E209">
    <cfRule type="duplicateValues" dxfId="0" priority="570"/>
  </conditionalFormatting>
  <conditionalFormatting sqref="E210">
    <cfRule type="duplicateValues" dxfId="0" priority="569"/>
  </conditionalFormatting>
  <conditionalFormatting sqref="E211">
    <cfRule type="duplicateValues" dxfId="0" priority="568"/>
  </conditionalFormatting>
  <conditionalFormatting sqref="E212">
    <cfRule type="duplicateValues" dxfId="0" priority="567"/>
  </conditionalFormatting>
  <conditionalFormatting sqref="E213">
    <cfRule type="duplicateValues" dxfId="0" priority="566"/>
  </conditionalFormatting>
  <conditionalFormatting sqref="E214">
    <cfRule type="duplicateValues" dxfId="0" priority="565"/>
  </conditionalFormatting>
  <conditionalFormatting sqref="E215">
    <cfRule type="duplicateValues" dxfId="0" priority="594"/>
  </conditionalFormatting>
  <conditionalFormatting sqref="E216">
    <cfRule type="duplicateValues" dxfId="0" priority="593"/>
  </conditionalFormatting>
  <conditionalFormatting sqref="E217">
    <cfRule type="duplicateValues" dxfId="0" priority="592"/>
  </conditionalFormatting>
  <conditionalFormatting sqref="D218:E218">
    <cfRule type="duplicateValues" dxfId="0" priority="334"/>
  </conditionalFormatting>
  <conditionalFormatting sqref="E219">
    <cfRule type="duplicateValues" dxfId="0" priority="559"/>
  </conditionalFormatting>
  <conditionalFormatting sqref="E220">
    <cfRule type="duplicateValues" dxfId="0" priority="558"/>
  </conditionalFormatting>
  <conditionalFormatting sqref="E221">
    <cfRule type="duplicateValues" dxfId="0" priority="557"/>
  </conditionalFormatting>
  <conditionalFormatting sqref="E222">
    <cfRule type="duplicateValues" dxfId="0" priority="556"/>
  </conditionalFormatting>
  <conditionalFormatting sqref="E223">
    <cfRule type="duplicateValues" dxfId="0" priority="555"/>
  </conditionalFormatting>
  <conditionalFormatting sqref="E224">
    <cfRule type="duplicateValues" dxfId="0" priority="554"/>
  </conditionalFormatting>
  <conditionalFormatting sqref="E225">
    <cfRule type="duplicateValues" dxfId="0" priority="553"/>
  </conditionalFormatting>
  <conditionalFormatting sqref="E226">
    <cfRule type="duplicateValues" dxfId="0" priority="552"/>
  </conditionalFormatting>
  <conditionalFormatting sqref="E227">
    <cfRule type="duplicateValues" dxfId="0" priority="551"/>
  </conditionalFormatting>
  <conditionalFormatting sqref="E228">
    <cfRule type="duplicateValues" dxfId="0" priority="550"/>
  </conditionalFormatting>
  <conditionalFormatting sqref="E229">
    <cfRule type="duplicateValues" dxfId="0" priority="549"/>
  </conditionalFormatting>
  <conditionalFormatting sqref="E230">
    <cfRule type="duplicateValues" dxfId="0" priority="548"/>
  </conditionalFormatting>
  <conditionalFormatting sqref="E231">
    <cfRule type="duplicateValues" dxfId="0" priority="561"/>
  </conditionalFormatting>
  <conditionalFormatting sqref="E232">
    <cfRule type="duplicateValues" dxfId="0" priority="560"/>
  </conditionalFormatting>
  <conditionalFormatting sqref="E233">
    <cfRule type="duplicateValues" dxfId="0" priority="502"/>
  </conditionalFormatting>
  <conditionalFormatting sqref="D234:E234">
    <cfRule type="duplicateValues" dxfId="0" priority="333"/>
  </conditionalFormatting>
  <conditionalFormatting sqref="E235">
    <cfRule type="duplicateValues" dxfId="0" priority="545"/>
  </conditionalFormatting>
  <conditionalFormatting sqref="E236">
    <cfRule type="duplicateValues" dxfId="0" priority="543"/>
  </conditionalFormatting>
  <conditionalFormatting sqref="E237">
    <cfRule type="duplicateValues" dxfId="0" priority="542"/>
  </conditionalFormatting>
  <conditionalFormatting sqref="E238">
    <cfRule type="duplicateValues" dxfId="0" priority="541"/>
  </conditionalFormatting>
  <conditionalFormatting sqref="E239">
    <cfRule type="duplicateValues" dxfId="0" priority="540"/>
  </conditionalFormatting>
  <conditionalFormatting sqref="E240">
    <cfRule type="duplicateValues" dxfId="0" priority="539"/>
  </conditionalFormatting>
  <conditionalFormatting sqref="E241">
    <cfRule type="duplicateValues" dxfId="0" priority="538"/>
  </conditionalFormatting>
  <conditionalFormatting sqref="E242">
    <cfRule type="duplicateValues" dxfId="0" priority="537"/>
  </conditionalFormatting>
  <conditionalFormatting sqref="E243">
    <cfRule type="duplicateValues" dxfId="0" priority="536"/>
  </conditionalFormatting>
  <conditionalFormatting sqref="E244">
    <cfRule type="duplicateValues" dxfId="0" priority="535"/>
  </conditionalFormatting>
  <conditionalFormatting sqref="E245">
    <cfRule type="duplicateValues" dxfId="0" priority="534"/>
  </conditionalFormatting>
  <conditionalFormatting sqref="E246">
    <cfRule type="duplicateValues" dxfId="0" priority="547"/>
  </conditionalFormatting>
  <conditionalFormatting sqref="E247">
    <cfRule type="duplicateValues" dxfId="0" priority="546"/>
  </conditionalFormatting>
  <conditionalFormatting sqref="E248">
    <cfRule type="duplicateValues" dxfId="0" priority="544"/>
  </conditionalFormatting>
  <conditionalFormatting sqref="D249:E249">
    <cfRule type="duplicateValues" dxfId="0" priority="332"/>
  </conditionalFormatting>
  <conditionalFormatting sqref="E250">
    <cfRule type="duplicateValues" dxfId="0" priority="531"/>
  </conditionalFormatting>
  <conditionalFormatting sqref="E251">
    <cfRule type="duplicateValues" dxfId="0" priority="529"/>
  </conditionalFormatting>
  <conditionalFormatting sqref="E252">
    <cfRule type="duplicateValues" dxfId="0" priority="528"/>
  </conditionalFormatting>
  <conditionalFormatting sqref="E253">
    <cfRule type="duplicateValues" dxfId="0" priority="527"/>
  </conditionalFormatting>
  <conditionalFormatting sqref="E254">
    <cfRule type="duplicateValues" dxfId="0" priority="526"/>
  </conditionalFormatting>
  <conditionalFormatting sqref="E255">
    <cfRule type="duplicateValues" dxfId="0" priority="525"/>
  </conditionalFormatting>
  <conditionalFormatting sqref="E256">
    <cfRule type="duplicateValues" dxfId="0" priority="524"/>
  </conditionalFormatting>
  <conditionalFormatting sqref="E257">
    <cfRule type="duplicateValues" dxfId="0" priority="523"/>
  </conditionalFormatting>
  <conditionalFormatting sqref="E258">
    <cfRule type="duplicateValues" dxfId="0" priority="521"/>
  </conditionalFormatting>
  <conditionalFormatting sqref="E259">
    <cfRule type="duplicateValues" dxfId="0" priority="520"/>
  </conditionalFormatting>
  <conditionalFormatting sqref="E260">
    <cfRule type="duplicateValues" dxfId="0" priority="519"/>
  </conditionalFormatting>
  <conditionalFormatting sqref="E261">
    <cfRule type="duplicateValues" dxfId="0" priority="518"/>
  </conditionalFormatting>
  <conditionalFormatting sqref="E262">
    <cfRule type="duplicateValues" dxfId="0" priority="533"/>
  </conditionalFormatting>
  <conditionalFormatting sqref="E263">
    <cfRule type="duplicateValues" dxfId="0" priority="532"/>
  </conditionalFormatting>
  <conditionalFormatting sqref="E264">
    <cfRule type="duplicateValues" dxfId="0" priority="530"/>
  </conditionalFormatting>
  <conditionalFormatting sqref="D265:E265">
    <cfRule type="duplicateValues" dxfId="0" priority="331"/>
  </conditionalFormatting>
  <conditionalFormatting sqref="E266">
    <cfRule type="duplicateValues" dxfId="0" priority="515"/>
  </conditionalFormatting>
  <conditionalFormatting sqref="E267">
    <cfRule type="duplicateValues" dxfId="0" priority="513"/>
  </conditionalFormatting>
  <conditionalFormatting sqref="E268">
    <cfRule type="duplicateValues" dxfId="0" priority="512"/>
  </conditionalFormatting>
  <conditionalFormatting sqref="E269">
    <cfRule type="duplicateValues" dxfId="0" priority="511"/>
  </conditionalFormatting>
  <conditionalFormatting sqref="E270">
    <cfRule type="duplicateValues" dxfId="0" priority="510"/>
  </conditionalFormatting>
  <conditionalFormatting sqref="E271">
    <cfRule type="duplicateValues" dxfId="0" priority="509"/>
  </conditionalFormatting>
  <conditionalFormatting sqref="E272">
    <cfRule type="duplicateValues" dxfId="0" priority="508"/>
  </conditionalFormatting>
  <conditionalFormatting sqref="E273">
    <cfRule type="duplicateValues" dxfId="0" priority="507"/>
  </conditionalFormatting>
  <conditionalFormatting sqref="E274">
    <cfRule type="duplicateValues" dxfId="0" priority="506"/>
  </conditionalFormatting>
  <conditionalFormatting sqref="E275">
    <cfRule type="duplicateValues" dxfId="0" priority="505"/>
  </conditionalFormatting>
  <conditionalFormatting sqref="E276">
    <cfRule type="duplicateValues" dxfId="0" priority="504"/>
  </conditionalFormatting>
  <conditionalFormatting sqref="E277">
    <cfRule type="duplicateValues" dxfId="0" priority="517"/>
  </conditionalFormatting>
  <conditionalFormatting sqref="E278">
    <cfRule type="duplicateValues" dxfId="0" priority="516"/>
  </conditionalFormatting>
  <conditionalFormatting sqref="E279">
    <cfRule type="duplicateValues" dxfId="0" priority="514"/>
  </conditionalFormatting>
  <conditionalFormatting sqref="D280:E280">
    <cfRule type="duplicateValues" dxfId="0" priority="330"/>
  </conditionalFormatting>
  <conditionalFormatting sqref="E281">
    <cfRule type="duplicateValues" dxfId="0" priority="499"/>
  </conditionalFormatting>
  <conditionalFormatting sqref="E282">
    <cfRule type="duplicateValues" dxfId="0" priority="480"/>
  </conditionalFormatting>
  <conditionalFormatting sqref="E283">
    <cfRule type="duplicateValues" dxfId="0" priority="479"/>
  </conditionalFormatting>
  <conditionalFormatting sqref="D284:E284">
    <cfRule type="duplicateValues" dxfId="0" priority="329"/>
  </conditionalFormatting>
  <conditionalFormatting sqref="E285">
    <cfRule type="duplicateValues" dxfId="0" priority="496"/>
  </conditionalFormatting>
  <conditionalFormatting sqref="E286">
    <cfRule type="duplicateValues" dxfId="0" priority="475"/>
  </conditionalFormatting>
  <conditionalFormatting sqref="E287">
    <cfRule type="duplicateValues" dxfId="0" priority="474"/>
  </conditionalFormatting>
  <conditionalFormatting sqref="E288">
    <cfRule type="duplicateValues" dxfId="0" priority="473"/>
  </conditionalFormatting>
  <conditionalFormatting sqref="E289">
    <cfRule type="duplicateValues" dxfId="0" priority="472"/>
  </conditionalFormatting>
  <conditionalFormatting sqref="E290">
    <cfRule type="duplicateValues" dxfId="0" priority="471"/>
  </conditionalFormatting>
  <conditionalFormatting sqref="E291">
    <cfRule type="duplicateValues" dxfId="0" priority="470"/>
  </conditionalFormatting>
  <conditionalFormatting sqref="E292">
    <cfRule type="duplicateValues" dxfId="0" priority="469"/>
  </conditionalFormatting>
  <conditionalFormatting sqref="E293">
    <cfRule type="duplicateValues" dxfId="0" priority="468"/>
  </conditionalFormatting>
  <conditionalFormatting sqref="E294">
    <cfRule type="duplicateValues" dxfId="0" priority="476"/>
  </conditionalFormatting>
  <conditionalFormatting sqref="E295">
    <cfRule type="duplicateValues" dxfId="0" priority="478"/>
  </conditionalFormatting>
  <conditionalFormatting sqref="E296">
    <cfRule type="duplicateValues" dxfId="0" priority="477"/>
  </conditionalFormatting>
  <conditionalFormatting sqref="D297:E297">
    <cfRule type="duplicateValues" dxfId="0" priority="328"/>
  </conditionalFormatting>
  <conditionalFormatting sqref="E298">
    <cfRule type="duplicateValues" dxfId="0" priority="464"/>
  </conditionalFormatting>
  <conditionalFormatting sqref="E299">
    <cfRule type="duplicateValues" dxfId="0" priority="463"/>
  </conditionalFormatting>
  <conditionalFormatting sqref="E300">
    <cfRule type="duplicateValues" dxfId="0" priority="462"/>
  </conditionalFormatting>
  <conditionalFormatting sqref="E301">
    <cfRule type="duplicateValues" dxfId="0" priority="461"/>
  </conditionalFormatting>
  <conditionalFormatting sqref="E302">
    <cfRule type="duplicateValues" dxfId="0" priority="460"/>
  </conditionalFormatting>
  <conditionalFormatting sqref="E303">
    <cfRule type="duplicateValues" dxfId="0" priority="459"/>
  </conditionalFormatting>
  <conditionalFormatting sqref="E304">
    <cfRule type="duplicateValues" dxfId="0" priority="458"/>
  </conditionalFormatting>
  <conditionalFormatting sqref="E305">
    <cfRule type="duplicateValues" dxfId="0" priority="457"/>
  </conditionalFormatting>
  <conditionalFormatting sqref="E306">
    <cfRule type="duplicateValues" dxfId="0" priority="456"/>
  </conditionalFormatting>
  <conditionalFormatting sqref="E307">
    <cfRule type="duplicateValues" dxfId="0" priority="455"/>
  </conditionalFormatting>
  <conditionalFormatting sqref="E308">
    <cfRule type="duplicateValues" dxfId="0" priority="454"/>
  </conditionalFormatting>
  <conditionalFormatting sqref="E309">
    <cfRule type="duplicateValues" dxfId="0" priority="453"/>
  </conditionalFormatting>
  <conditionalFormatting sqref="E310">
    <cfRule type="duplicateValues" dxfId="0" priority="452"/>
  </conditionalFormatting>
  <conditionalFormatting sqref="E311">
    <cfRule type="duplicateValues" dxfId="0" priority="451"/>
  </conditionalFormatting>
  <conditionalFormatting sqref="E312">
    <cfRule type="duplicateValues" dxfId="0" priority="450"/>
  </conditionalFormatting>
  <conditionalFormatting sqref="E313">
    <cfRule type="duplicateValues" dxfId="0" priority="449"/>
  </conditionalFormatting>
  <conditionalFormatting sqref="E314">
    <cfRule type="duplicateValues" dxfId="0" priority="448"/>
  </conditionalFormatting>
  <conditionalFormatting sqref="E315">
    <cfRule type="duplicateValues" dxfId="0" priority="447"/>
  </conditionalFormatting>
  <conditionalFormatting sqref="E316">
    <cfRule type="duplicateValues" dxfId="0" priority="446"/>
  </conditionalFormatting>
  <conditionalFormatting sqref="E317">
    <cfRule type="duplicateValues" dxfId="0" priority="444"/>
  </conditionalFormatting>
  <conditionalFormatting sqref="E318">
    <cfRule type="duplicateValues" dxfId="0" priority="467"/>
  </conditionalFormatting>
  <conditionalFormatting sqref="E319">
    <cfRule type="duplicateValues" dxfId="0" priority="466"/>
  </conditionalFormatting>
  <conditionalFormatting sqref="E320">
    <cfRule type="duplicateValues" dxfId="0" priority="465"/>
  </conditionalFormatting>
  <conditionalFormatting sqref="D321:E321">
    <cfRule type="duplicateValues" dxfId="0" priority="327"/>
  </conditionalFormatting>
  <conditionalFormatting sqref="E322">
    <cfRule type="duplicateValues" dxfId="0" priority="440"/>
  </conditionalFormatting>
  <conditionalFormatting sqref="E323">
    <cfRule type="duplicateValues" dxfId="0" priority="439"/>
  </conditionalFormatting>
  <conditionalFormatting sqref="E324">
    <cfRule type="duplicateValues" dxfId="0" priority="438"/>
  </conditionalFormatting>
  <conditionalFormatting sqref="E325">
    <cfRule type="duplicateValues" dxfId="0" priority="437"/>
  </conditionalFormatting>
  <conditionalFormatting sqref="E326">
    <cfRule type="duplicateValues" dxfId="0" priority="436"/>
  </conditionalFormatting>
  <conditionalFormatting sqref="E327">
    <cfRule type="duplicateValues" dxfId="0" priority="435"/>
  </conditionalFormatting>
  <conditionalFormatting sqref="E328">
    <cfRule type="duplicateValues" dxfId="0" priority="434"/>
  </conditionalFormatting>
  <conditionalFormatting sqref="E329">
    <cfRule type="duplicateValues" dxfId="0" priority="433"/>
  </conditionalFormatting>
  <conditionalFormatting sqref="E330">
    <cfRule type="duplicateValues" dxfId="0" priority="432"/>
  </conditionalFormatting>
  <conditionalFormatting sqref="E331">
    <cfRule type="duplicateValues" dxfId="0" priority="431"/>
  </conditionalFormatting>
  <conditionalFormatting sqref="E332">
    <cfRule type="duplicateValues" dxfId="0" priority="430"/>
  </conditionalFormatting>
  <conditionalFormatting sqref="E333">
    <cfRule type="duplicateValues" dxfId="0" priority="429"/>
  </conditionalFormatting>
  <conditionalFormatting sqref="E334">
    <cfRule type="duplicateValues" dxfId="0" priority="428"/>
  </conditionalFormatting>
  <conditionalFormatting sqref="E335">
    <cfRule type="duplicateValues" dxfId="0" priority="427"/>
  </conditionalFormatting>
  <conditionalFormatting sqref="E336">
    <cfRule type="duplicateValues" dxfId="0" priority="426"/>
  </conditionalFormatting>
  <conditionalFormatting sqref="E337">
    <cfRule type="duplicateValues" dxfId="0" priority="425"/>
  </conditionalFormatting>
  <conditionalFormatting sqref="E338">
    <cfRule type="duplicateValues" dxfId="0" priority="424"/>
  </conditionalFormatting>
  <conditionalFormatting sqref="E339">
    <cfRule type="duplicateValues" dxfId="0" priority="443"/>
  </conditionalFormatting>
  <conditionalFormatting sqref="E340">
    <cfRule type="duplicateValues" dxfId="0" priority="442"/>
  </conditionalFormatting>
  <conditionalFormatting sqref="E341">
    <cfRule type="duplicateValues" dxfId="0" priority="441"/>
  </conditionalFormatting>
  <conditionalFormatting sqref="D342:E342">
    <cfRule type="duplicateValues" dxfId="0" priority="326"/>
  </conditionalFormatting>
  <conditionalFormatting sqref="E343">
    <cfRule type="duplicateValues" dxfId="0" priority="410"/>
  </conditionalFormatting>
  <conditionalFormatting sqref="E344">
    <cfRule type="duplicateValues" dxfId="0" priority="409"/>
  </conditionalFormatting>
  <conditionalFormatting sqref="E345">
    <cfRule type="duplicateValues" dxfId="0" priority="408"/>
  </conditionalFormatting>
  <conditionalFormatting sqref="E346">
    <cfRule type="duplicateValues" dxfId="0" priority="407"/>
  </conditionalFormatting>
  <conditionalFormatting sqref="E347">
    <cfRule type="duplicateValues" dxfId="0" priority="406"/>
  </conditionalFormatting>
  <conditionalFormatting sqref="E348">
    <cfRule type="duplicateValues" dxfId="0" priority="405"/>
  </conditionalFormatting>
  <conditionalFormatting sqref="E349">
    <cfRule type="duplicateValues" dxfId="0" priority="404"/>
  </conditionalFormatting>
  <conditionalFormatting sqref="E350">
    <cfRule type="duplicateValues" dxfId="0" priority="403"/>
  </conditionalFormatting>
  <conditionalFormatting sqref="E351">
    <cfRule type="duplicateValues" dxfId="0" priority="402"/>
  </conditionalFormatting>
  <conditionalFormatting sqref="E352">
    <cfRule type="duplicateValues" dxfId="0" priority="401"/>
  </conditionalFormatting>
  <conditionalFormatting sqref="E353">
    <cfRule type="duplicateValues" dxfId="0" priority="400"/>
  </conditionalFormatting>
  <conditionalFormatting sqref="E354">
    <cfRule type="duplicateValues" dxfId="0" priority="399"/>
  </conditionalFormatting>
  <conditionalFormatting sqref="E355">
    <cfRule type="duplicateValues" dxfId="0" priority="398"/>
  </conditionalFormatting>
  <conditionalFormatting sqref="E356">
    <cfRule type="duplicateValues" dxfId="0" priority="413"/>
  </conditionalFormatting>
  <conditionalFormatting sqref="E357">
    <cfRule type="duplicateValues" dxfId="0" priority="412"/>
  </conditionalFormatting>
  <conditionalFormatting sqref="E358">
    <cfRule type="duplicateValues" dxfId="0" priority="411"/>
  </conditionalFormatting>
  <conditionalFormatting sqref="D359:E359">
    <cfRule type="duplicateValues" dxfId="0" priority="325"/>
  </conditionalFormatting>
  <conditionalFormatting sqref="E360">
    <cfRule type="duplicateValues" dxfId="0" priority="391"/>
  </conditionalFormatting>
  <conditionalFormatting sqref="E361">
    <cfRule type="duplicateValues" dxfId="0" priority="390"/>
  </conditionalFormatting>
  <conditionalFormatting sqref="E362">
    <cfRule type="duplicateValues" dxfId="0" priority="389"/>
  </conditionalFormatting>
  <conditionalFormatting sqref="E363">
    <cfRule type="duplicateValues" dxfId="0" priority="388"/>
  </conditionalFormatting>
  <conditionalFormatting sqref="E364">
    <cfRule type="duplicateValues" dxfId="0" priority="387"/>
  </conditionalFormatting>
  <conditionalFormatting sqref="E365">
    <cfRule type="duplicateValues" dxfId="0" priority="386"/>
  </conditionalFormatting>
  <conditionalFormatting sqref="E366">
    <cfRule type="duplicateValues" dxfId="0" priority="385"/>
  </conditionalFormatting>
  <conditionalFormatting sqref="E367">
    <cfRule type="duplicateValues" dxfId="0" priority="384"/>
  </conditionalFormatting>
  <conditionalFormatting sqref="E368">
    <cfRule type="duplicateValues" dxfId="0" priority="383"/>
  </conditionalFormatting>
  <conditionalFormatting sqref="E369">
    <cfRule type="duplicateValues" dxfId="0" priority="394"/>
  </conditionalFormatting>
  <conditionalFormatting sqref="E370">
    <cfRule type="duplicateValues" dxfId="0" priority="393"/>
  </conditionalFormatting>
  <conditionalFormatting sqref="E371">
    <cfRule type="duplicateValues" dxfId="0" priority="392"/>
  </conditionalFormatting>
  <conditionalFormatting sqref="D372:E372">
    <cfRule type="duplicateValues" dxfId="0" priority="324"/>
  </conditionalFormatting>
  <conditionalFormatting sqref="E373">
    <cfRule type="duplicateValues" dxfId="0" priority="379"/>
  </conditionalFormatting>
  <conditionalFormatting sqref="E374">
    <cfRule type="duplicateValues" dxfId="0" priority="378"/>
  </conditionalFormatting>
  <conditionalFormatting sqref="E375">
    <cfRule type="duplicateValues" dxfId="0" priority="377"/>
  </conditionalFormatting>
  <conditionalFormatting sqref="E376">
    <cfRule type="duplicateValues" dxfId="0" priority="376"/>
  </conditionalFormatting>
  <conditionalFormatting sqref="E377">
    <cfRule type="duplicateValues" dxfId="0" priority="375"/>
  </conditionalFormatting>
  <conditionalFormatting sqref="E378">
    <cfRule type="duplicateValues" dxfId="0" priority="374"/>
  </conditionalFormatting>
  <conditionalFormatting sqref="E379">
    <cfRule type="duplicateValues" dxfId="0" priority="373"/>
  </conditionalFormatting>
  <conditionalFormatting sqref="E380">
    <cfRule type="duplicateValues" dxfId="0" priority="372"/>
  </conditionalFormatting>
  <conditionalFormatting sqref="E381">
    <cfRule type="duplicateValues" dxfId="0" priority="371"/>
  </conditionalFormatting>
  <conditionalFormatting sqref="E382">
    <cfRule type="duplicateValues" dxfId="0" priority="382"/>
  </conditionalFormatting>
  <conditionalFormatting sqref="E383">
    <cfRule type="duplicateValues" dxfId="0" priority="381"/>
  </conditionalFormatting>
  <conditionalFormatting sqref="E384">
    <cfRule type="duplicateValues" dxfId="0" priority="380"/>
  </conditionalFormatting>
  <conditionalFormatting sqref="D385:E385">
    <cfRule type="duplicateValues" dxfId="0" priority="323"/>
  </conditionalFormatting>
  <conditionalFormatting sqref="E386">
    <cfRule type="duplicateValues" dxfId="0" priority="367"/>
  </conditionalFormatting>
  <conditionalFormatting sqref="E387">
    <cfRule type="duplicateValues" dxfId="0" priority="366"/>
  </conditionalFormatting>
  <conditionalFormatting sqref="E388">
    <cfRule type="duplicateValues" dxfId="0" priority="365"/>
  </conditionalFormatting>
  <conditionalFormatting sqref="E389">
    <cfRule type="duplicateValues" dxfId="0" priority="364"/>
  </conditionalFormatting>
  <conditionalFormatting sqref="E390">
    <cfRule type="duplicateValues" dxfId="0" priority="363"/>
  </conditionalFormatting>
  <conditionalFormatting sqref="E391">
    <cfRule type="duplicateValues" dxfId="0" priority="362"/>
  </conditionalFormatting>
  <conditionalFormatting sqref="E392">
    <cfRule type="duplicateValues" dxfId="0" priority="361"/>
  </conditionalFormatting>
  <conditionalFormatting sqref="E393">
    <cfRule type="duplicateValues" dxfId="0" priority="360"/>
  </conditionalFormatting>
  <conditionalFormatting sqref="E394">
    <cfRule type="duplicateValues" dxfId="0" priority="359"/>
  </conditionalFormatting>
  <conditionalFormatting sqref="E395">
    <cfRule type="duplicateValues" dxfId="0" priority="358"/>
  </conditionalFormatting>
  <conditionalFormatting sqref="E396">
    <cfRule type="duplicateValues" dxfId="0" priority="357"/>
  </conditionalFormatting>
  <conditionalFormatting sqref="E397">
    <cfRule type="duplicateValues" dxfId="0" priority="356"/>
  </conditionalFormatting>
  <conditionalFormatting sqref="E398">
    <cfRule type="duplicateValues" dxfId="0" priority="355"/>
  </conditionalFormatting>
  <conditionalFormatting sqref="E399">
    <cfRule type="duplicateValues" dxfId="0" priority="370"/>
  </conditionalFormatting>
  <conditionalFormatting sqref="E400">
    <cfRule type="duplicateValues" dxfId="0" priority="369"/>
  </conditionalFormatting>
  <conditionalFormatting sqref="E401">
    <cfRule type="duplicateValues" dxfId="0" priority="368"/>
  </conditionalFormatting>
  <conditionalFormatting sqref="D402:E402">
    <cfRule type="duplicateValues" dxfId="0" priority="322"/>
  </conditionalFormatting>
  <conditionalFormatting sqref="E403">
    <cfRule type="duplicateValues" dxfId="0" priority="351"/>
  </conditionalFormatting>
  <conditionalFormatting sqref="E404">
    <cfRule type="duplicateValues" dxfId="0" priority="350"/>
  </conditionalFormatting>
  <conditionalFormatting sqref="E405">
    <cfRule type="duplicateValues" dxfId="0" priority="349"/>
  </conditionalFormatting>
  <conditionalFormatting sqref="E406">
    <cfRule type="duplicateValues" dxfId="0" priority="348"/>
  </conditionalFormatting>
  <conditionalFormatting sqref="E407">
    <cfRule type="duplicateValues" dxfId="0" priority="347"/>
  </conditionalFormatting>
  <conditionalFormatting sqref="E408">
    <cfRule type="duplicateValues" dxfId="0" priority="346"/>
  </conditionalFormatting>
  <conditionalFormatting sqref="E409">
    <cfRule type="duplicateValues" dxfId="0" priority="345"/>
  </conditionalFormatting>
  <conditionalFormatting sqref="E410">
    <cfRule type="duplicateValues" dxfId="0" priority="344"/>
  </conditionalFormatting>
  <conditionalFormatting sqref="E411">
    <cfRule type="duplicateValues" dxfId="0" priority="343"/>
  </conditionalFormatting>
  <conditionalFormatting sqref="E412">
    <cfRule type="duplicateValues" dxfId="0" priority="342"/>
  </conditionalFormatting>
  <conditionalFormatting sqref="E413">
    <cfRule type="duplicateValues" dxfId="0" priority="341"/>
  </conditionalFormatting>
  <conditionalFormatting sqref="E414">
    <cfRule type="duplicateValues" dxfId="0" priority="354"/>
  </conditionalFormatting>
  <conditionalFormatting sqref="E415">
    <cfRule type="duplicateValues" dxfId="0" priority="353"/>
  </conditionalFormatting>
  <conditionalFormatting sqref="E416">
    <cfRule type="duplicateValues" dxfId="0" priority="352"/>
  </conditionalFormatting>
  <conditionalFormatting sqref="D417:E417">
    <cfRule type="duplicateValues" dxfId="0" priority="321"/>
  </conditionalFormatting>
  <conditionalFormatting sqref="E418">
    <cfRule type="duplicateValues" dxfId="0" priority="320"/>
  </conditionalFormatting>
  <conditionalFormatting sqref="E419">
    <cfRule type="duplicateValues" dxfId="0" priority="319"/>
  </conditionalFormatting>
  <conditionalFormatting sqref="E420">
    <cfRule type="duplicateValues" dxfId="0" priority="318"/>
  </conditionalFormatting>
  <conditionalFormatting sqref="D421:E421">
    <cfRule type="duplicateValues" dxfId="0" priority="316"/>
  </conditionalFormatting>
  <conditionalFormatting sqref="E422">
    <cfRule type="duplicateValues" dxfId="0" priority="311"/>
  </conditionalFormatting>
  <conditionalFormatting sqref="E423">
    <cfRule type="duplicateValues" dxfId="0" priority="310"/>
  </conditionalFormatting>
  <conditionalFormatting sqref="E424">
    <cfRule type="duplicateValues" dxfId="0" priority="309"/>
  </conditionalFormatting>
  <conditionalFormatting sqref="E425">
    <cfRule type="duplicateValues" dxfId="0" priority="308"/>
  </conditionalFormatting>
  <conditionalFormatting sqref="E426">
    <cfRule type="duplicateValues" dxfId="0" priority="307"/>
  </conditionalFormatting>
  <conditionalFormatting sqref="E427">
    <cfRule type="duplicateValues" dxfId="0" priority="306"/>
  </conditionalFormatting>
  <conditionalFormatting sqref="E428">
    <cfRule type="duplicateValues" dxfId="0" priority="305"/>
  </conditionalFormatting>
  <conditionalFormatting sqref="E429">
    <cfRule type="duplicateValues" dxfId="0" priority="304"/>
  </conditionalFormatting>
  <conditionalFormatting sqref="E430">
    <cfRule type="duplicateValues" dxfId="0" priority="315"/>
  </conditionalFormatting>
  <conditionalFormatting sqref="E431">
    <cfRule type="duplicateValues" dxfId="0" priority="314"/>
  </conditionalFormatting>
  <conditionalFormatting sqref="E432">
    <cfRule type="duplicateValues" dxfId="0" priority="313"/>
  </conditionalFormatting>
  <conditionalFormatting sqref="D433:E433">
    <cfRule type="duplicateValues" dxfId="0" priority="312"/>
  </conditionalFormatting>
  <conditionalFormatting sqref="E434">
    <cfRule type="duplicateValues" dxfId="0" priority="273"/>
  </conditionalFormatting>
  <conditionalFormatting sqref="E435">
    <cfRule type="duplicateValues" dxfId="0" priority="272"/>
  </conditionalFormatting>
  <conditionalFormatting sqref="E436">
    <cfRule type="duplicateValues" dxfId="0" priority="271"/>
  </conditionalFormatting>
  <conditionalFormatting sqref="E437">
    <cfRule type="duplicateValues" dxfId="0" priority="270"/>
  </conditionalFormatting>
  <conditionalFormatting sqref="E438">
    <cfRule type="duplicateValues" dxfId="0" priority="269"/>
  </conditionalFormatting>
  <conditionalFormatting sqref="E439">
    <cfRule type="duplicateValues" dxfId="0" priority="268"/>
  </conditionalFormatting>
  <conditionalFormatting sqref="E440">
    <cfRule type="duplicateValues" dxfId="0" priority="267"/>
  </conditionalFormatting>
  <conditionalFormatting sqref="E441">
    <cfRule type="duplicateValues" dxfId="0" priority="266"/>
  </conditionalFormatting>
  <conditionalFormatting sqref="E442">
    <cfRule type="duplicateValues" dxfId="0" priority="265"/>
  </conditionalFormatting>
  <conditionalFormatting sqref="E443">
    <cfRule type="duplicateValues" dxfId="0" priority="264"/>
  </conditionalFormatting>
  <conditionalFormatting sqref="E444">
    <cfRule type="duplicateValues" dxfId="0" priority="263"/>
  </conditionalFormatting>
  <conditionalFormatting sqref="E445">
    <cfRule type="duplicateValues" dxfId="0" priority="262"/>
  </conditionalFormatting>
  <conditionalFormatting sqref="E446">
    <cfRule type="duplicateValues" dxfId="0" priority="261"/>
  </conditionalFormatting>
  <conditionalFormatting sqref="E447">
    <cfRule type="duplicateValues" dxfId="0" priority="260"/>
  </conditionalFormatting>
  <conditionalFormatting sqref="E448">
    <cfRule type="duplicateValues" dxfId="0" priority="259"/>
  </conditionalFormatting>
  <conditionalFormatting sqref="E449">
    <cfRule type="duplicateValues" dxfId="0" priority="258"/>
  </conditionalFormatting>
  <conditionalFormatting sqref="E450">
    <cfRule type="duplicateValues" dxfId="0" priority="302"/>
  </conditionalFormatting>
  <conditionalFormatting sqref="E451">
    <cfRule type="duplicateValues" dxfId="0" priority="301"/>
  </conditionalFormatting>
  <conditionalFormatting sqref="E452">
    <cfRule type="duplicateValues" dxfId="0" priority="300"/>
  </conditionalFormatting>
  <conditionalFormatting sqref="D453:E453">
    <cfRule type="duplicateValues" dxfId="0" priority="299"/>
  </conditionalFormatting>
  <conditionalFormatting sqref="E454">
    <cfRule type="duplicateValues" dxfId="0" priority="257"/>
  </conditionalFormatting>
  <conditionalFormatting sqref="E455">
    <cfRule type="duplicateValues" dxfId="0" priority="256"/>
  </conditionalFormatting>
  <conditionalFormatting sqref="E456">
    <cfRule type="duplicateValues" dxfId="0" priority="255"/>
  </conditionalFormatting>
  <conditionalFormatting sqref="E457">
    <cfRule type="duplicateValues" dxfId="0" priority="254"/>
  </conditionalFormatting>
  <conditionalFormatting sqref="E458">
    <cfRule type="duplicateValues" dxfId="0" priority="253"/>
  </conditionalFormatting>
  <conditionalFormatting sqref="E459">
    <cfRule type="duplicateValues" dxfId="0" priority="252"/>
  </conditionalFormatting>
  <conditionalFormatting sqref="E460">
    <cfRule type="duplicateValues" dxfId="0" priority="251"/>
  </conditionalFormatting>
  <conditionalFormatting sqref="E461">
    <cfRule type="duplicateValues" dxfId="0" priority="250"/>
  </conditionalFormatting>
  <conditionalFormatting sqref="E462">
    <cfRule type="duplicateValues" dxfId="0" priority="249"/>
  </conditionalFormatting>
  <conditionalFormatting sqref="E463">
    <cfRule type="duplicateValues" dxfId="0" priority="248"/>
  </conditionalFormatting>
  <conditionalFormatting sqref="E464">
    <cfRule type="duplicateValues" dxfId="0" priority="247"/>
  </conditionalFormatting>
  <conditionalFormatting sqref="E465">
    <cfRule type="duplicateValues" dxfId="0" priority="246"/>
  </conditionalFormatting>
  <conditionalFormatting sqref="E466">
    <cfRule type="duplicateValues" dxfId="0" priority="245"/>
  </conditionalFormatting>
  <conditionalFormatting sqref="E467">
    <cfRule type="duplicateValues" dxfId="0" priority="244"/>
  </conditionalFormatting>
  <conditionalFormatting sqref="E468">
    <cfRule type="duplicateValues" dxfId="0" priority="243"/>
  </conditionalFormatting>
  <conditionalFormatting sqref="E469">
    <cfRule type="duplicateValues" dxfId="0" priority="297"/>
  </conditionalFormatting>
  <conditionalFormatting sqref="E470">
    <cfRule type="duplicateValues" dxfId="0" priority="296"/>
  </conditionalFormatting>
  <conditionalFormatting sqref="E471">
    <cfRule type="duplicateValues" dxfId="0" priority="295"/>
  </conditionalFormatting>
  <conditionalFormatting sqref="D472:E472">
    <cfRule type="duplicateValues" dxfId="0" priority="294"/>
  </conditionalFormatting>
  <conditionalFormatting sqref="E473">
    <cfRule type="duplicateValues" dxfId="0" priority="241"/>
  </conditionalFormatting>
  <conditionalFormatting sqref="E474">
    <cfRule type="duplicateValues" dxfId="0" priority="240"/>
  </conditionalFormatting>
  <conditionalFormatting sqref="E475">
    <cfRule type="duplicateValues" dxfId="0" priority="239"/>
  </conditionalFormatting>
  <conditionalFormatting sqref="E476">
    <cfRule type="duplicateValues" dxfId="0" priority="238"/>
  </conditionalFormatting>
  <conditionalFormatting sqref="E477">
    <cfRule type="duplicateValues" dxfId="0" priority="237"/>
  </conditionalFormatting>
  <conditionalFormatting sqref="E478">
    <cfRule type="duplicateValues" dxfId="0" priority="236"/>
  </conditionalFormatting>
  <conditionalFormatting sqref="E479">
    <cfRule type="duplicateValues" dxfId="0" priority="235"/>
  </conditionalFormatting>
  <conditionalFormatting sqref="E480">
    <cfRule type="duplicateValues" dxfId="0" priority="234"/>
  </conditionalFormatting>
  <conditionalFormatting sqref="E481">
    <cfRule type="duplicateValues" dxfId="0" priority="233"/>
  </conditionalFormatting>
  <conditionalFormatting sqref="E482">
    <cfRule type="duplicateValues" dxfId="0" priority="232"/>
  </conditionalFormatting>
  <conditionalFormatting sqref="E483">
    <cfRule type="duplicateValues" dxfId="0" priority="231"/>
  </conditionalFormatting>
  <conditionalFormatting sqref="E484">
    <cfRule type="duplicateValues" dxfId="0" priority="230"/>
  </conditionalFormatting>
  <conditionalFormatting sqref="E485">
    <cfRule type="duplicateValues" dxfId="0" priority="293"/>
  </conditionalFormatting>
  <conditionalFormatting sqref="E486">
    <cfRule type="duplicateValues" dxfId="0" priority="292"/>
  </conditionalFormatting>
  <conditionalFormatting sqref="E487">
    <cfRule type="duplicateValues" dxfId="0" priority="291"/>
  </conditionalFormatting>
  <conditionalFormatting sqref="D488:E488">
    <cfRule type="duplicateValues" dxfId="0" priority="290"/>
  </conditionalFormatting>
  <conditionalFormatting sqref="E489">
    <cfRule type="duplicateValues" dxfId="0" priority="228"/>
  </conditionalFormatting>
  <conditionalFormatting sqref="E490">
    <cfRule type="duplicateValues" dxfId="0" priority="227"/>
  </conditionalFormatting>
  <conditionalFormatting sqref="E491">
    <cfRule type="duplicateValues" dxfId="0" priority="226"/>
  </conditionalFormatting>
  <conditionalFormatting sqref="E492">
    <cfRule type="duplicateValues" dxfId="0" priority="225"/>
  </conditionalFormatting>
  <conditionalFormatting sqref="E493">
    <cfRule type="duplicateValues" dxfId="0" priority="224"/>
  </conditionalFormatting>
  <conditionalFormatting sqref="E494">
    <cfRule type="duplicateValues" dxfId="0" priority="223"/>
  </conditionalFormatting>
  <conditionalFormatting sqref="E495">
    <cfRule type="duplicateValues" dxfId="0" priority="222"/>
  </conditionalFormatting>
  <conditionalFormatting sqref="E496">
    <cfRule type="duplicateValues" dxfId="0" priority="289"/>
  </conditionalFormatting>
  <conditionalFormatting sqref="E497">
    <cfRule type="duplicateValues" dxfId="0" priority="288"/>
  </conditionalFormatting>
  <conditionalFormatting sqref="E498">
    <cfRule type="duplicateValues" dxfId="0" priority="287"/>
  </conditionalFormatting>
  <conditionalFormatting sqref="D499:E499">
    <cfRule type="duplicateValues" dxfId="0" priority="286"/>
  </conditionalFormatting>
  <conditionalFormatting sqref="E500">
    <cfRule type="duplicateValues" dxfId="0" priority="216"/>
  </conditionalFormatting>
  <conditionalFormatting sqref="E501">
    <cfRule type="duplicateValues" dxfId="0" priority="215"/>
  </conditionalFormatting>
  <conditionalFormatting sqref="E502">
    <cfRule type="duplicateValues" dxfId="0" priority="214"/>
  </conditionalFormatting>
  <conditionalFormatting sqref="E503">
    <cfRule type="duplicateValues" dxfId="0" priority="213"/>
  </conditionalFormatting>
  <conditionalFormatting sqref="E504">
    <cfRule type="duplicateValues" dxfId="0" priority="212"/>
  </conditionalFormatting>
  <conditionalFormatting sqref="E505">
    <cfRule type="duplicateValues" dxfId="0" priority="211"/>
  </conditionalFormatting>
  <conditionalFormatting sqref="E506">
    <cfRule type="duplicateValues" dxfId="0" priority="210"/>
  </conditionalFormatting>
  <conditionalFormatting sqref="E507">
    <cfRule type="duplicateValues" dxfId="0" priority="285"/>
  </conditionalFormatting>
  <conditionalFormatting sqref="E508">
    <cfRule type="duplicateValues" dxfId="0" priority="284"/>
  </conditionalFormatting>
  <conditionalFormatting sqref="E509">
    <cfRule type="duplicateValues" dxfId="0" priority="283"/>
  </conditionalFormatting>
  <conditionalFormatting sqref="D510:E510">
    <cfRule type="duplicateValues" dxfId="0" priority="282"/>
  </conditionalFormatting>
  <conditionalFormatting sqref="E511">
    <cfRule type="duplicateValues" dxfId="0" priority="209"/>
  </conditionalFormatting>
  <conditionalFormatting sqref="E512">
    <cfRule type="duplicateValues" dxfId="0" priority="208"/>
  </conditionalFormatting>
  <conditionalFormatting sqref="E513">
    <cfRule type="duplicateValues" dxfId="0" priority="207"/>
  </conditionalFormatting>
  <conditionalFormatting sqref="E514">
    <cfRule type="duplicateValues" dxfId="0" priority="206"/>
  </conditionalFormatting>
  <conditionalFormatting sqref="E515">
    <cfRule type="duplicateValues" dxfId="0" priority="205"/>
  </conditionalFormatting>
  <conditionalFormatting sqref="E516">
    <cfRule type="duplicateValues" dxfId="0" priority="204"/>
  </conditionalFormatting>
  <conditionalFormatting sqref="E517">
    <cfRule type="duplicateValues" dxfId="0" priority="203"/>
  </conditionalFormatting>
  <conditionalFormatting sqref="E518">
    <cfRule type="duplicateValues" dxfId="0" priority="202"/>
  </conditionalFormatting>
  <conditionalFormatting sqref="E519">
    <cfRule type="duplicateValues" dxfId="0" priority="201"/>
  </conditionalFormatting>
  <conditionalFormatting sqref="E520">
    <cfRule type="duplicateValues" dxfId="0" priority="200"/>
  </conditionalFormatting>
  <conditionalFormatting sqref="E521">
    <cfRule type="duplicateValues" dxfId="0" priority="281"/>
  </conditionalFormatting>
  <conditionalFormatting sqref="E522">
    <cfRule type="duplicateValues" dxfId="0" priority="280"/>
  </conditionalFormatting>
  <conditionalFormatting sqref="E523">
    <cfRule type="duplicateValues" dxfId="0" priority="279"/>
  </conditionalFormatting>
  <conditionalFormatting sqref="D524:E524">
    <cfRule type="duplicateValues" dxfId="0" priority="278"/>
  </conditionalFormatting>
  <conditionalFormatting sqref="E525">
    <cfRule type="duplicateValues" dxfId="0" priority="197"/>
  </conditionalFormatting>
  <conditionalFormatting sqref="E526">
    <cfRule type="duplicateValues" dxfId="0" priority="196"/>
  </conditionalFormatting>
  <conditionalFormatting sqref="E527">
    <cfRule type="duplicateValues" dxfId="0" priority="195"/>
  </conditionalFormatting>
  <conditionalFormatting sqref="E528">
    <cfRule type="duplicateValues" dxfId="0" priority="194"/>
  </conditionalFormatting>
  <conditionalFormatting sqref="E529">
    <cfRule type="duplicateValues" dxfId="0" priority="189"/>
  </conditionalFormatting>
  <conditionalFormatting sqref="E530">
    <cfRule type="duplicateValues" dxfId="0" priority="193"/>
  </conditionalFormatting>
  <conditionalFormatting sqref="E531">
    <cfRule type="duplicateValues" dxfId="0" priority="192"/>
  </conditionalFormatting>
  <conditionalFormatting sqref="E532">
    <cfRule type="duplicateValues" dxfId="0" priority="191"/>
  </conditionalFormatting>
  <conditionalFormatting sqref="E533">
    <cfRule type="duplicateValues" dxfId="0" priority="190"/>
  </conditionalFormatting>
  <conditionalFormatting sqref="E534">
    <cfRule type="duplicateValues" dxfId="0" priority="188"/>
  </conditionalFormatting>
  <conditionalFormatting sqref="E535">
    <cfRule type="duplicateValues" dxfId="0" priority="277"/>
  </conditionalFormatting>
  <conditionalFormatting sqref="E536">
    <cfRule type="duplicateValues" dxfId="0" priority="276"/>
  </conditionalFormatting>
  <conditionalFormatting sqref="E537">
    <cfRule type="duplicateValues" dxfId="0" priority="275"/>
  </conditionalFormatting>
  <conditionalFormatting sqref="D538:E538">
    <cfRule type="duplicateValues" dxfId="0" priority="274"/>
  </conditionalFormatting>
  <conditionalFormatting sqref="E539">
    <cfRule type="duplicateValues" dxfId="0" priority="187"/>
  </conditionalFormatting>
  <conditionalFormatting sqref="E540">
    <cfRule type="duplicateValues" dxfId="0" priority="186"/>
  </conditionalFormatting>
  <conditionalFormatting sqref="E541">
    <cfRule type="duplicateValues" dxfId="0" priority="185"/>
  </conditionalFormatting>
  <conditionalFormatting sqref="D542:E542">
    <cfRule type="duplicateValues" dxfId="0" priority="184"/>
  </conditionalFormatting>
  <conditionalFormatting sqref="E543">
    <cfRule type="duplicateValues" dxfId="0" priority="178"/>
  </conditionalFormatting>
  <conditionalFormatting sqref="E544">
    <cfRule type="duplicateValues" dxfId="0" priority="177"/>
  </conditionalFormatting>
  <conditionalFormatting sqref="E545">
    <cfRule type="duplicateValues" dxfId="0" priority="176"/>
  </conditionalFormatting>
  <conditionalFormatting sqref="E546">
    <cfRule type="duplicateValues" dxfId="0" priority="175"/>
  </conditionalFormatting>
  <conditionalFormatting sqref="E547">
    <cfRule type="duplicateValues" dxfId="0" priority="174"/>
  </conditionalFormatting>
  <conditionalFormatting sqref="E548">
    <cfRule type="duplicateValues" dxfId="0" priority="173"/>
  </conditionalFormatting>
  <conditionalFormatting sqref="E549">
    <cfRule type="duplicateValues" dxfId="0" priority="172"/>
  </conditionalFormatting>
  <conditionalFormatting sqref="E550">
    <cfRule type="duplicateValues" dxfId="0" priority="171"/>
  </conditionalFormatting>
  <conditionalFormatting sqref="E551">
    <cfRule type="duplicateValues" dxfId="0" priority="170"/>
  </conditionalFormatting>
  <conditionalFormatting sqref="E552">
    <cfRule type="duplicateValues" dxfId="0" priority="169"/>
  </conditionalFormatting>
  <conditionalFormatting sqref="E553">
    <cfRule type="duplicateValues" dxfId="0" priority="168"/>
  </conditionalFormatting>
  <conditionalFormatting sqref="E554">
    <cfRule type="duplicateValues" dxfId="0" priority="182"/>
  </conditionalFormatting>
  <conditionalFormatting sqref="E555">
    <cfRule type="duplicateValues" dxfId="0" priority="181"/>
  </conditionalFormatting>
  <conditionalFormatting sqref="E556">
    <cfRule type="duplicateValues" dxfId="0" priority="180"/>
  </conditionalFormatting>
  <conditionalFormatting sqref="D557:E557">
    <cfRule type="duplicateValues" dxfId="0" priority="179"/>
  </conditionalFormatting>
  <conditionalFormatting sqref="E558">
    <cfRule type="duplicateValues" dxfId="0" priority="163"/>
  </conditionalFormatting>
  <conditionalFormatting sqref="E559">
    <cfRule type="duplicateValues" dxfId="0" priority="162"/>
  </conditionalFormatting>
  <conditionalFormatting sqref="E560">
    <cfRule type="duplicateValues" dxfId="0" priority="161"/>
  </conditionalFormatting>
  <conditionalFormatting sqref="E561">
    <cfRule type="duplicateValues" dxfId="0" priority="160"/>
  </conditionalFormatting>
  <conditionalFormatting sqref="E562">
    <cfRule type="duplicateValues" dxfId="0" priority="159"/>
  </conditionalFormatting>
  <conditionalFormatting sqref="E563">
    <cfRule type="duplicateValues" dxfId="0" priority="158"/>
  </conditionalFormatting>
  <conditionalFormatting sqref="E564">
    <cfRule type="duplicateValues" dxfId="0" priority="157"/>
  </conditionalFormatting>
  <conditionalFormatting sqref="E565">
    <cfRule type="duplicateValues" dxfId="0" priority="156"/>
  </conditionalFormatting>
  <conditionalFormatting sqref="E566">
    <cfRule type="duplicateValues" dxfId="0" priority="155"/>
  </conditionalFormatting>
  <conditionalFormatting sqref="E567">
    <cfRule type="duplicateValues" dxfId="0" priority="154"/>
  </conditionalFormatting>
  <conditionalFormatting sqref="E568">
    <cfRule type="duplicateValues" dxfId="0" priority="167"/>
  </conditionalFormatting>
  <conditionalFormatting sqref="E569">
    <cfRule type="duplicateValues" dxfId="0" priority="166"/>
  </conditionalFormatting>
  <conditionalFormatting sqref="E570">
    <cfRule type="duplicateValues" dxfId="0" priority="165"/>
  </conditionalFormatting>
  <conditionalFormatting sqref="D571:E571">
    <cfRule type="duplicateValues" dxfId="0" priority="164"/>
  </conditionalFormatting>
  <conditionalFormatting sqref="E572">
    <cfRule type="duplicateValues" dxfId="0" priority="148"/>
  </conditionalFormatting>
  <conditionalFormatting sqref="E573">
    <cfRule type="duplicateValues" dxfId="0" priority="147"/>
  </conditionalFormatting>
  <conditionalFormatting sqref="E574">
    <cfRule type="duplicateValues" dxfId="0" priority="146"/>
  </conditionalFormatting>
  <conditionalFormatting sqref="E575">
    <cfRule type="duplicateValues" dxfId="0" priority="145"/>
  </conditionalFormatting>
  <conditionalFormatting sqref="E576">
    <cfRule type="duplicateValues" dxfId="0" priority="144"/>
  </conditionalFormatting>
  <conditionalFormatting sqref="E577">
    <cfRule type="duplicateValues" dxfId="0" priority="143"/>
  </conditionalFormatting>
  <conditionalFormatting sqref="E578">
    <cfRule type="duplicateValues" dxfId="0" priority="142"/>
  </conditionalFormatting>
  <conditionalFormatting sqref="E579">
    <cfRule type="duplicateValues" dxfId="0" priority="141"/>
  </conditionalFormatting>
  <conditionalFormatting sqref="E580">
    <cfRule type="duplicateValues" dxfId="0" priority="140"/>
  </conditionalFormatting>
  <conditionalFormatting sqref="E581">
    <cfRule type="duplicateValues" dxfId="0" priority="139"/>
  </conditionalFormatting>
  <conditionalFormatting sqref="E582">
    <cfRule type="duplicateValues" dxfId="0" priority="138"/>
  </conditionalFormatting>
  <conditionalFormatting sqref="E583">
    <cfRule type="duplicateValues" dxfId="0" priority="137"/>
  </conditionalFormatting>
  <conditionalFormatting sqref="E584">
    <cfRule type="duplicateValues" dxfId="0" priority="152"/>
  </conditionalFormatting>
  <conditionalFormatting sqref="E585">
    <cfRule type="duplicateValues" dxfId="0" priority="151"/>
  </conditionalFormatting>
  <conditionalFormatting sqref="E586">
    <cfRule type="duplicateValues" dxfId="0" priority="150"/>
  </conditionalFormatting>
  <conditionalFormatting sqref="D587:E587">
    <cfRule type="duplicateValues" dxfId="0" priority="149"/>
  </conditionalFormatting>
  <conditionalFormatting sqref="E588">
    <cfRule type="duplicateValues" dxfId="0" priority="136"/>
  </conditionalFormatting>
  <conditionalFormatting sqref="E589">
    <cfRule type="duplicateValues" dxfId="0" priority="131"/>
  </conditionalFormatting>
  <conditionalFormatting sqref="E590">
    <cfRule type="duplicateValues" dxfId="0" priority="130"/>
  </conditionalFormatting>
  <conditionalFormatting sqref="E591">
    <cfRule type="duplicateValues" dxfId="0" priority="129"/>
  </conditionalFormatting>
  <conditionalFormatting sqref="E592">
    <cfRule type="duplicateValues" dxfId="0" priority="128"/>
  </conditionalFormatting>
  <conditionalFormatting sqref="E593">
    <cfRule type="duplicateValues" dxfId="0" priority="127"/>
  </conditionalFormatting>
  <conditionalFormatting sqref="E594">
    <cfRule type="duplicateValues" dxfId="0" priority="135"/>
  </conditionalFormatting>
  <conditionalFormatting sqref="E595">
    <cfRule type="duplicateValues" dxfId="0" priority="134"/>
  </conditionalFormatting>
  <conditionalFormatting sqref="E596">
    <cfRule type="duplicateValues" dxfId="0" priority="133"/>
  </conditionalFormatting>
  <conditionalFormatting sqref="D597:E597">
    <cfRule type="duplicateValues" dxfId="0" priority="132"/>
  </conditionalFormatting>
  <conditionalFormatting sqref="E598">
    <cfRule type="duplicateValues" dxfId="0" priority="122"/>
  </conditionalFormatting>
  <conditionalFormatting sqref="E599">
    <cfRule type="duplicateValues" dxfId="0" priority="121"/>
  </conditionalFormatting>
  <conditionalFormatting sqref="E600">
    <cfRule type="duplicateValues" dxfId="0" priority="120"/>
  </conditionalFormatting>
  <conditionalFormatting sqref="E601">
    <cfRule type="duplicateValues" dxfId="0" priority="119"/>
  </conditionalFormatting>
  <conditionalFormatting sqref="E602">
    <cfRule type="duplicateValues" dxfId="0" priority="118"/>
  </conditionalFormatting>
  <conditionalFormatting sqref="E603">
    <cfRule type="duplicateValues" dxfId="0" priority="117"/>
  </conditionalFormatting>
  <conditionalFormatting sqref="E604">
    <cfRule type="duplicateValues" dxfId="0" priority="116"/>
  </conditionalFormatting>
  <conditionalFormatting sqref="E605">
    <cfRule type="duplicateValues" dxfId="0" priority="126"/>
  </conditionalFormatting>
  <conditionalFormatting sqref="E606">
    <cfRule type="duplicateValues" dxfId="0" priority="125"/>
  </conditionalFormatting>
  <conditionalFormatting sqref="E607">
    <cfRule type="duplicateValues" dxfId="0" priority="124"/>
  </conditionalFormatting>
  <conditionalFormatting sqref="D608:E608">
    <cfRule type="duplicateValues" dxfId="0" priority="123"/>
  </conditionalFormatting>
  <conditionalFormatting sqref="E609">
    <cfRule type="duplicateValues" dxfId="0" priority="111"/>
  </conditionalFormatting>
  <conditionalFormatting sqref="E610">
    <cfRule type="duplicateValues" dxfId="0" priority="110"/>
  </conditionalFormatting>
  <conditionalFormatting sqref="E611">
    <cfRule type="duplicateValues" dxfId="0" priority="109"/>
  </conditionalFormatting>
  <conditionalFormatting sqref="E612">
    <cfRule type="duplicateValues" dxfId="0" priority="108"/>
  </conditionalFormatting>
  <conditionalFormatting sqref="E613">
    <cfRule type="duplicateValues" dxfId="0" priority="107"/>
  </conditionalFormatting>
  <conditionalFormatting sqref="E614">
    <cfRule type="duplicateValues" dxfId="0" priority="106"/>
  </conditionalFormatting>
  <conditionalFormatting sqref="E615">
    <cfRule type="duplicateValues" dxfId="0" priority="105"/>
  </conditionalFormatting>
  <conditionalFormatting sqref="E616">
    <cfRule type="duplicateValues" dxfId="0" priority="104"/>
  </conditionalFormatting>
  <conditionalFormatting sqref="E617">
    <cfRule type="duplicateValues" dxfId="0" priority="103"/>
  </conditionalFormatting>
  <conditionalFormatting sqref="E618">
    <cfRule type="duplicateValues" dxfId="0" priority="102"/>
  </conditionalFormatting>
  <conditionalFormatting sqref="E619">
    <cfRule type="duplicateValues" dxfId="0" priority="115"/>
  </conditionalFormatting>
  <conditionalFormatting sqref="E620">
    <cfRule type="duplicateValues" dxfId="0" priority="114"/>
  </conditionalFormatting>
  <conditionalFormatting sqref="E621">
    <cfRule type="duplicateValues" dxfId="0" priority="113"/>
  </conditionalFormatting>
  <conditionalFormatting sqref="D622:E622">
    <cfRule type="duplicateValues" dxfId="0" priority="112"/>
  </conditionalFormatting>
  <conditionalFormatting sqref="E623">
    <cfRule type="duplicateValues" dxfId="0" priority="97"/>
  </conditionalFormatting>
  <conditionalFormatting sqref="E624">
    <cfRule type="duplicateValues" dxfId="0" priority="96"/>
  </conditionalFormatting>
  <conditionalFormatting sqref="E625">
    <cfRule type="duplicateValues" dxfId="0" priority="95"/>
  </conditionalFormatting>
  <conditionalFormatting sqref="E626">
    <cfRule type="duplicateValues" dxfId="0" priority="94"/>
  </conditionalFormatting>
  <conditionalFormatting sqref="E627">
    <cfRule type="duplicateValues" dxfId="0" priority="93"/>
  </conditionalFormatting>
  <conditionalFormatting sqref="E628">
    <cfRule type="duplicateValues" dxfId="0" priority="92"/>
  </conditionalFormatting>
  <conditionalFormatting sqref="E629">
    <cfRule type="duplicateValues" dxfId="0" priority="91"/>
  </conditionalFormatting>
  <conditionalFormatting sqref="E630">
    <cfRule type="duplicateValues" dxfId="0" priority="90"/>
  </conditionalFormatting>
  <conditionalFormatting sqref="E631">
    <cfRule type="duplicateValues" dxfId="0" priority="89"/>
  </conditionalFormatting>
  <conditionalFormatting sqref="E632">
    <cfRule type="duplicateValues" dxfId="0" priority="101"/>
  </conditionalFormatting>
  <conditionalFormatting sqref="E633">
    <cfRule type="duplicateValues" dxfId="0" priority="100"/>
  </conditionalFormatting>
  <conditionalFormatting sqref="E634">
    <cfRule type="duplicateValues" dxfId="0" priority="99"/>
  </conditionalFormatting>
  <conditionalFormatting sqref="D635:E635">
    <cfRule type="duplicateValues" dxfId="0" priority="98"/>
  </conditionalFormatting>
  <conditionalFormatting sqref="E636">
    <cfRule type="duplicateValues" dxfId="0" priority="84"/>
  </conditionalFormatting>
  <conditionalFormatting sqref="E637">
    <cfRule type="duplicateValues" dxfId="0" priority="83"/>
  </conditionalFormatting>
  <conditionalFormatting sqref="E638">
    <cfRule type="duplicateValues" dxfId="0" priority="82"/>
  </conditionalFormatting>
  <conditionalFormatting sqref="E639">
    <cfRule type="duplicateValues" dxfId="0" priority="81"/>
  </conditionalFormatting>
  <conditionalFormatting sqref="E640">
    <cfRule type="duplicateValues" dxfId="0" priority="80"/>
  </conditionalFormatting>
  <conditionalFormatting sqref="E641">
    <cfRule type="duplicateValues" dxfId="0" priority="79"/>
  </conditionalFormatting>
  <conditionalFormatting sqref="E642">
    <cfRule type="duplicateValues" dxfId="0" priority="88"/>
  </conditionalFormatting>
  <conditionalFormatting sqref="E643">
    <cfRule type="duplicateValues" dxfId="0" priority="87"/>
  </conditionalFormatting>
  <conditionalFormatting sqref="E644">
    <cfRule type="duplicateValues" dxfId="0" priority="86"/>
  </conditionalFormatting>
  <conditionalFormatting sqref="D645:E645">
    <cfRule type="duplicateValues" dxfId="0" priority="85"/>
  </conditionalFormatting>
  <conditionalFormatting sqref="E646">
    <cfRule type="duplicateValues" dxfId="0" priority="74"/>
  </conditionalFormatting>
  <conditionalFormatting sqref="E647">
    <cfRule type="duplicateValues" dxfId="0" priority="78"/>
  </conditionalFormatting>
  <conditionalFormatting sqref="E648">
    <cfRule type="duplicateValues" dxfId="0" priority="77"/>
  </conditionalFormatting>
  <conditionalFormatting sqref="E649">
    <cfRule type="duplicateValues" dxfId="0" priority="76"/>
  </conditionalFormatting>
  <conditionalFormatting sqref="E650">
    <cfRule type="duplicateValues" dxfId="0" priority="72"/>
  </conditionalFormatting>
  <conditionalFormatting sqref="E651">
    <cfRule type="duplicateValues" dxfId="0" priority="71"/>
  </conditionalFormatting>
  <conditionalFormatting sqref="E652">
    <cfRule type="duplicateValues" dxfId="0" priority="70"/>
  </conditionalFormatting>
  <conditionalFormatting sqref="E653">
    <cfRule type="duplicateValues" dxfId="0" priority="69"/>
  </conditionalFormatting>
  <conditionalFormatting sqref="E654">
    <cfRule type="duplicateValues" dxfId="0" priority="68"/>
  </conditionalFormatting>
  <conditionalFormatting sqref="E655">
    <cfRule type="duplicateValues" dxfId="0" priority="67"/>
  </conditionalFormatting>
  <conditionalFormatting sqref="E656">
    <cfRule type="duplicateValues" dxfId="0" priority="66"/>
  </conditionalFormatting>
  <conditionalFormatting sqref="E657">
    <cfRule type="duplicateValues" dxfId="0" priority="65"/>
  </conditionalFormatting>
  <conditionalFormatting sqref="E658">
    <cfRule type="duplicateValues" dxfId="0" priority="64"/>
  </conditionalFormatting>
  <conditionalFormatting sqref="E659">
    <cfRule type="duplicateValues" dxfId="0" priority="63"/>
  </conditionalFormatting>
  <conditionalFormatting sqref="E660">
    <cfRule type="duplicateValues" dxfId="0" priority="62"/>
  </conditionalFormatting>
  <conditionalFormatting sqref="E661">
    <cfRule type="duplicateValues" dxfId="0" priority="61"/>
  </conditionalFormatting>
  <conditionalFormatting sqref="D662:E662">
    <cfRule type="duplicateValues" dxfId="0" priority="75"/>
  </conditionalFormatting>
  <conditionalFormatting sqref="E666">
    <cfRule type="duplicateValues" dxfId="0" priority="60"/>
  </conditionalFormatting>
  <conditionalFormatting sqref="E667">
    <cfRule type="duplicateValues" dxfId="0" priority="59"/>
  </conditionalFormatting>
  <conditionalFormatting sqref="E668">
    <cfRule type="duplicateValues" dxfId="0" priority="58"/>
  </conditionalFormatting>
  <conditionalFormatting sqref="E669">
    <cfRule type="duplicateValues" dxfId="0" priority="57"/>
  </conditionalFormatting>
  <conditionalFormatting sqref="E670">
    <cfRule type="duplicateValues" dxfId="0" priority="56"/>
  </conditionalFormatting>
  <conditionalFormatting sqref="E671">
    <cfRule type="duplicateValues" dxfId="0" priority="55"/>
  </conditionalFormatting>
  <conditionalFormatting sqref="E672">
    <cfRule type="duplicateValues" dxfId="0" priority="54"/>
  </conditionalFormatting>
  <conditionalFormatting sqref="E673">
    <cfRule type="duplicateValues" dxfId="0" priority="53"/>
  </conditionalFormatting>
  <conditionalFormatting sqref="E674">
    <cfRule type="duplicateValues" dxfId="0" priority="52"/>
  </conditionalFormatting>
  <conditionalFormatting sqref="E675">
    <cfRule type="duplicateValues" dxfId="0" priority="51"/>
  </conditionalFormatting>
  <conditionalFormatting sqref="E676">
    <cfRule type="duplicateValues" dxfId="0" priority="50"/>
  </conditionalFormatting>
  <conditionalFormatting sqref="E677">
    <cfRule type="duplicateValues" dxfId="0" priority="49"/>
  </conditionalFormatting>
  <conditionalFormatting sqref="E682">
    <cfRule type="duplicateValues" dxfId="0" priority="48"/>
  </conditionalFormatting>
  <conditionalFormatting sqref="E683">
    <cfRule type="duplicateValues" dxfId="0" priority="47"/>
  </conditionalFormatting>
  <conditionalFormatting sqref="E684">
    <cfRule type="duplicateValues" dxfId="0" priority="46"/>
  </conditionalFormatting>
  <conditionalFormatting sqref="E685">
    <cfRule type="duplicateValues" dxfId="0" priority="45"/>
  </conditionalFormatting>
  <conditionalFormatting sqref="E686">
    <cfRule type="duplicateValues" dxfId="0" priority="44"/>
  </conditionalFormatting>
  <conditionalFormatting sqref="E687">
    <cfRule type="duplicateValues" dxfId="0" priority="43"/>
  </conditionalFormatting>
  <conditionalFormatting sqref="E688">
    <cfRule type="duplicateValues" dxfId="0" priority="42"/>
  </conditionalFormatting>
  <conditionalFormatting sqref="E689">
    <cfRule type="duplicateValues" dxfId="0" priority="41"/>
  </conditionalFormatting>
  <conditionalFormatting sqref="E690">
    <cfRule type="duplicateValues" dxfId="0" priority="40"/>
  </conditionalFormatting>
  <conditionalFormatting sqref="E691">
    <cfRule type="duplicateValues" dxfId="0" priority="39"/>
  </conditionalFormatting>
  <conditionalFormatting sqref="E692">
    <cfRule type="duplicateValues" dxfId="0" priority="38"/>
  </conditionalFormatting>
  <conditionalFormatting sqref="E697">
    <cfRule type="duplicateValues" dxfId="0" priority="37"/>
  </conditionalFormatting>
  <conditionalFormatting sqref="E698">
    <cfRule type="duplicateValues" dxfId="0" priority="36"/>
  </conditionalFormatting>
  <conditionalFormatting sqref="E699">
    <cfRule type="duplicateValues" dxfId="0" priority="35"/>
  </conditionalFormatting>
  <conditionalFormatting sqref="E700">
    <cfRule type="duplicateValues" dxfId="0" priority="34"/>
  </conditionalFormatting>
  <conditionalFormatting sqref="E701">
    <cfRule type="duplicateValues" dxfId="0" priority="33"/>
  </conditionalFormatting>
  <conditionalFormatting sqref="E702">
    <cfRule type="duplicateValues" dxfId="0" priority="32"/>
  </conditionalFormatting>
  <conditionalFormatting sqref="E707">
    <cfRule type="duplicateValues" dxfId="0" priority="26"/>
  </conditionalFormatting>
  <conditionalFormatting sqref="E708">
    <cfRule type="duplicateValues" dxfId="0" priority="25"/>
  </conditionalFormatting>
  <conditionalFormatting sqref="E709">
    <cfRule type="duplicateValues" dxfId="0" priority="24"/>
  </conditionalFormatting>
  <conditionalFormatting sqref="E710">
    <cfRule type="duplicateValues" dxfId="0" priority="23"/>
  </conditionalFormatting>
  <conditionalFormatting sqref="E711">
    <cfRule type="duplicateValues" dxfId="0" priority="22"/>
  </conditionalFormatting>
  <conditionalFormatting sqref="E712">
    <cfRule type="duplicateValues" dxfId="0" priority="21"/>
  </conditionalFormatting>
  <conditionalFormatting sqref="E717">
    <cfRule type="duplicateValues" dxfId="0" priority="20"/>
  </conditionalFormatting>
  <conditionalFormatting sqref="E718">
    <cfRule type="duplicateValues" dxfId="0" priority="19"/>
  </conditionalFormatting>
  <conditionalFormatting sqref="E719">
    <cfRule type="duplicateValues" dxfId="0" priority="18"/>
  </conditionalFormatting>
  <conditionalFormatting sqref="E720">
    <cfRule type="duplicateValues" dxfId="0" priority="17"/>
  </conditionalFormatting>
  <conditionalFormatting sqref="E721">
    <cfRule type="duplicateValues" dxfId="0" priority="16"/>
  </conditionalFormatting>
  <conditionalFormatting sqref="E722">
    <cfRule type="duplicateValues" dxfId="0" priority="15"/>
  </conditionalFormatting>
  <conditionalFormatting sqref="E723">
    <cfRule type="duplicateValues" dxfId="0" priority="14"/>
  </conditionalFormatting>
  <conditionalFormatting sqref="E724">
    <cfRule type="duplicateValues" dxfId="0" priority="13"/>
  </conditionalFormatting>
  <conditionalFormatting sqref="E725">
    <cfRule type="duplicateValues" dxfId="0" priority="12"/>
  </conditionalFormatting>
  <conditionalFormatting sqref="E730">
    <cfRule type="duplicateValues" dxfId="0" priority="11"/>
  </conditionalFormatting>
  <conditionalFormatting sqref="E731">
    <cfRule type="duplicateValues" dxfId="0" priority="10"/>
  </conditionalFormatting>
  <conditionalFormatting sqref="E732">
    <cfRule type="duplicateValues" dxfId="0" priority="9"/>
  </conditionalFormatting>
  <conditionalFormatting sqref="E733">
    <cfRule type="duplicateValues" dxfId="0" priority="8"/>
  </conditionalFormatting>
  <conditionalFormatting sqref="E734">
    <cfRule type="duplicateValues" dxfId="0" priority="7"/>
  </conditionalFormatting>
  <conditionalFormatting sqref="E735">
    <cfRule type="duplicateValues" dxfId="0" priority="6"/>
  </conditionalFormatting>
  <conditionalFormatting sqref="E736">
    <cfRule type="duplicateValues" dxfId="0" priority="5"/>
  </conditionalFormatting>
  <conditionalFormatting sqref="E737">
    <cfRule type="duplicateValues" dxfId="0" priority="4"/>
  </conditionalFormatting>
  <conditionalFormatting sqref="E738">
    <cfRule type="duplicateValues" dxfId="0" priority="3"/>
  </conditionalFormatting>
  <conditionalFormatting sqref="E739">
    <cfRule type="duplicateValues" dxfId="0" priority="2"/>
  </conditionalFormatting>
  <conditionalFormatting sqref="E740">
    <cfRule type="duplicateValues" dxfId="0" priority="1"/>
  </conditionalFormatting>
  <conditionalFormatting sqref="D1:E1 D2 D3:E8 D17:E18 D121:E127 E131 E135:E152 E157:E169 E180:E182 E184:E185">
    <cfRule type="duplicateValues" dxfId="0" priority="1147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opLeftCell="A37" workbookViewId="0">
      <selection activeCell="T177" sqref="T177"/>
    </sheetView>
  </sheetViews>
  <sheetFormatPr defaultColWidth="9" defaultRowHeight="14.4"/>
  <cols>
    <col min="1" max="1" width="9" style="17" customWidth="1"/>
    <col min="2" max="2" width="10.7222222222222" style="3" customWidth="1"/>
    <col min="3" max="3" width="12.0925925925926" style="18" customWidth="1"/>
    <col min="4" max="4" width="14.5462962962963" style="3" customWidth="1"/>
    <col min="5" max="5" width="12.7222222222222" style="3" customWidth="1"/>
    <col min="6" max="6" width="13.9074074074074" style="3" customWidth="1"/>
    <col min="7" max="7" width="22.5462962962963" style="3" customWidth="1"/>
    <col min="8" max="9" width="15.3611111111111" style="3" customWidth="1"/>
    <col min="10" max="10" width="15.9074074074074" style="17" customWidth="1"/>
    <col min="12" max="16384" width="9" style="17" customWidth="1"/>
  </cols>
  <sheetData>
    <row r="1" s="3" customFormat="1" ht="13.2" customHeight="1" spans="1:9">
      <c r="A1" s="17" t="s">
        <v>0</v>
      </c>
      <c r="B1" s="3" t="s">
        <v>1</v>
      </c>
      <c r="C1" s="18" t="s">
        <v>3</v>
      </c>
      <c r="D1" s="3" t="s">
        <v>835</v>
      </c>
      <c r="E1" s="3" t="s">
        <v>836</v>
      </c>
      <c r="F1" s="3" t="s">
        <v>837</v>
      </c>
      <c r="G1" s="3" t="s">
        <v>838</v>
      </c>
      <c r="H1" s="3" t="s">
        <v>839</v>
      </c>
      <c r="I1" s="3" t="s">
        <v>840</v>
      </c>
    </row>
    <row r="2" s="3" customFormat="1" ht="13.2" customHeight="1" spans="1:9">
      <c r="A2" s="17" t="s">
        <v>14</v>
      </c>
      <c r="B2" s="3" t="s">
        <v>15</v>
      </c>
      <c r="C2" s="19" t="s">
        <v>16</v>
      </c>
      <c r="D2" s="3" t="s">
        <v>15</v>
      </c>
      <c r="E2" s="3" t="s">
        <v>15</v>
      </c>
      <c r="F2" s="20" t="s">
        <v>16</v>
      </c>
      <c r="G2" s="20" t="s">
        <v>16</v>
      </c>
      <c r="H2" s="3" t="s">
        <v>15</v>
      </c>
      <c r="I2" s="20" t="s">
        <v>15</v>
      </c>
    </row>
    <row r="3" s="3" customFormat="1" ht="13.2" customHeight="1" spans="1:9">
      <c r="A3" s="17" t="s">
        <v>20</v>
      </c>
      <c r="C3" s="18"/>
    </row>
    <row r="4" s="3" customFormat="1" ht="13.2" customHeight="1" spans="1:9">
      <c r="A4" s="17" t="s">
        <v>24</v>
      </c>
      <c r="B4" s="3" t="s">
        <v>841</v>
      </c>
      <c r="C4" s="18" t="s">
        <v>842</v>
      </c>
      <c r="D4" s="3" t="s">
        <v>843</v>
      </c>
      <c r="E4" s="3" t="s">
        <v>844</v>
      </c>
      <c r="F4" s="3" t="s">
        <v>171</v>
      </c>
      <c r="G4" s="21" t="s">
        <v>845</v>
      </c>
      <c r="H4" s="3" t="s">
        <v>846</v>
      </c>
      <c r="I4" s="21" t="s">
        <v>847</v>
      </c>
    </row>
    <row r="5" s="3" customFormat="1" ht="13.2" customHeight="1" spans="1:9">
      <c r="A5" s="17"/>
      <c r="B5" s="3">
        <v>1</v>
      </c>
      <c r="C5" s="18" t="s">
        <v>848</v>
      </c>
      <c r="D5" s="3">
        <v>900</v>
      </c>
      <c r="E5" s="3">
        <v>315</v>
      </c>
      <c r="F5" s="3" t="s">
        <v>849</v>
      </c>
      <c r="G5" s="3" t="s">
        <v>850</v>
      </c>
      <c r="H5" s="3">
        <v>0</v>
      </c>
      <c r="I5" s="3">
        <v>10003</v>
      </c>
    </row>
    <row r="6" spans="1:9">
      <c r="A6" t="s">
        <v>851</v>
      </c>
      <c r="B6" s="5">
        <v>2</v>
      </c>
      <c r="C6" s="22" t="s">
        <v>852</v>
      </c>
      <c r="D6">
        <v>900</v>
      </c>
      <c r="E6">
        <v>315</v>
      </c>
      <c r="F6" t="s">
        <v>853</v>
      </c>
      <c r="G6" t="s">
        <v>851</v>
      </c>
      <c r="H6">
        <v>0</v>
      </c>
      <c r="I6" s="23">
        <v>10002</v>
      </c>
    </row>
    <row r="7" spans="1:9">
      <c r="A7" t="s">
        <v>851</v>
      </c>
      <c r="B7" s="5">
        <v>3</v>
      </c>
      <c r="C7" s="22" t="s">
        <v>854</v>
      </c>
      <c r="D7">
        <v>900</v>
      </c>
      <c r="E7">
        <v>315</v>
      </c>
      <c r="F7" t="s">
        <v>855</v>
      </c>
      <c r="G7" t="s">
        <v>851</v>
      </c>
      <c r="H7">
        <v>0</v>
      </c>
      <c r="I7" s="23">
        <v>10002</v>
      </c>
    </row>
    <row r="8" spans="1:9">
      <c r="A8"/>
      <c r="B8" s="5">
        <v>4</v>
      </c>
      <c r="C8" s="22" t="s">
        <v>856</v>
      </c>
      <c r="D8">
        <v>900</v>
      </c>
      <c r="E8">
        <v>315</v>
      </c>
      <c r="F8" t="s">
        <v>857</v>
      </c>
      <c r="G8" t="s">
        <v>851</v>
      </c>
      <c r="H8">
        <v>0</v>
      </c>
      <c r="I8" s="23">
        <v>10002</v>
      </c>
    </row>
    <row r="9" spans="1:9">
      <c r="A9" t="s">
        <v>851</v>
      </c>
      <c r="B9" s="5">
        <v>5</v>
      </c>
      <c r="C9" s="22" t="s">
        <v>858</v>
      </c>
      <c r="D9">
        <v>900</v>
      </c>
      <c r="E9">
        <v>315</v>
      </c>
      <c r="F9" t="s">
        <v>859</v>
      </c>
      <c r="G9" t="s">
        <v>851</v>
      </c>
      <c r="H9">
        <v>0</v>
      </c>
      <c r="I9" s="23">
        <v>10002</v>
      </c>
    </row>
    <row r="10" spans="1:9">
      <c r="A10" t="s">
        <v>851</v>
      </c>
      <c r="B10" s="5">
        <v>6</v>
      </c>
      <c r="C10" s="22" t="s">
        <v>860</v>
      </c>
      <c r="D10">
        <v>900</v>
      </c>
      <c r="E10">
        <v>315</v>
      </c>
      <c r="F10" t="s">
        <v>861</v>
      </c>
      <c r="G10" t="s">
        <v>851</v>
      </c>
      <c r="H10">
        <v>0</v>
      </c>
      <c r="I10" s="23">
        <v>10002</v>
      </c>
    </row>
    <row r="11" spans="1:9">
      <c r="A11" t="s">
        <v>851</v>
      </c>
      <c r="B11" s="5">
        <v>7</v>
      </c>
      <c r="C11" s="22" t="s">
        <v>862</v>
      </c>
      <c r="D11">
        <v>900</v>
      </c>
      <c r="E11">
        <v>315</v>
      </c>
      <c r="F11" t="s">
        <v>863</v>
      </c>
      <c r="G11" t="s">
        <v>851</v>
      </c>
      <c r="H11">
        <v>0</v>
      </c>
      <c r="I11" s="23">
        <v>10002</v>
      </c>
    </row>
    <row r="12" spans="1:9">
      <c r="A12" t="s">
        <v>851</v>
      </c>
      <c r="B12" s="5">
        <v>8</v>
      </c>
      <c r="C12" s="22" t="s">
        <v>864</v>
      </c>
      <c r="D12">
        <v>900</v>
      </c>
      <c r="E12">
        <v>315</v>
      </c>
      <c r="F12" t="s">
        <v>865</v>
      </c>
      <c r="G12" t="s">
        <v>851</v>
      </c>
      <c r="H12">
        <v>0</v>
      </c>
      <c r="I12" s="23">
        <v>10002</v>
      </c>
    </row>
    <row r="13" spans="1:9">
      <c r="A13" t="s">
        <v>851</v>
      </c>
      <c r="B13" s="5">
        <v>9</v>
      </c>
      <c r="C13" s="22" t="s">
        <v>866</v>
      </c>
      <c r="D13">
        <v>900</v>
      </c>
      <c r="E13">
        <v>315</v>
      </c>
      <c r="F13" t="s">
        <v>867</v>
      </c>
      <c r="G13" t="s">
        <v>851</v>
      </c>
      <c r="H13">
        <v>0</v>
      </c>
      <c r="I13" s="23">
        <v>10002</v>
      </c>
    </row>
    <row r="14" spans="1:9">
      <c r="A14" t="s">
        <v>851</v>
      </c>
      <c r="B14" s="5">
        <v>10</v>
      </c>
      <c r="C14" s="22" t="s">
        <v>868</v>
      </c>
      <c r="D14">
        <v>900</v>
      </c>
      <c r="E14">
        <v>315</v>
      </c>
      <c r="F14" t="s">
        <v>869</v>
      </c>
      <c r="G14" t="s">
        <v>851</v>
      </c>
      <c r="H14">
        <v>0</v>
      </c>
      <c r="I14" s="23">
        <v>10002</v>
      </c>
    </row>
    <row r="15" spans="1:9">
      <c r="B15" s="5">
        <v>11</v>
      </c>
      <c r="C15" s="22" t="s">
        <v>870</v>
      </c>
      <c r="D15">
        <v>900</v>
      </c>
      <c r="E15">
        <v>315</v>
      </c>
      <c r="F15" t="s">
        <v>871</v>
      </c>
      <c r="H15">
        <v>0</v>
      </c>
      <c r="I15" s="23">
        <v>10006</v>
      </c>
    </row>
    <row r="16" spans="1:9">
      <c r="B16" s="5">
        <v>12</v>
      </c>
      <c r="C16" s="22" t="s">
        <v>872</v>
      </c>
      <c r="D16">
        <v>900</v>
      </c>
      <c r="E16">
        <v>315</v>
      </c>
      <c r="F16" t="s">
        <v>873</v>
      </c>
      <c r="H16">
        <v>0</v>
      </c>
      <c r="I16" s="23">
        <v>10006</v>
      </c>
    </row>
    <row r="17" spans="2:9">
      <c r="B17" s="5">
        <v>13</v>
      </c>
      <c r="C17" s="22" t="s">
        <v>874</v>
      </c>
      <c r="D17">
        <v>900</v>
      </c>
      <c r="E17">
        <v>315</v>
      </c>
      <c r="F17" t="s">
        <v>875</v>
      </c>
      <c r="H17">
        <v>0</v>
      </c>
      <c r="I17" s="23">
        <v>10006</v>
      </c>
    </row>
    <row r="18" spans="2:9">
      <c r="B18" s="5">
        <v>14</v>
      </c>
      <c r="C18" s="22" t="s">
        <v>876</v>
      </c>
      <c r="D18">
        <v>900</v>
      </c>
      <c r="E18">
        <v>315</v>
      </c>
      <c r="F18" t="s">
        <v>877</v>
      </c>
      <c r="H18">
        <v>0</v>
      </c>
      <c r="I18" s="23">
        <v>10006</v>
      </c>
    </row>
    <row r="19" spans="2:9">
      <c r="B19" s="5">
        <v>15</v>
      </c>
      <c r="C19" s="22" t="s">
        <v>878</v>
      </c>
      <c r="D19">
        <v>900</v>
      </c>
      <c r="E19">
        <v>315</v>
      </c>
      <c r="F19" t="s">
        <v>879</v>
      </c>
      <c r="H19">
        <v>0</v>
      </c>
      <c r="I19" s="23">
        <v>10006</v>
      </c>
    </row>
    <row r="20" spans="2:9">
      <c r="B20" s="5">
        <v>16</v>
      </c>
      <c r="C20" s="22" t="s">
        <v>880</v>
      </c>
      <c r="D20">
        <v>900</v>
      </c>
      <c r="E20">
        <v>315</v>
      </c>
      <c r="F20" t="s">
        <v>881</v>
      </c>
      <c r="H20">
        <v>0</v>
      </c>
      <c r="I20" s="23">
        <v>10006</v>
      </c>
    </row>
    <row r="21" spans="2:9">
      <c r="B21" s="5">
        <v>17</v>
      </c>
      <c r="C21" s="22" t="s">
        <v>882</v>
      </c>
      <c r="D21">
        <v>900</v>
      </c>
      <c r="E21">
        <v>315</v>
      </c>
      <c r="F21" t="s">
        <v>883</v>
      </c>
      <c r="H21">
        <v>0</v>
      </c>
      <c r="I21" s="23">
        <v>10006</v>
      </c>
    </row>
    <row r="22" spans="2:9">
      <c r="B22" s="5">
        <v>18</v>
      </c>
      <c r="C22" s="22" t="s">
        <v>884</v>
      </c>
      <c r="D22">
        <v>900</v>
      </c>
      <c r="E22">
        <v>315</v>
      </c>
      <c r="F22" t="s">
        <v>885</v>
      </c>
      <c r="H22">
        <v>0</v>
      </c>
      <c r="I22" s="23">
        <v>10006</v>
      </c>
    </row>
    <row r="23" spans="2:9">
      <c r="B23" s="5">
        <v>19</v>
      </c>
      <c r="C23" s="22" t="s">
        <v>886</v>
      </c>
      <c r="D23">
        <v>900</v>
      </c>
      <c r="E23">
        <v>315</v>
      </c>
      <c r="F23" t="s">
        <v>887</v>
      </c>
      <c r="H23">
        <v>0</v>
      </c>
      <c r="I23" s="23">
        <v>10006</v>
      </c>
    </row>
    <row r="24" spans="2:9">
      <c r="B24" s="5">
        <v>20</v>
      </c>
      <c r="C24" s="22" t="s">
        <v>888</v>
      </c>
      <c r="D24">
        <v>900</v>
      </c>
      <c r="E24">
        <v>315</v>
      </c>
      <c r="F24" t="s">
        <v>889</v>
      </c>
      <c r="H24">
        <v>0</v>
      </c>
      <c r="I24" s="23">
        <v>10004</v>
      </c>
    </row>
    <row r="25" spans="2:9">
      <c r="B25" s="5">
        <v>21</v>
      </c>
      <c r="C25" s="22" t="s">
        <v>890</v>
      </c>
      <c r="D25">
        <v>900</v>
      </c>
      <c r="E25">
        <v>315</v>
      </c>
      <c r="F25" t="s">
        <v>891</v>
      </c>
      <c r="H25">
        <v>0</v>
      </c>
      <c r="I25" s="23">
        <v>10004</v>
      </c>
    </row>
    <row r="26" spans="2:9">
      <c r="B26" s="5">
        <v>22</v>
      </c>
      <c r="C26" s="22" t="s">
        <v>892</v>
      </c>
      <c r="D26">
        <v>900</v>
      </c>
      <c r="E26">
        <v>315</v>
      </c>
      <c r="F26" t="s">
        <v>893</v>
      </c>
      <c r="H26">
        <v>0</v>
      </c>
      <c r="I26" s="23">
        <v>10004</v>
      </c>
    </row>
    <row r="27" spans="2:9">
      <c r="B27" s="5">
        <v>23</v>
      </c>
      <c r="C27" s="22" t="s">
        <v>894</v>
      </c>
      <c r="D27">
        <v>900</v>
      </c>
      <c r="E27">
        <v>315</v>
      </c>
      <c r="F27" t="s">
        <v>895</v>
      </c>
      <c r="H27">
        <v>0</v>
      </c>
      <c r="I27" s="23">
        <v>10004</v>
      </c>
    </row>
    <row r="28" spans="2:9">
      <c r="B28" s="5">
        <v>24</v>
      </c>
      <c r="C28" s="22" t="s">
        <v>896</v>
      </c>
      <c r="D28">
        <v>900</v>
      </c>
      <c r="E28">
        <v>315</v>
      </c>
      <c r="F28" t="s">
        <v>897</v>
      </c>
      <c r="H28">
        <v>0</v>
      </c>
      <c r="I28" s="23">
        <v>10004</v>
      </c>
    </row>
    <row r="29" spans="2:9">
      <c r="B29" s="5">
        <v>25</v>
      </c>
      <c r="C29" s="22" t="s">
        <v>898</v>
      </c>
      <c r="D29">
        <v>900</v>
      </c>
      <c r="E29">
        <v>315</v>
      </c>
      <c r="F29" t="s">
        <v>899</v>
      </c>
      <c r="H29">
        <v>0</v>
      </c>
      <c r="I29" s="23">
        <v>10004</v>
      </c>
    </row>
    <row r="30" spans="2:9">
      <c r="B30" s="5">
        <v>26</v>
      </c>
      <c r="C30" s="22" t="s">
        <v>900</v>
      </c>
      <c r="D30">
        <v>900</v>
      </c>
      <c r="E30">
        <v>315</v>
      </c>
      <c r="F30" t="s">
        <v>901</v>
      </c>
      <c r="H30">
        <v>0</v>
      </c>
      <c r="I30" s="23">
        <v>10004</v>
      </c>
    </row>
    <row r="31" spans="2:9">
      <c r="B31" s="5">
        <v>27</v>
      </c>
      <c r="C31" s="22" t="s">
        <v>902</v>
      </c>
      <c r="D31">
        <v>900</v>
      </c>
      <c r="E31">
        <v>315</v>
      </c>
      <c r="F31" t="s">
        <v>903</v>
      </c>
      <c r="H31">
        <v>0</v>
      </c>
      <c r="I31" s="23">
        <v>10004</v>
      </c>
    </row>
    <row r="32" spans="2:9">
      <c r="B32" s="5">
        <v>28</v>
      </c>
      <c r="C32" s="22" t="s">
        <v>904</v>
      </c>
      <c r="D32">
        <v>900</v>
      </c>
      <c r="E32">
        <v>315</v>
      </c>
      <c r="F32" t="s">
        <v>905</v>
      </c>
      <c r="H32">
        <v>0</v>
      </c>
      <c r="I32" s="23">
        <v>10004</v>
      </c>
    </row>
    <row r="33" spans="2:9">
      <c r="B33" s="5">
        <v>29</v>
      </c>
      <c r="C33" s="22" t="s">
        <v>906</v>
      </c>
      <c r="D33">
        <v>900</v>
      </c>
      <c r="E33">
        <v>315</v>
      </c>
      <c r="F33" t="s">
        <v>907</v>
      </c>
      <c r="H33">
        <v>0</v>
      </c>
      <c r="I33" s="23">
        <v>10005</v>
      </c>
    </row>
    <row r="34" spans="2:9">
      <c r="B34" s="5">
        <v>30</v>
      </c>
      <c r="C34" s="22" t="s">
        <v>908</v>
      </c>
      <c r="D34">
        <v>900</v>
      </c>
      <c r="E34">
        <v>315</v>
      </c>
      <c r="F34" t="s">
        <v>909</v>
      </c>
      <c r="H34">
        <v>0</v>
      </c>
      <c r="I34" s="23">
        <v>10005</v>
      </c>
    </row>
    <row r="35" spans="2:9">
      <c r="B35" s="5">
        <v>31</v>
      </c>
      <c r="C35" s="22" t="s">
        <v>910</v>
      </c>
      <c r="D35">
        <v>900</v>
      </c>
      <c r="E35">
        <v>315</v>
      </c>
      <c r="F35" t="s">
        <v>911</v>
      </c>
      <c r="H35">
        <v>0</v>
      </c>
      <c r="I35" s="23">
        <v>10005</v>
      </c>
    </row>
    <row r="36" spans="2:9">
      <c r="B36" s="5">
        <v>32</v>
      </c>
      <c r="C36" s="22" t="s">
        <v>912</v>
      </c>
      <c r="D36">
        <v>900</v>
      </c>
      <c r="E36">
        <v>315</v>
      </c>
      <c r="F36" t="s">
        <v>913</v>
      </c>
      <c r="H36">
        <v>0</v>
      </c>
      <c r="I36" s="23">
        <v>10005</v>
      </c>
    </row>
    <row r="37" spans="2:9">
      <c r="B37" s="5">
        <v>33</v>
      </c>
      <c r="C37" s="22" t="s">
        <v>914</v>
      </c>
      <c r="D37">
        <v>900</v>
      </c>
      <c r="E37">
        <v>315</v>
      </c>
      <c r="F37" t="s">
        <v>915</v>
      </c>
      <c r="H37">
        <v>0</v>
      </c>
      <c r="I37" s="23">
        <v>10005</v>
      </c>
    </row>
    <row r="38" spans="2:9">
      <c r="B38" s="5">
        <v>34</v>
      </c>
      <c r="C38" s="22" t="s">
        <v>916</v>
      </c>
      <c r="D38">
        <v>900</v>
      </c>
      <c r="E38">
        <v>315</v>
      </c>
      <c r="F38" t="s">
        <v>917</v>
      </c>
      <c r="H38">
        <v>0</v>
      </c>
      <c r="I38" s="23">
        <v>10005</v>
      </c>
    </row>
    <row r="39" spans="2:9">
      <c r="B39" s="5">
        <v>35</v>
      </c>
      <c r="C39" s="22" t="s">
        <v>918</v>
      </c>
      <c r="D39">
        <v>900</v>
      </c>
      <c r="E39">
        <v>315</v>
      </c>
      <c r="F39" t="s">
        <v>919</v>
      </c>
      <c r="H39">
        <v>0</v>
      </c>
      <c r="I39" s="23">
        <v>10005</v>
      </c>
    </row>
    <row r="40" spans="2:9">
      <c r="B40" s="5">
        <v>36</v>
      </c>
      <c r="C40" s="22" t="s">
        <v>920</v>
      </c>
      <c r="D40">
        <v>900</v>
      </c>
      <c r="E40">
        <v>315</v>
      </c>
      <c r="F40" t="s">
        <v>921</v>
      </c>
      <c r="H40">
        <v>0</v>
      </c>
      <c r="I40" s="23">
        <v>10005</v>
      </c>
    </row>
    <row r="41" spans="2:9">
      <c r="B41" s="5">
        <v>37</v>
      </c>
      <c r="C41" s="22" t="s">
        <v>922</v>
      </c>
      <c r="D41">
        <v>900</v>
      </c>
      <c r="E41">
        <v>315</v>
      </c>
      <c r="F41" t="s">
        <v>923</v>
      </c>
      <c r="H41">
        <v>0</v>
      </c>
      <c r="I41" s="23">
        <v>10005</v>
      </c>
    </row>
    <row r="42" spans="2:9">
      <c r="B42" s="5">
        <v>38</v>
      </c>
      <c r="C42" s="18" t="s">
        <v>924</v>
      </c>
      <c r="D42">
        <v>900</v>
      </c>
      <c r="E42">
        <v>315</v>
      </c>
      <c r="F42" t="s">
        <v>925</v>
      </c>
      <c r="H42">
        <v>0</v>
      </c>
      <c r="I42" s="23">
        <v>10005</v>
      </c>
    </row>
    <row r="43" spans="2:9">
      <c r="B43" s="5">
        <v>39</v>
      </c>
      <c r="C43" s="18" t="s">
        <v>926</v>
      </c>
      <c r="D43">
        <v>900</v>
      </c>
      <c r="E43">
        <v>315</v>
      </c>
      <c r="F43" t="s">
        <v>927</v>
      </c>
      <c r="H43">
        <v>0</v>
      </c>
      <c r="I43" s="23">
        <v>10005</v>
      </c>
    </row>
    <row r="44" spans="2:9">
      <c r="B44" s="5">
        <v>40</v>
      </c>
      <c r="C44" s="18" t="s">
        <v>928</v>
      </c>
      <c r="D44">
        <v>900</v>
      </c>
      <c r="E44">
        <v>315</v>
      </c>
      <c r="F44" t="s">
        <v>929</v>
      </c>
      <c r="H44">
        <v>0</v>
      </c>
      <c r="I44" s="23">
        <v>10005</v>
      </c>
    </row>
    <row r="45" spans="2:9">
      <c r="B45" s="5">
        <v>41</v>
      </c>
      <c r="C45" s="18" t="s">
        <v>930</v>
      </c>
      <c r="D45">
        <v>900</v>
      </c>
      <c r="E45">
        <v>315</v>
      </c>
      <c r="F45" t="s">
        <v>931</v>
      </c>
      <c r="H45">
        <v>0</v>
      </c>
      <c r="I45" s="23">
        <v>10005</v>
      </c>
    </row>
    <row r="46" spans="2:9">
      <c r="B46" s="5">
        <v>42</v>
      </c>
      <c r="C46" s="18" t="s">
        <v>932</v>
      </c>
      <c r="D46">
        <v>900</v>
      </c>
      <c r="E46">
        <v>315</v>
      </c>
      <c r="F46" t="s">
        <v>933</v>
      </c>
      <c r="H46">
        <v>0</v>
      </c>
      <c r="I46" s="23">
        <v>10005</v>
      </c>
    </row>
    <row r="47" spans="2:9">
      <c r="B47" s="5">
        <v>43</v>
      </c>
      <c r="C47" s="18" t="s">
        <v>934</v>
      </c>
      <c r="D47">
        <v>900</v>
      </c>
      <c r="E47">
        <v>315</v>
      </c>
      <c r="F47" t="s">
        <v>935</v>
      </c>
      <c r="H47">
        <v>0</v>
      </c>
      <c r="I47" s="23">
        <v>10005</v>
      </c>
    </row>
    <row r="48" spans="2:9">
      <c r="B48" s="5">
        <v>44</v>
      </c>
      <c r="C48" s="18" t="s">
        <v>936</v>
      </c>
      <c r="D48">
        <v>900</v>
      </c>
      <c r="E48">
        <v>315</v>
      </c>
      <c r="F48" t="s">
        <v>937</v>
      </c>
      <c r="H48">
        <v>0</v>
      </c>
      <c r="I48" s="23">
        <v>10005</v>
      </c>
    </row>
    <row r="49" spans="2:9">
      <c r="B49" s="5">
        <v>45</v>
      </c>
      <c r="C49" s="18" t="s">
        <v>938</v>
      </c>
      <c r="D49">
        <v>900</v>
      </c>
      <c r="E49">
        <v>315</v>
      </c>
      <c r="F49" t="s">
        <v>939</v>
      </c>
      <c r="H49">
        <v>0</v>
      </c>
      <c r="I49" s="23">
        <v>10005</v>
      </c>
    </row>
    <row r="50" spans="2:9">
      <c r="B50" s="5">
        <v>46</v>
      </c>
      <c r="C50" s="18" t="s">
        <v>940</v>
      </c>
      <c r="D50">
        <v>900</v>
      </c>
      <c r="E50">
        <v>315</v>
      </c>
      <c r="F50" t="s">
        <v>941</v>
      </c>
      <c r="H50">
        <v>0</v>
      </c>
      <c r="I50" s="23">
        <v>10005</v>
      </c>
    </row>
    <row r="51" spans="2:9">
      <c r="B51" s="5">
        <v>47</v>
      </c>
      <c r="C51" s="18" t="s">
        <v>942</v>
      </c>
      <c r="D51">
        <v>900</v>
      </c>
      <c r="E51">
        <v>315</v>
      </c>
      <c r="F51" t="s">
        <v>943</v>
      </c>
      <c r="H51">
        <v>0</v>
      </c>
      <c r="I51" s="23">
        <v>10005</v>
      </c>
    </row>
    <row r="52" spans="2:9">
      <c r="B52" s="5">
        <v>48</v>
      </c>
      <c r="C52" s="18" t="s">
        <v>944</v>
      </c>
      <c r="D52">
        <v>900</v>
      </c>
      <c r="E52">
        <v>315</v>
      </c>
      <c r="F52" t="s">
        <v>945</v>
      </c>
      <c r="H52">
        <v>0</v>
      </c>
      <c r="I52" s="23">
        <v>10005</v>
      </c>
    </row>
    <row r="53" spans="2:9">
      <c r="B53" s="5">
        <v>49</v>
      </c>
      <c r="C53" s="18" t="s">
        <v>946</v>
      </c>
      <c r="D53">
        <v>900</v>
      </c>
      <c r="E53">
        <v>315</v>
      </c>
      <c r="F53" t="s">
        <v>947</v>
      </c>
      <c r="H53">
        <v>0</v>
      </c>
      <c r="I53" s="23">
        <v>10005</v>
      </c>
    </row>
    <row r="54" spans="2:9">
      <c r="B54" s="5">
        <v>50</v>
      </c>
      <c r="C54" s="18" t="s">
        <v>948</v>
      </c>
      <c r="D54">
        <v>900</v>
      </c>
      <c r="E54">
        <v>315</v>
      </c>
      <c r="F54" t="s">
        <v>949</v>
      </c>
      <c r="H54">
        <v>0</v>
      </c>
      <c r="I54" s="23">
        <v>10005</v>
      </c>
    </row>
    <row r="55" spans="2:9">
      <c r="B55" s="5">
        <v>51</v>
      </c>
      <c r="C55" s="18" t="s">
        <v>950</v>
      </c>
      <c r="D55">
        <v>900</v>
      </c>
      <c r="E55">
        <v>315</v>
      </c>
      <c r="F55" t="s">
        <v>951</v>
      </c>
      <c r="H55">
        <v>0</v>
      </c>
      <c r="I55" s="23">
        <v>10005</v>
      </c>
    </row>
    <row r="56" spans="2:9">
      <c r="B56" s="5">
        <v>52</v>
      </c>
      <c r="C56" s="18" t="s">
        <v>952</v>
      </c>
      <c r="D56">
        <v>900</v>
      </c>
      <c r="E56">
        <v>315</v>
      </c>
      <c r="F56" t="s">
        <v>953</v>
      </c>
      <c r="H56">
        <v>0</v>
      </c>
      <c r="I56" s="23">
        <v>10005</v>
      </c>
    </row>
    <row r="57" spans="2:9">
      <c r="B57" s="5">
        <v>53</v>
      </c>
      <c r="C57" s="18" t="s">
        <v>954</v>
      </c>
      <c r="D57">
        <v>900</v>
      </c>
      <c r="E57">
        <v>315</v>
      </c>
      <c r="F57" t="s">
        <v>955</v>
      </c>
      <c r="H57">
        <v>0</v>
      </c>
      <c r="I57" s="23">
        <v>10005</v>
      </c>
    </row>
    <row r="58" spans="2:9">
      <c r="B58" s="5">
        <v>54</v>
      </c>
      <c r="C58" s="18" t="s">
        <v>956</v>
      </c>
      <c r="D58">
        <v>900</v>
      </c>
      <c r="E58">
        <v>315</v>
      </c>
      <c r="F58" t="s">
        <v>957</v>
      </c>
      <c r="H58">
        <v>0</v>
      </c>
      <c r="I58" s="23">
        <v>10005</v>
      </c>
    </row>
  </sheetData>
  <conditionalFormatting sqref="C33">
    <cfRule type="duplicateValues" dxfId="0" priority="13"/>
  </conditionalFormatting>
  <conditionalFormatting sqref="C34:C41">
    <cfRule type="duplicateValues" dxfId="0" priority="1"/>
  </conditionalFormatting>
  <conditionalFormatting sqref="C1 C4:C32 C42:C1048576">
    <cfRule type="duplicateValues" dxfId="0" priority="14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"/>
  <sheetViews>
    <sheetView workbookViewId="0">
      <selection activeCell="T177" sqref="T177"/>
    </sheetView>
  </sheetViews>
  <sheetFormatPr defaultColWidth="8.72222222222222" defaultRowHeight="14.4"/>
  <cols>
    <col min="1" max="1" width="12.9074074074074" style="1" customWidth="1"/>
    <col min="13" max="16" width="13.0925925925926" style="1" customWidth="1"/>
    <col min="17" max="17" width="19.7222222222222" style="1" customWidth="1"/>
    <col min="18" max="21" width="13.0925925925926" style="1" customWidth="1"/>
  </cols>
  <sheetData>
    <row r="1" spans="1:20">
      <c r="A1" t="s">
        <v>842</v>
      </c>
      <c r="B1" t="s">
        <v>33</v>
      </c>
      <c r="C1" t="s">
        <v>28</v>
      </c>
      <c r="D1" t="s">
        <v>33</v>
      </c>
      <c r="E1" t="s">
        <v>30</v>
      </c>
      <c r="F1" t="s">
        <v>958</v>
      </c>
      <c r="G1" t="s">
        <v>33</v>
      </c>
    </row>
    <row r="2" spans="1:20">
      <c r="A2" s="3" t="s">
        <v>959</v>
      </c>
      <c r="B2" s="3">
        <v>1</v>
      </c>
      <c r="C2" s="3" t="s">
        <v>960</v>
      </c>
      <c r="D2" s="3">
        <v>1</v>
      </c>
      <c r="E2" t="s">
        <v>52</v>
      </c>
      <c r="F2" t="s">
        <v>961</v>
      </c>
      <c r="G2">
        <v>1</v>
      </c>
      <c r="I2" t="str">
        <f>F4&amp;"-"&amp;E3</f>
        <v>P-传送</v>
      </c>
      <c r="K2" t="s">
        <v>962</v>
      </c>
    </row>
    <row r="3" spans="1:20">
      <c r="A3" s="3" t="s">
        <v>963</v>
      </c>
      <c r="B3" s="3">
        <v>2</v>
      </c>
      <c r="C3" s="3" t="s">
        <v>964</v>
      </c>
      <c r="D3" s="3">
        <v>2</v>
      </c>
      <c r="E3" t="s">
        <v>169</v>
      </c>
      <c r="F3" t="s">
        <v>965</v>
      </c>
      <c r="G3">
        <v>2</v>
      </c>
      <c r="I3" t="str">
        <f>F3&amp;"-"&amp;E4</f>
        <v>T-NPC</v>
      </c>
      <c r="K3" t="s">
        <v>966</v>
      </c>
    </row>
    <row r="4" spans="1:20">
      <c r="A4" s="3" t="s">
        <v>967</v>
      </c>
      <c r="B4" s="3">
        <v>3</v>
      </c>
      <c r="C4" s="3" t="s">
        <v>968</v>
      </c>
      <c r="D4" s="3">
        <v>3</v>
      </c>
      <c r="E4" t="s">
        <v>969</v>
      </c>
      <c r="F4" t="s">
        <v>970</v>
      </c>
      <c r="G4">
        <v>3</v>
      </c>
      <c r="I4" t="str">
        <f>F2&amp;"-"&amp;E2</f>
        <v>N-怪物</v>
      </c>
      <c r="K4" t="s">
        <v>971</v>
      </c>
      <c r="O4" s="4"/>
      <c r="P4" s="4"/>
      <c r="Q4" s="4"/>
      <c r="R4" s="4"/>
      <c r="S4" s="4"/>
      <c r="T4" s="4"/>
    </row>
    <row r="5" spans="1:20">
      <c r="A5" s="3" t="s">
        <v>972</v>
      </c>
      <c r="B5" s="3">
        <v>4</v>
      </c>
      <c r="C5" s="3" t="s">
        <v>973</v>
      </c>
      <c r="D5" s="3">
        <v>4</v>
      </c>
      <c r="E5" t="s">
        <v>974</v>
      </c>
      <c r="F5" t="s">
        <v>975</v>
      </c>
      <c r="G5">
        <v>4</v>
      </c>
      <c r="I5" t="str">
        <f>F5&amp;"-"&amp;E5</f>
        <v>M-音效</v>
      </c>
      <c r="K5" t="s">
        <v>976</v>
      </c>
      <c r="O5" s="4"/>
      <c r="P5" s="4"/>
      <c r="Q5" s="4"/>
      <c r="R5" s="4"/>
      <c r="S5" s="4"/>
      <c r="T5" s="4"/>
    </row>
    <row r="6" spans="1:20">
      <c r="A6" s="3" t="s">
        <v>977</v>
      </c>
      <c r="B6" s="3">
        <v>5</v>
      </c>
      <c r="C6" s="3" t="s">
        <v>978</v>
      </c>
      <c r="D6" s="3">
        <v>5</v>
      </c>
      <c r="E6" t="s">
        <v>167</v>
      </c>
      <c r="F6" t="s">
        <v>979</v>
      </c>
      <c r="G6">
        <v>5</v>
      </c>
      <c r="I6" t="str">
        <f>F6&amp;"-"&amp;E6</f>
        <v>J-镜头</v>
      </c>
      <c r="K6" t="s">
        <v>980</v>
      </c>
      <c r="O6" s="4"/>
      <c r="P6" s="4"/>
      <c r="Q6" s="4"/>
      <c r="R6" s="4"/>
      <c r="S6" s="4"/>
      <c r="T6" s="4"/>
    </row>
    <row r="7" spans="1:20">
      <c r="A7" s="3" t="s">
        <v>981</v>
      </c>
      <c r="B7" s="3">
        <v>6</v>
      </c>
      <c r="C7" s="3" t="s">
        <v>982</v>
      </c>
      <c r="D7" s="3">
        <v>6</v>
      </c>
      <c r="E7" t="s">
        <v>268</v>
      </c>
      <c r="F7" t="s">
        <v>983</v>
      </c>
      <c r="G7">
        <v>6</v>
      </c>
      <c r="I7" t="s">
        <v>980</v>
      </c>
      <c r="O7" s="4"/>
      <c r="P7" s="4"/>
      <c r="Q7" s="4"/>
      <c r="R7" s="4"/>
      <c r="S7" s="4"/>
      <c r="T7" s="4"/>
    </row>
    <row r="8" spans="1:20">
      <c r="A8" s="3" t="s">
        <v>984</v>
      </c>
      <c r="B8" s="3">
        <v>7</v>
      </c>
      <c r="C8" s="3" t="s">
        <v>985</v>
      </c>
      <c r="D8" s="3">
        <v>7</v>
      </c>
      <c r="E8" t="s">
        <v>171</v>
      </c>
      <c r="F8" t="s">
        <v>986</v>
      </c>
      <c r="G8">
        <v>7</v>
      </c>
      <c r="O8" s="4"/>
      <c r="P8" s="4"/>
      <c r="Q8" s="4"/>
      <c r="R8" s="4"/>
      <c r="S8" s="4"/>
      <c r="T8" s="4"/>
    </row>
    <row r="9" spans="1:20">
      <c r="A9" s="3" t="s">
        <v>987</v>
      </c>
      <c r="B9" s="3">
        <v>8</v>
      </c>
      <c r="C9" s="3" t="s">
        <v>988</v>
      </c>
      <c r="D9" s="3">
        <v>8</v>
      </c>
      <c r="O9" s="4"/>
      <c r="P9" s="4"/>
      <c r="Q9" s="4"/>
      <c r="R9" s="4"/>
      <c r="S9" s="4"/>
      <c r="T9" s="4"/>
    </row>
    <row r="10" spans="1:20">
      <c r="A10" s="3" t="s">
        <v>989</v>
      </c>
      <c r="B10" s="3">
        <v>9</v>
      </c>
      <c r="C10" s="3" t="s">
        <v>990</v>
      </c>
      <c r="D10" s="3">
        <v>9</v>
      </c>
      <c r="O10" s="4"/>
      <c r="P10" s="4"/>
      <c r="Q10" s="4"/>
      <c r="R10" s="4"/>
      <c r="S10" s="4"/>
      <c r="T10" s="4"/>
    </row>
    <row r="11" spans="1:20">
      <c r="A11" s="3" t="s">
        <v>991</v>
      </c>
      <c r="B11" s="3">
        <v>10</v>
      </c>
      <c r="C11" s="3" t="s">
        <v>992</v>
      </c>
      <c r="D11" s="3">
        <v>10</v>
      </c>
    </row>
    <row r="12" spans="1:20">
      <c r="A12" s="3" t="s">
        <v>993</v>
      </c>
      <c r="B12" s="3">
        <v>11</v>
      </c>
      <c r="C12" s="3" t="s">
        <v>994</v>
      </c>
      <c r="D12" s="3">
        <v>11</v>
      </c>
    </row>
    <row r="13" spans="1:20">
      <c r="A13" s="3" t="s">
        <v>995</v>
      </c>
      <c r="B13" s="3">
        <v>12</v>
      </c>
      <c r="C13" s="3" t="s">
        <v>996</v>
      </c>
      <c r="D13" s="3">
        <v>12</v>
      </c>
    </row>
    <row r="14" spans="1:20">
      <c r="A14" s="3" t="s">
        <v>997</v>
      </c>
      <c r="B14" s="3">
        <v>13</v>
      </c>
      <c r="C14" s="3" t="s">
        <v>998</v>
      </c>
      <c r="D14" s="3">
        <v>13</v>
      </c>
    </row>
    <row r="15" spans="1:20">
      <c r="A15" s="3" t="s">
        <v>999</v>
      </c>
      <c r="B15" s="3">
        <v>14</v>
      </c>
      <c r="C15" s="3" t="s">
        <v>1000</v>
      </c>
      <c r="D15" s="3">
        <v>14</v>
      </c>
    </row>
    <row r="16" spans="1:20">
      <c r="A16" s="3" t="s">
        <v>1001</v>
      </c>
      <c r="B16" s="3">
        <v>15</v>
      </c>
      <c r="C16" s="3" t="s">
        <v>1002</v>
      </c>
      <c r="D16" s="3">
        <v>15</v>
      </c>
    </row>
    <row r="17" spans="1:21">
      <c r="A17" s="3" t="s">
        <v>1003</v>
      </c>
      <c r="B17" s="3">
        <v>16</v>
      </c>
      <c r="C17" s="3" t="s">
        <v>1004</v>
      </c>
      <c r="D17" s="3">
        <v>16</v>
      </c>
    </row>
    <row r="18" spans="1:21">
      <c r="A18" s="3" t="s">
        <v>1005</v>
      </c>
      <c r="B18" s="3">
        <v>17</v>
      </c>
      <c r="C18" s="3" t="s">
        <v>1006</v>
      </c>
      <c r="D18" s="3">
        <v>17</v>
      </c>
    </row>
    <row r="19" spans="1:21">
      <c r="A19" s="3" t="s">
        <v>1007</v>
      </c>
      <c r="B19" s="3">
        <v>18</v>
      </c>
      <c r="C19" s="3" t="s">
        <v>1008</v>
      </c>
      <c r="D19" s="3">
        <v>18</v>
      </c>
    </row>
    <row r="20" spans="1:21">
      <c r="A20" s="3" t="s">
        <v>1009</v>
      </c>
      <c r="B20" s="3">
        <v>19</v>
      </c>
      <c r="C20" s="3" t="s">
        <v>1010</v>
      </c>
      <c r="D20" s="3">
        <v>19</v>
      </c>
    </row>
    <row r="21" spans="1:21">
      <c r="A21" s="3" t="s">
        <v>1011</v>
      </c>
      <c r="B21" s="3">
        <v>20</v>
      </c>
      <c r="C21" s="3" t="s">
        <v>1012</v>
      </c>
      <c r="D21" s="3">
        <v>20</v>
      </c>
    </row>
    <row r="22" spans="1:21">
      <c r="A22" s="3" t="s">
        <v>1013</v>
      </c>
      <c r="B22" s="3">
        <v>21</v>
      </c>
      <c r="C22" s="3" t="s">
        <v>1014</v>
      </c>
      <c r="D22" s="3">
        <v>21</v>
      </c>
    </row>
    <row r="23" spans="1:21">
      <c r="A23" s="3" t="s">
        <v>1015</v>
      </c>
      <c r="B23" s="3">
        <v>22</v>
      </c>
      <c r="C23" s="3" t="s">
        <v>1016</v>
      </c>
      <c r="D23" s="3">
        <v>22</v>
      </c>
    </row>
    <row r="24" spans="1:21">
      <c r="A24" s="3" t="s">
        <v>1017</v>
      </c>
      <c r="B24" s="3">
        <v>23</v>
      </c>
      <c r="C24" s="3" t="s">
        <v>1018</v>
      </c>
      <c r="D24" s="3">
        <v>23</v>
      </c>
    </row>
    <row r="25" spans="1:21">
      <c r="A25" s="3" t="s">
        <v>1019</v>
      </c>
      <c r="B25" s="3">
        <v>24</v>
      </c>
      <c r="C25" s="3" t="s">
        <v>1020</v>
      </c>
      <c r="D25" s="3">
        <v>24</v>
      </c>
      <c r="N25" s="5"/>
      <c r="O25" s="5"/>
      <c r="P25" s="5"/>
      <c r="Q25" s="5"/>
      <c r="R25" s="5"/>
      <c r="S25" s="5"/>
      <c r="T25" s="5"/>
      <c r="U25" s="5"/>
    </row>
    <row r="26" spans="1:21">
      <c r="A26" s="3" t="s">
        <v>1021</v>
      </c>
      <c r="B26" s="3">
        <v>25</v>
      </c>
      <c r="C26" s="3" t="s">
        <v>1022</v>
      </c>
      <c r="D26" s="3">
        <v>25</v>
      </c>
      <c r="M26" s="6" t="s">
        <v>1023</v>
      </c>
      <c r="N26" s="6">
        <v>1</v>
      </c>
      <c r="O26" s="6">
        <v>2</v>
      </c>
      <c r="P26" s="6">
        <v>3</v>
      </c>
      <c r="Q26" s="6">
        <v>4</v>
      </c>
      <c r="R26" s="6">
        <v>5</v>
      </c>
      <c r="S26" s="6">
        <v>6</v>
      </c>
      <c r="T26" s="6">
        <v>7</v>
      </c>
      <c r="U26" s="6">
        <v>8</v>
      </c>
    </row>
    <row r="27" spans="1:21">
      <c r="A27" s="3" t="s">
        <v>1024</v>
      </c>
      <c r="B27" s="3">
        <v>26</v>
      </c>
      <c r="C27" s="3" t="s">
        <v>1025</v>
      </c>
      <c r="D27" s="3">
        <v>26</v>
      </c>
      <c r="M27" s="6"/>
      <c r="N27" s="6" t="s">
        <v>1026</v>
      </c>
      <c r="O27" s="6" t="s">
        <v>1027</v>
      </c>
      <c r="P27" s="7"/>
      <c r="Q27" s="8"/>
      <c r="R27" s="6" t="s">
        <v>1028</v>
      </c>
      <c r="S27" s="9" t="s">
        <v>1029</v>
      </c>
      <c r="T27" s="6" t="s">
        <v>1030</v>
      </c>
      <c r="U27" s="8"/>
    </row>
    <row r="28" spans="1:21">
      <c r="A28" s="3" t="s">
        <v>1031</v>
      </c>
      <c r="B28" s="3">
        <v>27</v>
      </c>
      <c r="C28" s="3" t="s">
        <v>1032</v>
      </c>
      <c r="D28" s="3">
        <v>27</v>
      </c>
      <c r="M28" s="10"/>
      <c r="N28" s="10"/>
      <c r="O28" s="11"/>
      <c r="P28" s="12"/>
      <c r="Q28" s="13"/>
      <c r="R28" s="10"/>
      <c r="S28" s="10"/>
      <c r="T28" s="11"/>
      <c r="U28" s="13"/>
    </row>
    <row r="29" spans="1:21">
      <c r="A29" s="3" t="s">
        <v>1033</v>
      </c>
      <c r="B29" s="3">
        <v>28</v>
      </c>
      <c r="C29" s="3" t="s">
        <v>1034</v>
      </c>
      <c r="D29" s="3">
        <v>28</v>
      </c>
      <c r="M29" s="6" t="s">
        <v>1035</v>
      </c>
      <c r="N29" s="7"/>
      <c r="O29" s="7"/>
      <c r="P29" s="7"/>
      <c r="Q29" s="7"/>
      <c r="R29" s="7"/>
      <c r="S29" s="7"/>
      <c r="T29" s="7"/>
      <c r="U29" s="8"/>
    </row>
    <row r="30" spans="1:21">
      <c r="A30" s="3" t="s">
        <v>1036</v>
      </c>
      <c r="B30" s="3">
        <v>29</v>
      </c>
      <c r="C30" s="3" t="s">
        <v>1037</v>
      </c>
      <c r="D30" s="3">
        <v>29</v>
      </c>
      <c r="M30" s="11"/>
      <c r="N30" s="12"/>
      <c r="O30" s="12"/>
      <c r="P30" s="12"/>
      <c r="Q30" s="12"/>
      <c r="R30" s="12"/>
      <c r="S30" s="12"/>
      <c r="T30" s="12"/>
      <c r="U30" s="13"/>
    </row>
    <row r="31" spans="1:21">
      <c r="A31" s="3" t="s">
        <v>1038</v>
      </c>
      <c r="B31" s="3">
        <v>30</v>
      </c>
      <c r="C31" s="3" t="s">
        <v>1039</v>
      </c>
      <c r="D31" s="3">
        <v>30</v>
      </c>
      <c r="M31" s="14" t="s">
        <v>1040</v>
      </c>
      <c r="N31" s="7"/>
      <c r="O31" s="7"/>
      <c r="P31" s="7"/>
      <c r="Q31" s="7"/>
      <c r="R31" s="7"/>
      <c r="S31" s="7"/>
      <c r="T31" s="7"/>
      <c r="U31" s="8"/>
    </row>
    <row r="32" spans="1:21">
      <c r="A32" s="3" t="s">
        <v>1041</v>
      </c>
      <c r="B32" s="3">
        <v>31</v>
      </c>
      <c r="C32" s="3" t="s">
        <v>1042</v>
      </c>
      <c r="D32" s="3">
        <v>31</v>
      </c>
      <c r="M32" s="11"/>
      <c r="N32" s="12"/>
      <c r="O32" s="12"/>
      <c r="P32" s="12"/>
      <c r="Q32" s="12"/>
      <c r="R32" s="12"/>
      <c r="S32" s="12"/>
      <c r="T32" s="12"/>
      <c r="U32" s="13"/>
    </row>
    <row r="33" spans="1:21">
      <c r="A33" s="3" t="s">
        <v>1043</v>
      </c>
      <c r="B33" s="3">
        <v>32</v>
      </c>
      <c r="C33" s="3" t="s">
        <v>1044</v>
      </c>
      <c r="D33" s="3">
        <v>32</v>
      </c>
    </row>
    <row r="34" spans="1:21">
      <c r="A34" s="3" t="s">
        <v>1045</v>
      </c>
      <c r="B34" s="3">
        <v>33</v>
      </c>
      <c r="C34" s="3" t="s">
        <v>1046</v>
      </c>
      <c r="D34" s="3">
        <v>33</v>
      </c>
      <c r="M34" s="6" t="s">
        <v>1047</v>
      </c>
      <c r="N34" s="15">
        <v>1</v>
      </c>
      <c r="O34" s="15">
        <v>2</v>
      </c>
      <c r="P34" s="15">
        <v>3</v>
      </c>
      <c r="Q34" s="15">
        <v>4</v>
      </c>
      <c r="R34" s="15">
        <v>5</v>
      </c>
    </row>
    <row r="35" spans="1:21">
      <c r="A35" s="3" t="s">
        <v>1048</v>
      </c>
      <c r="B35" s="3">
        <v>34</v>
      </c>
      <c r="C35" s="3" t="s">
        <v>1049</v>
      </c>
      <c r="D35" s="3">
        <v>34</v>
      </c>
      <c r="M35" s="15"/>
      <c r="N35" s="6" t="s">
        <v>1027</v>
      </c>
      <c r="O35" s="16" t="s">
        <v>1050</v>
      </c>
      <c r="P35" s="6" t="s">
        <v>1028</v>
      </c>
      <c r="Q35" s="6" t="s">
        <v>1051</v>
      </c>
      <c r="R35" s="6" t="s">
        <v>1030</v>
      </c>
    </row>
    <row r="36" spans="1:21">
      <c r="A36" s="3" t="s">
        <v>1052</v>
      </c>
      <c r="B36" s="3">
        <v>35</v>
      </c>
      <c r="C36" s="3" t="s">
        <v>1053</v>
      </c>
      <c r="D36" s="3">
        <v>35</v>
      </c>
      <c r="O36" t="s">
        <v>1054</v>
      </c>
      <c r="P36" s="10"/>
      <c r="Q36" s="10"/>
      <c r="R36" s="10"/>
    </row>
    <row r="37" spans="1:21">
      <c r="A37" s="3" t="s">
        <v>1055</v>
      </c>
      <c r="B37" s="3">
        <v>36</v>
      </c>
      <c r="C37" s="3" t="s">
        <v>1056</v>
      </c>
      <c r="D37" s="3">
        <v>36</v>
      </c>
      <c r="O37" t="s">
        <v>1057</v>
      </c>
    </row>
    <row r="38" spans="1:21">
      <c r="A38" s="3" t="s">
        <v>1058</v>
      </c>
      <c r="B38" s="3">
        <v>37</v>
      </c>
      <c r="C38" s="3" t="s">
        <v>1059</v>
      </c>
      <c r="D38" s="3">
        <v>37</v>
      </c>
      <c r="O38" t="s">
        <v>1060</v>
      </c>
    </row>
    <row r="39" spans="1:21">
      <c r="A39" s="3" t="s">
        <v>1061</v>
      </c>
      <c r="B39" s="3">
        <v>38</v>
      </c>
      <c r="C39" s="3" t="s">
        <v>1062</v>
      </c>
      <c r="D39" s="3">
        <v>38</v>
      </c>
      <c r="O39" t="s">
        <v>1063</v>
      </c>
    </row>
    <row r="40" spans="1:21">
      <c r="A40" s="3" t="s">
        <v>1064</v>
      </c>
      <c r="B40" s="3">
        <v>39</v>
      </c>
      <c r="C40" s="3" t="s">
        <v>1065</v>
      </c>
      <c r="D40" s="3">
        <v>39</v>
      </c>
      <c r="O40" t="s">
        <v>1066</v>
      </c>
    </row>
    <row r="41" spans="1:21">
      <c r="A41" s="3" t="s">
        <v>1067</v>
      </c>
      <c r="B41" s="3">
        <v>40</v>
      </c>
      <c r="C41" s="3" t="s">
        <v>1068</v>
      </c>
      <c r="D41" s="3">
        <v>40</v>
      </c>
      <c r="M41" s="6" t="s">
        <v>1069</v>
      </c>
      <c r="N41" s="7"/>
      <c r="O41" s="7"/>
      <c r="P41" s="7"/>
      <c r="Q41" s="7"/>
      <c r="R41" s="7"/>
      <c r="S41" s="7"/>
      <c r="T41" s="7"/>
      <c r="U41" s="8"/>
    </row>
    <row r="42" spans="1:21">
      <c r="A42" s="3" t="s">
        <v>1070</v>
      </c>
      <c r="B42" s="3">
        <v>41</v>
      </c>
      <c r="C42" s="3" t="s">
        <v>1071</v>
      </c>
      <c r="D42" s="3">
        <v>41</v>
      </c>
      <c r="M42" s="11"/>
      <c r="N42" s="12"/>
      <c r="O42" s="12"/>
      <c r="P42" s="12"/>
      <c r="Q42" s="12"/>
      <c r="R42" s="12"/>
      <c r="S42" s="12"/>
      <c r="T42" s="12"/>
      <c r="U42" s="13"/>
    </row>
    <row r="43" spans="1:21">
      <c r="A43" s="3"/>
      <c r="B43" s="3"/>
      <c r="C43" s="3"/>
      <c r="D43" s="3">
        <v>42</v>
      </c>
    </row>
    <row r="44" spans="1:21">
      <c r="A44" s="3"/>
      <c r="B44" s="3"/>
      <c r="C44" s="3"/>
      <c r="D44" s="3">
        <v>43</v>
      </c>
    </row>
    <row r="45" spans="1:21">
      <c r="D45" s="3">
        <v>44</v>
      </c>
    </row>
    <row r="46" spans="1:21">
      <c r="D46" s="3">
        <v>45</v>
      </c>
    </row>
  </sheetData>
  <mergeCells count="12">
    <mergeCell ref="M27:M28"/>
    <mergeCell ref="N27:N28"/>
    <mergeCell ref="P35:P36"/>
    <mergeCell ref="Q35:Q36"/>
    <mergeCell ref="R27:R28"/>
    <mergeCell ref="R35:R36"/>
    <mergeCell ref="S27:S28"/>
    <mergeCell ref="O27:Q28"/>
    <mergeCell ref="M41:U42"/>
    <mergeCell ref="M31:U32"/>
    <mergeCell ref="T27:U28"/>
    <mergeCell ref="M29:U30"/>
  </mergeCells>
  <conditionalFormatting sqref="A2:D44 D45:D4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T177" sqref="T177"/>
    </sheetView>
  </sheetViews>
  <sheetFormatPr defaultColWidth="9" defaultRowHeight="14.4" outlineLevelCol="1"/>
  <cols>
    <col min="2" max="2" width="90.3611111111111" style="1" customWidth="1"/>
  </cols>
  <sheetData>
    <row r="1" spans="1:2">
      <c r="A1" t="s">
        <v>1072</v>
      </c>
      <c r="B1" t="s">
        <v>1073</v>
      </c>
    </row>
    <row r="2" spans="1:2">
      <c r="A2" t="s">
        <v>1074</v>
      </c>
      <c r="B2" t="s">
        <v>1075</v>
      </c>
    </row>
    <row r="3" spans="1:2">
      <c r="A3" t="s">
        <v>1076</v>
      </c>
      <c r="B3" t="s">
        <v>1077</v>
      </c>
    </row>
    <row r="4" spans="1:2">
      <c r="A4" t="s">
        <v>1078</v>
      </c>
    </row>
    <row r="5" spans="1:2">
      <c r="A5" t="s">
        <v>1079</v>
      </c>
    </row>
    <row r="6" spans="1:2">
      <c r="A6" t="s">
        <v>1080</v>
      </c>
      <c r="B6" t="s">
        <v>1081</v>
      </c>
    </row>
    <row r="7" spans="1:2">
      <c r="A7" t="s">
        <v>1082</v>
      </c>
      <c r="B7" t="s">
        <v>1083</v>
      </c>
    </row>
    <row r="8" spans="1:2">
      <c r="A8" t="s">
        <v>1084</v>
      </c>
      <c r="B8" t="s">
        <v>1085</v>
      </c>
    </row>
    <row r="9" spans="1:2">
      <c r="A9" t="s">
        <v>1086</v>
      </c>
      <c r="B9" t="s">
        <v>1087</v>
      </c>
    </row>
    <row r="10" spans="1:2">
      <c r="A10" t="s">
        <v>1088</v>
      </c>
      <c r="B10" t="s">
        <v>1089</v>
      </c>
    </row>
    <row r="11" spans="1:2">
      <c r="A11" t="s">
        <v>1090</v>
      </c>
      <c r="B11" t="s">
        <v>1091</v>
      </c>
    </row>
    <row r="12" spans="1:2">
      <c r="A12" t="s">
        <v>1092</v>
      </c>
      <c r="B12" t="s">
        <v>1093</v>
      </c>
    </row>
    <row r="13" spans="1:2">
      <c r="A13" t="s">
        <v>1094</v>
      </c>
      <c r="B13" t="s">
        <v>1095</v>
      </c>
    </row>
    <row r="14" ht="43.2" customHeight="1" spans="1:2">
      <c r="A14" t="s">
        <v>1096</v>
      </c>
      <c r="B14" s="2" t="s">
        <v>1097</v>
      </c>
    </row>
    <row r="15" ht="57.6" customHeight="1" spans="1:2">
      <c r="A15" t="s">
        <v>1098</v>
      </c>
      <c r="B15" s="2" t="s">
        <v>1099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region_config</vt:lpstr>
      <vt:lpstr>ConfigScene</vt:lpstr>
      <vt:lpstr>编号表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白鸠-PuFF</cp:lastModifiedBy>
  <dcterms:created xsi:type="dcterms:W3CDTF">2026-08-30T13:25:00Z</dcterms:created>
  <dcterms:modified xsi:type="dcterms:W3CDTF">2026-09-30T01:14:45Z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E31C9E8AA7784645A5404638612DFF1C_12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