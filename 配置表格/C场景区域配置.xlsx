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region_config" sheetId="10" r:id="rId1"/>
    <sheet name="ConfigScene" sheetId="1" r:id="rId2"/>
    <sheet name="编号表" sheetId="5" r:id="rId3"/>
    <sheet name="说明" sheetId="3" r:id="rId4"/>
  </sheets>
  <externalReferences>
    <externalReference r:id="rId5"/>
  </externalReferences>
  <definedNames>
    <definedName name="_xlnm._FilterDatabase" localSheetId="0" hidden="1">region_config!$B$1:$Z$225</definedName>
    <definedName name="说明">[1]名称表!$A$3:$A$26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<sst xmlns="http://schemas.openxmlformats.org/spreadsheetml/2006/main" count="897" uniqueCount="495">
  <si>
    <t>##var</t>
  </si>
  <si>
    <t>config_id</t>
  </si>
  <si>
    <t>rect_name</t>
  </si>
  <si>
    <t>scene_name</t>
  </si>
  <si>
    <t>scene_id</t>
  </si>
  <si>
    <t>is_main_rect</t>
  </si>
  <si>
    <t>is_born_rect</t>
  </si>
  <si>
    <t>min_x</t>
  </si>
  <si>
    <t>max_x</t>
  </si>
  <si>
    <t>min_y</t>
  </si>
  <si>
    <t>max_y</t>
  </si>
  <si>
    <t>teleport_target</t>
  </si>
  <si>
    <t>refresh_monster_plans</t>
  </si>
  <si>
    <t>##type</t>
  </si>
  <si>
    <t>int</t>
  </si>
  <si>
    <t>string</t>
  </si>
  <si>
    <t>int整数string文本枚举自起名字</t>
  </si>
  <si>
    <t>float?</t>
  </si>
  <si>
    <t>array,int</t>
  </si>
  <si>
    <t>##group</t>
  </si>
  <si>
    <t>c</t>
  </si>
  <si>
    <t>c,s,,C客户端S服务器不填都用</t>
  </si>
  <si>
    <t>s</t>
  </si>
  <si>
    <t>##</t>
  </si>
  <si>
    <t>区域ID</t>
  </si>
  <si>
    <t>区域名（传送才外显）</t>
  </si>
  <si>
    <t>备注</t>
  </si>
  <si>
    <t>地编名</t>
  </si>
  <si>
    <t>所属场景ID</t>
  </si>
  <si>
    <t>类型</t>
  </si>
  <si>
    <t>面积</t>
  </si>
  <si>
    <t>行</t>
  </si>
  <si>
    <t>序号</t>
  </si>
  <si>
    <t>是否场景主区域</t>
  </si>
  <si>
    <t>是否出生区域</t>
  </si>
  <si>
    <t>区域左边界</t>
  </si>
  <si>
    <t>区域右边界</t>
  </si>
  <si>
    <t>区域下边界</t>
  </si>
  <si>
    <t>区域上边界</t>
  </si>
  <si>
    <t>传送目标区域</t>
  </si>
  <si>
    <t>刷怪方案说明</t>
  </si>
  <si>
    <t>刷怪方案1</t>
  </si>
  <si>
    <t>刷怪方案2</t>
  </si>
  <si>
    <t>刷怪方案3</t>
  </si>
  <si>
    <t>刷怪方案4</t>
  </si>
  <si>
    <t>刷怪方案5</t>
  </si>
  <si>
    <t>刷怪方案6</t>
  </si>
  <si>
    <t>刷怪方案7</t>
  </si>
  <si>
    <t>刷怪方案8</t>
  </si>
  <si>
    <t>天元宗门-怪物1</t>
  </si>
  <si>
    <t>怪物</t>
  </si>
  <si>
    <t>天元宗门-怪物2</t>
  </si>
  <si>
    <t>天元宗门-怪物3</t>
  </si>
  <si>
    <t>天元宗门-怪物4</t>
  </si>
  <si>
    <t>天元宗门-怪物5</t>
  </si>
  <si>
    <t>天元宗门-怪物6</t>
  </si>
  <si>
    <t>天元宗门-怪物7</t>
  </si>
  <si>
    <t>天元宗门-怪物8</t>
  </si>
  <si>
    <t>天元宗门-怪物9</t>
  </si>
  <si>
    <t>天元宗门-怪物10</t>
  </si>
  <si>
    <t>天元宗门-怪物11</t>
  </si>
  <si>
    <t>天元宗门-怪物12</t>
  </si>
  <si>
    <t>天元宗门-怪物13</t>
  </si>
  <si>
    <t>天元宗门-怪物14</t>
  </si>
  <si>
    <t>天元宗门-怪物15</t>
  </si>
  <si>
    <t>天元宗门-怪物16</t>
  </si>
  <si>
    <t>天元宗门-怪物17</t>
  </si>
  <si>
    <t>天元宗门-怪物18</t>
  </si>
  <si>
    <t>天元宗门-怪物19</t>
  </si>
  <si>
    <t>天元宗门-怪物20</t>
  </si>
  <si>
    <t>天元宗门-怪物21</t>
  </si>
  <si>
    <t>天元宗门-怪物22</t>
  </si>
  <si>
    <t>天元宗门-怪物23</t>
  </si>
  <si>
    <t>天元宗门-怪物24</t>
  </si>
  <si>
    <t>天元宗门-怪物25</t>
  </si>
  <si>
    <t>天元宗门-怪物26</t>
  </si>
  <si>
    <t>天元宗门-怪物27</t>
  </si>
  <si>
    <t>天元宗门-怪物28</t>
  </si>
  <si>
    <t>天元宗门-怪物29</t>
  </si>
  <si>
    <t>天元宗门-怪物30</t>
  </si>
  <si>
    <t>天元宗门-怪物31</t>
  </si>
  <si>
    <t>天元宗门-怪物32</t>
  </si>
  <si>
    <t>天元宗门-怪物33</t>
  </si>
  <si>
    <t>天元宗门-怪物34</t>
  </si>
  <si>
    <t>天元宗门-怪物35</t>
  </si>
  <si>
    <t>天元宗门-怪物36</t>
  </si>
  <si>
    <t>天元宗门-怪物37</t>
  </si>
  <si>
    <t>天元宗门-怪物38</t>
  </si>
  <si>
    <t>天元宗门-怪物39</t>
  </si>
  <si>
    <t>天元宗门-怪物40</t>
  </si>
  <si>
    <t>天元宗门-怪物41</t>
  </si>
  <si>
    <t>天元宗门-怪物42</t>
  </si>
  <si>
    <t>天元宗门-怪物43</t>
  </si>
  <si>
    <t>天元宗门-怪物44</t>
  </si>
  <si>
    <t>天元宗门-怪物45</t>
  </si>
  <si>
    <t>天元宗门-怪物46</t>
  </si>
  <si>
    <t>天元宗门-怪物47</t>
  </si>
  <si>
    <t>天元宗门-怪物48</t>
  </si>
  <si>
    <t>天元宗门-怪物49</t>
  </si>
  <si>
    <t>天元宗门-怪物50</t>
  </si>
  <si>
    <t xml:space="preserve"> </t>
  </si>
  <si>
    <t>天元宗门-怪物51</t>
  </si>
  <si>
    <t>天元宗门-怪物52</t>
  </si>
  <si>
    <t>天元宗门-怪物53</t>
  </si>
  <si>
    <t>天元宗门-怪物54</t>
  </si>
  <si>
    <t>天元宗门-怪物55</t>
  </si>
  <si>
    <t>天元宗门-怪物56</t>
  </si>
  <si>
    <t>天元宗门-怪物57</t>
  </si>
  <si>
    <t>天元宗门-怪物58</t>
  </si>
  <si>
    <t>天元宗门-怪物59</t>
  </si>
  <si>
    <t>天元宗门-怪物60</t>
  </si>
  <si>
    <t>天元宗门-怪物61</t>
  </si>
  <si>
    <t>天元宗门-怪物62</t>
  </si>
  <si>
    <t>天元宗门-怪物63</t>
  </si>
  <si>
    <t>天元宗门-怪物64</t>
  </si>
  <si>
    <t>天元宗门-怪物65</t>
  </si>
  <si>
    <t>天元宗门-怪物66</t>
  </si>
  <si>
    <t>天元宗门-怪物67</t>
  </si>
  <si>
    <t>天元宗门-怪物68</t>
  </si>
  <si>
    <t>天元宗门-怪物69</t>
  </si>
  <si>
    <t>天元宗门-怪物70</t>
  </si>
  <si>
    <t>天元宗门-怪物71</t>
  </si>
  <si>
    <t>天元宗门-怪物72</t>
  </si>
  <si>
    <t>天元宗门-怪物73</t>
  </si>
  <si>
    <t>天元宗门-怪物74</t>
  </si>
  <si>
    <t>天元宗门-怪物75</t>
  </si>
  <si>
    <t>天元宗门-怪物76</t>
  </si>
  <si>
    <t>天元宗门-怪物77</t>
  </si>
  <si>
    <t>天元宗门-怪物78</t>
  </si>
  <si>
    <t>天元宗门-怪物79</t>
  </si>
  <si>
    <t>天元宗门-怪物80</t>
  </si>
  <si>
    <t>天元宗门-怪物81</t>
  </si>
  <si>
    <t>天元宗门-怪物82</t>
  </si>
  <si>
    <t>天元宗门-怪物83</t>
  </si>
  <si>
    <t>天元宗门-怪物84</t>
  </si>
  <si>
    <t>天元宗门-怪物85</t>
  </si>
  <si>
    <t>天元宗门-怪物86</t>
  </si>
  <si>
    <t>天元宗门-怪物87</t>
  </si>
  <si>
    <t>天元宗门-怪物88</t>
  </si>
  <si>
    <t>天元宗门-怪物89</t>
  </si>
  <si>
    <t>天元宗门-怪物90</t>
  </si>
  <si>
    <t>天元宗门-怪物91</t>
  </si>
  <si>
    <t>天元宗门-怪物92</t>
  </si>
  <si>
    <t>天元宗门-怪物93</t>
  </si>
  <si>
    <t>天元宗门-怪物94</t>
  </si>
  <si>
    <t>天元宗门-怪物95</t>
  </si>
  <si>
    <t>天元宗门-怪物96</t>
  </si>
  <si>
    <t>天元宗门-怪物97</t>
  </si>
  <si>
    <t>天元宗门-怪物98</t>
  </si>
  <si>
    <t>天元宗门-怪物99</t>
  </si>
  <si>
    <t>天元宗门-怪物100</t>
  </si>
  <si>
    <t>天元宗门-怪物101</t>
  </si>
  <si>
    <t>天元宗门-怪物102</t>
  </si>
  <si>
    <t>天元宗门-怪物103</t>
  </si>
  <si>
    <t>天元宗门-怪物104</t>
  </si>
  <si>
    <t>天元宗门-怪物105</t>
  </si>
  <si>
    <t>天元宗门-怪物106</t>
  </si>
  <si>
    <t>天元宗门-怪物107</t>
  </si>
  <si>
    <t>天元宗门-怪物108</t>
  </si>
  <si>
    <t>天元宗门-怪物109</t>
  </si>
  <si>
    <t>天元宗门-怪物110</t>
  </si>
  <si>
    <t>天元宗门-怪物111</t>
  </si>
  <si>
    <t>天元宗门-怪物112</t>
  </si>
  <si>
    <t>天元宗门-怪物113</t>
  </si>
  <si>
    <t>天元宗门-怪物114</t>
  </si>
  <si>
    <t>天元宗门-怪物115</t>
  </si>
  <si>
    <t>天元宗门-怪物116</t>
  </si>
  <si>
    <t>天元宗门-怪物117</t>
  </si>
  <si>
    <t>天元宗门-怪物118</t>
  </si>
  <si>
    <t>天元宗门-怪物119</t>
  </si>
  <si>
    <t>天元宗门-怪物120</t>
  </si>
  <si>
    <t>天元宗门-怪物121</t>
  </si>
  <si>
    <t>天元宗门-怪物122</t>
  </si>
  <si>
    <t>天元宗门-怪物123</t>
  </si>
  <si>
    <t>天元宗门-怪物124</t>
  </si>
  <si>
    <t>天元宗门-怪物125</t>
  </si>
  <si>
    <t>天元宗门-怪物126</t>
  </si>
  <si>
    <t>天元宗门-怪物127</t>
  </si>
  <si>
    <t>天元宗门-怪物128</t>
  </si>
  <si>
    <t>天元宗门-怪物129</t>
  </si>
  <si>
    <t>天元宗门-怪物130</t>
  </si>
  <si>
    <t>天元宗门-怪物131</t>
  </si>
  <si>
    <t>天元宗门-怪物132</t>
  </si>
  <si>
    <t>天元宗门-怪物133</t>
  </si>
  <si>
    <t>天元宗门-怪物134</t>
  </si>
  <si>
    <t>天元宗门-怪物135</t>
  </si>
  <si>
    <t>天元宗门-怪物136</t>
  </si>
  <si>
    <t>天元宗门-镜头</t>
  </si>
  <si>
    <t>镜头</t>
  </si>
  <si>
    <t>天元宗门-传送</t>
  </si>
  <si>
    <t>传送</t>
  </si>
  <si>
    <t>心魔劫境-怪物1</t>
  </si>
  <si>
    <t>心魔劫境-怪物2</t>
  </si>
  <si>
    <t>心魔劫境-怪物3</t>
  </si>
  <si>
    <t>心魔劫境-怪物4</t>
  </si>
  <si>
    <t>心魔劫境-怪物5</t>
  </si>
  <si>
    <t>心魔劫境-怪物6</t>
  </si>
  <si>
    <t>心魔劫境-怪物7</t>
  </si>
  <si>
    <t>心魔劫境-怪物8</t>
  </si>
  <si>
    <t>心魔劫境-怪物9</t>
  </si>
  <si>
    <t>心魔劫境-怪物10</t>
  </si>
  <si>
    <t>心魔劫境-怪物11</t>
  </si>
  <si>
    <t>心魔劫境-怪物12</t>
  </si>
  <si>
    <t>心魔劫境-镜头</t>
  </si>
  <si>
    <t>心魔劫境-传送</t>
  </si>
  <si>
    <t>试炼幻境-怪物1</t>
  </si>
  <si>
    <t>试炼幻境-怪物2</t>
  </si>
  <si>
    <t>试炼幻境-怪物3</t>
  </si>
  <si>
    <t>试炼幻境-怪物4</t>
  </si>
  <si>
    <t>试炼幻境-怪物5</t>
  </si>
  <si>
    <t>试炼幻境-怪物6</t>
  </si>
  <si>
    <t>试炼幻境-怪物7</t>
  </si>
  <si>
    <t>试炼幻境-怪物8</t>
  </si>
  <si>
    <t>试炼幻境-怪物9</t>
  </si>
  <si>
    <t>试炼幻境-怪物10</t>
  </si>
  <si>
    <t>试炼幻境-镜头</t>
  </si>
  <si>
    <t>试炼幻境-传送</t>
  </si>
  <si>
    <t>山外郊野-怪物1</t>
  </si>
  <si>
    <t>山外郊野-怪物2</t>
  </si>
  <si>
    <t>山外郊野-怪物3</t>
  </si>
  <si>
    <t>山外郊野-怪物4</t>
  </si>
  <si>
    <t>山外郊野-怪物5</t>
  </si>
  <si>
    <t>山外郊野-怪物6</t>
  </si>
  <si>
    <t>山外郊野-怪物7</t>
  </si>
  <si>
    <t>山外郊野-怪物8</t>
  </si>
  <si>
    <t>山外郊野-怪物9</t>
  </si>
  <si>
    <t>山外郊野-怪物10</t>
  </si>
  <si>
    <t>山外郊野-怪物11</t>
  </si>
  <si>
    <t>山外郊野-怪物12</t>
  </si>
  <si>
    <t>山外郊野-怪物13</t>
  </si>
  <si>
    <t>山外郊野-怪物14</t>
  </si>
  <si>
    <t>山外郊野-怪物15</t>
  </si>
  <si>
    <t>山外郊野-怪物16</t>
  </si>
  <si>
    <t>山外郊野-怪物17</t>
  </si>
  <si>
    <t>山外郊野-怪物18</t>
  </si>
  <si>
    <t>山外郊野-怪物19</t>
  </si>
  <si>
    <t>山外郊野-镜头</t>
  </si>
  <si>
    <t>山外郊野-传送</t>
  </si>
  <si>
    <t>三清莲池-怪物1</t>
  </si>
  <si>
    <t>三清莲池-怪物2</t>
  </si>
  <si>
    <t>三清莲池-怪物3</t>
  </si>
  <si>
    <t>三清莲池-怪物4</t>
  </si>
  <si>
    <t>三清莲池-怪物5</t>
  </si>
  <si>
    <t>三清莲池-怪物6</t>
  </si>
  <si>
    <t>三清莲池-怪物7</t>
  </si>
  <si>
    <t>三清莲池-怪物8</t>
  </si>
  <si>
    <t>三清莲池-怪物9</t>
  </si>
  <si>
    <t>三清莲池-怪物10</t>
  </si>
  <si>
    <t>三清莲池-怪物11</t>
  </si>
  <si>
    <t>三清莲池-怪物12</t>
  </si>
  <si>
    <t>三清莲池-怪物13</t>
  </si>
  <si>
    <t>三清莲池-怪物14</t>
  </si>
  <si>
    <t>三清莲池-怪物15</t>
  </si>
  <si>
    <t>三清莲池-怪物16</t>
  </si>
  <si>
    <t>三清莲池-怪物17</t>
  </si>
  <si>
    <t>三清莲池-镜头</t>
  </si>
  <si>
    <t>三清莲池-传送</t>
  </si>
  <si>
    <t>camera_distance</t>
  </si>
  <si>
    <t>camera_angle</t>
  </si>
  <si>
    <t>minimap</t>
  </si>
  <si>
    <t>bigmap</t>
  </si>
  <si>
    <t>grade</t>
  </si>
  <si>
    <t>场景ID</t>
  </si>
  <si>
    <t>场景名</t>
  </si>
  <si>
    <t>镜头距离</t>
  </si>
  <si>
    <t>镜头初始角度</t>
  </si>
  <si>
    <t>小地图</t>
  </si>
  <si>
    <t>大地图</t>
  </si>
  <si>
    <t>场景等级</t>
  </si>
  <si>
    <t>宗门</t>
  </si>
  <si>
    <t>mini_zm</t>
  </si>
  <si>
    <t>big_zm</t>
  </si>
  <si>
    <t>银杏渔村</t>
  </si>
  <si>
    <t>mini_yxyc</t>
  </si>
  <si>
    <t>big_yxyc</t>
  </si>
  <si>
    <t>镜头旋转</t>
  </si>
  <si>
    <t>比奇城</t>
  </si>
  <si>
    <t>mini_biqi</t>
  </si>
  <si>
    <t>big_biqi</t>
  </si>
  <si>
    <t>CameraRotate</t>
  </si>
  <si>
    <t>兽人古墓一层</t>
  </si>
  <si>
    <t>mini_srgm1</t>
  </si>
  <si>
    <t>big_srgm1</t>
  </si>
  <si>
    <t>兽人古墓二层</t>
  </si>
  <si>
    <t>mini_srgm2</t>
  </si>
  <si>
    <t>big_srgm2</t>
  </si>
  <si>
    <t>国王陵墓</t>
  </si>
  <si>
    <t>mini_srgm3</t>
  </si>
  <si>
    <t>big_srgm3</t>
  </si>
  <si>
    <t>废矿区东部</t>
  </si>
  <si>
    <t>mini_bqfk1</t>
  </si>
  <si>
    <t>big_bqfk1</t>
  </si>
  <si>
    <t>尸王殿</t>
  </si>
  <si>
    <t>mini_bqfk2</t>
  </si>
  <si>
    <t>big_bqfk2</t>
  </si>
  <si>
    <t>地牢</t>
  </si>
  <si>
    <t>mini_dl1</t>
  </si>
  <si>
    <t>big_dl1</t>
  </si>
  <si>
    <t>黑暗地带</t>
  </si>
  <si>
    <t>mini_dl2</t>
  </si>
  <si>
    <t>big_dl2</t>
  </si>
  <si>
    <t>死亡棺材</t>
  </si>
  <si>
    <t>mini_dl3</t>
  </si>
  <si>
    <t>big_dl3</t>
  </si>
  <si>
    <t>未知暗殿</t>
  </si>
  <si>
    <t>mini_wzad</t>
  </si>
  <si>
    <t>big_wzad</t>
  </si>
  <si>
    <t>沃玛寺庙一层</t>
  </si>
  <si>
    <t>mini_wmsm1</t>
  </si>
  <si>
    <t>big_wmsm1</t>
  </si>
  <si>
    <t>沃玛寺庙二层</t>
  </si>
  <si>
    <t>mini_wmsm2</t>
  </si>
  <si>
    <t>big_wmsm2</t>
  </si>
  <si>
    <t>沃玛教主大殿</t>
  </si>
  <si>
    <t>mini_wmsm3</t>
  </si>
  <si>
    <t>big_wmsm3</t>
  </si>
  <si>
    <t>石墓一层</t>
  </si>
  <si>
    <t>mini_sm1</t>
  </si>
  <si>
    <t>big_sm1</t>
  </si>
  <si>
    <t>石墓阵入口</t>
  </si>
  <si>
    <t>mini_sm2</t>
  </si>
  <si>
    <t>big_sm2</t>
  </si>
  <si>
    <t>石墓阵出口</t>
  </si>
  <si>
    <t>mini_sm3</t>
  </si>
  <si>
    <t>big_sm3</t>
  </si>
  <si>
    <t>石墓顶层</t>
  </si>
  <si>
    <t>mini_sm4</t>
  </si>
  <si>
    <t>big_sm4</t>
  </si>
  <si>
    <t>桃源之门</t>
  </si>
  <si>
    <t>mini_tyzm1</t>
  </si>
  <si>
    <t>big_tyzm1</t>
  </si>
  <si>
    <t>困惑殿堂</t>
  </si>
  <si>
    <t>mini_tyzm2</t>
  </si>
  <si>
    <t>big_tyzm2</t>
  </si>
  <si>
    <t>祖玛寺庙一层</t>
  </si>
  <si>
    <t>mini_zmsm1</t>
  </si>
  <si>
    <t>big_zmsm1</t>
  </si>
  <si>
    <t>祖玛寺庙二层</t>
  </si>
  <si>
    <t>mini_zmsm2</t>
  </si>
  <si>
    <t>big_zmsm2</t>
  </si>
  <si>
    <t>祖玛阁</t>
  </si>
  <si>
    <t>mini_zmsm3</t>
  </si>
  <si>
    <t>big_zmsm3</t>
  </si>
  <si>
    <t>祖玛教主之家</t>
  </si>
  <si>
    <t>mini_zmsm4</t>
  </si>
  <si>
    <t>big_zmsm4</t>
  </si>
  <si>
    <t>封魔矿区</t>
  </si>
  <si>
    <t>mini_fmkq1</t>
  </si>
  <si>
    <t>big_fmkq1</t>
  </si>
  <si>
    <t>光芒回廊</t>
  </si>
  <si>
    <t>mini_fmkq2</t>
  </si>
  <si>
    <t>big_fmkq2</t>
  </si>
  <si>
    <t>封魔殿</t>
  </si>
  <si>
    <t>mini_fmkq3</t>
  </si>
  <si>
    <t>big_fmkq3</t>
  </si>
  <si>
    <t>尸魔洞一层</t>
  </si>
  <si>
    <t>mini_smd1</t>
  </si>
  <si>
    <t>big_smd1</t>
  </si>
  <si>
    <t>尸魔洞二层</t>
  </si>
  <si>
    <t>mini_smd2</t>
  </si>
  <si>
    <t>big_smd2</t>
  </si>
  <si>
    <t>骨魔洞一层</t>
  </si>
  <si>
    <t>mini_gmd1</t>
  </si>
  <si>
    <t>big_gmd1</t>
  </si>
  <si>
    <t>骨魔洞二层</t>
  </si>
  <si>
    <t>mini_gmd2</t>
  </si>
  <si>
    <t>big_gmd2</t>
  </si>
  <si>
    <t>牛魔寺庙入口</t>
  </si>
  <si>
    <t>mini_nmsm1</t>
  </si>
  <si>
    <t>big_nmsm1</t>
  </si>
  <si>
    <t>牛魔寺庙一层</t>
  </si>
  <si>
    <t>mini_nmsm2</t>
  </si>
  <si>
    <t>big_nmsm2</t>
  </si>
  <si>
    <t>牛魔寺庙大厅</t>
  </si>
  <si>
    <t>mini_nmsm3</t>
  </si>
  <si>
    <t>big_nmsm3</t>
  </si>
  <si>
    <t>丛林迷宫</t>
  </si>
  <si>
    <t>mini_clmg</t>
  </si>
  <si>
    <t>big_clmg</t>
  </si>
  <si>
    <t>赤月峡谷西走廊</t>
  </si>
  <si>
    <t>mini_cyxg1</t>
  </si>
  <si>
    <t>big_cyxg1</t>
  </si>
  <si>
    <t>赤月峡谷东二层</t>
  </si>
  <si>
    <t>mini_cyxg2</t>
  </si>
  <si>
    <t>big_cyxg2</t>
  </si>
  <si>
    <t>赤月峡谷广场</t>
  </si>
  <si>
    <t>mini_cyxg3</t>
  </si>
  <si>
    <t>big_cyxg3</t>
  </si>
  <si>
    <t>抉择之地</t>
  </si>
  <si>
    <t>mini_cyxg4</t>
  </si>
  <si>
    <t>big_cyxg4</t>
  </si>
  <si>
    <t>恶魔祭坛</t>
  </si>
  <si>
    <t>mini_cyxg5</t>
  </si>
  <si>
    <t>big_cyxg5</t>
  </si>
  <si>
    <t>赤月魔穴</t>
  </si>
  <si>
    <t>mini_cyxg6</t>
  </si>
  <si>
    <t>big_cyxg6</t>
  </si>
  <si>
    <t>缩写</t>
  </si>
  <si>
    <t>D1_1_</t>
  </si>
  <si>
    <t>N</t>
  </si>
  <si>
    <t>刷怪,镜头：蓝色</t>
  </si>
  <si>
    <t>D1_2_</t>
  </si>
  <si>
    <t>T</t>
  </si>
  <si>
    <t>传送点：绿色</t>
  </si>
  <si>
    <t>D1_3_</t>
  </si>
  <si>
    <t>NPC</t>
  </si>
  <si>
    <t>P</t>
  </si>
  <si>
    <t>npc:黄色</t>
  </si>
  <si>
    <t>D1_4_</t>
  </si>
  <si>
    <t>音效</t>
  </si>
  <si>
    <t>M</t>
  </si>
  <si>
    <t>D1_5_</t>
  </si>
  <si>
    <t>J</t>
  </si>
  <si>
    <t>D1_6_</t>
  </si>
  <si>
    <t>D2_1_</t>
  </si>
  <si>
    <t>D2_2_</t>
  </si>
  <si>
    <t>D2_3_</t>
  </si>
  <si>
    <t>D2_4_</t>
  </si>
  <si>
    <t>D2_5_</t>
  </si>
  <si>
    <t>D2_6_</t>
  </si>
  <si>
    <t>D3_1_</t>
  </si>
  <si>
    <t>D3_2_</t>
  </si>
  <si>
    <t>D3_3_</t>
  </si>
  <si>
    <t>D3_4_</t>
  </si>
  <si>
    <t>D3_5_</t>
  </si>
  <si>
    <t>D3_6_</t>
  </si>
  <si>
    <t>D4_1_</t>
  </si>
  <si>
    <t>D4_2_</t>
  </si>
  <si>
    <t>D4_3_</t>
  </si>
  <si>
    <t>D4_4_</t>
  </si>
  <si>
    <t>D4_5_</t>
  </si>
  <si>
    <t>D4_6_</t>
  </si>
  <si>
    <t>D5_1_</t>
  </si>
  <si>
    <t>编号命名</t>
  </si>
  <si>
    <t>D5_2_</t>
  </si>
  <si>
    <t>固定“7”</t>
  </si>
  <si>
    <t>地图序号</t>
  </si>
  <si>
    <t>格子边长</t>
  </si>
  <si>
    <t>地图从上往下格子所在第x行</t>
  </si>
  <si>
    <t>格子所在行左起第x个</t>
  </si>
  <si>
    <t>D5_3_</t>
  </si>
  <si>
    <t>D5_4_</t>
  </si>
  <si>
    <t>示例：70015304，解释：序号1的地图边长为5的区域位置在地图从上往下第3行左数第4个</t>
  </si>
  <si>
    <t>D5_5_</t>
  </si>
  <si>
    <t>D5_6_</t>
  </si>
  <si>
    <t>比奇城按6区域划分行数，传送点-0，左上-1，右上-2，左下-3，右下4，城中-5</t>
  </si>
  <si>
    <t>D6_1_</t>
  </si>
  <si>
    <t>D6_2_</t>
  </si>
  <si>
    <t>D6_3_</t>
  </si>
  <si>
    <t>地编命名</t>
  </si>
  <si>
    <t>D6_4_</t>
  </si>
  <si>
    <t>区域类型</t>
  </si>
  <si>
    <t>格子所在第x行</t>
  </si>
  <si>
    <t>D6_5_</t>
  </si>
  <si>
    <t>P-传送</t>
  </si>
  <si>
    <t>D6_6_</t>
  </si>
  <si>
    <t>T-NPC</t>
  </si>
  <si>
    <t>M1</t>
  </si>
  <si>
    <t>N-怪物</t>
  </si>
  <si>
    <t>M2</t>
  </si>
  <si>
    <t>M-音效</t>
  </si>
  <si>
    <t>M3</t>
  </si>
  <si>
    <t>J-镜头</t>
  </si>
  <si>
    <t>M4</t>
  </si>
  <si>
    <t>示例：1N3_4_5，解释：序号1的地图边长为3的从上往下第4行左数第5个怪物区域</t>
  </si>
  <si>
    <t>新手村</t>
  </si>
  <si>
    <t>M5</t>
  </si>
  <si>
    <t>版本</t>
  </si>
  <si>
    <t>内容</t>
  </si>
  <si>
    <t>V1.11</t>
  </si>
  <si>
    <t>新增场景区域</t>
  </si>
  <si>
    <t>V1.12</t>
  </si>
  <si>
    <t>修改兽人古墓、矿区传送、位置</t>
  </si>
  <si>
    <t>V1.13</t>
  </si>
  <si>
    <t>V1.14</t>
  </si>
  <si>
    <t>V1.15</t>
  </si>
  <si>
    <t>更新传送方案，刷怪方案</t>
  </si>
  <si>
    <t>V1.16</t>
  </si>
  <si>
    <t>增加两个测试木桩，biqi_77,biqi_78</t>
  </si>
  <si>
    <t>V1.17</t>
  </si>
  <si>
    <t>增加主场景区域-场景镜头区域</t>
  </si>
  <si>
    <t>V1.18</t>
  </si>
  <si>
    <t>增加场景小地图大地图</t>
  </si>
  <si>
    <t>V1.19</t>
  </si>
  <si>
    <t>按照新的怪物刷新配置，刷新场景内的怪物配置</t>
  </si>
  <si>
    <t>V1.20</t>
  </si>
  <si>
    <t>更新场景</t>
  </si>
  <si>
    <t>V1.21</t>
  </si>
  <si>
    <t>比奇城新增羊，鹿和狼的配置，测试任务用。</t>
  </si>
  <si>
    <t>V1.22</t>
  </si>
  <si>
    <t>新增新手村场景区域；比奇城22,77,78刷新木桩；</t>
  </si>
  <si>
    <t>V1.23</t>
  </si>
  <si>
    <t>① 新手村、比奇城各一个出生点
② 新手村5个备用传送区域，5个落点区域，备用NPC区域10个，普通40，精英10，BOSS 5，音乐10，镜头1</t>
  </si>
  <si>
    <t>V1.24</t>
  </si>
  <si>
    <t>区域版本重制
1、传送落地点与传送起始点分开
2、区域密度提高，适配更多刷怪密度和位置策略
3、区域命名方式优化，附带区域信息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</si>
</sst>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9"/>
      <color theme="1"/>
      <name val="微软雅黑"/>
      <charset val="134"/>
    </font>
    <font>
      <sz val="10"/>
      <color theme="1"/>
      <name val="Arial Unicode MS"/>
      <charset val="134"/>
    </font>
    <font>
      <sz val="9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7" borderId="11" applyNumberFormat="0" applyAlignment="0" applyProtection="0">
      <alignment vertical="center"/>
    </xf>
    <xf numFmtId="0" fontId="17" fillId="7" borderId="10" applyNumberFormat="0" applyAlignment="0" applyProtection="0">
      <alignment vertical="center"/>
    </xf>
    <xf numFmtId="0" fontId="18" fillId="8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1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25"/>
  <sheetViews>
    <sheetView tabSelected="1" zoomScale="115" zoomScaleNormal="115" workbookViewId="0">
      <pane xSplit="8" ySplit="1" topLeftCell="O2" activePane="bottomRight" state="frozen"/>
      <selection/>
      <selection pane="topRight"/>
      <selection pane="bottomLeft"/>
      <selection pane="bottomRight" activeCell="Q15" sqref="Q15"/>
    </sheetView>
  </sheetViews>
  <sheetFormatPr defaultColWidth="9" defaultRowHeight="13.2"/>
  <cols>
    <col min="1" max="1" width="9" style="10"/>
    <col min="2" max="2" width="9.66666666666667" style="10"/>
    <col min="3" max="3" width="22.6296296296296" style="2" customWidth="1"/>
    <col min="4" max="4" width="22.7222222222222" style="2" customWidth="1"/>
    <col min="5" max="5" width="14.6296296296296" style="2" customWidth="1"/>
    <col min="6" max="6" width="11" style="2" customWidth="1"/>
    <col min="7" max="10" width="5.09259259259259" style="2" customWidth="1"/>
    <col min="11" max="17" width="16.0925925925926" style="2" customWidth="1"/>
    <col min="18" max="18" width="21.7222222222222" style="10" customWidth="1"/>
    <col min="19" max="19" width="9.5462962962963" style="10"/>
    <col min="20" max="20" width="10" style="10"/>
    <col min="21" max="16384" width="9" style="10"/>
  </cols>
  <sheetData>
    <row r="1" spans="1:26">
      <c r="A1" s="10" t="s">
        <v>0</v>
      </c>
      <c r="B1" s="13" t="s">
        <v>1</v>
      </c>
      <c r="C1" s="13" t="s">
        <v>2</v>
      </c>
      <c r="D1" s="13"/>
      <c r="E1" s="13" t="s">
        <v>3</v>
      </c>
      <c r="F1" s="13" t="s">
        <v>4</v>
      </c>
      <c r="G1" s="13"/>
      <c r="H1" s="13"/>
      <c r="I1" s="13"/>
      <c r="J1" s="13"/>
      <c r="K1" s="13" t="s">
        <v>5</v>
      </c>
      <c r="L1" s="13" t="s">
        <v>6</v>
      </c>
      <c r="M1" s="13" t="s">
        <v>7</v>
      </c>
      <c r="N1" s="13" t="s">
        <v>8</v>
      </c>
      <c r="O1" s="13" t="s">
        <v>9</v>
      </c>
      <c r="P1" s="13" t="s">
        <v>10</v>
      </c>
      <c r="Q1" s="13" t="s">
        <v>11</v>
      </c>
      <c r="R1" s="14"/>
      <c r="S1" s="15" t="s">
        <v>12</v>
      </c>
      <c r="T1" s="16"/>
      <c r="U1" s="16"/>
      <c r="V1" s="16"/>
      <c r="W1" s="16"/>
      <c r="X1" s="16"/>
      <c r="Y1" s="16"/>
      <c r="Z1" s="17"/>
    </row>
    <row r="2" spans="1:26">
      <c r="A2" s="10" t="s">
        <v>13</v>
      </c>
      <c r="B2" s="11" t="s">
        <v>14</v>
      </c>
      <c r="C2" s="11" t="s">
        <v>15</v>
      </c>
      <c r="D2" s="11" t="s">
        <v>16</v>
      </c>
      <c r="E2" s="11" t="s">
        <v>15</v>
      </c>
      <c r="F2" s="11" t="s">
        <v>14</v>
      </c>
      <c r="G2" s="11"/>
      <c r="H2" s="11"/>
      <c r="I2" s="11"/>
      <c r="J2" s="11"/>
      <c r="K2" s="11" t="s">
        <v>14</v>
      </c>
      <c r="L2" s="11" t="s">
        <v>14</v>
      </c>
      <c r="M2" s="11" t="s">
        <v>17</v>
      </c>
      <c r="N2" s="11" t="s">
        <v>17</v>
      </c>
      <c r="O2" s="11" t="s">
        <v>17</v>
      </c>
      <c r="P2" s="11" t="s">
        <v>17</v>
      </c>
      <c r="Q2" s="11" t="s">
        <v>14</v>
      </c>
      <c r="R2" s="18"/>
      <c r="S2" s="19" t="s">
        <v>18</v>
      </c>
      <c r="T2" s="19"/>
      <c r="U2" s="19"/>
      <c r="V2" s="19"/>
      <c r="W2" s="19"/>
      <c r="X2" s="19"/>
      <c r="Y2" s="19"/>
      <c r="Z2" s="19"/>
    </row>
    <row r="3" spans="1:26">
      <c r="A3" s="10" t="s">
        <v>19</v>
      </c>
      <c r="B3" s="11"/>
      <c r="C3" s="11" t="s">
        <v>20</v>
      </c>
      <c r="D3" s="11" t="s">
        <v>21</v>
      </c>
      <c r="E3" s="11" t="s">
        <v>20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 t="s">
        <v>20</v>
      </c>
      <c r="R3" s="18"/>
      <c r="S3" s="20" t="s">
        <v>22</v>
      </c>
      <c r="T3" s="20"/>
      <c r="U3" s="20"/>
      <c r="V3" s="20"/>
      <c r="W3" s="20"/>
      <c r="X3" s="20"/>
      <c r="Y3" s="20"/>
      <c r="Z3" s="20"/>
    </row>
    <row r="4" spans="1:26">
      <c r="A4" s="10" t="s">
        <v>23</v>
      </c>
      <c r="B4" s="13" t="s">
        <v>24</v>
      </c>
      <c r="C4" s="13" t="s">
        <v>25</v>
      </c>
      <c r="D4" s="13" t="s">
        <v>26</v>
      </c>
      <c r="E4" s="13" t="s">
        <v>27</v>
      </c>
      <c r="F4" s="13" t="s">
        <v>28</v>
      </c>
      <c r="G4" s="13" t="s">
        <v>29</v>
      </c>
      <c r="H4" s="13" t="s">
        <v>30</v>
      </c>
      <c r="I4" s="13" t="s">
        <v>31</v>
      </c>
      <c r="J4" s="13" t="s">
        <v>32</v>
      </c>
      <c r="K4" s="13" t="s">
        <v>33</v>
      </c>
      <c r="L4" s="13" t="s">
        <v>34</v>
      </c>
      <c r="M4" s="13" t="s">
        <v>35</v>
      </c>
      <c r="N4" s="13" t="s">
        <v>36</v>
      </c>
      <c r="O4" s="13" t="s">
        <v>37</v>
      </c>
      <c r="P4" s="13" t="s">
        <v>38</v>
      </c>
      <c r="Q4" s="13" t="s">
        <v>39</v>
      </c>
      <c r="R4" s="14" t="s">
        <v>40</v>
      </c>
      <c r="S4" s="14" t="s">
        <v>41</v>
      </c>
      <c r="T4" s="14" t="s">
        <v>42</v>
      </c>
      <c r="U4" s="14" t="s">
        <v>43</v>
      </c>
      <c r="V4" s="14" t="s">
        <v>44</v>
      </c>
      <c r="W4" s="14" t="s">
        <v>45</v>
      </c>
      <c r="X4" s="14" t="s">
        <v>46</v>
      </c>
      <c r="Y4" s="14" t="s">
        <v>47</v>
      </c>
      <c r="Z4" s="14" t="s">
        <v>48</v>
      </c>
    </row>
    <row r="5" spans="1:26">
      <c r="A5" s="21"/>
      <c r="B5" s="10">
        <f>70000000+F5*10000+H5*1000+I5*100+J5</f>
        <v>70015101</v>
      </c>
      <c r="C5" s="2" t="s">
        <v>49</v>
      </c>
      <c r="E5" s="2" t="str">
        <f>F5&amp;(VLOOKUP(G5,编号表!$E$1:$G$8,2,0))&amp;H5&amp;"_"&amp;I5&amp;"_"&amp;J5</f>
        <v>1N5_1_1</v>
      </c>
      <c r="F5" s="2">
        <v>1</v>
      </c>
      <c r="G5" s="2" t="s">
        <v>50</v>
      </c>
      <c r="H5" s="2">
        <v>5</v>
      </c>
      <c r="I5" s="2">
        <v>1</v>
      </c>
      <c r="J5" s="2">
        <f>COUNTIFS($F$5:F5,F5,$I$5:I5,I5)</f>
        <v>1</v>
      </c>
    </row>
    <row r="6" spans="1:26">
      <c r="A6" s="21"/>
      <c r="B6" s="10">
        <f>70000000+F6*10000+H6*1000+I6*100+J6</f>
        <v>70015102</v>
      </c>
      <c r="C6" s="2" t="s">
        <v>51</v>
      </c>
      <c r="E6" s="2" t="str">
        <f>F6&amp;(VLOOKUP(G6,编号表!$E$1:$G$8,2,0))&amp;H6&amp;"_"&amp;I6&amp;"_"&amp;J6</f>
        <v>1N5_1_2</v>
      </c>
      <c r="F6" s="2">
        <v>1</v>
      </c>
      <c r="G6" s="2" t="s">
        <v>50</v>
      </c>
      <c r="H6" s="2">
        <v>5</v>
      </c>
      <c r="I6" s="2">
        <v>1</v>
      </c>
      <c r="J6" s="2">
        <f>COUNTIFS($F$5:F6,F6,$I$5:I6,I6)</f>
        <v>2</v>
      </c>
    </row>
    <row r="7" spans="1:26">
      <c r="A7" s="21"/>
      <c r="B7" s="10">
        <f>70000000+F7*10000+H7*1000+I7*100+J7</f>
        <v>70015103</v>
      </c>
      <c r="C7" s="2" t="s">
        <v>52</v>
      </c>
      <c r="E7" s="2" t="str">
        <f>F7&amp;(VLOOKUP(G7,编号表!$E$1:$G$8,2,0))&amp;H7&amp;"_"&amp;I7&amp;"_"&amp;J7</f>
        <v>1N5_1_3</v>
      </c>
      <c r="F7" s="2">
        <v>1</v>
      </c>
      <c r="G7" s="2" t="s">
        <v>50</v>
      </c>
      <c r="H7" s="2">
        <v>5</v>
      </c>
      <c r="I7" s="2">
        <v>1</v>
      </c>
      <c r="J7" s="2">
        <f>COUNTIFS($F$5:F7,F7,$I$5:I7,I7)</f>
        <v>3</v>
      </c>
    </row>
    <row r="8" spans="1:26">
      <c r="A8" s="21"/>
      <c r="B8" s="10">
        <f>70000000+F8*10000+H8*1000+I8*100+J8</f>
        <v>70015104</v>
      </c>
      <c r="C8" s="2" t="s">
        <v>53</v>
      </c>
      <c r="E8" s="2" t="str">
        <f>F8&amp;(VLOOKUP(G8,编号表!$E$1:$G$8,2,0))&amp;H8&amp;"_"&amp;I8&amp;"_"&amp;J8</f>
        <v>1N5_1_4</v>
      </c>
      <c r="F8" s="2">
        <v>1</v>
      </c>
      <c r="G8" s="2" t="s">
        <v>50</v>
      </c>
      <c r="H8" s="2">
        <v>5</v>
      </c>
      <c r="I8" s="2">
        <v>1</v>
      </c>
      <c r="J8" s="2">
        <f>COUNTIFS($F$5:F8,F8,$I$5:I8,I8)</f>
        <v>4</v>
      </c>
    </row>
    <row r="9" spans="1:26">
      <c r="A9" s="21"/>
      <c r="B9" s="10">
        <f>70000000+F9*10000+H9*1000+I9*100+J9</f>
        <v>70015105</v>
      </c>
      <c r="C9" s="2" t="s">
        <v>54</v>
      </c>
      <c r="E9" s="2" t="str">
        <f>F9&amp;(VLOOKUP(G9,编号表!$E$1:$G$8,2,0))&amp;H9&amp;"_"&amp;I9&amp;"_"&amp;J9</f>
        <v>1N5_1_5</v>
      </c>
      <c r="F9" s="2">
        <v>1</v>
      </c>
      <c r="G9" s="2" t="s">
        <v>50</v>
      </c>
      <c r="H9" s="2">
        <v>5</v>
      </c>
      <c r="I9" s="2">
        <v>1</v>
      </c>
      <c r="J9" s="2">
        <f>COUNTIFS($F$5:F9,F9,$I$5:I9,I9)</f>
        <v>5</v>
      </c>
    </row>
    <row r="10" spans="1:26">
      <c r="A10" s="21"/>
      <c r="B10" s="10">
        <f>70000000+F10*10000+H10*1000+I10*100+J10</f>
        <v>70015106</v>
      </c>
      <c r="C10" s="2" t="s">
        <v>55</v>
      </c>
      <c r="E10" s="2" t="str">
        <f>F10&amp;(VLOOKUP(G10,编号表!$E$1:$G$8,2,0))&amp;H10&amp;"_"&amp;I10&amp;"_"&amp;J10</f>
        <v>1N5_1_6</v>
      </c>
      <c r="F10" s="2">
        <v>1</v>
      </c>
      <c r="G10" s="2" t="s">
        <v>50</v>
      </c>
      <c r="H10" s="2">
        <v>5</v>
      </c>
      <c r="I10" s="2">
        <v>1</v>
      </c>
      <c r="J10" s="2">
        <f>COUNTIFS($F$5:F10,F10,$I$5:I10,I10)</f>
        <v>6</v>
      </c>
    </row>
    <row r="11" spans="1:26">
      <c r="A11" s="21"/>
      <c r="B11" s="10">
        <f>70000000+F11*10000+H11*1000+I11*100+J11</f>
        <v>70015107</v>
      </c>
      <c r="C11" s="2" t="s">
        <v>56</v>
      </c>
      <c r="E11" s="2" t="str">
        <f>F11&amp;(VLOOKUP(G11,编号表!$E$1:$G$8,2,0))&amp;H11&amp;"_"&amp;I11&amp;"_"&amp;J11</f>
        <v>1N5_1_7</v>
      </c>
      <c r="F11" s="2">
        <v>1</v>
      </c>
      <c r="G11" s="2" t="s">
        <v>50</v>
      </c>
      <c r="H11" s="2">
        <v>5</v>
      </c>
      <c r="I11" s="2">
        <v>1</v>
      </c>
      <c r="J11" s="2">
        <f>COUNTIFS($F$5:F11,F11,$I$5:I11,I11)</f>
        <v>7</v>
      </c>
    </row>
    <row r="12" spans="1:26">
      <c r="A12" s="21"/>
      <c r="B12" s="10">
        <f>70000000+F12*10000+H12*1000+I12*100+J12</f>
        <v>70015108</v>
      </c>
      <c r="C12" s="2" t="s">
        <v>57</v>
      </c>
      <c r="E12" s="2" t="str">
        <f>F12&amp;(VLOOKUP(G12,编号表!$E$1:$G$8,2,0))&amp;H12&amp;"_"&amp;I12&amp;"_"&amp;J12</f>
        <v>1N5_1_8</v>
      </c>
      <c r="F12" s="2">
        <v>1</v>
      </c>
      <c r="G12" s="2" t="s">
        <v>50</v>
      </c>
      <c r="H12" s="2">
        <v>5</v>
      </c>
      <c r="I12" s="2">
        <v>1</v>
      </c>
      <c r="J12" s="2">
        <f>COUNTIFS($F$5:F12,F12,$I$5:I12,I12)</f>
        <v>8</v>
      </c>
    </row>
    <row r="13" spans="1:26">
      <c r="A13" s="21"/>
      <c r="B13" s="10">
        <f>70000000+F13*10000+H13*1000+I13*100+J13</f>
        <v>70015109</v>
      </c>
      <c r="C13" s="2" t="s">
        <v>58</v>
      </c>
      <c r="E13" s="2" t="str">
        <f>F13&amp;(VLOOKUP(G13,编号表!$E$1:$G$8,2,0))&amp;H13&amp;"_"&amp;I13&amp;"_"&amp;J13</f>
        <v>1N5_1_9</v>
      </c>
      <c r="F13" s="2">
        <v>1</v>
      </c>
      <c r="G13" s="2" t="s">
        <v>50</v>
      </c>
      <c r="H13" s="2">
        <v>5</v>
      </c>
      <c r="I13" s="2">
        <v>1</v>
      </c>
      <c r="J13" s="2">
        <f>COUNTIFS($F$5:F13,F13,$I$5:I13,I13)</f>
        <v>9</v>
      </c>
    </row>
    <row r="14" spans="1:26">
      <c r="A14" s="21"/>
      <c r="B14" s="10">
        <f>70000000+F14*10000+H14*1000+I14*100+J14</f>
        <v>70015110</v>
      </c>
      <c r="C14" s="2" t="s">
        <v>59</v>
      </c>
      <c r="E14" s="2" t="str">
        <f>F14&amp;(VLOOKUP(G14,编号表!$E$1:$G$8,2,0))&amp;H14&amp;"_"&amp;I14&amp;"_"&amp;J14</f>
        <v>1N5_1_10</v>
      </c>
      <c r="F14" s="2">
        <v>1</v>
      </c>
      <c r="G14" s="2" t="s">
        <v>50</v>
      </c>
      <c r="H14" s="2">
        <v>5</v>
      </c>
      <c r="I14" s="2">
        <v>1</v>
      </c>
      <c r="J14" s="2">
        <f>COUNTIFS($F$5:F14,F14,$I$5:I14,I14)</f>
        <v>10</v>
      </c>
    </row>
    <row r="15" spans="1:26">
      <c r="A15" s="21"/>
      <c r="B15" s="10">
        <f>70000000+F15*10000+H15*1000+I15*100+J15</f>
        <v>70015111</v>
      </c>
      <c r="C15" s="2" t="s">
        <v>60</v>
      </c>
      <c r="E15" s="2" t="str">
        <f>F15&amp;(VLOOKUP(G15,编号表!$E$1:$G$8,2,0))&amp;H15&amp;"_"&amp;I15&amp;"_"&amp;J15</f>
        <v>1N5_1_11</v>
      </c>
      <c r="F15" s="2">
        <v>1</v>
      </c>
      <c r="G15" s="2" t="s">
        <v>50</v>
      </c>
      <c r="H15" s="2">
        <v>5</v>
      </c>
      <c r="I15" s="2">
        <v>1</v>
      </c>
      <c r="J15" s="2">
        <f>COUNTIFS($F$5:F15,F15,$I$5:I15,I15)</f>
        <v>11</v>
      </c>
    </row>
    <row r="16" spans="1:26">
      <c r="A16" s="21"/>
      <c r="B16" s="10">
        <f>70000000+F16*10000+H16*1000+I16*100+J16</f>
        <v>70015112</v>
      </c>
      <c r="C16" s="2" t="s">
        <v>61</v>
      </c>
      <c r="E16" s="2" t="str">
        <f>F16&amp;(VLOOKUP(G16,编号表!$E$1:$G$8,2,0))&amp;H16&amp;"_"&amp;I16&amp;"_"&amp;J16</f>
        <v>1N5_1_12</v>
      </c>
      <c r="F16" s="2">
        <v>1</v>
      </c>
      <c r="G16" s="2" t="s">
        <v>50</v>
      </c>
      <c r="H16" s="2">
        <v>5</v>
      </c>
      <c r="I16" s="2">
        <v>1</v>
      </c>
      <c r="J16" s="2">
        <f>COUNTIFS($F$5:F16,F16,$I$5:I16,I16)</f>
        <v>12</v>
      </c>
    </row>
    <row r="17" spans="1:10">
      <c r="A17" s="21"/>
      <c r="B17" s="10">
        <f>70000000+F17*10000+H17*1000+I17*100+J17</f>
        <v>70015201</v>
      </c>
      <c r="C17" s="2" t="s">
        <v>62</v>
      </c>
      <c r="E17" s="2" t="str">
        <f>F17&amp;(VLOOKUP(G17,编号表!$E$1:$G$8,2,0))&amp;H17&amp;"_"&amp;I17&amp;"_"&amp;J17</f>
        <v>1N5_2_1</v>
      </c>
      <c r="F17" s="2">
        <v>1</v>
      </c>
      <c r="G17" s="2" t="s">
        <v>50</v>
      </c>
      <c r="H17" s="2">
        <v>5</v>
      </c>
      <c r="I17" s="2">
        <v>2</v>
      </c>
      <c r="J17" s="2">
        <v>1</v>
      </c>
    </row>
    <row r="18" spans="1:10">
      <c r="A18" s="21"/>
      <c r="B18" s="10">
        <f>70000000+F18*10000+H18*1000+I18*100+J18</f>
        <v>70015202</v>
      </c>
      <c r="C18" s="2" t="s">
        <v>63</v>
      </c>
      <c r="E18" s="2" t="str">
        <f>F18&amp;(VLOOKUP(G18,编号表!$E$1:$G$8,2,0))&amp;H18&amp;"_"&amp;I18&amp;"_"&amp;J18</f>
        <v>1N5_2_2</v>
      </c>
      <c r="F18" s="2">
        <v>1</v>
      </c>
      <c r="G18" s="2" t="s">
        <v>50</v>
      </c>
      <c r="H18" s="2">
        <v>5</v>
      </c>
      <c r="I18" s="2">
        <v>2</v>
      </c>
      <c r="J18" s="2">
        <v>2</v>
      </c>
    </row>
    <row r="19" spans="1:10">
      <c r="A19" s="21"/>
      <c r="B19" s="10">
        <f>70000000+F19*10000+H19*1000+I19*100+J19</f>
        <v>70015203</v>
      </c>
      <c r="C19" s="2" t="s">
        <v>64</v>
      </c>
      <c r="E19" s="2" t="str">
        <f>F19&amp;(VLOOKUP(G19,编号表!$E$1:$G$8,2,0))&amp;H19&amp;"_"&amp;I19&amp;"_"&amp;J19</f>
        <v>1N5_2_3</v>
      </c>
      <c r="F19" s="2">
        <v>1</v>
      </c>
      <c r="G19" s="2" t="s">
        <v>50</v>
      </c>
      <c r="H19" s="2">
        <v>5</v>
      </c>
      <c r="I19" s="2">
        <v>2</v>
      </c>
      <c r="J19" s="2">
        <f>COUNTIFS($F$5:F19,F19,$I$5:I19,I19)</f>
        <v>3</v>
      </c>
    </row>
    <row r="20" spans="1:10">
      <c r="A20" s="21"/>
      <c r="B20" s="10">
        <f>70000000+F20*10000+H20*1000+I20*100+J20</f>
        <v>70015204</v>
      </c>
      <c r="C20" s="2" t="s">
        <v>65</v>
      </c>
      <c r="E20" s="2" t="str">
        <f>F20&amp;(VLOOKUP(G20,编号表!$E$1:$G$8,2,0))&amp;H20&amp;"_"&amp;I20&amp;"_"&amp;J20</f>
        <v>1N5_2_4</v>
      </c>
      <c r="F20" s="2">
        <v>1</v>
      </c>
      <c r="G20" s="2" t="s">
        <v>50</v>
      </c>
      <c r="H20" s="2">
        <v>5</v>
      </c>
      <c r="I20" s="2">
        <v>2</v>
      </c>
      <c r="J20" s="2">
        <f>COUNTIFS($F$5:F20,F20,$I$5:I20,I20)</f>
        <v>4</v>
      </c>
    </row>
    <row r="21" spans="1:10">
      <c r="A21" s="21"/>
      <c r="B21" s="10">
        <f>70000000+F21*10000+H21*1000+I21*100+J21</f>
        <v>70015205</v>
      </c>
      <c r="C21" s="2" t="s">
        <v>66</v>
      </c>
      <c r="E21" s="2" t="str">
        <f>F21&amp;(VLOOKUP(G21,编号表!$E$1:$G$8,2,0))&amp;H21&amp;"_"&amp;I21&amp;"_"&amp;J21</f>
        <v>1N5_2_5</v>
      </c>
      <c r="F21" s="2">
        <v>1</v>
      </c>
      <c r="G21" s="2" t="s">
        <v>50</v>
      </c>
      <c r="H21" s="2">
        <v>5</v>
      </c>
      <c r="I21" s="2">
        <v>2</v>
      </c>
      <c r="J21" s="2">
        <f>COUNTIFS($F$5:F21,F21,$I$5:I21,I21)</f>
        <v>5</v>
      </c>
    </row>
    <row r="22" spans="1:10">
      <c r="A22" s="21"/>
      <c r="B22" s="10">
        <f>70000000+F22*10000+H22*1000+I22*100+J22</f>
        <v>70015206</v>
      </c>
      <c r="C22" s="2" t="s">
        <v>67</v>
      </c>
      <c r="E22" s="2" t="str">
        <f>F22&amp;(VLOOKUP(G22,编号表!$E$1:$G$8,2,0))&amp;H22&amp;"_"&amp;I22&amp;"_"&amp;J22</f>
        <v>1N5_2_6</v>
      </c>
      <c r="F22" s="2">
        <v>1</v>
      </c>
      <c r="G22" s="2" t="s">
        <v>50</v>
      </c>
      <c r="H22" s="2">
        <v>5</v>
      </c>
      <c r="I22" s="2">
        <v>2</v>
      </c>
      <c r="J22" s="2">
        <f>COUNTIFS($F$5:F22,F22,$I$5:I22,I22)</f>
        <v>6</v>
      </c>
    </row>
    <row r="23" spans="1:10">
      <c r="A23" s="21"/>
      <c r="B23" s="10">
        <f>70000000+F23*10000+H23*1000+I23*100+J23</f>
        <v>70015207</v>
      </c>
      <c r="C23" s="2" t="s">
        <v>68</v>
      </c>
      <c r="E23" s="2" t="str">
        <f>F23&amp;(VLOOKUP(G23,编号表!$E$1:$G$8,2,0))&amp;H23&amp;"_"&amp;I23&amp;"_"&amp;J23</f>
        <v>1N5_2_7</v>
      </c>
      <c r="F23" s="2">
        <v>1</v>
      </c>
      <c r="G23" s="2" t="s">
        <v>50</v>
      </c>
      <c r="H23" s="2">
        <v>5</v>
      </c>
      <c r="I23" s="2">
        <v>2</v>
      </c>
      <c r="J23" s="2">
        <f>COUNTIFS($F$5:F23,F23,$I$5:I23,I23)</f>
        <v>7</v>
      </c>
    </row>
    <row r="24" spans="1:10">
      <c r="A24" s="21"/>
      <c r="B24" s="10">
        <f t="shared" ref="B24:B29" si="0">70000000+F24*10000+H24*1000+I24*100+J24</f>
        <v>70015208</v>
      </c>
      <c r="C24" s="2" t="s">
        <v>69</v>
      </c>
      <c r="E24" s="2" t="str">
        <f>F24&amp;(VLOOKUP(G24,编号表!$E$1:$G$8,2,0))&amp;H24&amp;"_"&amp;I24&amp;"_"&amp;J24</f>
        <v>1N5_2_8</v>
      </c>
      <c r="F24" s="2">
        <v>1</v>
      </c>
      <c r="G24" s="2" t="s">
        <v>50</v>
      </c>
      <c r="H24" s="2">
        <v>5</v>
      </c>
      <c r="I24" s="2">
        <v>2</v>
      </c>
      <c r="J24" s="2">
        <f>COUNTIFS($F$5:F24,F24,$I$5:I24,I24)</f>
        <v>8</v>
      </c>
    </row>
    <row r="25" spans="1:10">
      <c r="A25" s="21"/>
      <c r="B25" s="10">
        <f t="shared" si="0"/>
        <v>70015209</v>
      </c>
      <c r="C25" s="2" t="s">
        <v>70</v>
      </c>
      <c r="E25" s="2" t="str">
        <f>F25&amp;(VLOOKUP(G25,编号表!$E$1:$G$8,2,0))&amp;H25&amp;"_"&amp;I25&amp;"_"&amp;J25</f>
        <v>1N5_2_9</v>
      </c>
      <c r="F25" s="2">
        <v>1</v>
      </c>
      <c r="G25" s="2" t="s">
        <v>50</v>
      </c>
      <c r="H25" s="2">
        <v>5</v>
      </c>
      <c r="I25" s="2">
        <v>2</v>
      </c>
      <c r="J25" s="2">
        <f>COUNTIFS($F$5:F25,F25,$I$5:I25,I25)</f>
        <v>9</v>
      </c>
    </row>
    <row r="26" spans="1:10">
      <c r="A26" s="21"/>
      <c r="B26" s="10">
        <f t="shared" si="0"/>
        <v>70015210</v>
      </c>
      <c r="C26" s="2" t="s">
        <v>71</v>
      </c>
      <c r="E26" s="2" t="str">
        <f>F26&amp;(VLOOKUP(G26,编号表!$E$1:$G$8,2,0))&amp;H26&amp;"_"&amp;I26&amp;"_"&amp;J26</f>
        <v>1N5_2_10</v>
      </c>
      <c r="F26" s="2">
        <v>1</v>
      </c>
      <c r="G26" s="2" t="s">
        <v>50</v>
      </c>
      <c r="H26" s="2">
        <v>5</v>
      </c>
      <c r="I26" s="2">
        <v>2</v>
      </c>
      <c r="J26" s="2">
        <f>COUNTIFS($F$5:F26,F26,$I$5:I26,I26)</f>
        <v>10</v>
      </c>
    </row>
    <row r="27" spans="1:10">
      <c r="A27" s="21"/>
      <c r="B27" s="10">
        <f t="shared" si="0"/>
        <v>70015211</v>
      </c>
      <c r="C27" s="2" t="s">
        <v>72</v>
      </c>
      <c r="E27" s="2" t="str">
        <f>F27&amp;(VLOOKUP(G27,编号表!$E$1:$G$8,2,0))&amp;H27&amp;"_"&amp;I27&amp;"_"&amp;J27</f>
        <v>1N5_2_11</v>
      </c>
      <c r="F27" s="2">
        <v>1</v>
      </c>
      <c r="G27" s="2" t="s">
        <v>50</v>
      </c>
      <c r="H27" s="2">
        <v>5</v>
      </c>
      <c r="I27" s="2">
        <v>2</v>
      </c>
      <c r="J27" s="2">
        <f>COUNTIFS($F$5:F27,F27,$I$5:I27,I27)</f>
        <v>11</v>
      </c>
    </row>
    <row r="28" spans="1:10">
      <c r="A28" s="21"/>
      <c r="B28" s="10">
        <f t="shared" si="0"/>
        <v>70015212</v>
      </c>
      <c r="C28" s="2" t="s">
        <v>73</v>
      </c>
      <c r="E28" s="2" t="str">
        <f>F28&amp;(VLOOKUP(G28,编号表!$E$1:$G$8,2,0))&amp;H28&amp;"_"&amp;I28&amp;"_"&amp;J28</f>
        <v>1N5_2_12</v>
      </c>
      <c r="F28" s="2">
        <v>1</v>
      </c>
      <c r="G28" s="2" t="s">
        <v>50</v>
      </c>
      <c r="H28" s="2">
        <v>5</v>
      </c>
      <c r="I28" s="2">
        <v>2</v>
      </c>
      <c r="J28" s="2">
        <f>COUNTIFS($F$5:F28,F28,$I$5:I28,I28)</f>
        <v>12</v>
      </c>
    </row>
    <row r="29" spans="1:10">
      <c r="A29" s="21"/>
      <c r="B29" s="10">
        <f t="shared" si="0"/>
        <v>70015213</v>
      </c>
      <c r="C29" s="2" t="s">
        <v>74</v>
      </c>
      <c r="E29" s="2" t="str">
        <f>F29&amp;(VLOOKUP(G29,编号表!$E$1:$G$8,2,0))&amp;H29&amp;"_"&amp;I29&amp;"_"&amp;J29</f>
        <v>1N5_2_13</v>
      </c>
      <c r="F29" s="2">
        <v>1</v>
      </c>
      <c r="G29" s="2" t="s">
        <v>50</v>
      </c>
      <c r="H29" s="2">
        <v>5</v>
      </c>
      <c r="I29" s="2">
        <v>2</v>
      </c>
      <c r="J29" s="2">
        <f>COUNTIFS($F$5:F29,F29,$I$5:I29,I29)</f>
        <v>13</v>
      </c>
    </row>
    <row r="30" spans="1:10">
      <c r="A30" s="21"/>
      <c r="B30" s="10">
        <f>70000000+F30*10000+H30*1000+I30*100+J30</f>
        <v>70015301</v>
      </c>
      <c r="C30" s="2" t="s">
        <v>75</v>
      </c>
      <c r="E30" s="2" t="str">
        <f>F30&amp;(VLOOKUP(G30,编号表!$E$1:$G$8,2,0))&amp;H30&amp;"_"&amp;I30&amp;"_"&amp;J30</f>
        <v>1N5_3_1</v>
      </c>
      <c r="F30" s="2">
        <v>1</v>
      </c>
      <c r="G30" s="2" t="s">
        <v>50</v>
      </c>
      <c r="H30" s="2">
        <v>5</v>
      </c>
      <c r="I30" s="2">
        <v>3</v>
      </c>
      <c r="J30" s="2">
        <v>1</v>
      </c>
    </row>
    <row r="31" spans="1:10">
      <c r="A31" s="21"/>
      <c r="B31" s="10">
        <f>70000000+F31*10000+H31*1000+I31*100+J31</f>
        <v>70015302</v>
      </c>
      <c r="C31" s="2" t="s">
        <v>76</v>
      </c>
      <c r="E31" s="2" t="str">
        <f>F31&amp;(VLOOKUP(G31,编号表!$E$1:$G$8,2,0))&amp;H31&amp;"_"&amp;I31&amp;"_"&amp;J31</f>
        <v>1N5_3_2</v>
      </c>
      <c r="F31" s="2">
        <v>1</v>
      </c>
      <c r="G31" s="2" t="s">
        <v>50</v>
      </c>
      <c r="H31" s="2">
        <v>5</v>
      </c>
      <c r="I31" s="2">
        <v>3</v>
      </c>
      <c r="J31" s="2">
        <v>2</v>
      </c>
    </row>
    <row r="32" spans="1:10">
      <c r="A32" s="21"/>
      <c r="B32" s="10">
        <f>70000000+F32*10000+H32*1000+I32*100+J32</f>
        <v>70015303</v>
      </c>
      <c r="C32" s="2" t="s">
        <v>77</v>
      </c>
      <c r="E32" s="2" t="str">
        <f>F32&amp;(VLOOKUP(G32,编号表!$E$1:$G$8,2,0))&amp;H32&amp;"_"&amp;I32&amp;"_"&amp;J32</f>
        <v>1N5_3_3</v>
      </c>
      <c r="F32" s="2">
        <v>1</v>
      </c>
      <c r="G32" s="2" t="s">
        <v>50</v>
      </c>
      <c r="H32" s="2">
        <v>5</v>
      </c>
      <c r="I32" s="2">
        <v>3</v>
      </c>
      <c r="J32" s="2">
        <v>3</v>
      </c>
    </row>
    <row r="33" spans="1:10">
      <c r="A33" s="21"/>
      <c r="B33" s="10">
        <f>70000000+F33*10000+H33*1000+I33*100+J33</f>
        <v>70015304</v>
      </c>
      <c r="C33" s="2" t="s">
        <v>78</v>
      </c>
      <c r="E33" s="2" t="str">
        <f>F33&amp;(VLOOKUP(G33,编号表!$E$1:$G$8,2,0))&amp;H33&amp;"_"&amp;I33&amp;"_"&amp;J33</f>
        <v>1N5_3_4</v>
      </c>
      <c r="F33" s="2">
        <v>1</v>
      </c>
      <c r="G33" s="2" t="s">
        <v>50</v>
      </c>
      <c r="H33" s="2">
        <v>5</v>
      </c>
      <c r="I33" s="2">
        <v>3</v>
      </c>
      <c r="J33" s="2">
        <v>4</v>
      </c>
    </row>
    <row r="34" spans="1:10">
      <c r="A34" s="21"/>
      <c r="B34" s="10">
        <f>70000000+F34*10000+H34*1000+I34*100+J34</f>
        <v>70015401</v>
      </c>
      <c r="C34" s="2" t="s">
        <v>79</v>
      </c>
      <c r="E34" s="2" t="str">
        <f>F34&amp;(VLOOKUP(G34,编号表!$E$1:$G$8,2,0))&amp;H34&amp;"_"&amp;I34&amp;"_"&amp;J34</f>
        <v>1N5_4_1</v>
      </c>
      <c r="F34" s="2">
        <v>1</v>
      </c>
      <c r="G34" s="2" t="s">
        <v>50</v>
      </c>
      <c r="H34" s="2">
        <v>5</v>
      </c>
      <c r="I34" s="2">
        <v>4</v>
      </c>
      <c r="J34" s="2">
        <v>1</v>
      </c>
    </row>
    <row r="35" spans="1:10">
      <c r="A35" s="21"/>
      <c r="B35" s="10">
        <f>70000000+F35*10000+H35*1000+I35*100+J35</f>
        <v>70015402</v>
      </c>
      <c r="C35" s="2" t="s">
        <v>80</v>
      </c>
      <c r="E35" s="2" t="str">
        <f>F35&amp;(VLOOKUP(G35,编号表!$E$1:$G$8,2,0))&amp;H35&amp;"_"&amp;I35&amp;"_"&amp;J35</f>
        <v>1N5_4_2</v>
      </c>
      <c r="F35" s="2">
        <v>1</v>
      </c>
      <c r="G35" s="2" t="s">
        <v>50</v>
      </c>
      <c r="H35" s="2">
        <v>5</v>
      </c>
      <c r="I35" s="2">
        <v>4</v>
      </c>
      <c r="J35" s="2">
        <v>2</v>
      </c>
    </row>
    <row r="36" spans="1:10">
      <c r="A36" s="21"/>
      <c r="B36" s="10">
        <f t="shared" ref="B36:B41" si="1">70000000+F36*10000+H36*1000+I36*100+J36</f>
        <v>70015403</v>
      </c>
      <c r="C36" s="2" t="s">
        <v>81</v>
      </c>
      <c r="E36" s="2" t="str">
        <f>F36&amp;(VLOOKUP(G36,编号表!$E$1:$G$8,2,0))&amp;H36&amp;"_"&amp;I36&amp;"_"&amp;J36</f>
        <v>1N5_4_3</v>
      </c>
      <c r="F36" s="2">
        <v>1</v>
      </c>
      <c r="G36" s="2" t="s">
        <v>50</v>
      </c>
      <c r="H36" s="2">
        <v>5</v>
      </c>
      <c r="I36" s="2">
        <v>4</v>
      </c>
      <c r="J36" s="2">
        <v>3</v>
      </c>
    </row>
    <row r="37" spans="1:10">
      <c r="A37" s="21"/>
      <c r="B37" s="10">
        <f t="shared" si="1"/>
        <v>70015404</v>
      </c>
      <c r="C37" s="2" t="s">
        <v>82</v>
      </c>
      <c r="E37" s="2" t="str">
        <f>F37&amp;(VLOOKUP(G37,编号表!$E$1:$G$8,2,0))&amp;H37&amp;"_"&amp;I37&amp;"_"&amp;J37</f>
        <v>1N5_4_4</v>
      </c>
      <c r="F37" s="2">
        <v>1</v>
      </c>
      <c r="G37" s="2" t="s">
        <v>50</v>
      </c>
      <c r="H37" s="2">
        <v>5</v>
      </c>
      <c r="I37" s="2">
        <v>4</v>
      </c>
      <c r="J37" s="2">
        <v>4</v>
      </c>
    </row>
    <row r="38" spans="1:10">
      <c r="A38" s="21"/>
      <c r="B38" s="10">
        <f t="shared" si="1"/>
        <v>70015405</v>
      </c>
      <c r="C38" s="2" t="s">
        <v>83</v>
      </c>
      <c r="E38" s="2" t="str">
        <f>F38&amp;(VLOOKUP(G38,编号表!$E$1:$G$8,2,0))&amp;H38&amp;"_"&amp;I38&amp;"_"&amp;J38</f>
        <v>1N5_4_5</v>
      </c>
      <c r="F38" s="2">
        <v>1</v>
      </c>
      <c r="G38" s="2" t="s">
        <v>50</v>
      </c>
      <c r="H38" s="2">
        <v>5</v>
      </c>
      <c r="I38" s="2">
        <v>4</v>
      </c>
      <c r="J38" s="2">
        <v>5</v>
      </c>
    </row>
    <row r="39" spans="1:10">
      <c r="A39" s="21"/>
      <c r="B39" s="10">
        <f t="shared" si="1"/>
        <v>70015406</v>
      </c>
      <c r="C39" s="2" t="s">
        <v>84</v>
      </c>
      <c r="E39" s="2" t="str">
        <f>F39&amp;(VLOOKUP(G39,编号表!$E$1:$G$8,2,0))&amp;H39&amp;"_"&amp;I39&amp;"_"&amp;J39</f>
        <v>1N5_4_6</v>
      </c>
      <c r="F39" s="2">
        <v>1</v>
      </c>
      <c r="G39" s="2" t="s">
        <v>50</v>
      </c>
      <c r="H39" s="2">
        <v>5</v>
      </c>
      <c r="I39" s="2">
        <v>4</v>
      </c>
      <c r="J39" s="2">
        <v>6</v>
      </c>
    </row>
    <row r="40" spans="1:10">
      <c r="A40" s="21"/>
      <c r="B40" s="10">
        <f t="shared" si="1"/>
        <v>70015407</v>
      </c>
      <c r="C40" s="2" t="s">
        <v>85</v>
      </c>
      <c r="E40" s="2" t="str">
        <f>F40&amp;(VLOOKUP(G40,编号表!$E$1:$G$8,2,0))&amp;H40&amp;"_"&amp;I40&amp;"_"&amp;J40</f>
        <v>1N5_4_7</v>
      </c>
      <c r="F40" s="2">
        <v>1</v>
      </c>
      <c r="G40" s="2" t="s">
        <v>50</v>
      </c>
      <c r="H40" s="2">
        <v>5</v>
      </c>
      <c r="I40" s="2">
        <v>4</v>
      </c>
      <c r="J40" s="2">
        <v>7</v>
      </c>
    </row>
    <row r="41" spans="1:10">
      <c r="A41" s="21"/>
      <c r="B41" s="10">
        <f t="shared" si="1"/>
        <v>70015408</v>
      </c>
      <c r="C41" s="2" t="s">
        <v>86</v>
      </c>
      <c r="E41" s="2" t="str">
        <f>F41&amp;(VLOOKUP(G41,编号表!$E$1:$G$8,2,0))&amp;H41&amp;"_"&amp;I41&amp;"_"&amp;J41</f>
        <v>1N5_4_8</v>
      </c>
      <c r="F41" s="2">
        <v>1</v>
      </c>
      <c r="G41" s="2" t="s">
        <v>50</v>
      </c>
      <c r="H41" s="2">
        <v>5</v>
      </c>
      <c r="I41" s="2">
        <v>4</v>
      </c>
      <c r="J41" s="2">
        <v>8</v>
      </c>
    </row>
    <row r="42" spans="1:10">
      <c r="A42" s="21"/>
      <c r="B42" s="10">
        <f>70000000+F42*10000+H42*1000+I42*100+J42</f>
        <v>70015501</v>
      </c>
      <c r="C42" s="2" t="s">
        <v>87</v>
      </c>
      <c r="E42" s="2" t="str">
        <f>F42&amp;(VLOOKUP(G42,编号表!$E$1:$G$8,2,0))&amp;H42&amp;"_"&amp;I42&amp;"_"&amp;J42</f>
        <v>1N5_5_1</v>
      </c>
      <c r="F42" s="2">
        <v>1</v>
      </c>
      <c r="G42" s="2" t="s">
        <v>50</v>
      </c>
      <c r="H42" s="2">
        <v>5</v>
      </c>
      <c r="I42" s="2">
        <v>5</v>
      </c>
      <c r="J42" s="2">
        <v>1</v>
      </c>
    </row>
    <row r="43" spans="1:10">
      <c r="A43" s="21"/>
      <c r="B43" s="10">
        <f>70000000+F43*10000+H43*1000+I43*100+J43</f>
        <v>70015502</v>
      </c>
      <c r="C43" s="2" t="s">
        <v>88</v>
      </c>
      <c r="E43" s="2" t="str">
        <f>F43&amp;(VLOOKUP(G43,编号表!$E$1:$G$8,2,0))&amp;H43&amp;"_"&amp;I43&amp;"_"&amp;J43</f>
        <v>1N5_5_2</v>
      </c>
      <c r="F43" s="2">
        <v>1</v>
      </c>
      <c r="G43" s="2" t="s">
        <v>50</v>
      </c>
      <c r="H43" s="2">
        <v>5</v>
      </c>
      <c r="I43" s="2">
        <v>5</v>
      </c>
      <c r="J43" s="2">
        <v>2</v>
      </c>
    </row>
    <row r="44" spans="1:10">
      <c r="A44" s="21"/>
      <c r="B44" s="10">
        <f>70000000+F44*10000+H44*1000+I44*100+J44</f>
        <v>70015503</v>
      </c>
      <c r="C44" s="2" t="s">
        <v>89</v>
      </c>
      <c r="E44" s="2" t="str">
        <f>F44&amp;(VLOOKUP(G44,编号表!$E$1:$G$8,2,0))&amp;H44&amp;"_"&amp;I44&amp;"_"&amp;J44</f>
        <v>1N5_5_3</v>
      </c>
      <c r="F44" s="2">
        <v>1</v>
      </c>
      <c r="G44" s="2" t="s">
        <v>50</v>
      </c>
      <c r="H44" s="2">
        <v>5</v>
      </c>
      <c r="I44" s="2">
        <v>5</v>
      </c>
      <c r="J44" s="2">
        <v>3</v>
      </c>
    </row>
    <row r="45" spans="1:10">
      <c r="A45" s="21"/>
      <c r="B45" s="10">
        <f>70000000+F45*10000+H45*1000+I45*100+J45</f>
        <v>70015504</v>
      </c>
      <c r="C45" s="2" t="s">
        <v>90</v>
      </c>
      <c r="E45" s="2" t="str">
        <f>F45&amp;(VLOOKUP(G45,编号表!$E$1:$G$8,2,0))&amp;H45&amp;"_"&amp;I45&amp;"_"&amp;J45</f>
        <v>1N5_5_4</v>
      </c>
      <c r="F45" s="2">
        <v>1</v>
      </c>
      <c r="G45" s="2" t="s">
        <v>50</v>
      </c>
      <c r="H45" s="2">
        <v>5</v>
      </c>
      <c r="I45" s="2">
        <v>5</v>
      </c>
      <c r="J45" s="2">
        <v>4</v>
      </c>
    </row>
    <row r="46" spans="1:10">
      <c r="A46" s="21"/>
      <c r="B46" s="10">
        <f>70000000+F46*10000+H46*1000+I46*100+J46</f>
        <v>70015505</v>
      </c>
      <c r="C46" s="2" t="s">
        <v>91</v>
      </c>
      <c r="E46" s="2" t="str">
        <f>F46&amp;(VLOOKUP(G46,编号表!$E$1:$G$8,2,0))&amp;H46&amp;"_"&amp;I46&amp;"_"&amp;J46</f>
        <v>1N5_5_5</v>
      </c>
      <c r="F46" s="2">
        <v>1</v>
      </c>
      <c r="G46" s="2" t="s">
        <v>50</v>
      </c>
      <c r="H46" s="2">
        <v>5</v>
      </c>
      <c r="I46" s="2">
        <v>5</v>
      </c>
      <c r="J46" s="2">
        <v>5</v>
      </c>
    </row>
    <row r="47" spans="1:10">
      <c r="A47" s="21"/>
      <c r="B47" s="10">
        <f>70000000+F47*10000+H47*1000+I47*100+J47</f>
        <v>70015506</v>
      </c>
      <c r="C47" s="2" t="s">
        <v>92</v>
      </c>
      <c r="E47" s="2" t="str">
        <f>F47&amp;(VLOOKUP(G47,编号表!$E$1:$G$8,2,0))&amp;H47&amp;"_"&amp;I47&amp;"_"&amp;J47</f>
        <v>1N5_5_6</v>
      </c>
      <c r="F47" s="2">
        <v>1</v>
      </c>
      <c r="G47" s="2" t="s">
        <v>50</v>
      </c>
      <c r="H47" s="2">
        <v>5</v>
      </c>
      <c r="I47" s="2">
        <v>5</v>
      </c>
      <c r="J47" s="2">
        <v>6</v>
      </c>
    </row>
    <row r="48" ht="13" customHeight="1" spans="1:10">
      <c r="A48" s="21"/>
      <c r="B48" s="10">
        <f t="shared" ref="B48:B58" si="2">70000000+F48*10000+H48*1000+I48*100+J48</f>
        <v>70015601</v>
      </c>
      <c r="C48" s="2" t="s">
        <v>93</v>
      </c>
      <c r="E48" s="2" t="str">
        <f>F48&amp;(VLOOKUP(G48,编号表!$E$1:$G$8,2,0))&amp;H48&amp;"_"&amp;I48&amp;"_"&amp;J48</f>
        <v>1N5_6_1</v>
      </c>
      <c r="F48" s="2">
        <v>1</v>
      </c>
      <c r="G48" s="2" t="s">
        <v>50</v>
      </c>
      <c r="H48" s="2">
        <v>5</v>
      </c>
      <c r="I48" s="2">
        <v>6</v>
      </c>
      <c r="J48" s="2">
        <v>1</v>
      </c>
    </row>
    <row r="49" ht="13" customHeight="1" spans="1:10">
      <c r="A49" s="21"/>
      <c r="B49" s="10">
        <f t="shared" si="2"/>
        <v>70015602</v>
      </c>
      <c r="C49" s="2" t="s">
        <v>94</v>
      </c>
      <c r="E49" s="2" t="str">
        <f>F49&amp;(VLOOKUP(G49,编号表!$E$1:$G$8,2,0))&amp;H49&amp;"_"&amp;I49&amp;"_"&amp;J49</f>
        <v>1N5_6_2</v>
      </c>
      <c r="F49" s="2">
        <v>1</v>
      </c>
      <c r="G49" s="2" t="s">
        <v>50</v>
      </c>
      <c r="H49" s="2">
        <v>5</v>
      </c>
      <c r="I49" s="2">
        <v>6</v>
      </c>
      <c r="J49" s="2">
        <v>2</v>
      </c>
    </row>
    <row r="50" ht="13" customHeight="1" spans="1:10">
      <c r="A50" s="21"/>
      <c r="B50" s="10">
        <f t="shared" si="2"/>
        <v>70015603</v>
      </c>
      <c r="C50" s="2" t="s">
        <v>95</v>
      </c>
      <c r="E50" s="2" t="str">
        <f>F50&amp;(VLOOKUP(G50,编号表!$E$1:$G$8,2,0))&amp;H50&amp;"_"&amp;I50&amp;"_"&amp;J50</f>
        <v>1N5_6_3</v>
      </c>
      <c r="F50" s="2">
        <v>1</v>
      </c>
      <c r="G50" s="2" t="s">
        <v>50</v>
      </c>
      <c r="H50" s="2">
        <v>5</v>
      </c>
      <c r="I50" s="2">
        <v>6</v>
      </c>
      <c r="J50" s="2">
        <v>3</v>
      </c>
    </row>
    <row r="51" ht="13" customHeight="1" spans="1:10">
      <c r="A51" s="21"/>
      <c r="B51" s="10">
        <f t="shared" si="2"/>
        <v>70015604</v>
      </c>
      <c r="C51" s="2" t="s">
        <v>96</v>
      </c>
      <c r="E51" s="2" t="str">
        <f>F51&amp;(VLOOKUP(G51,编号表!$E$1:$G$8,2,0))&amp;H51&amp;"_"&amp;I51&amp;"_"&amp;J51</f>
        <v>1N5_6_4</v>
      </c>
      <c r="F51" s="2">
        <v>1</v>
      </c>
      <c r="G51" s="2" t="s">
        <v>50</v>
      </c>
      <c r="H51" s="2">
        <v>5</v>
      </c>
      <c r="I51" s="2">
        <v>6</v>
      </c>
      <c r="J51" s="2">
        <v>4</v>
      </c>
    </row>
    <row r="52" ht="12" customHeight="1" spans="1:10">
      <c r="A52" s="21"/>
      <c r="B52" s="10">
        <f t="shared" si="2"/>
        <v>70015605</v>
      </c>
      <c r="C52" s="2" t="s">
        <v>97</v>
      </c>
      <c r="E52" s="2" t="str">
        <f>F52&amp;(VLOOKUP(G52,编号表!$E$1:$G$8,2,0))&amp;H52&amp;"_"&amp;I52&amp;"_"&amp;J52</f>
        <v>1N5_6_5</v>
      </c>
      <c r="F52" s="2">
        <v>1</v>
      </c>
      <c r="G52" s="2" t="s">
        <v>50</v>
      </c>
      <c r="H52" s="2">
        <v>5</v>
      </c>
      <c r="I52" s="2">
        <v>6</v>
      </c>
      <c r="J52" s="2">
        <v>5</v>
      </c>
    </row>
    <row r="53" ht="12" customHeight="1" spans="1:10">
      <c r="A53" s="21"/>
      <c r="B53" s="10">
        <f t="shared" si="2"/>
        <v>70015606</v>
      </c>
      <c r="C53" s="2" t="s">
        <v>98</v>
      </c>
      <c r="E53" s="2" t="str">
        <f>F53&amp;(VLOOKUP(G53,编号表!$E$1:$G$8,2,0))&amp;H53&amp;"_"&amp;I53&amp;"_"&amp;J53</f>
        <v>1N5_6_6</v>
      </c>
      <c r="F53" s="2">
        <v>1</v>
      </c>
      <c r="G53" s="2" t="s">
        <v>50</v>
      </c>
      <c r="H53" s="2">
        <v>5</v>
      </c>
      <c r="I53" s="2">
        <v>6</v>
      </c>
      <c r="J53" s="2">
        <v>6</v>
      </c>
    </row>
    <row r="54" ht="12" customHeight="1" spans="1:10">
      <c r="A54" s="21"/>
      <c r="B54" s="10">
        <f t="shared" si="2"/>
        <v>70015607</v>
      </c>
      <c r="C54" s="2" t="s">
        <v>99</v>
      </c>
      <c r="E54" s="2" t="str">
        <f>F54&amp;(VLOOKUP(G54,编号表!$E$1:$G$8,2,0))&amp;H54&amp;"_"&amp;I54&amp;"_"&amp;J54</f>
        <v>1N5_6_7</v>
      </c>
      <c r="F54" s="2">
        <v>1</v>
      </c>
      <c r="G54" s="2" t="s">
        <v>50</v>
      </c>
      <c r="H54" s="2">
        <v>5</v>
      </c>
      <c r="I54" s="2">
        <v>6</v>
      </c>
      <c r="J54" s="2">
        <v>7</v>
      </c>
    </row>
    <row r="55" ht="12" customHeight="1" spans="1:10">
      <c r="A55" s="21" t="s">
        <v>100</v>
      </c>
      <c r="B55" s="10">
        <f>70000000+F55*10000+H55*1000+I55*100+J55</f>
        <v>70015701</v>
      </c>
      <c r="C55" s="2" t="s">
        <v>101</v>
      </c>
      <c r="E55" s="2" t="str">
        <f>F55&amp;(VLOOKUP(G55,编号表!$E$1:$G$8,2,0))&amp;H55&amp;"_"&amp;I55&amp;"_"&amp;J55</f>
        <v>1N5_7_1</v>
      </c>
      <c r="F55" s="2">
        <v>1</v>
      </c>
      <c r="G55" s="2" t="s">
        <v>50</v>
      </c>
      <c r="H55" s="2">
        <v>5</v>
      </c>
      <c r="I55" s="2">
        <v>7</v>
      </c>
      <c r="J55" s="2">
        <v>1</v>
      </c>
    </row>
    <row r="56" ht="12" customHeight="1" spans="1:10">
      <c r="A56" s="21" t="s">
        <v>100</v>
      </c>
      <c r="B56" s="10">
        <f>70000000+F56*10000+H56*1000+I56*100+J56</f>
        <v>70015702</v>
      </c>
      <c r="C56" s="2" t="s">
        <v>102</v>
      </c>
      <c r="E56" s="2" t="str">
        <f>F56&amp;(VLOOKUP(G56,编号表!$E$1:$G$8,2,0))&amp;H56&amp;"_"&amp;I56&amp;"_"&amp;J56</f>
        <v>1N5_7_2</v>
      </c>
      <c r="F56" s="2">
        <v>1</v>
      </c>
      <c r="G56" s="2" t="s">
        <v>50</v>
      </c>
      <c r="H56" s="2">
        <v>5</v>
      </c>
      <c r="I56" s="2">
        <v>7</v>
      </c>
      <c r="J56" s="2">
        <v>2</v>
      </c>
    </row>
    <row r="57" ht="12" customHeight="1" spans="1:10">
      <c r="A57" s="21" t="s">
        <v>100</v>
      </c>
      <c r="B57" s="10">
        <f>70000000+F57*10000+H57*1000+I57*100+J57</f>
        <v>70015703</v>
      </c>
      <c r="C57" s="2" t="s">
        <v>103</v>
      </c>
      <c r="E57" s="2" t="str">
        <f>F57&amp;(VLOOKUP(G57,编号表!$E$1:$G$8,2,0))&amp;H57&amp;"_"&amp;I57&amp;"_"&amp;J57</f>
        <v>1N5_7_3</v>
      </c>
      <c r="F57" s="2">
        <v>1</v>
      </c>
      <c r="G57" s="2" t="s">
        <v>50</v>
      </c>
      <c r="H57" s="2">
        <v>5</v>
      </c>
      <c r="I57" s="2">
        <v>7</v>
      </c>
      <c r="J57" s="2">
        <v>3</v>
      </c>
    </row>
    <row r="58" ht="12" customHeight="1" spans="1:10">
      <c r="A58" s="21" t="s">
        <v>100</v>
      </c>
      <c r="B58" s="10">
        <f>70000000+F58*10000+H58*1000+I58*100+J58</f>
        <v>70015704</v>
      </c>
      <c r="C58" s="2" t="s">
        <v>104</v>
      </c>
      <c r="E58" s="2" t="str">
        <f>F58&amp;(VLOOKUP(G58,编号表!$E$1:$G$8,2,0))&amp;H58&amp;"_"&amp;I58&amp;"_"&amp;J58</f>
        <v>1N5_7_4</v>
      </c>
      <c r="F58" s="2">
        <v>1</v>
      </c>
      <c r="G58" s="2" t="s">
        <v>50</v>
      </c>
      <c r="H58" s="2">
        <v>5</v>
      </c>
      <c r="I58" s="2">
        <v>7</v>
      </c>
      <c r="J58" s="2">
        <v>4</v>
      </c>
    </row>
    <row r="59" ht="12" customHeight="1" spans="1:10">
      <c r="A59" s="21" t="s">
        <v>100</v>
      </c>
      <c r="B59" s="10">
        <f t="shared" ref="B59:B68" si="3">70000000+F59*10000+H59*1000+I59*100+J59</f>
        <v>70015705</v>
      </c>
      <c r="C59" s="2" t="s">
        <v>105</v>
      </c>
      <c r="E59" s="2" t="str">
        <f>F59&amp;(VLOOKUP(G59,编号表!$E$1:$G$8,2,0))&amp;H59&amp;"_"&amp;I59&amp;"_"&amp;J59</f>
        <v>1N5_7_5</v>
      </c>
      <c r="F59" s="2">
        <v>1</v>
      </c>
      <c r="G59" s="2" t="s">
        <v>50</v>
      </c>
      <c r="H59" s="2">
        <v>5</v>
      </c>
      <c r="I59" s="2">
        <v>7</v>
      </c>
      <c r="J59" s="2">
        <v>5</v>
      </c>
    </row>
    <row r="60" ht="12" customHeight="1" spans="1:10">
      <c r="A60" s="21" t="s">
        <v>100</v>
      </c>
      <c r="B60" s="10">
        <f t="shared" si="3"/>
        <v>70015706</v>
      </c>
      <c r="C60" s="2" t="s">
        <v>106</v>
      </c>
      <c r="E60" s="2" t="str">
        <f>F60&amp;(VLOOKUP(G60,编号表!$E$1:$G$8,2,0))&amp;H60&amp;"_"&amp;I60&amp;"_"&amp;J60</f>
        <v>1N5_7_6</v>
      </c>
      <c r="F60" s="2">
        <v>1</v>
      </c>
      <c r="G60" s="2" t="s">
        <v>50</v>
      </c>
      <c r="H60" s="2">
        <v>5</v>
      </c>
      <c r="I60" s="2">
        <v>7</v>
      </c>
      <c r="J60" s="2">
        <v>6</v>
      </c>
    </row>
    <row r="61" ht="12" customHeight="1" spans="1:10">
      <c r="A61" s="21" t="s">
        <v>100</v>
      </c>
      <c r="B61" s="10">
        <f t="shared" si="3"/>
        <v>70015707</v>
      </c>
      <c r="C61" s="2" t="s">
        <v>107</v>
      </c>
      <c r="E61" s="2" t="str">
        <f>F61&amp;(VLOOKUP(G61,编号表!$E$1:$G$8,2,0))&amp;H61&amp;"_"&amp;I61&amp;"_"&amp;J61</f>
        <v>1N5_7_7</v>
      </c>
      <c r="F61" s="2">
        <v>1</v>
      </c>
      <c r="G61" s="2" t="s">
        <v>50</v>
      </c>
      <c r="H61" s="2">
        <v>5</v>
      </c>
      <c r="I61" s="2">
        <v>7</v>
      </c>
      <c r="J61" s="2">
        <v>7</v>
      </c>
    </row>
    <row r="62" ht="12" customHeight="1" spans="1:10">
      <c r="A62" s="21" t="s">
        <v>100</v>
      </c>
      <c r="B62" s="10">
        <f t="shared" si="3"/>
        <v>70015708</v>
      </c>
      <c r="C62" s="2" t="s">
        <v>108</v>
      </c>
      <c r="E62" s="2" t="str">
        <f>F62&amp;(VLOOKUP(G62,编号表!$E$1:$G$8,2,0))&amp;H62&amp;"_"&amp;I62&amp;"_"&amp;J62</f>
        <v>1N5_7_8</v>
      </c>
      <c r="F62" s="2">
        <v>1</v>
      </c>
      <c r="G62" s="2" t="s">
        <v>50</v>
      </c>
      <c r="H62" s="2">
        <v>5</v>
      </c>
      <c r="I62" s="2">
        <v>7</v>
      </c>
      <c r="J62" s="2">
        <v>8</v>
      </c>
    </row>
    <row r="63" ht="12" customHeight="1" spans="1:10">
      <c r="A63" s="21" t="s">
        <v>100</v>
      </c>
      <c r="B63" s="10">
        <f t="shared" si="3"/>
        <v>70015709</v>
      </c>
      <c r="C63" s="2" t="s">
        <v>109</v>
      </c>
      <c r="E63" s="2" t="str">
        <f>F63&amp;(VLOOKUP(G63,编号表!$E$1:$G$8,2,0))&amp;H63&amp;"_"&amp;I63&amp;"_"&amp;J63</f>
        <v>1N5_7_9</v>
      </c>
      <c r="F63" s="2">
        <v>1</v>
      </c>
      <c r="G63" s="2" t="s">
        <v>50</v>
      </c>
      <c r="H63" s="2">
        <v>5</v>
      </c>
      <c r="I63" s="2">
        <v>7</v>
      </c>
      <c r="J63" s="2">
        <v>9</v>
      </c>
    </row>
    <row r="64" ht="12" customHeight="1" spans="1:10">
      <c r="A64" s="21" t="s">
        <v>100</v>
      </c>
      <c r="B64" s="10">
        <f t="shared" si="3"/>
        <v>70015710</v>
      </c>
      <c r="C64" s="2" t="s">
        <v>110</v>
      </c>
      <c r="E64" s="2" t="str">
        <f>F64&amp;(VLOOKUP(G64,编号表!$E$1:$G$8,2,0))&amp;H64&amp;"_"&amp;I64&amp;"_"&amp;J64</f>
        <v>1N5_7_10</v>
      </c>
      <c r="F64" s="2">
        <v>1</v>
      </c>
      <c r="G64" s="2" t="s">
        <v>50</v>
      </c>
      <c r="H64" s="2">
        <v>5</v>
      </c>
      <c r="I64" s="2">
        <v>7</v>
      </c>
      <c r="J64" s="2">
        <v>10</v>
      </c>
    </row>
    <row r="65" ht="12" customHeight="1" spans="1:10">
      <c r="A65" s="21" t="s">
        <v>100</v>
      </c>
      <c r="B65" s="10">
        <f t="shared" si="3"/>
        <v>70015711</v>
      </c>
      <c r="C65" s="2" t="s">
        <v>111</v>
      </c>
      <c r="E65" s="2" t="str">
        <f>F65&amp;(VLOOKUP(G65,编号表!$E$1:$G$8,2,0))&amp;H65&amp;"_"&amp;I65&amp;"_"&amp;J65</f>
        <v>1N5_7_11</v>
      </c>
      <c r="F65" s="2">
        <v>1</v>
      </c>
      <c r="G65" s="2" t="s">
        <v>50</v>
      </c>
      <c r="H65" s="2">
        <v>5</v>
      </c>
      <c r="I65" s="2">
        <v>7</v>
      </c>
      <c r="J65" s="2">
        <v>11</v>
      </c>
    </row>
    <row r="66" ht="12" customHeight="1" spans="1:10">
      <c r="A66" s="21" t="s">
        <v>100</v>
      </c>
      <c r="B66" s="10">
        <f t="shared" si="3"/>
        <v>70015712</v>
      </c>
      <c r="C66" s="2" t="s">
        <v>112</v>
      </c>
      <c r="E66" s="2" t="str">
        <f>F66&amp;(VLOOKUP(G66,编号表!$E$1:$G$8,2,0))&amp;H66&amp;"_"&amp;I66&amp;"_"&amp;J66</f>
        <v>1N5_7_12</v>
      </c>
      <c r="F66" s="2">
        <v>1</v>
      </c>
      <c r="G66" s="2" t="s">
        <v>50</v>
      </c>
      <c r="H66" s="2">
        <v>5</v>
      </c>
      <c r="I66" s="2">
        <v>7</v>
      </c>
      <c r="J66" s="2">
        <v>12</v>
      </c>
    </row>
    <row r="67" ht="12" customHeight="1" spans="1:10">
      <c r="A67" s="21" t="s">
        <v>100</v>
      </c>
      <c r="B67" s="10">
        <f t="shared" si="3"/>
        <v>70015713</v>
      </c>
      <c r="C67" s="2" t="s">
        <v>113</v>
      </c>
      <c r="E67" s="2" t="str">
        <f>F67&amp;(VLOOKUP(G67,编号表!$E$1:$G$8,2,0))&amp;H67&amp;"_"&amp;I67&amp;"_"&amp;J67</f>
        <v>1N5_7_13</v>
      </c>
      <c r="F67" s="2">
        <v>1</v>
      </c>
      <c r="G67" s="2" t="s">
        <v>50</v>
      </c>
      <c r="H67" s="2">
        <v>5</v>
      </c>
      <c r="I67" s="2">
        <v>7</v>
      </c>
      <c r="J67" s="2">
        <v>13</v>
      </c>
    </row>
    <row r="68" ht="12" customHeight="1" spans="1:10">
      <c r="A68" s="21" t="s">
        <v>100</v>
      </c>
      <c r="B68" s="10">
        <f t="shared" si="3"/>
        <v>70015714</v>
      </c>
      <c r="C68" s="2" t="s">
        <v>114</v>
      </c>
      <c r="E68" s="2" t="str">
        <f>F68&amp;(VLOOKUP(G68,编号表!$E$1:$G$8,2,0))&amp;H68&amp;"_"&amp;I68&amp;"_"&amp;J68</f>
        <v>1N5_7_14</v>
      </c>
      <c r="F68" s="2">
        <v>1</v>
      </c>
      <c r="G68" s="2" t="s">
        <v>50</v>
      </c>
      <c r="H68" s="2">
        <v>5</v>
      </c>
      <c r="I68" s="2">
        <v>7</v>
      </c>
      <c r="J68" s="2">
        <v>14</v>
      </c>
    </row>
    <row r="69" ht="11" customHeight="1" spans="1:10">
      <c r="A69" s="21" t="s">
        <v>100</v>
      </c>
      <c r="B69" s="10">
        <f>70000000+F69*10000+H69*1000+I69*100+J69</f>
        <v>70015801</v>
      </c>
      <c r="C69" s="2" t="s">
        <v>115</v>
      </c>
      <c r="E69" s="2" t="str">
        <f>F69&amp;(VLOOKUP(G69,编号表!$E$1:$G$8,2,0))&amp;H69&amp;"_"&amp;I69&amp;"_"&amp;J69</f>
        <v>1N5_8_1</v>
      </c>
      <c r="F69" s="2">
        <v>1</v>
      </c>
      <c r="G69" s="2" t="s">
        <v>50</v>
      </c>
      <c r="H69" s="2">
        <v>5</v>
      </c>
      <c r="I69" s="2">
        <v>8</v>
      </c>
      <c r="J69" s="2">
        <v>1</v>
      </c>
    </row>
    <row r="70" ht="11" customHeight="1" spans="1:10">
      <c r="A70" s="21" t="s">
        <v>100</v>
      </c>
      <c r="B70" s="10">
        <f t="shared" ref="B70:B76" si="4">70000000+F70*10000+H70*1000+I70*100+J70</f>
        <v>70015802</v>
      </c>
      <c r="C70" s="2" t="s">
        <v>116</v>
      </c>
      <c r="E70" s="2" t="str">
        <f>F70&amp;(VLOOKUP(G70,编号表!$E$1:$G$8,2,0))&amp;H70&amp;"_"&amp;I70&amp;"_"&amp;J70</f>
        <v>1N5_8_2</v>
      </c>
      <c r="F70" s="2">
        <v>1</v>
      </c>
      <c r="G70" s="2" t="s">
        <v>50</v>
      </c>
      <c r="H70" s="2">
        <v>5</v>
      </c>
      <c r="I70" s="2">
        <v>8</v>
      </c>
      <c r="J70" s="2">
        <v>2</v>
      </c>
    </row>
    <row r="71" ht="11" customHeight="1" spans="1:10">
      <c r="A71" s="21" t="s">
        <v>100</v>
      </c>
      <c r="B71" s="10">
        <f t="shared" si="4"/>
        <v>70015803</v>
      </c>
      <c r="C71" s="2" t="s">
        <v>117</v>
      </c>
      <c r="E71" s="2" t="str">
        <f>F71&amp;(VLOOKUP(G71,编号表!$E$1:$G$8,2,0))&amp;H71&amp;"_"&amp;I71&amp;"_"&amp;J71</f>
        <v>1N5_8_3</v>
      </c>
      <c r="F71" s="2">
        <v>1</v>
      </c>
      <c r="G71" s="2" t="s">
        <v>50</v>
      </c>
      <c r="H71" s="2">
        <v>5</v>
      </c>
      <c r="I71" s="2">
        <v>8</v>
      </c>
      <c r="J71" s="2">
        <v>3</v>
      </c>
    </row>
    <row r="72" ht="11" customHeight="1" spans="1:10">
      <c r="A72" s="21" t="s">
        <v>100</v>
      </c>
      <c r="B72" s="10">
        <f t="shared" si="4"/>
        <v>70015804</v>
      </c>
      <c r="C72" s="2" t="s">
        <v>118</v>
      </c>
      <c r="E72" s="2" t="str">
        <f>F72&amp;(VLOOKUP(G72,编号表!$E$1:$G$8,2,0))&amp;H72&amp;"_"&amp;I72&amp;"_"&amp;J72</f>
        <v>1N5_8_4</v>
      </c>
      <c r="F72" s="2">
        <v>1</v>
      </c>
      <c r="G72" s="2" t="s">
        <v>50</v>
      </c>
      <c r="H72" s="2">
        <v>5</v>
      </c>
      <c r="I72" s="2">
        <v>8</v>
      </c>
      <c r="J72" s="2">
        <v>4</v>
      </c>
    </row>
    <row r="73" ht="11" customHeight="1" spans="1:10">
      <c r="A73" s="21" t="s">
        <v>100</v>
      </c>
      <c r="B73" s="10">
        <f t="shared" si="4"/>
        <v>70015805</v>
      </c>
      <c r="C73" s="2" t="s">
        <v>119</v>
      </c>
      <c r="E73" s="2" t="str">
        <f>F73&amp;(VLOOKUP(G73,编号表!$E$1:$G$8,2,0))&amp;H73&amp;"_"&amp;I73&amp;"_"&amp;J73</f>
        <v>1N5_8_5</v>
      </c>
      <c r="F73" s="2">
        <v>1</v>
      </c>
      <c r="G73" s="2" t="s">
        <v>50</v>
      </c>
      <c r="H73" s="2">
        <v>5</v>
      </c>
      <c r="I73" s="2">
        <v>8</v>
      </c>
      <c r="J73" s="2">
        <v>5</v>
      </c>
    </row>
    <row r="74" ht="11" customHeight="1" spans="1:10">
      <c r="A74" s="21" t="s">
        <v>100</v>
      </c>
      <c r="B74" s="10">
        <f t="shared" si="4"/>
        <v>70015806</v>
      </c>
      <c r="C74" s="2" t="s">
        <v>120</v>
      </c>
      <c r="E74" s="2" t="str">
        <f>F74&amp;(VLOOKUP(G74,编号表!$E$1:$G$8,2,0))&amp;H74&amp;"_"&amp;I74&amp;"_"&amp;J74</f>
        <v>1N5_8_6</v>
      </c>
      <c r="F74" s="2">
        <v>1</v>
      </c>
      <c r="G74" s="2" t="s">
        <v>50</v>
      </c>
      <c r="H74" s="2">
        <v>5</v>
      </c>
      <c r="I74" s="2">
        <v>8</v>
      </c>
      <c r="J74" s="2">
        <v>6</v>
      </c>
    </row>
    <row r="75" ht="11" customHeight="1" spans="1:10">
      <c r="A75" s="21" t="s">
        <v>100</v>
      </c>
      <c r="B75" s="10">
        <f t="shared" si="4"/>
        <v>70015807</v>
      </c>
      <c r="C75" s="2" t="s">
        <v>121</v>
      </c>
      <c r="E75" s="2" t="str">
        <f>F75&amp;(VLOOKUP(G75,编号表!$E$1:$G$8,2,0))&amp;H75&amp;"_"&amp;I75&amp;"_"&amp;J75</f>
        <v>1N5_8_7</v>
      </c>
      <c r="F75" s="2">
        <v>1</v>
      </c>
      <c r="G75" s="2" t="s">
        <v>50</v>
      </c>
      <c r="H75" s="2">
        <v>5</v>
      </c>
      <c r="I75" s="2">
        <v>8</v>
      </c>
      <c r="J75" s="2">
        <v>7</v>
      </c>
    </row>
    <row r="76" ht="11" customHeight="1" spans="1:10">
      <c r="A76" s="21" t="s">
        <v>100</v>
      </c>
      <c r="B76" s="10">
        <f t="shared" si="4"/>
        <v>70015808</v>
      </c>
      <c r="C76" s="2" t="s">
        <v>122</v>
      </c>
      <c r="E76" s="2" t="str">
        <f>F76&amp;(VLOOKUP(G76,编号表!$E$1:$G$8,2,0))&amp;H76&amp;"_"&amp;I76&amp;"_"&amp;J76</f>
        <v>1N5_8_8</v>
      </c>
      <c r="F76" s="2">
        <v>1</v>
      </c>
      <c r="G76" s="2" t="s">
        <v>50</v>
      </c>
      <c r="H76" s="2">
        <v>5</v>
      </c>
      <c r="I76" s="2">
        <v>8</v>
      </c>
      <c r="J76" s="2">
        <v>8</v>
      </c>
    </row>
    <row r="77" ht="11" customHeight="1" spans="1:10">
      <c r="A77" s="21" t="s">
        <v>100</v>
      </c>
      <c r="B77" s="10">
        <f t="shared" ref="B77:B91" si="5">70000000+F77*10000+H77*1000+I77*100+J77</f>
        <v>70015901</v>
      </c>
      <c r="C77" s="2" t="s">
        <v>123</v>
      </c>
      <c r="E77" s="2" t="str">
        <f>F77&amp;(VLOOKUP(G77,编号表!$E$1:$G$8,2,0))&amp;H77&amp;"_"&amp;I77&amp;"_"&amp;J77</f>
        <v>1N5_9_1</v>
      </c>
      <c r="F77" s="2">
        <v>1</v>
      </c>
      <c r="G77" s="2" t="s">
        <v>50</v>
      </c>
      <c r="H77" s="2">
        <v>5</v>
      </c>
      <c r="I77" s="2">
        <v>9</v>
      </c>
      <c r="J77" s="2">
        <v>1</v>
      </c>
    </row>
    <row r="78" ht="11" customHeight="1" spans="1:10">
      <c r="A78" s="21" t="s">
        <v>100</v>
      </c>
      <c r="B78" s="10">
        <f t="shared" si="5"/>
        <v>70015902</v>
      </c>
      <c r="C78" s="2" t="s">
        <v>124</v>
      </c>
      <c r="E78" s="2" t="str">
        <f>F78&amp;(VLOOKUP(G78,编号表!$E$1:$G$8,2,0))&amp;H78&amp;"_"&amp;I78&amp;"_"&amp;J78</f>
        <v>1N5_9_2</v>
      </c>
      <c r="F78" s="2">
        <v>1</v>
      </c>
      <c r="G78" s="2" t="s">
        <v>50</v>
      </c>
      <c r="H78" s="2">
        <v>5</v>
      </c>
      <c r="I78" s="2">
        <v>9</v>
      </c>
      <c r="J78" s="2">
        <v>2</v>
      </c>
    </row>
    <row r="79" ht="11" customHeight="1" spans="1:10">
      <c r="A79" s="21" t="s">
        <v>100</v>
      </c>
      <c r="B79" s="10">
        <f t="shared" si="5"/>
        <v>70015903</v>
      </c>
      <c r="C79" s="2" t="s">
        <v>125</v>
      </c>
      <c r="E79" s="2" t="str">
        <f>F79&amp;(VLOOKUP(G79,编号表!$E$1:$G$8,2,0))&amp;H79&amp;"_"&amp;I79&amp;"_"&amp;J79</f>
        <v>1N5_9_3</v>
      </c>
      <c r="F79" s="2">
        <v>1</v>
      </c>
      <c r="G79" s="2" t="s">
        <v>50</v>
      </c>
      <c r="H79" s="2">
        <v>5</v>
      </c>
      <c r="I79" s="2">
        <v>9</v>
      </c>
      <c r="J79" s="2">
        <v>3</v>
      </c>
    </row>
    <row r="80" ht="11" customHeight="1" spans="1:10">
      <c r="A80" s="21" t="s">
        <v>100</v>
      </c>
      <c r="B80" s="10">
        <f t="shared" si="5"/>
        <v>70015904</v>
      </c>
      <c r="C80" s="2" t="s">
        <v>126</v>
      </c>
      <c r="E80" s="2" t="str">
        <f>F80&amp;(VLOOKUP(G80,编号表!$E$1:$G$8,2,0))&amp;H80&amp;"_"&amp;I80&amp;"_"&amp;J80</f>
        <v>1N5_9_4</v>
      </c>
      <c r="F80" s="2">
        <v>1</v>
      </c>
      <c r="G80" s="2" t="s">
        <v>50</v>
      </c>
      <c r="H80" s="2">
        <v>5</v>
      </c>
      <c r="I80" s="2">
        <v>9</v>
      </c>
      <c r="J80" s="2">
        <v>4</v>
      </c>
    </row>
    <row r="81" ht="11" customHeight="1" spans="1:19">
      <c r="A81" s="21" t="s">
        <v>100</v>
      </c>
      <c r="B81" s="10">
        <f t="shared" si="5"/>
        <v>70015905</v>
      </c>
      <c r="C81" s="2" t="s">
        <v>127</v>
      </c>
      <c r="E81" s="2" t="str">
        <f>F81&amp;(VLOOKUP(G81,编号表!$E$1:$G$8,2,0))&amp;H81&amp;"_"&amp;I81&amp;"_"&amp;J81</f>
        <v>1N5_9_5</v>
      </c>
      <c r="F81" s="2">
        <v>1</v>
      </c>
      <c r="G81" s="2" t="s">
        <v>50</v>
      </c>
      <c r="H81" s="2">
        <v>5</v>
      </c>
      <c r="I81" s="2">
        <v>9</v>
      </c>
      <c r="J81" s="2">
        <v>5</v>
      </c>
    </row>
    <row r="82" ht="11" customHeight="1" spans="1:19">
      <c r="A82" s="21" t="s">
        <v>100</v>
      </c>
      <c r="B82" s="10">
        <f t="shared" si="5"/>
        <v>70015906</v>
      </c>
      <c r="C82" s="2" t="s">
        <v>128</v>
      </c>
      <c r="E82" s="2" t="str">
        <f>F82&amp;(VLOOKUP(G82,编号表!$E$1:$G$8,2,0))&amp;H82&amp;"_"&amp;I82&amp;"_"&amp;J82</f>
        <v>1N5_9_6</v>
      </c>
      <c r="F82" s="2">
        <v>1</v>
      </c>
      <c r="G82" s="2" t="s">
        <v>50</v>
      </c>
      <c r="H82" s="2">
        <v>5</v>
      </c>
      <c r="I82" s="2">
        <v>9</v>
      </c>
      <c r="J82" s="2">
        <v>6</v>
      </c>
    </row>
    <row r="83" ht="11" customHeight="1" spans="1:19">
      <c r="A83" s="21" t="s">
        <v>100</v>
      </c>
      <c r="B83" s="10">
        <f t="shared" si="5"/>
        <v>70015907</v>
      </c>
      <c r="C83" s="2" t="s">
        <v>129</v>
      </c>
      <c r="E83" s="2" t="str">
        <f>F83&amp;(VLOOKUP(G83,编号表!$E$1:$G$8,2,0))&amp;H83&amp;"_"&amp;I83&amp;"_"&amp;J83</f>
        <v>1N5_9_7</v>
      </c>
      <c r="F83" s="2">
        <v>1</v>
      </c>
      <c r="G83" s="2" t="s">
        <v>50</v>
      </c>
      <c r="H83" s="2">
        <v>5</v>
      </c>
      <c r="I83" s="2">
        <v>9</v>
      </c>
      <c r="J83" s="2">
        <v>7</v>
      </c>
    </row>
    <row r="84" ht="11" customHeight="1" spans="1:19">
      <c r="A84" s="21" t="s">
        <v>100</v>
      </c>
      <c r="B84" s="10">
        <f t="shared" si="5"/>
        <v>70015908</v>
      </c>
      <c r="C84" s="2" t="s">
        <v>130</v>
      </c>
      <c r="E84" s="2" t="str">
        <f>F84&amp;(VLOOKUP(G84,编号表!$E$1:$G$8,2,0))&amp;H84&amp;"_"&amp;I84&amp;"_"&amp;J84</f>
        <v>1N5_9_8</v>
      </c>
      <c r="F84" s="2">
        <v>1</v>
      </c>
      <c r="G84" s="2" t="s">
        <v>50</v>
      </c>
      <c r="H84" s="2">
        <v>5</v>
      </c>
      <c r="I84" s="2">
        <v>9</v>
      </c>
      <c r="J84" s="2">
        <v>8</v>
      </c>
    </row>
    <row r="85" ht="11" customHeight="1" spans="1:19">
      <c r="A85" s="21" t="s">
        <v>100</v>
      </c>
      <c r="B85" s="10">
        <f t="shared" si="5"/>
        <v>70015909</v>
      </c>
      <c r="C85" s="2" t="s">
        <v>131</v>
      </c>
      <c r="E85" s="2" t="str">
        <f>F85&amp;(VLOOKUP(G85,编号表!$E$1:$G$8,2,0))&amp;H85&amp;"_"&amp;I85&amp;"_"&amp;J85</f>
        <v>1N5_9_9</v>
      </c>
      <c r="F85" s="2">
        <v>1</v>
      </c>
      <c r="G85" s="2" t="s">
        <v>50</v>
      </c>
      <c r="H85" s="2">
        <v>5</v>
      </c>
      <c r="I85" s="2">
        <v>9</v>
      </c>
      <c r="J85" s="2">
        <v>9</v>
      </c>
    </row>
    <row r="86" ht="11" customHeight="1" spans="1:19">
      <c r="A86" s="21" t="s">
        <v>100</v>
      </c>
      <c r="B86" s="10">
        <f t="shared" si="5"/>
        <v>70015910</v>
      </c>
      <c r="C86" s="2" t="s">
        <v>132</v>
      </c>
      <c r="E86" s="2" t="str">
        <f>F86&amp;(VLOOKUP(G86,编号表!$E$1:$G$8,2,0))&amp;H86&amp;"_"&amp;I86&amp;"_"&amp;J86</f>
        <v>1N5_9_10</v>
      </c>
      <c r="F86" s="2">
        <v>1</v>
      </c>
      <c r="G86" s="2" t="s">
        <v>50</v>
      </c>
      <c r="H86" s="2">
        <v>5</v>
      </c>
      <c r="I86" s="2">
        <v>9</v>
      </c>
      <c r="J86" s="2">
        <v>10</v>
      </c>
    </row>
    <row r="87" spans="1:19">
      <c r="A87" s="21" t="s">
        <v>100</v>
      </c>
      <c r="B87" s="10">
        <f t="shared" si="5"/>
        <v>70015911</v>
      </c>
      <c r="C87" s="2" t="s">
        <v>133</v>
      </c>
      <c r="E87" s="2" t="str">
        <f>F87&amp;(VLOOKUP(G87,编号表!$E$1:$G$8,2,0))&amp;H87&amp;"_"&amp;I87&amp;"_"&amp;J87</f>
        <v>1N5_9_11</v>
      </c>
      <c r="F87" s="2">
        <v>1</v>
      </c>
      <c r="G87" s="2" t="s">
        <v>50</v>
      </c>
      <c r="H87" s="2">
        <v>5</v>
      </c>
      <c r="I87" s="2">
        <v>9</v>
      </c>
      <c r="J87" s="2">
        <v>11</v>
      </c>
    </row>
    <row r="88" spans="1:19">
      <c r="A88" s="21" t="s">
        <v>100</v>
      </c>
      <c r="B88" s="10">
        <f t="shared" si="5"/>
        <v>70015912</v>
      </c>
      <c r="C88" s="2" t="s">
        <v>134</v>
      </c>
      <c r="E88" s="2" t="str">
        <f>F88&amp;(VLOOKUP(G88,编号表!$E$1:$G$8,2,0))&amp;H88&amp;"_"&amp;I88&amp;"_"&amp;J88</f>
        <v>1N5_9_12</v>
      </c>
      <c r="F88" s="2">
        <v>1</v>
      </c>
      <c r="G88" s="2" t="s">
        <v>50</v>
      </c>
      <c r="H88" s="2">
        <v>5</v>
      </c>
      <c r="I88" s="2">
        <v>9</v>
      </c>
      <c r="J88" s="2">
        <v>12</v>
      </c>
    </row>
    <row r="89" spans="1:19">
      <c r="A89" s="21" t="s">
        <v>100</v>
      </c>
      <c r="B89" s="10">
        <f t="shared" si="5"/>
        <v>70015913</v>
      </c>
      <c r="C89" s="2" t="s">
        <v>135</v>
      </c>
      <c r="E89" s="2" t="str">
        <f>F89&amp;(VLOOKUP(G89,编号表!$E$1:$G$8,2,0))&amp;H89&amp;"_"&amp;I89&amp;"_"&amp;J89</f>
        <v>1N5_9_13</v>
      </c>
      <c r="F89" s="2">
        <v>1</v>
      </c>
      <c r="G89" s="2" t="s">
        <v>50</v>
      </c>
      <c r="H89" s="2">
        <v>5</v>
      </c>
      <c r="I89" s="2">
        <v>9</v>
      </c>
      <c r="J89" s="2">
        <v>13</v>
      </c>
    </row>
    <row r="90" spans="1:19">
      <c r="A90" s="21" t="s">
        <v>100</v>
      </c>
      <c r="B90" s="10">
        <f>70000000+F90*10000+H90*1000+I90*100+J90</f>
        <v>70015914</v>
      </c>
      <c r="C90" s="2" t="s">
        <v>136</v>
      </c>
      <c r="E90" s="2" t="str">
        <f>F90&amp;(VLOOKUP(G90,编号表!$E$1:$G$8,2,0))&amp;H90&amp;"_"&amp;I90&amp;"_"&amp;J90</f>
        <v>1N5_9_14</v>
      </c>
      <c r="F90" s="2">
        <v>1</v>
      </c>
      <c r="G90" s="2" t="s">
        <v>50</v>
      </c>
      <c r="H90" s="2">
        <v>5</v>
      </c>
      <c r="I90" s="2">
        <v>9</v>
      </c>
      <c r="J90" s="2">
        <v>14</v>
      </c>
    </row>
    <row r="91" ht="11" customHeight="1" spans="1:19">
      <c r="A91" s="21" t="s">
        <v>100</v>
      </c>
      <c r="B91" s="10">
        <f>70000000+F91*10000+H91*1000+I91*100+J91</f>
        <v>70016001</v>
      </c>
      <c r="C91" s="2" t="s">
        <v>137</v>
      </c>
      <c r="E91" s="2" t="str">
        <f>F91&amp;(VLOOKUP(G91,编号表!$E$1:$G$8,2,0))&amp;H91&amp;"_"&amp;I91&amp;"_"&amp;J91</f>
        <v>1N5_10_1</v>
      </c>
      <c r="F91" s="2">
        <v>1</v>
      </c>
      <c r="G91" s="2" t="s">
        <v>50</v>
      </c>
      <c r="H91" s="2">
        <v>5</v>
      </c>
      <c r="I91" s="2">
        <v>10</v>
      </c>
      <c r="J91" s="2">
        <v>1</v>
      </c>
    </row>
    <row r="92" ht="11" customHeight="1" spans="1:19">
      <c r="A92" s="21" t="s">
        <v>100</v>
      </c>
      <c r="B92" s="10">
        <f>70000000+F92*10000+H92*1000+I92*100+J92</f>
        <v>70016002</v>
      </c>
      <c r="C92" s="2" t="s">
        <v>138</v>
      </c>
      <c r="E92" s="2" t="str">
        <f>F92&amp;(VLOOKUP(G92,编号表!$E$1:$G$8,2,0))&amp;H92&amp;"_"&amp;I92&amp;"_"&amp;J92</f>
        <v>1N5_10_2</v>
      </c>
      <c r="F92" s="2">
        <v>1</v>
      </c>
      <c r="G92" s="2" t="s">
        <v>50</v>
      </c>
      <c r="H92" s="2">
        <v>5</v>
      </c>
      <c r="I92" s="2">
        <v>10</v>
      </c>
      <c r="J92" s="2">
        <v>2</v>
      </c>
    </row>
    <row r="93" ht="11" customHeight="1" spans="1:19">
      <c r="A93" s="21" t="s">
        <v>100</v>
      </c>
      <c r="B93" s="10">
        <f>70000000+F93*10000+H93*1000+I93*100+J93</f>
        <v>70016003</v>
      </c>
      <c r="C93" s="2" t="s">
        <v>139</v>
      </c>
      <c r="E93" s="2" t="str">
        <f>F93&amp;(VLOOKUP(G93,编号表!$E$1:$G$8,2,0))&amp;H93&amp;"_"&amp;I93&amp;"_"&amp;J93</f>
        <v>1N5_10_3</v>
      </c>
      <c r="F93" s="2">
        <v>1</v>
      </c>
      <c r="G93" s="2" t="s">
        <v>50</v>
      </c>
      <c r="H93" s="2">
        <v>5</v>
      </c>
      <c r="I93" s="2">
        <v>10</v>
      </c>
      <c r="J93" s="2">
        <v>3</v>
      </c>
    </row>
    <row r="94" ht="11" customHeight="1" spans="1:19">
      <c r="A94" s="21" t="s">
        <v>100</v>
      </c>
      <c r="B94" s="10">
        <f>70000000+F94*10000+H94*1000+I94*100+J94</f>
        <v>70016004</v>
      </c>
      <c r="C94" s="2" t="s">
        <v>140</v>
      </c>
      <c r="E94" s="2" t="str">
        <f>F94&amp;(VLOOKUP(G94,编号表!$E$1:$G$8,2,0))&amp;H94&amp;"_"&amp;I94&amp;"_"&amp;J94</f>
        <v>1N5_10_4</v>
      </c>
      <c r="F94" s="2">
        <v>1</v>
      </c>
      <c r="G94" s="2" t="s">
        <v>50</v>
      </c>
      <c r="H94" s="2">
        <v>5</v>
      </c>
      <c r="I94" s="2">
        <v>10</v>
      </c>
      <c r="J94" s="2">
        <v>4</v>
      </c>
    </row>
    <row r="95" ht="11" customHeight="1" spans="1:19">
      <c r="A95" s="21" t="s">
        <v>100</v>
      </c>
      <c r="B95" s="10">
        <f>70000000+F95*10000+H95*1000+I95*100+J95</f>
        <v>70016005</v>
      </c>
      <c r="C95" s="2" t="s">
        <v>141</v>
      </c>
      <c r="E95" s="2" t="str">
        <f>F95&amp;(VLOOKUP(G95,编号表!$E$1:$G$8,2,0))&amp;H95&amp;"_"&amp;I95&amp;"_"&amp;J95</f>
        <v>1N5_10_5</v>
      </c>
      <c r="F95" s="2">
        <v>1</v>
      </c>
      <c r="G95" s="2" t="s">
        <v>50</v>
      </c>
      <c r="H95" s="2">
        <v>5</v>
      </c>
      <c r="I95" s="2">
        <v>10</v>
      </c>
      <c r="J95" s="2">
        <v>5</v>
      </c>
    </row>
    <row r="96" ht="11" customHeight="1" spans="1:19">
      <c r="A96" s="21" t="s">
        <v>100</v>
      </c>
      <c r="B96" s="10">
        <f>70000000+F96*10000+H96*1000+I96*100+J96</f>
        <v>70016101</v>
      </c>
      <c r="C96" s="2" t="s">
        <v>142</v>
      </c>
      <c r="E96" s="2" t="str">
        <f>F96&amp;(VLOOKUP(G96,编号表!$E$1:$G$8,2,0))&amp;H96&amp;"_"&amp;I96&amp;"_"&amp;J96</f>
        <v>1N5_11_1</v>
      </c>
      <c r="F96" s="2">
        <v>1</v>
      </c>
      <c r="G96" s="2" t="s">
        <v>50</v>
      </c>
      <c r="H96" s="2">
        <v>5</v>
      </c>
      <c r="I96" s="2">
        <v>11</v>
      </c>
      <c r="J96" s="2">
        <v>1</v>
      </c>
      <c r="S96" s="10">
        <v>1001210</v>
      </c>
    </row>
    <row r="97" ht="11" customHeight="1" spans="1:19">
      <c r="A97" s="21" t="s">
        <v>100</v>
      </c>
      <c r="B97" s="10">
        <f>70000000+F97*10000+H97*1000+I97*100+J97</f>
        <v>70016102</v>
      </c>
      <c r="C97" s="2" t="s">
        <v>143</v>
      </c>
      <c r="E97" s="2" t="str">
        <f>F97&amp;(VLOOKUP(G97,编号表!$E$1:$G$8,2,0))&amp;H97&amp;"_"&amp;I97&amp;"_"&amp;J97</f>
        <v>1N5_11_2</v>
      </c>
      <c r="F97" s="2">
        <v>1</v>
      </c>
      <c r="G97" s="2" t="s">
        <v>50</v>
      </c>
      <c r="H97" s="2">
        <v>5</v>
      </c>
      <c r="I97" s="2">
        <v>11</v>
      </c>
      <c r="J97" s="2">
        <v>2</v>
      </c>
      <c r="S97" s="10">
        <v>1001310</v>
      </c>
    </row>
    <row r="98" ht="11" customHeight="1" spans="1:19">
      <c r="A98" s="21" t="s">
        <v>100</v>
      </c>
      <c r="B98" s="10">
        <f>70000000+F98*10000+H98*1000+I98*100+J98</f>
        <v>70016103</v>
      </c>
      <c r="C98" s="2" t="s">
        <v>144</v>
      </c>
      <c r="E98" s="2" t="str">
        <f>F98&amp;(VLOOKUP(G98,编号表!$E$1:$G$8,2,0))&amp;H98&amp;"_"&amp;I98&amp;"_"&amp;J98</f>
        <v>1N5_11_3</v>
      </c>
      <c r="F98" s="2">
        <v>1</v>
      </c>
      <c r="G98" s="2" t="s">
        <v>50</v>
      </c>
      <c r="H98" s="2">
        <v>5</v>
      </c>
      <c r="I98" s="2">
        <v>11</v>
      </c>
      <c r="J98" s="2">
        <v>3</v>
      </c>
      <c r="S98" s="10">
        <v>1001410</v>
      </c>
    </row>
    <row r="99" ht="11" customHeight="1" spans="1:19">
      <c r="A99" s="21" t="s">
        <v>100</v>
      </c>
      <c r="B99" s="10">
        <f>70000000+F99*10000+H99*1000+I99*100+J99</f>
        <v>70016104</v>
      </c>
      <c r="C99" s="2" t="s">
        <v>145</v>
      </c>
      <c r="E99" s="2" t="str">
        <f>F99&amp;(VLOOKUP(G99,编号表!$E$1:$G$8,2,0))&amp;H99&amp;"_"&amp;I99&amp;"_"&amp;J99</f>
        <v>1N5_11_4</v>
      </c>
      <c r="F99" s="2">
        <v>1</v>
      </c>
      <c r="G99" s="2" t="s">
        <v>50</v>
      </c>
      <c r="H99" s="2">
        <v>5</v>
      </c>
      <c r="I99" s="2">
        <v>11</v>
      </c>
      <c r="J99" s="2">
        <v>4</v>
      </c>
      <c r="S99" s="10">
        <v>1001510</v>
      </c>
    </row>
    <row r="100" ht="11" customHeight="1" spans="1:19">
      <c r="A100" s="21" t="s">
        <v>100</v>
      </c>
      <c r="B100" s="10">
        <f>70000000+F100*10000+H100*1000+I100*100+J100</f>
        <v>70016105</v>
      </c>
      <c r="C100" s="2" t="s">
        <v>146</v>
      </c>
      <c r="E100" s="2" t="str">
        <f>F100&amp;(VLOOKUP(G100,编号表!$E$1:$G$8,2,0))&amp;H100&amp;"_"&amp;I100&amp;"_"&amp;J100</f>
        <v>1N5_11_5</v>
      </c>
      <c r="F100" s="2">
        <v>1</v>
      </c>
      <c r="G100" s="2" t="s">
        <v>50</v>
      </c>
      <c r="H100" s="2">
        <v>5</v>
      </c>
      <c r="I100" s="2">
        <v>11</v>
      </c>
      <c r="J100" s="2">
        <v>5</v>
      </c>
      <c r="S100" s="10">
        <v>1001610</v>
      </c>
    </row>
    <row r="101" ht="11" customHeight="1" spans="1:19">
      <c r="A101" s="21" t="s">
        <v>100</v>
      </c>
      <c r="B101" s="10">
        <f>70000000+F101*10000+H101*1000+I101*100+J101</f>
        <v>70016106</v>
      </c>
      <c r="C101" s="2" t="s">
        <v>147</v>
      </c>
      <c r="E101" s="2" t="str">
        <f>F101&amp;(VLOOKUP(G101,编号表!$E$1:$G$8,2,0))&amp;H101&amp;"_"&amp;I101&amp;"_"&amp;J101</f>
        <v>1N5_11_6</v>
      </c>
      <c r="F101" s="2">
        <v>1</v>
      </c>
      <c r="G101" s="2" t="s">
        <v>50</v>
      </c>
      <c r="H101" s="2">
        <v>5</v>
      </c>
      <c r="I101" s="2">
        <v>11</v>
      </c>
      <c r="J101" s="2">
        <v>6</v>
      </c>
      <c r="S101" s="10">
        <v>1001710</v>
      </c>
    </row>
    <row r="102" ht="11" customHeight="1" spans="1:19">
      <c r="A102" s="21" t="s">
        <v>100</v>
      </c>
      <c r="B102" s="10">
        <f>70000000+F102*10000+H102*1000+I102*100+J102</f>
        <v>70016201</v>
      </c>
      <c r="C102" s="2" t="s">
        <v>148</v>
      </c>
      <c r="E102" s="2" t="str">
        <f>F102&amp;(VLOOKUP(G102,编号表!$E$1:$G$8,2,0))&amp;H102&amp;"_"&amp;I102&amp;"_"&amp;J102</f>
        <v>1N5_12_1</v>
      </c>
      <c r="F102" s="2">
        <v>1</v>
      </c>
      <c r="G102" s="2" t="s">
        <v>50</v>
      </c>
      <c r="H102" s="2">
        <v>5</v>
      </c>
      <c r="I102" s="2">
        <v>12</v>
      </c>
      <c r="J102" s="2">
        <v>1</v>
      </c>
    </row>
    <row r="103" ht="11" customHeight="1" spans="1:19">
      <c r="A103" s="21" t="s">
        <v>100</v>
      </c>
      <c r="B103" s="10">
        <f>70000000+F103*10000+H103*1000+I103*100+J103</f>
        <v>70016202</v>
      </c>
      <c r="C103" s="2" t="s">
        <v>149</v>
      </c>
      <c r="E103" s="2" t="str">
        <f>F103&amp;(VLOOKUP(G103,编号表!$E$1:$G$8,2,0))&amp;H103&amp;"_"&amp;I103&amp;"_"&amp;J103</f>
        <v>1N5_12_2</v>
      </c>
      <c r="F103" s="2">
        <v>1</v>
      </c>
      <c r="G103" s="2" t="s">
        <v>50</v>
      </c>
      <c r="H103" s="2">
        <v>5</v>
      </c>
      <c r="I103" s="2">
        <v>12</v>
      </c>
      <c r="J103" s="2">
        <v>2</v>
      </c>
    </row>
    <row r="104" ht="11" customHeight="1" spans="1:19">
      <c r="A104" s="21" t="s">
        <v>100</v>
      </c>
      <c r="B104" s="10">
        <f>70000000+F104*10000+H104*1000+I104*100+J104</f>
        <v>70016203</v>
      </c>
      <c r="C104" s="2" t="s">
        <v>150</v>
      </c>
      <c r="E104" s="2" t="str">
        <f>F104&amp;(VLOOKUP(G104,编号表!$E$1:$G$8,2,0))&amp;H104&amp;"_"&amp;I104&amp;"_"&amp;J104</f>
        <v>1N5_12_3</v>
      </c>
      <c r="F104" s="2">
        <v>1</v>
      </c>
      <c r="G104" s="2" t="s">
        <v>50</v>
      </c>
      <c r="H104" s="2">
        <v>5</v>
      </c>
      <c r="I104" s="2">
        <v>12</v>
      </c>
      <c r="J104" s="2">
        <v>3</v>
      </c>
    </row>
    <row r="105" ht="11" customHeight="1" spans="1:19">
      <c r="A105" s="21" t="s">
        <v>100</v>
      </c>
      <c r="B105" s="10">
        <f>70000000+F105*10000+H105*1000+I105*100+J105</f>
        <v>70016204</v>
      </c>
      <c r="C105" s="2" t="s">
        <v>151</v>
      </c>
      <c r="E105" s="2" t="str">
        <f>F105&amp;(VLOOKUP(G105,编号表!$E$1:$G$8,2,0))&amp;H105&amp;"_"&amp;I105&amp;"_"&amp;J105</f>
        <v>1N5_12_4</v>
      </c>
      <c r="F105" s="2">
        <v>1</v>
      </c>
      <c r="G105" s="2" t="s">
        <v>50</v>
      </c>
      <c r="H105" s="2">
        <v>5</v>
      </c>
      <c r="I105" s="2">
        <v>12</v>
      </c>
      <c r="J105" s="2">
        <v>4</v>
      </c>
    </row>
    <row r="106" ht="11" customHeight="1" spans="1:19">
      <c r="A106" s="21" t="s">
        <v>100</v>
      </c>
      <c r="B106" s="10">
        <f>70000000+F106*10000+H106*1000+I106*100+J106</f>
        <v>70016205</v>
      </c>
      <c r="C106" s="2" t="s">
        <v>152</v>
      </c>
      <c r="E106" s="2" t="str">
        <f>F106&amp;(VLOOKUP(G106,编号表!$E$1:$G$8,2,0))&amp;H106&amp;"_"&amp;I106&amp;"_"&amp;J106</f>
        <v>1N5_12_5</v>
      </c>
      <c r="F106" s="2">
        <v>1</v>
      </c>
      <c r="G106" s="2" t="s">
        <v>50</v>
      </c>
      <c r="H106" s="2">
        <v>5</v>
      </c>
      <c r="I106" s="2">
        <v>12</v>
      </c>
      <c r="J106" s="2">
        <v>5</v>
      </c>
    </row>
    <row r="107" ht="11" customHeight="1" spans="1:19">
      <c r="A107" s="21" t="s">
        <v>100</v>
      </c>
      <c r="B107" s="10">
        <f>70000000+F107*10000+H107*1000+I107*100+J107</f>
        <v>70016206</v>
      </c>
      <c r="C107" s="2" t="s">
        <v>153</v>
      </c>
      <c r="E107" s="2" t="str">
        <f>F107&amp;(VLOOKUP(G107,编号表!$E$1:$G$8,2,0))&amp;H107&amp;"_"&amp;I107&amp;"_"&amp;J107</f>
        <v>1N5_12_6</v>
      </c>
      <c r="F107" s="2">
        <v>1</v>
      </c>
      <c r="G107" s="2" t="s">
        <v>50</v>
      </c>
      <c r="H107" s="2">
        <v>5</v>
      </c>
      <c r="I107" s="2">
        <v>12</v>
      </c>
      <c r="J107" s="2">
        <v>6</v>
      </c>
    </row>
    <row r="108" ht="11" customHeight="1" spans="1:19">
      <c r="A108" s="21" t="s">
        <v>100</v>
      </c>
      <c r="B108" s="10">
        <f>70000000+F108*10000+H108*1000+I108*100+J108</f>
        <v>70016207</v>
      </c>
      <c r="C108" s="2" t="s">
        <v>154</v>
      </c>
      <c r="E108" s="2" t="str">
        <f>F108&amp;(VLOOKUP(G108,编号表!$E$1:$G$8,2,0))&amp;H108&amp;"_"&amp;I108&amp;"_"&amp;J108</f>
        <v>1N5_12_7</v>
      </c>
      <c r="F108" s="2">
        <v>1</v>
      </c>
      <c r="G108" s="2" t="s">
        <v>50</v>
      </c>
      <c r="H108" s="2">
        <v>5</v>
      </c>
      <c r="I108" s="2">
        <v>12</v>
      </c>
      <c r="J108" s="2">
        <v>7</v>
      </c>
    </row>
    <row r="109" ht="11" customHeight="1" spans="1:19">
      <c r="A109" s="21" t="s">
        <v>100</v>
      </c>
      <c r="B109" s="10">
        <f>70000000+F109*10000+H109*1000+I109*100+J109</f>
        <v>70016208</v>
      </c>
      <c r="C109" s="2" t="s">
        <v>155</v>
      </c>
      <c r="E109" s="2" t="str">
        <f>F109&amp;(VLOOKUP(G109,编号表!$E$1:$G$8,2,0))&amp;H109&amp;"_"&amp;I109&amp;"_"&amp;J109</f>
        <v>1N5_12_8</v>
      </c>
      <c r="F109" s="2">
        <v>1</v>
      </c>
      <c r="G109" s="2" t="s">
        <v>50</v>
      </c>
      <c r="H109" s="2">
        <v>5</v>
      </c>
      <c r="I109" s="2">
        <v>12</v>
      </c>
      <c r="J109" s="2">
        <v>8</v>
      </c>
    </row>
    <row r="110" ht="11" customHeight="1" spans="1:19">
      <c r="A110" s="21" t="s">
        <v>100</v>
      </c>
      <c r="B110" s="10">
        <f>70000000+F110*10000+H110*1000+I110*100+J110</f>
        <v>70016209</v>
      </c>
      <c r="C110" s="2" t="s">
        <v>156</v>
      </c>
      <c r="E110" s="2" t="str">
        <f>F110&amp;(VLOOKUP(G110,编号表!$E$1:$G$8,2,0))&amp;H110&amp;"_"&amp;I110&amp;"_"&amp;J110</f>
        <v>1N5_12_9</v>
      </c>
      <c r="F110" s="2">
        <v>1</v>
      </c>
      <c r="G110" s="2" t="s">
        <v>50</v>
      </c>
      <c r="H110" s="2">
        <v>5</v>
      </c>
      <c r="I110" s="2">
        <v>12</v>
      </c>
      <c r="J110" s="2">
        <v>9</v>
      </c>
    </row>
    <row r="111" ht="11" customHeight="1" spans="1:19">
      <c r="A111" s="21" t="s">
        <v>100</v>
      </c>
      <c r="B111" s="10">
        <f>70000000+F111*10000+H111*1000+I111*100+J111</f>
        <v>70016210</v>
      </c>
      <c r="C111" s="2" t="s">
        <v>157</v>
      </c>
      <c r="E111" s="2" t="str">
        <f>F111&amp;(VLOOKUP(G111,编号表!$E$1:$G$8,2,0))&amp;H111&amp;"_"&amp;I111&amp;"_"&amp;J111</f>
        <v>1N5_12_10</v>
      </c>
      <c r="F111" s="2">
        <v>1</v>
      </c>
      <c r="G111" s="2" t="s">
        <v>50</v>
      </c>
      <c r="H111" s="2">
        <v>5</v>
      </c>
      <c r="I111" s="2">
        <v>12</v>
      </c>
      <c r="J111" s="2">
        <v>10</v>
      </c>
    </row>
    <row r="112" ht="11" customHeight="1" spans="1:19">
      <c r="A112" s="21" t="s">
        <v>100</v>
      </c>
      <c r="B112" s="10">
        <f t="shared" ref="B112:B140" si="6">70000000+F112*10000+H112*1000+I112*100+J112</f>
        <v>70016301</v>
      </c>
      <c r="C112" s="2" t="s">
        <v>158</v>
      </c>
      <c r="E112" s="2" t="str">
        <f>F112&amp;(VLOOKUP(G112,编号表!$E$1:$G$8,2,0))&amp;H112&amp;"_"&amp;I112&amp;"_"&amp;J112</f>
        <v>1N5_13_1</v>
      </c>
      <c r="F112" s="2">
        <v>1</v>
      </c>
      <c r="G112" s="2" t="s">
        <v>50</v>
      </c>
      <c r="H112" s="2">
        <v>5</v>
      </c>
      <c r="I112" s="2">
        <v>13</v>
      </c>
      <c r="J112" s="2">
        <v>1</v>
      </c>
      <c r="S112" s="10">
        <v>1001210</v>
      </c>
    </row>
    <row r="113" ht="11" customHeight="1" spans="1:19">
      <c r="A113" s="21" t="s">
        <v>100</v>
      </c>
      <c r="B113" s="10">
        <f t="shared" si="6"/>
        <v>70016302</v>
      </c>
      <c r="C113" s="2" t="s">
        <v>159</v>
      </c>
      <c r="E113" s="2" t="str">
        <f>F113&amp;(VLOOKUP(G113,编号表!$E$1:$G$8,2,0))&amp;H113&amp;"_"&amp;I113&amp;"_"&amp;J113</f>
        <v>1N5_13_2</v>
      </c>
      <c r="F113" s="2">
        <v>1</v>
      </c>
      <c r="G113" s="2" t="s">
        <v>50</v>
      </c>
      <c r="H113" s="2">
        <v>5</v>
      </c>
      <c r="I113" s="2">
        <v>13</v>
      </c>
      <c r="J113" s="2">
        <v>2</v>
      </c>
      <c r="S113" s="10">
        <v>1001810</v>
      </c>
    </row>
    <row r="114" ht="11" customHeight="1" spans="1:19">
      <c r="A114" s="21" t="s">
        <v>100</v>
      </c>
      <c r="B114" s="10">
        <f t="shared" si="6"/>
        <v>70016303</v>
      </c>
      <c r="C114" s="2" t="s">
        <v>160</v>
      </c>
      <c r="E114" s="2" t="str">
        <f>F114&amp;(VLOOKUP(G114,编号表!$E$1:$G$8,2,0))&amp;H114&amp;"_"&amp;I114&amp;"_"&amp;J114</f>
        <v>1N5_13_3</v>
      </c>
      <c r="F114" s="2">
        <v>1</v>
      </c>
      <c r="G114" s="2" t="s">
        <v>50</v>
      </c>
      <c r="H114" s="2">
        <v>5</v>
      </c>
      <c r="I114" s="2">
        <v>13</v>
      </c>
      <c r="J114" s="2">
        <v>3</v>
      </c>
      <c r="S114" s="10">
        <v>1001910</v>
      </c>
    </row>
    <row r="115" ht="11" customHeight="1" spans="1:19">
      <c r="A115" s="21" t="s">
        <v>100</v>
      </c>
      <c r="B115" s="10">
        <f t="shared" si="6"/>
        <v>70016304</v>
      </c>
      <c r="C115" s="2" t="s">
        <v>161</v>
      </c>
      <c r="E115" s="2" t="str">
        <f>F115&amp;(VLOOKUP(G115,编号表!$E$1:$G$8,2,0))&amp;H115&amp;"_"&amp;I115&amp;"_"&amp;J115</f>
        <v>1N5_13_4</v>
      </c>
      <c r="F115" s="2">
        <v>1</v>
      </c>
      <c r="G115" s="2" t="s">
        <v>50</v>
      </c>
      <c r="H115" s="2">
        <v>5</v>
      </c>
      <c r="I115" s="2">
        <v>13</v>
      </c>
      <c r="J115" s="2">
        <v>4</v>
      </c>
      <c r="S115" s="10">
        <v>1001210</v>
      </c>
    </row>
    <row r="116" ht="11" customHeight="1" spans="1:19">
      <c r="A116" s="21" t="s">
        <v>100</v>
      </c>
      <c r="B116" s="10">
        <f t="shared" si="6"/>
        <v>70016305</v>
      </c>
      <c r="C116" s="2" t="s">
        <v>162</v>
      </c>
      <c r="E116" s="2" t="str">
        <f>F116&amp;(VLOOKUP(G116,编号表!$E$1:$G$8,2,0))&amp;H116&amp;"_"&amp;I116&amp;"_"&amp;J116</f>
        <v>1N5_13_5</v>
      </c>
      <c r="F116" s="2">
        <v>1</v>
      </c>
      <c r="G116" s="2" t="s">
        <v>50</v>
      </c>
      <c r="H116" s="2">
        <v>5</v>
      </c>
      <c r="I116" s="2">
        <v>13</v>
      </c>
      <c r="J116" s="2">
        <v>5</v>
      </c>
      <c r="S116" s="10">
        <v>1001310</v>
      </c>
    </row>
    <row r="117" ht="11" customHeight="1" spans="1:19">
      <c r="A117" s="21" t="s">
        <v>100</v>
      </c>
      <c r="B117" s="10">
        <f t="shared" si="6"/>
        <v>70016306</v>
      </c>
      <c r="C117" s="2" t="s">
        <v>163</v>
      </c>
      <c r="E117" s="2" t="str">
        <f>F117&amp;(VLOOKUP(G117,编号表!$E$1:$G$8,2,0))&amp;H117&amp;"_"&amp;I117&amp;"_"&amp;J117</f>
        <v>1N5_13_6</v>
      </c>
      <c r="F117" s="2">
        <v>1</v>
      </c>
      <c r="G117" s="2" t="s">
        <v>50</v>
      </c>
      <c r="H117" s="2">
        <v>5</v>
      </c>
      <c r="I117" s="2">
        <v>13</v>
      </c>
      <c r="J117" s="2">
        <v>6</v>
      </c>
      <c r="S117" s="10">
        <v>1001410</v>
      </c>
    </row>
    <row r="118" ht="11" customHeight="1" spans="1:19">
      <c r="A118" s="21" t="s">
        <v>100</v>
      </c>
      <c r="B118" s="10">
        <f t="shared" si="6"/>
        <v>70016307</v>
      </c>
      <c r="C118" s="2" t="s">
        <v>164</v>
      </c>
      <c r="E118" s="2" t="str">
        <f>F118&amp;(VLOOKUP(G118,编号表!$E$1:$G$8,2,0))&amp;H118&amp;"_"&amp;I118&amp;"_"&amp;J118</f>
        <v>1N5_13_7</v>
      </c>
      <c r="F118" s="2">
        <v>1</v>
      </c>
      <c r="G118" s="2" t="s">
        <v>50</v>
      </c>
      <c r="H118" s="2">
        <v>5</v>
      </c>
      <c r="I118" s="2">
        <v>13</v>
      </c>
      <c r="J118" s="2">
        <v>7</v>
      </c>
      <c r="S118" s="10">
        <v>1001510</v>
      </c>
    </row>
    <row r="119" ht="11" customHeight="1" spans="1:19">
      <c r="A119" s="21" t="s">
        <v>100</v>
      </c>
      <c r="B119" s="10">
        <f t="shared" si="6"/>
        <v>70016401</v>
      </c>
      <c r="C119" s="2" t="s">
        <v>165</v>
      </c>
      <c r="E119" s="2" t="str">
        <f>F119&amp;(VLOOKUP(G119,编号表!$E$1:$G$8,2,0))&amp;H119&amp;"_"&amp;I119&amp;"_"&amp;J119</f>
        <v>1N5_14_1</v>
      </c>
      <c r="F119" s="2">
        <v>1</v>
      </c>
      <c r="G119" s="2" t="s">
        <v>50</v>
      </c>
      <c r="H119" s="2">
        <v>5</v>
      </c>
      <c r="I119" s="2">
        <v>14</v>
      </c>
      <c r="J119" s="2">
        <v>1</v>
      </c>
    </row>
    <row r="120" ht="11" customHeight="1" spans="1:19">
      <c r="A120" s="21" t="s">
        <v>100</v>
      </c>
      <c r="B120" s="10">
        <f t="shared" si="6"/>
        <v>70016402</v>
      </c>
      <c r="C120" s="2" t="s">
        <v>166</v>
      </c>
      <c r="E120" s="2" t="str">
        <f>F120&amp;(VLOOKUP(G120,编号表!$E$1:$G$8,2,0))&amp;H120&amp;"_"&amp;I120&amp;"_"&amp;J120</f>
        <v>1N5_14_2</v>
      </c>
      <c r="F120" s="2">
        <v>1</v>
      </c>
      <c r="G120" s="2" t="s">
        <v>50</v>
      </c>
      <c r="H120" s="2">
        <v>5</v>
      </c>
      <c r="I120" s="2">
        <v>14</v>
      </c>
      <c r="J120" s="2">
        <v>2</v>
      </c>
    </row>
    <row r="121" ht="11" customHeight="1" spans="1:19">
      <c r="A121" s="21" t="s">
        <v>100</v>
      </c>
      <c r="B121" s="10">
        <f t="shared" si="6"/>
        <v>70016403</v>
      </c>
      <c r="C121" s="2" t="s">
        <v>167</v>
      </c>
      <c r="E121" s="2" t="str">
        <f>F121&amp;(VLOOKUP(G121,编号表!$E$1:$G$8,2,0))&amp;H121&amp;"_"&amp;I121&amp;"_"&amp;J121</f>
        <v>1N5_14_3</v>
      </c>
      <c r="F121" s="2">
        <v>1</v>
      </c>
      <c r="G121" s="2" t="s">
        <v>50</v>
      </c>
      <c r="H121" s="2">
        <v>5</v>
      </c>
      <c r="I121" s="2">
        <v>14</v>
      </c>
      <c r="J121" s="2">
        <v>3</v>
      </c>
    </row>
    <row r="122" ht="11" customHeight="1" spans="1:19">
      <c r="A122" s="21" t="s">
        <v>100</v>
      </c>
      <c r="B122" s="10">
        <f t="shared" si="6"/>
        <v>70016404</v>
      </c>
      <c r="C122" s="2" t="s">
        <v>168</v>
      </c>
      <c r="E122" s="2" t="str">
        <f>F122&amp;(VLOOKUP(G122,编号表!$E$1:$G$8,2,0))&amp;H122&amp;"_"&amp;I122&amp;"_"&amp;J122</f>
        <v>1N5_14_4</v>
      </c>
      <c r="F122" s="2">
        <v>1</v>
      </c>
      <c r="G122" s="2" t="s">
        <v>50</v>
      </c>
      <c r="H122" s="2">
        <v>5</v>
      </c>
      <c r="I122" s="2">
        <v>14</v>
      </c>
      <c r="J122" s="2">
        <v>4</v>
      </c>
    </row>
    <row r="123" ht="11" customHeight="1" spans="1:19">
      <c r="A123" s="21" t="s">
        <v>100</v>
      </c>
      <c r="B123" s="10">
        <f t="shared" si="6"/>
        <v>70016405</v>
      </c>
      <c r="C123" s="2" t="s">
        <v>169</v>
      </c>
      <c r="E123" s="2" t="str">
        <f>F123&amp;(VLOOKUP(G123,编号表!$E$1:$G$8,2,0))&amp;H123&amp;"_"&amp;I123&amp;"_"&amp;J123</f>
        <v>1N5_14_5</v>
      </c>
      <c r="F123" s="2">
        <v>1</v>
      </c>
      <c r="G123" s="2" t="s">
        <v>50</v>
      </c>
      <c r="H123" s="2">
        <v>5</v>
      </c>
      <c r="I123" s="2">
        <v>14</v>
      </c>
      <c r="J123" s="2">
        <v>5</v>
      </c>
    </row>
    <row r="124" ht="11" customHeight="1" spans="1:19">
      <c r="A124" s="21" t="s">
        <v>100</v>
      </c>
      <c r="B124" s="10">
        <f t="shared" si="6"/>
        <v>70016406</v>
      </c>
      <c r="C124" s="2" t="s">
        <v>170</v>
      </c>
      <c r="E124" s="2" t="str">
        <f>F124&amp;(VLOOKUP(G124,编号表!$E$1:$G$8,2,0))&amp;H124&amp;"_"&amp;I124&amp;"_"&amp;J124</f>
        <v>1N5_14_6</v>
      </c>
      <c r="F124" s="2">
        <v>1</v>
      </c>
      <c r="G124" s="2" t="s">
        <v>50</v>
      </c>
      <c r="H124" s="2">
        <v>5</v>
      </c>
      <c r="I124" s="2">
        <v>14</v>
      </c>
      <c r="J124" s="2">
        <v>6</v>
      </c>
    </row>
    <row r="125" ht="11" customHeight="1" spans="1:19">
      <c r="A125" s="21" t="s">
        <v>100</v>
      </c>
      <c r="B125" s="10">
        <f t="shared" si="6"/>
        <v>70016407</v>
      </c>
      <c r="C125" s="2" t="s">
        <v>171</v>
      </c>
      <c r="E125" s="2" t="str">
        <f>F125&amp;(VLOOKUP(G125,编号表!$E$1:$G$8,2,0))&amp;H125&amp;"_"&amp;I125&amp;"_"&amp;J125</f>
        <v>1N5_14_7</v>
      </c>
      <c r="F125" s="2">
        <v>1</v>
      </c>
      <c r="G125" s="2" t="s">
        <v>50</v>
      </c>
      <c r="H125" s="2">
        <v>5</v>
      </c>
      <c r="I125" s="2">
        <v>14</v>
      </c>
      <c r="J125" s="2">
        <v>7</v>
      </c>
    </row>
    <row r="126" ht="11" customHeight="1" spans="1:19">
      <c r="A126" s="21" t="s">
        <v>100</v>
      </c>
      <c r="B126" s="10">
        <f t="shared" si="6"/>
        <v>70016408</v>
      </c>
      <c r="C126" s="2" t="s">
        <v>172</v>
      </c>
      <c r="E126" s="2" t="str">
        <f>F126&amp;(VLOOKUP(G126,编号表!$E$1:$G$8,2,0))&amp;H126&amp;"_"&amp;I126&amp;"_"&amp;J126</f>
        <v>1N5_14_8</v>
      </c>
      <c r="F126" s="2">
        <v>1</v>
      </c>
      <c r="G126" s="2" t="s">
        <v>50</v>
      </c>
      <c r="H126" s="2">
        <v>5</v>
      </c>
      <c r="I126" s="2">
        <v>14</v>
      </c>
      <c r="J126" s="2">
        <v>8</v>
      </c>
    </row>
    <row r="127" ht="11" customHeight="1" spans="1:19">
      <c r="A127" s="21" t="s">
        <v>100</v>
      </c>
      <c r="B127" s="10">
        <f t="shared" si="6"/>
        <v>70016409</v>
      </c>
      <c r="C127" s="2" t="s">
        <v>173</v>
      </c>
      <c r="E127" s="2" t="str">
        <f>F127&amp;(VLOOKUP(G127,编号表!$E$1:$G$8,2,0))&amp;H127&amp;"_"&amp;I127&amp;"_"&amp;J127</f>
        <v>1N5_14_9</v>
      </c>
      <c r="F127" s="2">
        <v>1</v>
      </c>
      <c r="G127" s="2" t="s">
        <v>50</v>
      </c>
      <c r="H127" s="2">
        <v>5</v>
      </c>
      <c r="I127" s="2">
        <v>14</v>
      </c>
      <c r="J127" s="2">
        <v>9</v>
      </c>
    </row>
    <row r="128" ht="11" customHeight="1" spans="1:19">
      <c r="A128" s="21" t="s">
        <v>100</v>
      </c>
      <c r="B128" s="10">
        <f t="shared" si="6"/>
        <v>70016410</v>
      </c>
      <c r="C128" s="2" t="s">
        <v>174</v>
      </c>
      <c r="E128" s="2" t="str">
        <f>F128&amp;(VLOOKUP(G128,编号表!$E$1:$G$8,2,0))&amp;H128&amp;"_"&amp;I128&amp;"_"&amp;J128</f>
        <v>1N5_14_10</v>
      </c>
      <c r="F128" s="2">
        <v>1</v>
      </c>
      <c r="G128" s="2" t="s">
        <v>50</v>
      </c>
      <c r="H128" s="2">
        <v>5</v>
      </c>
      <c r="I128" s="2">
        <v>14</v>
      </c>
      <c r="J128" s="2">
        <v>10</v>
      </c>
    </row>
    <row r="129" ht="11" customHeight="1" spans="1:12">
      <c r="A129" s="21" t="s">
        <v>100</v>
      </c>
      <c r="B129" s="10">
        <f t="shared" si="6"/>
        <v>70016411</v>
      </c>
      <c r="C129" s="2" t="s">
        <v>175</v>
      </c>
      <c r="E129" s="2" t="str">
        <f>F129&amp;(VLOOKUP(G129,编号表!$E$1:$G$8,2,0))&amp;H129&amp;"_"&amp;I129&amp;"_"&amp;J129</f>
        <v>1N5_14_11</v>
      </c>
      <c r="F129" s="2">
        <v>1</v>
      </c>
      <c r="G129" s="2" t="s">
        <v>50</v>
      </c>
      <c r="H129" s="2">
        <v>5</v>
      </c>
      <c r="I129" s="2">
        <v>14</v>
      </c>
      <c r="J129" s="2">
        <v>11</v>
      </c>
    </row>
    <row r="130" ht="11" customHeight="1" spans="1:12">
      <c r="A130" s="21" t="s">
        <v>100</v>
      </c>
      <c r="B130" s="10">
        <f t="shared" si="6"/>
        <v>70016412</v>
      </c>
      <c r="C130" s="2" t="s">
        <v>176</v>
      </c>
      <c r="E130" s="2" t="str">
        <f>F130&amp;(VLOOKUP(G130,编号表!$E$1:$G$8,2,0))&amp;H130&amp;"_"&amp;I130&amp;"_"&amp;J130</f>
        <v>1N5_14_12</v>
      </c>
      <c r="F130" s="2">
        <v>1</v>
      </c>
      <c r="G130" s="2" t="s">
        <v>50</v>
      </c>
      <c r="H130" s="2">
        <v>5</v>
      </c>
      <c r="I130" s="2">
        <v>14</v>
      </c>
      <c r="J130" s="2">
        <v>12</v>
      </c>
    </row>
    <row r="131" ht="11" customHeight="1" spans="1:12">
      <c r="A131" s="21" t="s">
        <v>100</v>
      </c>
      <c r="B131" s="10">
        <f t="shared" si="6"/>
        <v>70016413</v>
      </c>
      <c r="C131" s="2" t="s">
        <v>177</v>
      </c>
      <c r="E131" s="2" t="str">
        <f>F131&amp;(VLOOKUP(G131,编号表!$E$1:$G$8,2,0))&amp;H131&amp;"_"&amp;I131&amp;"_"&amp;J131</f>
        <v>1N5_14_13</v>
      </c>
      <c r="F131" s="2">
        <v>1</v>
      </c>
      <c r="G131" s="2" t="s">
        <v>50</v>
      </c>
      <c r="H131" s="2">
        <v>5</v>
      </c>
      <c r="I131" s="2">
        <v>14</v>
      </c>
      <c r="J131" s="2">
        <v>13</v>
      </c>
    </row>
    <row r="132" ht="11" customHeight="1" spans="1:12">
      <c r="A132" s="21" t="s">
        <v>100</v>
      </c>
      <c r="B132" s="10">
        <f t="shared" si="6"/>
        <v>70016414</v>
      </c>
      <c r="C132" s="2" t="s">
        <v>178</v>
      </c>
      <c r="E132" s="2" t="str">
        <f>F132&amp;(VLOOKUP(G132,编号表!$E$1:$G$8,2,0))&amp;H132&amp;"_"&amp;I132&amp;"_"&amp;J132</f>
        <v>1N5_14_14</v>
      </c>
      <c r="F132" s="2">
        <v>1</v>
      </c>
      <c r="G132" s="2" t="s">
        <v>50</v>
      </c>
      <c r="H132" s="2">
        <v>5</v>
      </c>
      <c r="I132" s="2">
        <v>14</v>
      </c>
      <c r="J132" s="2">
        <v>14</v>
      </c>
    </row>
    <row r="133" ht="11" customHeight="1" spans="1:12">
      <c r="A133" s="21" t="s">
        <v>100</v>
      </c>
      <c r="B133" s="10">
        <f t="shared" si="6"/>
        <v>70016415</v>
      </c>
      <c r="C133" s="2" t="s">
        <v>179</v>
      </c>
      <c r="E133" s="2" t="str">
        <f>F133&amp;(VLOOKUP(G133,编号表!$E$1:$G$8,2,0))&amp;H133&amp;"_"&amp;I133&amp;"_"&amp;J133</f>
        <v>1N5_14_15</v>
      </c>
      <c r="F133" s="2">
        <v>1</v>
      </c>
      <c r="G133" s="2" t="s">
        <v>50</v>
      </c>
      <c r="H133" s="2">
        <v>5</v>
      </c>
      <c r="I133" s="2">
        <v>14</v>
      </c>
      <c r="J133" s="2">
        <v>15</v>
      </c>
    </row>
    <row r="134" ht="11" customHeight="1" spans="1:12">
      <c r="A134" s="21" t="s">
        <v>100</v>
      </c>
      <c r="B134" s="10">
        <f t="shared" si="6"/>
        <v>70016416</v>
      </c>
      <c r="C134" s="2" t="s">
        <v>180</v>
      </c>
      <c r="E134" s="2" t="str">
        <f>F134&amp;(VLOOKUP(G134,编号表!$E$1:$G$8,2,0))&amp;H134&amp;"_"&amp;I134&amp;"_"&amp;J134</f>
        <v>1N5_14_16</v>
      </c>
      <c r="F134" s="2">
        <v>1</v>
      </c>
      <c r="G134" s="2" t="s">
        <v>50</v>
      </c>
      <c r="H134" s="2">
        <v>5</v>
      </c>
      <c r="I134" s="2">
        <v>14</v>
      </c>
      <c r="J134" s="2">
        <v>16</v>
      </c>
    </row>
    <row r="135" ht="11" customHeight="1" spans="1:12">
      <c r="A135" s="21" t="s">
        <v>100</v>
      </c>
      <c r="B135" s="10">
        <f t="shared" si="6"/>
        <v>70016417</v>
      </c>
      <c r="C135" s="2" t="s">
        <v>181</v>
      </c>
      <c r="E135" s="2" t="str">
        <f>F135&amp;(VLOOKUP(G135,编号表!$E$1:$G$8,2,0))&amp;H135&amp;"_"&amp;I135&amp;"_"&amp;J135</f>
        <v>1N5_14_17</v>
      </c>
      <c r="F135" s="2">
        <v>1</v>
      </c>
      <c r="G135" s="2" t="s">
        <v>50</v>
      </c>
      <c r="H135" s="2">
        <v>5</v>
      </c>
      <c r="I135" s="2">
        <v>14</v>
      </c>
      <c r="J135" s="2">
        <v>17</v>
      </c>
    </row>
    <row r="136" ht="11" customHeight="1" spans="1:12">
      <c r="A136" s="21" t="s">
        <v>100</v>
      </c>
      <c r="B136" s="10">
        <f t="shared" si="6"/>
        <v>70016418</v>
      </c>
      <c r="C136" s="2" t="s">
        <v>182</v>
      </c>
      <c r="E136" s="2" t="str">
        <f>F136&amp;(VLOOKUP(G136,编号表!$E$1:$G$8,2,0))&amp;H136&amp;"_"&amp;I136&amp;"_"&amp;J136</f>
        <v>1N5_14_18</v>
      </c>
      <c r="F136" s="2">
        <v>1</v>
      </c>
      <c r="G136" s="2" t="s">
        <v>50</v>
      </c>
      <c r="H136" s="2">
        <v>5</v>
      </c>
      <c r="I136" s="2">
        <v>14</v>
      </c>
      <c r="J136" s="2">
        <v>18</v>
      </c>
    </row>
    <row r="137" ht="11" customHeight="1" spans="1:12">
      <c r="A137" s="21" t="s">
        <v>100</v>
      </c>
      <c r="B137" s="10">
        <f t="shared" si="6"/>
        <v>70016419</v>
      </c>
      <c r="C137" s="2" t="s">
        <v>183</v>
      </c>
      <c r="E137" s="2" t="str">
        <f>F137&amp;(VLOOKUP(G137,编号表!$E$1:$G$8,2,0))&amp;H137&amp;"_"&amp;I137&amp;"_"&amp;J137</f>
        <v>1N5_14_19</v>
      </c>
      <c r="F137" s="2">
        <v>1</v>
      </c>
      <c r="G137" s="2" t="s">
        <v>50</v>
      </c>
      <c r="H137" s="2">
        <v>5</v>
      </c>
      <c r="I137" s="2">
        <v>14</v>
      </c>
      <c r="J137" s="2">
        <v>19</v>
      </c>
    </row>
    <row r="138" ht="11" customHeight="1" spans="1:12">
      <c r="A138" s="21" t="s">
        <v>100</v>
      </c>
      <c r="B138" s="10">
        <f t="shared" si="6"/>
        <v>70016420</v>
      </c>
      <c r="C138" s="2" t="s">
        <v>184</v>
      </c>
      <c r="E138" s="2" t="str">
        <f>F138&amp;(VLOOKUP(G138,编号表!$E$1:$G$8,2,0))&amp;H138&amp;"_"&amp;I138&amp;"_"&amp;J138</f>
        <v>1N5_14_20</v>
      </c>
      <c r="F138" s="2">
        <v>1</v>
      </c>
      <c r="G138" s="2" t="s">
        <v>50</v>
      </c>
      <c r="H138" s="2">
        <v>5</v>
      </c>
      <c r="I138" s="2">
        <v>14</v>
      </c>
      <c r="J138" s="2">
        <v>20</v>
      </c>
    </row>
    <row r="139" ht="11" customHeight="1" spans="1:12">
      <c r="A139" s="21" t="s">
        <v>100</v>
      </c>
      <c r="B139" s="10">
        <f t="shared" si="6"/>
        <v>70016421</v>
      </c>
      <c r="C139" s="2" t="s">
        <v>185</v>
      </c>
      <c r="E139" s="2" t="str">
        <f>F139&amp;(VLOOKUP(G139,编号表!$E$1:$G$8,2,0))&amp;H139&amp;"_"&amp;I139&amp;"_"&amp;J139</f>
        <v>1N5_14_21</v>
      </c>
      <c r="F139" s="2">
        <v>1</v>
      </c>
      <c r="G139" s="2" t="s">
        <v>50</v>
      </c>
      <c r="H139" s="2">
        <v>5</v>
      </c>
      <c r="I139" s="2">
        <v>14</v>
      </c>
      <c r="J139" s="2">
        <v>21</v>
      </c>
    </row>
    <row r="140" ht="11" customHeight="1" spans="1:12">
      <c r="A140" s="21" t="s">
        <v>100</v>
      </c>
      <c r="B140" s="10">
        <f t="shared" si="6"/>
        <v>70016422</v>
      </c>
      <c r="C140" s="2" t="s">
        <v>186</v>
      </c>
      <c r="E140" s="2" t="str">
        <f>F140&amp;(VLOOKUP(G140,编号表!$E$1:$G$8,2,0))&amp;H140&amp;"_"&amp;I140&amp;"_"&amp;J140</f>
        <v>1N5_14_22</v>
      </c>
      <c r="F140" s="2">
        <v>1</v>
      </c>
      <c r="G140" s="2" t="s">
        <v>50</v>
      </c>
      <c r="H140" s="2">
        <v>5</v>
      </c>
      <c r="I140" s="2">
        <v>14</v>
      </c>
      <c r="J140" s="2">
        <v>22</v>
      </c>
    </row>
    <row r="141" spans="1:12">
      <c r="A141" s="21"/>
      <c r="B141" s="10">
        <f>70000000+F141*10000+H141*1000+I141*100+J141</f>
        <v>70011001</v>
      </c>
      <c r="C141" s="22" t="s">
        <v>187</v>
      </c>
      <c r="E141" s="2" t="str">
        <f>F141&amp;(VLOOKUP(G141,编号表!$E$1:$G$8,2,0))&amp;H141&amp;"_"&amp;I141&amp;"_"&amp;J141</f>
        <v>1J1_0_1</v>
      </c>
      <c r="F141" s="2">
        <v>1</v>
      </c>
      <c r="G141" s="2" t="s">
        <v>188</v>
      </c>
      <c r="H141" s="2">
        <v>1</v>
      </c>
      <c r="I141" s="2">
        <v>0</v>
      </c>
      <c r="J141" s="2">
        <v>1</v>
      </c>
      <c r="K141" s="2">
        <v>1</v>
      </c>
    </row>
    <row r="142" spans="1:12">
      <c r="A142" s="21"/>
      <c r="B142" s="10">
        <f>70000000+F142*10000+H142*1000+I142*100+J142</f>
        <v>70015001</v>
      </c>
      <c r="C142" s="23" t="s">
        <v>189</v>
      </c>
      <c r="E142" s="2" t="str">
        <f>F142&amp;(VLOOKUP(G142,编号表!$E$1:$G$8,2,0))&amp;H142&amp;"_"&amp;I142&amp;"_"&amp;J142</f>
        <v>1T5_0_1</v>
      </c>
      <c r="F142" s="2">
        <v>1</v>
      </c>
      <c r="G142" s="2" t="s">
        <v>190</v>
      </c>
      <c r="H142" s="2">
        <v>5</v>
      </c>
      <c r="I142" s="2">
        <v>0</v>
      </c>
      <c r="J142" s="2">
        <v>1</v>
      </c>
      <c r="L142" s="2">
        <v>1</v>
      </c>
    </row>
    <row r="143" spans="1:12">
      <c r="A143" s="21"/>
      <c r="B143" s="10">
        <f t="shared" ref="B143:B150" si="7">70000000+F143*10000+H143*1000+I143*100+J143</f>
        <v>70025101</v>
      </c>
      <c r="C143" s="2" t="s">
        <v>191</v>
      </c>
      <c r="E143" s="2" t="str">
        <f>F143&amp;(VLOOKUP(G143,编号表!$E$1:$G$8,2,0))&amp;H143&amp;"_"&amp;I143&amp;"_"&amp;J143</f>
        <v>2N5_1_1</v>
      </c>
      <c r="F143" s="2">
        <v>2</v>
      </c>
      <c r="G143" s="2" t="s">
        <v>50</v>
      </c>
      <c r="H143" s="2">
        <v>5</v>
      </c>
      <c r="I143" s="2">
        <v>1</v>
      </c>
      <c r="J143" s="2">
        <f>COUNTIFS($F$5:F143,F143,$I$5:I143,I143)</f>
        <v>1</v>
      </c>
    </row>
    <row r="144" spans="1:12">
      <c r="A144" s="21"/>
      <c r="B144" s="10">
        <f t="shared" si="7"/>
        <v>70025102</v>
      </c>
      <c r="C144" s="2" t="s">
        <v>192</v>
      </c>
      <c r="E144" s="2" t="str">
        <f>F144&amp;(VLOOKUP(G144,编号表!$E$1:$G$8,2,0))&amp;H144&amp;"_"&amp;I144&amp;"_"&amp;J144</f>
        <v>2N5_1_2</v>
      </c>
      <c r="F144" s="2">
        <v>2</v>
      </c>
      <c r="G144" s="2" t="s">
        <v>50</v>
      </c>
      <c r="H144" s="2">
        <v>5</v>
      </c>
      <c r="I144" s="2">
        <v>1</v>
      </c>
      <c r="J144" s="2">
        <v>2</v>
      </c>
    </row>
    <row r="145" spans="1:12">
      <c r="A145" s="21"/>
      <c r="B145" s="10">
        <f t="shared" si="7"/>
        <v>70025103</v>
      </c>
      <c r="C145" s="2" t="s">
        <v>193</v>
      </c>
      <c r="E145" s="2" t="str">
        <f>F145&amp;(VLOOKUP(G145,编号表!$E$1:$G$8,2,0))&amp;H145&amp;"_"&amp;I145&amp;"_"&amp;J145</f>
        <v>2N5_1_3</v>
      </c>
      <c r="F145" s="2">
        <v>2</v>
      </c>
      <c r="G145" s="2" t="s">
        <v>50</v>
      </c>
      <c r="H145" s="2">
        <v>5</v>
      </c>
      <c r="I145" s="2">
        <v>1</v>
      </c>
      <c r="J145" s="2">
        <v>3</v>
      </c>
    </row>
    <row r="146" spans="1:12">
      <c r="A146" s="21"/>
      <c r="B146" s="10">
        <f t="shared" si="7"/>
        <v>70025201</v>
      </c>
      <c r="C146" s="2" t="s">
        <v>194</v>
      </c>
      <c r="E146" s="2" t="str">
        <f>F146&amp;(VLOOKUP(G146,编号表!$E$1:$G$8,2,0))&amp;H146&amp;"_"&amp;I146&amp;"_"&amp;J146</f>
        <v>2N5_2_1</v>
      </c>
      <c r="F146" s="2">
        <v>2</v>
      </c>
      <c r="G146" s="2" t="s">
        <v>50</v>
      </c>
      <c r="H146" s="2">
        <v>5</v>
      </c>
      <c r="I146" s="2">
        <v>2</v>
      </c>
      <c r="J146" s="2">
        <v>1</v>
      </c>
    </row>
    <row r="147" spans="1:12">
      <c r="A147" s="21"/>
      <c r="B147" s="10">
        <f t="shared" si="7"/>
        <v>70025202</v>
      </c>
      <c r="C147" s="2" t="s">
        <v>195</v>
      </c>
      <c r="E147" s="2" t="str">
        <f>F147&amp;(VLOOKUP(G147,编号表!$E$1:$G$8,2,0))&amp;H147&amp;"_"&amp;I147&amp;"_"&amp;J147</f>
        <v>2N5_2_2</v>
      </c>
      <c r="F147" s="2">
        <v>2</v>
      </c>
      <c r="G147" s="2" t="s">
        <v>50</v>
      </c>
      <c r="H147" s="2">
        <v>5</v>
      </c>
      <c r="I147" s="2">
        <v>2</v>
      </c>
      <c r="J147" s="2">
        <v>2</v>
      </c>
    </row>
    <row r="148" spans="1:12">
      <c r="A148" s="21"/>
      <c r="B148" s="10">
        <f t="shared" si="7"/>
        <v>70025301</v>
      </c>
      <c r="C148" s="2" t="s">
        <v>196</v>
      </c>
      <c r="E148" s="2" t="str">
        <f>F148&amp;(VLOOKUP(G148,编号表!$E$1:$G$8,2,0))&amp;H148&amp;"_"&amp;I148&amp;"_"&amp;J148</f>
        <v>2N5_3_1</v>
      </c>
      <c r="F148" s="2">
        <v>2</v>
      </c>
      <c r="G148" s="2" t="s">
        <v>50</v>
      </c>
      <c r="H148" s="2">
        <v>5</v>
      </c>
      <c r="I148" s="2">
        <v>3</v>
      </c>
      <c r="J148" s="2">
        <f>COUNTIFS($F$5:F148,F148,$I$5:I148,I148)</f>
        <v>1</v>
      </c>
    </row>
    <row r="149" spans="1:12">
      <c r="A149" s="21"/>
      <c r="B149" s="10">
        <f t="shared" si="7"/>
        <v>70025302</v>
      </c>
      <c r="C149" s="2" t="s">
        <v>197</v>
      </c>
      <c r="E149" s="2" t="str">
        <f>F149&amp;(VLOOKUP(G149,编号表!$E$1:$G$8,2,0))&amp;H149&amp;"_"&amp;I149&amp;"_"&amp;J149</f>
        <v>2N5_3_2</v>
      </c>
      <c r="F149" s="2">
        <v>2</v>
      </c>
      <c r="G149" s="2" t="s">
        <v>50</v>
      </c>
      <c r="H149" s="2">
        <v>5</v>
      </c>
      <c r="I149" s="2">
        <v>3</v>
      </c>
      <c r="J149" s="2">
        <f>COUNTIFS($F$5:F149,F149,$I$5:I149,I149)</f>
        <v>2</v>
      </c>
    </row>
    <row r="150" spans="1:12">
      <c r="A150" s="21"/>
      <c r="B150" s="10">
        <f t="shared" si="7"/>
        <v>70025401</v>
      </c>
      <c r="C150" s="2" t="s">
        <v>198</v>
      </c>
      <c r="E150" s="2" t="str">
        <f>F150&amp;(VLOOKUP(G150,编号表!$E$1:$G$8,2,0))&amp;H150&amp;"_"&amp;I150&amp;"_"&amp;J150</f>
        <v>2N5_4_1</v>
      </c>
      <c r="F150" s="2">
        <v>2</v>
      </c>
      <c r="G150" s="2" t="s">
        <v>50</v>
      </c>
      <c r="H150" s="2">
        <v>5</v>
      </c>
      <c r="I150" s="2">
        <v>4</v>
      </c>
      <c r="J150" s="2">
        <v>1</v>
      </c>
    </row>
    <row r="151" spans="1:12">
      <c r="A151" s="21"/>
      <c r="B151" s="10">
        <f t="shared" ref="B151:B162" si="8">70000000+F151*10000+H151*1000+I151*100+J151</f>
        <v>70025402</v>
      </c>
      <c r="C151" s="2" t="s">
        <v>199</v>
      </c>
      <c r="E151" s="2" t="str">
        <f>F151&amp;(VLOOKUP(G151,编号表!$E$1:$G$8,2,0))&amp;H151&amp;"_"&amp;I151&amp;"_"&amp;J151</f>
        <v>2N5_4_2</v>
      </c>
      <c r="F151" s="2">
        <v>2</v>
      </c>
      <c r="G151" s="2" t="s">
        <v>50</v>
      </c>
      <c r="H151" s="2">
        <v>5</v>
      </c>
      <c r="I151" s="2">
        <v>4</v>
      </c>
      <c r="J151" s="2">
        <f>COUNTIFS($F$5:F151,F151,$I$5:I151,I151)</f>
        <v>2</v>
      </c>
    </row>
    <row r="152" spans="1:12">
      <c r="A152" s="21"/>
      <c r="B152" s="10">
        <f t="shared" si="8"/>
        <v>70025501</v>
      </c>
      <c r="C152" s="2" t="s">
        <v>200</v>
      </c>
      <c r="E152" s="2" t="str">
        <f>F152&amp;(VLOOKUP(G152,编号表!$E$1:$G$8,2,0))&amp;H152&amp;"_"&amp;I152&amp;"_"&amp;J152</f>
        <v>2N5_5_1</v>
      </c>
      <c r="F152" s="2">
        <v>2</v>
      </c>
      <c r="G152" s="2" t="s">
        <v>50</v>
      </c>
      <c r="H152" s="2">
        <v>5</v>
      </c>
      <c r="I152" s="2">
        <v>5</v>
      </c>
      <c r="J152" s="2">
        <f>COUNTIFS($F$5:F152,F152,$I$5:I152,I152)</f>
        <v>1</v>
      </c>
    </row>
    <row r="153" spans="1:12">
      <c r="A153" s="21"/>
      <c r="B153" s="10">
        <f t="shared" si="8"/>
        <v>70025502</v>
      </c>
      <c r="C153" s="2" t="s">
        <v>201</v>
      </c>
      <c r="E153" s="2" t="str">
        <f>F153&amp;(VLOOKUP(G153,编号表!$E$1:$G$8,2,0))&amp;H153&amp;"_"&amp;I153&amp;"_"&amp;J153</f>
        <v>2N5_5_2</v>
      </c>
      <c r="F153" s="2">
        <v>2</v>
      </c>
      <c r="G153" s="2" t="s">
        <v>50</v>
      </c>
      <c r="H153" s="2">
        <v>5</v>
      </c>
      <c r="I153" s="2">
        <v>5</v>
      </c>
      <c r="J153" s="2">
        <f>COUNTIFS($F$5:F153,F153,$I$5:I153,I153)</f>
        <v>2</v>
      </c>
    </row>
    <row r="154" spans="1:12">
      <c r="A154" s="21"/>
      <c r="B154" s="10">
        <f t="shared" si="8"/>
        <v>70025503</v>
      </c>
      <c r="C154" s="2" t="s">
        <v>202</v>
      </c>
      <c r="E154" s="2" t="str">
        <f>F154&amp;(VLOOKUP(G154,编号表!$E$1:$G$8,2,0))&amp;H154&amp;"_"&amp;I154&amp;"_"&amp;J154</f>
        <v>2N5_5_3</v>
      </c>
      <c r="F154" s="2">
        <v>2</v>
      </c>
      <c r="G154" s="2" t="s">
        <v>50</v>
      </c>
      <c r="H154" s="2">
        <v>5</v>
      </c>
      <c r="I154" s="2">
        <v>5</v>
      </c>
      <c r="J154" s="2">
        <f>COUNTIFS($F$5:F154,F154,$I$5:I154,I154)</f>
        <v>3</v>
      </c>
    </row>
    <row r="155" spans="1:12">
      <c r="A155" s="21"/>
      <c r="B155" s="10">
        <f t="shared" si="8"/>
        <v>70025001</v>
      </c>
      <c r="C155" s="22" t="s">
        <v>203</v>
      </c>
      <c r="E155" s="2" t="str">
        <f>F155&amp;(VLOOKUP(G155,编号表!$E$1:$G$8,2,0))&amp;H155&amp;"_"&amp;I155&amp;"_"&amp;J155</f>
        <v>2J5_0_1</v>
      </c>
      <c r="F155" s="2">
        <v>2</v>
      </c>
      <c r="G155" s="2" t="s">
        <v>188</v>
      </c>
      <c r="H155" s="2">
        <v>5</v>
      </c>
      <c r="I155" s="2">
        <v>0</v>
      </c>
      <c r="J155" s="2">
        <f>COUNTIFS($F$5:F155,F155,$I$5:I155,I155)</f>
        <v>1</v>
      </c>
      <c r="K155" s="2">
        <v>1</v>
      </c>
    </row>
    <row r="156" spans="1:12">
      <c r="A156" s="21"/>
      <c r="B156" s="10">
        <f t="shared" si="8"/>
        <v>70021001</v>
      </c>
      <c r="C156" s="23" t="s">
        <v>204</v>
      </c>
      <c r="E156" s="2" t="str">
        <f>F156&amp;(VLOOKUP(G156,编号表!$E$1:$G$8,2,0))&amp;H156&amp;"_"&amp;I156&amp;"_"&amp;J156</f>
        <v>2T1_0_1</v>
      </c>
      <c r="F156" s="2">
        <v>2</v>
      </c>
      <c r="G156" s="2" t="s">
        <v>190</v>
      </c>
      <c r="H156" s="2">
        <v>1</v>
      </c>
      <c r="I156" s="2">
        <v>0</v>
      </c>
      <c r="J156" s="2">
        <v>1</v>
      </c>
      <c r="L156" s="2">
        <v>1</v>
      </c>
    </row>
    <row r="157" spans="1:12">
      <c r="A157" s="21"/>
      <c r="B157" s="10">
        <f t="shared" si="8"/>
        <v>70035101</v>
      </c>
      <c r="C157" s="2" t="s">
        <v>205</v>
      </c>
      <c r="E157" s="2" t="str">
        <f>F157&amp;(VLOOKUP(G157,编号表!$E$1:$G$8,2,0))&amp;H157&amp;"_"&amp;I157&amp;"_"&amp;J157</f>
        <v>3N5_1_1</v>
      </c>
      <c r="F157" s="2">
        <v>3</v>
      </c>
      <c r="G157" s="2" t="s">
        <v>50</v>
      </c>
      <c r="H157" s="2">
        <v>5</v>
      </c>
      <c r="I157" s="2">
        <v>1</v>
      </c>
      <c r="J157" s="2">
        <f>COUNTIFS($F$5:F157,F157,$I$5:I157,I157)</f>
        <v>1</v>
      </c>
    </row>
    <row r="158" spans="1:12">
      <c r="A158" s="21"/>
      <c r="B158" s="10">
        <f t="shared" si="8"/>
        <v>70035102</v>
      </c>
      <c r="C158" s="2" t="s">
        <v>206</v>
      </c>
      <c r="E158" s="2" t="str">
        <f>F158&amp;(VLOOKUP(G158,编号表!$E$1:$G$8,2,0))&amp;H158&amp;"_"&amp;I158&amp;"_"&amp;J158</f>
        <v>3N5_1_2</v>
      </c>
      <c r="F158" s="2">
        <v>3</v>
      </c>
      <c r="G158" s="2" t="s">
        <v>50</v>
      </c>
      <c r="H158" s="2">
        <v>5</v>
      </c>
      <c r="I158" s="2">
        <v>1</v>
      </c>
      <c r="J158" s="2">
        <f>COUNTIFS($F$5:F158,F158,$I$5:I158,I158)</f>
        <v>2</v>
      </c>
    </row>
    <row r="159" spans="1:12">
      <c r="A159" s="21"/>
      <c r="B159" s="10">
        <f t="shared" si="8"/>
        <v>70035103</v>
      </c>
      <c r="C159" s="2" t="s">
        <v>207</v>
      </c>
      <c r="E159" s="2" t="str">
        <f>F159&amp;(VLOOKUP(G159,编号表!$E$1:$G$8,2,0))&amp;H159&amp;"_"&amp;I159&amp;"_"&amp;J159</f>
        <v>3N5_1_3</v>
      </c>
      <c r="F159" s="2">
        <v>3</v>
      </c>
      <c r="G159" s="2" t="s">
        <v>50</v>
      </c>
      <c r="H159" s="2">
        <v>5</v>
      </c>
      <c r="I159" s="2">
        <v>1</v>
      </c>
      <c r="J159" s="2">
        <f>COUNTIFS($F$5:F159,F159,$I$5:I159,I159)</f>
        <v>3</v>
      </c>
    </row>
    <row r="160" spans="1:12">
      <c r="A160" s="21"/>
      <c r="B160" s="10">
        <f t="shared" si="8"/>
        <v>70035201</v>
      </c>
      <c r="C160" s="2" t="s">
        <v>208</v>
      </c>
      <c r="E160" s="2" t="str">
        <f>F160&amp;(VLOOKUP(G160,编号表!$E$1:$G$8,2,0))&amp;H160&amp;"_"&amp;I160&amp;"_"&amp;J160</f>
        <v>3N5_2_1</v>
      </c>
      <c r="F160" s="2">
        <v>3</v>
      </c>
      <c r="G160" s="2" t="s">
        <v>50</v>
      </c>
      <c r="H160" s="2">
        <v>5</v>
      </c>
      <c r="I160" s="2">
        <v>2</v>
      </c>
      <c r="J160" s="2">
        <f>COUNTIFS($F$5:F160,F160,$I$5:I160,I160)</f>
        <v>1</v>
      </c>
    </row>
    <row r="161" spans="1:12">
      <c r="A161" s="21"/>
      <c r="B161" s="10">
        <f t="shared" si="8"/>
        <v>70035202</v>
      </c>
      <c r="C161" s="2" t="s">
        <v>209</v>
      </c>
      <c r="E161" s="2" t="str">
        <f>F161&amp;(VLOOKUP(G161,编号表!$E$1:$G$8,2,0))&amp;H161&amp;"_"&amp;I161&amp;"_"&amp;J161</f>
        <v>3N5_2_2</v>
      </c>
      <c r="F161" s="2">
        <v>3</v>
      </c>
      <c r="G161" s="2" t="s">
        <v>50</v>
      </c>
      <c r="H161" s="2">
        <v>5</v>
      </c>
      <c r="I161" s="2">
        <v>2</v>
      </c>
      <c r="J161" s="2">
        <f>COUNTIFS($F$5:F161,F161,$I$5:I161,I161)</f>
        <v>2</v>
      </c>
    </row>
    <row r="162" spans="1:12">
      <c r="A162" s="21"/>
      <c r="B162" s="10">
        <f t="shared" si="8"/>
        <v>70035203</v>
      </c>
      <c r="C162" s="2" t="s">
        <v>210</v>
      </c>
      <c r="E162" s="2" t="str">
        <f>F162&amp;(VLOOKUP(G162,编号表!$E$1:$G$8,2,0))&amp;H162&amp;"_"&amp;I162&amp;"_"&amp;J162</f>
        <v>3N5_2_3</v>
      </c>
      <c r="F162" s="2">
        <v>3</v>
      </c>
      <c r="G162" s="2" t="s">
        <v>50</v>
      </c>
      <c r="H162" s="2">
        <v>5</v>
      </c>
      <c r="I162" s="2">
        <v>2</v>
      </c>
      <c r="J162" s="2">
        <f>COUNTIFS($F$5:F162,F162,$I$5:I162,I162)</f>
        <v>3</v>
      </c>
    </row>
    <row r="163" spans="1:12">
      <c r="A163" s="21"/>
      <c r="B163" s="10">
        <f t="shared" ref="B163:B168" si="9">70000000+F163*10000+H163*1000+I163*100+J163</f>
        <v>70035301</v>
      </c>
      <c r="C163" s="2" t="s">
        <v>211</v>
      </c>
      <c r="E163" s="2" t="str">
        <f>F163&amp;(VLOOKUP(G163,编号表!$E$1:$G$8,2,0))&amp;H163&amp;"_"&amp;I163&amp;"_"&amp;J163</f>
        <v>3N5_3_1</v>
      </c>
      <c r="F163" s="2">
        <v>3</v>
      </c>
      <c r="G163" s="2" t="s">
        <v>50</v>
      </c>
      <c r="H163" s="2">
        <v>5</v>
      </c>
      <c r="I163" s="2">
        <v>3</v>
      </c>
      <c r="J163" s="2">
        <f>COUNTIFS($F$5:F163,F163,$I$5:I163,I163)</f>
        <v>1</v>
      </c>
    </row>
    <row r="164" spans="1:12">
      <c r="A164" s="21"/>
      <c r="B164" s="10">
        <f t="shared" si="9"/>
        <v>70035302</v>
      </c>
      <c r="C164" s="2" t="s">
        <v>212</v>
      </c>
      <c r="E164" s="2" t="str">
        <f>F164&amp;(VLOOKUP(G164,编号表!$E$1:$G$8,2,0))&amp;H164&amp;"_"&amp;I164&amp;"_"&amp;J164</f>
        <v>3N5_3_2</v>
      </c>
      <c r="F164" s="2">
        <v>3</v>
      </c>
      <c r="G164" s="2" t="s">
        <v>50</v>
      </c>
      <c r="H164" s="2">
        <v>5</v>
      </c>
      <c r="I164" s="2">
        <v>3</v>
      </c>
      <c r="J164" s="2">
        <v>2</v>
      </c>
    </row>
    <row r="165" spans="1:12">
      <c r="A165" s="21"/>
      <c r="B165" s="10">
        <f t="shared" si="9"/>
        <v>70035303</v>
      </c>
      <c r="C165" s="2" t="s">
        <v>213</v>
      </c>
      <c r="E165" s="2" t="str">
        <f>F165&amp;(VLOOKUP(G165,编号表!$E$1:$G$8,2,0))&amp;H165&amp;"_"&amp;I165&amp;"_"&amp;J165</f>
        <v>3N5_3_3</v>
      </c>
      <c r="F165" s="2">
        <v>3</v>
      </c>
      <c r="G165" s="2" t="s">
        <v>50</v>
      </c>
      <c r="H165" s="2">
        <v>5</v>
      </c>
      <c r="I165" s="2">
        <v>3</v>
      </c>
      <c r="J165" s="2">
        <f>COUNTIFS($F$5:F165,F165,$I$5:I165,I165)</f>
        <v>3</v>
      </c>
    </row>
    <row r="166" spans="1:12">
      <c r="A166" s="21"/>
      <c r="B166" s="10">
        <f t="shared" si="9"/>
        <v>70035401</v>
      </c>
      <c r="C166" s="2" t="s">
        <v>214</v>
      </c>
      <c r="E166" s="2" t="str">
        <f>F166&amp;(VLOOKUP(G166,编号表!$E$1:$G$8,2,0))&amp;H166&amp;"_"&amp;I166&amp;"_"&amp;J166</f>
        <v>3N5_4_1</v>
      </c>
      <c r="F166" s="2">
        <v>3</v>
      </c>
      <c r="G166" s="2" t="s">
        <v>50</v>
      </c>
      <c r="H166" s="2">
        <v>5</v>
      </c>
      <c r="I166" s="2">
        <v>4</v>
      </c>
      <c r="J166" s="2">
        <f>COUNTIFS($F$5:F166,F166,$I$5:I166,I166)</f>
        <v>1</v>
      </c>
    </row>
    <row r="167" spans="1:12">
      <c r="A167" s="21"/>
      <c r="B167" s="10">
        <f t="shared" si="9"/>
        <v>70035001</v>
      </c>
      <c r="C167" s="22" t="s">
        <v>215</v>
      </c>
      <c r="E167" s="2" t="str">
        <f>F167&amp;(VLOOKUP(G167,编号表!$E$1:$G$8,2,0))&amp;H167&amp;"_"&amp;I167&amp;"_"&amp;J167</f>
        <v>3J5_0_1</v>
      </c>
      <c r="F167" s="2">
        <v>3</v>
      </c>
      <c r="G167" s="2" t="s">
        <v>188</v>
      </c>
      <c r="H167" s="2">
        <v>5</v>
      </c>
      <c r="I167" s="2">
        <v>0</v>
      </c>
      <c r="J167" s="2">
        <f>COUNTIFS($F$5:F167,F167,$I$5:I167,I167)</f>
        <v>1</v>
      </c>
      <c r="K167" s="2">
        <v>1</v>
      </c>
    </row>
    <row r="168" spans="1:12">
      <c r="A168" s="21"/>
      <c r="B168" s="10">
        <f t="shared" si="9"/>
        <v>70031001</v>
      </c>
      <c r="C168" s="23" t="s">
        <v>216</v>
      </c>
      <c r="E168" s="2" t="str">
        <f>F168&amp;(VLOOKUP(G168,编号表!$E$1:$G$8,2,0))&amp;H168&amp;"_"&amp;I168&amp;"_"&amp;J168</f>
        <v>3T1_0_1</v>
      </c>
      <c r="F168" s="2">
        <v>3</v>
      </c>
      <c r="G168" s="2" t="s">
        <v>190</v>
      </c>
      <c r="H168" s="2">
        <v>1</v>
      </c>
      <c r="I168" s="2">
        <v>0</v>
      </c>
      <c r="J168" s="2">
        <v>1</v>
      </c>
      <c r="L168" s="2">
        <v>1</v>
      </c>
    </row>
    <row r="169" spans="1:12">
      <c r="A169" s="21"/>
      <c r="B169" s="10">
        <f t="shared" ref="B169:B194" si="10">70000000+F169*10000+H169*1000+I169*100+J169</f>
        <v>70045101</v>
      </c>
      <c r="C169" s="24" t="s">
        <v>217</v>
      </c>
      <c r="E169" s="2" t="str">
        <f>F169&amp;(VLOOKUP(G169,编号表!$E$1:$G$8,2,0))&amp;H169&amp;"_"&amp;I169&amp;"_"&amp;J169</f>
        <v>4N5_1_1</v>
      </c>
      <c r="F169" s="2">
        <v>4</v>
      </c>
      <c r="G169" s="2" t="s">
        <v>50</v>
      </c>
      <c r="H169" s="2">
        <v>5</v>
      </c>
      <c r="I169" s="2">
        <v>1</v>
      </c>
      <c r="J169" s="2">
        <f>COUNTIFS($F$5:F169,F169,$I$5:I169,I169)</f>
        <v>1</v>
      </c>
    </row>
    <row r="170" spans="1:12">
      <c r="A170" s="21"/>
      <c r="B170" s="10">
        <f t="shared" si="10"/>
        <v>70045201</v>
      </c>
      <c r="C170" s="24" t="s">
        <v>218</v>
      </c>
      <c r="E170" s="2" t="str">
        <f>F170&amp;(VLOOKUP(G170,编号表!$E$1:$G$8,2,0))&amp;H170&amp;"_"&amp;I170&amp;"_"&amp;J170</f>
        <v>4N5_2_1</v>
      </c>
      <c r="F170" s="2">
        <v>4</v>
      </c>
      <c r="G170" s="2" t="s">
        <v>50</v>
      </c>
      <c r="H170" s="2">
        <v>5</v>
      </c>
      <c r="I170" s="2">
        <v>2</v>
      </c>
      <c r="J170" s="2">
        <f>COUNTIFS($F$5:F170,F170,$I$5:I170,I170)</f>
        <v>1</v>
      </c>
    </row>
    <row r="171" spans="1:12">
      <c r="A171" s="21"/>
      <c r="B171" s="10">
        <f t="shared" si="10"/>
        <v>70045202</v>
      </c>
      <c r="C171" s="24" t="s">
        <v>219</v>
      </c>
      <c r="E171" s="2" t="str">
        <f>F171&amp;(VLOOKUP(G171,编号表!$E$1:$G$8,2,0))&amp;H171&amp;"_"&amp;I171&amp;"_"&amp;J171</f>
        <v>4N5_2_2</v>
      </c>
      <c r="F171" s="2">
        <v>4</v>
      </c>
      <c r="G171" s="2" t="s">
        <v>50</v>
      </c>
      <c r="H171" s="2">
        <v>5</v>
      </c>
      <c r="I171" s="2">
        <v>2</v>
      </c>
      <c r="J171" s="2">
        <f>COUNTIFS($F$5:F171,F171,$I$5:I171,I171)</f>
        <v>2</v>
      </c>
    </row>
    <row r="172" spans="1:12">
      <c r="A172" s="21"/>
      <c r="B172" s="10">
        <f t="shared" si="10"/>
        <v>70045203</v>
      </c>
      <c r="C172" s="24" t="s">
        <v>220</v>
      </c>
      <c r="E172" s="2" t="str">
        <f>F172&amp;(VLOOKUP(G172,编号表!$E$1:$G$8,2,0))&amp;H172&amp;"_"&amp;I172&amp;"_"&amp;J172</f>
        <v>4N5_2_3</v>
      </c>
      <c r="F172" s="2">
        <v>4</v>
      </c>
      <c r="G172" s="2" t="s">
        <v>50</v>
      </c>
      <c r="H172" s="2">
        <v>5</v>
      </c>
      <c r="I172" s="2">
        <v>2</v>
      </c>
      <c r="J172" s="2">
        <f>COUNTIFS($F$5:F172,F172,$I$5:I172,I172)</f>
        <v>3</v>
      </c>
    </row>
    <row r="173" spans="1:12">
      <c r="A173" s="21"/>
      <c r="B173" s="10">
        <f t="shared" si="10"/>
        <v>70045204</v>
      </c>
      <c r="C173" s="24" t="s">
        <v>221</v>
      </c>
      <c r="E173" s="2" t="str">
        <f>F173&amp;(VLOOKUP(G173,编号表!$E$1:$G$8,2,0))&amp;H173&amp;"_"&amp;I173&amp;"_"&amp;J173</f>
        <v>4N5_2_4</v>
      </c>
      <c r="F173" s="2">
        <v>4</v>
      </c>
      <c r="G173" s="2" t="s">
        <v>50</v>
      </c>
      <c r="H173" s="2">
        <v>5</v>
      </c>
      <c r="I173" s="2">
        <v>2</v>
      </c>
      <c r="J173" s="2">
        <f>COUNTIFS($F$5:F173,F173,$I$5:I173,I173)</f>
        <v>4</v>
      </c>
    </row>
    <row r="174" spans="1:12">
      <c r="A174" s="21"/>
      <c r="B174" s="10">
        <f t="shared" si="10"/>
        <v>70045205</v>
      </c>
      <c r="C174" s="24" t="s">
        <v>222</v>
      </c>
      <c r="E174" s="2" t="str">
        <f>F174&amp;(VLOOKUP(G174,编号表!$E$1:$G$8,2,0))&amp;H174&amp;"_"&amp;I174&amp;"_"&amp;J174</f>
        <v>4N5_2_5</v>
      </c>
      <c r="F174" s="2">
        <v>4</v>
      </c>
      <c r="G174" s="2" t="s">
        <v>50</v>
      </c>
      <c r="H174" s="2">
        <v>5</v>
      </c>
      <c r="I174" s="2">
        <v>2</v>
      </c>
      <c r="J174" s="2">
        <f>COUNTIFS($F$5:F174,F174,$I$5:I174,I174)</f>
        <v>5</v>
      </c>
    </row>
    <row r="175" spans="1:12">
      <c r="A175" s="21"/>
      <c r="B175" s="10">
        <f t="shared" si="10"/>
        <v>70045301</v>
      </c>
      <c r="C175" s="24" t="s">
        <v>223</v>
      </c>
      <c r="E175" s="2" t="str">
        <f>F175&amp;(VLOOKUP(G175,编号表!$E$1:$G$8,2,0))&amp;H175&amp;"_"&amp;I175&amp;"_"&amp;J175</f>
        <v>4N5_3_1</v>
      </c>
      <c r="F175" s="2">
        <v>4</v>
      </c>
      <c r="G175" s="2" t="s">
        <v>50</v>
      </c>
      <c r="H175" s="2">
        <v>5</v>
      </c>
      <c r="I175" s="2">
        <v>3</v>
      </c>
      <c r="J175" s="2">
        <f>COUNTIFS($F$5:F175,F175,$I$5:I175,I175)</f>
        <v>1</v>
      </c>
    </row>
    <row r="176" spans="1:12">
      <c r="A176" s="21"/>
      <c r="B176" s="10">
        <f t="shared" si="10"/>
        <v>70045302</v>
      </c>
      <c r="C176" s="24" t="s">
        <v>224</v>
      </c>
      <c r="E176" s="2" t="str">
        <f>F176&amp;(VLOOKUP(G176,编号表!$E$1:$G$8,2,0))&amp;H176&amp;"_"&amp;I176&amp;"_"&amp;J176</f>
        <v>4N5_3_2</v>
      </c>
      <c r="F176" s="2">
        <v>4</v>
      </c>
      <c r="G176" s="2" t="s">
        <v>50</v>
      </c>
      <c r="H176" s="2">
        <v>5</v>
      </c>
      <c r="I176" s="2">
        <v>3</v>
      </c>
      <c r="J176" s="2">
        <f>COUNTIFS($F$5:F176,F176,$I$5:I176,I176)</f>
        <v>2</v>
      </c>
    </row>
    <row r="177" spans="1:12">
      <c r="A177" s="21"/>
      <c r="B177" s="10">
        <f t="shared" si="10"/>
        <v>70045303</v>
      </c>
      <c r="C177" s="24" t="s">
        <v>225</v>
      </c>
      <c r="E177" s="2" t="str">
        <f>F177&amp;(VLOOKUP(G177,编号表!$E$1:$G$8,2,0))&amp;H177&amp;"_"&amp;I177&amp;"_"&amp;J177</f>
        <v>4N5_3_3</v>
      </c>
      <c r="F177" s="2">
        <v>4</v>
      </c>
      <c r="G177" s="2" t="s">
        <v>50</v>
      </c>
      <c r="H177" s="2">
        <v>5</v>
      </c>
      <c r="I177" s="2">
        <v>3</v>
      </c>
      <c r="J177" s="2">
        <f>COUNTIFS($F$5:F177,F177,$I$5:I177,I177)</f>
        <v>3</v>
      </c>
    </row>
    <row r="178" spans="1:12">
      <c r="A178" s="21"/>
      <c r="B178" s="10">
        <f t="shared" si="10"/>
        <v>70045304</v>
      </c>
      <c r="C178" s="24" t="s">
        <v>226</v>
      </c>
      <c r="E178" s="2" t="str">
        <f>F178&amp;(VLOOKUP(G178,编号表!$E$1:$G$8,2,0))&amp;H178&amp;"_"&amp;I178&amp;"_"&amp;J178</f>
        <v>4N5_3_4</v>
      </c>
      <c r="F178" s="2">
        <v>4</v>
      </c>
      <c r="G178" s="2" t="s">
        <v>50</v>
      </c>
      <c r="H178" s="2">
        <v>5</v>
      </c>
      <c r="I178" s="2">
        <v>3</v>
      </c>
      <c r="J178" s="2">
        <f>COUNTIFS($F$5:F178,F178,$I$5:I178,I178)</f>
        <v>4</v>
      </c>
    </row>
    <row r="179" spans="1:12">
      <c r="A179" s="21"/>
      <c r="B179" s="10">
        <f t="shared" si="10"/>
        <v>70045305</v>
      </c>
      <c r="C179" s="24" t="s">
        <v>227</v>
      </c>
      <c r="E179" s="2" t="str">
        <f>F179&amp;(VLOOKUP(G179,编号表!$E$1:$G$8,2,0))&amp;H179&amp;"_"&amp;I179&amp;"_"&amp;J179</f>
        <v>4N5_3_5</v>
      </c>
      <c r="F179" s="2">
        <v>4</v>
      </c>
      <c r="G179" s="2" t="s">
        <v>50</v>
      </c>
      <c r="H179" s="2">
        <v>5</v>
      </c>
      <c r="I179" s="2">
        <v>3</v>
      </c>
      <c r="J179" s="2">
        <f>COUNTIFS($F$5:F179,F179,$I$5:I179,I179)</f>
        <v>5</v>
      </c>
    </row>
    <row r="180" spans="1:12">
      <c r="A180" s="21"/>
      <c r="B180" s="10">
        <f t="shared" si="10"/>
        <v>70045306</v>
      </c>
      <c r="C180" s="24" t="s">
        <v>228</v>
      </c>
      <c r="E180" s="2" t="str">
        <f>F180&amp;(VLOOKUP(G180,编号表!$E$1:$G$8,2,0))&amp;H180&amp;"_"&amp;I180&amp;"_"&amp;J180</f>
        <v>4N5_3_6</v>
      </c>
      <c r="F180" s="2">
        <v>4</v>
      </c>
      <c r="G180" s="2" t="s">
        <v>50</v>
      </c>
      <c r="H180" s="2">
        <v>5</v>
      </c>
      <c r="I180" s="2">
        <v>3</v>
      </c>
      <c r="J180" s="2">
        <f>COUNTIFS($F$5:F180,F180,$I$5:I180,I180)</f>
        <v>6</v>
      </c>
    </row>
    <row r="181" spans="1:12">
      <c r="A181" s="21"/>
      <c r="B181" s="10">
        <f t="shared" si="10"/>
        <v>70045401</v>
      </c>
      <c r="C181" s="24" t="s">
        <v>229</v>
      </c>
      <c r="E181" s="2" t="str">
        <f>F181&amp;(VLOOKUP(G181,编号表!$E$1:$G$8,2,0))&amp;H181&amp;"_"&amp;I181&amp;"_"&amp;J181</f>
        <v>4N5_4_1</v>
      </c>
      <c r="F181" s="2">
        <v>4</v>
      </c>
      <c r="G181" s="2" t="s">
        <v>50</v>
      </c>
      <c r="H181" s="2">
        <v>5</v>
      </c>
      <c r="I181" s="2">
        <v>4</v>
      </c>
      <c r="J181" s="2">
        <f>COUNTIFS($F$5:F181,F181,$I$5:I181,I181)</f>
        <v>1</v>
      </c>
    </row>
    <row r="182" spans="1:12">
      <c r="A182" s="21"/>
      <c r="B182" s="10">
        <f t="shared" si="10"/>
        <v>70045402</v>
      </c>
      <c r="C182" s="24" t="s">
        <v>230</v>
      </c>
      <c r="E182" s="2" t="str">
        <f>F182&amp;(VLOOKUP(G182,编号表!$E$1:$G$8,2,0))&amp;H182&amp;"_"&amp;I182&amp;"_"&amp;J182</f>
        <v>4N5_4_2</v>
      </c>
      <c r="F182" s="2">
        <v>4</v>
      </c>
      <c r="G182" s="2" t="s">
        <v>50</v>
      </c>
      <c r="H182" s="2">
        <v>5</v>
      </c>
      <c r="I182" s="2">
        <v>4</v>
      </c>
      <c r="J182" s="2">
        <f>COUNTIFS($F$5:F182,F182,$I$5:I182,I182)</f>
        <v>2</v>
      </c>
    </row>
    <row r="183" spans="1:12">
      <c r="A183" s="21"/>
      <c r="B183" s="10">
        <f t="shared" si="10"/>
        <v>70045403</v>
      </c>
      <c r="C183" s="24" t="s">
        <v>231</v>
      </c>
      <c r="E183" s="2" t="str">
        <f>F183&amp;(VLOOKUP(G183,编号表!$E$1:$G$8,2,0))&amp;H183&amp;"_"&amp;I183&amp;"_"&amp;J183</f>
        <v>4N5_4_3</v>
      </c>
      <c r="F183" s="2">
        <v>4</v>
      </c>
      <c r="G183" s="2" t="s">
        <v>50</v>
      </c>
      <c r="H183" s="2">
        <v>5</v>
      </c>
      <c r="I183" s="2">
        <v>4</v>
      </c>
      <c r="J183" s="2">
        <f>COUNTIFS($F$5:F183,F183,$I$5:I183,I183)</f>
        <v>3</v>
      </c>
    </row>
    <row r="184" spans="1:12">
      <c r="A184" s="21"/>
      <c r="B184" s="10">
        <f t="shared" si="10"/>
        <v>70045404</v>
      </c>
      <c r="C184" s="24" t="s">
        <v>232</v>
      </c>
      <c r="E184" s="2" t="str">
        <f>F184&amp;(VLOOKUP(G184,编号表!$E$1:$G$8,2,0))&amp;H184&amp;"_"&amp;I184&amp;"_"&amp;J184</f>
        <v>4N5_4_4</v>
      </c>
      <c r="F184" s="2">
        <v>4</v>
      </c>
      <c r="G184" s="2" t="s">
        <v>50</v>
      </c>
      <c r="H184" s="2">
        <v>5</v>
      </c>
      <c r="I184" s="2">
        <v>4</v>
      </c>
      <c r="J184" s="2">
        <f>COUNTIFS($F$5:F184,F184,$I$5:I184,I184)</f>
        <v>4</v>
      </c>
    </row>
    <row r="185" spans="1:12">
      <c r="A185" s="21"/>
      <c r="B185" s="10">
        <f t="shared" si="10"/>
        <v>70045405</v>
      </c>
      <c r="C185" s="24" t="s">
        <v>233</v>
      </c>
      <c r="E185" s="2" t="str">
        <f>F185&amp;(VLOOKUP(G185,编号表!$E$1:$G$8,2,0))&amp;H185&amp;"_"&amp;I185&amp;"_"&amp;J185</f>
        <v>4N5_4_5</v>
      </c>
      <c r="F185" s="2">
        <v>4</v>
      </c>
      <c r="G185" s="2" t="s">
        <v>50</v>
      </c>
      <c r="H185" s="2">
        <v>5</v>
      </c>
      <c r="I185" s="2">
        <v>4</v>
      </c>
      <c r="J185" s="2">
        <f>COUNTIFS($F$5:F185,F185,$I$5:I185,I185)</f>
        <v>5</v>
      </c>
    </row>
    <row r="186" spans="1:12">
      <c r="A186" s="21"/>
      <c r="B186" s="10">
        <f t="shared" si="10"/>
        <v>70045406</v>
      </c>
      <c r="C186" s="24" t="s">
        <v>234</v>
      </c>
      <c r="E186" s="2" t="str">
        <f>F186&amp;(VLOOKUP(G186,编号表!$E$1:$G$8,2,0))&amp;H186&amp;"_"&amp;I186&amp;"_"&amp;J186</f>
        <v>4N5_4_6</v>
      </c>
      <c r="F186" s="2">
        <v>4</v>
      </c>
      <c r="G186" s="2" t="s">
        <v>50</v>
      </c>
      <c r="H186" s="2">
        <v>5</v>
      </c>
      <c r="I186" s="2">
        <v>4</v>
      </c>
      <c r="J186" s="2">
        <f>COUNTIFS($F$5:F186,F186,$I$5:I186,I186)</f>
        <v>6</v>
      </c>
    </row>
    <row r="187" spans="1:12">
      <c r="A187" s="21"/>
      <c r="B187" s="10">
        <f t="shared" si="10"/>
        <v>70045501</v>
      </c>
      <c r="C187" s="24" t="s">
        <v>235</v>
      </c>
      <c r="E187" s="2" t="str">
        <f>F187&amp;(VLOOKUP(G187,编号表!$E$1:$G$8,2,0))&amp;H187&amp;"_"&amp;I187&amp;"_"&amp;J187</f>
        <v>4N5_5_1</v>
      </c>
      <c r="F187" s="2">
        <v>4</v>
      </c>
      <c r="G187" s="2" t="s">
        <v>50</v>
      </c>
      <c r="H187" s="2">
        <v>5</v>
      </c>
      <c r="I187" s="2">
        <v>5</v>
      </c>
      <c r="J187" s="2">
        <f>COUNTIFS($F$5:F187,F187,$I$5:I187,I187)</f>
        <v>1</v>
      </c>
    </row>
    <row r="188" spans="1:12">
      <c r="A188" s="21"/>
      <c r="B188" s="10">
        <f t="shared" si="10"/>
        <v>70045001</v>
      </c>
      <c r="C188" s="22" t="s">
        <v>236</v>
      </c>
      <c r="E188" s="2" t="str">
        <f>F188&amp;(VLOOKUP(G188,编号表!$E$1:$G$8,2,0))&amp;H188&amp;"_"&amp;I188&amp;"_"&amp;J188</f>
        <v>4J5_0_1</v>
      </c>
      <c r="F188" s="2">
        <v>4</v>
      </c>
      <c r="G188" s="2" t="s">
        <v>188</v>
      </c>
      <c r="H188" s="2">
        <v>5</v>
      </c>
      <c r="I188" s="2">
        <v>0</v>
      </c>
      <c r="J188" s="2">
        <v>1</v>
      </c>
      <c r="K188" s="2">
        <v>1</v>
      </c>
    </row>
    <row r="189" spans="1:12">
      <c r="A189" s="21"/>
      <c r="B189" s="10">
        <f t="shared" si="10"/>
        <v>70041001</v>
      </c>
      <c r="C189" s="23" t="s">
        <v>237</v>
      </c>
      <c r="E189" s="2" t="str">
        <f>F189&amp;(VLOOKUP(G189,编号表!$E$1:$G$8,2,0))&amp;H189&amp;"_"&amp;I189&amp;"_"&amp;J189</f>
        <v>4T1_0_1</v>
      </c>
      <c r="F189" s="2">
        <v>4</v>
      </c>
      <c r="G189" s="2" t="s">
        <v>190</v>
      </c>
      <c r="H189" s="2">
        <v>1</v>
      </c>
      <c r="I189" s="2">
        <v>0</v>
      </c>
      <c r="J189" s="2">
        <v>1</v>
      </c>
      <c r="L189" s="2">
        <v>1</v>
      </c>
    </row>
    <row r="190" spans="1:12">
      <c r="A190" s="21"/>
      <c r="B190" s="10">
        <f t="shared" si="10"/>
        <v>70055101</v>
      </c>
      <c r="C190" s="24" t="s">
        <v>238</v>
      </c>
      <c r="E190" s="2" t="str">
        <f>F190&amp;(VLOOKUP(G190,编号表!$E$1:$G$8,2,0))&amp;H190&amp;"_"&amp;I190&amp;"_"&amp;J190</f>
        <v>5N5_1_1</v>
      </c>
      <c r="F190" s="2">
        <v>5</v>
      </c>
      <c r="G190" s="2" t="s">
        <v>50</v>
      </c>
      <c r="H190" s="2">
        <v>5</v>
      </c>
      <c r="I190" s="2">
        <v>1</v>
      </c>
      <c r="J190" s="2">
        <v>1</v>
      </c>
    </row>
    <row r="191" spans="1:12">
      <c r="A191" s="21"/>
      <c r="B191" s="10">
        <f t="shared" si="10"/>
        <v>70055201</v>
      </c>
      <c r="C191" s="24" t="s">
        <v>239</v>
      </c>
      <c r="E191" s="2" t="str">
        <f>F191&amp;(VLOOKUP(G191,编号表!$E$1:$G$8,2,0))&amp;H191&amp;"_"&amp;I191&amp;"_"&amp;J191</f>
        <v>5N5_2_1</v>
      </c>
      <c r="F191" s="2">
        <v>5</v>
      </c>
      <c r="G191" s="2" t="s">
        <v>50</v>
      </c>
      <c r="H191" s="2">
        <v>5</v>
      </c>
      <c r="I191" s="2">
        <v>2</v>
      </c>
      <c r="J191" s="2">
        <v>1</v>
      </c>
    </row>
    <row r="192" spans="1:12">
      <c r="A192" s="21"/>
      <c r="B192" s="10">
        <f t="shared" si="10"/>
        <v>70055202</v>
      </c>
      <c r="C192" s="24" t="s">
        <v>240</v>
      </c>
      <c r="E192" s="2" t="str">
        <f>F192&amp;(VLOOKUP(G192,编号表!$E$1:$G$8,2,0))&amp;H192&amp;"_"&amp;I192&amp;"_"&amp;J192</f>
        <v>5N5_2_2</v>
      </c>
      <c r="F192" s="2">
        <v>5</v>
      </c>
      <c r="G192" s="2" t="s">
        <v>50</v>
      </c>
      <c r="H192" s="2">
        <v>5</v>
      </c>
      <c r="I192" s="2">
        <v>2</v>
      </c>
      <c r="J192" s="2">
        <v>2</v>
      </c>
    </row>
    <row r="193" spans="1:12">
      <c r="A193" s="21"/>
      <c r="B193" s="10">
        <f t="shared" si="10"/>
        <v>70055203</v>
      </c>
      <c r="C193" s="24" t="s">
        <v>241</v>
      </c>
      <c r="E193" s="2" t="str">
        <f>F193&amp;(VLOOKUP(G193,编号表!$E$1:$G$8,2,0))&amp;H193&amp;"_"&amp;I193&amp;"_"&amp;J193</f>
        <v>5N5_2_3</v>
      </c>
      <c r="F193" s="2">
        <v>5</v>
      </c>
      <c r="G193" s="2" t="s">
        <v>50</v>
      </c>
      <c r="H193" s="2">
        <v>5</v>
      </c>
      <c r="I193" s="2">
        <v>2</v>
      </c>
      <c r="J193" s="2">
        <v>3</v>
      </c>
    </row>
    <row r="194" spans="1:12">
      <c r="A194" s="21"/>
      <c r="B194" s="10">
        <f t="shared" si="10"/>
        <v>70055301</v>
      </c>
      <c r="C194" s="24" t="s">
        <v>242</v>
      </c>
      <c r="E194" s="2" t="str">
        <f>F194&amp;(VLOOKUP(G194,编号表!$E$1:$G$8,2,0))&amp;H194&amp;"_"&amp;I194&amp;"_"&amp;J194</f>
        <v>5N5_3_1</v>
      </c>
      <c r="F194" s="2">
        <v>5</v>
      </c>
      <c r="G194" s="2" t="s">
        <v>50</v>
      </c>
      <c r="H194" s="2">
        <v>5</v>
      </c>
      <c r="I194" s="2">
        <v>3</v>
      </c>
      <c r="J194" s="2">
        <v>1</v>
      </c>
    </row>
    <row r="195" spans="1:12">
      <c r="A195" s="21"/>
      <c r="B195" s="10">
        <f t="shared" ref="B195:B213" si="11">70000000+F195*10000+H195*1000+I195*100+J195</f>
        <v>70055302</v>
      </c>
      <c r="C195" s="24" t="s">
        <v>243</v>
      </c>
      <c r="E195" s="2" t="str">
        <f>F195&amp;(VLOOKUP(G195,编号表!$E$1:$G$8,2,0))&amp;H195&amp;"_"&amp;I195&amp;"_"&amp;J195</f>
        <v>5N5_3_2</v>
      </c>
      <c r="F195" s="2">
        <v>5</v>
      </c>
      <c r="G195" s="2" t="s">
        <v>50</v>
      </c>
      <c r="H195" s="2">
        <v>5</v>
      </c>
      <c r="I195" s="2">
        <v>3</v>
      </c>
      <c r="J195" s="2">
        <f>COUNTIFS($F$5:F195,F195,$I$5:I195,I195)</f>
        <v>2</v>
      </c>
    </row>
    <row r="196" spans="1:12">
      <c r="A196" s="21"/>
      <c r="B196" s="10">
        <f t="shared" si="11"/>
        <v>70055401</v>
      </c>
      <c r="C196" s="24" t="s">
        <v>244</v>
      </c>
      <c r="E196" s="2" t="str">
        <f>F196&amp;(VLOOKUP(G196,编号表!$E$1:$G$8,2,0))&amp;H196&amp;"_"&amp;I196&amp;"_"&amp;J196</f>
        <v>5N5_4_1</v>
      </c>
      <c r="F196" s="2">
        <v>5</v>
      </c>
      <c r="G196" s="2" t="s">
        <v>50</v>
      </c>
      <c r="H196" s="2">
        <v>5</v>
      </c>
      <c r="I196" s="2">
        <v>4</v>
      </c>
      <c r="J196" s="2">
        <f>COUNTIFS($F$5:F196,F196,$I$5:I196,I196)</f>
        <v>1</v>
      </c>
    </row>
    <row r="197" spans="1:12">
      <c r="A197" s="21"/>
      <c r="B197" s="10">
        <f t="shared" si="11"/>
        <v>70055501</v>
      </c>
      <c r="C197" s="24" t="s">
        <v>245</v>
      </c>
      <c r="E197" s="2" t="str">
        <f>F197&amp;(VLOOKUP(G197,编号表!$E$1:$G$8,2,0))&amp;H197&amp;"_"&amp;I197&amp;"_"&amp;J197</f>
        <v>5N5_5_1</v>
      </c>
      <c r="F197" s="2">
        <v>5</v>
      </c>
      <c r="G197" s="2" t="s">
        <v>50</v>
      </c>
      <c r="H197" s="2">
        <v>5</v>
      </c>
      <c r="I197" s="2">
        <v>5</v>
      </c>
      <c r="J197" s="2">
        <f>COUNTIFS($F$5:F197,F197,$I$5:I197,I197)</f>
        <v>1</v>
      </c>
    </row>
    <row r="198" spans="1:12">
      <c r="A198" s="21"/>
      <c r="B198" s="10">
        <f t="shared" si="11"/>
        <v>70055502</v>
      </c>
      <c r="C198" s="24" t="s">
        <v>246</v>
      </c>
      <c r="E198" s="2" t="str">
        <f>F198&amp;(VLOOKUP(G198,编号表!$E$1:$G$8,2,0))&amp;H198&amp;"_"&amp;I198&amp;"_"&amp;J198</f>
        <v>5N5_5_2</v>
      </c>
      <c r="F198" s="2">
        <v>5</v>
      </c>
      <c r="G198" s="2" t="s">
        <v>50</v>
      </c>
      <c r="H198" s="2">
        <v>5</v>
      </c>
      <c r="I198" s="2">
        <v>5</v>
      </c>
      <c r="J198" s="2">
        <f>COUNTIFS($F$5:F198,F198,$I$5:I198,I198)</f>
        <v>2</v>
      </c>
    </row>
    <row r="199" spans="1:12">
      <c r="A199" s="21"/>
      <c r="B199" s="10">
        <f t="shared" si="11"/>
        <v>70055503</v>
      </c>
      <c r="C199" s="24" t="s">
        <v>247</v>
      </c>
      <c r="E199" s="2" t="str">
        <f>F199&amp;(VLOOKUP(G199,编号表!$E$1:$G$8,2,0))&amp;H199&amp;"_"&amp;I199&amp;"_"&amp;J199</f>
        <v>5N5_5_3</v>
      </c>
      <c r="F199" s="2">
        <v>5</v>
      </c>
      <c r="G199" s="2" t="s">
        <v>50</v>
      </c>
      <c r="H199" s="2">
        <v>5</v>
      </c>
      <c r="I199" s="2">
        <v>5</v>
      </c>
      <c r="J199" s="2">
        <f>COUNTIFS($F$5:F199,F199,$I$5:I199,I199)</f>
        <v>3</v>
      </c>
    </row>
    <row r="200" spans="1:12">
      <c r="A200" s="21"/>
      <c r="B200" s="10">
        <f t="shared" si="11"/>
        <v>70055601</v>
      </c>
      <c r="C200" s="24" t="s">
        <v>248</v>
      </c>
      <c r="E200" s="2" t="str">
        <f>F200&amp;(VLOOKUP(G200,编号表!$E$1:$G$8,2,0))&amp;H200&amp;"_"&amp;I200&amp;"_"&amp;J200</f>
        <v>5N5_6_1</v>
      </c>
      <c r="F200" s="2">
        <v>5</v>
      </c>
      <c r="G200" s="2" t="s">
        <v>50</v>
      </c>
      <c r="H200" s="2">
        <v>5</v>
      </c>
      <c r="I200" s="2">
        <v>6</v>
      </c>
      <c r="J200" s="2">
        <f>COUNTIFS($F$5:F200,F200,$I$5:I200,I200)</f>
        <v>1</v>
      </c>
    </row>
    <row r="201" spans="1:12">
      <c r="A201" s="21"/>
      <c r="B201" s="10">
        <f t="shared" si="11"/>
        <v>70055602</v>
      </c>
      <c r="C201" s="24" t="s">
        <v>249</v>
      </c>
      <c r="E201" s="2" t="str">
        <f>F201&amp;(VLOOKUP(G201,编号表!$E$1:$G$8,2,0))&amp;H201&amp;"_"&amp;I201&amp;"_"&amp;J201</f>
        <v>5N5_6_2</v>
      </c>
      <c r="F201" s="2">
        <v>5</v>
      </c>
      <c r="G201" s="2" t="s">
        <v>50</v>
      </c>
      <c r="H201" s="2">
        <v>5</v>
      </c>
      <c r="I201" s="2">
        <v>6</v>
      </c>
      <c r="J201" s="2">
        <f>COUNTIFS($F$5:F201,F201,$I$5:I201,I201)</f>
        <v>2</v>
      </c>
    </row>
    <row r="202" spans="1:12">
      <c r="A202" s="21"/>
      <c r="B202" s="10">
        <f t="shared" si="11"/>
        <v>70055701</v>
      </c>
      <c r="C202" s="24" t="s">
        <v>250</v>
      </c>
      <c r="E202" s="2" t="str">
        <f>F202&amp;(VLOOKUP(G202,编号表!$E$1:$G$8,2,0))&amp;H202&amp;"_"&amp;I202&amp;"_"&amp;J202</f>
        <v>5N5_7_1</v>
      </c>
      <c r="F202" s="2">
        <v>5</v>
      </c>
      <c r="G202" s="2" t="s">
        <v>50</v>
      </c>
      <c r="H202" s="2">
        <v>5</v>
      </c>
      <c r="I202" s="2">
        <v>7</v>
      </c>
      <c r="J202" s="2">
        <f>COUNTIFS($F$5:F202,F202,$I$5:I202,I202)</f>
        <v>1</v>
      </c>
    </row>
    <row r="203" spans="1:12">
      <c r="A203" s="21"/>
      <c r="B203" s="10">
        <f t="shared" si="11"/>
        <v>70055702</v>
      </c>
      <c r="C203" s="24" t="s">
        <v>251</v>
      </c>
      <c r="E203" s="2" t="str">
        <f>F203&amp;(VLOOKUP(G203,编号表!$E$1:$G$8,2,0))&amp;H203&amp;"_"&amp;I203&amp;"_"&amp;J203</f>
        <v>5N5_7_2</v>
      </c>
      <c r="F203" s="2">
        <v>5</v>
      </c>
      <c r="G203" s="2" t="s">
        <v>50</v>
      </c>
      <c r="H203" s="2">
        <v>5</v>
      </c>
      <c r="I203" s="2">
        <v>7</v>
      </c>
      <c r="J203" s="2">
        <f>COUNTIFS($F$5:F203,F203,$I$5:I203,I203)</f>
        <v>2</v>
      </c>
    </row>
    <row r="204" spans="1:12">
      <c r="A204" s="21"/>
      <c r="B204" s="10">
        <f t="shared" si="11"/>
        <v>70055703</v>
      </c>
      <c r="C204" s="24" t="s">
        <v>252</v>
      </c>
      <c r="E204" s="2" t="str">
        <f>F204&amp;(VLOOKUP(G204,编号表!$E$1:$G$8,2,0))&amp;H204&amp;"_"&amp;I204&amp;"_"&amp;J204</f>
        <v>5N5_7_3</v>
      </c>
      <c r="F204" s="2">
        <v>5</v>
      </c>
      <c r="G204" s="2" t="s">
        <v>50</v>
      </c>
      <c r="H204" s="2">
        <v>5</v>
      </c>
      <c r="I204" s="2">
        <v>7</v>
      </c>
      <c r="J204" s="2">
        <f>COUNTIFS($F$5:F204,F204,$I$5:I204,I204)</f>
        <v>3</v>
      </c>
    </row>
    <row r="205" spans="1:12">
      <c r="A205" s="21"/>
      <c r="B205" s="10">
        <f t="shared" si="11"/>
        <v>70055801</v>
      </c>
      <c r="C205" s="24" t="s">
        <v>253</v>
      </c>
      <c r="E205" s="2" t="str">
        <f>F205&amp;(VLOOKUP(G205,编号表!$E$1:$G$8,2,0))&amp;H205&amp;"_"&amp;I205&amp;"_"&amp;J205</f>
        <v>5N5_8_1</v>
      </c>
      <c r="F205" s="2">
        <v>5</v>
      </c>
      <c r="G205" s="2" t="s">
        <v>50</v>
      </c>
      <c r="H205" s="2">
        <v>5</v>
      </c>
      <c r="I205" s="2">
        <v>8</v>
      </c>
      <c r="J205" s="2">
        <f>COUNTIFS($F$5:F205,F205,$I$5:I205,I205)</f>
        <v>1</v>
      </c>
    </row>
    <row r="206" spans="1:12">
      <c r="A206" s="21"/>
      <c r="B206" s="10">
        <f t="shared" si="11"/>
        <v>70055802</v>
      </c>
      <c r="C206" s="24" t="s">
        <v>254</v>
      </c>
      <c r="E206" s="2" t="str">
        <f>F206&amp;(VLOOKUP(G206,编号表!$E$1:$G$8,2,0))&amp;H206&amp;"_"&amp;I206&amp;"_"&amp;J206</f>
        <v>5N5_8_2</v>
      </c>
      <c r="F206" s="2">
        <v>5</v>
      </c>
      <c r="G206" s="2" t="s">
        <v>50</v>
      </c>
      <c r="H206" s="2">
        <v>5</v>
      </c>
      <c r="I206" s="2">
        <v>8</v>
      </c>
      <c r="J206" s="2">
        <f>COUNTIFS($F$5:F206,F206,$I$5:I206,I206)</f>
        <v>2</v>
      </c>
    </row>
    <row r="207" spans="1:12">
      <c r="A207" s="21"/>
      <c r="B207" s="10">
        <f t="shared" si="11"/>
        <v>70055001</v>
      </c>
      <c r="C207" s="25" t="s">
        <v>255</v>
      </c>
      <c r="E207" s="2" t="str">
        <f>F207&amp;(VLOOKUP(G207,编号表!$E$1:$G$8,2,0))&amp;H207&amp;"_"&amp;I207&amp;"_"&amp;J207</f>
        <v>5J5_0_1</v>
      </c>
      <c r="F207" s="2">
        <v>5</v>
      </c>
      <c r="G207" s="2" t="s">
        <v>188</v>
      </c>
      <c r="H207" s="2">
        <v>5</v>
      </c>
      <c r="I207" s="2">
        <v>0</v>
      </c>
      <c r="J207" s="2">
        <f>COUNTIFS($F$5:F207,F207,$I$5:I207,I207)</f>
        <v>1</v>
      </c>
      <c r="K207" s="2">
        <v>1</v>
      </c>
    </row>
    <row r="208" spans="1:12">
      <c r="A208" s="21"/>
      <c r="B208" s="10">
        <f t="shared" si="11"/>
        <v>70051001</v>
      </c>
      <c r="C208" s="23" t="s">
        <v>256</v>
      </c>
      <c r="E208" s="2" t="str">
        <f>F208&amp;(VLOOKUP(G208,编号表!$E$1:$G$8,2,0))&amp;H208&amp;"_"&amp;I208&amp;"_"&amp;J208</f>
        <v>5T1_0_1</v>
      </c>
      <c r="F208" s="2">
        <v>5</v>
      </c>
      <c r="G208" s="2" t="s">
        <v>190</v>
      </c>
      <c r="H208" s="2">
        <v>1</v>
      </c>
      <c r="I208" s="2">
        <v>0</v>
      </c>
      <c r="J208" s="2">
        <v>1</v>
      </c>
      <c r="L208" s="2">
        <v>1</v>
      </c>
    </row>
    <row r="209" spans="1:1">
      <c r="A209" s="21"/>
    </row>
    <row r="210" spans="1:1">
      <c r="A210" s="21"/>
    </row>
    <row r="211" spans="1:1">
      <c r="A211" s="21"/>
    </row>
    <row r="212" spans="1:1">
      <c r="A212" s="21"/>
    </row>
    <row r="213" spans="1:1">
      <c r="A213" s="21"/>
    </row>
    <row r="214" spans="1:1">
      <c r="A214" s="21"/>
    </row>
    <row r="215" spans="1:1">
      <c r="A215" s="21"/>
    </row>
    <row r="216" spans="1:1">
      <c r="A216" s="21"/>
    </row>
    <row r="217" spans="1:1">
      <c r="A217" s="21"/>
    </row>
    <row r="218" spans="1:1">
      <c r="A218" s="21"/>
    </row>
    <row r="219" spans="1:1">
      <c r="A219" s="21"/>
    </row>
    <row r="220" spans="1:1">
      <c r="A220" s="21"/>
    </row>
    <row r="221" spans="1:1">
      <c r="A221" s="21"/>
    </row>
    <row r="222" spans="1:1">
      <c r="A222" s="21"/>
    </row>
    <row r="223" spans="1:1">
      <c r="A223" s="21"/>
    </row>
    <row r="224" spans="1:1">
      <c r="A224" s="21"/>
    </row>
    <row r="225" spans="1:3">
      <c r="A225" s="21"/>
      <c r="C225" s="22"/>
    </row>
  </sheetData>
  <autoFilter xmlns:etc="http://www.wps.cn/officeDocument/2017/etCustomData" ref="B1:Z225" etc:filterBottomFollowUsedRange="0">
    <extLst/>
  </autoFilter>
  <mergeCells count="3">
    <mergeCell ref="S1:Z1"/>
    <mergeCell ref="S2:Z2"/>
    <mergeCell ref="S3:Z3"/>
  </mergeCells>
  <conditionalFormatting sqref="D9:E9">
    <cfRule type="duplicateValues" dxfId="0" priority="384"/>
  </conditionalFormatting>
  <conditionalFormatting sqref="D10:E10">
    <cfRule type="duplicateValues" dxfId="0" priority="383"/>
  </conditionalFormatting>
  <conditionalFormatting sqref="D11:E11">
    <cfRule type="duplicateValues" dxfId="0" priority="382"/>
  </conditionalFormatting>
  <conditionalFormatting sqref="D12:E12">
    <cfRule type="duplicateValues" dxfId="0" priority="381"/>
  </conditionalFormatting>
  <conditionalFormatting sqref="D13:E13">
    <cfRule type="duplicateValues" dxfId="0" priority="380"/>
  </conditionalFormatting>
  <conditionalFormatting sqref="D14:E14">
    <cfRule type="duplicateValues" dxfId="0" priority="379"/>
  </conditionalFormatting>
  <conditionalFormatting sqref="D15:E15">
    <cfRule type="duplicateValues" dxfId="0" priority="378"/>
  </conditionalFormatting>
  <conditionalFormatting sqref="D16:E16">
    <cfRule type="duplicateValues" dxfId="0" priority="377"/>
  </conditionalFormatting>
  <conditionalFormatting sqref="D19:E19">
    <cfRule type="duplicateValues" dxfId="0" priority="372"/>
  </conditionalFormatting>
  <conditionalFormatting sqref="D20:E20">
    <cfRule type="duplicateValues" dxfId="0" priority="371"/>
  </conditionalFormatting>
  <conditionalFormatting sqref="D21:E21">
    <cfRule type="duplicateValues" dxfId="0" priority="370"/>
  </conditionalFormatting>
  <conditionalFormatting sqref="D22:E22">
    <cfRule type="duplicateValues" dxfId="0" priority="369"/>
  </conditionalFormatting>
  <conditionalFormatting sqref="D23:E23">
    <cfRule type="duplicateValues" dxfId="0" priority="368"/>
  </conditionalFormatting>
  <conditionalFormatting sqref="D24:E24">
    <cfRule type="duplicateValues" dxfId="0" priority="367"/>
  </conditionalFormatting>
  <conditionalFormatting sqref="D25:E25">
    <cfRule type="duplicateValues" dxfId="0" priority="366"/>
  </conditionalFormatting>
  <conditionalFormatting sqref="D26:E26">
    <cfRule type="duplicateValues" dxfId="0" priority="364"/>
  </conditionalFormatting>
  <conditionalFormatting sqref="D27:E27">
    <cfRule type="duplicateValues" dxfId="0" priority="363"/>
  </conditionalFormatting>
  <conditionalFormatting sqref="D28:E28">
    <cfRule type="duplicateValues" dxfId="0" priority="362"/>
  </conditionalFormatting>
  <conditionalFormatting sqref="D29:E29">
    <cfRule type="duplicateValues" dxfId="0" priority="27"/>
  </conditionalFormatting>
  <conditionalFormatting sqref="D30:E30">
    <cfRule type="duplicateValues" dxfId="0" priority="365"/>
  </conditionalFormatting>
  <conditionalFormatting sqref="D31:E31">
    <cfRule type="duplicateValues" dxfId="0" priority="361"/>
  </conditionalFormatting>
  <conditionalFormatting sqref="D32:E32">
    <cfRule type="duplicateValues" dxfId="0" priority="360"/>
  </conditionalFormatting>
  <conditionalFormatting sqref="D33:E33">
    <cfRule type="duplicateValues" dxfId="0" priority="359"/>
  </conditionalFormatting>
  <conditionalFormatting sqref="D34:E34">
    <cfRule type="duplicateValues" dxfId="0" priority="356"/>
  </conditionalFormatting>
  <conditionalFormatting sqref="D35:E35">
    <cfRule type="duplicateValues" dxfId="0" priority="355"/>
  </conditionalFormatting>
  <conditionalFormatting sqref="D36:E36">
    <cfRule type="duplicateValues" dxfId="0" priority="354"/>
  </conditionalFormatting>
  <conditionalFormatting sqref="D37:E37">
    <cfRule type="duplicateValues" dxfId="0" priority="353"/>
  </conditionalFormatting>
  <conditionalFormatting sqref="D38:E38">
    <cfRule type="duplicateValues" dxfId="0" priority="352"/>
  </conditionalFormatting>
  <conditionalFormatting sqref="D39:E39">
    <cfRule type="duplicateValues" dxfId="0" priority="351"/>
  </conditionalFormatting>
  <conditionalFormatting sqref="D40:E40">
    <cfRule type="duplicateValues" dxfId="0" priority="350"/>
  </conditionalFormatting>
  <conditionalFormatting sqref="D41:E41">
    <cfRule type="duplicateValues" dxfId="0" priority="26"/>
  </conditionalFormatting>
  <conditionalFormatting sqref="D42:E42">
    <cfRule type="duplicateValues" dxfId="0" priority="349"/>
  </conditionalFormatting>
  <conditionalFormatting sqref="D43:E43">
    <cfRule type="duplicateValues" dxfId="0" priority="348"/>
  </conditionalFormatting>
  <conditionalFormatting sqref="D44:E44">
    <cfRule type="duplicateValues" dxfId="0" priority="347"/>
  </conditionalFormatting>
  <conditionalFormatting sqref="D45:E45">
    <cfRule type="duplicateValues" dxfId="0" priority="346"/>
  </conditionalFormatting>
  <conditionalFormatting sqref="D46:E46">
    <cfRule type="duplicateValues" dxfId="0" priority="345"/>
  </conditionalFormatting>
  <conditionalFormatting sqref="D47:E47">
    <cfRule type="duplicateValues" dxfId="0" priority="344"/>
  </conditionalFormatting>
  <conditionalFormatting sqref="D48:E48">
    <cfRule type="duplicateValues" dxfId="0" priority="335"/>
  </conditionalFormatting>
  <conditionalFormatting sqref="D49:E49">
    <cfRule type="duplicateValues" dxfId="0" priority="334"/>
  </conditionalFormatting>
  <conditionalFormatting sqref="D50:E50">
    <cfRule type="duplicateValues" dxfId="0" priority="333"/>
  </conditionalFormatting>
  <conditionalFormatting sqref="D51:E51">
    <cfRule type="duplicateValues" dxfId="0" priority="332"/>
  </conditionalFormatting>
  <conditionalFormatting sqref="D52:E52">
    <cfRule type="duplicateValues" dxfId="0" priority="331"/>
  </conditionalFormatting>
  <conditionalFormatting sqref="D53:E53">
    <cfRule type="duplicateValues" dxfId="0" priority="330"/>
  </conditionalFormatting>
  <conditionalFormatting sqref="D54:E54">
    <cfRule type="duplicateValues" dxfId="0" priority="329"/>
  </conditionalFormatting>
  <conditionalFormatting sqref="D55:E55">
    <cfRule type="duplicateValues" dxfId="0" priority="290"/>
  </conditionalFormatting>
  <conditionalFormatting sqref="D56:E56">
    <cfRule type="duplicateValues" dxfId="0" priority="289"/>
  </conditionalFormatting>
  <conditionalFormatting sqref="D57:E57">
    <cfRule type="duplicateValues" dxfId="0" priority="288"/>
  </conditionalFormatting>
  <conditionalFormatting sqref="D58:E58">
    <cfRule type="duplicateValues" dxfId="0" priority="287"/>
  </conditionalFormatting>
  <conditionalFormatting sqref="D59:E59">
    <cfRule type="duplicateValues" dxfId="0" priority="286"/>
  </conditionalFormatting>
  <conditionalFormatting sqref="D60:E60">
    <cfRule type="duplicateValues" dxfId="0" priority="285"/>
  </conditionalFormatting>
  <conditionalFormatting sqref="D61:E61">
    <cfRule type="duplicateValues" dxfId="0" priority="284"/>
  </conditionalFormatting>
  <conditionalFormatting sqref="D62:E62">
    <cfRule type="duplicateValues" dxfId="0" priority="283"/>
  </conditionalFormatting>
  <conditionalFormatting sqref="D63:E63">
    <cfRule type="duplicateValues" dxfId="0" priority="282"/>
  </conditionalFormatting>
  <conditionalFormatting sqref="D64:E64">
    <cfRule type="duplicateValues" dxfId="0" priority="25"/>
  </conditionalFormatting>
  <conditionalFormatting sqref="D65:E65">
    <cfRule type="duplicateValues" dxfId="0" priority="24"/>
  </conditionalFormatting>
  <conditionalFormatting sqref="D66:E66">
    <cfRule type="duplicateValues" dxfId="0" priority="23"/>
  </conditionalFormatting>
  <conditionalFormatting sqref="D67:E67">
    <cfRule type="duplicateValues" dxfId="0" priority="22"/>
  </conditionalFormatting>
  <conditionalFormatting sqref="D68:E68">
    <cfRule type="duplicateValues" dxfId="0" priority="21"/>
  </conditionalFormatting>
  <conditionalFormatting sqref="D69:E69">
    <cfRule type="duplicateValues" dxfId="0" priority="281"/>
  </conditionalFormatting>
  <conditionalFormatting sqref="D70:E70">
    <cfRule type="duplicateValues" dxfId="0" priority="280"/>
  </conditionalFormatting>
  <conditionalFormatting sqref="D71:E71">
    <cfRule type="duplicateValues" dxfId="0" priority="279"/>
  </conditionalFormatting>
  <conditionalFormatting sqref="D72:E72">
    <cfRule type="duplicateValues" dxfId="0" priority="278"/>
  </conditionalFormatting>
  <conditionalFormatting sqref="D73:E73">
    <cfRule type="duplicateValues" dxfId="0" priority="277"/>
  </conditionalFormatting>
  <conditionalFormatting sqref="D74:E74">
    <cfRule type="duplicateValues" dxfId="0" priority="276"/>
  </conditionalFormatting>
  <conditionalFormatting sqref="D75:E75">
    <cfRule type="duplicateValues" dxfId="0" priority="20"/>
  </conditionalFormatting>
  <conditionalFormatting sqref="D76:E76">
    <cfRule type="duplicateValues" dxfId="0" priority="19"/>
  </conditionalFormatting>
  <conditionalFormatting sqref="D77:E77">
    <cfRule type="duplicateValues" dxfId="0" priority="275"/>
  </conditionalFormatting>
  <conditionalFormatting sqref="D78:E78">
    <cfRule type="duplicateValues" dxfId="0" priority="274"/>
  </conditionalFormatting>
  <conditionalFormatting sqref="D79:E79">
    <cfRule type="duplicateValues" dxfId="0" priority="273"/>
  </conditionalFormatting>
  <conditionalFormatting sqref="D80:E80">
    <cfRule type="duplicateValues" dxfId="0" priority="272"/>
  </conditionalFormatting>
  <conditionalFormatting sqref="D81:E81">
    <cfRule type="duplicateValues" dxfId="0" priority="271"/>
  </conditionalFormatting>
  <conditionalFormatting sqref="D82:E82">
    <cfRule type="duplicateValues" dxfId="0" priority="270"/>
  </conditionalFormatting>
  <conditionalFormatting sqref="D83:E83">
    <cfRule type="duplicateValues" dxfId="0" priority="269"/>
  </conditionalFormatting>
  <conditionalFormatting sqref="D84:E84">
    <cfRule type="duplicateValues" dxfId="0" priority="268"/>
  </conditionalFormatting>
  <conditionalFormatting sqref="D85:E85">
    <cfRule type="duplicateValues" dxfId="0" priority="267"/>
  </conditionalFormatting>
  <conditionalFormatting sqref="D86:E86">
    <cfRule type="duplicateValues" dxfId="0" priority="266"/>
  </conditionalFormatting>
  <conditionalFormatting sqref="D87:E87">
    <cfRule type="duplicateValues" dxfId="0" priority="264"/>
  </conditionalFormatting>
  <conditionalFormatting sqref="D88:E88">
    <cfRule type="duplicateValues" dxfId="0" priority="17"/>
  </conditionalFormatting>
  <conditionalFormatting sqref="D89:E89">
    <cfRule type="duplicateValues" dxfId="0" priority="16"/>
  </conditionalFormatting>
  <conditionalFormatting sqref="D90:E90">
    <cfRule type="duplicateValues" dxfId="0" priority="18"/>
  </conditionalFormatting>
  <conditionalFormatting sqref="D91:E91">
    <cfRule type="duplicateValues" dxfId="0" priority="265"/>
  </conditionalFormatting>
  <conditionalFormatting sqref="D92:E92">
    <cfRule type="duplicateValues" dxfId="0" priority="263"/>
  </conditionalFormatting>
  <conditionalFormatting sqref="D93:E93">
    <cfRule type="duplicateValues" dxfId="0" priority="262"/>
  </conditionalFormatting>
  <conditionalFormatting sqref="D94:E94">
    <cfRule type="duplicateValues" dxfId="0" priority="261"/>
  </conditionalFormatting>
  <conditionalFormatting sqref="D95:E95">
    <cfRule type="duplicateValues" dxfId="0" priority="260"/>
  </conditionalFormatting>
  <conditionalFormatting sqref="D96:E96">
    <cfRule type="duplicateValues" dxfId="0" priority="255"/>
  </conditionalFormatting>
  <conditionalFormatting sqref="D97:E97">
    <cfRule type="duplicateValues" dxfId="0" priority="254"/>
  </conditionalFormatting>
  <conditionalFormatting sqref="D98:E98">
    <cfRule type="duplicateValues" dxfId="0" priority="253"/>
  </conditionalFormatting>
  <conditionalFormatting sqref="D99:E99">
    <cfRule type="duplicateValues" dxfId="0" priority="252"/>
  </conditionalFormatting>
  <conditionalFormatting sqref="D100:E100">
    <cfRule type="duplicateValues" dxfId="0" priority="251"/>
  </conditionalFormatting>
  <conditionalFormatting sqref="D101:E101">
    <cfRule type="duplicateValues" dxfId="0" priority="250"/>
  </conditionalFormatting>
  <conditionalFormatting sqref="D102:E102">
    <cfRule type="duplicateValues" dxfId="0" priority="237"/>
  </conditionalFormatting>
  <conditionalFormatting sqref="D103:E103">
    <cfRule type="duplicateValues" dxfId="0" priority="236"/>
  </conditionalFormatting>
  <conditionalFormatting sqref="D104:E104">
    <cfRule type="duplicateValues" dxfId="0" priority="235"/>
  </conditionalFormatting>
  <conditionalFormatting sqref="D105:E105">
    <cfRule type="duplicateValues" dxfId="0" priority="234"/>
  </conditionalFormatting>
  <conditionalFormatting sqref="D106:E106">
    <cfRule type="duplicateValues" dxfId="0" priority="233"/>
  </conditionalFormatting>
  <conditionalFormatting sqref="D107:E107">
    <cfRule type="duplicateValues" dxfId="0" priority="232"/>
  </conditionalFormatting>
  <conditionalFormatting sqref="D108:E108">
    <cfRule type="duplicateValues" dxfId="0" priority="231"/>
  </conditionalFormatting>
  <conditionalFormatting sqref="D109:E109">
    <cfRule type="duplicateValues" dxfId="0" priority="230"/>
  </conditionalFormatting>
  <conditionalFormatting sqref="D110:E110">
    <cfRule type="duplicateValues" dxfId="0" priority="229"/>
  </conditionalFormatting>
  <conditionalFormatting sqref="D111:E111">
    <cfRule type="duplicateValues" dxfId="0" priority="228"/>
  </conditionalFormatting>
  <conditionalFormatting sqref="D112:E112">
    <cfRule type="duplicateValues" dxfId="0" priority="125"/>
  </conditionalFormatting>
  <conditionalFormatting sqref="D113:E113">
    <cfRule type="duplicateValues" dxfId="0" priority="103"/>
  </conditionalFormatting>
  <conditionalFormatting sqref="D114:E114">
    <cfRule type="duplicateValues" dxfId="0" priority="102"/>
  </conditionalFormatting>
  <conditionalFormatting sqref="D115:E115">
    <cfRule type="duplicateValues" dxfId="0" priority="101"/>
  </conditionalFormatting>
  <conditionalFormatting sqref="D116:E116">
    <cfRule type="duplicateValues" dxfId="0" priority="100"/>
  </conditionalFormatting>
  <conditionalFormatting sqref="D117:E117">
    <cfRule type="duplicateValues" dxfId="0" priority="99"/>
  </conditionalFormatting>
  <conditionalFormatting sqref="D118:E118">
    <cfRule type="duplicateValues" dxfId="0" priority="98"/>
  </conditionalFormatting>
  <conditionalFormatting sqref="D119:E119">
    <cfRule type="duplicateValues" dxfId="0" priority="97"/>
  </conditionalFormatting>
  <conditionalFormatting sqref="D120:E120">
    <cfRule type="duplicateValues" dxfId="0" priority="96"/>
  </conditionalFormatting>
  <conditionalFormatting sqref="D121:E121">
    <cfRule type="duplicateValues" dxfId="0" priority="95"/>
  </conditionalFormatting>
  <conditionalFormatting sqref="D122">
    <cfRule type="duplicateValues" dxfId="0" priority="94"/>
  </conditionalFormatting>
  <conditionalFormatting sqref="E122">
    <cfRule type="duplicateValues" dxfId="0" priority="15"/>
  </conditionalFormatting>
  <conditionalFormatting sqref="D123:E123">
    <cfRule type="duplicateValues" dxfId="0" priority="93"/>
  </conditionalFormatting>
  <conditionalFormatting sqref="D124:E124">
    <cfRule type="duplicateValues" dxfId="0" priority="92"/>
  </conditionalFormatting>
  <conditionalFormatting sqref="D125:E125">
    <cfRule type="duplicateValues" dxfId="0" priority="91"/>
  </conditionalFormatting>
  <conditionalFormatting sqref="D126:E126">
    <cfRule type="duplicateValues" dxfId="0" priority="90"/>
  </conditionalFormatting>
  <conditionalFormatting sqref="D127:E127">
    <cfRule type="duplicateValues" dxfId="0" priority="14"/>
  </conditionalFormatting>
  <conditionalFormatting sqref="D128:E128">
    <cfRule type="duplicateValues" dxfId="0" priority="13"/>
  </conditionalFormatting>
  <conditionalFormatting sqref="D129:E129">
    <cfRule type="duplicateValues" dxfId="0" priority="12"/>
  </conditionalFormatting>
  <conditionalFormatting sqref="D130:E130">
    <cfRule type="duplicateValues" dxfId="0" priority="11"/>
  </conditionalFormatting>
  <conditionalFormatting sqref="D131:E131">
    <cfRule type="duplicateValues" dxfId="0" priority="10"/>
  </conditionalFormatting>
  <conditionalFormatting sqref="D132:E132">
    <cfRule type="duplicateValues" dxfId="0" priority="9"/>
  </conditionalFormatting>
  <conditionalFormatting sqref="D133:E133">
    <cfRule type="duplicateValues" dxfId="0" priority="8"/>
  </conditionalFormatting>
  <conditionalFormatting sqref="D134:E134">
    <cfRule type="duplicateValues" dxfId="0" priority="7"/>
  </conditionalFormatting>
  <conditionalFormatting sqref="D135:E135">
    <cfRule type="duplicateValues" dxfId="0" priority="6"/>
  </conditionalFormatting>
  <conditionalFormatting sqref="D136:E136">
    <cfRule type="duplicateValues" dxfId="0" priority="5"/>
  </conditionalFormatting>
  <conditionalFormatting sqref="D137:E137">
    <cfRule type="duplicateValues" dxfId="0" priority="4"/>
  </conditionalFormatting>
  <conditionalFormatting sqref="D138:E138">
    <cfRule type="duplicateValues" dxfId="0" priority="3"/>
  </conditionalFormatting>
  <conditionalFormatting sqref="D139:E139">
    <cfRule type="duplicateValues" dxfId="0" priority="2"/>
  </conditionalFormatting>
  <conditionalFormatting sqref="D140:E140">
    <cfRule type="duplicateValues" dxfId="0" priority="1"/>
  </conditionalFormatting>
  <conditionalFormatting sqref="D141:E141">
    <cfRule type="duplicateValues" dxfId="0" priority="392"/>
  </conditionalFormatting>
  <conditionalFormatting sqref="D142:E142">
    <cfRule type="duplicateValues" dxfId="0" priority="126"/>
  </conditionalFormatting>
  <conditionalFormatting sqref="D156:E156">
    <cfRule type="duplicateValues" dxfId="0" priority="391"/>
  </conditionalFormatting>
  <conditionalFormatting sqref="D168:E168">
    <cfRule type="duplicateValues" dxfId="0" priority="390"/>
  </conditionalFormatting>
  <conditionalFormatting sqref="D187">
    <cfRule type="duplicateValues" dxfId="0" priority="422"/>
  </conditionalFormatting>
  <conditionalFormatting sqref="E188">
    <cfRule type="duplicateValues" dxfId="0" priority="388"/>
  </conditionalFormatting>
  <conditionalFormatting sqref="D189:E189">
    <cfRule type="duplicateValues" dxfId="0" priority="387"/>
  </conditionalFormatting>
  <conditionalFormatting sqref="D191">
    <cfRule type="duplicateValues" dxfId="0" priority="420"/>
  </conditionalFormatting>
  <conditionalFormatting sqref="D193">
    <cfRule type="duplicateValues" dxfId="0" priority="394"/>
  </conditionalFormatting>
  <conditionalFormatting sqref="D1:E1 D2 D3:E8 D17:E18 D143:E155 D157:E160 E161:E167 E169:E187 E190:E225">
    <cfRule type="duplicateValues" dxfId="0" priority="536"/>
  </conditionalFormatting>
  <pageMargins left="0.75" right="0.75" top="1" bottom="1" header="0.5" footer="0.5"/>
  <pageSetup paperSize="9" orientation="portrait"/>
  <headerFooter/>
  <ignoredErrors>
    <ignoredError sqref="E191 D195:E208 Y6 Y7:Z8 X195:Y196 X197:Z208 F1:L1 B1:D1 X147:Z151 X170:Z183 V157:Z165 D192 V184:Z187 V190:Z190 Q1:R1 B190 D190:E190 E187 D186:E186 E185 G179:G183 D169:E184 B169:B187 B157:B167 B195:B208 Y143:Z146 D157:E167 Y17:Z18" formula="1" formulaRange="1"/>
    <ignoredError sqref="Q195:R208 Q143:R146 E193 D143:D144 G18:I18 D18:E18 K17:L18 F17:H17 D17 D5:L8 K191:L191 L207 J207 J195:L206 K208 R191:U191 W195:W208 T5:Z5 R193:Z193 Q194:Z194 G146:I146 G143:H145 D145:E146 K143:L146 K193:L194 T6:X8 Q5:R8 Q17:R18 D194:E194 Z6 Y7:Z8 Z195:Z196 X197:Z208 B1:E1 B191:B208 T143:X146 T17:X1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"/>
  <sheetViews>
    <sheetView zoomScale="115" zoomScaleNormal="115" workbookViewId="0">
      <selection activeCell="C3" sqref="C3"/>
    </sheetView>
  </sheetViews>
  <sheetFormatPr defaultColWidth="9" defaultRowHeight="14.4"/>
  <cols>
    <col min="1" max="1" width="9" style="10"/>
    <col min="2" max="2" width="10.7222222222222" style="10" customWidth="1"/>
    <col min="3" max="3" width="12.0925925925926" style="2" customWidth="1"/>
    <col min="4" max="4" width="14.5462962962963" style="2" customWidth="1"/>
    <col min="5" max="5" width="12.7222222222222" style="2" customWidth="1"/>
    <col min="6" max="6" width="13.9074074074074" style="2" customWidth="1"/>
    <col min="7" max="7" width="22.5462962962963" style="2" customWidth="1"/>
    <col min="8" max="8" width="15.3611111111111" style="2" customWidth="1"/>
    <col min="9" max="9" width="15.9074074074074" style="10" customWidth="1"/>
    <col min="11" max="16384" width="9" style="10"/>
  </cols>
  <sheetData>
    <row r="1" s="2" customFormat="1" ht="13.2" spans="1:11">
      <c r="A1" s="10" t="s">
        <v>0</v>
      </c>
      <c r="B1" s="2" t="s">
        <v>1</v>
      </c>
      <c r="C1" s="2" t="s">
        <v>3</v>
      </c>
      <c r="D1" s="2" t="s">
        <v>257</v>
      </c>
      <c r="E1" s="2" t="s">
        <v>258</v>
      </c>
      <c r="F1" s="2" t="s">
        <v>259</v>
      </c>
      <c r="G1" s="2" t="s">
        <v>260</v>
      </c>
      <c r="H1" s="2" t="s">
        <v>261</v>
      </c>
    </row>
    <row r="2" s="2" customFormat="1" ht="13.2" spans="1:11">
      <c r="A2" s="10" t="s">
        <v>13</v>
      </c>
      <c r="B2" s="2" t="s">
        <v>14</v>
      </c>
      <c r="C2" s="11" t="s">
        <v>15</v>
      </c>
      <c r="D2" s="2" t="s">
        <v>14</v>
      </c>
      <c r="E2" s="2" t="s">
        <v>14</v>
      </c>
      <c r="F2" s="11" t="s">
        <v>15</v>
      </c>
      <c r="G2" s="11" t="s">
        <v>15</v>
      </c>
      <c r="H2" s="2" t="s">
        <v>14</v>
      </c>
    </row>
    <row r="3" s="2" customFormat="1" ht="13.2" spans="1:11">
      <c r="A3" s="10" t="s">
        <v>19</v>
      </c>
    </row>
    <row r="4" s="2" customFormat="1" ht="13.2" spans="1:11">
      <c r="A4" s="10" t="s">
        <v>23</v>
      </c>
      <c r="B4" s="2" t="s">
        <v>262</v>
      </c>
      <c r="C4" s="2" t="s">
        <v>263</v>
      </c>
      <c r="D4" s="2" t="s">
        <v>264</v>
      </c>
      <c r="E4" s="2" t="s">
        <v>265</v>
      </c>
      <c r="F4" s="2" t="s">
        <v>266</v>
      </c>
      <c r="G4" s="12" t="s">
        <v>267</v>
      </c>
      <c r="H4" s="2" t="s">
        <v>268</v>
      </c>
    </row>
    <row r="5" s="2" customFormat="1" ht="13.2" spans="1:11">
      <c r="A5" s="10"/>
      <c r="B5" s="2">
        <v>1</v>
      </c>
      <c r="C5" s="2" t="s">
        <v>269</v>
      </c>
      <c r="D5" s="2">
        <v>900</v>
      </c>
      <c r="E5" s="2">
        <v>315</v>
      </c>
      <c r="F5" s="2" t="s">
        <v>270</v>
      </c>
      <c r="G5" s="2" t="s">
        <v>271</v>
      </c>
      <c r="H5" s="2">
        <v>0</v>
      </c>
    </row>
    <row r="8" spans="1:11">
      <c r="A8" s="10" t="s">
        <v>23</v>
      </c>
      <c r="B8" s="10">
        <v>1</v>
      </c>
      <c r="C8" s="2" t="s">
        <v>272</v>
      </c>
      <c r="D8" s="2">
        <v>900</v>
      </c>
      <c r="E8" s="2">
        <v>315</v>
      </c>
      <c r="F8" s="2" t="s">
        <v>273</v>
      </c>
      <c r="G8" s="2" t="s">
        <v>274</v>
      </c>
      <c r="H8" s="2">
        <v>0</v>
      </c>
      <c r="I8" s="2" t="s">
        <v>275</v>
      </c>
      <c r="K8" s="2"/>
    </row>
    <row r="9" spans="1:11">
      <c r="A9" s="10" t="s">
        <v>23</v>
      </c>
      <c r="B9" s="10">
        <v>2</v>
      </c>
      <c r="C9" s="2" t="s">
        <v>276</v>
      </c>
      <c r="D9" s="2">
        <v>900</v>
      </c>
      <c r="E9" s="2">
        <v>315</v>
      </c>
      <c r="F9" s="2" t="s">
        <v>277</v>
      </c>
      <c r="G9" s="2" t="s">
        <v>278</v>
      </c>
      <c r="H9" s="2">
        <v>1</v>
      </c>
      <c r="I9" s="2" t="s">
        <v>279</v>
      </c>
      <c r="K9" s="2"/>
    </row>
    <row r="10" spans="1:11">
      <c r="A10" s="10" t="s">
        <v>23</v>
      </c>
      <c r="B10" s="10">
        <v>3</v>
      </c>
      <c r="C10" s="2" t="s">
        <v>280</v>
      </c>
      <c r="D10" s="2">
        <v>1000</v>
      </c>
      <c r="E10" s="2">
        <v>303</v>
      </c>
      <c r="F10" s="2" t="s">
        <v>281</v>
      </c>
      <c r="G10" s="2" t="s">
        <v>282</v>
      </c>
      <c r="H10" s="2">
        <v>1</v>
      </c>
      <c r="I10" s="2">
        <v>90</v>
      </c>
      <c r="K10" s="2"/>
    </row>
    <row r="11" spans="1:11">
      <c r="A11" s="10" t="s">
        <v>23</v>
      </c>
      <c r="B11" s="10">
        <v>4</v>
      </c>
      <c r="C11" s="2" t="s">
        <v>283</v>
      </c>
      <c r="D11" s="2">
        <v>1000</v>
      </c>
      <c r="E11" s="2">
        <v>303</v>
      </c>
      <c r="F11" s="2" t="s">
        <v>284</v>
      </c>
      <c r="G11" s="2" t="s">
        <v>285</v>
      </c>
      <c r="H11" s="2">
        <v>1</v>
      </c>
      <c r="I11" s="2">
        <v>90</v>
      </c>
      <c r="K11" s="2"/>
    </row>
    <row r="12" spans="1:11">
      <c r="A12" s="10" t="s">
        <v>23</v>
      </c>
      <c r="B12" s="10">
        <v>5</v>
      </c>
      <c r="C12" s="2" t="s">
        <v>286</v>
      </c>
      <c r="D12" s="2">
        <v>1000</v>
      </c>
      <c r="E12" s="2">
        <v>303</v>
      </c>
      <c r="F12" s="2" t="s">
        <v>287</v>
      </c>
      <c r="G12" s="2" t="s">
        <v>288</v>
      </c>
      <c r="H12" s="2">
        <v>1</v>
      </c>
      <c r="I12" s="2">
        <v>50</v>
      </c>
      <c r="K12" s="2"/>
    </row>
    <row r="13" spans="1:11">
      <c r="A13" s="10" t="s">
        <v>23</v>
      </c>
      <c r="B13" s="10">
        <v>6</v>
      </c>
      <c r="C13" s="2" t="s">
        <v>289</v>
      </c>
      <c r="D13" s="2">
        <v>1000</v>
      </c>
      <c r="E13" s="2">
        <v>303</v>
      </c>
      <c r="F13" s="2" t="s">
        <v>290</v>
      </c>
      <c r="G13" s="2" t="s">
        <v>291</v>
      </c>
      <c r="H13" s="2">
        <v>1</v>
      </c>
      <c r="I13" s="2">
        <v>50</v>
      </c>
      <c r="K13" s="2"/>
    </row>
    <row r="14" spans="1:11">
      <c r="A14" s="10" t="s">
        <v>23</v>
      </c>
      <c r="B14" s="10">
        <v>7</v>
      </c>
      <c r="C14" s="2" t="s">
        <v>292</v>
      </c>
      <c r="D14" s="2">
        <v>1000</v>
      </c>
      <c r="E14" s="2">
        <v>303</v>
      </c>
      <c r="F14" s="2" t="s">
        <v>293</v>
      </c>
      <c r="G14" s="2" t="s">
        <v>294</v>
      </c>
      <c r="H14" s="2">
        <v>2</v>
      </c>
      <c r="I14" s="2">
        <v>120</v>
      </c>
      <c r="K14" s="2"/>
    </row>
    <row r="15" spans="1:11">
      <c r="A15" s="10" t="s">
        <v>23</v>
      </c>
      <c r="B15" s="10">
        <v>8</v>
      </c>
      <c r="C15" s="2" t="s">
        <v>295</v>
      </c>
      <c r="D15" s="2">
        <v>1000</v>
      </c>
      <c r="E15" s="2">
        <v>303</v>
      </c>
      <c r="F15" s="2" t="s">
        <v>296</v>
      </c>
      <c r="G15" s="2" t="s">
        <v>297</v>
      </c>
      <c r="H15" s="2">
        <v>2</v>
      </c>
      <c r="I15" s="2">
        <v>50</v>
      </c>
      <c r="K15" s="2"/>
    </row>
    <row r="16" spans="1:11">
      <c r="A16" s="10" t="s">
        <v>23</v>
      </c>
      <c r="B16" s="10">
        <v>9</v>
      </c>
      <c r="C16" s="2" t="s">
        <v>298</v>
      </c>
      <c r="D16" s="2">
        <v>1000</v>
      </c>
      <c r="E16" s="2">
        <v>303</v>
      </c>
      <c r="F16" s="2" t="s">
        <v>299</v>
      </c>
      <c r="G16" s="2" t="s">
        <v>300</v>
      </c>
      <c r="H16" s="2">
        <v>2</v>
      </c>
      <c r="I16" s="2">
        <v>60</v>
      </c>
      <c r="K16" s="2"/>
    </row>
    <row r="17" spans="1:11">
      <c r="A17" s="10" t="s">
        <v>23</v>
      </c>
      <c r="B17" s="10">
        <v>10</v>
      </c>
      <c r="C17" s="2" t="s">
        <v>301</v>
      </c>
      <c r="D17" s="2">
        <v>1000</v>
      </c>
      <c r="E17" s="2">
        <v>303</v>
      </c>
      <c r="F17" s="2" t="s">
        <v>302</v>
      </c>
      <c r="G17" s="2" t="s">
        <v>303</v>
      </c>
      <c r="H17" s="2">
        <v>2</v>
      </c>
      <c r="K17" s="2"/>
    </row>
    <row r="18" spans="1:11">
      <c r="A18" s="10" t="s">
        <v>23</v>
      </c>
      <c r="B18" s="10">
        <v>11</v>
      </c>
      <c r="C18" s="2" t="s">
        <v>304</v>
      </c>
      <c r="D18" s="2">
        <v>1000</v>
      </c>
      <c r="E18" s="2">
        <v>303</v>
      </c>
      <c r="F18" s="2" t="s">
        <v>305</v>
      </c>
      <c r="G18" s="2" t="s">
        <v>306</v>
      </c>
      <c r="H18" s="2">
        <v>2</v>
      </c>
      <c r="K18" s="2"/>
    </row>
    <row r="19" spans="1:11">
      <c r="A19" s="10" t="s">
        <v>23</v>
      </c>
      <c r="B19" s="10">
        <v>12</v>
      </c>
      <c r="C19" s="2" t="s">
        <v>307</v>
      </c>
      <c r="D19" s="2">
        <v>1000</v>
      </c>
      <c r="E19" s="2">
        <v>303</v>
      </c>
      <c r="F19" s="2" t="s">
        <v>308</v>
      </c>
      <c r="G19" s="2" t="s">
        <v>309</v>
      </c>
      <c r="H19" s="2">
        <v>2</v>
      </c>
      <c r="K19" s="2"/>
    </row>
    <row r="20" spans="1:11">
      <c r="A20" s="10" t="s">
        <v>23</v>
      </c>
      <c r="B20" s="10">
        <v>13</v>
      </c>
      <c r="C20" s="2" t="s">
        <v>310</v>
      </c>
      <c r="D20" s="2">
        <v>1000</v>
      </c>
      <c r="E20" s="2">
        <v>303</v>
      </c>
      <c r="F20" s="2" t="s">
        <v>311</v>
      </c>
      <c r="G20" s="2" t="s">
        <v>312</v>
      </c>
      <c r="H20" s="2">
        <v>2</v>
      </c>
      <c r="K20" s="2"/>
    </row>
    <row r="21" spans="1:11">
      <c r="A21" s="10" t="s">
        <v>23</v>
      </c>
      <c r="B21" s="10">
        <v>14</v>
      </c>
      <c r="C21" s="2" t="s">
        <v>313</v>
      </c>
      <c r="D21" s="2">
        <v>1000</v>
      </c>
      <c r="E21" s="2">
        <v>303</v>
      </c>
      <c r="F21" s="2" t="s">
        <v>314</v>
      </c>
      <c r="G21" s="2" t="s">
        <v>315</v>
      </c>
      <c r="H21" s="2">
        <v>3</v>
      </c>
      <c r="K21" s="2"/>
    </row>
    <row r="22" spans="1:11">
      <c r="A22" s="10" t="s">
        <v>23</v>
      </c>
      <c r="B22" s="10">
        <v>15</v>
      </c>
      <c r="C22" s="2" t="s">
        <v>316</v>
      </c>
      <c r="D22" s="2">
        <v>1000</v>
      </c>
      <c r="E22" s="2">
        <v>303</v>
      </c>
      <c r="F22" s="2" t="s">
        <v>317</v>
      </c>
      <c r="G22" s="2" t="s">
        <v>318</v>
      </c>
      <c r="H22" s="2">
        <v>3</v>
      </c>
      <c r="K22" s="2"/>
    </row>
    <row r="23" spans="1:11">
      <c r="A23" s="10" t="s">
        <v>23</v>
      </c>
      <c r="B23" s="10">
        <v>16</v>
      </c>
      <c r="C23" s="2" t="s">
        <v>319</v>
      </c>
      <c r="D23" s="2">
        <v>1000</v>
      </c>
      <c r="E23" s="2">
        <v>303</v>
      </c>
      <c r="F23" s="2" t="s">
        <v>320</v>
      </c>
      <c r="G23" s="2" t="s">
        <v>321</v>
      </c>
      <c r="H23" s="2">
        <v>3</v>
      </c>
      <c r="K23" s="2"/>
    </row>
    <row r="24" spans="1:11">
      <c r="A24" s="10" t="s">
        <v>23</v>
      </c>
      <c r="B24" s="10">
        <v>17</v>
      </c>
      <c r="C24" s="2" t="s">
        <v>322</v>
      </c>
      <c r="D24" s="2">
        <v>1000</v>
      </c>
      <c r="E24" s="2">
        <v>303</v>
      </c>
      <c r="F24" s="2" t="s">
        <v>323</v>
      </c>
      <c r="G24" s="2" t="s">
        <v>324</v>
      </c>
      <c r="H24" s="2">
        <v>3</v>
      </c>
      <c r="K24" s="2"/>
    </row>
    <row r="25" spans="1:11">
      <c r="A25" s="10" t="s">
        <v>23</v>
      </c>
      <c r="B25" s="10">
        <v>18</v>
      </c>
      <c r="C25" s="2" t="s">
        <v>325</v>
      </c>
      <c r="D25" s="2">
        <v>1000</v>
      </c>
      <c r="E25" s="2">
        <v>303</v>
      </c>
      <c r="F25" s="2" t="s">
        <v>326</v>
      </c>
      <c r="G25" s="2" t="s">
        <v>327</v>
      </c>
      <c r="H25" s="2">
        <v>3</v>
      </c>
      <c r="K25" s="2"/>
    </row>
    <row r="26" spans="1:11">
      <c r="A26" s="10" t="s">
        <v>23</v>
      </c>
      <c r="B26" s="10">
        <v>19</v>
      </c>
      <c r="C26" s="2" t="s">
        <v>328</v>
      </c>
      <c r="D26" s="2">
        <v>1000</v>
      </c>
      <c r="E26" s="2">
        <v>303</v>
      </c>
      <c r="F26" s="2" t="s">
        <v>329</v>
      </c>
      <c r="G26" s="2" t="s">
        <v>330</v>
      </c>
      <c r="H26" s="2">
        <v>3</v>
      </c>
      <c r="K26" s="2"/>
    </row>
    <row r="27" spans="1:11">
      <c r="A27" s="10" t="s">
        <v>23</v>
      </c>
      <c r="B27" s="10">
        <v>20</v>
      </c>
      <c r="C27" s="2" t="s">
        <v>331</v>
      </c>
      <c r="D27" s="2">
        <v>1000</v>
      </c>
      <c r="E27" s="2">
        <v>303</v>
      </c>
      <c r="F27" s="2" t="s">
        <v>332</v>
      </c>
      <c r="G27" s="2" t="s">
        <v>333</v>
      </c>
      <c r="H27" s="2">
        <v>3</v>
      </c>
      <c r="K27" s="2"/>
    </row>
    <row r="28" spans="1:11">
      <c r="A28" s="10" t="s">
        <v>23</v>
      </c>
      <c r="B28" s="10">
        <v>21</v>
      </c>
      <c r="C28" s="2" t="s">
        <v>334</v>
      </c>
      <c r="D28" s="2">
        <v>1000</v>
      </c>
      <c r="E28" s="2">
        <v>303</v>
      </c>
      <c r="F28" s="2" t="s">
        <v>335</v>
      </c>
      <c r="G28" s="2" t="s">
        <v>336</v>
      </c>
      <c r="H28" s="2">
        <v>3</v>
      </c>
      <c r="K28" s="2"/>
    </row>
    <row r="29" spans="1:11">
      <c r="A29" s="10" t="s">
        <v>23</v>
      </c>
      <c r="B29" s="10">
        <v>22</v>
      </c>
      <c r="C29" s="2" t="s">
        <v>337</v>
      </c>
      <c r="D29" s="2">
        <v>1000</v>
      </c>
      <c r="E29" s="2">
        <v>303</v>
      </c>
      <c r="F29" s="2" t="s">
        <v>338</v>
      </c>
      <c r="G29" s="2" t="s">
        <v>339</v>
      </c>
      <c r="H29" s="2">
        <v>4</v>
      </c>
      <c r="K29" s="2"/>
    </row>
    <row r="30" spans="1:11">
      <c r="A30" s="10" t="s">
        <v>23</v>
      </c>
      <c r="B30" s="10">
        <v>23</v>
      </c>
      <c r="C30" s="2" t="s">
        <v>340</v>
      </c>
      <c r="D30" s="2">
        <v>1000</v>
      </c>
      <c r="E30" s="2">
        <v>303</v>
      </c>
      <c r="F30" s="2" t="s">
        <v>341</v>
      </c>
      <c r="G30" s="2" t="s">
        <v>342</v>
      </c>
      <c r="H30" s="2">
        <v>4</v>
      </c>
      <c r="K30" s="2"/>
    </row>
    <row r="31" spans="1:11">
      <c r="A31" s="10" t="s">
        <v>23</v>
      </c>
      <c r="B31" s="10">
        <v>24</v>
      </c>
      <c r="C31" s="2" t="s">
        <v>343</v>
      </c>
      <c r="D31" s="2">
        <v>1000</v>
      </c>
      <c r="E31" s="2">
        <v>303</v>
      </c>
      <c r="F31" s="2" t="s">
        <v>344</v>
      </c>
      <c r="G31" s="2" t="s">
        <v>345</v>
      </c>
      <c r="H31" s="2">
        <v>4</v>
      </c>
      <c r="K31" s="2"/>
    </row>
    <row r="32" spans="1:11">
      <c r="A32" s="10" t="s">
        <v>23</v>
      </c>
      <c r="B32" s="10">
        <v>25</v>
      </c>
      <c r="C32" s="2" t="s">
        <v>346</v>
      </c>
      <c r="D32" s="2">
        <v>1000</v>
      </c>
      <c r="E32" s="2">
        <v>303</v>
      </c>
      <c r="F32" s="2" t="s">
        <v>347</v>
      </c>
      <c r="G32" s="2" t="s">
        <v>348</v>
      </c>
      <c r="H32" s="2">
        <v>4</v>
      </c>
      <c r="K32" s="2"/>
    </row>
    <row r="33" spans="1:11">
      <c r="A33" s="10" t="s">
        <v>23</v>
      </c>
      <c r="B33" s="10">
        <v>26</v>
      </c>
      <c r="C33" s="2" t="s">
        <v>349</v>
      </c>
      <c r="D33" s="2">
        <v>1000</v>
      </c>
      <c r="E33" s="2">
        <v>303</v>
      </c>
      <c r="F33" s="2" t="s">
        <v>350</v>
      </c>
      <c r="G33" s="2" t="s">
        <v>351</v>
      </c>
      <c r="H33" s="2">
        <v>4</v>
      </c>
      <c r="K33" s="2"/>
    </row>
    <row r="34" spans="1:11">
      <c r="A34" s="10" t="s">
        <v>23</v>
      </c>
      <c r="B34" s="10">
        <v>27</v>
      </c>
      <c r="C34" s="2" t="s">
        <v>352</v>
      </c>
      <c r="D34" s="2">
        <v>1000</v>
      </c>
      <c r="E34" s="2">
        <v>303</v>
      </c>
      <c r="F34" s="2" t="s">
        <v>353</v>
      </c>
      <c r="G34" s="2" t="s">
        <v>354</v>
      </c>
      <c r="H34" s="2">
        <v>4</v>
      </c>
      <c r="K34" s="2"/>
    </row>
    <row r="35" spans="1:11">
      <c r="A35" s="10" t="s">
        <v>23</v>
      </c>
      <c r="B35" s="10">
        <v>28</v>
      </c>
      <c r="C35" s="2" t="s">
        <v>355</v>
      </c>
      <c r="D35" s="2">
        <v>1000</v>
      </c>
      <c r="E35" s="2">
        <v>303</v>
      </c>
      <c r="F35" s="2" t="s">
        <v>356</v>
      </c>
      <c r="G35" s="2" t="s">
        <v>357</v>
      </c>
      <c r="H35" s="2">
        <v>4</v>
      </c>
      <c r="K35" s="2"/>
    </row>
    <row r="36" spans="1:11">
      <c r="A36" s="10" t="s">
        <v>23</v>
      </c>
      <c r="B36" s="10">
        <v>29</v>
      </c>
      <c r="C36" s="2" t="s">
        <v>358</v>
      </c>
      <c r="D36" s="2">
        <v>1000</v>
      </c>
      <c r="E36" s="2">
        <v>303</v>
      </c>
      <c r="F36" s="2" t="s">
        <v>359</v>
      </c>
      <c r="G36" s="2" t="s">
        <v>360</v>
      </c>
      <c r="H36" s="2">
        <v>4</v>
      </c>
      <c r="K36" s="2"/>
    </row>
    <row r="37" spans="1:11">
      <c r="A37" s="10" t="s">
        <v>23</v>
      </c>
      <c r="B37" s="10">
        <v>30</v>
      </c>
      <c r="C37" s="2" t="s">
        <v>361</v>
      </c>
      <c r="D37" s="2">
        <v>1000</v>
      </c>
      <c r="E37" s="2">
        <v>303</v>
      </c>
      <c r="F37" s="2" t="s">
        <v>362</v>
      </c>
      <c r="G37" s="2" t="s">
        <v>363</v>
      </c>
      <c r="H37" s="2">
        <v>4</v>
      </c>
      <c r="K37" s="2"/>
    </row>
    <row r="38" spans="1:11">
      <c r="A38" s="10" t="s">
        <v>23</v>
      </c>
      <c r="B38" s="10">
        <v>31</v>
      </c>
      <c r="C38" s="2" t="s">
        <v>364</v>
      </c>
      <c r="D38" s="2">
        <v>1000</v>
      </c>
      <c r="E38" s="2">
        <v>303</v>
      </c>
      <c r="F38" s="2" t="s">
        <v>365</v>
      </c>
      <c r="G38" s="2" t="s">
        <v>366</v>
      </c>
      <c r="H38" s="2">
        <v>5</v>
      </c>
      <c r="K38" s="2"/>
    </row>
    <row r="39" spans="1:11">
      <c r="A39" s="10" t="s">
        <v>23</v>
      </c>
      <c r="B39" s="10">
        <v>32</v>
      </c>
      <c r="C39" s="2" t="s">
        <v>367</v>
      </c>
      <c r="D39" s="2">
        <v>1000</v>
      </c>
      <c r="E39" s="2">
        <v>303</v>
      </c>
      <c r="F39" s="2" t="s">
        <v>368</v>
      </c>
      <c r="G39" s="2" t="s">
        <v>369</v>
      </c>
      <c r="H39" s="2">
        <v>5</v>
      </c>
      <c r="K39" s="2"/>
    </row>
    <row r="40" spans="1:11">
      <c r="A40" s="10" t="s">
        <v>23</v>
      </c>
      <c r="B40" s="10">
        <v>33</v>
      </c>
      <c r="C40" s="2" t="s">
        <v>370</v>
      </c>
      <c r="D40" s="2">
        <v>1000</v>
      </c>
      <c r="E40" s="2">
        <v>303</v>
      </c>
      <c r="F40" s="2" t="s">
        <v>371</v>
      </c>
      <c r="G40" s="2" t="s">
        <v>372</v>
      </c>
      <c r="H40" s="2">
        <v>5</v>
      </c>
      <c r="K40" s="2"/>
    </row>
    <row r="41" spans="1:11">
      <c r="A41" s="10" t="s">
        <v>23</v>
      </c>
      <c r="B41" s="10">
        <v>34</v>
      </c>
      <c r="C41" s="2" t="s">
        <v>373</v>
      </c>
      <c r="D41" s="2">
        <v>1000</v>
      </c>
      <c r="E41" s="2">
        <v>303</v>
      </c>
      <c r="F41" s="2" t="s">
        <v>374</v>
      </c>
      <c r="G41" s="2" t="s">
        <v>375</v>
      </c>
      <c r="H41" s="2">
        <v>5</v>
      </c>
      <c r="K41" s="2"/>
    </row>
    <row r="42" spans="1:11">
      <c r="A42" s="10" t="s">
        <v>23</v>
      </c>
      <c r="B42" s="10">
        <v>35</v>
      </c>
      <c r="C42" s="2" t="s">
        <v>376</v>
      </c>
      <c r="D42" s="2">
        <v>1000</v>
      </c>
      <c r="E42" s="2">
        <v>303</v>
      </c>
      <c r="F42" s="2" t="s">
        <v>377</v>
      </c>
      <c r="G42" s="2" t="s">
        <v>378</v>
      </c>
      <c r="H42" s="2">
        <v>5</v>
      </c>
      <c r="K42" s="2"/>
    </row>
    <row r="43" spans="1:11">
      <c r="A43" s="10" t="s">
        <v>23</v>
      </c>
      <c r="B43" s="10">
        <v>36</v>
      </c>
      <c r="C43" s="2" t="s">
        <v>379</v>
      </c>
      <c r="D43" s="2">
        <v>1000</v>
      </c>
      <c r="E43" s="2">
        <v>303</v>
      </c>
      <c r="F43" s="2" t="s">
        <v>380</v>
      </c>
      <c r="G43" s="2" t="s">
        <v>381</v>
      </c>
      <c r="H43" s="2">
        <v>5</v>
      </c>
      <c r="K43" s="2"/>
    </row>
    <row r="44" spans="1:11">
      <c r="A44" s="10" t="s">
        <v>23</v>
      </c>
      <c r="B44" s="10">
        <v>37</v>
      </c>
      <c r="C44" s="2" t="s">
        <v>382</v>
      </c>
      <c r="D44" s="2">
        <v>1000</v>
      </c>
      <c r="E44" s="2">
        <v>303</v>
      </c>
      <c r="F44" s="2" t="s">
        <v>383</v>
      </c>
      <c r="G44" s="2" t="s">
        <v>384</v>
      </c>
      <c r="H44" s="2">
        <v>5</v>
      </c>
      <c r="K44" s="2"/>
    </row>
    <row r="45" spans="1:11">
      <c r="A45" s="10" t="s">
        <v>23</v>
      </c>
      <c r="B45" s="10">
        <v>38</v>
      </c>
      <c r="C45" s="2" t="s">
        <v>385</v>
      </c>
      <c r="D45" s="2">
        <v>1000</v>
      </c>
      <c r="E45" s="2">
        <v>303</v>
      </c>
      <c r="F45" s="2" t="s">
        <v>386</v>
      </c>
      <c r="G45" s="2" t="s">
        <v>387</v>
      </c>
      <c r="H45" s="2">
        <v>5</v>
      </c>
      <c r="K45" s="2"/>
    </row>
    <row r="46" spans="1:11">
      <c r="A46" s="10" t="s">
        <v>23</v>
      </c>
      <c r="B46" s="10">
        <v>39</v>
      </c>
      <c r="C46" s="2" t="s">
        <v>388</v>
      </c>
      <c r="D46" s="2">
        <v>1000</v>
      </c>
      <c r="E46" s="2">
        <v>303</v>
      </c>
      <c r="F46" s="2" t="s">
        <v>389</v>
      </c>
      <c r="G46" s="2" t="s">
        <v>390</v>
      </c>
      <c r="H46" s="2">
        <v>5</v>
      </c>
      <c r="K46" s="2"/>
    </row>
    <row r="47" spans="1:11">
      <c r="A47" s="10" t="s">
        <v>23</v>
      </c>
      <c r="B47" s="10">
        <v>40</v>
      </c>
      <c r="C47" s="2" t="s">
        <v>391</v>
      </c>
      <c r="D47" s="2">
        <v>1000</v>
      </c>
      <c r="E47" s="2">
        <v>303</v>
      </c>
      <c r="F47" s="2" t="s">
        <v>392</v>
      </c>
      <c r="G47" s="2" t="s">
        <v>393</v>
      </c>
      <c r="H47" s="2">
        <v>5</v>
      </c>
      <c r="K47" s="2"/>
    </row>
    <row r="48" spans="1:11">
      <c r="A48" s="10" t="s">
        <v>23</v>
      </c>
      <c r="B48" s="10">
        <v>41</v>
      </c>
      <c r="C48" s="2" t="s">
        <v>394</v>
      </c>
      <c r="D48" s="2">
        <v>1000</v>
      </c>
      <c r="E48" s="2">
        <v>303</v>
      </c>
      <c r="F48" s="2" t="s">
        <v>395</v>
      </c>
      <c r="G48" s="2" t="s">
        <v>396</v>
      </c>
      <c r="H48" s="2">
        <v>5</v>
      </c>
    </row>
  </sheetData>
  <conditionalFormatting sqref="C1 C4:C5 C8:C11 C13:C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6"/>
  <sheetViews>
    <sheetView topLeftCell="E1" workbookViewId="0">
      <selection activeCell="K5" sqref="K5"/>
    </sheetView>
  </sheetViews>
  <sheetFormatPr defaultColWidth="8.72222222222222" defaultRowHeight="14.4"/>
  <cols>
    <col min="1" max="1" width="12.9074074074074" customWidth="1"/>
    <col min="13" max="16" width="13.0925925925926" customWidth="1"/>
    <col min="17" max="17" width="19.7222222222222" customWidth="1"/>
    <col min="18" max="21" width="13.0925925925926" customWidth="1"/>
  </cols>
  <sheetData>
    <row r="1" spans="1:20">
      <c r="A1" t="s">
        <v>263</v>
      </c>
      <c r="B1" t="s">
        <v>32</v>
      </c>
      <c r="C1" t="s">
        <v>27</v>
      </c>
      <c r="D1" t="s">
        <v>32</v>
      </c>
      <c r="E1" t="s">
        <v>29</v>
      </c>
      <c r="F1" t="s">
        <v>397</v>
      </c>
      <c r="G1" t="s">
        <v>32</v>
      </c>
    </row>
    <row r="2" spans="1:20">
      <c r="A2" s="2" t="s">
        <v>276</v>
      </c>
      <c r="B2" s="2">
        <v>1</v>
      </c>
      <c r="C2" s="2" t="s">
        <v>398</v>
      </c>
      <c r="D2" s="2">
        <v>1</v>
      </c>
      <c r="E2" t="s">
        <v>50</v>
      </c>
      <c r="F2" t="s">
        <v>399</v>
      </c>
      <c r="G2">
        <v>1</v>
      </c>
      <c r="I2" t="str">
        <f>F4&amp;"-"&amp;E3</f>
        <v>P-传送</v>
      </c>
      <c r="K2" t="s">
        <v>400</v>
      </c>
    </row>
    <row r="3" spans="1:20">
      <c r="A3" s="2" t="s">
        <v>280</v>
      </c>
      <c r="B3" s="2">
        <v>2</v>
      </c>
      <c r="C3" s="2" t="s">
        <v>401</v>
      </c>
      <c r="D3" s="2">
        <v>2</v>
      </c>
      <c r="E3" t="s">
        <v>190</v>
      </c>
      <c r="F3" t="s">
        <v>402</v>
      </c>
      <c r="G3">
        <v>2</v>
      </c>
      <c r="I3" t="str">
        <f>F3&amp;"-"&amp;E4</f>
        <v>T-NPC</v>
      </c>
      <c r="K3" t="s">
        <v>403</v>
      </c>
    </row>
    <row r="4" spans="1:20">
      <c r="A4" s="2" t="s">
        <v>283</v>
      </c>
      <c r="B4" s="2">
        <v>3</v>
      </c>
      <c r="C4" s="2" t="s">
        <v>404</v>
      </c>
      <c r="D4" s="2">
        <v>3</v>
      </c>
      <c r="E4" t="s">
        <v>405</v>
      </c>
      <c r="F4" t="s">
        <v>406</v>
      </c>
      <c r="G4">
        <v>3</v>
      </c>
      <c r="I4" t="str">
        <f>F2&amp;"-"&amp;E2</f>
        <v>N-怪物</v>
      </c>
      <c r="K4" t="s">
        <v>407</v>
      </c>
      <c r="O4" s="3"/>
      <c r="P4" s="3"/>
      <c r="Q4" s="3"/>
      <c r="R4" s="3"/>
      <c r="S4" s="3"/>
      <c r="T4" s="3"/>
    </row>
    <row r="5" spans="1:20">
      <c r="A5" s="2" t="s">
        <v>286</v>
      </c>
      <c r="B5" s="2">
        <v>4</v>
      </c>
      <c r="C5" s="2" t="s">
        <v>408</v>
      </c>
      <c r="D5" s="2">
        <v>4</v>
      </c>
      <c r="E5" t="s">
        <v>409</v>
      </c>
      <c r="F5" t="s">
        <v>410</v>
      </c>
      <c r="G5">
        <v>4</v>
      </c>
      <c r="I5" t="str">
        <f>F5&amp;"-"&amp;E5</f>
        <v>M-音效</v>
      </c>
      <c r="O5" s="3"/>
      <c r="P5" s="3"/>
      <c r="Q5" s="3"/>
      <c r="R5" s="3"/>
      <c r="S5" s="3"/>
      <c r="T5" s="3"/>
    </row>
    <row r="6" spans="1:20">
      <c r="A6" s="2" t="s">
        <v>289</v>
      </c>
      <c r="B6" s="2">
        <v>5</v>
      </c>
      <c r="C6" s="2" t="s">
        <v>411</v>
      </c>
      <c r="D6" s="2">
        <v>5</v>
      </c>
      <c r="E6" t="s">
        <v>188</v>
      </c>
      <c r="F6" t="s">
        <v>412</v>
      </c>
      <c r="G6">
        <v>5</v>
      </c>
      <c r="I6" t="str">
        <f>F6&amp;"-"&amp;E6</f>
        <v>J-镜头</v>
      </c>
      <c r="O6" s="3"/>
      <c r="P6" s="3"/>
      <c r="Q6" s="3"/>
      <c r="R6" s="3"/>
      <c r="S6" s="3"/>
      <c r="T6" s="3"/>
    </row>
    <row r="7" spans="1:20">
      <c r="A7" s="2" t="s">
        <v>292</v>
      </c>
      <c r="B7" s="2">
        <v>6</v>
      </c>
      <c r="C7" s="2" t="s">
        <v>413</v>
      </c>
      <c r="D7" s="2">
        <v>6</v>
      </c>
      <c r="O7" s="3"/>
      <c r="P7" s="3"/>
      <c r="Q7" s="3"/>
      <c r="R7" s="3"/>
      <c r="S7" s="3"/>
      <c r="T7" s="3"/>
    </row>
    <row r="8" spans="1:20">
      <c r="A8" s="2" t="s">
        <v>295</v>
      </c>
      <c r="B8" s="2">
        <v>7</v>
      </c>
      <c r="C8" s="2" t="s">
        <v>414</v>
      </c>
      <c r="D8" s="2">
        <v>7</v>
      </c>
      <c r="O8" s="3"/>
      <c r="P8" s="3"/>
      <c r="Q8" s="3"/>
      <c r="R8" s="3"/>
      <c r="S8" s="3"/>
      <c r="T8" s="3"/>
    </row>
    <row r="9" spans="1:20">
      <c r="A9" s="2" t="s">
        <v>298</v>
      </c>
      <c r="B9" s="2">
        <v>8</v>
      </c>
      <c r="C9" s="2" t="s">
        <v>415</v>
      </c>
      <c r="D9" s="2">
        <v>8</v>
      </c>
      <c r="O9" s="3"/>
      <c r="P9" s="3"/>
      <c r="Q9" s="3"/>
      <c r="R9" s="3"/>
      <c r="S9" s="3"/>
      <c r="T9" s="3"/>
    </row>
    <row r="10" spans="1:20">
      <c r="A10" s="2" t="s">
        <v>301</v>
      </c>
      <c r="B10" s="2">
        <v>9</v>
      </c>
      <c r="C10" s="2" t="s">
        <v>416</v>
      </c>
      <c r="D10" s="2">
        <v>9</v>
      </c>
      <c r="O10" s="3"/>
      <c r="P10" s="3"/>
      <c r="Q10" s="3"/>
      <c r="R10" s="3"/>
      <c r="S10" s="3"/>
      <c r="T10" s="3"/>
    </row>
    <row r="11" spans="1:20">
      <c r="A11" s="2" t="s">
        <v>304</v>
      </c>
      <c r="B11" s="2">
        <v>10</v>
      </c>
      <c r="C11" s="2" t="s">
        <v>417</v>
      </c>
      <c r="D11" s="2">
        <v>10</v>
      </c>
    </row>
    <row r="12" spans="1:20">
      <c r="A12" s="2" t="s">
        <v>307</v>
      </c>
      <c r="B12" s="2">
        <v>11</v>
      </c>
      <c r="C12" s="2" t="s">
        <v>418</v>
      </c>
      <c r="D12" s="2">
        <v>11</v>
      </c>
    </row>
    <row r="13" spans="1:20">
      <c r="A13" s="2" t="s">
        <v>310</v>
      </c>
      <c r="B13" s="2">
        <v>12</v>
      </c>
      <c r="C13" s="2" t="s">
        <v>419</v>
      </c>
      <c r="D13" s="2">
        <v>12</v>
      </c>
    </row>
    <row r="14" spans="1:20">
      <c r="A14" s="2" t="s">
        <v>313</v>
      </c>
      <c r="B14" s="2">
        <v>13</v>
      </c>
      <c r="C14" s="2" t="s">
        <v>420</v>
      </c>
      <c r="D14" s="2">
        <v>13</v>
      </c>
    </row>
    <row r="15" spans="1:20">
      <c r="A15" s="2" t="s">
        <v>316</v>
      </c>
      <c r="B15" s="2">
        <v>14</v>
      </c>
      <c r="C15" s="2" t="s">
        <v>421</v>
      </c>
      <c r="D15" s="2">
        <v>14</v>
      </c>
    </row>
    <row r="16" spans="1:20">
      <c r="A16" s="2" t="s">
        <v>319</v>
      </c>
      <c r="B16" s="2">
        <v>15</v>
      </c>
      <c r="C16" s="2" t="s">
        <v>422</v>
      </c>
      <c r="D16" s="2">
        <v>15</v>
      </c>
    </row>
    <row r="17" spans="1:21">
      <c r="A17" s="2" t="s">
        <v>322</v>
      </c>
      <c r="B17" s="2">
        <v>16</v>
      </c>
      <c r="C17" s="2" t="s">
        <v>423</v>
      </c>
      <c r="D17" s="2">
        <v>16</v>
      </c>
    </row>
    <row r="18" spans="1:21">
      <c r="A18" s="2" t="s">
        <v>325</v>
      </c>
      <c r="B18" s="2">
        <v>17</v>
      </c>
      <c r="C18" s="2" t="s">
        <v>424</v>
      </c>
      <c r="D18" s="2">
        <v>17</v>
      </c>
    </row>
    <row r="19" spans="1:21">
      <c r="A19" s="2" t="s">
        <v>328</v>
      </c>
      <c r="B19" s="2">
        <v>18</v>
      </c>
      <c r="C19" s="2" t="s">
        <v>425</v>
      </c>
      <c r="D19" s="2">
        <v>18</v>
      </c>
    </row>
    <row r="20" spans="1:21">
      <c r="A20" s="2" t="s">
        <v>331</v>
      </c>
      <c r="B20" s="2">
        <v>19</v>
      </c>
      <c r="C20" s="2" t="s">
        <v>426</v>
      </c>
      <c r="D20" s="2">
        <v>19</v>
      </c>
    </row>
    <row r="21" spans="1:21">
      <c r="A21" s="2" t="s">
        <v>334</v>
      </c>
      <c r="B21" s="2">
        <v>20</v>
      </c>
      <c r="C21" s="2" t="s">
        <v>427</v>
      </c>
      <c r="D21" s="2">
        <v>20</v>
      </c>
    </row>
    <row r="22" spans="1:21">
      <c r="A22" s="2" t="s">
        <v>337</v>
      </c>
      <c r="B22" s="2">
        <v>21</v>
      </c>
      <c r="C22" s="2" t="s">
        <v>428</v>
      </c>
      <c r="D22" s="2">
        <v>21</v>
      </c>
    </row>
    <row r="23" spans="1:21">
      <c r="A23" s="2" t="s">
        <v>340</v>
      </c>
      <c r="B23" s="2">
        <v>22</v>
      </c>
      <c r="C23" s="2" t="s">
        <v>429</v>
      </c>
      <c r="D23" s="2">
        <v>22</v>
      </c>
    </row>
    <row r="24" spans="1:21">
      <c r="A24" s="2" t="s">
        <v>343</v>
      </c>
      <c r="B24" s="2">
        <v>23</v>
      </c>
      <c r="C24" s="2" t="s">
        <v>430</v>
      </c>
      <c r="D24" s="2">
        <v>23</v>
      </c>
    </row>
    <row r="25" spans="1:21">
      <c r="A25" s="2" t="s">
        <v>346</v>
      </c>
      <c r="B25" s="2">
        <v>24</v>
      </c>
      <c r="C25" s="2" t="s">
        <v>431</v>
      </c>
      <c r="D25" s="2">
        <v>24</v>
      </c>
      <c r="N25" s="4"/>
      <c r="O25" s="4"/>
      <c r="P25" s="4"/>
      <c r="Q25" s="4"/>
      <c r="R25" s="4"/>
      <c r="S25" s="4"/>
      <c r="T25" s="4"/>
      <c r="U25" s="4"/>
    </row>
    <row r="26" spans="1:21">
      <c r="A26" s="2" t="s">
        <v>349</v>
      </c>
      <c r="B26" s="2">
        <v>25</v>
      </c>
      <c r="C26" s="2" t="s">
        <v>432</v>
      </c>
      <c r="D26" s="2">
        <v>25</v>
      </c>
      <c r="M26" s="5" t="s">
        <v>433</v>
      </c>
      <c r="N26" s="5">
        <v>1</v>
      </c>
      <c r="O26" s="5">
        <v>2</v>
      </c>
      <c r="P26" s="5">
        <v>3</v>
      </c>
      <c r="Q26" s="5">
        <v>4</v>
      </c>
      <c r="R26" s="5">
        <v>5</v>
      </c>
      <c r="S26" s="5">
        <v>6</v>
      </c>
      <c r="T26" s="5">
        <v>7</v>
      </c>
      <c r="U26" s="5">
        <v>8</v>
      </c>
    </row>
    <row r="27" spans="1:21">
      <c r="A27" s="2" t="s">
        <v>352</v>
      </c>
      <c r="B27" s="2">
        <v>26</v>
      </c>
      <c r="C27" s="2" t="s">
        <v>434</v>
      </c>
      <c r="D27" s="2">
        <v>26</v>
      </c>
      <c r="M27" s="5"/>
      <c r="N27" s="5" t="s">
        <v>435</v>
      </c>
      <c r="O27" s="5" t="s">
        <v>436</v>
      </c>
      <c r="P27" s="5"/>
      <c r="Q27" s="5"/>
      <c r="R27" s="5" t="s">
        <v>437</v>
      </c>
      <c r="S27" s="6" t="s">
        <v>438</v>
      </c>
      <c r="T27" s="5" t="s">
        <v>439</v>
      </c>
      <c r="U27" s="5"/>
    </row>
    <row r="28" spans="1:21">
      <c r="A28" s="2" t="s">
        <v>355</v>
      </c>
      <c r="B28" s="2">
        <v>27</v>
      </c>
      <c r="C28" s="2" t="s">
        <v>440</v>
      </c>
      <c r="D28" s="2">
        <v>27</v>
      </c>
      <c r="M28" s="5"/>
      <c r="N28" s="5"/>
      <c r="O28" s="5"/>
      <c r="P28" s="5"/>
      <c r="Q28" s="5"/>
      <c r="R28" s="5"/>
      <c r="S28" s="6"/>
      <c r="T28" s="5"/>
      <c r="U28" s="5"/>
    </row>
    <row r="29" spans="1:21">
      <c r="A29" s="2" t="s">
        <v>358</v>
      </c>
      <c r="B29" s="2">
        <v>28</v>
      </c>
      <c r="C29" s="2" t="s">
        <v>441</v>
      </c>
      <c r="D29" s="2">
        <v>28</v>
      </c>
      <c r="M29" s="5" t="s">
        <v>442</v>
      </c>
      <c r="N29" s="5"/>
      <c r="O29" s="5"/>
      <c r="P29" s="5"/>
      <c r="Q29" s="5"/>
      <c r="R29" s="5"/>
      <c r="S29" s="5"/>
      <c r="T29" s="5"/>
      <c r="U29" s="5"/>
    </row>
    <row r="30" spans="1:21">
      <c r="A30" s="2" t="s">
        <v>361</v>
      </c>
      <c r="B30" s="2">
        <v>29</v>
      </c>
      <c r="C30" s="2" t="s">
        <v>443</v>
      </c>
      <c r="D30" s="2">
        <v>29</v>
      </c>
      <c r="M30" s="5"/>
      <c r="N30" s="5"/>
      <c r="O30" s="5"/>
      <c r="P30" s="5"/>
      <c r="Q30" s="5"/>
      <c r="R30" s="5"/>
      <c r="S30" s="5"/>
      <c r="T30" s="5"/>
      <c r="U30" s="5"/>
    </row>
    <row r="31" spans="1:21">
      <c r="A31" s="2" t="s">
        <v>364</v>
      </c>
      <c r="B31" s="2">
        <v>30</v>
      </c>
      <c r="C31" s="2" t="s">
        <v>444</v>
      </c>
      <c r="D31" s="2">
        <v>30</v>
      </c>
      <c r="M31" s="7" t="s">
        <v>445</v>
      </c>
      <c r="N31" s="7"/>
      <c r="O31" s="7"/>
      <c r="P31" s="7"/>
      <c r="Q31" s="7"/>
      <c r="R31" s="7"/>
      <c r="S31" s="7"/>
      <c r="T31" s="7"/>
      <c r="U31" s="7"/>
    </row>
    <row r="32" spans="1:21">
      <c r="A32" s="2" t="s">
        <v>367</v>
      </c>
      <c r="B32" s="2">
        <v>31</v>
      </c>
      <c r="C32" s="2" t="s">
        <v>446</v>
      </c>
      <c r="D32" s="2">
        <v>31</v>
      </c>
      <c r="M32" s="7"/>
      <c r="N32" s="7"/>
      <c r="O32" s="7"/>
      <c r="P32" s="7"/>
      <c r="Q32" s="7"/>
      <c r="R32" s="7"/>
      <c r="S32" s="7"/>
      <c r="T32" s="7"/>
      <c r="U32" s="7"/>
    </row>
    <row r="33" spans="1:21">
      <c r="A33" s="2" t="s">
        <v>370</v>
      </c>
      <c r="B33" s="2">
        <v>32</v>
      </c>
      <c r="C33" s="2" t="s">
        <v>447</v>
      </c>
      <c r="D33" s="2">
        <v>32</v>
      </c>
    </row>
    <row r="34" spans="1:21">
      <c r="A34" s="2" t="s">
        <v>373</v>
      </c>
      <c r="B34" s="2">
        <v>33</v>
      </c>
      <c r="C34" s="2" t="s">
        <v>448</v>
      </c>
      <c r="D34" s="2">
        <v>33</v>
      </c>
      <c r="M34" s="5" t="s">
        <v>449</v>
      </c>
      <c r="N34" s="8">
        <v>1</v>
      </c>
      <c r="O34" s="8">
        <v>2</v>
      </c>
      <c r="P34" s="8">
        <v>3</v>
      </c>
      <c r="Q34" s="8">
        <v>4</v>
      </c>
      <c r="R34" s="8">
        <v>5</v>
      </c>
    </row>
    <row r="35" spans="1:21">
      <c r="A35" s="2" t="s">
        <v>376</v>
      </c>
      <c r="B35" s="2">
        <v>34</v>
      </c>
      <c r="C35" s="2" t="s">
        <v>450</v>
      </c>
      <c r="D35" s="2">
        <v>34</v>
      </c>
      <c r="M35" s="8"/>
      <c r="N35" s="5" t="s">
        <v>436</v>
      </c>
      <c r="O35" s="9" t="s">
        <v>451</v>
      </c>
      <c r="P35" s="5" t="s">
        <v>437</v>
      </c>
      <c r="Q35" s="5" t="s">
        <v>452</v>
      </c>
      <c r="R35" s="5" t="s">
        <v>439</v>
      </c>
    </row>
    <row r="36" spans="1:21">
      <c r="A36" s="2" t="s">
        <v>379</v>
      </c>
      <c r="B36" s="2">
        <v>35</v>
      </c>
      <c r="C36" s="2" t="s">
        <v>453</v>
      </c>
      <c r="D36" s="2">
        <v>35</v>
      </c>
      <c r="O36" t="s">
        <v>454</v>
      </c>
      <c r="P36" s="5"/>
      <c r="Q36" s="5"/>
      <c r="R36" s="5"/>
    </row>
    <row r="37" spans="1:21">
      <c r="A37" s="2" t="s">
        <v>382</v>
      </c>
      <c r="B37" s="2">
        <v>36</v>
      </c>
      <c r="C37" s="2" t="s">
        <v>455</v>
      </c>
      <c r="D37" s="2">
        <v>36</v>
      </c>
      <c r="O37" t="s">
        <v>456</v>
      </c>
    </row>
    <row r="38" spans="1:21">
      <c r="A38" s="2" t="s">
        <v>385</v>
      </c>
      <c r="B38" s="2">
        <v>37</v>
      </c>
      <c r="C38" s="2" t="s">
        <v>457</v>
      </c>
      <c r="D38" s="2">
        <v>37</v>
      </c>
      <c r="O38" t="s">
        <v>458</v>
      </c>
    </row>
    <row r="39" spans="1:21">
      <c r="A39" s="2" t="s">
        <v>388</v>
      </c>
      <c r="B39" s="2">
        <v>38</v>
      </c>
      <c r="C39" s="2" t="s">
        <v>459</v>
      </c>
      <c r="D39" s="2">
        <v>38</v>
      </c>
      <c r="O39" t="s">
        <v>460</v>
      </c>
    </row>
    <row r="40" spans="1:21">
      <c r="A40" s="2" t="s">
        <v>391</v>
      </c>
      <c r="B40" s="2">
        <v>39</v>
      </c>
      <c r="C40" s="2" t="s">
        <v>461</v>
      </c>
      <c r="D40" s="2">
        <v>39</v>
      </c>
      <c r="O40" t="s">
        <v>462</v>
      </c>
    </row>
    <row r="41" spans="1:21">
      <c r="A41" s="2" t="s">
        <v>394</v>
      </c>
      <c r="B41" s="2">
        <v>40</v>
      </c>
      <c r="C41" s="2" t="s">
        <v>463</v>
      </c>
      <c r="D41" s="2">
        <v>40</v>
      </c>
      <c r="M41" s="5" t="s">
        <v>464</v>
      </c>
      <c r="N41" s="5"/>
      <c r="O41" s="5"/>
      <c r="P41" s="5"/>
      <c r="Q41" s="5"/>
      <c r="R41" s="5"/>
      <c r="S41" s="5"/>
      <c r="T41" s="5"/>
      <c r="U41" s="5"/>
    </row>
    <row r="42" spans="1:21">
      <c r="A42" s="2" t="s">
        <v>465</v>
      </c>
      <c r="B42" s="2">
        <v>41</v>
      </c>
      <c r="C42" s="2" t="s">
        <v>466</v>
      </c>
      <c r="D42" s="2">
        <v>41</v>
      </c>
      <c r="M42" s="5"/>
      <c r="N42" s="5"/>
      <c r="O42" s="5"/>
      <c r="P42" s="5"/>
      <c r="Q42" s="5"/>
      <c r="R42" s="5"/>
      <c r="S42" s="5"/>
      <c r="T42" s="5"/>
      <c r="U42" s="5"/>
    </row>
    <row r="43" spans="1:21">
      <c r="A43" s="2"/>
      <c r="B43" s="2"/>
      <c r="C43" s="2"/>
      <c r="D43" s="2">
        <v>42</v>
      </c>
    </row>
    <row r="44" spans="1:21">
      <c r="A44" s="2"/>
      <c r="B44" s="2"/>
      <c r="C44" s="2"/>
      <c r="D44" s="2">
        <v>43</v>
      </c>
    </row>
    <row r="45" spans="1:21">
      <c r="D45" s="2">
        <v>44</v>
      </c>
    </row>
    <row r="46" spans="1:21">
      <c r="D46" s="2">
        <v>45</v>
      </c>
    </row>
  </sheetData>
  <mergeCells count="12">
    <mergeCell ref="M27:M28"/>
    <mergeCell ref="N27:N28"/>
    <mergeCell ref="P35:P36"/>
    <mergeCell ref="Q35:Q36"/>
    <mergeCell ref="R27:R28"/>
    <mergeCell ref="R35:R36"/>
    <mergeCell ref="S27:S28"/>
    <mergeCell ref="O27:Q28"/>
    <mergeCell ref="M29:U30"/>
    <mergeCell ref="T27:U28"/>
    <mergeCell ref="M41:U42"/>
    <mergeCell ref="M31:U32"/>
  </mergeCells>
  <conditionalFormatting sqref="A2:D44 D45:D4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9" defaultRowHeight="14.4" outlineLevelCol="1"/>
  <cols>
    <col min="2" max="2" width="90.3611111111111" customWidth="1"/>
  </cols>
  <sheetData>
    <row r="1" spans="1:2">
      <c r="A1" t="s">
        <v>467</v>
      </c>
      <c r="B1" t="s">
        <v>468</v>
      </c>
    </row>
    <row r="2" spans="1:2">
      <c r="A2" t="s">
        <v>469</v>
      </c>
      <c r="B2" t="s">
        <v>470</v>
      </c>
    </row>
    <row r="3" spans="1:2">
      <c r="A3" t="s">
        <v>471</v>
      </c>
      <c r="B3" t="s">
        <v>472</v>
      </c>
    </row>
    <row r="4" spans="1:2">
      <c r="A4" t="s">
        <v>473</v>
      </c>
    </row>
    <row r="5" spans="1:2">
      <c r="A5" t="s">
        <v>474</v>
      </c>
    </row>
    <row r="6" spans="1:2">
      <c r="A6" t="s">
        <v>475</v>
      </c>
      <c r="B6" t="s">
        <v>476</v>
      </c>
    </row>
    <row r="7" spans="1:2">
      <c r="A7" t="s">
        <v>477</v>
      </c>
      <c r="B7" t="s">
        <v>478</v>
      </c>
    </row>
    <row r="8" spans="1:2">
      <c r="A8" t="s">
        <v>479</v>
      </c>
      <c r="B8" t="s">
        <v>480</v>
      </c>
    </row>
    <row r="9" spans="1:2">
      <c r="A9" t="s">
        <v>481</v>
      </c>
      <c r="B9" t="s">
        <v>482</v>
      </c>
    </row>
    <row r="10" spans="1:2">
      <c r="A10" t="s">
        <v>483</v>
      </c>
      <c r="B10" t="s">
        <v>484</v>
      </c>
    </row>
    <row r="11" spans="1:2">
      <c r="A11" t="s">
        <v>485</v>
      </c>
      <c r="B11" t="s">
        <v>486</v>
      </c>
    </row>
    <row r="12" spans="1:2">
      <c r="A12" t="s">
        <v>487</v>
      </c>
      <c r="B12" t="s">
        <v>488</v>
      </c>
    </row>
    <row r="13" spans="1:2">
      <c r="A13" t="s">
        <v>489</v>
      </c>
      <c r="B13" t="s">
        <v>490</v>
      </c>
    </row>
    <row r="14" ht="43.2" spans="1:2">
      <c r="A14" t="s">
        <v>491</v>
      </c>
      <c r="B14" s="1" t="s">
        <v>492</v>
      </c>
    </row>
    <row r="15" ht="57.6" spans="1:2">
      <c r="A15" t="s">
        <v>493</v>
      </c>
      <c r="B15" s="1" t="s">
        <v>494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region_config</vt:lpstr>
      <vt:lpstr>ConfigScene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2026-08-10T04:00:48Z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BADAFDCB91E74D1DB231BCD7E2D4C591_13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